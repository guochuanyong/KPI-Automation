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keyanomailca-my.sharepoint.com/personal/bill_guo_keyano_ca/Documents/Documents/KPI-Automation/"/>
    </mc:Choice>
  </mc:AlternateContent>
  <xr:revisionPtr revIDLastSave="20" documentId="8_{188D6018-A799-43E7-A175-BA18A5BC9CBD}" xr6:coauthVersionLast="47" xr6:coauthVersionMax="47" xr10:uidLastSave="{0EFDE400-031E-4581-88A4-7A950B595F1D}"/>
  <bookViews>
    <workbookView xWindow="-120" yWindow="-120" windowWidth="29040" windowHeight="15720" tabRatio="909" xr2:uid="{00000000-000D-0000-FFFF-FFFF00000000}"/>
  </bookViews>
  <sheets>
    <sheet name="Summary" sheetId="50" r:id="rId1"/>
    <sheet name="Business (Data) Glossary" sheetId="23" r:id="rId2"/>
    <sheet name="App Comparative Report Summary" sheetId="2" r:id="rId3"/>
    <sheet name="Summer {YrA} Apps By School" sheetId="70" r:id="rId4"/>
    <sheet name="Fall {YrA} Apps By School" sheetId="66" r:id="rId5"/>
    <sheet name="Winter {YrA} Apps By School" sheetId="71" r:id="rId6"/>
    <sheet name="Spring {YrA} Apps By School" sheetId="72" r:id="rId7"/>
    <sheet name="Summer {YrB} Apps By School" sheetId="73" r:id="rId8"/>
    <sheet name="Fall {YrB} Apps By School" sheetId="74" r:id="rId9"/>
    <sheet name="Winter {YrB} Apps By School" sheetId="75" r:id="rId10"/>
    <sheet name="Spring {YrB} Apps By School" sheetId="76" r:id="rId11"/>
    <sheet name="Budgeted Projections Dom HC" sheetId="64" r:id="rId12"/>
    <sheet name="Budgeted Projections Intl HC" sheetId="65" r:id="rId13"/>
    <sheet name="YearA-AppDetails Current Date" sheetId="55" r:id="rId14"/>
    <sheet name="YearA-AppDetails Current Date-1" sheetId="56" r:id="rId15"/>
    <sheet name="YearA-AppDetails Current Date-2" sheetId="57" r:id="rId16"/>
    <sheet name="YearA-AppDetails Current Date-3" sheetId="58" r:id="rId17"/>
    <sheet name="YearB-AppDetails Current Date" sheetId="59" r:id="rId18"/>
    <sheet name="YearB-AppDetails Current Date-1" sheetId="60" r:id="rId19"/>
    <sheet name="YearB-AppDetails Current Date-2" sheetId="61" r:id="rId20"/>
    <sheet name="YearB-AppDetails Current Date-3" sheetId="62" r:id="rId21"/>
  </sheets>
  <externalReferences>
    <externalReference r:id="rId22"/>
  </externalReferences>
  <definedNames>
    <definedName name="_xlnm._FilterDatabase" localSheetId="11" hidden="1">'Budgeted Projections Dom HC'!$A$1:$T$192</definedName>
    <definedName name="_xlnm._FilterDatabase" localSheetId="12" hidden="1">'Budgeted Projections Intl HC'!$A$1:$T$192</definedName>
    <definedName name="_xlnm._FilterDatabase" localSheetId="4" hidden="1">'Fall {YrA} Apps By School'!$A$2:$Q$205</definedName>
    <definedName name="_xlnm._FilterDatabase" localSheetId="8" hidden="1">'Fall {YrB} Apps By School'!$A$2:$Q$205</definedName>
    <definedName name="_xlnm._FilterDatabase" localSheetId="6" hidden="1">'Spring {YrA} Apps By School'!$A$2:$Q$205</definedName>
    <definedName name="_xlnm._FilterDatabase" localSheetId="10" hidden="1">'Spring {YrB} Apps By School'!$A$2:$Q$205</definedName>
    <definedName name="_xlnm._FilterDatabase" localSheetId="3" hidden="1">'Summer {YrA} Apps By School'!$A$2:$Q$205</definedName>
    <definedName name="_xlnm._FilterDatabase" localSheetId="7" hidden="1">'Summer {YrB} Apps By School'!$A$2:$Q$205</definedName>
    <definedName name="_xlnm._FilterDatabase" localSheetId="5" hidden="1">'Winter {YrA} Apps By School'!$A$2:$Q$205</definedName>
    <definedName name="_xlnm._FilterDatabase" localSheetId="9" hidden="1">'Winter {YrB} Apps By School'!$A$2:$Q$205</definedName>
    <definedName name="_xlnm._FilterDatabase" localSheetId="13" hidden="1">'YearA-AppDetails Current Date'!$A$1:$AD$3911</definedName>
    <definedName name="_xlnm._FilterDatabase" localSheetId="16" hidden="1">'YearA-AppDetails Current Date-3'!$A$1:$AD$3911</definedName>
    <definedName name="DEMO">[1]Sheet2!$A$1:$G$2147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76" l="1"/>
  <c r="J34" i="76"/>
  <c r="K34" i="76"/>
  <c r="L34" i="76"/>
  <c r="M34" i="76"/>
  <c r="N34" i="76"/>
  <c r="O34" i="76"/>
  <c r="P34" i="76"/>
  <c r="H32" i="76"/>
  <c r="H31" i="76"/>
  <c r="H30" i="76"/>
  <c r="H29" i="76"/>
  <c r="P32" i="76"/>
  <c r="O32" i="76" a="1"/>
  <c r="O32" i="76" s="1"/>
  <c r="N32" i="76"/>
  <c r="N32" i="76" a="1"/>
  <c r="M32" i="76" a="1"/>
  <c r="M32" i="76" s="1"/>
  <c r="L32" i="76" a="1"/>
  <c r="L32" i="76" s="1"/>
  <c r="K32" i="76"/>
  <c r="J32" i="76" a="1"/>
  <c r="J32" i="76" s="1"/>
  <c r="I32" i="76"/>
  <c r="P31" i="76"/>
  <c r="Q31" i="76" s="1"/>
  <c r="O31" i="76" a="1"/>
  <c r="O31" i="76" s="1"/>
  <c r="N31" i="76" a="1"/>
  <c r="N31" i="76" s="1"/>
  <c r="M31" i="76"/>
  <c r="M31" i="76" a="1"/>
  <c r="L31" i="76" a="1"/>
  <c r="L31" i="76" s="1"/>
  <c r="K31" i="76"/>
  <c r="J31" i="76"/>
  <c r="J31" i="76" a="1"/>
  <c r="I31" i="76"/>
  <c r="I33" i="76" s="1"/>
  <c r="P30" i="76"/>
  <c r="O30" i="76"/>
  <c r="O30" i="76" a="1"/>
  <c r="N30" i="76" a="1"/>
  <c r="N30" i="76" s="1"/>
  <c r="M30" i="76" a="1"/>
  <c r="M30" i="76" s="1"/>
  <c r="L30" i="76" a="1"/>
  <c r="L30" i="76" s="1"/>
  <c r="K30" i="76"/>
  <c r="J30" i="76" a="1"/>
  <c r="J30" i="76" s="1"/>
  <c r="Q30" i="76" s="1"/>
  <c r="I30" i="76"/>
  <c r="P29" i="76"/>
  <c r="O29" i="76" a="1"/>
  <c r="O29" i="76" s="1"/>
  <c r="N29" i="76"/>
  <c r="N29" i="76" a="1"/>
  <c r="M29" i="76" a="1"/>
  <c r="M29" i="76" s="1"/>
  <c r="L29" i="76" a="1"/>
  <c r="L29" i="76" s="1"/>
  <c r="L33" i="76" s="1"/>
  <c r="K29" i="76"/>
  <c r="J29" i="76"/>
  <c r="J29" i="76" a="1"/>
  <c r="I29" i="76"/>
  <c r="K33" i="76"/>
  <c r="I34" i="75"/>
  <c r="J34" i="75"/>
  <c r="K34" i="75"/>
  <c r="L34" i="75"/>
  <c r="M34" i="75"/>
  <c r="N34" i="75"/>
  <c r="O34" i="75"/>
  <c r="P34" i="75"/>
  <c r="H32" i="75"/>
  <c r="H31" i="75"/>
  <c r="H30" i="75"/>
  <c r="H29" i="75"/>
  <c r="H32" i="74"/>
  <c r="H31" i="74"/>
  <c r="H30" i="74"/>
  <c r="H29" i="74"/>
  <c r="P32" i="75"/>
  <c r="Q32" i="75" s="1"/>
  <c r="O32" i="75" a="1"/>
  <c r="O32" i="75" s="1"/>
  <c r="N32" i="75" a="1"/>
  <c r="N32" i="75" s="1"/>
  <c r="M32" i="75" a="1"/>
  <c r="M32" i="75" s="1"/>
  <c r="L32" i="75" a="1"/>
  <c r="L32" i="75" s="1"/>
  <c r="K32" i="75"/>
  <c r="J32" i="75" a="1"/>
  <c r="J32" i="75" s="1"/>
  <c r="I32" i="75"/>
  <c r="P31" i="75"/>
  <c r="O31" i="75"/>
  <c r="O31" i="75" a="1"/>
  <c r="N31" i="75"/>
  <c r="N31" i="75" a="1"/>
  <c r="M31" i="75" a="1"/>
  <c r="M31" i="75" s="1"/>
  <c r="L31" i="75" a="1"/>
  <c r="L31" i="75" s="1"/>
  <c r="K31" i="75"/>
  <c r="J31" i="75"/>
  <c r="Q31" i="75" s="1"/>
  <c r="J31" i="75" a="1"/>
  <c r="I31" i="75"/>
  <c r="P30" i="75"/>
  <c r="O30" i="75" a="1"/>
  <c r="O30" i="75" s="1"/>
  <c r="N30" i="75" a="1"/>
  <c r="N30" i="75" s="1"/>
  <c r="M30" i="75" a="1"/>
  <c r="M30" i="75" s="1"/>
  <c r="L30" i="75" a="1"/>
  <c r="L30" i="75" s="1"/>
  <c r="K30" i="75"/>
  <c r="J30" i="75"/>
  <c r="J30" i="75" a="1"/>
  <c r="I30" i="75"/>
  <c r="P29" i="75"/>
  <c r="O29" i="75"/>
  <c r="O29" i="75" a="1"/>
  <c r="N29" i="75" a="1"/>
  <c r="N29" i="75" s="1"/>
  <c r="M29" i="75" a="1"/>
  <c r="M29" i="75" s="1"/>
  <c r="L29" i="75" a="1"/>
  <c r="L29" i="75" s="1"/>
  <c r="K29" i="75"/>
  <c r="K33" i="75" s="1"/>
  <c r="J29" i="75" a="1"/>
  <c r="J29" i="75" s="1"/>
  <c r="J33" i="75" s="1"/>
  <c r="I29" i="75"/>
  <c r="Q30" i="75"/>
  <c r="P33" i="75"/>
  <c r="I33" i="75"/>
  <c r="I34" i="74"/>
  <c r="J34" i="74"/>
  <c r="K34" i="74"/>
  <c r="L34" i="74"/>
  <c r="M34" i="74"/>
  <c r="N34" i="74"/>
  <c r="O34" i="74"/>
  <c r="P34" i="74"/>
  <c r="P32" i="74"/>
  <c r="O32" i="74"/>
  <c r="O32" i="74" a="1"/>
  <c r="N32" i="74" a="1"/>
  <c r="N32" i="74" s="1"/>
  <c r="M32" i="74" a="1"/>
  <c r="M32" i="74" s="1"/>
  <c r="L32" i="74" a="1"/>
  <c r="L32" i="74" s="1"/>
  <c r="K32" i="74"/>
  <c r="J32" i="74" a="1"/>
  <c r="J32" i="74" s="1"/>
  <c r="Q32" i="74" s="1"/>
  <c r="I32" i="74"/>
  <c r="P31" i="74"/>
  <c r="Q31" i="74" s="1"/>
  <c r="O31" i="74"/>
  <c r="O31" i="74" a="1"/>
  <c r="N31" i="74"/>
  <c r="N31" i="74" a="1"/>
  <c r="M31" i="74" a="1"/>
  <c r="M31" i="74" s="1"/>
  <c r="L31" i="74" a="1"/>
  <c r="L31" i="74" s="1"/>
  <c r="K31" i="74"/>
  <c r="J31" i="74" a="1"/>
  <c r="J31" i="74" s="1"/>
  <c r="I31" i="74"/>
  <c r="I33" i="74" s="1"/>
  <c r="P30" i="74"/>
  <c r="Q30" i="74" s="1"/>
  <c r="O30" i="74" a="1"/>
  <c r="O30" i="74" s="1"/>
  <c r="N30" i="74" a="1"/>
  <c r="N30" i="74" s="1"/>
  <c r="M30" i="74" a="1"/>
  <c r="M30" i="74" s="1"/>
  <c r="L30" i="74" a="1"/>
  <c r="L30" i="74" s="1"/>
  <c r="K30" i="74"/>
  <c r="J30" i="74" a="1"/>
  <c r="J30" i="74" s="1"/>
  <c r="I30" i="74"/>
  <c r="P29" i="74"/>
  <c r="O29" i="74"/>
  <c r="O29" i="74" a="1"/>
  <c r="N29" i="74" a="1"/>
  <c r="N29" i="74" s="1"/>
  <c r="M29" i="74" a="1"/>
  <c r="M29" i="74" s="1"/>
  <c r="L29" i="74" a="1"/>
  <c r="L29" i="74" s="1"/>
  <c r="K29" i="74"/>
  <c r="K33" i="74" s="1"/>
  <c r="J29" i="74" a="1"/>
  <c r="J29" i="74" s="1"/>
  <c r="I29" i="74"/>
  <c r="I34" i="73"/>
  <c r="J34" i="73"/>
  <c r="K34" i="73"/>
  <c r="L34" i="73"/>
  <c r="M34" i="73"/>
  <c r="N34" i="73"/>
  <c r="O34" i="73"/>
  <c r="P34" i="73"/>
  <c r="P32" i="73"/>
  <c r="P33" i="73" s="1"/>
  <c r="O32" i="73" a="1"/>
  <c r="O32" i="73" s="1"/>
  <c r="N32" i="73" a="1"/>
  <c r="N32" i="73" s="1"/>
  <c r="M32" i="73" a="1"/>
  <c r="M32" i="73" s="1"/>
  <c r="L32" i="73" a="1"/>
  <c r="L32" i="73" s="1"/>
  <c r="K32" i="73"/>
  <c r="J32" i="73" a="1"/>
  <c r="J32" i="73" s="1"/>
  <c r="I32" i="73"/>
  <c r="P31" i="73"/>
  <c r="O31" i="73"/>
  <c r="O31" i="73" a="1"/>
  <c r="N31" i="73"/>
  <c r="N31" i="73" a="1"/>
  <c r="M31" i="73" a="1"/>
  <c r="M31" i="73" s="1"/>
  <c r="L31" i="73"/>
  <c r="L31" i="73" a="1"/>
  <c r="K31" i="73"/>
  <c r="J31" i="73" a="1"/>
  <c r="J31" i="73" s="1"/>
  <c r="I31" i="73"/>
  <c r="P30" i="73"/>
  <c r="O30" i="73" a="1"/>
  <c r="O30" i="73" s="1"/>
  <c r="N30" i="73" a="1"/>
  <c r="N30" i="73" s="1"/>
  <c r="M30" i="73" a="1"/>
  <c r="M30" i="73" s="1"/>
  <c r="L30" i="73" a="1"/>
  <c r="L30" i="73" s="1"/>
  <c r="K30" i="73"/>
  <c r="J30" i="73" a="1"/>
  <c r="J30" i="73" s="1"/>
  <c r="I30" i="73"/>
  <c r="P29" i="73"/>
  <c r="O29" i="73"/>
  <c r="O29" i="73" a="1"/>
  <c r="N29" i="73" a="1"/>
  <c r="N29" i="73" s="1"/>
  <c r="M29" i="73"/>
  <c r="M29" i="73" a="1"/>
  <c r="L29" i="73" a="1"/>
  <c r="L29" i="73" s="1"/>
  <c r="K29" i="73"/>
  <c r="K33" i="73" s="1"/>
  <c r="J29" i="73" a="1"/>
  <c r="J29" i="73" s="1"/>
  <c r="I29" i="73"/>
  <c r="H32" i="73"/>
  <c r="H31" i="73"/>
  <c r="H30" i="73"/>
  <c r="H29" i="73"/>
  <c r="I33" i="73"/>
  <c r="I34" i="72"/>
  <c r="J34" i="72"/>
  <c r="K34" i="72"/>
  <c r="L34" i="72"/>
  <c r="M34" i="72"/>
  <c r="N34" i="72"/>
  <c r="O34" i="72"/>
  <c r="P34" i="72"/>
  <c r="H32" i="72"/>
  <c r="H31" i="72"/>
  <c r="H30" i="72"/>
  <c r="H29" i="72"/>
  <c r="P32" i="72"/>
  <c r="O32" i="72" a="1"/>
  <c r="O32" i="72" s="1"/>
  <c r="N32" i="72" a="1"/>
  <c r="N32" i="72" s="1"/>
  <c r="M32" i="72" a="1"/>
  <c r="M32" i="72" s="1"/>
  <c r="L32" i="72" a="1"/>
  <c r="L32" i="72" s="1"/>
  <c r="K32" i="72"/>
  <c r="J32" i="72" a="1"/>
  <c r="J32" i="72" s="1"/>
  <c r="I32" i="72"/>
  <c r="P31" i="72"/>
  <c r="O31" i="72"/>
  <c r="O31" i="72" a="1"/>
  <c r="N31" i="72" a="1"/>
  <c r="N31" i="72" s="1"/>
  <c r="M31" i="72" a="1"/>
  <c r="M31" i="72" s="1"/>
  <c r="L31" i="72" a="1"/>
  <c r="L31" i="72" s="1"/>
  <c r="K31" i="72"/>
  <c r="J31" i="72" a="1"/>
  <c r="J31" i="72" s="1"/>
  <c r="Q31" i="72" s="1"/>
  <c r="I31" i="72"/>
  <c r="P30" i="72"/>
  <c r="O30" i="72" a="1"/>
  <c r="O30" i="72" s="1"/>
  <c r="N30" i="72"/>
  <c r="N30" i="72" a="1"/>
  <c r="M30" i="72" a="1"/>
  <c r="M30" i="72" s="1"/>
  <c r="L30" i="72"/>
  <c r="L30" i="72" a="1"/>
  <c r="K30" i="72"/>
  <c r="J30" i="72" a="1"/>
  <c r="J30" i="72" s="1"/>
  <c r="Q30" i="72" s="1"/>
  <c r="I30" i="72"/>
  <c r="P29" i="72"/>
  <c r="O29" i="72" a="1"/>
  <c r="O29" i="72" s="1"/>
  <c r="N29" i="72" a="1"/>
  <c r="N29" i="72" s="1"/>
  <c r="M29" i="72" a="1"/>
  <c r="M29" i="72" s="1"/>
  <c r="L29" i="72" a="1"/>
  <c r="L29" i="72" s="1"/>
  <c r="L33" i="72" s="1"/>
  <c r="K29" i="72"/>
  <c r="K33" i="72" s="1"/>
  <c r="J29" i="72" a="1"/>
  <c r="J29" i="72" s="1"/>
  <c r="I29" i="72"/>
  <c r="P33" i="72"/>
  <c r="I33" i="72"/>
  <c r="I34" i="71"/>
  <c r="J34" i="71"/>
  <c r="K34" i="71"/>
  <c r="L34" i="71"/>
  <c r="M34" i="71"/>
  <c r="N34" i="71"/>
  <c r="O34" i="71"/>
  <c r="P34" i="71"/>
  <c r="P32" i="71"/>
  <c r="O32" i="71" a="1"/>
  <c r="O32" i="71" s="1"/>
  <c r="N32" i="71" a="1"/>
  <c r="N32" i="71" s="1"/>
  <c r="M32" i="71" a="1"/>
  <c r="M32" i="71" s="1"/>
  <c r="L32" i="71" a="1"/>
  <c r="L32" i="71" s="1"/>
  <c r="K32" i="71"/>
  <c r="J32" i="71" a="1"/>
  <c r="J32" i="71" s="1"/>
  <c r="Q32" i="71" s="1"/>
  <c r="I32" i="71"/>
  <c r="P31" i="71"/>
  <c r="O31" i="71"/>
  <c r="O31" i="71" a="1"/>
  <c r="N31" i="71" a="1"/>
  <c r="N31" i="71" s="1"/>
  <c r="M31" i="71"/>
  <c r="M31" i="71" a="1"/>
  <c r="L31" i="71" a="1"/>
  <c r="L31" i="71" s="1"/>
  <c r="K31" i="71"/>
  <c r="J31" i="71"/>
  <c r="Q31" i="71" s="1"/>
  <c r="J31" i="71" a="1"/>
  <c r="I31" i="71"/>
  <c r="P30" i="71"/>
  <c r="O30" i="71" a="1"/>
  <c r="O30" i="71" s="1"/>
  <c r="N30" i="71" a="1"/>
  <c r="N30" i="71" s="1"/>
  <c r="M30" i="71" a="1"/>
  <c r="M30" i="71" s="1"/>
  <c r="L30" i="71" a="1"/>
  <c r="L30" i="71" s="1"/>
  <c r="K30" i="71"/>
  <c r="K33" i="71" s="1"/>
  <c r="J30" i="71"/>
  <c r="Q30" i="71" s="1"/>
  <c r="J30" i="71" a="1"/>
  <c r="I30" i="71"/>
  <c r="P29" i="71"/>
  <c r="O29" i="71" a="1"/>
  <c r="O29" i="71" s="1"/>
  <c r="N29" i="71"/>
  <c r="N29" i="71" a="1"/>
  <c r="M29" i="71" a="1"/>
  <c r="M29" i="71" s="1"/>
  <c r="L29" i="71" a="1"/>
  <c r="L29" i="71" s="1"/>
  <c r="K29" i="71"/>
  <c r="J29" i="71" a="1"/>
  <c r="J29" i="71" s="1"/>
  <c r="I29" i="71"/>
  <c r="H32" i="71"/>
  <c r="H31" i="71"/>
  <c r="H30" i="71"/>
  <c r="H29" i="71"/>
  <c r="P33" i="71"/>
  <c r="I33" i="71"/>
  <c r="J34" i="66"/>
  <c r="I34" i="66"/>
  <c r="K34" i="66"/>
  <c r="L34" i="66"/>
  <c r="M34" i="66"/>
  <c r="N34" i="66"/>
  <c r="O34" i="66"/>
  <c r="P34" i="66"/>
  <c r="D189" i="65"/>
  <c r="D188" i="65"/>
  <c r="D187" i="65"/>
  <c r="D184" i="65"/>
  <c r="D183" i="65"/>
  <c r="D180" i="65"/>
  <c r="D179" i="65"/>
  <c r="D178" i="65"/>
  <c r="D177" i="65"/>
  <c r="D176" i="65"/>
  <c r="D175" i="65"/>
  <c r="D174" i="65"/>
  <c r="D173" i="65"/>
  <c r="D172" i="65"/>
  <c r="D171" i="65"/>
  <c r="D168" i="65"/>
  <c r="D167" i="65"/>
  <c r="D166" i="65"/>
  <c r="D165" i="65"/>
  <c r="D164" i="65"/>
  <c r="D161" i="65"/>
  <c r="D160" i="65"/>
  <c r="D159" i="65"/>
  <c r="D158" i="65"/>
  <c r="D157" i="65"/>
  <c r="D156" i="65"/>
  <c r="D155" i="65"/>
  <c r="D154" i="65"/>
  <c r="D153" i="65"/>
  <c r="D152" i="65"/>
  <c r="D151" i="65"/>
  <c r="D150" i="65"/>
  <c r="D149" i="65"/>
  <c r="D148" i="65"/>
  <c r="D147" i="65"/>
  <c r="D146" i="65"/>
  <c r="D145" i="65"/>
  <c r="D144" i="65"/>
  <c r="D143" i="65"/>
  <c r="D142" i="65"/>
  <c r="D141" i="65"/>
  <c r="D140" i="65"/>
  <c r="D139" i="65"/>
  <c r="D135" i="65"/>
  <c r="D133" i="65"/>
  <c r="D132" i="65"/>
  <c r="D131" i="65"/>
  <c r="D129" i="65"/>
  <c r="D128" i="65"/>
  <c r="D126" i="65"/>
  <c r="D124" i="65"/>
  <c r="D122" i="65"/>
  <c r="D120" i="65"/>
  <c r="D119" i="65"/>
  <c r="D116" i="65"/>
  <c r="D115" i="65"/>
  <c r="D113" i="65"/>
  <c r="D111" i="65"/>
  <c r="D110" i="65"/>
  <c r="D108" i="65"/>
  <c r="D107" i="65"/>
  <c r="D105" i="65"/>
  <c r="D103" i="65"/>
  <c r="D100" i="65"/>
  <c r="D97" i="65"/>
  <c r="D95" i="65"/>
  <c r="D93" i="65"/>
  <c r="D91" i="65"/>
  <c r="D89" i="65"/>
  <c r="D87" i="65"/>
  <c r="D85" i="65"/>
  <c r="D84" i="65"/>
  <c r="D82" i="65"/>
  <c r="D80" i="65"/>
  <c r="D79" i="65"/>
  <c r="D77" i="65"/>
  <c r="D75" i="65"/>
  <c r="D74" i="65"/>
  <c r="D73" i="65"/>
  <c r="D72" i="65"/>
  <c r="D70" i="65"/>
  <c r="D69" i="65"/>
  <c r="D67" i="65"/>
  <c r="D66" i="65"/>
  <c r="D64" i="65"/>
  <c r="D62" i="65"/>
  <c r="D61" i="65"/>
  <c r="D59" i="65"/>
  <c r="D58" i="65"/>
  <c r="D56" i="65"/>
  <c r="D55" i="65"/>
  <c r="D53" i="65"/>
  <c r="D52" i="65"/>
  <c r="D49" i="65"/>
  <c r="D48" i="65"/>
  <c r="D47" i="65"/>
  <c r="D46" i="65"/>
  <c r="D44" i="65"/>
  <c r="D41" i="65"/>
  <c r="D40" i="65"/>
  <c r="D38" i="65"/>
  <c r="D36" i="65"/>
  <c r="D34" i="65"/>
  <c r="D33" i="65"/>
  <c r="D32" i="65"/>
  <c r="D31" i="65"/>
  <c r="D29" i="65"/>
  <c r="D28" i="65"/>
  <c r="D27" i="65"/>
  <c r="D26" i="65"/>
  <c r="D24" i="65"/>
  <c r="D23" i="65"/>
  <c r="D22" i="65"/>
  <c r="D21" i="65"/>
  <c r="D19" i="65"/>
  <c r="D18" i="65"/>
  <c r="D17" i="65"/>
  <c r="D16" i="65"/>
  <c r="D15" i="65"/>
  <c r="D14" i="65"/>
  <c r="D13" i="65"/>
  <c r="D12" i="65"/>
  <c r="D11" i="65"/>
  <c r="D10" i="65"/>
  <c r="D9" i="65"/>
  <c r="D8" i="65"/>
  <c r="D6" i="65"/>
  <c r="D5" i="65"/>
  <c r="D189" i="64"/>
  <c r="D188" i="64"/>
  <c r="D187" i="64"/>
  <c r="D184" i="64"/>
  <c r="D183" i="64"/>
  <c r="D180" i="64"/>
  <c r="D179" i="64"/>
  <c r="D178" i="64"/>
  <c r="D177" i="64"/>
  <c r="D176" i="64"/>
  <c r="D175" i="64"/>
  <c r="D174" i="64"/>
  <c r="D173" i="64"/>
  <c r="D172" i="64"/>
  <c r="D171" i="64"/>
  <c r="D168" i="64"/>
  <c r="D167" i="64"/>
  <c r="D166" i="64"/>
  <c r="D165" i="64"/>
  <c r="D164" i="64"/>
  <c r="D161" i="64"/>
  <c r="D160" i="64"/>
  <c r="D159" i="64"/>
  <c r="D158" i="64"/>
  <c r="D157" i="64"/>
  <c r="D156" i="64"/>
  <c r="D155" i="64"/>
  <c r="D154" i="64"/>
  <c r="D153" i="64"/>
  <c r="D152" i="64"/>
  <c r="D151" i="64"/>
  <c r="D150" i="64"/>
  <c r="D149" i="64"/>
  <c r="D148" i="64"/>
  <c r="D147" i="64"/>
  <c r="D146" i="64"/>
  <c r="D145" i="64"/>
  <c r="D144" i="64"/>
  <c r="D143" i="64"/>
  <c r="D142" i="64"/>
  <c r="D141" i="64"/>
  <c r="D140" i="64"/>
  <c r="D139" i="64"/>
  <c r="D135" i="64"/>
  <c r="D133" i="64"/>
  <c r="D132" i="64"/>
  <c r="D131" i="64"/>
  <c r="D129" i="64"/>
  <c r="D128" i="64"/>
  <c r="D126" i="64"/>
  <c r="D124" i="64"/>
  <c r="D122" i="64"/>
  <c r="D120" i="64"/>
  <c r="D119" i="64"/>
  <c r="D116" i="64"/>
  <c r="D115" i="64"/>
  <c r="D113" i="64"/>
  <c r="D111" i="64"/>
  <c r="D110" i="64"/>
  <c r="D108" i="64"/>
  <c r="D107" i="64"/>
  <c r="D105" i="64"/>
  <c r="D103" i="64"/>
  <c r="D100" i="64"/>
  <c r="D97" i="64"/>
  <c r="D95" i="64"/>
  <c r="D93" i="64"/>
  <c r="D91" i="64"/>
  <c r="D89" i="64"/>
  <c r="D87" i="64"/>
  <c r="D85" i="64"/>
  <c r="D84" i="64"/>
  <c r="D82" i="64"/>
  <c r="D80" i="64"/>
  <c r="D79" i="64"/>
  <c r="D77" i="64"/>
  <c r="D75" i="64"/>
  <c r="D74" i="64"/>
  <c r="D73" i="64"/>
  <c r="D72" i="64"/>
  <c r="D70" i="64"/>
  <c r="D69" i="64"/>
  <c r="D67" i="64"/>
  <c r="D66" i="64"/>
  <c r="D64" i="64"/>
  <c r="D62" i="64"/>
  <c r="D61" i="64"/>
  <c r="D59" i="64"/>
  <c r="D58" i="64"/>
  <c r="D56" i="64"/>
  <c r="D55" i="64"/>
  <c r="D53" i="64"/>
  <c r="D52" i="64"/>
  <c r="D49" i="64"/>
  <c r="D48" i="64"/>
  <c r="D47" i="64"/>
  <c r="D46" i="64"/>
  <c r="D44" i="64"/>
  <c r="D41" i="64"/>
  <c r="D40" i="64"/>
  <c r="D38" i="64"/>
  <c r="D36" i="64"/>
  <c r="D34" i="64"/>
  <c r="D33" i="64"/>
  <c r="D32" i="64"/>
  <c r="D31" i="64"/>
  <c r="D29" i="64"/>
  <c r="D28" i="64"/>
  <c r="D27" i="64"/>
  <c r="D26" i="64"/>
  <c r="D24" i="64"/>
  <c r="D23" i="64"/>
  <c r="D22" i="64"/>
  <c r="D21" i="64"/>
  <c r="D19" i="64"/>
  <c r="D18" i="64"/>
  <c r="D17" i="64"/>
  <c r="D16" i="64"/>
  <c r="D15" i="64"/>
  <c r="D14" i="64"/>
  <c r="D13" i="64"/>
  <c r="D12" i="64"/>
  <c r="D11" i="64"/>
  <c r="D10" i="64"/>
  <c r="D9" i="64"/>
  <c r="H29" i="70" s="1"/>
  <c r="D8" i="64"/>
  <c r="D6" i="64"/>
  <c r="D5" i="64"/>
  <c r="P32" i="66"/>
  <c r="O32" i="66" a="1"/>
  <c r="O32" i="66" s="1"/>
  <c r="N32" i="66" a="1"/>
  <c r="N32" i="66" s="1"/>
  <c r="M32" i="66" a="1"/>
  <c r="M32" i="66" s="1"/>
  <c r="L32" i="66" a="1"/>
  <c r="L32" i="66" s="1"/>
  <c r="K32" i="66"/>
  <c r="J32" i="66" a="1"/>
  <c r="J32" i="66" s="1"/>
  <c r="Q32" i="66" s="1"/>
  <c r="I32" i="66"/>
  <c r="P31" i="66"/>
  <c r="O31" i="66"/>
  <c r="O31" i="66" a="1"/>
  <c r="N31" i="66" a="1"/>
  <c r="N31" i="66" s="1"/>
  <c r="M31" i="66" a="1"/>
  <c r="M31" i="66" s="1"/>
  <c r="L31" i="66" a="1"/>
  <c r="L31" i="66" s="1"/>
  <c r="K31" i="66"/>
  <c r="J31" i="66" a="1"/>
  <c r="J31" i="66" s="1"/>
  <c r="I31" i="66"/>
  <c r="P30" i="66"/>
  <c r="O30" i="66" a="1"/>
  <c r="O30" i="66" s="1"/>
  <c r="N30" i="66" a="1"/>
  <c r="N30" i="66" s="1"/>
  <c r="M30" i="66" a="1"/>
  <c r="M30" i="66" s="1"/>
  <c r="L30" i="66" a="1"/>
  <c r="L30" i="66" s="1"/>
  <c r="K30" i="66"/>
  <c r="J30" i="66" a="1"/>
  <c r="J30" i="66" s="1"/>
  <c r="I30" i="66"/>
  <c r="P29" i="66"/>
  <c r="O29" i="66" a="1"/>
  <c r="O29" i="66" s="1"/>
  <c r="N29" i="66" a="1"/>
  <c r="N29" i="66" s="1"/>
  <c r="M29" i="66" a="1"/>
  <c r="M29" i="66" s="1"/>
  <c r="L29" i="66" a="1"/>
  <c r="L29" i="66" s="1"/>
  <c r="K29" i="66"/>
  <c r="K33" i="66" s="1"/>
  <c r="J29" i="66"/>
  <c r="J29" i="66" a="1"/>
  <c r="I29" i="66"/>
  <c r="P33" i="66"/>
  <c r="I33" i="66"/>
  <c r="P34" i="70"/>
  <c r="O34" i="70"/>
  <c r="N34" i="70"/>
  <c r="M34" i="70"/>
  <c r="L34" i="70"/>
  <c r="K34" i="70"/>
  <c r="J34" i="70"/>
  <c r="I34" i="70"/>
  <c r="P33" i="70"/>
  <c r="O33" i="70"/>
  <c r="N33" i="70"/>
  <c r="M33" i="70"/>
  <c r="L33" i="70"/>
  <c r="K33" i="70"/>
  <c r="J33" i="70"/>
  <c r="I33" i="70"/>
  <c r="P32" i="70"/>
  <c r="O32" i="70" a="1"/>
  <c r="O32" i="70" s="1"/>
  <c r="N32" i="70" a="1"/>
  <c r="N32" i="70" s="1"/>
  <c r="M32" i="70" a="1"/>
  <c r="M32" i="70" s="1"/>
  <c r="L32" i="70" a="1"/>
  <c r="L32" i="70" s="1"/>
  <c r="K32" i="70"/>
  <c r="J32" i="70" a="1"/>
  <c r="J32" i="70" s="1"/>
  <c r="I32" i="70"/>
  <c r="P31" i="70"/>
  <c r="O31" i="70" a="1"/>
  <c r="O31" i="70" s="1"/>
  <c r="N31" i="70" a="1"/>
  <c r="N31" i="70" s="1"/>
  <c r="M31" i="70" a="1"/>
  <c r="M31" i="70" s="1"/>
  <c r="L31" i="70" a="1"/>
  <c r="L31" i="70" s="1"/>
  <c r="K31" i="70"/>
  <c r="J31" i="70" a="1"/>
  <c r="J31" i="70" s="1"/>
  <c r="I31" i="70"/>
  <c r="P30" i="70"/>
  <c r="O30" i="70" a="1"/>
  <c r="O30" i="70" s="1"/>
  <c r="N30" i="70" a="1"/>
  <c r="N30" i="70" s="1"/>
  <c r="M30" i="70" a="1"/>
  <c r="M30" i="70" s="1"/>
  <c r="L30" i="70" a="1"/>
  <c r="L30" i="70" s="1"/>
  <c r="K30" i="70"/>
  <c r="J30" i="70" a="1"/>
  <c r="J30" i="70" s="1"/>
  <c r="I30" i="70"/>
  <c r="P29" i="70"/>
  <c r="O29" i="70" a="1"/>
  <c r="O29" i="70" s="1"/>
  <c r="N29" i="70" a="1"/>
  <c r="N29" i="70" s="1"/>
  <c r="M29" i="70" a="1"/>
  <c r="M29" i="70" s="1"/>
  <c r="L29" i="70" a="1"/>
  <c r="L29" i="70" s="1"/>
  <c r="K29" i="70"/>
  <c r="J29" i="70" a="1"/>
  <c r="J29" i="70" s="1"/>
  <c r="I29" i="70"/>
  <c r="T34" i="2"/>
  <c r="S34" i="2" a="1"/>
  <c r="S34" i="2" s="1"/>
  <c r="R34" i="2"/>
  <c r="Q34" i="2" a="1"/>
  <c r="Q34" i="2" s="1"/>
  <c r="P34" i="2"/>
  <c r="O34" i="2" a="1"/>
  <c r="O34" i="2" s="1"/>
  <c r="N34" i="2" a="1"/>
  <c r="N34" i="2" s="1"/>
  <c r="M34" i="2"/>
  <c r="L34" i="2" a="1"/>
  <c r="L34" i="2" s="1"/>
  <c r="S32" i="2"/>
  <c r="Q32" i="2"/>
  <c r="O32" i="2"/>
  <c r="L32" i="2"/>
  <c r="L30" i="2"/>
  <c r="T28" i="2"/>
  <c r="S28" i="2" a="1"/>
  <c r="S28" i="2" s="1"/>
  <c r="R28" i="2"/>
  <c r="Q28" i="2" a="1"/>
  <c r="Q28" i="2" s="1"/>
  <c r="P28" i="2"/>
  <c r="O28" i="2" a="1"/>
  <c r="O28" i="2" s="1"/>
  <c r="N28" i="2"/>
  <c r="N28" i="2" a="1"/>
  <c r="M28" i="2"/>
  <c r="L28" i="2" a="1"/>
  <c r="L28" i="2" s="1"/>
  <c r="L29" i="2" s="1"/>
  <c r="S26" i="2"/>
  <c r="Q26" i="2"/>
  <c r="O26" i="2"/>
  <c r="L26" i="2"/>
  <c r="L24" i="2"/>
  <c r="T22" i="2"/>
  <c r="S22" i="2" a="1"/>
  <c r="S22" i="2" s="1"/>
  <c r="R22" i="2"/>
  <c r="Q22" i="2" a="1"/>
  <c r="Q22" i="2" s="1"/>
  <c r="P22" i="2"/>
  <c r="O22" i="2" a="1"/>
  <c r="O22" i="2" s="1"/>
  <c r="N22" i="2" a="1"/>
  <c r="N22" i="2" s="1"/>
  <c r="M22" i="2"/>
  <c r="L22" i="2" a="1"/>
  <c r="L22" i="2" s="1"/>
  <c r="S20" i="2"/>
  <c r="Q20" i="2"/>
  <c r="O20" i="2"/>
  <c r="L20" i="2"/>
  <c r="L18" i="2"/>
  <c r="T16" i="2"/>
  <c r="S16" i="2" a="1"/>
  <c r="S16" i="2" s="1"/>
  <c r="R16" i="2"/>
  <c r="Q16" i="2" a="1"/>
  <c r="Q16" i="2" s="1"/>
  <c r="P16" i="2"/>
  <c r="P10" i="2" s="1"/>
  <c r="O16" i="2" a="1"/>
  <c r="O16" i="2" s="1"/>
  <c r="N16" i="2" a="1"/>
  <c r="N16" i="2" s="1"/>
  <c r="M16" i="2"/>
  <c r="L16" i="2" a="1"/>
  <c r="L16" i="2" s="1"/>
  <c r="L17" i="2" s="1"/>
  <c r="S14" i="2"/>
  <c r="Q14" i="2"/>
  <c r="O14" i="2"/>
  <c r="L14" i="2"/>
  <c r="L12" i="2"/>
  <c r="S8" i="2"/>
  <c r="Q8" i="2"/>
  <c r="O8" i="2"/>
  <c r="L8" i="2"/>
  <c r="L6" i="2"/>
  <c r="L4" i="2"/>
  <c r="T10" i="2"/>
  <c r="R10" i="2"/>
  <c r="M10" i="2"/>
  <c r="B35" i="2"/>
  <c r="B29" i="2"/>
  <c r="B23" i="2"/>
  <c r="J16" i="2"/>
  <c r="I16" i="2" a="1"/>
  <c r="I16" i="2" s="1"/>
  <c r="H16" i="2"/>
  <c r="G16" i="2" a="1"/>
  <c r="G16" i="2" s="1"/>
  <c r="F16" i="2"/>
  <c r="E16" i="2" a="1"/>
  <c r="E16" i="2" s="1"/>
  <c r="D16" i="2" a="1"/>
  <c r="D16" i="2"/>
  <c r="C16" i="2"/>
  <c r="B16" i="2" a="1"/>
  <c r="B16" i="2" s="1"/>
  <c r="B17" i="2" s="1"/>
  <c r="I14" i="2"/>
  <c r="G14" i="2"/>
  <c r="E14" i="2"/>
  <c r="B14" i="2"/>
  <c r="B12" i="2"/>
  <c r="H33" i="76" l="1"/>
  <c r="P33" i="76"/>
  <c r="M33" i="76"/>
  <c r="N33" i="76"/>
  <c r="O33" i="76"/>
  <c r="Q29" i="76"/>
  <c r="J33" i="76"/>
  <c r="Q33" i="76" s="1"/>
  <c r="Q32" i="76"/>
  <c r="H33" i="75"/>
  <c r="H33" i="74"/>
  <c r="O33" i="75"/>
  <c r="Q33" i="75"/>
  <c r="N33" i="75"/>
  <c r="L33" i="75"/>
  <c r="M33" i="75"/>
  <c r="Q29" i="75"/>
  <c r="P33" i="74"/>
  <c r="L33" i="74"/>
  <c r="M33" i="74"/>
  <c r="N33" i="74"/>
  <c r="O33" i="74"/>
  <c r="Q29" i="74"/>
  <c r="J33" i="74"/>
  <c r="L33" i="73"/>
  <c r="N33" i="73"/>
  <c r="M33" i="73"/>
  <c r="H33" i="73"/>
  <c r="O33" i="73"/>
  <c r="Q31" i="73"/>
  <c r="J33" i="73"/>
  <c r="Q33" i="73" s="1"/>
  <c r="Q32" i="73"/>
  <c r="Q30" i="73"/>
  <c r="Q29" i="73"/>
  <c r="H33" i="72"/>
  <c r="O33" i="72"/>
  <c r="J33" i="72"/>
  <c r="Q33" i="72" s="1"/>
  <c r="Q29" i="72"/>
  <c r="M33" i="72"/>
  <c r="Q32" i="72"/>
  <c r="N33" i="72"/>
  <c r="H33" i="71"/>
  <c r="M33" i="71"/>
  <c r="N33" i="71"/>
  <c r="O33" i="71"/>
  <c r="J33" i="71"/>
  <c r="L33" i="71"/>
  <c r="Q33" i="71"/>
  <c r="Q29" i="71"/>
  <c r="H32" i="66"/>
  <c r="H30" i="66"/>
  <c r="H30" i="70"/>
  <c r="H32" i="70"/>
  <c r="H31" i="66"/>
  <c r="H29" i="66"/>
  <c r="H31" i="70"/>
  <c r="J33" i="66"/>
  <c r="Q33" i="66" s="1"/>
  <c r="L33" i="66"/>
  <c r="Q31" i="66"/>
  <c r="M33" i="66"/>
  <c r="Q30" i="66"/>
  <c r="N33" i="66"/>
  <c r="O33" i="66"/>
  <c r="Q29" i="66"/>
  <c r="Q30" i="70"/>
  <c r="Q31" i="70"/>
  <c r="Q29" i="70"/>
  <c r="Q32" i="70"/>
  <c r="S10" i="2"/>
  <c r="L35" i="2"/>
  <c r="N10" i="2"/>
  <c r="L23" i="2"/>
  <c r="L10" i="2"/>
  <c r="O10" i="2"/>
  <c r="Q10" i="2"/>
  <c r="J34" i="2"/>
  <c r="I34" i="2" a="1"/>
  <c r="I34" i="2" s="1"/>
  <c r="H34" i="2"/>
  <c r="G34" i="2" a="1"/>
  <c r="G34" i="2" s="1"/>
  <c r="F34" i="2"/>
  <c r="E34" i="2" a="1"/>
  <c r="E34" i="2" s="1"/>
  <c r="D34" i="2" a="1"/>
  <c r="D34" i="2" s="1"/>
  <c r="C34" i="2"/>
  <c r="B34" i="2" a="1"/>
  <c r="B34" i="2" s="1"/>
  <c r="I32" i="2"/>
  <c r="G32" i="2"/>
  <c r="E32" i="2"/>
  <c r="B32" i="2"/>
  <c r="B30" i="2"/>
  <c r="B24" i="2"/>
  <c r="I26" i="2"/>
  <c r="G26" i="2"/>
  <c r="E26" i="2"/>
  <c r="B26" i="2"/>
  <c r="J28" i="2"/>
  <c r="I28" i="2" a="1"/>
  <c r="I28" i="2" s="1"/>
  <c r="H28" i="2"/>
  <c r="G28" i="2" a="1"/>
  <c r="G28" i="2" s="1"/>
  <c r="F28" i="2"/>
  <c r="E28" i="2" a="1"/>
  <c r="E28" i="2" s="1"/>
  <c r="D28" i="2" a="1"/>
  <c r="D28" i="2" s="1"/>
  <c r="C28" i="2"/>
  <c r="B28" i="2" a="1"/>
  <c r="B28" i="2" s="1"/>
  <c r="J22" i="2"/>
  <c r="I22" i="2" a="1"/>
  <c r="I22" i="2" s="1"/>
  <c r="H22" i="2"/>
  <c r="G22" i="2" a="1"/>
  <c r="G22" i="2" s="1"/>
  <c r="F22" i="2"/>
  <c r="E22" i="2" a="1"/>
  <c r="E22" i="2" s="1"/>
  <c r="D22" i="2" a="1"/>
  <c r="D22" i="2" s="1"/>
  <c r="C22" i="2"/>
  <c r="B22" i="2" a="1"/>
  <c r="B22" i="2" s="1"/>
  <c r="I20" i="2"/>
  <c r="G20" i="2"/>
  <c r="E20" i="2"/>
  <c r="B20" i="2"/>
  <c r="B18" i="2"/>
  <c r="Q33" i="74" l="1"/>
  <c r="H33" i="66"/>
  <c r="H33" i="70"/>
  <c r="I1" i="76"/>
  <c r="I1" i="75"/>
  <c r="I1" i="74"/>
  <c r="I1" i="73"/>
  <c r="I1" i="72"/>
  <c r="I1" i="71"/>
  <c r="I1" i="66"/>
  <c r="I1" i="70"/>
  <c r="I8" i="2"/>
  <c r="G8" i="2"/>
  <c r="E8" i="2"/>
  <c r="B8" i="2"/>
  <c r="B6" i="2"/>
  <c r="B4" i="2"/>
  <c r="J10" i="2"/>
  <c r="H10" i="2"/>
  <c r="F10" i="2"/>
  <c r="I10" i="2"/>
  <c r="G10" i="2"/>
  <c r="E10" i="2"/>
  <c r="B10" i="2"/>
  <c r="C10" i="2" l="1"/>
  <c r="D10" i="2"/>
  <c r="P200" i="76"/>
  <c r="O200" i="76" a="1"/>
  <c r="O200" i="76" s="1"/>
  <c r="N200" i="76" a="1"/>
  <c r="N200" i="76" s="1"/>
  <c r="M200" i="76" a="1"/>
  <c r="M200" i="76" s="1"/>
  <c r="L200" i="76" a="1"/>
  <c r="L200" i="76" s="1"/>
  <c r="K200" i="76"/>
  <c r="J200" i="76" a="1"/>
  <c r="J200" i="76" s="1"/>
  <c r="I200" i="76"/>
  <c r="P199" i="76"/>
  <c r="O199" i="76" a="1"/>
  <c r="O199" i="76" s="1"/>
  <c r="N199" i="76" a="1"/>
  <c r="N199" i="76" s="1"/>
  <c r="M199" i="76" a="1"/>
  <c r="M199" i="76" s="1"/>
  <c r="L199" i="76" a="1"/>
  <c r="L199" i="76" s="1"/>
  <c r="K199" i="76"/>
  <c r="J199" i="76" a="1"/>
  <c r="J199" i="76" s="1"/>
  <c r="I199" i="76"/>
  <c r="P196" i="76"/>
  <c r="O196" i="76" a="1"/>
  <c r="O196" i="76" s="1"/>
  <c r="N196" i="76" a="1"/>
  <c r="N196" i="76" s="1"/>
  <c r="N197" i="76" s="1"/>
  <c r="M196" i="76" a="1"/>
  <c r="M196" i="76" s="1"/>
  <c r="L196" i="76" a="1"/>
  <c r="L196" i="76" s="1"/>
  <c r="K196" i="76"/>
  <c r="J196" i="76" a="1"/>
  <c r="J196" i="76" s="1"/>
  <c r="I196" i="76"/>
  <c r="I197" i="76" s="1"/>
  <c r="P195" i="76"/>
  <c r="O195" i="76" a="1"/>
  <c r="O195" i="76" s="1"/>
  <c r="N195" i="76" a="1"/>
  <c r="N195" i="76" s="1"/>
  <c r="M195" i="76" a="1"/>
  <c r="M195" i="76" s="1"/>
  <c r="L195" i="76" a="1"/>
  <c r="L195" i="76" s="1"/>
  <c r="K195" i="76"/>
  <c r="K197" i="76" s="1"/>
  <c r="J195" i="76" a="1"/>
  <c r="J195" i="76" s="1"/>
  <c r="J197" i="76" s="1"/>
  <c r="I195" i="76"/>
  <c r="P193" i="76"/>
  <c r="O193" i="76" a="1"/>
  <c r="O193" i="76" s="1"/>
  <c r="N193" i="76" a="1"/>
  <c r="N193" i="76" s="1"/>
  <c r="M193" i="76" a="1"/>
  <c r="M193" i="76" s="1"/>
  <c r="L193" i="76" a="1"/>
  <c r="L193" i="76" s="1"/>
  <c r="K193" i="76"/>
  <c r="J193" i="76" a="1"/>
  <c r="J193" i="76" s="1"/>
  <c r="I193" i="76"/>
  <c r="P192" i="76"/>
  <c r="O192" i="76" a="1"/>
  <c r="O192" i="76" s="1"/>
  <c r="N192" i="76"/>
  <c r="N192" i="76" a="1"/>
  <c r="M192" i="76" a="1"/>
  <c r="M192" i="76" s="1"/>
  <c r="L192" i="76" a="1"/>
  <c r="L192" i="76" s="1"/>
  <c r="K192" i="76"/>
  <c r="J192" i="76" a="1"/>
  <c r="J192" i="76" s="1"/>
  <c r="I192" i="76"/>
  <c r="P191" i="76"/>
  <c r="O191" i="76" a="1"/>
  <c r="O191" i="76" s="1"/>
  <c r="N191" i="76" a="1"/>
  <c r="N191" i="76" s="1"/>
  <c r="M191" i="76"/>
  <c r="M191" i="76" a="1"/>
  <c r="L191" i="76" a="1"/>
  <c r="L191" i="76" s="1"/>
  <c r="K191" i="76"/>
  <c r="J191" i="76" a="1"/>
  <c r="J191" i="76" s="1"/>
  <c r="I191" i="76"/>
  <c r="P190" i="76"/>
  <c r="O190" i="76" a="1"/>
  <c r="O190" i="76" s="1"/>
  <c r="N190" i="76"/>
  <c r="N190" i="76" a="1"/>
  <c r="M190" i="76" a="1"/>
  <c r="M190" i="76" s="1"/>
  <c r="L190" i="76" a="1"/>
  <c r="L190" i="76" s="1"/>
  <c r="K190" i="76"/>
  <c r="J190" i="76" a="1"/>
  <c r="J190" i="76" s="1"/>
  <c r="I190" i="76"/>
  <c r="P189" i="76"/>
  <c r="O189" i="76" a="1"/>
  <c r="O189" i="76" s="1"/>
  <c r="N189" i="76" a="1"/>
  <c r="N189" i="76" s="1"/>
  <c r="M189" i="76" a="1"/>
  <c r="M189" i="76" s="1"/>
  <c r="L189" i="76"/>
  <c r="L189" i="76" a="1"/>
  <c r="K189" i="76"/>
  <c r="J189" i="76" a="1"/>
  <c r="J189" i="76" s="1"/>
  <c r="I189" i="76"/>
  <c r="P188" i="76"/>
  <c r="O188" i="76" a="1"/>
  <c r="O188" i="76" s="1"/>
  <c r="N188" i="76" a="1"/>
  <c r="N188" i="76" s="1"/>
  <c r="M188" i="76" a="1"/>
  <c r="M188" i="76" s="1"/>
  <c r="L188" i="76" a="1"/>
  <c r="L188" i="76" s="1"/>
  <c r="K188" i="76"/>
  <c r="J188" i="76" a="1"/>
  <c r="J188" i="76" s="1"/>
  <c r="I188" i="76"/>
  <c r="P187" i="76"/>
  <c r="O187" i="76" a="1"/>
  <c r="O187" i="76" s="1"/>
  <c r="N187" i="76" a="1"/>
  <c r="N187" i="76" s="1"/>
  <c r="M187" i="76" a="1"/>
  <c r="M187" i="76" s="1"/>
  <c r="L187" i="76" a="1"/>
  <c r="L187" i="76" s="1"/>
  <c r="K187" i="76"/>
  <c r="J187" i="76" a="1"/>
  <c r="J187" i="76" s="1"/>
  <c r="Q187" i="76" s="1"/>
  <c r="I187" i="76"/>
  <c r="P186" i="76"/>
  <c r="O186" i="76" a="1"/>
  <c r="O186" i="76" s="1"/>
  <c r="N186" i="76" a="1"/>
  <c r="N186" i="76" s="1"/>
  <c r="M186" i="76" a="1"/>
  <c r="M186" i="76" s="1"/>
  <c r="L186" i="76" a="1"/>
  <c r="L186" i="76" s="1"/>
  <c r="K186" i="76"/>
  <c r="J186" i="76"/>
  <c r="J186" i="76" a="1"/>
  <c r="I186" i="76"/>
  <c r="P185" i="76"/>
  <c r="O185" i="76" a="1"/>
  <c r="O185" i="76" s="1"/>
  <c r="N185" i="76" a="1"/>
  <c r="N185" i="76" s="1"/>
  <c r="M185" i="76" a="1"/>
  <c r="M185" i="76" s="1"/>
  <c r="L185" i="76" a="1"/>
  <c r="L185" i="76" s="1"/>
  <c r="K185" i="76"/>
  <c r="J185" i="76" a="1"/>
  <c r="J185" i="76" s="1"/>
  <c r="I185" i="76"/>
  <c r="P184" i="76"/>
  <c r="O184" i="76" a="1"/>
  <c r="O184" i="76" s="1"/>
  <c r="N184" i="76" a="1"/>
  <c r="N184" i="76" s="1"/>
  <c r="M184" i="76" a="1"/>
  <c r="M184" i="76" s="1"/>
  <c r="L184" i="76" a="1"/>
  <c r="L184" i="76" s="1"/>
  <c r="K184" i="76"/>
  <c r="J184" i="76" a="1"/>
  <c r="J184" i="76" s="1"/>
  <c r="Q184" i="76" s="1"/>
  <c r="I184" i="76"/>
  <c r="P183" i="76"/>
  <c r="O183" i="76" a="1"/>
  <c r="O183" i="76" s="1"/>
  <c r="N183" i="76" a="1"/>
  <c r="N183" i="76" s="1"/>
  <c r="M183" i="76" a="1"/>
  <c r="M183" i="76" s="1"/>
  <c r="L183" i="76" a="1"/>
  <c r="L183" i="76" s="1"/>
  <c r="K183" i="76"/>
  <c r="J183" i="76" a="1"/>
  <c r="J183" i="76" s="1"/>
  <c r="I183" i="76"/>
  <c r="P182" i="76"/>
  <c r="O182" i="76" a="1"/>
  <c r="O182" i="76" s="1"/>
  <c r="N182" i="76" a="1"/>
  <c r="N182" i="76" s="1"/>
  <c r="M182" i="76" a="1"/>
  <c r="M182" i="76" s="1"/>
  <c r="L182" i="76" a="1"/>
  <c r="L182" i="76" s="1"/>
  <c r="K182" i="76"/>
  <c r="J182" i="76" a="1"/>
  <c r="J182" i="76" s="1"/>
  <c r="I182" i="76"/>
  <c r="P181" i="76"/>
  <c r="O181" i="76" a="1"/>
  <c r="O181" i="76" s="1"/>
  <c r="N181" i="76" a="1"/>
  <c r="N181" i="76" s="1"/>
  <c r="M181" i="76" a="1"/>
  <c r="M181" i="76" s="1"/>
  <c r="L181" i="76" a="1"/>
  <c r="L181" i="76" s="1"/>
  <c r="K181" i="76"/>
  <c r="J181" i="76" a="1"/>
  <c r="J181" i="76" s="1"/>
  <c r="I181" i="76"/>
  <c r="P180" i="76"/>
  <c r="O180" i="76" a="1"/>
  <c r="O180" i="76" s="1"/>
  <c r="N180" i="76" a="1"/>
  <c r="N180" i="76" s="1"/>
  <c r="M180" i="76" a="1"/>
  <c r="M180" i="76" s="1"/>
  <c r="L180" i="76"/>
  <c r="L180" i="76" a="1"/>
  <c r="K180" i="76"/>
  <c r="J180" i="76" a="1"/>
  <c r="J180" i="76" s="1"/>
  <c r="I180" i="76"/>
  <c r="P179" i="76"/>
  <c r="O179" i="76" a="1"/>
  <c r="O179" i="76" s="1"/>
  <c r="N179" i="76" a="1"/>
  <c r="N179" i="76" s="1"/>
  <c r="M179" i="76" a="1"/>
  <c r="M179" i="76" s="1"/>
  <c r="L179" i="76"/>
  <c r="L179" i="76" a="1"/>
  <c r="K179" i="76"/>
  <c r="J179" i="76" a="1"/>
  <c r="J179" i="76" s="1"/>
  <c r="I179" i="76"/>
  <c r="P178" i="76"/>
  <c r="O178" i="76" a="1"/>
  <c r="O178" i="76" s="1"/>
  <c r="N178" i="76" a="1"/>
  <c r="N178" i="76" s="1"/>
  <c r="M178" i="76" a="1"/>
  <c r="M178" i="76" s="1"/>
  <c r="L178" i="76" a="1"/>
  <c r="L178" i="76" s="1"/>
  <c r="K178" i="76"/>
  <c r="J178" i="76" a="1"/>
  <c r="J178" i="76" s="1"/>
  <c r="Q178" i="76" s="1"/>
  <c r="I178" i="76"/>
  <c r="P177" i="76"/>
  <c r="O177" i="76" a="1"/>
  <c r="O177" i="76" s="1"/>
  <c r="N177" i="76" a="1"/>
  <c r="N177" i="76" s="1"/>
  <c r="M177" i="76" a="1"/>
  <c r="M177" i="76" s="1"/>
  <c r="L177" i="76" a="1"/>
  <c r="L177" i="76" s="1"/>
  <c r="K177" i="76"/>
  <c r="J177" i="76" a="1"/>
  <c r="J177" i="76" s="1"/>
  <c r="I177" i="76"/>
  <c r="P176" i="76"/>
  <c r="O176" i="76" a="1"/>
  <c r="O176" i="76" s="1"/>
  <c r="N176" i="76" a="1"/>
  <c r="N176" i="76" s="1"/>
  <c r="M176" i="76" a="1"/>
  <c r="M176" i="76" s="1"/>
  <c r="L176" i="76" a="1"/>
  <c r="L176" i="76" s="1"/>
  <c r="K176" i="76"/>
  <c r="J176" i="76" a="1"/>
  <c r="J176" i="76" s="1"/>
  <c r="Q176" i="76" s="1"/>
  <c r="I176" i="76"/>
  <c r="P175" i="76"/>
  <c r="O175" i="76"/>
  <c r="O175" i="76" a="1"/>
  <c r="N175" i="76"/>
  <c r="N175" i="76" a="1"/>
  <c r="M175" i="76"/>
  <c r="M175" i="76" a="1"/>
  <c r="L175" i="76"/>
  <c r="L175" i="76" a="1"/>
  <c r="K175" i="76"/>
  <c r="J175" i="76" a="1"/>
  <c r="J175" i="76" s="1"/>
  <c r="I175" i="76"/>
  <c r="P174" i="76"/>
  <c r="O174" i="76"/>
  <c r="O174" i="76" a="1"/>
  <c r="N174" i="76" a="1"/>
  <c r="N174" i="76" s="1"/>
  <c r="M174" i="76" a="1"/>
  <c r="M174" i="76" s="1"/>
  <c r="L174" i="76" a="1"/>
  <c r="L174" i="76" s="1"/>
  <c r="K174" i="76"/>
  <c r="J174" i="76" a="1"/>
  <c r="J174" i="76" s="1"/>
  <c r="I174" i="76"/>
  <c r="P173" i="76"/>
  <c r="O173" i="76" a="1"/>
  <c r="O173" i="76" s="1"/>
  <c r="N173" i="76" a="1"/>
  <c r="N173" i="76" s="1"/>
  <c r="M173" i="76" a="1"/>
  <c r="M173" i="76" s="1"/>
  <c r="L173" i="76" a="1"/>
  <c r="L173" i="76" s="1"/>
  <c r="K173" i="76"/>
  <c r="J173" i="76" a="1"/>
  <c r="J173" i="76" s="1"/>
  <c r="I173" i="76"/>
  <c r="P172" i="76"/>
  <c r="O172" i="76" a="1"/>
  <c r="O172" i="76" s="1"/>
  <c r="N172" i="76" a="1"/>
  <c r="N172" i="76" s="1"/>
  <c r="M172" i="76" a="1"/>
  <c r="M172" i="76" s="1"/>
  <c r="L172" i="76" a="1"/>
  <c r="L172" i="76" s="1"/>
  <c r="K172" i="76"/>
  <c r="J172" i="76"/>
  <c r="J172" i="76" a="1"/>
  <c r="I172" i="76"/>
  <c r="P171" i="76"/>
  <c r="O171" i="76" a="1"/>
  <c r="O171" i="76" s="1"/>
  <c r="N171" i="76"/>
  <c r="N171" i="76" a="1"/>
  <c r="M171" i="76"/>
  <c r="M171" i="76" a="1"/>
  <c r="L171" i="76" a="1"/>
  <c r="L171" i="76" s="1"/>
  <c r="K171" i="76"/>
  <c r="J171" i="76"/>
  <c r="J171" i="76" a="1"/>
  <c r="I171" i="76"/>
  <c r="P170" i="76"/>
  <c r="O170" i="76" a="1"/>
  <c r="O170" i="76" s="1"/>
  <c r="N170" i="76" a="1"/>
  <c r="N170" i="76" s="1"/>
  <c r="M170" i="76" a="1"/>
  <c r="M170" i="76" s="1"/>
  <c r="L170" i="76" a="1"/>
  <c r="L170" i="76" s="1"/>
  <c r="K170" i="76"/>
  <c r="J170" i="76" a="1"/>
  <c r="J170" i="76" s="1"/>
  <c r="I170" i="76"/>
  <c r="P169" i="76"/>
  <c r="O169" i="76" a="1"/>
  <c r="O169" i="76" s="1"/>
  <c r="N169" i="76" a="1"/>
  <c r="N169" i="76" s="1"/>
  <c r="M169" i="76"/>
  <c r="M169" i="76" a="1"/>
  <c r="L169" i="76" a="1"/>
  <c r="L169" i="76" s="1"/>
  <c r="K169" i="76"/>
  <c r="J169" i="76" a="1"/>
  <c r="J169" i="76" s="1"/>
  <c r="I169" i="76"/>
  <c r="P168" i="76"/>
  <c r="O168" i="76" a="1"/>
  <c r="O168" i="76" s="1"/>
  <c r="N168" i="76" a="1"/>
  <c r="N168" i="76" s="1"/>
  <c r="M168" i="76" a="1"/>
  <c r="M168" i="76" s="1"/>
  <c r="L168" i="76" a="1"/>
  <c r="L168" i="76" s="1"/>
  <c r="K168" i="76"/>
  <c r="J168" i="76" a="1"/>
  <c r="J168" i="76" s="1"/>
  <c r="Q168" i="76" s="1"/>
  <c r="I168" i="76"/>
  <c r="P167" i="76"/>
  <c r="O167" i="76" a="1"/>
  <c r="O167" i="76" s="1"/>
  <c r="N167" i="76" a="1"/>
  <c r="N167" i="76" s="1"/>
  <c r="M167" i="76" a="1"/>
  <c r="M167" i="76" s="1"/>
  <c r="L167" i="76" a="1"/>
  <c r="L167" i="76" s="1"/>
  <c r="K167" i="76"/>
  <c r="J167" i="76" a="1"/>
  <c r="J167" i="76" s="1"/>
  <c r="I167" i="76"/>
  <c r="P166" i="76"/>
  <c r="O166" i="76"/>
  <c r="O166" i="76" a="1"/>
  <c r="N166" i="76" a="1"/>
  <c r="N166" i="76" s="1"/>
  <c r="M166" i="76" a="1"/>
  <c r="M166" i="76" s="1"/>
  <c r="L166" i="76" a="1"/>
  <c r="L166" i="76" s="1"/>
  <c r="K166" i="76"/>
  <c r="J166" i="76" a="1"/>
  <c r="J166" i="76" s="1"/>
  <c r="Q166" i="76" s="1"/>
  <c r="I166" i="76"/>
  <c r="P165" i="76"/>
  <c r="O165" i="76" a="1"/>
  <c r="O165" i="76" s="1"/>
  <c r="N165" i="76" a="1"/>
  <c r="N165" i="76" s="1"/>
  <c r="M165" i="76" a="1"/>
  <c r="M165" i="76" s="1"/>
  <c r="L165" i="76" a="1"/>
  <c r="L165" i="76" s="1"/>
  <c r="K165" i="76"/>
  <c r="J165" i="76" a="1"/>
  <c r="J165" i="76" s="1"/>
  <c r="I165" i="76"/>
  <c r="P164" i="76"/>
  <c r="O164" i="76" a="1"/>
  <c r="O164" i="76" s="1"/>
  <c r="N164" i="76" a="1"/>
  <c r="N164" i="76" s="1"/>
  <c r="M164" i="76" a="1"/>
  <c r="M164" i="76" s="1"/>
  <c r="L164" i="76" a="1"/>
  <c r="L164" i="76" s="1"/>
  <c r="K164" i="76"/>
  <c r="J164" i="76" a="1"/>
  <c r="J164" i="76" s="1"/>
  <c r="I164" i="76"/>
  <c r="P163" i="76"/>
  <c r="O163" i="76" a="1"/>
  <c r="O163" i="76" s="1"/>
  <c r="N163" i="76"/>
  <c r="N163" i="76" a="1"/>
  <c r="M163" i="76" a="1"/>
  <c r="M163" i="76" s="1"/>
  <c r="L163" i="76" a="1"/>
  <c r="L163" i="76" s="1"/>
  <c r="K163" i="76"/>
  <c r="J163" i="76" a="1"/>
  <c r="J163" i="76" s="1"/>
  <c r="I163" i="76"/>
  <c r="P162" i="76"/>
  <c r="Q162" i="76" s="1"/>
  <c r="O162" i="76" a="1"/>
  <c r="O162" i="76" s="1"/>
  <c r="N162" i="76" a="1"/>
  <c r="N162" i="76" s="1"/>
  <c r="M162" i="76" a="1"/>
  <c r="M162" i="76" s="1"/>
  <c r="L162" i="76" a="1"/>
  <c r="L162" i="76" s="1"/>
  <c r="K162" i="76"/>
  <c r="J162" i="76"/>
  <c r="J162" i="76" a="1"/>
  <c r="I162" i="76"/>
  <c r="P161" i="76"/>
  <c r="O161" i="76" a="1"/>
  <c r="O161" i="76" s="1"/>
  <c r="N161" i="76" a="1"/>
  <c r="N161" i="76" s="1"/>
  <c r="M161" i="76" a="1"/>
  <c r="M161" i="76" s="1"/>
  <c r="L161" i="76"/>
  <c r="L161" i="76" a="1"/>
  <c r="K161" i="76"/>
  <c r="J161" i="76" a="1"/>
  <c r="J161" i="76" s="1"/>
  <c r="I161" i="76"/>
  <c r="P160" i="76"/>
  <c r="O160" i="76" a="1"/>
  <c r="O160" i="76" s="1"/>
  <c r="N160" i="76" a="1"/>
  <c r="N160" i="76" s="1"/>
  <c r="M160" i="76" a="1"/>
  <c r="M160" i="76" s="1"/>
  <c r="L160" i="76" a="1"/>
  <c r="L160" i="76" s="1"/>
  <c r="K160" i="76"/>
  <c r="J160" i="76" a="1"/>
  <c r="J160" i="76" s="1"/>
  <c r="Q160" i="76" s="1"/>
  <c r="I160" i="76"/>
  <c r="P159" i="76"/>
  <c r="O159" i="76" a="1"/>
  <c r="O159" i="76" s="1"/>
  <c r="N159" i="76" a="1"/>
  <c r="N159" i="76" s="1"/>
  <c r="M159" i="76" a="1"/>
  <c r="M159" i="76" s="1"/>
  <c r="L159" i="76" a="1"/>
  <c r="L159" i="76" s="1"/>
  <c r="K159" i="76"/>
  <c r="J159" i="76" a="1"/>
  <c r="J159" i="76" s="1"/>
  <c r="I159" i="76"/>
  <c r="P158" i="76"/>
  <c r="O158" i="76" a="1"/>
  <c r="O158" i="76" s="1"/>
  <c r="N158" i="76" a="1"/>
  <c r="N158" i="76" s="1"/>
  <c r="M158" i="76"/>
  <c r="M158" i="76" a="1"/>
  <c r="L158" i="76" a="1"/>
  <c r="L158" i="76" s="1"/>
  <c r="K158" i="76"/>
  <c r="J158" i="76" a="1"/>
  <c r="J158" i="76" s="1"/>
  <c r="I158" i="76"/>
  <c r="P156" i="76"/>
  <c r="O156" i="76"/>
  <c r="O156" i="76" a="1"/>
  <c r="N156" i="76" a="1"/>
  <c r="N156" i="76" s="1"/>
  <c r="M156" i="76" a="1"/>
  <c r="M156" i="76" s="1"/>
  <c r="L156" i="76" a="1"/>
  <c r="L156" i="76" s="1"/>
  <c r="K156" i="76"/>
  <c r="J156" i="76" a="1"/>
  <c r="J156" i="76" s="1"/>
  <c r="I156" i="76"/>
  <c r="P155" i="76"/>
  <c r="O155" i="76" a="1"/>
  <c r="O155" i="76" s="1"/>
  <c r="N155" i="76" a="1"/>
  <c r="N155" i="76" s="1"/>
  <c r="M155" i="76" a="1"/>
  <c r="M155" i="76" s="1"/>
  <c r="L155" i="76" a="1"/>
  <c r="L155" i="76" s="1"/>
  <c r="K155" i="76"/>
  <c r="J155" i="76" a="1"/>
  <c r="J155" i="76" s="1"/>
  <c r="I155" i="76"/>
  <c r="P154" i="76"/>
  <c r="O154" i="76"/>
  <c r="O154" i="76" a="1"/>
  <c r="N154" i="76" a="1"/>
  <c r="N154" i="76" s="1"/>
  <c r="M154" i="76"/>
  <c r="M154" i="76" a="1"/>
  <c r="L154" i="76"/>
  <c r="L154" i="76" a="1"/>
  <c r="K154" i="76"/>
  <c r="J154" i="76" a="1"/>
  <c r="J154" i="76" s="1"/>
  <c r="I154" i="76"/>
  <c r="P153" i="76"/>
  <c r="O153" i="76" a="1"/>
  <c r="O153" i="76" s="1"/>
  <c r="N153" i="76" a="1"/>
  <c r="N153" i="76" s="1"/>
  <c r="M153" i="76" a="1"/>
  <c r="M153" i="76" s="1"/>
  <c r="L153" i="76" a="1"/>
  <c r="L153" i="76" s="1"/>
  <c r="K153" i="76"/>
  <c r="J153" i="76" a="1"/>
  <c r="J153" i="76" s="1"/>
  <c r="I153" i="76"/>
  <c r="P152" i="76"/>
  <c r="O152" i="76" a="1"/>
  <c r="O152" i="76" s="1"/>
  <c r="N152" i="76" a="1"/>
  <c r="N152" i="76" s="1"/>
  <c r="M152" i="76" a="1"/>
  <c r="M152" i="76" s="1"/>
  <c r="L152" i="76" a="1"/>
  <c r="L152" i="76" s="1"/>
  <c r="K152" i="76"/>
  <c r="J152" i="76" a="1"/>
  <c r="J152" i="76" s="1"/>
  <c r="I152" i="76"/>
  <c r="P151" i="76"/>
  <c r="O151" i="76" a="1"/>
  <c r="O151" i="76" s="1"/>
  <c r="N151" i="76" a="1"/>
  <c r="N151" i="76" s="1"/>
  <c r="M151" i="76" a="1"/>
  <c r="M151" i="76" s="1"/>
  <c r="L151" i="76" a="1"/>
  <c r="L151" i="76" s="1"/>
  <c r="K151" i="76"/>
  <c r="J151" i="76" a="1"/>
  <c r="J151" i="76" s="1"/>
  <c r="I151" i="76"/>
  <c r="P150" i="76"/>
  <c r="O150" i="76"/>
  <c r="O150" i="76" a="1"/>
  <c r="N150" i="76" a="1"/>
  <c r="N150" i="76" s="1"/>
  <c r="M150" i="76" a="1"/>
  <c r="M150" i="76" s="1"/>
  <c r="L150" i="76"/>
  <c r="L150" i="76" a="1"/>
  <c r="K150" i="76"/>
  <c r="J150" i="76" a="1"/>
  <c r="J150" i="76" s="1"/>
  <c r="Q150" i="76" s="1"/>
  <c r="I150" i="76"/>
  <c r="P149" i="76"/>
  <c r="O149" i="76" a="1"/>
  <c r="O149" i="76" s="1"/>
  <c r="N149" i="76" a="1"/>
  <c r="N149" i="76" s="1"/>
  <c r="M149" i="76" a="1"/>
  <c r="M149" i="76" s="1"/>
  <c r="L149" i="76" a="1"/>
  <c r="L149" i="76" s="1"/>
  <c r="K149" i="76"/>
  <c r="J149" i="76" a="1"/>
  <c r="J149" i="76" s="1"/>
  <c r="I149" i="76"/>
  <c r="P147" i="76"/>
  <c r="O147" i="76" a="1"/>
  <c r="O147" i="76" s="1"/>
  <c r="N147" i="76" a="1"/>
  <c r="N147" i="76" s="1"/>
  <c r="M147" i="76"/>
  <c r="M147" i="76" a="1"/>
  <c r="L147" i="76" a="1"/>
  <c r="L147" i="76" s="1"/>
  <c r="K147" i="76"/>
  <c r="J147" i="76" a="1"/>
  <c r="J147" i="76" s="1"/>
  <c r="I147" i="76"/>
  <c r="P146" i="76"/>
  <c r="O146" i="76" a="1"/>
  <c r="O146" i="76" s="1"/>
  <c r="N146" i="76" a="1"/>
  <c r="N146" i="76" s="1"/>
  <c r="M146" i="76" a="1"/>
  <c r="M146" i="76" s="1"/>
  <c r="L146" i="76" a="1"/>
  <c r="L146" i="76" s="1"/>
  <c r="K146" i="76"/>
  <c r="J146" i="76" a="1"/>
  <c r="J146" i="76" s="1"/>
  <c r="I146" i="76"/>
  <c r="P145" i="76"/>
  <c r="O145" i="76" a="1"/>
  <c r="O145" i="76" s="1"/>
  <c r="N145" i="76" a="1"/>
  <c r="N145" i="76" s="1"/>
  <c r="M145" i="76" a="1"/>
  <c r="M145" i="76" s="1"/>
  <c r="L145" i="76" a="1"/>
  <c r="L145" i="76" s="1"/>
  <c r="K145" i="76"/>
  <c r="J145" i="76" a="1"/>
  <c r="J145" i="76" s="1"/>
  <c r="I145" i="76"/>
  <c r="P144" i="76"/>
  <c r="O144" i="76" a="1"/>
  <c r="O144" i="76" s="1"/>
  <c r="N144" i="76" a="1"/>
  <c r="N144" i="76" s="1"/>
  <c r="M144" i="76" a="1"/>
  <c r="M144" i="76" s="1"/>
  <c r="L144" i="76" a="1"/>
  <c r="L144" i="76" s="1"/>
  <c r="K144" i="76"/>
  <c r="J144" i="76" a="1"/>
  <c r="J144" i="76" s="1"/>
  <c r="I144" i="76"/>
  <c r="P143" i="76"/>
  <c r="O143" i="76" a="1"/>
  <c r="O143" i="76" s="1"/>
  <c r="N143" i="76" a="1"/>
  <c r="N143" i="76" s="1"/>
  <c r="M143" i="76"/>
  <c r="M143" i="76" a="1"/>
  <c r="L143" i="76" a="1"/>
  <c r="L143" i="76" s="1"/>
  <c r="K143" i="76"/>
  <c r="J143" i="76" a="1"/>
  <c r="J143" i="76" s="1"/>
  <c r="I143" i="76"/>
  <c r="P142" i="76"/>
  <c r="O142" i="76" a="1"/>
  <c r="O142" i="76" s="1"/>
  <c r="N142" i="76"/>
  <c r="N142" i="76" a="1"/>
  <c r="M142" i="76" a="1"/>
  <c r="M142" i="76" s="1"/>
  <c r="L142" i="76" a="1"/>
  <c r="L142" i="76" s="1"/>
  <c r="K142" i="76"/>
  <c r="J142" i="76" a="1"/>
  <c r="J142" i="76" s="1"/>
  <c r="I142" i="76"/>
  <c r="P141" i="76"/>
  <c r="O141" i="76" a="1"/>
  <c r="O141" i="76" s="1"/>
  <c r="N141" i="76"/>
  <c r="N141" i="76" a="1"/>
  <c r="M141" i="76" a="1"/>
  <c r="M141" i="76" s="1"/>
  <c r="L141" i="76" a="1"/>
  <c r="L141" i="76" s="1"/>
  <c r="K141" i="76"/>
  <c r="J141" i="76" a="1"/>
  <c r="J141" i="76" s="1"/>
  <c r="I141" i="76"/>
  <c r="P140" i="76"/>
  <c r="O140" i="76" a="1"/>
  <c r="O140" i="76" s="1"/>
  <c r="N140" i="76" a="1"/>
  <c r="N140" i="76" s="1"/>
  <c r="M140" i="76" a="1"/>
  <c r="M140" i="76" s="1"/>
  <c r="L140" i="76" a="1"/>
  <c r="L140" i="76" s="1"/>
  <c r="K140" i="76"/>
  <c r="J140" i="76" a="1"/>
  <c r="J140" i="76" s="1"/>
  <c r="I140" i="76"/>
  <c r="P138" i="76"/>
  <c r="O138" i="76" a="1"/>
  <c r="O138" i="76" s="1"/>
  <c r="N138" i="76"/>
  <c r="N138" i="76" a="1"/>
  <c r="M138" i="76" a="1"/>
  <c r="M138" i="76" s="1"/>
  <c r="L138" i="76" a="1"/>
  <c r="L138" i="76" s="1"/>
  <c r="K138" i="76"/>
  <c r="J138" i="76" a="1"/>
  <c r="J138" i="76" s="1"/>
  <c r="I138" i="76"/>
  <c r="P137" i="76"/>
  <c r="O137" i="76" a="1"/>
  <c r="O137" i="76" s="1"/>
  <c r="N137" i="76" a="1"/>
  <c r="N137" i="76" s="1"/>
  <c r="M137" i="76" a="1"/>
  <c r="M137" i="76" s="1"/>
  <c r="L137" i="76" a="1"/>
  <c r="L137" i="76" s="1"/>
  <c r="K137" i="76"/>
  <c r="J137" i="76" a="1"/>
  <c r="J137" i="76" s="1"/>
  <c r="I137" i="76"/>
  <c r="P136" i="76"/>
  <c r="O136" i="76"/>
  <c r="O136" i="76" a="1"/>
  <c r="N136" i="76" a="1"/>
  <c r="N136" i="76" s="1"/>
  <c r="M136" i="76" a="1"/>
  <c r="M136" i="76" s="1"/>
  <c r="L136" i="76" a="1"/>
  <c r="L136" i="76" s="1"/>
  <c r="K136" i="76"/>
  <c r="J136" i="76" a="1"/>
  <c r="J136" i="76" s="1"/>
  <c r="I136" i="76"/>
  <c r="P135" i="76"/>
  <c r="O135" i="76" a="1"/>
  <c r="O135" i="76" s="1"/>
  <c r="N135" i="76" a="1"/>
  <c r="N135" i="76" s="1"/>
  <c r="M135" i="76" a="1"/>
  <c r="M135" i="76" s="1"/>
  <c r="L135" i="76" a="1"/>
  <c r="L135" i="76" s="1"/>
  <c r="K135" i="76"/>
  <c r="J135" i="76" a="1"/>
  <c r="J135" i="76" s="1"/>
  <c r="I135" i="76"/>
  <c r="P134" i="76"/>
  <c r="O134" i="76" a="1"/>
  <c r="O134" i="76" s="1"/>
  <c r="N134" i="76" a="1"/>
  <c r="N134" i="76" s="1"/>
  <c r="M134" i="76" a="1"/>
  <c r="M134" i="76" s="1"/>
  <c r="L134" i="76" a="1"/>
  <c r="L134" i="76" s="1"/>
  <c r="K134" i="76"/>
  <c r="J134" i="76" a="1"/>
  <c r="J134" i="76" s="1"/>
  <c r="I134" i="76"/>
  <c r="P133" i="76"/>
  <c r="O133" i="76" a="1"/>
  <c r="O133" i="76" s="1"/>
  <c r="N133" i="76" a="1"/>
  <c r="N133" i="76" s="1"/>
  <c r="M133" i="76" a="1"/>
  <c r="M133" i="76" s="1"/>
  <c r="L133" i="76" a="1"/>
  <c r="L133" i="76" s="1"/>
  <c r="K133" i="76"/>
  <c r="J133" i="76" a="1"/>
  <c r="J133" i="76" s="1"/>
  <c r="I133" i="76"/>
  <c r="P132" i="76"/>
  <c r="O132" i="76" a="1"/>
  <c r="O132" i="76" s="1"/>
  <c r="N132" i="76" a="1"/>
  <c r="N132" i="76" s="1"/>
  <c r="M132" i="76" a="1"/>
  <c r="M132" i="76" s="1"/>
  <c r="L132" i="76" a="1"/>
  <c r="L132" i="76" s="1"/>
  <c r="K132" i="76"/>
  <c r="J132" i="76" a="1"/>
  <c r="J132" i="76" s="1"/>
  <c r="I132" i="76"/>
  <c r="P131" i="76"/>
  <c r="O131" i="76"/>
  <c r="O131" i="76" a="1"/>
  <c r="N131" i="76" a="1"/>
  <c r="N131" i="76" s="1"/>
  <c r="M131" i="76" a="1"/>
  <c r="M131" i="76" s="1"/>
  <c r="L131" i="76" a="1"/>
  <c r="L131" i="76" s="1"/>
  <c r="K131" i="76"/>
  <c r="J131" i="76" a="1"/>
  <c r="J131" i="76" s="1"/>
  <c r="I131" i="76"/>
  <c r="P130" i="76"/>
  <c r="O130" i="76" a="1"/>
  <c r="O130" i="76" s="1"/>
  <c r="N130" i="76" a="1"/>
  <c r="N130" i="76" s="1"/>
  <c r="M130" i="76" a="1"/>
  <c r="M130" i="76" s="1"/>
  <c r="L130" i="76" a="1"/>
  <c r="L130" i="76" s="1"/>
  <c r="K130" i="76"/>
  <c r="J130" i="76" a="1"/>
  <c r="J130" i="76" s="1"/>
  <c r="I130" i="76"/>
  <c r="P129" i="76"/>
  <c r="O129" i="76" a="1"/>
  <c r="O129" i="76" s="1"/>
  <c r="N129" i="76" a="1"/>
  <c r="N129" i="76" s="1"/>
  <c r="M129" i="76" a="1"/>
  <c r="M129" i="76" s="1"/>
  <c r="L129" i="76" a="1"/>
  <c r="L129" i="76" s="1"/>
  <c r="K129" i="76"/>
  <c r="J129" i="76" a="1"/>
  <c r="J129" i="76" s="1"/>
  <c r="I129" i="76"/>
  <c r="P127" i="76"/>
  <c r="O127" i="76" a="1"/>
  <c r="O127" i="76" s="1"/>
  <c r="N127" i="76" a="1"/>
  <c r="N127" i="76" s="1"/>
  <c r="M127" i="76" a="1"/>
  <c r="M127" i="76" s="1"/>
  <c r="L127" i="76"/>
  <c r="L127" i="76" a="1"/>
  <c r="K127" i="76"/>
  <c r="J127" i="76" a="1"/>
  <c r="J127" i="76" s="1"/>
  <c r="I127" i="76"/>
  <c r="P126" i="76"/>
  <c r="O126" i="76" a="1"/>
  <c r="O126" i="76" s="1"/>
  <c r="N126" i="76" a="1"/>
  <c r="N126" i="76" s="1"/>
  <c r="M126" i="76" a="1"/>
  <c r="M126" i="76" s="1"/>
  <c r="L126" i="76" a="1"/>
  <c r="L126" i="76" s="1"/>
  <c r="K126" i="76"/>
  <c r="J126" i="76" a="1"/>
  <c r="J126" i="76" s="1"/>
  <c r="I126" i="76"/>
  <c r="P125" i="76"/>
  <c r="O125" i="76" a="1"/>
  <c r="O125" i="76" s="1"/>
  <c r="N125" i="76" a="1"/>
  <c r="N125" i="76" s="1"/>
  <c r="M125" i="76" a="1"/>
  <c r="M125" i="76" s="1"/>
  <c r="L125" i="76" a="1"/>
  <c r="L125" i="76" s="1"/>
  <c r="K125" i="76"/>
  <c r="J125" i="76" a="1"/>
  <c r="J125" i="76" s="1"/>
  <c r="I125" i="76"/>
  <c r="P124" i="76"/>
  <c r="O124" i="76" a="1"/>
  <c r="O124" i="76" s="1"/>
  <c r="N124" i="76" a="1"/>
  <c r="N124" i="76" s="1"/>
  <c r="M124" i="76" a="1"/>
  <c r="M124" i="76" s="1"/>
  <c r="L124" i="76" a="1"/>
  <c r="L124" i="76" s="1"/>
  <c r="K124" i="76"/>
  <c r="J124" i="76"/>
  <c r="J124" i="76" a="1"/>
  <c r="I124" i="76"/>
  <c r="P123" i="76"/>
  <c r="O123" i="76" a="1"/>
  <c r="O123" i="76" s="1"/>
  <c r="N123" i="76"/>
  <c r="N123" i="76" a="1"/>
  <c r="M123" i="76" a="1"/>
  <c r="M123" i="76" s="1"/>
  <c r="L123" i="76" a="1"/>
  <c r="L123" i="76" s="1"/>
  <c r="K123" i="76"/>
  <c r="J123" i="76" a="1"/>
  <c r="J123" i="76" s="1"/>
  <c r="I123" i="76"/>
  <c r="P122" i="76"/>
  <c r="O122" i="76" a="1"/>
  <c r="O122" i="76" s="1"/>
  <c r="N122" i="76" a="1"/>
  <c r="N122" i="76" s="1"/>
  <c r="M122" i="76" a="1"/>
  <c r="M122" i="76" s="1"/>
  <c r="L122" i="76"/>
  <c r="L122" i="76" a="1"/>
  <c r="K122" i="76"/>
  <c r="J122" i="76" a="1"/>
  <c r="J122" i="76" s="1"/>
  <c r="I122" i="76"/>
  <c r="P121" i="76"/>
  <c r="O121" i="76" a="1"/>
  <c r="O121" i="76" s="1"/>
  <c r="N121" i="76" a="1"/>
  <c r="N121" i="76" s="1"/>
  <c r="M121" i="76" a="1"/>
  <c r="M121" i="76" s="1"/>
  <c r="L121" i="76" a="1"/>
  <c r="L121" i="76" s="1"/>
  <c r="K121" i="76"/>
  <c r="J121" i="76" a="1"/>
  <c r="J121" i="76" s="1"/>
  <c r="I121" i="76"/>
  <c r="P120" i="76"/>
  <c r="O120" i="76" a="1"/>
  <c r="O120" i="76" s="1"/>
  <c r="N120" i="76" a="1"/>
  <c r="N120" i="76" s="1"/>
  <c r="M120" i="76" a="1"/>
  <c r="M120" i="76" s="1"/>
  <c r="L120" i="76" a="1"/>
  <c r="L120" i="76" s="1"/>
  <c r="K120" i="76"/>
  <c r="J120" i="76" a="1"/>
  <c r="J120" i="76" s="1"/>
  <c r="I120" i="76"/>
  <c r="P119" i="76"/>
  <c r="O119" i="76" a="1"/>
  <c r="O119" i="76" s="1"/>
  <c r="N119" i="76" a="1"/>
  <c r="N119" i="76" s="1"/>
  <c r="M119" i="76" a="1"/>
  <c r="M119" i="76" s="1"/>
  <c r="L119" i="76"/>
  <c r="L119" i="76" a="1"/>
  <c r="K119" i="76"/>
  <c r="J119" i="76" a="1"/>
  <c r="J119" i="76" s="1"/>
  <c r="I119" i="76"/>
  <c r="P118" i="76"/>
  <c r="O118" i="76" a="1"/>
  <c r="O118" i="76" s="1"/>
  <c r="N118" i="76" a="1"/>
  <c r="N118" i="76" s="1"/>
  <c r="M118" i="76" a="1"/>
  <c r="M118" i="76" s="1"/>
  <c r="L118" i="76" a="1"/>
  <c r="L118" i="76" s="1"/>
  <c r="K118" i="76"/>
  <c r="J118" i="76"/>
  <c r="J118" i="76" a="1"/>
  <c r="I118" i="76"/>
  <c r="P117" i="76"/>
  <c r="Q117" i="76" s="1"/>
  <c r="O117" i="76" a="1"/>
  <c r="O117" i="76" s="1"/>
  <c r="N117" i="76" a="1"/>
  <c r="N117" i="76" s="1"/>
  <c r="M117" i="76" a="1"/>
  <c r="M117" i="76" s="1"/>
  <c r="L117" i="76" a="1"/>
  <c r="L117" i="76" s="1"/>
  <c r="K117" i="76"/>
  <c r="J117" i="76" a="1"/>
  <c r="J117" i="76" s="1"/>
  <c r="I117" i="76"/>
  <c r="P116" i="76"/>
  <c r="O116" i="76" a="1"/>
  <c r="O116" i="76" s="1"/>
  <c r="N116" i="76" a="1"/>
  <c r="N116" i="76" s="1"/>
  <c r="M116" i="76" a="1"/>
  <c r="M116" i="76" s="1"/>
  <c r="L116" i="76" a="1"/>
  <c r="L116" i="76" s="1"/>
  <c r="K116" i="76"/>
  <c r="J116" i="76" a="1"/>
  <c r="J116" i="76" s="1"/>
  <c r="I116" i="76"/>
  <c r="P115" i="76"/>
  <c r="O115" i="76" a="1"/>
  <c r="O115" i="76" s="1"/>
  <c r="N115" i="76" a="1"/>
  <c r="N115" i="76" s="1"/>
  <c r="M115" i="76" a="1"/>
  <c r="M115" i="76" s="1"/>
  <c r="L115" i="76" a="1"/>
  <c r="L115" i="76" s="1"/>
  <c r="K115" i="76"/>
  <c r="J115" i="76"/>
  <c r="J115" i="76" a="1"/>
  <c r="I115" i="76"/>
  <c r="P114" i="76"/>
  <c r="O114" i="76" a="1"/>
  <c r="O114" i="76" s="1"/>
  <c r="N114" i="76"/>
  <c r="N114" i="76" a="1"/>
  <c r="M114" i="76" a="1"/>
  <c r="M114" i="76" s="1"/>
  <c r="L114" i="76" a="1"/>
  <c r="L114" i="76" s="1"/>
  <c r="K114" i="76"/>
  <c r="J114" i="76" a="1"/>
  <c r="J114" i="76" s="1"/>
  <c r="I114" i="76"/>
  <c r="P113" i="76"/>
  <c r="O113" i="76"/>
  <c r="O113" i="76" a="1"/>
  <c r="N113" i="76" a="1"/>
  <c r="N113" i="76" s="1"/>
  <c r="M113" i="76"/>
  <c r="M113" i="76" a="1"/>
  <c r="L113" i="76" a="1"/>
  <c r="L113" i="76" s="1"/>
  <c r="K113" i="76"/>
  <c r="J113" i="76" a="1"/>
  <c r="J113" i="76" s="1"/>
  <c r="I113" i="76"/>
  <c r="P112" i="76"/>
  <c r="Q112" i="76" s="1"/>
  <c r="O112" i="76" a="1"/>
  <c r="O112" i="76" s="1"/>
  <c r="N112" i="76" a="1"/>
  <c r="N112" i="76" s="1"/>
  <c r="M112" i="76" a="1"/>
  <c r="M112" i="76" s="1"/>
  <c r="L112" i="76" a="1"/>
  <c r="L112" i="76" s="1"/>
  <c r="K112" i="76"/>
  <c r="J112" i="76" a="1"/>
  <c r="J112" i="76" s="1"/>
  <c r="I112" i="76"/>
  <c r="P111" i="76"/>
  <c r="O111" i="76" a="1"/>
  <c r="O111" i="76" s="1"/>
  <c r="N111" i="76" a="1"/>
  <c r="N111" i="76" s="1"/>
  <c r="M111" i="76" a="1"/>
  <c r="M111" i="76" s="1"/>
  <c r="L111" i="76" a="1"/>
  <c r="L111" i="76" s="1"/>
  <c r="K111" i="76"/>
  <c r="J111" i="76" a="1"/>
  <c r="J111" i="76" s="1"/>
  <c r="I111" i="76"/>
  <c r="P110" i="76"/>
  <c r="Q110" i="76" s="1"/>
  <c r="O110" i="76" a="1"/>
  <c r="O110" i="76" s="1"/>
  <c r="N110" i="76" a="1"/>
  <c r="N110" i="76" s="1"/>
  <c r="M110" i="76" a="1"/>
  <c r="M110" i="76" s="1"/>
  <c r="L110" i="76" a="1"/>
  <c r="L110" i="76" s="1"/>
  <c r="K110" i="76"/>
  <c r="J110" i="76" a="1"/>
  <c r="J110" i="76" s="1"/>
  <c r="I110" i="76"/>
  <c r="P109" i="76"/>
  <c r="O109" i="76" a="1"/>
  <c r="O109" i="76" s="1"/>
  <c r="N109" i="76" a="1"/>
  <c r="N109" i="76" s="1"/>
  <c r="M109" i="76" a="1"/>
  <c r="M109" i="76" s="1"/>
  <c r="L109" i="76" a="1"/>
  <c r="L109" i="76" s="1"/>
  <c r="K109" i="76"/>
  <c r="J109" i="76" a="1"/>
  <c r="J109" i="76" s="1"/>
  <c r="I109" i="76"/>
  <c r="P108" i="76"/>
  <c r="O108" i="76" a="1"/>
  <c r="O108" i="76" s="1"/>
  <c r="N108" i="76" a="1"/>
  <c r="N108" i="76" s="1"/>
  <c r="M108" i="76" a="1"/>
  <c r="M108" i="76" s="1"/>
  <c r="L108" i="76" a="1"/>
  <c r="L108" i="76" s="1"/>
  <c r="K108" i="76"/>
  <c r="J108" i="76" a="1"/>
  <c r="J108" i="76" s="1"/>
  <c r="Q108" i="76" s="1"/>
  <c r="I108" i="76"/>
  <c r="P107" i="76"/>
  <c r="O107" i="76" a="1"/>
  <c r="O107" i="76" s="1"/>
  <c r="N107" i="76" a="1"/>
  <c r="N107" i="76" s="1"/>
  <c r="M107" i="76" a="1"/>
  <c r="M107" i="76" s="1"/>
  <c r="L107" i="76" a="1"/>
  <c r="L107" i="76" s="1"/>
  <c r="K107" i="76"/>
  <c r="J107" i="76"/>
  <c r="J107" i="76" a="1"/>
  <c r="I107" i="76"/>
  <c r="P106" i="76"/>
  <c r="O106" i="76" a="1"/>
  <c r="O106" i="76" s="1"/>
  <c r="N106" i="76" a="1"/>
  <c r="N106" i="76" s="1"/>
  <c r="M106" i="76"/>
  <c r="M106" i="76" a="1"/>
  <c r="L106" i="76" a="1"/>
  <c r="L106" i="76" s="1"/>
  <c r="K106" i="76"/>
  <c r="J106" i="76" a="1"/>
  <c r="J106" i="76" s="1"/>
  <c r="I106" i="76"/>
  <c r="P105" i="76"/>
  <c r="O105" i="76" a="1"/>
  <c r="O105" i="76" s="1"/>
  <c r="N105" i="76" a="1"/>
  <c r="N105" i="76" s="1"/>
  <c r="M105" i="76" a="1"/>
  <c r="M105" i="76" s="1"/>
  <c r="L105" i="76" a="1"/>
  <c r="L105" i="76" s="1"/>
  <c r="K105" i="76"/>
  <c r="J105" i="76" a="1"/>
  <c r="J105" i="76" s="1"/>
  <c r="I105" i="76"/>
  <c r="P104" i="76"/>
  <c r="O104" i="76" a="1"/>
  <c r="O104" i="76" s="1"/>
  <c r="N104" i="76"/>
  <c r="N104" i="76" a="1"/>
  <c r="M104" i="76" a="1"/>
  <c r="M104" i="76" s="1"/>
  <c r="L104" i="76" a="1"/>
  <c r="L104" i="76" s="1"/>
  <c r="K104" i="76"/>
  <c r="J104" i="76"/>
  <c r="J104" i="76" a="1"/>
  <c r="I104" i="76"/>
  <c r="P103" i="76"/>
  <c r="O103" i="76" a="1"/>
  <c r="O103" i="76" s="1"/>
  <c r="N103" i="76"/>
  <c r="N103" i="76" a="1"/>
  <c r="M103" i="76" a="1"/>
  <c r="M103" i="76" s="1"/>
  <c r="L103" i="76" a="1"/>
  <c r="L103" i="76" s="1"/>
  <c r="K103" i="76"/>
  <c r="J103" i="76" a="1"/>
  <c r="J103" i="76" s="1"/>
  <c r="I103" i="76"/>
  <c r="P102" i="76"/>
  <c r="O102" i="76"/>
  <c r="O102" i="76" a="1"/>
  <c r="N102" i="76" a="1"/>
  <c r="N102" i="76" s="1"/>
  <c r="M102" i="76"/>
  <c r="M102" i="76" a="1"/>
  <c r="L102" i="76" a="1"/>
  <c r="L102" i="76" s="1"/>
  <c r="K102" i="76"/>
  <c r="J102" i="76" a="1"/>
  <c r="J102" i="76" s="1"/>
  <c r="I102" i="76"/>
  <c r="P101" i="76"/>
  <c r="O101" i="76" a="1"/>
  <c r="O101" i="76" s="1"/>
  <c r="N101" i="76" a="1"/>
  <c r="N101" i="76" s="1"/>
  <c r="M101" i="76" a="1"/>
  <c r="M101" i="76" s="1"/>
  <c r="L101" i="76" a="1"/>
  <c r="L101" i="76" s="1"/>
  <c r="K101" i="76"/>
  <c r="J101" i="76" a="1"/>
  <c r="J101" i="76" s="1"/>
  <c r="Q101" i="76" s="1"/>
  <c r="I101" i="76"/>
  <c r="P100" i="76"/>
  <c r="Q100" i="76" s="1"/>
  <c r="O100" i="76" a="1"/>
  <c r="O100" i="76" s="1"/>
  <c r="N100" i="76" a="1"/>
  <c r="N100" i="76" s="1"/>
  <c r="M100" i="76" a="1"/>
  <c r="M100" i="76" s="1"/>
  <c r="L100" i="76" a="1"/>
  <c r="L100" i="76" s="1"/>
  <c r="K100" i="76"/>
  <c r="J100" i="76" a="1"/>
  <c r="J100" i="76" s="1"/>
  <c r="I100" i="76"/>
  <c r="P99" i="76"/>
  <c r="O99" i="76" a="1"/>
  <c r="O99" i="76" s="1"/>
  <c r="N99" i="76" a="1"/>
  <c r="N99" i="76" s="1"/>
  <c r="M99" i="76" a="1"/>
  <c r="M99" i="76" s="1"/>
  <c r="L99" i="76" a="1"/>
  <c r="L99" i="76" s="1"/>
  <c r="K99" i="76"/>
  <c r="J99" i="76" a="1"/>
  <c r="J99" i="76" s="1"/>
  <c r="I99" i="76"/>
  <c r="P98" i="76"/>
  <c r="Q98" i="76" s="1"/>
  <c r="O98" i="76" a="1"/>
  <c r="O98" i="76" s="1"/>
  <c r="N98" i="76" a="1"/>
  <c r="N98" i="76" s="1"/>
  <c r="M98" i="76" a="1"/>
  <c r="M98" i="76" s="1"/>
  <c r="L98" i="76"/>
  <c r="L98" i="76" a="1"/>
  <c r="K98" i="76"/>
  <c r="J98" i="76" a="1"/>
  <c r="J98" i="76" s="1"/>
  <c r="I98" i="76"/>
  <c r="P97" i="76"/>
  <c r="O97" i="76" a="1"/>
  <c r="O97" i="76" s="1"/>
  <c r="N97" i="76" a="1"/>
  <c r="N97" i="76" s="1"/>
  <c r="M97" i="76" a="1"/>
  <c r="M97" i="76" s="1"/>
  <c r="L97" i="76" a="1"/>
  <c r="L97" i="76" s="1"/>
  <c r="K97" i="76"/>
  <c r="J97" i="76" a="1"/>
  <c r="J97" i="76" s="1"/>
  <c r="I97" i="76"/>
  <c r="P96" i="76"/>
  <c r="O96" i="76" a="1"/>
  <c r="O96" i="76" s="1"/>
  <c r="N96" i="76" a="1"/>
  <c r="N96" i="76" s="1"/>
  <c r="M96" i="76" a="1"/>
  <c r="M96" i="76" s="1"/>
  <c r="L96" i="76" a="1"/>
  <c r="L96" i="76" s="1"/>
  <c r="K96" i="76"/>
  <c r="J96" i="76"/>
  <c r="J96" i="76" a="1"/>
  <c r="I96" i="76"/>
  <c r="P95" i="76"/>
  <c r="O95" i="76" a="1"/>
  <c r="O95" i="76" s="1"/>
  <c r="N95" i="76" a="1"/>
  <c r="N95" i="76" s="1"/>
  <c r="M95" i="76" a="1"/>
  <c r="M95" i="76" s="1"/>
  <c r="L95" i="76" a="1"/>
  <c r="L95" i="76" s="1"/>
  <c r="K95" i="76"/>
  <c r="J95" i="76" a="1"/>
  <c r="J95" i="76" s="1"/>
  <c r="I95" i="76"/>
  <c r="P94" i="76"/>
  <c r="O94" i="76" a="1"/>
  <c r="O94" i="76" s="1"/>
  <c r="N94" i="76" a="1"/>
  <c r="N94" i="76" s="1"/>
  <c r="M94" i="76" a="1"/>
  <c r="M94" i="76" s="1"/>
  <c r="L94" i="76" a="1"/>
  <c r="L94" i="76" s="1"/>
  <c r="K94" i="76"/>
  <c r="J94" i="76"/>
  <c r="J94" i="76" a="1"/>
  <c r="I94" i="76"/>
  <c r="P93" i="76"/>
  <c r="O93" i="76" a="1"/>
  <c r="O93" i="76" s="1"/>
  <c r="N93" i="76" a="1"/>
  <c r="N93" i="76" s="1"/>
  <c r="M93" i="76" a="1"/>
  <c r="M93" i="76" s="1"/>
  <c r="L93" i="76" a="1"/>
  <c r="L93" i="76" s="1"/>
  <c r="K93" i="76"/>
  <c r="J93" i="76" a="1"/>
  <c r="J93" i="76" s="1"/>
  <c r="Q93" i="76" s="1"/>
  <c r="I93" i="76"/>
  <c r="P92" i="76"/>
  <c r="O92" i="76" a="1"/>
  <c r="O92" i="76" s="1"/>
  <c r="N92" i="76" a="1"/>
  <c r="N92" i="76" s="1"/>
  <c r="M92" i="76" a="1"/>
  <c r="M92" i="76" s="1"/>
  <c r="L92" i="76" a="1"/>
  <c r="L92" i="76" s="1"/>
  <c r="K92" i="76"/>
  <c r="J92" i="76" a="1"/>
  <c r="J92" i="76" s="1"/>
  <c r="I92" i="76"/>
  <c r="P91" i="76"/>
  <c r="O91" i="76" a="1"/>
  <c r="O91" i="76" s="1"/>
  <c r="N91" i="76" a="1"/>
  <c r="N91" i="76" s="1"/>
  <c r="M91" i="76" a="1"/>
  <c r="M91" i="76" s="1"/>
  <c r="L91" i="76" a="1"/>
  <c r="L91" i="76" s="1"/>
  <c r="K91" i="76"/>
  <c r="J91" i="76" a="1"/>
  <c r="J91" i="76" s="1"/>
  <c r="I91" i="76"/>
  <c r="P90" i="76"/>
  <c r="O90" i="76"/>
  <c r="O90" i="76" a="1"/>
  <c r="N90" i="76" a="1"/>
  <c r="N90" i="76" s="1"/>
  <c r="M90" i="76" a="1"/>
  <c r="M90" i="76" s="1"/>
  <c r="L90" i="76" a="1"/>
  <c r="L90" i="76" s="1"/>
  <c r="K90" i="76"/>
  <c r="J90" i="76" a="1"/>
  <c r="J90" i="76" s="1"/>
  <c r="I90" i="76"/>
  <c r="P89" i="76"/>
  <c r="O89" i="76" a="1"/>
  <c r="O89" i="76" s="1"/>
  <c r="N89" i="76" a="1"/>
  <c r="N89" i="76" s="1"/>
  <c r="M89" i="76" a="1"/>
  <c r="M89" i="76" s="1"/>
  <c r="L89" i="76" a="1"/>
  <c r="L89" i="76" s="1"/>
  <c r="K89" i="76"/>
  <c r="J89" i="76" a="1"/>
  <c r="J89" i="76" s="1"/>
  <c r="I89" i="76"/>
  <c r="P88" i="76"/>
  <c r="O88" i="76" a="1"/>
  <c r="O88" i="76" s="1"/>
  <c r="N88" i="76" a="1"/>
  <c r="N88" i="76" s="1"/>
  <c r="M88" i="76" a="1"/>
  <c r="M88" i="76" s="1"/>
  <c r="L88" i="76" a="1"/>
  <c r="L88" i="76" s="1"/>
  <c r="K88" i="76"/>
  <c r="J88" i="76" a="1"/>
  <c r="J88" i="76" s="1"/>
  <c r="I88" i="76"/>
  <c r="P87" i="76"/>
  <c r="O87" i="76" a="1"/>
  <c r="O87" i="76" s="1"/>
  <c r="N87" i="76" a="1"/>
  <c r="N87" i="76" s="1"/>
  <c r="M87" i="76"/>
  <c r="M87" i="76" a="1"/>
  <c r="L87" i="76" a="1"/>
  <c r="L87" i="76" s="1"/>
  <c r="K87" i="76"/>
  <c r="J87" i="76" a="1"/>
  <c r="J87" i="76" s="1"/>
  <c r="I87" i="76"/>
  <c r="P86" i="76"/>
  <c r="O86" i="76" a="1"/>
  <c r="O86" i="76" s="1"/>
  <c r="N86" i="76" a="1"/>
  <c r="N86" i="76" s="1"/>
  <c r="M86" i="76" a="1"/>
  <c r="M86" i="76" s="1"/>
  <c r="L86" i="76" a="1"/>
  <c r="L86" i="76" s="1"/>
  <c r="K86" i="76"/>
  <c r="J86" i="76" a="1"/>
  <c r="J86" i="76" s="1"/>
  <c r="I86" i="76"/>
  <c r="P85" i="76"/>
  <c r="O85" i="76" a="1"/>
  <c r="O85" i="76" s="1"/>
  <c r="N85" i="76" a="1"/>
  <c r="N85" i="76" s="1"/>
  <c r="M85" i="76" a="1"/>
  <c r="M85" i="76" s="1"/>
  <c r="L85" i="76" a="1"/>
  <c r="L85" i="76" s="1"/>
  <c r="K85" i="76"/>
  <c r="J85" i="76" a="1"/>
  <c r="J85" i="76" s="1"/>
  <c r="Q85" i="76" s="1"/>
  <c r="I85" i="76"/>
  <c r="P84" i="76"/>
  <c r="O84" i="76" a="1"/>
  <c r="O84" i="76" s="1"/>
  <c r="N84" i="76" a="1"/>
  <c r="N84" i="76" s="1"/>
  <c r="M84" i="76" a="1"/>
  <c r="M84" i="76" s="1"/>
  <c r="L84" i="76" a="1"/>
  <c r="L84" i="76" s="1"/>
  <c r="K84" i="76"/>
  <c r="J84" i="76" a="1"/>
  <c r="J84" i="76" s="1"/>
  <c r="I84" i="76"/>
  <c r="P83" i="76"/>
  <c r="O83" i="76" a="1"/>
  <c r="O83" i="76" s="1"/>
  <c r="N83" i="76" a="1"/>
  <c r="N83" i="76" s="1"/>
  <c r="M83" i="76" a="1"/>
  <c r="M83" i="76" s="1"/>
  <c r="L83" i="76" a="1"/>
  <c r="L83" i="76" s="1"/>
  <c r="K83" i="76"/>
  <c r="J83" i="76" a="1"/>
  <c r="J83" i="76" s="1"/>
  <c r="I83" i="76"/>
  <c r="P82" i="76"/>
  <c r="O82" i="76" a="1"/>
  <c r="O82" i="76" s="1"/>
  <c r="N82" i="76" a="1"/>
  <c r="N82" i="76" s="1"/>
  <c r="M82" i="76" a="1"/>
  <c r="M82" i="76" s="1"/>
  <c r="L82" i="76" a="1"/>
  <c r="L82" i="76" s="1"/>
  <c r="K82" i="76"/>
  <c r="J82" i="76" a="1"/>
  <c r="J82" i="76" s="1"/>
  <c r="I82" i="76"/>
  <c r="P81" i="76"/>
  <c r="O81" i="76" a="1"/>
  <c r="O81" i="76" s="1"/>
  <c r="N81" i="76" a="1"/>
  <c r="N81" i="76" s="1"/>
  <c r="M81" i="76" a="1"/>
  <c r="M81" i="76" s="1"/>
  <c r="L81" i="76" a="1"/>
  <c r="L81" i="76" s="1"/>
  <c r="K81" i="76"/>
  <c r="J81" i="76" a="1"/>
  <c r="J81" i="76" s="1"/>
  <c r="I81" i="76"/>
  <c r="P80" i="76"/>
  <c r="O80" i="76" a="1"/>
  <c r="O80" i="76" s="1"/>
  <c r="N80" i="76" a="1"/>
  <c r="N80" i="76" s="1"/>
  <c r="M80" i="76" a="1"/>
  <c r="M80" i="76" s="1"/>
  <c r="L80" i="76" a="1"/>
  <c r="L80" i="76" s="1"/>
  <c r="K80" i="76"/>
  <c r="J80" i="76" a="1"/>
  <c r="J80" i="76" s="1"/>
  <c r="I80" i="76"/>
  <c r="P79" i="76"/>
  <c r="O79" i="76" a="1"/>
  <c r="O79" i="76" s="1"/>
  <c r="N79" i="76" a="1"/>
  <c r="N79" i="76" s="1"/>
  <c r="M79" i="76" a="1"/>
  <c r="M79" i="76" s="1"/>
  <c r="L79" i="76"/>
  <c r="L79" i="76" a="1"/>
  <c r="K79" i="76"/>
  <c r="J79" i="76" a="1"/>
  <c r="J79" i="76" s="1"/>
  <c r="I79" i="76"/>
  <c r="P78" i="76"/>
  <c r="O78" i="76" a="1"/>
  <c r="O78" i="76" s="1"/>
  <c r="N78" i="76" a="1"/>
  <c r="N78" i="76" s="1"/>
  <c r="M78" i="76" a="1"/>
  <c r="M78" i="76" s="1"/>
  <c r="L78" i="76" a="1"/>
  <c r="L78" i="76" s="1"/>
  <c r="K78" i="76"/>
  <c r="J78" i="76" a="1"/>
  <c r="J78" i="76" s="1"/>
  <c r="Q78" i="76" s="1"/>
  <c r="I78" i="76"/>
  <c r="P75" i="76"/>
  <c r="O75" i="76" a="1"/>
  <c r="O75" i="76" s="1"/>
  <c r="N75" i="76" a="1"/>
  <c r="N75" i="76" s="1"/>
  <c r="M75" i="76" a="1"/>
  <c r="M75" i="76" s="1"/>
  <c r="L75" i="76" a="1"/>
  <c r="L75" i="76" s="1"/>
  <c r="K75" i="76"/>
  <c r="J75" i="76"/>
  <c r="J75" i="76" a="1"/>
  <c r="I75" i="76"/>
  <c r="P74" i="76"/>
  <c r="O74" i="76" a="1"/>
  <c r="O74" i="76" s="1"/>
  <c r="N74" i="76" a="1"/>
  <c r="N74" i="76" s="1"/>
  <c r="M74" i="76" a="1"/>
  <c r="M74" i="76" s="1"/>
  <c r="L74" i="76" a="1"/>
  <c r="L74" i="76" s="1"/>
  <c r="K74" i="76"/>
  <c r="J74" i="76" a="1"/>
  <c r="J74" i="76" s="1"/>
  <c r="Q74" i="76" s="1"/>
  <c r="I74" i="76"/>
  <c r="P73" i="76" a="1"/>
  <c r="P73" i="76" s="1"/>
  <c r="O73" i="76" a="1"/>
  <c r="O73" i="76" s="1"/>
  <c r="N73" i="76" a="1"/>
  <c r="N73" i="76" s="1"/>
  <c r="M73" i="76" a="1"/>
  <c r="M73" i="76" s="1"/>
  <c r="L73" i="76" a="1"/>
  <c r="L73" i="76" s="1"/>
  <c r="K73" i="76"/>
  <c r="J73" i="76"/>
  <c r="J73" i="76" a="1"/>
  <c r="I73" i="76" a="1"/>
  <c r="I73" i="76" s="1"/>
  <c r="P72" i="76" a="1"/>
  <c r="P72" i="76" s="1"/>
  <c r="O72" i="76" a="1"/>
  <c r="O72" i="76" s="1"/>
  <c r="N72" i="76" a="1"/>
  <c r="N72" i="76" s="1"/>
  <c r="M72" i="76" a="1"/>
  <c r="M72" i="76" s="1"/>
  <c r="L72" i="76" a="1"/>
  <c r="L72" i="76" s="1"/>
  <c r="K72" i="76"/>
  <c r="J72" i="76" a="1"/>
  <c r="J72" i="76" s="1"/>
  <c r="I72" i="76" a="1"/>
  <c r="I72" i="76" s="1"/>
  <c r="P71" i="76"/>
  <c r="O71" i="76" a="1"/>
  <c r="O71" i="76" s="1"/>
  <c r="N71" i="76" a="1"/>
  <c r="N71" i="76" s="1"/>
  <c r="M71" i="76" a="1"/>
  <c r="M71" i="76" s="1"/>
  <c r="L71" i="76" a="1"/>
  <c r="L71" i="76" s="1"/>
  <c r="K71" i="76"/>
  <c r="J71" i="76" a="1"/>
  <c r="J71" i="76" s="1"/>
  <c r="I71" i="76"/>
  <c r="P70" i="76"/>
  <c r="O70" i="76" a="1"/>
  <c r="O70" i="76" s="1"/>
  <c r="N70" i="76" a="1"/>
  <c r="N70" i="76" s="1"/>
  <c r="M70" i="76" a="1"/>
  <c r="M70" i="76" s="1"/>
  <c r="L70" i="76" a="1"/>
  <c r="L70" i="76" s="1"/>
  <c r="K70" i="76"/>
  <c r="J70" i="76" a="1"/>
  <c r="J70" i="76" s="1"/>
  <c r="I70" i="76"/>
  <c r="P69" i="76"/>
  <c r="Q69" i="76" s="1"/>
  <c r="O69" i="76" a="1"/>
  <c r="O69" i="76" s="1"/>
  <c r="N69" i="76" a="1"/>
  <c r="N69" i="76" s="1"/>
  <c r="M69" i="76" a="1"/>
  <c r="M69" i="76" s="1"/>
  <c r="L69" i="76" a="1"/>
  <c r="L69" i="76" s="1"/>
  <c r="K69" i="76"/>
  <c r="J69" i="76" a="1"/>
  <c r="J69" i="76" s="1"/>
  <c r="I69" i="76"/>
  <c r="P68" i="76"/>
  <c r="Q68" i="76" s="1"/>
  <c r="O68" i="76" a="1"/>
  <c r="O68" i="76" s="1"/>
  <c r="N68" i="76" a="1"/>
  <c r="N68" i="76" s="1"/>
  <c r="M68" i="76" a="1"/>
  <c r="M68" i="76" s="1"/>
  <c r="L68" i="76" a="1"/>
  <c r="L68" i="76" s="1"/>
  <c r="K68" i="76"/>
  <c r="J68" i="76" a="1"/>
  <c r="J68" i="76" s="1"/>
  <c r="I68" i="76"/>
  <c r="P67" i="76"/>
  <c r="O67" i="76" a="1"/>
  <c r="O67" i="76" s="1"/>
  <c r="N67" i="76" a="1"/>
  <c r="N67" i="76" s="1"/>
  <c r="M67" i="76" a="1"/>
  <c r="M67" i="76" s="1"/>
  <c r="L67" i="76" a="1"/>
  <c r="L67" i="76" s="1"/>
  <c r="K67" i="76"/>
  <c r="J67" i="76" a="1"/>
  <c r="J67" i="76" s="1"/>
  <c r="I67" i="76"/>
  <c r="P66" i="76"/>
  <c r="O66" i="76" a="1"/>
  <c r="O66" i="76" s="1"/>
  <c r="N66" i="76" a="1"/>
  <c r="N66" i="76" s="1"/>
  <c r="M66" i="76" a="1"/>
  <c r="M66" i="76" s="1"/>
  <c r="L66" i="76" a="1"/>
  <c r="L66" i="76" s="1"/>
  <c r="K66" i="76"/>
  <c r="J66" i="76" a="1"/>
  <c r="J66" i="76" s="1"/>
  <c r="I66" i="76"/>
  <c r="P65" i="76"/>
  <c r="O65" i="76" a="1"/>
  <c r="O65" i="76" s="1"/>
  <c r="N65" i="76" a="1"/>
  <c r="N65" i="76" s="1"/>
  <c r="M65" i="76" a="1"/>
  <c r="M65" i="76" s="1"/>
  <c r="L65" i="76" a="1"/>
  <c r="L65" i="76" s="1"/>
  <c r="K65" i="76"/>
  <c r="J65" i="76" a="1"/>
  <c r="J65" i="76" s="1"/>
  <c r="I65" i="76"/>
  <c r="P64" i="76"/>
  <c r="O64" i="76" a="1"/>
  <c r="O64" i="76" s="1"/>
  <c r="N64" i="76" a="1"/>
  <c r="N64" i="76" s="1"/>
  <c r="M64" i="76" a="1"/>
  <c r="M64" i="76" s="1"/>
  <c r="L64" i="76" a="1"/>
  <c r="L64" i="76" s="1"/>
  <c r="K64" i="76"/>
  <c r="J64" i="76" a="1"/>
  <c r="J64" i="76" s="1"/>
  <c r="I64" i="76"/>
  <c r="I76" i="76" s="1"/>
  <c r="P62" i="76"/>
  <c r="O62" i="76" a="1"/>
  <c r="O62" i="76" s="1"/>
  <c r="N62" i="76" a="1"/>
  <c r="N62" i="76" s="1"/>
  <c r="M62" i="76" a="1"/>
  <c r="M62" i="76" s="1"/>
  <c r="L62" i="76" a="1"/>
  <c r="L62" i="76" s="1"/>
  <c r="K62" i="76"/>
  <c r="J62" i="76" a="1"/>
  <c r="J62" i="76" s="1"/>
  <c r="I62" i="76"/>
  <c r="P61" i="76"/>
  <c r="O61" i="76" a="1"/>
  <c r="O61" i="76" s="1"/>
  <c r="N61" i="76" a="1"/>
  <c r="N61" i="76" s="1"/>
  <c r="M61" i="76" a="1"/>
  <c r="M61" i="76" s="1"/>
  <c r="L61" i="76" a="1"/>
  <c r="L61" i="76" s="1"/>
  <c r="K61" i="76"/>
  <c r="J61" i="76" a="1"/>
  <c r="J61" i="76" s="1"/>
  <c r="I61" i="76"/>
  <c r="P60" i="76"/>
  <c r="O60" i="76" a="1"/>
  <c r="O60" i="76" s="1"/>
  <c r="N60" i="76" a="1"/>
  <c r="N60" i="76" s="1"/>
  <c r="M60" i="76" a="1"/>
  <c r="M60" i="76" s="1"/>
  <c r="L60" i="76" a="1"/>
  <c r="L60" i="76" s="1"/>
  <c r="K60" i="76"/>
  <c r="J60" i="76" a="1"/>
  <c r="J60" i="76" s="1"/>
  <c r="I60" i="76"/>
  <c r="P59" i="76"/>
  <c r="O59" i="76" a="1"/>
  <c r="O59" i="76" s="1"/>
  <c r="N59" i="76" a="1"/>
  <c r="N59" i="76" s="1"/>
  <c r="M59" i="76" a="1"/>
  <c r="M59" i="76" s="1"/>
  <c r="L59" i="76" a="1"/>
  <c r="L59" i="76" s="1"/>
  <c r="K59" i="76"/>
  <c r="J59" i="76" a="1"/>
  <c r="J59" i="76" s="1"/>
  <c r="Q59" i="76" s="1"/>
  <c r="I59" i="76"/>
  <c r="P58" i="76"/>
  <c r="O58" i="76" a="1"/>
  <c r="O58" i="76" s="1"/>
  <c r="N58" i="76" a="1"/>
  <c r="N58" i="76" s="1"/>
  <c r="M58" i="76" a="1"/>
  <c r="M58" i="76" s="1"/>
  <c r="L58" i="76" a="1"/>
  <c r="L58" i="76" s="1"/>
  <c r="K58" i="76"/>
  <c r="J58" i="76" a="1"/>
  <c r="J58" i="76" s="1"/>
  <c r="I58" i="76"/>
  <c r="P57" i="76"/>
  <c r="O57" i="76" a="1"/>
  <c r="O57" i="76" s="1"/>
  <c r="N57" i="76" a="1"/>
  <c r="N57" i="76" s="1"/>
  <c r="M57" i="76" a="1"/>
  <c r="M57" i="76" s="1"/>
  <c r="L57" i="76" a="1"/>
  <c r="L57" i="76" s="1"/>
  <c r="K57" i="76"/>
  <c r="J57" i="76" a="1"/>
  <c r="J57" i="76" s="1"/>
  <c r="I57" i="76"/>
  <c r="P56" i="76"/>
  <c r="O56" i="76" a="1"/>
  <c r="O56" i="76" s="1"/>
  <c r="N56" i="76" a="1"/>
  <c r="N56" i="76" s="1"/>
  <c r="M56" i="76" a="1"/>
  <c r="M56" i="76" s="1"/>
  <c r="L56" i="76" a="1"/>
  <c r="L56" i="76" s="1"/>
  <c r="K56" i="76"/>
  <c r="J56" i="76" a="1"/>
  <c r="J56" i="76" s="1"/>
  <c r="I56" i="76"/>
  <c r="P55" i="76"/>
  <c r="O55" i="76" a="1"/>
  <c r="O55" i="76" s="1"/>
  <c r="N55" i="76" a="1"/>
  <c r="N55" i="76" s="1"/>
  <c r="M55" i="76" a="1"/>
  <c r="M55" i="76" s="1"/>
  <c r="L55" i="76" a="1"/>
  <c r="L55" i="76" s="1"/>
  <c r="K55" i="76"/>
  <c r="J55" i="76" a="1"/>
  <c r="J55" i="76" s="1"/>
  <c r="I55" i="76"/>
  <c r="P53" i="76"/>
  <c r="O53" i="76" a="1"/>
  <c r="O53" i="76" s="1"/>
  <c r="N53" i="76" a="1"/>
  <c r="N53" i="76" s="1"/>
  <c r="M53" i="76" a="1"/>
  <c r="M53" i="76" s="1"/>
  <c r="L53" i="76" a="1"/>
  <c r="L53" i="76" s="1"/>
  <c r="K53" i="76"/>
  <c r="J53" i="76" a="1"/>
  <c r="J53" i="76" s="1"/>
  <c r="I53" i="76"/>
  <c r="P52" i="76"/>
  <c r="Q52" i="76" s="1"/>
  <c r="O52" i="76" a="1"/>
  <c r="O52" i="76" s="1"/>
  <c r="N52" i="76" a="1"/>
  <c r="N52" i="76" s="1"/>
  <c r="M52" i="76" a="1"/>
  <c r="M52" i="76" s="1"/>
  <c r="L52" i="76"/>
  <c r="L52" i="76" a="1"/>
  <c r="K52" i="76"/>
  <c r="J52" i="76" a="1"/>
  <c r="J52" i="76" s="1"/>
  <c r="I52" i="76"/>
  <c r="P51" i="76"/>
  <c r="P54" i="76" s="1"/>
  <c r="O51" i="76" a="1"/>
  <c r="O51" i="76" s="1"/>
  <c r="N51" i="76" a="1"/>
  <c r="N51" i="76" s="1"/>
  <c r="M51" i="76" a="1"/>
  <c r="M51" i="76" s="1"/>
  <c r="L51" i="76" a="1"/>
  <c r="L51" i="76" s="1"/>
  <c r="K51" i="76"/>
  <c r="J51" i="76" a="1"/>
  <c r="J51" i="76" s="1"/>
  <c r="I51" i="76"/>
  <c r="P50" i="76"/>
  <c r="O50" i="76" a="1"/>
  <c r="O50" i="76" s="1"/>
  <c r="N50" i="76" a="1"/>
  <c r="N50" i="76" s="1"/>
  <c r="M50" i="76" a="1"/>
  <c r="M50" i="76" s="1"/>
  <c r="L50" i="76" a="1"/>
  <c r="L50" i="76" s="1"/>
  <c r="K50" i="76"/>
  <c r="J50" i="76" a="1"/>
  <c r="J50" i="76" s="1"/>
  <c r="Q50" i="76" s="1"/>
  <c r="I50" i="76"/>
  <c r="P48" i="76"/>
  <c r="O48" i="76"/>
  <c r="O48" i="76" a="1"/>
  <c r="N48" i="76" a="1"/>
  <c r="N48" i="76" s="1"/>
  <c r="M48" i="76" a="1"/>
  <c r="M48" i="76" s="1"/>
  <c r="L48" i="76" a="1"/>
  <c r="L48" i="76" s="1"/>
  <c r="K48" i="76"/>
  <c r="J48" i="76" a="1"/>
  <c r="J48" i="76" s="1"/>
  <c r="I48" i="76"/>
  <c r="P47" i="76"/>
  <c r="O47" i="76" a="1"/>
  <c r="O47" i="76" s="1"/>
  <c r="N47" i="76" a="1"/>
  <c r="N47" i="76" s="1"/>
  <c r="M47" i="76" a="1"/>
  <c r="M47" i="76" s="1"/>
  <c r="L47" i="76" a="1"/>
  <c r="L47" i="76" s="1"/>
  <c r="K47" i="76"/>
  <c r="J47" i="76" a="1"/>
  <c r="J47" i="76" s="1"/>
  <c r="I47" i="76"/>
  <c r="P46" i="76"/>
  <c r="O46" i="76" a="1"/>
  <c r="O46" i="76" s="1"/>
  <c r="N46" i="76" a="1"/>
  <c r="N46" i="76" s="1"/>
  <c r="M46" i="76" a="1"/>
  <c r="M46" i="76" s="1"/>
  <c r="L46" i="76" a="1"/>
  <c r="L46" i="76" s="1"/>
  <c r="K46" i="76"/>
  <c r="J46" i="76" a="1"/>
  <c r="J46" i="76" s="1"/>
  <c r="I46" i="76"/>
  <c r="P45" i="76"/>
  <c r="O45" i="76" a="1"/>
  <c r="O45" i="76" s="1"/>
  <c r="N45" i="76" a="1"/>
  <c r="N45" i="76" s="1"/>
  <c r="M45" i="76"/>
  <c r="M45" i="76" a="1"/>
  <c r="L45" i="76" a="1"/>
  <c r="L45" i="76" s="1"/>
  <c r="K45" i="76"/>
  <c r="J45" i="76" a="1"/>
  <c r="J45" i="76" s="1"/>
  <c r="Q45" i="76" s="1"/>
  <c r="I45" i="76"/>
  <c r="P44" i="76"/>
  <c r="Q44" i="76" s="1"/>
  <c r="O44" i="76" a="1"/>
  <c r="O44" i="76" s="1"/>
  <c r="N44" i="76" a="1"/>
  <c r="N44" i="76" s="1"/>
  <c r="M44" i="76" a="1"/>
  <c r="M44" i="76" s="1"/>
  <c r="L44" i="76" a="1"/>
  <c r="L44" i="76" s="1"/>
  <c r="K44" i="76"/>
  <c r="J44" i="76" a="1"/>
  <c r="J44" i="76" s="1"/>
  <c r="I44" i="76"/>
  <c r="P43" i="76"/>
  <c r="O43" i="76" a="1"/>
  <c r="O43" i="76" s="1"/>
  <c r="N43" i="76" a="1"/>
  <c r="N43" i="76" s="1"/>
  <c r="M43" i="76"/>
  <c r="M43" i="76" a="1"/>
  <c r="L43" i="76" a="1"/>
  <c r="L43" i="76" s="1"/>
  <c r="K43" i="76"/>
  <c r="J43" i="76" a="1"/>
  <c r="J43" i="76" s="1"/>
  <c r="I43" i="76"/>
  <c r="P42" i="76"/>
  <c r="O42" i="76" a="1"/>
  <c r="O42" i="76" s="1"/>
  <c r="N42" i="76" a="1"/>
  <c r="N42" i="76" s="1"/>
  <c r="M42" i="76" a="1"/>
  <c r="M42" i="76" s="1"/>
  <c r="L42" i="76" a="1"/>
  <c r="L42" i="76" s="1"/>
  <c r="K42" i="76"/>
  <c r="J42" i="76"/>
  <c r="J42" i="76" a="1"/>
  <c r="I42" i="76"/>
  <c r="P41" i="76"/>
  <c r="O41" i="76" a="1"/>
  <c r="O41" i="76" s="1"/>
  <c r="N41" i="76" a="1"/>
  <c r="N41" i="76" s="1"/>
  <c r="M41" i="76" a="1"/>
  <c r="M41" i="76" s="1"/>
  <c r="L41" i="76" a="1"/>
  <c r="L41" i="76" s="1"/>
  <c r="K41" i="76"/>
  <c r="J41" i="76"/>
  <c r="Q41" i="76" s="1"/>
  <c r="J41" i="76" a="1"/>
  <c r="I41" i="76"/>
  <c r="P40" i="76"/>
  <c r="O40" i="76" a="1"/>
  <c r="O40" i="76" s="1"/>
  <c r="N40" i="76" a="1"/>
  <c r="N40" i="76" s="1"/>
  <c r="M40" i="76"/>
  <c r="M40" i="76" a="1"/>
  <c r="L40" i="76" a="1"/>
  <c r="L40" i="76" s="1"/>
  <c r="K40" i="76"/>
  <c r="J40" i="76" a="1"/>
  <c r="J40" i="76" s="1"/>
  <c r="I40" i="76"/>
  <c r="P39" i="76"/>
  <c r="O39" i="76" a="1"/>
  <c r="O39" i="76" s="1"/>
  <c r="N39" i="76" a="1"/>
  <c r="N39" i="76" s="1"/>
  <c r="M39" i="76" a="1"/>
  <c r="M39" i="76" s="1"/>
  <c r="L39" i="76" a="1"/>
  <c r="L39" i="76" s="1"/>
  <c r="K39" i="76"/>
  <c r="J39" i="76" a="1"/>
  <c r="J39" i="76" s="1"/>
  <c r="I39" i="76"/>
  <c r="P38" i="76"/>
  <c r="O38" i="76"/>
  <c r="O38" i="76" a="1"/>
  <c r="N38" i="76" a="1"/>
  <c r="N38" i="76" s="1"/>
  <c r="M38" i="76" a="1"/>
  <c r="M38" i="76" s="1"/>
  <c r="L38" i="76"/>
  <c r="L38" i="76" a="1"/>
  <c r="K38" i="76"/>
  <c r="J38" i="76" a="1"/>
  <c r="J38" i="76" s="1"/>
  <c r="I38" i="76"/>
  <c r="P37" i="76"/>
  <c r="O37" i="76" a="1"/>
  <c r="O37" i="76" s="1"/>
  <c r="N37" i="76" a="1"/>
  <c r="N37" i="76" s="1"/>
  <c r="M37" i="76" a="1"/>
  <c r="M37" i="76" s="1"/>
  <c r="L37" i="76" a="1"/>
  <c r="L37" i="76" s="1"/>
  <c r="K37" i="76"/>
  <c r="J37" i="76" a="1"/>
  <c r="J37" i="76" s="1"/>
  <c r="I37" i="76"/>
  <c r="P36" i="76"/>
  <c r="O36" i="76" a="1"/>
  <c r="O36" i="76" s="1"/>
  <c r="N36" i="76" a="1"/>
  <c r="N36" i="76" s="1"/>
  <c r="M36" i="76" a="1"/>
  <c r="M36" i="76" s="1"/>
  <c r="L36" i="76" a="1"/>
  <c r="L36" i="76" s="1"/>
  <c r="K36" i="76"/>
  <c r="J36" i="76" a="1"/>
  <c r="J36" i="76" s="1"/>
  <c r="I36" i="76"/>
  <c r="P35" i="76"/>
  <c r="O35" i="76" a="1"/>
  <c r="O35" i="76" s="1"/>
  <c r="N35" i="76"/>
  <c r="N35" i="76" a="1"/>
  <c r="M35" i="76" a="1"/>
  <c r="M35" i="76" s="1"/>
  <c r="L35" i="76" a="1"/>
  <c r="L35" i="76" s="1"/>
  <c r="K35" i="76"/>
  <c r="J35" i="76" a="1"/>
  <c r="J35" i="76" s="1"/>
  <c r="I35" i="76"/>
  <c r="P27" i="76"/>
  <c r="O27" i="76" a="1"/>
  <c r="O27" i="76" s="1"/>
  <c r="N27" i="76" a="1"/>
  <c r="N27" i="76" s="1"/>
  <c r="M27" i="76" a="1"/>
  <c r="M27" i="76" s="1"/>
  <c r="L27" i="76" a="1"/>
  <c r="L27" i="76" s="1"/>
  <c r="K27" i="76"/>
  <c r="J27" i="76" a="1"/>
  <c r="J27" i="76" s="1"/>
  <c r="I27" i="76"/>
  <c r="P26" i="76"/>
  <c r="O26" i="76" a="1"/>
  <c r="O26" i="76" s="1"/>
  <c r="N26" i="76" a="1"/>
  <c r="N26" i="76" s="1"/>
  <c r="M26" i="76" a="1"/>
  <c r="M26" i="76" s="1"/>
  <c r="L26" i="76" a="1"/>
  <c r="L26" i="76" s="1"/>
  <c r="K26" i="76"/>
  <c r="J26" i="76" a="1"/>
  <c r="J26" i="76" s="1"/>
  <c r="I26" i="76"/>
  <c r="P25" i="76"/>
  <c r="O25" i="76" a="1"/>
  <c r="O25" i="76" s="1"/>
  <c r="N25" i="76" a="1"/>
  <c r="N25" i="76" s="1"/>
  <c r="M25" i="76" a="1"/>
  <c r="M25" i="76" s="1"/>
  <c r="L25" i="76" a="1"/>
  <c r="L25" i="76" s="1"/>
  <c r="K25" i="76"/>
  <c r="J25" i="76" a="1"/>
  <c r="J25" i="76" s="1"/>
  <c r="I25" i="76"/>
  <c r="P24" i="76"/>
  <c r="O24" i="76" a="1"/>
  <c r="O24" i="76" s="1"/>
  <c r="N24" i="76" a="1"/>
  <c r="N24" i="76" s="1"/>
  <c r="M24" i="76" a="1"/>
  <c r="M24" i="76" s="1"/>
  <c r="L24" i="76" a="1"/>
  <c r="L24" i="76" s="1"/>
  <c r="K24" i="76"/>
  <c r="J24" i="76" a="1"/>
  <c r="J24" i="76" s="1"/>
  <c r="I24" i="76"/>
  <c r="P23" i="76"/>
  <c r="O23" i="76" a="1"/>
  <c r="O23" i="76" s="1"/>
  <c r="N23" i="76" a="1"/>
  <c r="N23" i="76" s="1"/>
  <c r="M23" i="76" a="1"/>
  <c r="M23" i="76" s="1"/>
  <c r="L23" i="76" a="1"/>
  <c r="L23" i="76" s="1"/>
  <c r="K23" i="76"/>
  <c r="J23" i="76" a="1"/>
  <c r="J23" i="76" s="1"/>
  <c r="I23" i="76"/>
  <c r="P22" i="76"/>
  <c r="O22" i="76" a="1"/>
  <c r="O22" i="76" s="1"/>
  <c r="N22" i="76"/>
  <c r="N22" i="76" a="1"/>
  <c r="M22" i="76" a="1"/>
  <c r="M22" i="76" s="1"/>
  <c r="L22" i="76" a="1"/>
  <c r="L22" i="76" s="1"/>
  <c r="K22" i="76"/>
  <c r="J22" i="76" a="1"/>
  <c r="J22" i="76" s="1"/>
  <c r="I22" i="76"/>
  <c r="P21" i="76"/>
  <c r="O21" i="76"/>
  <c r="O21" i="76" a="1"/>
  <c r="N21" i="76" a="1"/>
  <c r="N21" i="76" s="1"/>
  <c r="M21" i="76" a="1"/>
  <c r="M21" i="76" s="1"/>
  <c r="L21" i="76" a="1"/>
  <c r="L21" i="76" s="1"/>
  <c r="K21" i="76"/>
  <c r="J21" i="76" a="1"/>
  <c r="J21" i="76" s="1"/>
  <c r="I21" i="76"/>
  <c r="P20" i="76"/>
  <c r="O20" i="76" a="1"/>
  <c r="O20" i="76" s="1"/>
  <c r="N20" i="76" a="1"/>
  <c r="N20" i="76" s="1"/>
  <c r="M20" i="76" a="1"/>
  <c r="M20" i="76" s="1"/>
  <c r="L20" i="76" a="1"/>
  <c r="L20" i="76" s="1"/>
  <c r="K20" i="76"/>
  <c r="J20" i="76" a="1"/>
  <c r="J20" i="76" s="1"/>
  <c r="Q20" i="76" s="1"/>
  <c r="I20" i="76"/>
  <c r="P19" i="76"/>
  <c r="O19" i="76" a="1"/>
  <c r="O19" i="76" s="1"/>
  <c r="N19" i="76" a="1"/>
  <c r="N19" i="76" s="1"/>
  <c r="M19" i="76" a="1"/>
  <c r="M19" i="76" s="1"/>
  <c r="L19" i="76" a="1"/>
  <c r="L19" i="76" s="1"/>
  <c r="K19" i="76"/>
  <c r="J19" i="76" a="1"/>
  <c r="J19" i="76" s="1"/>
  <c r="I19" i="76"/>
  <c r="P18" i="76"/>
  <c r="O18" i="76" a="1"/>
  <c r="O18" i="76" s="1"/>
  <c r="N18" i="76" a="1"/>
  <c r="N18" i="76" s="1"/>
  <c r="M18" i="76" a="1"/>
  <c r="M18" i="76" s="1"/>
  <c r="L18" i="76"/>
  <c r="L18" i="76" a="1"/>
  <c r="K18" i="76"/>
  <c r="J18" i="76" a="1"/>
  <c r="J18" i="76" s="1"/>
  <c r="I18" i="76"/>
  <c r="P16" i="76"/>
  <c r="O16" i="76" a="1"/>
  <c r="O16" i="76" s="1"/>
  <c r="N16" i="76" a="1"/>
  <c r="N16" i="76" s="1"/>
  <c r="M16" i="76" a="1"/>
  <c r="M16" i="76" s="1"/>
  <c r="L16" i="76" a="1"/>
  <c r="L16" i="76" s="1"/>
  <c r="K16" i="76"/>
  <c r="J16" i="76" a="1"/>
  <c r="J16" i="76" s="1"/>
  <c r="I16" i="76"/>
  <c r="P15" i="76"/>
  <c r="O15" i="76" a="1"/>
  <c r="O15" i="76" s="1"/>
  <c r="N15" i="76" a="1"/>
  <c r="N15" i="76" s="1"/>
  <c r="M15" i="76" a="1"/>
  <c r="M15" i="76" s="1"/>
  <c r="L15" i="76" a="1"/>
  <c r="L15" i="76" s="1"/>
  <c r="K15" i="76"/>
  <c r="J15" i="76" a="1"/>
  <c r="J15" i="76" s="1"/>
  <c r="Q15" i="76" s="1"/>
  <c r="I15" i="76"/>
  <c r="P14" i="76"/>
  <c r="O14" i="76" a="1"/>
  <c r="O14" i="76" s="1"/>
  <c r="N14" i="76" a="1"/>
  <c r="N14" i="76" s="1"/>
  <c r="M14" i="76" a="1"/>
  <c r="M14" i="76" s="1"/>
  <c r="L14" i="76" a="1"/>
  <c r="L14" i="76" s="1"/>
  <c r="K14" i="76"/>
  <c r="J14" i="76" a="1"/>
  <c r="J14" i="76" s="1"/>
  <c r="Q14" i="76" s="1"/>
  <c r="I14" i="76"/>
  <c r="P13" i="76"/>
  <c r="O13" i="76" a="1"/>
  <c r="O13" i="76" s="1"/>
  <c r="N13" i="76" a="1"/>
  <c r="N13" i="76" s="1"/>
  <c r="M13" i="76" a="1"/>
  <c r="M13" i="76" s="1"/>
  <c r="L13" i="76" a="1"/>
  <c r="L13" i="76" s="1"/>
  <c r="K13" i="76"/>
  <c r="J13" i="76" a="1"/>
  <c r="J13" i="76" s="1"/>
  <c r="I13" i="76"/>
  <c r="P12" i="76"/>
  <c r="O12" i="76" a="1"/>
  <c r="O12" i="76" s="1"/>
  <c r="N12" i="76" a="1"/>
  <c r="N12" i="76" s="1"/>
  <c r="M12" i="76" a="1"/>
  <c r="M12" i="76" s="1"/>
  <c r="L12" i="76" a="1"/>
  <c r="L12" i="76" s="1"/>
  <c r="K12" i="76"/>
  <c r="J12" i="76" a="1"/>
  <c r="J12" i="76" s="1"/>
  <c r="I12" i="76"/>
  <c r="P11" i="76"/>
  <c r="O11" i="76" a="1"/>
  <c r="O11" i="76" s="1"/>
  <c r="N11" i="76"/>
  <c r="N11" i="76" a="1"/>
  <c r="M11" i="76" a="1"/>
  <c r="M11" i="76" s="1"/>
  <c r="L11" i="76" a="1"/>
  <c r="L11" i="76" s="1"/>
  <c r="K11" i="76"/>
  <c r="J11" i="76" a="1"/>
  <c r="J11" i="76" s="1"/>
  <c r="Q11" i="76" s="1"/>
  <c r="I11" i="76"/>
  <c r="P10" i="76"/>
  <c r="O10" i="76" a="1"/>
  <c r="O10" i="76" s="1"/>
  <c r="N10" i="76" a="1"/>
  <c r="N10" i="76" s="1"/>
  <c r="M10" i="76" a="1"/>
  <c r="M10" i="76" s="1"/>
  <c r="L10" i="76"/>
  <c r="L10" i="76" a="1"/>
  <c r="K10" i="76"/>
  <c r="J10" i="76" a="1"/>
  <c r="J10" i="76" s="1"/>
  <c r="Q10" i="76" s="1"/>
  <c r="I10" i="76"/>
  <c r="P9" i="76"/>
  <c r="O9" i="76" a="1"/>
  <c r="O9" i="76" s="1"/>
  <c r="N9" i="76" a="1"/>
  <c r="N9" i="76" s="1"/>
  <c r="M9" i="76" a="1"/>
  <c r="M9" i="76" s="1"/>
  <c r="L9" i="76" a="1"/>
  <c r="L9" i="76" s="1"/>
  <c r="K9" i="76"/>
  <c r="J9" i="76" a="1"/>
  <c r="J9" i="76" s="1"/>
  <c r="I9" i="76"/>
  <c r="P8" i="76"/>
  <c r="O8" i="76"/>
  <c r="O8" i="76" a="1"/>
  <c r="N8" i="76" a="1"/>
  <c r="N8" i="76" s="1"/>
  <c r="M8" i="76" a="1"/>
  <c r="M8" i="76" s="1"/>
  <c r="L8" i="76" a="1"/>
  <c r="L8" i="76" s="1"/>
  <c r="K8" i="76"/>
  <c r="J8" i="76" a="1"/>
  <c r="J8" i="76" s="1"/>
  <c r="I8" i="76"/>
  <c r="P7" i="76"/>
  <c r="Q7" i="76" s="1"/>
  <c r="O7" i="76" a="1"/>
  <c r="O7" i="76" s="1"/>
  <c r="N7" i="76" a="1"/>
  <c r="N7" i="76" s="1"/>
  <c r="M7" i="76" a="1"/>
  <c r="M7" i="76" s="1"/>
  <c r="L7" i="76" a="1"/>
  <c r="L7" i="76" s="1"/>
  <c r="K7" i="76"/>
  <c r="J7" i="76" a="1"/>
  <c r="J7" i="76" s="1"/>
  <c r="I7" i="76"/>
  <c r="P6" i="76"/>
  <c r="O6" i="76" a="1"/>
  <c r="O6" i="76" s="1"/>
  <c r="N6" i="76" a="1"/>
  <c r="N6" i="76" s="1"/>
  <c r="M6" i="76" a="1"/>
  <c r="M6" i="76" s="1"/>
  <c r="L6" i="76" a="1"/>
  <c r="L6" i="76" s="1"/>
  <c r="K6" i="76"/>
  <c r="J6" i="76" a="1"/>
  <c r="J6" i="76" s="1"/>
  <c r="I6" i="76"/>
  <c r="P5" i="76"/>
  <c r="O5" i="76" a="1"/>
  <c r="O5" i="76" s="1"/>
  <c r="N5" i="76" a="1"/>
  <c r="N5" i="76" s="1"/>
  <c r="M5" i="76" a="1"/>
  <c r="M5" i="76" s="1"/>
  <c r="L5" i="76" a="1"/>
  <c r="L5" i="76" s="1"/>
  <c r="K5" i="76"/>
  <c r="J5" i="76" a="1"/>
  <c r="J5" i="76" s="1"/>
  <c r="I5" i="76"/>
  <c r="P4" i="76"/>
  <c r="O4" i="76" a="1"/>
  <c r="O4" i="76" s="1"/>
  <c r="N4" i="76" a="1"/>
  <c r="N4" i="76" s="1"/>
  <c r="M4" i="76" a="1"/>
  <c r="M4" i="76" s="1"/>
  <c r="L4" i="76" a="1"/>
  <c r="L4" i="76" s="1"/>
  <c r="K4" i="76"/>
  <c r="J4" i="76" a="1"/>
  <c r="J4" i="76" s="1"/>
  <c r="I4" i="76"/>
  <c r="P3" i="76"/>
  <c r="O3" i="76" a="1"/>
  <c r="O3" i="76" s="1"/>
  <c r="N3" i="76" a="1"/>
  <c r="N3" i="76" s="1"/>
  <c r="M3" i="76" a="1"/>
  <c r="M3" i="76" s="1"/>
  <c r="L3" i="76" a="1"/>
  <c r="L3" i="76" s="1"/>
  <c r="K3" i="76"/>
  <c r="J3" i="76"/>
  <c r="J3" i="76" a="1"/>
  <c r="I3" i="76"/>
  <c r="P200" i="75"/>
  <c r="O200" i="75" a="1"/>
  <c r="O200" i="75" s="1"/>
  <c r="N200" i="75" a="1"/>
  <c r="N200" i="75" s="1"/>
  <c r="M200" i="75" a="1"/>
  <c r="M200" i="75" s="1"/>
  <c r="L200" i="75" a="1"/>
  <c r="L200" i="75" s="1"/>
  <c r="K200" i="75"/>
  <c r="J200" i="75" a="1"/>
  <c r="J200" i="75" s="1"/>
  <c r="I200" i="75"/>
  <c r="P199" i="75"/>
  <c r="O199" i="75" a="1"/>
  <c r="O199" i="75" s="1"/>
  <c r="N199" i="75" a="1"/>
  <c r="N199" i="75" s="1"/>
  <c r="N201" i="75" s="1"/>
  <c r="M199" i="75" a="1"/>
  <c r="M199" i="75" s="1"/>
  <c r="L199" i="75"/>
  <c r="L199" i="75" a="1"/>
  <c r="K199" i="75"/>
  <c r="J199" i="75"/>
  <c r="J199" i="75" a="1"/>
  <c r="I199" i="75"/>
  <c r="P196" i="75"/>
  <c r="O196" i="75" a="1"/>
  <c r="O196" i="75" s="1"/>
  <c r="N196" i="75" a="1"/>
  <c r="N196" i="75" s="1"/>
  <c r="M196" i="75" a="1"/>
  <c r="M196" i="75" s="1"/>
  <c r="L196" i="75" a="1"/>
  <c r="L196" i="75" s="1"/>
  <c r="K196" i="75"/>
  <c r="J196" i="75" a="1"/>
  <c r="J196" i="75" s="1"/>
  <c r="I196" i="75"/>
  <c r="P195" i="75"/>
  <c r="O195" i="75" a="1"/>
  <c r="O195" i="75" s="1"/>
  <c r="N195" i="75" a="1"/>
  <c r="N195" i="75" s="1"/>
  <c r="M195" i="75" a="1"/>
  <c r="M195" i="75" s="1"/>
  <c r="L195" i="75" a="1"/>
  <c r="L195" i="75" s="1"/>
  <c r="K195" i="75"/>
  <c r="J195" i="75" a="1"/>
  <c r="J195" i="75" s="1"/>
  <c r="I195" i="75"/>
  <c r="P193" i="75"/>
  <c r="O193" i="75" a="1"/>
  <c r="O193" i="75" s="1"/>
  <c r="N193" i="75" a="1"/>
  <c r="N193" i="75" s="1"/>
  <c r="M193" i="75" a="1"/>
  <c r="M193" i="75" s="1"/>
  <c r="L193" i="75"/>
  <c r="L193" i="75" a="1"/>
  <c r="K193" i="75"/>
  <c r="J193" i="75" a="1"/>
  <c r="J193" i="75" s="1"/>
  <c r="I193" i="75"/>
  <c r="P192" i="75"/>
  <c r="O192" i="75" a="1"/>
  <c r="O192" i="75" s="1"/>
  <c r="N192" i="75" a="1"/>
  <c r="N192" i="75" s="1"/>
  <c r="M192" i="75" a="1"/>
  <c r="M192" i="75" s="1"/>
  <c r="L192" i="75" a="1"/>
  <c r="L192" i="75" s="1"/>
  <c r="K192" i="75"/>
  <c r="J192" i="75" a="1"/>
  <c r="J192" i="75" s="1"/>
  <c r="I192" i="75"/>
  <c r="P191" i="75"/>
  <c r="O191" i="75" a="1"/>
  <c r="O191" i="75" s="1"/>
  <c r="N191" i="75" a="1"/>
  <c r="N191" i="75" s="1"/>
  <c r="M191" i="75" a="1"/>
  <c r="M191" i="75" s="1"/>
  <c r="L191" i="75" a="1"/>
  <c r="L191" i="75" s="1"/>
  <c r="K191" i="75"/>
  <c r="J191" i="75" a="1"/>
  <c r="J191" i="75" s="1"/>
  <c r="I191" i="75"/>
  <c r="P190" i="75"/>
  <c r="O190" i="75" a="1"/>
  <c r="O190" i="75" s="1"/>
  <c r="N190" i="75" a="1"/>
  <c r="N190" i="75" s="1"/>
  <c r="M190" i="75" a="1"/>
  <c r="M190" i="75" s="1"/>
  <c r="L190" i="75"/>
  <c r="L190" i="75" a="1"/>
  <c r="K190" i="75"/>
  <c r="J190" i="75" a="1"/>
  <c r="J190" i="75" s="1"/>
  <c r="I190" i="75"/>
  <c r="P189" i="75"/>
  <c r="Q189" i="75" s="1"/>
  <c r="O189" i="75" a="1"/>
  <c r="O189" i="75" s="1"/>
  <c r="N189" i="75" a="1"/>
  <c r="N189" i="75" s="1"/>
  <c r="M189" i="75" a="1"/>
  <c r="M189" i="75" s="1"/>
  <c r="L189" i="75" a="1"/>
  <c r="L189" i="75" s="1"/>
  <c r="K189" i="75"/>
  <c r="J189" i="75" a="1"/>
  <c r="J189" i="75" s="1"/>
  <c r="I189" i="75"/>
  <c r="P188" i="75"/>
  <c r="O188" i="75" a="1"/>
  <c r="O188" i="75" s="1"/>
  <c r="N188" i="75" a="1"/>
  <c r="N188" i="75" s="1"/>
  <c r="M188" i="75" a="1"/>
  <c r="M188" i="75" s="1"/>
  <c r="L188" i="75" a="1"/>
  <c r="L188" i="75" s="1"/>
  <c r="K188" i="75"/>
  <c r="J188" i="75" a="1"/>
  <c r="J188" i="75" s="1"/>
  <c r="I188" i="75"/>
  <c r="P187" i="75"/>
  <c r="O187" i="75" a="1"/>
  <c r="O187" i="75" s="1"/>
  <c r="N187" i="75" a="1"/>
  <c r="N187" i="75" s="1"/>
  <c r="M187" i="75" a="1"/>
  <c r="M187" i="75" s="1"/>
  <c r="L187" i="75" a="1"/>
  <c r="L187" i="75" s="1"/>
  <c r="K187" i="75"/>
  <c r="J187" i="75" a="1"/>
  <c r="J187" i="75" s="1"/>
  <c r="I187" i="75"/>
  <c r="P186" i="75"/>
  <c r="O186" i="75" a="1"/>
  <c r="O186" i="75" s="1"/>
  <c r="N186" i="75" a="1"/>
  <c r="N186" i="75" s="1"/>
  <c r="M186" i="75" a="1"/>
  <c r="M186" i="75" s="1"/>
  <c r="L186" i="75" a="1"/>
  <c r="L186" i="75" s="1"/>
  <c r="K186" i="75"/>
  <c r="J186" i="75" a="1"/>
  <c r="J186" i="75" s="1"/>
  <c r="I186" i="75"/>
  <c r="P185" i="75"/>
  <c r="Q185" i="75" s="1"/>
  <c r="O185" i="75" a="1"/>
  <c r="O185" i="75" s="1"/>
  <c r="N185" i="75" a="1"/>
  <c r="N185" i="75" s="1"/>
  <c r="M185" i="75" a="1"/>
  <c r="M185" i="75" s="1"/>
  <c r="L185" i="75" a="1"/>
  <c r="L185" i="75" s="1"/>
  <c r="K185" i="75"/>
  <c r="J185" i="75" a="1"/>
  <c r="J185" i="75" s="1"/>
  <c r="I185" i="75"/>
  <c r="P184" i="75"/>
  <c r="O184" i="75" a="1"/>
  <c r="O184" i="75" s="1"/>
  <c r="N184" i="75" a="1"/>
  <c r="N184" i="75" s="1"/>
  <c r="M184" i="75" a="1"/>
  <c r="M184" i="75" s="1"/>
  <c r="L184" i="75" a="1"/>
  <c r="L184" i="75" s="1"/>
  <c r="K184" i="75"/>
  <c r="J184" i="75" a="1"/>
  <c r="J184" i="75" s="1"/>
  <c r="Q184" i="75" s="1"/>
  <c r="I184" i="75"/>
  <c r="P183" i="75"/>
  <c r="O183" i="75" a="1"/>
  <c r="O183" i="75" s="1"/>
  <c r="N183" i="75" a="1"/>
  <c r="N183" i="75" s="1"/>
  <c r="M183" i="75"/>
  <c r="M183" i="75" a="1"/>
  <c r="L183" i="75" a="1"/>
  <c r="L183" i="75" s="1"/>
  <c r="K183" i="75"/>
  <c r="J183" i="75" a="1"/>
  <c r="J183" i="75" s="1"/>
  <c r="I183" i="75"/>
  <c r="P182" i="75"/>
  <c r="O182" i="75" a="1"/>
  <c r="O182" i="75" s="1"/>
  <c r="N182" i="75" a="1"/>
  <c r="N182" i="75" s="1"/>
  <c r="M182" i="75" a="1"/>
  <c r="M182" i="75" s="1"/>
  <c r="L182" i="75" a="1"/>
  <c r="L182" i="75" s="1"/>
  <c r="K182" i="75"/>
  <c r="J182" i="75" a="1"/>
  <c r="J182" i="75" s="1"/>
  <c r="I182" i="75"/>
  <c r="P181" i="75"/>
  <c r="O181" i="75" a="1"/>
  <c r="O181" i="75" s="1"/>
  <c r="N181" i="75" a="1"/>
  <c r="N181" i="75" s="1"/>
  <c r="M181" i="75" a="1"/>
  <c r="M181" i="75" s="1"/>
  <c r="L181" i="75"/>
  <c r="L181" i="75" a="1"/>
  <c r="K181" i="75"/>
  <c r="J181" i="75" a="1"/>
  <c r="J181" i="75" s="1"/>
  <c r="I181" i="75"/>
  <c r="P180" i="75"/>
  <c r="O180" i="75" a="1"/>
  <c r="O180" i="75" s="1"/>
  <c r="N180" i="75" a="1"/>
  <c r="N180" i="75" s="1"/>
  <c r="M180" i="75" a="1"/>
  <c r="M180" i="75" s="1"/>
  <c r="L180" i="75" a="1"/>
  <c r="L180" i="75" s="1"/>
  <c r="K180" i="75"/>
  <c r="J180" i="75" a="1"/>
  <c r="J180" i="75" s="1"/>
  <c r="I180" i="75"/>
  <c r="P179" i="75"/>
  <c r="O179" i="75" a="1"/>
  <c r="O179" i="75" s="1"/>
  <c r="N179" i="75" a="1"/>
  <c r="N179" i="75" s="1"/>
  <c r="M179" i="75" a="1"/>
  <c r="M179" i="75" s="1"/>
  <c r="L179" i="75" a="1"/>
  <c r="L179" i="75" s="1"/>
  <c r="K179" i="75"/>
  <c r="J179" i="75" a="1"/>
  <c r="J179" i="75" s="1"/>
  <c r="Q179" i="75" s="1"/>
  <c r="I179" i="75"/>
  <c r="P178" i="75"/>
  <c r="O178" i="75" a="1"/>
  <c r="O178" i="75" s="1"/>
  <c r="N178" i="75" a="1"/>
  <c r="N178" i="75" s="1"/>
  <c r="M178" i="75" a="1"/>
  <c r="M178" i="75" s="1"/>
  <c r="L178" i="75"/>
  <c r="L178" i="75" a="1"/>
  <c r="K178" i="75"/>
  <c r="J178" i="75" a="1"/>
  <c r="J178" i="75" s="1"/>
  <c r="I178" i="75"/>
  <c r="P177" i="75"/>
  <c r="Q177" i="75" s="1"/>
  <c r="O177" i="75" a="1"/>
  <c r="O177" i="75" s="1"/>
  <c r="N177" i="75" a="1"/>
  <c r="N177" i="75" s="1"/>
  <c r="M177" i="75" a="1"/>
  <c r="M177" i="75" s="1"/>
  <c r="L177" i="75" a="1"/>
  <c r="L177" i="75" s="1"/>
  <c r="K177" i="75"/>
  <c r="J177" i="75" a="1"/>
  <c r="J177" i="75" s="1"/>
  <c r="I177" i="75"/>
  <c r="P176" i="75"/>
  <c r="O176" i="75" a="1"/>
  <c r="O176" i="75" s="1"/>
  <c r="N176" i="75" a="1"/>
  <c r="N176" i="75" s="1"/>
  <c r="M176" i="75" a="1"/>
  <c r="M176" i="75" s="1"/>
  <c r="L176" i="75" a="1"/>
  <c r="L176" i="75" s="1"/>
  <c r="K176" i="75"/>
  <c r="J176" i="75" a="1"/>
  <c r="J176" i="75" s="1"/>
  <c r="I176" i="75"/>
  <c r="P175" i="75"/>
  <c r="O175" i="75" a="1"/>
  <c r="O175" i="75" s="1"/>
  <c r="N175" i="75" a="1"/>
  <c r="N175" i="75" s="1"/>
  <c r="M175" i="75" a="1"/>
  <c r="M175" i="75" s="1"/>
  <c r="L175" i="75" a="1"/>
  <c r="L175" i="75" s="1"/>
  <c r="K175" i="75"/>
  <c r="J175" i="75" a="1"/>
  <c r="J175" i="75" s="1"/>
  <c r="Q175" i="75" s="1"/>
  <c r="I175" i="75"/>
  <c r="P174" i="75"/>
  <c r="O174" i="75" a="1"/>
  <c r="O174" i="75" s="1"/>
  <c r="N174" i="75" a="1"/>
  <c r="N174" i="75" s="1"/>
  <c r="M174" i="75" a="1"/>
  <c r="M174" i="75" s="1"/>
  <c r="L174" i="75" a="1"/>
  <c r="L174" i="75" s="1"/>
  <c r="K174" i="75"/>
  <c r="J174" i="75" a="1"/>
  <c r="J174" i="75" s="1"/>
  <c r="I174" i="75"/>
  <c r="P173" i="75"/>
  <c r="O173" i="75" a="1"/>
  <c r="O173" i="75" s="1"/>
  <c r="N173" i="75"/>
  <c r="N173" i="75" a="1"/>
  <c r="M173" i="75" a="1"/>
  <c r="M173" i="75" s="1"/>
  <c r="L173" i="75" a="1"/>
  <c r="L173" i="75" s="1"/>
  <c r="K173" i="75"/>
  <c r="J173" i="75" a="1"/>
  <c r="J173" i="75" s="1"/>
  <c r="I173" i="75"/>
  <c r="P172" i="75"/>
  <c r="O172" i="75" a="1"/>
  <c r="O172" i="75" s="1"/>
  <c r="N172" i="75" a="1"/>
  <c r="N172" i="75" s="1"/>
  <c r="M172" i="75" a="1"/>
  <c r="M172" i="75" s="1"/>
  <c r="L172" i="75" a="1"/>
  <c r="L172" i="75" s="1"/>
  <c r="K172" i="75"/>
  <c r="J172" i="75" a="1"/>
  <c r="J172" i="75" s="1"/>
  <c r="Q172" i="75" s="1"/>
  <c r="I172" i="75"/>
  <c r="P171" i="75"/>
  <c r="O171" i="75" a="1"/>
  <c r="O171" i="75" s="1"/>
  <c r="N171" i="75" a="1"/>
  <c r="N171" i="75" s="1"/>
  <c r="M171" i="75" a="1"/>
  <c r="M171" i="75" s="1"/>
  <c r="L171" i="75" a="1"/>
  <c r="L171" i="75" s="1"/>
  <c r="K171" i="75"/>
  <c r="J171" i="75" a="1"/>
  <c r="J171" i="75" s="1"/>
  <c r="I171" i="75"/>
  <c r="P170" i="75"/>
  <c r="O170" i="75" a="1"/>
  <c r="O170" i="75" s="1"/>
  <c r="N170" i="75" a="1"/>
  <c r="N170" i="75" s="1"/>
  <c r="M170" i="75" a="1"/>
  <c r="M170" i="75" s="1"/>
  <c r="L170" i="75" a="1"/>
  <c r="L170" i="75" s="1"/>
  <c r="K170" i="75"/>
  <c r="J170" i="75" a="1"/>
  <c r="J170" i="75" s="1"/>
  <c r="Q170" i="75" s="1"/>
  <c r="I170" i="75"/>
  <c r="P169" i="75"/>
  <c r="O169" i="75" a="1"/>
  <c r="O169" i="75" s="1"/>
  <c r="N169" i="75"/>
  <c r="N169" i="75" a="1"/>
  <c r="M169" i="75" a="1"/>
  <c r="M169" i="75" s="1"/>
  <c r="L169" i="75" a="1"/>
  <c r="L169" i="75" s="1"/>
  <c r="K169" i="75"/>
  <c r="J169" i="75" a="1"/>
  <c r="J169" i="75" s="1"/>
  <c r="I169" i="75"/>
  <c r="P168" i="75"/>
  <c r="O168" i="75" a="1"/>
  <c r="O168" i="75" s="1"/>
  <c r="N168" i="75"/>
  <c r="N168" i="75" a="1"/>
  <c r="M168" i="75" a="1"/>
  <c r="M168" i="75" s="1"/>
  <c r="L168" i="75" a="1"/>
  <c r="L168" i="75" s="1"/>
  <c r="K168" i="75"/>
  <c r="J168" i="75" a="1"/>
  <c r="J168" i="75" s="1"/>
  <c r="Q168" i="75" s="1"/>
  <c r="I168" i="75"/>
  <c r="P167" i="75"/>
  <c r="O167" i="75" a="1"/>
  <c r="O167" i="75" s="1"/>
  <c r="N167" i="75" a="1"/>
  <c r="N167" i="75" s="1"/>
  <c r="M167" i="75" a="1"/>
  <c r="M167" i="75" s="1"/>
  <c r="L167" i="75" a="1"/>
  <c r="L167" i="75" s="1"/>
  <c r="K167" i="75"/>
  <c r="J167" i="75" a="1"/>
  <c r="J167" i="75" s="1"/>
  <c r="I167" i="75"/>
  <c r="P166" i="75"/>
  <c r="O166" i="75" a="1"/>
  <c r="O166" i="75" s="1"/>
  <c r="N166" i="75" a="1"/>
  <c r="N166" i="75" s="1"/>
  <c r="M166" i="75" a="1"/>
  <c r="M166" i="75" s="1"/>
  <c r="L166" i="75" a="1"/>
  <c r="L166" i="75" s="1"/>
  <c r="K166" i="75"/>
  <c r="J166" i="75"/>
  <c r="J166" i="75" a="1"/>
  <c r="I166" i="75"/>
  <c r="P165" i="75"/>
  <c r="O165" i="75" a="1"/>
  <c r="O165" i="75" s="1"/>
  <c r="N165" i="75" a="1"/>
  <c r="N165" i="75" s="1"/>
  <c r="M165" i="75" a="1"/>
  <c r="M165" i="75" s="1"/>
  <c r="L165" i="75" a="1"/>
  <c r="L165" i="75" s="1"/>
  <c r="K165" i="75"/>
  <c r="J165" i="75" a="1"/>
  <c r="J165" i="75" s="1"/>
  <c r="I165" i="75"/>
  <c r="P164" i="75"/>
  <c r="O164" i="75"/>
  <c r="O164" i="75" a="1"/>
  <c r="N164" i="75" a="1"/>
  <c r="N164" i="75" s="1"/>
  <c r="M164" i="75" a="1"/>
  <c r="M164" i="75" s="1"/>
  <c r="L164" i="75" a="1"/>
  <c r="L164" i="75" s="1"/>
  <c r="K164" i="75"/>
  <c r="J164" i="75" a="1"/>
  <c r="J164" i="75" s="1"/>
  <c r="I164" i="75"/>
  <c r="P163" i="75"/>
  <c r="O163" i="75"/>
  <c r="O163" i="75" a="1"/>
  <c r="N163" i="75" a="1"/>
  <c r="N163" i="75" s="1"/>
  <c r="M163" i="75" a="1"/>
  <c r="M163" i="75" s="1"/>
  <c r="L163" i="75" a="1"/>
  <c r="L163" i="75" s="1"/>
  <c r="K163" i="75"/>
  <c r="J163" i="75" a="1"/>
  <c r="J163" i="75" s="1"/>
  <c r="I163" i="75"/>
  <c r="P162" i="75"/>
  <c r="O162" i="75" a="1"/>
  <c r="O162" i="75" s="1"/>
  <c r="N162" i="75" a="1"/>
  <c r="N162" i="75" s="1"/>
  <c r="M162" i="75" a="1"/>
  <c r="M162" i="75" s="1"/>
  <c r="L162" i="75" a="1"/>
  <c r="L162" i="75" s="1"/>
  <c r="K162" i="75"/>
  <c r="J162" i="75" a="1"/>
  <c r="J162" i="75" s="1"/>
  <c r="I162" i="75"/>
  <c r="P161" i="75"/>
  <c r="O161" i="75" a="1"/>
  <c r="O161" i="75" s="1"/>
  <c r="N161" i="75" a="1"/>
  <c r="N161" i="75" s="1"/>
  <c r="M161" i="75" a="1"/>
  <c r="M161" i="75" s="1"/>
  <c r="L161" i="75" a="1"/>
  <c r="L161" i="75" s="1"/>
  <c r="K161" i="75"/>
  <c r="J161" i="75" a="1"/>
  <c r="J161" i="75" s="1"/>
  <c r="I161" i="75"/>
  <c r="P160" i="75"/>
  <c r="O160" i="75" a="1"/>
  <c r="O160" i="75" s="1"/>
  <c r="N160" i="75" a="1"/>
  <c r="N160" i="75" s="1"/>
  <c r="M160" i="75" a="1"/>
  <c r="M160" i="75" s="1"/>
  <c r="L160" i="75" a="1"/>
  <c r="L160" i="75" s="1"/>
  <c r="K160" i="75"/>
  <c r="J160" i="75" a="1"/>
  <c r="J160" i="75" s="1"/>
  <c r="I160" i="75"/>
  <c r="P159" i="75"/>
  <c r="O159" i="75" a="1"/>
  <c r="O159" i="75" s="1"/>
  <c r="N159" i="75" a="1"/>
  <c r="N159" i="75" s="1"/>
  <c r="M159" i="75" a="1"/>
  <c r="M159" i="75" s="1"/>
  <c r="L159" i="75" a="1"/>
  <c r="L159" i="75" s="1"/>
  <c r="K159" i="75"/>
  <c r="J159" i="75" a="1"/>
  <c r="J159" i="75" s="1"/>
  <c r="I159" i="75"/>
  <c r="P158" i="75"/>
  <c r="O158" i="75" a="1"/>
  <c r="O158" i="75" s="1"/>
  <c r="N158" i="75" a="1"/>
  <c r="N158" i="75" s="1"/>
  <c r="M158" i="75" a="1"/>
  <c r="M158" i="75" s="1"/>
  <c r="L158" i="75" a="1"/>
  <c r="L158" i="75" s="1"/>
  <c r="K158" i="75"/>
  <c r="J158" i="75" a="1"/>
  <c r="J158" i="75" s="1"/>
  <c r="I158" i="75"/>
  <c r="P156" i="75"/>
  <c r="O156" i="75" a="1"/>
  <c r="O156" i="75" s="1"/>
  <c r="N156" i="75" a="1"/>
  <c r="N156" i="75" s="1"/>
  <c r="M156" i="75" a="1"/>
  <c r="M156" i="75" s="1"/>
  <c r="L156" i="75" a="1"/>
  <c r="L156" i="75" s="1"/>
  <c r="K156" i="75"/>
  <c r="J156" i="75" a="1"/>
  <c r="J156" i="75" s="1"/>
  <c r="I156" i="75"/>
  <c r="P155" i="75"/>
  <c r="O155" i="75" a="1"/>
  <c r="O155" i="75" s="1"/>
  <c r="N155" i="75" a="1"/>
  <c r="N155" i="75" s="1"/>
  <c r="M155" i="75" a="1"/>
  <c r="M155" i="75" s="1"/>
  <c r="L155" i="75" a="1"/>
  <c r="L155" i="75" s="1"/>
  <c r="K155" i="75"/>
  <c r="J155" i="75" a="1"/>
  <c r="J155" i="75" s="1"/>
  <c r="I155" i="75"/>
  <c r="P154" i="75"/>
  <c r="O154" i="75" a="1"/>
  <c r="O154" i="75" s="1"/>
  <c r="N154" i="75" a="1"/>
  <c r="N154" i="75" s="1"/>
  <c r="M154" i="75" a="1"/>
  <c r="M154" i="75" s="1"/>
  <c r="L154" i="75" a="1"/>
  <c r="L154" i="75" s="1"/>
  <c r="K154" i="75"/>
  <c r="J154" i="75" a="1"/>
  <c r="J154" i="75" s="1"/>
  <c r="I154" i="75"/>
  <c r="P153" i="75"/>
  <c r="O153" i="75" a="1"/>
  <c r="O153" i="75" s="1"/>
  <c r="N153" i="75" a="1"/>
  <c r="N153" i="75" s="1"/>
  <c r="M153" i="75" a="1"/>
  <c r="M153" i="75" s="1"/>
  <c r="L153" i="75" a="1"/>
  <c r="L153" i="75" s="1"/>
  <c r="K153" i="75"/>
  <c r="J153" i="75" a="1"/>
  <c r="J153" i="75" s="1"/>
  <c r="Q153" i="75" s="1"/>
  <c r="I153" i="75"/>
  <c r="P152" i="75"/>
  <c r="O152" i="75" a="1"/>
  <c r="O152" i="75" s="1"/>
  <c r="N152" i="75" a="1"/>
  <c r="N152" i="75" s="1"/>
  <c r="M152" i="75" a="1"/>
  <c r="M152" i="75" s="1"/>
  <c r="L152" i="75" a="1"/>
  <c r="L152" i="75" s="1"/>
  <c r="K152" i="75"/>
  <c r="J152" i="75" a="1"/>
  <c r="J152" i="75" s="1"/>
  <c r="I152" i="75"/>
  <c r="P151" i="75"/>
  <c r="O151" i="75" a="1"/>
  <c r="O151" i="75" s="1"/>
  <c r="N151" i="75" a="1"/>
  <c r="N151" i="75" s="1"/>
  <c r="M151" i="75" a="1"/>
  <c r="M151" i="75" s="1"/>
  <c r="L151" i="75" a="1"/>
  <c r="L151" i="75" s="1"/>
  <c r="K151" i="75"/>
  <c r="J151" i="75" a="1"/>
  <c r="J151" i="75" s="1"/>
  <c r="I151" i="75"/>
  <c r="P150" i="75"/>
  <c r="O150" i="75" a="1"/>
  <c r="O150" i="75" s="1"/>
  <c r="N150" i="75" a="1"/>
  <c r="N150" i="75" s="1"/>
  <c r="M150" i="75" a="1"/>
  <c r="M150" i="75" s="1"/>
  <c r="L150" i="75" a="1"/>
  <c r="L150" i="75" s="1"/>
  <c r="K150" i="75"/>
  <c r="J150" i="75" a="1"/>
  <c r="J150" i="75" s="1"/>
  <c r="I150" i="75"/>
  <c r="P149" i="75"/>
  <c r="O149" i="75" a="1"/>
  <c r="O149" i="75" s="1"/>
  <c r="N149" i="75" a="1"/>
  <c r="N149" i="75" s="1"/>
  <c r="M149" i="75" a="1"/>
  <c r="M149" i="75" s="1"/>
  <c r="L149" i="75" a="1"/>
  <c r="L149" i="75" s="1"/>
  <c r="K149" i="75"/>
  <c r="K157" i="75" s="1"/>
  <c r="J149" i="75" a="1"/>
  <c r="J149" i="75" s="1"/>
  <c r="I149" i="75"/>
  <c r="P147" i="75"/>
  <c r="O147" i="75" a="1"/>
  <c r="O147" i="75" s="1"/>
  <c r="N147" i="75" a="1"/>
  <c r="N147" i="75" s="1"/>
  <c r="M147" i="75" a="1"/>
  <c r="M147" i="75" s="1"/>
  <c r="L147" i="75" a="1"/>
  <c r="L147" i="75" s="1"/>
  <c r="K147" i="75"/>
  <c r="J147" i="75" a="1"/>
  <c r="J147" i="75" s="1"/>
  <c r="Q147" i="75" s="1"/>
  <c r="I147" i="75"/>
  <c r="P146" i="75"/>
  <c r="O146" i="75" a="1"/>
  <c r="O146" i="75" s="1"/>
  <c r="N146" i="75" a="1"/>
  <c r="N146" i="75" s="1"/>
  <c r="M146" i="75" a="1"/>
  <c r="M146" i="75" s="1"/>
  <c r="L146" i="75" a="1"/>
  <c r="L146" i="75" s="1"/>
  <c r="K146" i="75"/>
  <c r="J146" i="75" a="1"/>
  <c r="J146" i="75" s="1"/>
  <c r="I146" i="75"/>
  <c r="P145" i="75"/>
  <c r="O145" i="75" a="1"/>
  <c r="O145" i="75" s="1"/>
  <c r="N145" i="75" a="1"/>
  <c r="N145" i="75" s="1"/>
  <c r="M145" i="75" a="1"/>
  <c r="M145" i="75" s="1"/>
  <c r="L145" i="75" a="1"/>
  <c r="L145" i="75" s="1"/>
  <c r="K145" i="75"/>
  <c r="J145" i="75" a="1"/>
  <c r="J145" i="75" s="1"/>
  <c r="I145" i="75"/>
  <c r="P144" i="75"/>
  <c r="O144" i="75" a="1"/>
  <c r="O144" i="75" s="1"/>
  <c r="N144" i="75" a="1"/>
  <c r="N144" i="75" s="1"/>
  <c r="M144" i="75" a="1"/>
  <c r="M144" i="75" s="1"/>
  <c r="L144" i="75" a="1"/>
  <c r="L144" i="75" s="1"/>
  <c r="K144" i="75"/>
  <c r="J144" i="75" a="1"/>
  <c r="J144" i="75" s="1"/>
  <c r="I144" i="75"/>
  <c r="P143" i="75"/>
  <c r="O143" i="75" a="1"/>
  <c r="O143" i="75" s="1"/>
  <c r="N143" i="75" a="1"/>
  <c r="N143" i="75" s="1"/>
  <c r="M143" i="75" a="1"/>
  <c r="M143" i="75" s="1"/>
  <c r="L143" i="75" a="1"/>
  <c r="L143" i="75" s="1"/>
  <c r="K143" i="75"/>
  <c r="J143" i="75"/>
  <c r="Q143" i="75" s="1"/>
  <c r="J143" i="75" a="1"/>
  <c r="I143" i="75"/>
  <c r="P142" i="75"/>
  <c r="O142" i="75" a="1"/>
  <c r="O142" i="75" s="1"/>
  <c r="N142" i="75"/>
  <c r="N142" i="75" a="1"/>
  <c r="M142" i="75" a="1"/>
  <c r="M142" i="75" s="1"/>
  <c r="L142" i="75" a="1"/>
  <c r="L142" i="75" s="1"/>
  <c r="K142" i="75"/>
  <c r="J142" i="75" a="1"/>
  <c r="J142" i="75" s="1"/>
  <c r="I142" i="75"/>
  <c r="P141" i="75"/>
  <c r="O141" i="75" a="1"/>
  <c r="O141" i="75" s="1"/>
  <c r="N141" i="75" a="1"/>
  <c r="N141" i="75" s="1"/>
  <c r="M141" i="75"/>
  <c r="M141" i="75" a="1"/>
  <c r="L141" i="75" a="1"/>
  <c r="L141" i="75" s="1"/>
  <c r="K141" i="75"/>
  <c r="J141" i="75" a="1"/>
  <c r="J141" i="75" s="1"/>
  <c r="I141" i="75"/>
  <c r="P140" i="75"/>
  <c r="O140" i="75" a="1"/>
  <c r="O140" i="75" s="1"/>
  <c r="N140" i="75" a="1"/>
  <c r="N140" i="75" s="1"/>
  <c r="M140" i="75" a="1"/>
  <c r="M140" i="75" s="1"/>
  <c r="L140" i="75" a="1"/>
  <c r="L140" i="75" s="1"/>
  <c r="K140" i="75"/>
  <c r="J140" i="75" a="1"/>
  <c r="J140" i="75" s="1"/>
  <c r="Q140" i="75" s="1"/>
  <c r="I140" i="75"/>
  <c r="P138" i="75"/>
  <c r="O138" i="75" a="1"/>
  <c r="O138" i="75" s="1"/>
  <c r="N138" i="75" a="1"/>
  <c r="N138" i="75" s="1"/>
  <c r="M138" i="75" a="1"/>
  <c r="M138" i="75" s="1"/>
  <c r="L138" i="75" a="1"/>
  <c r="L138" i="75" s="1"/>
  <c r="K138" i="75"/>
  <c r="J138" i="75" a="1"/>
  <c r="J138" i="75" s="1"/>
  <c r="I138" i="75"/>
  <c r="P137" i="75"/>
  <c r="O137" i="75" a="1"/>
  <c r="O137" i="75" s="1"/>
  <c r="N137" i="75" a="1"/>
  <c r="N137" i="75" s="1"/>
  <c r="M137" i="75" a="1"/>
  <c r="M137" i="75" s="1"/>
  <c r="L137" i="75" a="1"/>
  <c r="L137" i="75" s="1"/>
  <c r="K137" i="75"/>
  <c r="J137" i="75" a="1"/>
  <c r="J137" i="75" s="1"/>
  <c r="I137" i="75"/>
  <c r="P136" i="75"/>
  <c r="O136" i="75" a="1"/>
  <c r="O136" i="75" s="1"/>
  <c r="N136" i="75" a="1"/>
  <c r="N136" i="75" s="1"/>
  <c r="M136" i="75" a="1"/>
  <c r="M136" i="75" s="1"/>
  <c r="L136" i="75" a="1"/>
  <c r="L136" i="75" s="1"/>
  <c r="K136" i="75"/>
  <c r="J136" i="75" a="1"/>
  <c r="J136" i="75" s="1"/>
  <c r="Q136" i="75" s="1"/>
  <c r="I136" i="75"/>
  <c r="P135" i="75"/>
  <c r="O135" i="75" a="1"/>
  <c r="O135" i="75" s="1"/>
  <c r="N135" i="75" a="1"/>
  <c r="N135" i="75" s="1"/>
  <c r="M135" i="75" a="1"/>
  <c r="M135" i="75" s="1"/>
  <c r="L135" i="75" a="1"/>
  <c r="L135" i="75" s="1"/>
  <c r="K135" i="75"/>
  <c r="J135" i="75" a="1"/>
  <c r="J135" i="75" s="1"/>
  <c r="Q135" i="75" s="1"/>
  <c r="I135" i="75"/>
  <c r="P134" i="75"/>
  <c r="O134" i="75" a="1"/>
  <c r="O134" i="75" s="1"/>
  <c r="N134" i="75" a="1"/>
  <c r="N134" i="75" s="1"/>
  <c r="M134" i="75" a="1"/>
  <c r="M134" i="75" s="1"/>
  <c r="L134" i="75" a="1"/>
  <c r="L134" i="75" s="1"/>
  <c r="K134" i="75"/>
  <c r="J134" i="75"/>
  <c r="J134" i="75" a="1"/>
  <c r="I134" i="75"/>
  <c r="P133" i="75"/>
  <c r="O133" i="75" a="1"/>
  <c r="O133" i="75" s="1"/>
  <c r="N133" i="75" a="1"/>
  <c r="N133" i="75" s="1"/>
  <c r="M133" i="75" a="1"/>
  <c r="M133" i="75" s="1"/>
  <c r="L133" i="75" a="1"/>
  <c r="L133" i="75" s="1"/>
  <c r="K133" i="75"/>
  <c r="J133" i="75" a="1"/>
  <c r="J133" i="75" s="1"/>
  <c r="I133" i="75"/>
  <c r="P132" i="75"/>
  <c r="Q132" i="75" s="1"/>
  <c r="O132" i="75" a="1"/>
  <c r="O132" i="75" s="1"/>
  <c r="N132" i="75" a="1"/>
  <c r="N132" i="75" s="1"/>
  <c r="M132" i="75" a="1"/>
  <c r="M132" i="75" s="1"/>
  <c r="L132" i="75" a="1"/>
  <c r="L132" i="75" s="1"/>
  <c r="K132" i="75"/>
  <c r="J132" i="75"/>
  <c r="J132" i="75" a="1"/>
  <c r="I132" i="75"/>
  <c r="P131" i="75"/>
  <c r="O131" i="75" a="1"/>
  <c r="O131" i="75" s="1"/>
  <c r="N131" i="75" a="1"/>
  <c r="N131" i="75" s="1"/>
  <c r="M131" i="75" a="1"/>
  <c r="M131" i="75" s="1"/>
  <c r="L131" i="75"/>
  <c r="L131" i="75" a="1"/>
  <c r="K131" i="75"/>
  <c r="J131" i="75" a="1"/>
  <c r="J131" i="75" s="1"/>
  <c r="I131" i="75"/>
  <c r="P130" i="75"/>
  <c r="O130" i="75" a="1"/>
  <c r="O130" i="75" s="1"/>
  <c r="N130" i="75" a="1"/>
  <c r="N130" i="75" s="1"/>
  <c r="M130" i="75" a="1"/>
  <c r="M130" i="75" s="1"/>
  <c r="L130" i="75" a="1"/>
  <c r="L130" i="75" s="1"/>
  <c r="K130" i="75"/>
  <c r="J130" i="75" a="1"/>
  <c r="J130" i="75" s="1"/>
  <c r="I130" i="75"/>
  <c r="P129" i="75"/>
  <c r="O129" i="75" a="1"/>
  <c r="O129" i="75" s="1"/>
  <c r="N129" i="75" a="1"/>
  <c r="N129" i="75" s="1"/>
  <c r="M129" i="75" a="1"/>
  <c r="M129" i="75" s="1"/>
  <c r="L129" i="75"/>
  <c r="L129" i="75" a="1"/>
  <c r="K129" i="75"/>
  <c r="J129" i="75" a="1"/>
  <c r="J129" i="75" s="1"/>
  <c r="I129" i="75"/>
  <c r="P127" i="75"/>
  <c r="O127" i="75" a="1"/>
  <c r="O127" i="75" s="1"/>
  <c r="N127" i="75" a="1"/>
  <c r="N127" i="75" s="1"/>
  <c r="M127" i="75" a="1"/>
  <c r="M127" i="75" s="1"/>
  <c r="L127" i="75" a="1"/>
  <c r="L127" i="75" s="1"/>
  <c r="K127" i="75"/>
  <c r="J127" i="75" a="1"/>
  <c r="J127" i="75" s="1"/>
  <c r="I127" i="75"/>
  <c r="P126" i="75"/>
  <c r="O126" i="75" a="1"/>
  <c r="O126" i="75" s="1"/>
  <c r="N126" i="75" a="1"/>
  <c r="N126" i="75" s="1"/>
  <c r="M126" i="75" a="1"/>
  <c r="M126" i="75" s="1"/>
  <c r="L126" i="75" a="1"/>
  <c r="L126" i="75" s="1"/>
  <c r="K126" i="75"/>
  <c r="J126" i="75" a="1"/>
  <c r="J126" i="75" s="1"/>
  <c r="I126" i="75"/>
  <c r="P125" i="75"/>
  <c r="O125" i="75" a="1"/>
  <c r="O125" i="75" s="1"/>
  <c r="N125" i="75" a="1"/>
  <c r="N125" i="75" s="1"/>
  <c r="M125" i="75" a="1"/>
  <c r="M125" i="75" s="1"/>
  <c r="L125" i="75" a="1"/>
  <c r="L125" i="75" s="1"/>
  <c r="K125" i="75"/>
  <c r="J125" i="75" a="1"/>
  <c r="J125" i="75" s="1"/>
  <c r="Q125" i="75" s="1"/>
  <c r="I125" i="75"/>
  <c r="P124" i="75"/>
  <c r="O124" i="75" a="1"/>
  <c r="O124" i="75" s="1"/>
  <c r="N124" i="75" a="1"/>
  <c r="N124" i="75" s="1"/>
  <c r="M124" i="75"/>
  <c r="M124" i="75" a="1"/>
  <c r="L124" i="75" a="1"/>
  <c r="L124" i="75" s="1"/>
  <c r="K124" i="75"/>
  <c r="J124" i="75" a="1"/>
  <c r="J124" i="75" s="1"/>
  <c r="I124" i="75"/>
  <c r="P123" i="75"/>
  <c r="O123" i="75" a="1"/>
  <c r="O123" i="75" s="1"/>
  <c r="N123" i="75" a="1"/>
  <c r="N123" i="75" s="1"/>
  <c r="M123" i="75" a="1"/>
  <c r="M123" i="75" s="1"/>
  <c r="L123" i="75"/>
  <c r="L123" i="75" a="1"/>
  <c r="K123" i="75"/>
  <c r="J123" i="75" a="1"/>
  <c r="J123" i="75" s="1"/>
  <c r="I123" i="75"/>
  <c r="P122" i="75"/>
  <c r="O122" i="75" a="1"/>
  <c r="O122" i="75" s="1"/>
  <c r="N122" i="75" a="1"/>
  <c r="N122" i="75" s="1"/>
  <c r="M122" i="75" a="1"/>
  <c r="M122" i="75" s="1"/>
  <c r="L122" i="75" a="1"/>
  <c r="L122" i="75" s="1"/>
  <c r="K122" i="75"/>
  <c r="J122" i="75" a="1"/>
  <c r="J122" i="75" s="1"/>
  <c r="I122" i="75"/>
  <c r="P121" i="75"/>
  <c r="O121" i="75" a="1"/>
  <c r="O121" i="75" s="1"/>
  <c r="N121" i="75" a="1"/>
  <c r="N121" i="75" s="1"/>
  <c r="M121" i="75" a="1"/>
  <c r="M121" i="75" s="1"/>
  <c r="L121" i="75" a="1"/>
  <c r="L121" i="75" s="1"/>
  <c r="K121" i="75"/>
  <c r="J121" i="75" a="1"/>
  <c r="J121" i="75" s="1"/>
  <c r="I121" i="75"/>
  <c r="P120" i="75"/>
  <c r="O120" i="75" a="1"/>
  <c r="O120" i="75" s="1"/>
  <c r="N120" i="75"/>
  <c r="N120" i="75" a="1"/>
  <c r="M120" i="75" a="1"/>
  <c r="M120" i="75" s="1"/>
  <c r="L120" i="75" a="1"/>
  <c r="L120" i="75" s="1"/>
  <c r="K120" i="75"/>
  <c r="J120" i="75" a="1"/>
  <c r="J120" i="75" s="1"/>
  <c r="I120" i="75"/>
  <c r="P119" i="75"/>
  <c r="Q119" i="75" s="1"/>
  <c r="O119" i="75" a="1"/>
  <c r="O119" i="75" s="1"/>
  <c r="N119" i="75" a="1"/>
  <c r="N119" i="75" s="1"/>
  <c r="M119" i="75" a="1"/>
  <c r="M119" i="75" s="1"/>
  <c r="L119" i="75" a="1"/>
  <c r="L119" i="75" s="1"/>
  <c r="K119" i="75"/>
  <c r="J119" i="75" a="1"/>
  <c r="J119" i="75" s="1"/>
  <c r="I119" i="75"/>
  <c r="P118" i="75"/>
  <c r="O118" i="75" a="1"/>
  <c r="O118" i="75" s="1"/>
  <c r="N118" i="75"/>
  <c r="N118" i="75" a="1"/>
  <c r="M118" i="75" a="1"/>
  <c r="M118" i="75" s="1"/>
  <c r="L118" i="75" a="1"/>
  <c r="L118" i="75" s="1"/>
  <c r="K118" i="75"/>
  <c r="J118" i="75" a="1"/>
  <c r="J118" i="75" s="1"/>
  <c r="I118" i="75"/>
  <c r="P117" i="75"/>
  <c r="O117" i="75" a="1"/>
  <c r="O117" i="75" s="1"/>
  <c r="N117" i="75" a="1"/>
  <c r="N117" i="75" s="1"/>
  <c r="M117" i="75" a="1"/>
  <c r="M117" i="75" s="1"/>
  <c r="L117" i="75"/>
  <c r="L117" i="75" a="1"/>
  <c r="K117" i="75"/>
  <c r="J117" i="75" a="1"/>
  <c r="J117" i="75" s="1"/>
  <c r="Q117" i="75" s="1"/>
  <c r="I117" i="75"/>
  <c r="P116" i="75"/>
  <c r="O116" i="75" a="1"/>
  <c r="O116" i="75" s="1"/>
  <c r="N116" i="75" a="1"/>
  <c r="N116" i="75" s="1"/>
  <c r="M116" i="75" a="1"/>
  <c r="M116" i="75" s="1"/>
  <c r="L116" i="75" a="1"/>
  <c r="L116" i="75" s="1"/>
  <c r="K116" i="75"/>
  <c r="J116" i="75" a="1"/>
  <c r="J116" i="75" s="1"/>
  <c r="I116" i="75"/>
  <c r="P115" i="75"/>
  <c r="O115" i="75" a="1"/>
  <c r="O115" i="75" s="1"/>
  <c r="N115" i="75" a="1"/>
  <c r="N115" i="75" s="1"/>
  <c r="M115" i="75" a="1"/>
  <c r="M115" i="75" s="1"/>
  <c r="L115" i="75" a="1"/>
  <c r="L115" i="75" s="1"/>
  <c r="K115" i="75"/>
  <c r="J115" i="75" a="1"/>
  <c r="J115" i="75" s="1"/>
  <c r="I115" i="75"/>
  <c r="P114" i="75"/>
  <c r="O114" i="75" a="1"/>
  <c r="O114" i="75" s="1"/>
  <c r="N114" i="75" a="1"/>
  <c r="N114" i="75" s="1"/>
  <c r="M114" i="75" a="1"/>
  <c r="M114" i="75" s="1"/>
  <c r="L114" i="75" a="1"/>
  <c r="L114" i="75" s="1"/>
  <c r="K114" i="75"/>
  <c r="J114" i="75" a="1"/>
  <c r="J114" i="75" s="1"/>
  <c r="Q114" i="75" s="1"/>
  <c r="I114" i="75"/>
  <c r="P113" i="75"/>
  <c r="O113" i="75" a="1"/>
  <c r="O113" i="75" s="1"/>
  <c r="N113" i="75" a="1"/>
  <c r="N113" i="75" s="1"/>
  <c r="M113" i="75" a="1"/>
  <c r="M113" i="75" s="1"/>
  <c r="L113" i="75" a="1"/>
  <c r="L113" i="75" s="1"/>
  <c r="K113" i="75"/>
  <c r="J113" i="75" a="1"/>
  <c r="J113" i="75" s="1"/>
  <c r="Q113" i="75" s="1"/>
  <c r="I113" i="75"/>
  <c r="P112" i="75"/>
  <c r="O112" i="75" a="1"/>
  <c r="O112" i="75" s="1"/>
  <c r="N112" i="75" a="1"/>
  <c r="N112" i="75" s="1"/>
  <c r="M112" i="75" a="1"/>
  <c r="M112" i="75" s="1"/>
  <c r="L112" i="75" a="1"/>
  <c r="L112" i="75" s="1"/>
  <c r="K112" i="75"/>
  <c r="J112" i="75" a="1"/>
  <c r="J112" i="75" s="1"/>
  <c r="Q112" i="75" s="1"/>
  <c r="I112" i="75"/>
  <c r="P111" i="75"/>
  <c r="O111" i="75" a="1"/>
  <c r="O111" i="75" s="1"/>
  <c r="N111" i="75" a="1"/>
  <c r="N111" i="75" s="1"/>
  <c r="M111" i="75" a="1"/>
  <c r="M111" i="75" s="1"/>
  <c r="L111" i="75" a="1"/>
  <c r="L111" i="75" s="1"/>
  <c r="K111" i="75"/>
  <c r="J111" i="75" a="1"/>
  <c r="J111" i="75" s="1"/>
  <c r="I111" i="75"/>
  <c r="P110" i="75"/>
  <c r="O110" i="75" a="1"/>
  <c r="O110" i="75" s="1"/>
  <c r="N110" i="75" a="1"/>
  <c r="N110" i="75" s="1"/>
  <c r="M110" i="75" a="1"/>
  <c r="M110" i="75" s="1"/>
  <c r="L110" i="75" a="1"/>
  <c r="L110" i="75" s="1"/>
  <c r="K110" i="75"/>
  <c r="J110" i="75" a="1"/>
  <c r="J110" i="75" s="1"/>
  <c r="I110" i="75"/>
  <c r="P109" i="75"/>
  <c r="O109" i="75" a="1"/>
  <c r="O109" i="75" s="1"/>
  <c r="N109" i="75" a="1"/>
  <c r="N109" i="75" s="1"/>
  <c r="M109" i="75" a="1"/>
  <c r="M109" i="75" s="1"/>
  <c r="L109" i="75" a="1"/>
  <c r="L109" i="75" s="1"/>
  <c r="K109" i="75"/>
  <c r="J109" i="75" a="1"/>
  <c r="J109" i="75" s="1"/>
  <c r="I109" i="75"/>
  <c r="P108" i="75"/>
  <c r="O108" i="75"/>
  <c r="O108" i="75" a="1"/>
  <c r="N108" i="75" a="1"/>
  <c r="N108" i="75" s="1"/>
  <c r="M108" i="75" a="1"/>
  <c r="M108" i="75" s="1"/>
  <c r="L108" i="75" a="1"/>
  <c r="L108" i="75" s="1"/>
  <c r="K108" i="75"/>
  <c r="J108" i="75" a="1"/>
  <c r="J108" i="75" s="1"/>
  <c r="Q108" i="75" s="1"/>
  <c r="I108" i="75"/>
  <c r="P107" i="75"/>
  <c r="Q107" i="75" s="1"/>
  <c r="O107" i="75" a="1"/>
  <c r="O107" i="75" s="1"/>
  <c r="N107" i="75" a="1"/>
  <c r="N107" i="75" s="1"/>
  <c r="M107" i="75" a="1"/>
  <c r="M107" i="75" s="1"/>
  <c r="L107" i="75"/>
  <c r="L107" i="75" a="1"/>
  <c r="K107" i="75"/>
  <c r="J107" i="75"/>
  <c r="J107" i="75" a="1"/>
  <c r="I107" i="75"/>
  <c r="P106" i="75"/>
  <c r="O106" i="75" a="1"/>
  <c r="O106" i="75" s="1"/>
  <c r="N106" i="75" a="1"/>
  <c r="N106" i="75" s="1"/>
  <c r="M106" i="75" a="1"/>
  <c r="M106" i="75" s="1"/>
  <c r="L106" i="75" a="1"/>
  <c r="L106" i="75" s="1"/>
  <c r="K106" i="75"/>
  <c r="J106" i="75" a="1"/>
  <c r="J106" i="75" s="1"/>
  <c r="I106" i="75"/>
  <c r="P105" i="75"/>
  <c r="O105" i="75" a="1"/>
  <c r="O105" i="75" s="1"/>
  <c r="N105" i="75" a="1"/>
  <c r="N105" i="75" s="1"/>
  <c r="M105" i="75" a="1"/>
  <c r="M105" i="75" s="1"/>
  <c r="L105" i="75" a="1"/>
  <c r="L105" i="75" s="1"/>
  <c r="K105" i="75"/>
  <c r="J105" i="75" a="1"/>
  <c r="J105" i="75" s="1"/>
  <c r="I105" i="75"/>
  <c r="P104" i="75"/>
  <c r="O104" i="75" a="1"/>
  <c r="O104" i="75" s="1"/>
  <c r="N104" i="75" a="1"/>
  <c r="N104" i="75" s="1"/>
  <c r="M104" i="75" a="1"/>
  <c r="M104" i="75" s="1"/>
  <c r="L104" i="75" a="1"/>
  <c r="L104" i="75" s="1"/>
  <c r="K104" i="75"/>
  <c r="J104" i="75" a="1"/>
  <c r="J104" i="75" s="1"/>
  <c r="Q104" i="75" s="1"/>
  <c r="I104" i="75"/>
  <c r="P103" i="75"/>
  <c r="O103" i="75" a="1"/>
  <c r="O103" i="75" s="1"/>
  <c r="N103" i="75" a="1"/>
  <c r="N103" i="75" s="1"/>
  <c r="M103" i="75" a="1"/>
  <c r="M103" i="75" s="1"/>
  <c r="L103" i="75" a="1"/>
  <c r="L103" i="75" s="1"/>
  <c r="K103" i="75"/>
  <c r="J103" i="75" a="1"/>
  <c r="J103" i="75" s="1"/>
  <c r="Q103" i="75" s="1"/>
  <c r="I103" i="75"/>
  <c r="P102" i="75"/>
  <c r="O102" i="75" a="1"/>
  <c r="O102" i="75" s="1"/>
  <c r="N102" i="75" a="1"/>
  <c r="N102" i="75" s="1"/>
  <c r="M102" i="75" a="1"/>
  <c r="M102" i="75" s="1"/>
  <c r="L102" i="75" a="1"/>
  <c r="L102" i="75" s="1"/>
  <c r="K102" i="75"/>
  <c r="J102" i="75" a="1"/>
  <c r="J102" i="75" s="1"/>
  <c r="I102" i="75"/>
  <c r="P101" i="75"/>
  <c r="O101" i="75" a="1"/>
  <c r="O101" i="75" s="1"/>
  <c r="N101" i="75" a="1"/>
  <c r="N101" i="75" s="1"/>
  <c r="M101" i="75" a="1"/>
  <c r="M101" i="75" s="1"/>
  <c r="L101" i="75" a="1"/>
  <c r="L101" i="75" s="1"/>
  <c r="K101" i="75"/>
  <c r="J101" i="75" a="1"/>
  <c r="J101" i="75" s="1"/>
  <c r="I101" i="75"/>
  <c r="P100" i="75"/>
  <c r="Q100" i="75" s="1"/>
  <c r="O100" i="75" a="1"/>
  <c r="O100" i="75" s="1"/>
  <c r="N100" i="75" a="1"/>
  <c r="N100" i="75" s="1"/>
  <c r="M100" i="75" a="1"/>
  <c r="M100" i="75" s="1"/>
  <c r="L100" i="75" a="1"/>
  <c r="L100" i="75" s="1"/>
  <c r="K100" i="75"/>
  <c r="J100" i="75" a="1"/>
  <c r="J100" i="75" s="1"/>
  <c r="I100" i="75"/>
  <c r="P99" i="75"/>
  <c r="O99" i="75" a="1"/>
  <c r="O99" i="75" s="1"/>
  <c r="N99" i="75" a="1"/>
  <c r="N99" i="75" s="1"/>
  <c r="M99" i="75"/>
  <c r="M99" i="75" a="1"/>
  <c r="L99" i="75" a="1"/>
  <c r="L99" i="75" s="1"/>
  <c r="K99" i="75"/>
  <c r="J99" i="75" a="1"/>
  <c r="J99" i="75" s="1"/>
  <c r="I99" i="75"/>
  <c r="P98" i="75"/>
  <c r="O98" i="75" a="1"/>
  <c r="O98" i="75" s="1"/>
  <c r="N98" i="75" a="1"/>
  <c r="N98" i="75" s="1"/>
  <c r="M98" i="75" a="1"/>
  <c r="M98" i="75" s="1"/>
  <c r="L98" i="75" a="1"/>
  <c r="L98" i="75" s="1"/>
  <c r="K98" i="75"/>
  <c r="J98" i="75" a="1"/>
  <c r="J98" i="75" s="1"/>
  <c r="I98" i="75"/>
  <c r="P97" i="75"/>
  <c r="O97" i="75" a="1"/>
  <c r="O97" i="75" s="1"/>
  <c r="N97" i="75" a="1"/>
  <c r="N97" i="75" s="1"/>
  <c r="M97" i="75" a="1"/>
  <c r="M97" i="75" s="1"/>
  <c r="L97" i="75" a="1"/>
  <c r="L97" i="75" s="1"/>
  <c r="K97" i="75"/>
  <c r="J97" i="75" a="1"/>
  <c r="J97" i="75" s="1"/>
  <c r="I97" i="75"/>
  <c r="P96" i="75"/>
  <c r="O96" i="75" a="1"/>
  <c r="O96" i="75" s="1"/>
  <c r="N96" i="75" a="1"/>
  <c r="N96" i="75" s="1"/>
  <c r="M96" i="75" a="1"/>
  <c r="M96" i="75" s="1"/>
  <c r="L96" i="75" a="1"/>
  <c r="L96" i="75" s="1"/>
  <c r="K96" i="75"/>
  <c r="J96" i="75"/>
  <c r="J96" i="75" a="1"/>
  <c r="I96" i="75"/>
  <c r="P95" i="75"/>
  <c r="Q95" i="75" s="1"/>
  <c r="O95" i="75" a="1"/>
  <c r="O95" i="75" s="1"/>
  <c r="N95" i="75" a="1"/>
  <c r="N95" i="75" s="1"/>
  <c r="M95" i="75" a="1"/>
  <c r="M95" i="75" s="1"/>
  <c r="L95" i="75" a="1"/>
  <c r="L95" i="75" s="1"/>
  <c r="K95" i="75"/>
  <c r="J95" i="75"/>
  <c r="J95" i="75" a="1"/>
  <c r="I95" i="75"/>
  <c r="P94" i="75"/>
  <c r="O94" i="75" a="1"/>
  <c r="O94" i="75" s="1"/>
  <c r="N94" i="75" a="1"/>
  <c r="N94" i="75" s="1"/>
  <c r="M94" i="75" a="1"/>
  <c r="M94" i="75" s="1"/>
  <c r="L94" i="75" a="1"/>
  <c r="L94" i="75" s="1"/>
  <c r="K94" i="75"/>
  <c r="J94" i="75" a="1"/>
  <c r="J94" i="75" s="1"/>
  <c r="Q94" i="75" s="1"/>
  <c r="I94" i="75"/>
  <c r="P93" i="75"/>
  <c r="O93" i="75" a="1"/>
  <c r="O93" i="75" s="1"/>
  <c r="N93" i="75" a="1"/>
  <c r="N93" i="75" s="1"/>
  <c r="M93" i="75" a="1"/>
  <c r="M93" i="75" s="1"/>
  <c r="L93" i="75" a="1"/>
  <c r="L93" i="75" s="1"/>
  <c r="K93" i="75"/>
  <c r="J93" i="75"/>
  <c r="Q93" i="75" s="1"/>
  <c r="J93" i="75" a="1"/>
  <c r="I93" i="75"/>
  <c r="P92" i="75"/>
  <c r="Q92" i="75" s="1"/>
  <c r="O92" i="75" a="1"/>
  <c r="O92" i="75" s="1"/>
  <c r="N92" i="75" a="1"/>
  <c r="N92" i="75" s="1"/>
  <c r="M92" i="75" a="1"/>
  <c r="M92" i="75" s="1"/>
  <c r="L92" i="75" a="1"/>
  <c r="L92" i="75" s="1"/>
  <c r="K92" i="75"/>
  <c r="J92" i="75" a="1"/>
  <c r="J92" i="75" s="1"/>
  <c r="I92" i="75"/>
  <c r="P91" i="75"/>
  <c r="Q91" i="75" s="1"/>
  <c r="O91" i="75" a="1"/>
  <c r="O91" i="75" s="1"/>
  <c r="N91" i="75" a="1"/>
  <c r="N91" i="75" s="1"/>
  <c r="M91" i="75" a="1"/>
  <c r="M91" i="75" s="1"/>
  <c r="L91" i="75" a="1"/>
  <c r="L91" i="75" s="1"/>
  <c r="K91" i="75"/>
  <c r="J91" i="75" a="1"/>
  <c r="J91" i="75" s="1"/>
  <c r="I91" i="75"/>
  <c r="P90" i="75"/>
  <c r="O90" i="75" a="1"/>
  <c r="O90" i="75" s="1"/>
  <c r="N90" i="75" a="1"/>
  <c r="N90" i="75" s="1"/>
  <c r="M90" i="75" a="1"/>
  <c r="M90" i="75" s="1"/>
  <c r="L90" i="75" a="1"/>
  <c r="L90" i="75" s="1"/>
  <c r="K90" i="75"/>
  <c r="J90" i="75" a="1"/>
  <c r="J90" i="75" s="1"/>
  <c r="I90" i="75"/>
  <c r="P89" i="75"/>
  <c r="O89" i="75"/>
  <c r="O89" i="75" a="1"/>
  <c r="N89" i="75" a="1"/>
  <c r="N89" i="75" s="1"/>
  <c r="M89" i="75" a="1"/>
  <c r="M89" i="75" s="1"/>
  <c r="L89" i="75" a="1"/>
  <c r="L89" i="75" s="1"/>
  <c r="K89" i="75"/>
  <c r="J89" i="75" a="1"/>
  <c r="J89" i="75" s="1"/>
  <c r="I89" i="75"/>
  <c r="P88" i="75"/>
  <c r="O88" i="75" a="1"/>
  <c r="O88" i="75" s="1"/>
  <c r="N88" i="75" a="1"/>
  <c r="N88" i="75" s="1"/>
  <c r="M88" i="75" a="1"/>
  <c r="M88" i="75" s="1"/>
  <c r="L88" i="75" a="1"/>
  <c r="L88" i="75" s="1"/>
  <c r="K88" i="75"/>
  <c r="J88" i="75"/>
  <c r="J88" i="75" a="1"/>
  <c r="I88" i="75"/>
  <c r="P87" i="75"/>
  <c r="O87" i="75" a="1"/>
  <c r="O87" i="75" s="1"/>
  <c r="N87" i="75" a="1"/>
  <c r="N87" i="75" s="1"/>
  <c r="M87" i="75" a="1"/>
  <c r="M87" i="75" s="1"/>
  <c r="L87" i="75" a="1"/>
  <c r="L87" i="75" s="1"/>
  <c r="K87" i="75"/>
  <c r="J87" i="75"/>
  <c r="Q87" i="75" s="1"/>
  <c r="J87" i="75" a="1"/>
  <c r="I87" i="75"/>
  <c r="P86" i="75"/>
  <c r="O86" i="75" a="1"/>
  <c r="O86" i="75" s="1"/>
  <c r="N86" i="75" a="1"/>
  <c r="N86" i="75" s="1"/>
  <c r="M86" i="75" a="1"/>
  <c r="M86" i="75" s="1"/>
  <c r="L86" i="75" a="1"/>
  <c r="L86" i="75" s="1"/>
  <c r="K86" i="75"/>
  <c r="J86" i="75" a="1"/>
  <c r="J86" i="75" s="1"/>
  <c r="I86" i="75"/>
  <c r="P85" i="75"/>
  <c r="O85" i="75" a="1"/>
  <c r="O85" i="75" s="1"/>
  <c r="N85" i="75" a="1"/>
  <c r="N85" i="75" s="1"/>
  <c r="M85" i="75" a="1"/>
  <c r="M85" i="75" s="1"/>
  <c r="L85" i="75" a="1"/>
  <c r="L85" i="75" s="1"/>
  <c r="K85" i="75"/>
  <c r="J85" i="75" a="1"/>
  <c r="J85" i="75" s="1"/>
  <c r="I85" i="75"/>
  <c r="P84" i="75"/>
  <c r="O84" i="75" a="1"/>
  <c r="O84" i="75" s="1"/>
  <c r="N84" i="75" a="1"/>
  <c r="N84" i="75" s="1"/>
  <c r="M84" i="75"/>
  <c r="M84" i="75" a="1"/>
  <c r="L84" i="75" a="1"/>
  <c r="L84" i="75" s="1"/>
  <c r="K84" i="75"/>
  <c r="J84" i="75" a="1"/>
  <c r="J84" i="75" s="1"/>
  <c r="Q84" i="75" s="1"/>
  <c r="I84" i="75"/>
  <c r="P83" i="75"/>
  <c r="O83" i="75" a="1"/>
  <c r="O83" i="75" s="1"/>
  <c r="N83" i="75" a="1"/>
  <c r="N83" i="75" s="1"/>
  <c r="M83" i="75" a="1"/>
  <c r="M83" i="75" s="1"/>
  <c r="L83" i="75" a="1"/>
  <c r="L83" i="75" s="1"/>
  <c r="K83" i="75"/>
  <c r="J83" i="75" a="1"/>
  <c r="J83" i="75" s="1"/>
  <c r="Q83" i="75" s="1"/>
  <c r="I83" i="75"/>
  <c r="P82" i="75"/>
  <c r="Q82" i="75" s="1"/>
  <c r="O82" i="75" a="1"/>
  <c r="O82" i="75" s="1"/>
  <c r="N82" i="75" a="1"/>
  <c r="N82" i="75" s="1"/>
  <c r="M82" i="75" a="1"/>
  <c r="M82" i="75" s="1"/>
  <c r="L82" i="75" a="1"/>
  <c r="L82" i="75" s="1"/>
  <c r="K82" i="75"/>
  <c r="J82" i="75" a="1"/>
  <c r="J82" i="75" s="1"/>
  <c r="I82" i="75"/>
  <c r="P81" i="75"/>
  <c r="O81" i="75" a="1"/>
  <c r="O81" i="75" s="1"/>
  <c r="N81" i="75" a="1"/>
  <c r="N81" i="75" s="1"/>
  <c r="M81" i="75" a="1"/>
  <c r="M81" i="75" s="1"/>
  <c r="L81" i="75" a="1"/>
  <c r="L81" i="75" s="1"/>
  <c r="K81" i="75"/>
  <c r="J81" i="75" a="1"/>
  <c r="J81" i="75" s="1"/>
  <c r="Q81" i="75" s="1"/>
  <c r="I81" i="75"/>
  <c r="P80" i="75"/>
  <c r="O80" i="75" a="1"/>
  <c r="O80" i="75" s="1"/>
  <c r="N80" i="75" a="1"/>
  <c r="N80" i="75" s="1"/>
  <c r="M80" i="75" a="1"/>
  <c r="M80" i="75" s="1"/>
  <c r="L80" i="75" a="1"/>
  <c r="L80" i="75" s="1"/>
  <c r="K80" i="75"/>
  <c r="J80" i="75" a="1"/>
  <c r="J80" i="75" s="1"/>
  <c r="I80" i="75"/>
  <c r="P79" i="75"/>
  <c r="O79" i="75" a="1"/>
  <c r="O79" i="75" s="1"/>
  <c r="N79" i="75" a="1"/>
  <c r="N79" i="75" s="1"/>
  <c r="M79" i="75"/>
  <c r="M79" i="75" a="1"/>
  <c r="L79" i="75" a="1"/>
  <c r="L79" i="75" s="1"/>
  <c r="K79" i="75"/>
  <c r="J79" i="75" a="1"/>
  <c r="J79" i="75" s="1"/>
  <c r="I79" i="75"/>
  <c r="P78" i="75"/>
  <c r="O78" i="75"/>
  <c r="O78" i="75" a="1"/>
  <c r="N78" i="75" a="1"/>
  <c r="N78" i="75" s="1"/>
  <c r="M78" i="75"/>
  <c r="M78" i="75" a="1"/>
  <c r="L78" i="75"/>
  <c r="L78" i="75" a="1"/>
  <c r="K78" i="75"/>
  <c r="J78" i="75" a="1"/>
  <c r="J78" i="75" s="1"/>
  <c r="I78" i="75"/>
  <c r="P75" i="75"/>
  <c r="O75" i="75" a="1"/>
  <c r="O75" i="75" s="1"/>
  <c r="N75" i="75"/>
  <c r="N75" i="75" a="1"/>
  <c r="M75" i="75" a="1"/>
  <c r="M75" i="75" s="1"/>
  <c r="L75" i="75" a="1"/>
  <c r="L75" i="75" s="1"/>
  <c r="K75" i="75"/>
  <c r="J75" i="75" a="1"/>
  <c r="J75" i="75" s="1"/>
  <c r="I75" i="75"/>
  <c r="P74" i="75"/>
  <c r="O74" i="75"/>
  <c r="O74" i="75" a="1"/>
  <c r="N74" i="75" a="1"/>
  <c r="N74" i="75" s="1"/>
  <c r="M74" i="75" a="1"/>
  <c r="M74" i="75" s="1"/>
  <c r="L74" i="75" a="1"/>
  <c r="L74" i="75" s="1"/>
  <c r="K74" i="75"/>
  <c r="J74" i="75" a="1"/>
  <c r="J74" i="75" s="1"/>
  <c r="I74" i="75"/>
  <c r="P73" i="75" a="1"/>
  <c r="P73" i="75" s="1"/>
  <c r="O73" i="75" a="1"/>
  <c r="O73" i="75" s="1"/>
  <c r="N73" i="75" a="1"/>
  <c r="N73" i="75" s="1"/>
  <c r="M73" i="75" a="1"/>
  <c r="M73" i="75" s="1"/>
  <c r="L73" i="75" a="1"/>
  <c r="L73" i="75" s="1"/>
  <c r="K73" i="75"/>
  <c r="J73" i="75" a="1"/>
  <c r="J73" i="75" s="1"/>
  <c r="I73" i="75" a="1"/>
  <c r="I73" i="75" s="1"/>
  <c r="P72" i="75" a="1"/>
  <c r="P72" i="75" s="1"/>
  <c r="Q72" i="75" s="1"/>
  <c r="O72" i="75" a="1"/>
  <c r="O72" i="75" s="1"/>
  <c r="N72" i="75" a="1"/>
  <c r="N72" i="75" s="1"/>
  <c r="M72" i="75" a="1"/>
  <c r="M72" i="75" s="1"/>
  <c r="L72" i="75" a="1"/>
  <c r="L72" i="75" s="1"/>
  <c r="K72" i="75"/>
  <c r="J72" i="75"/>
  <c r="J72" i="75" a="1"/>
  <c r="I72" i="75" a="1"/>
  <c r="I72" i="75" s="1"/>
  <c r="P71" i="75"/>
  <c r="O71" i="75" a="1"/>
  <c r="O71" i="75" s="1"/>
  <c r="N71" i="75" a="1"/>
  <c r="N71" i="75" s="1"/>
  <c r="M71" i="75" a="1"/>
  <c r="M71" i="75" s="1"/>
  <c r="L71" i="75" a="1"/>
  <c r="L71" i="75" s="1"/>
  <c r="K71" i="75"/>
  <c r="J71" i="75" a="1"/>
  <c r="J71" i="75" s="1"/>
  <c r="I71" i="75"/>
  <c r="P70" i="75"/>
  <c r="O70" i="75" a="1"/>
  <c r="O70" i="75" s="1"/>
  <c r="N70" i="75" a="1"/>
  <c r="N70" i="75" s="1"/>
  <c r="M70" i="75" a="1"/>
  <c r="M70" i="75" s="1"/>
  <c r="L70" i="75"/>
  <c r="L70" i="75" a="1"/>
  <c r="K70" i="75"/>
  <c r="J70" i="75" a="1"/>
  <c r="J70" i="75" s="1"/>
  <c r="Q70" i="75" s="1"/>
  <c r="I70" i="75"/>
  <c r="P69" i="75"/>
  <c r="O69" i="75" a="1"/>
  <c r="O69" i="75" s="1"/>
  <c r="N69" i="75" a="1"/>
  <c r="N69" i="75" s="1"/>
  <c r="M69" i="75"/>
  <c r="M69" i="75" a="1"/>
  <c r="L69" i="75" a="1"/>
  <c r="L69" i="75" s="1"/>
  <c r="K69" i="75"/>
  <c r="J69" i="75" a="1"/>
  <c r="J69" i="75" s="1"/>
  <c r="Q69" i="75" s="1"/>
  <c r="I69" i="75"/>
  <c r="P68" i="75"/>
  <c r="Q68" i="75" s="1"/>
  <c r="O68" i="75" a="1"/>
  <c r="O68" i="75" s="1"/>
  <c r="N68" i="75" a="1"/>
  <c r="N68" i="75" s="1"/>
  <c r="M68" i="75" a="1"/>
  <c r="M68" i="75" s="1"/>
  <c r="L68" i="75" a="1"/>
  <c r="L68" i="75" s="1"/>
  <c r="K68" i="75"/>
  <c r="J68" i="75" a="1"/>
  <c r="J68" i="75" s="1"/>
  <c r="I68" i="75"/>
  <c r="P67" i="75"/>
  <c r="O67" i="75" a="1"/>
  <c r="O67" i="75" s="1"/>
  <c r="N67" i="75"/>
  <c r="N67" i="75" a="1"/>
  <c r="M67" i="75" a="1"/>
  <c r="M67" i="75" s="1"/>
  <c r="L67" i="75"/>
  <c r="L67" i="75" a="1"/>
  <c r="K67" i="75"/>
  <c r="J67" i="75" a="1"/>
  <c r="J67" i="75" s="1"/>
  <c r="I67" i="75"/>
  <c r="P66" i="75"/>
  <c r="O66" i="75" a="1"/>
  <c r="O66" i="75" s="1"/>
  <c r="N66" i="75" a="1"/>
  <c r="N66" i="75" s="1"/>
  <c r="M66" i="75" a="1"/>
  <c r="M66" i="75" s="1"/>
  <c r="L66" i="75" a="1"/>
  <c r="L66" i="75" s="1"/>
  <c r="K66" i="75"/>
  <c r="J66" i="75" a="1"/>
  <c r="J66" i="75" s="1"/>
  <c r="I66" i="75"/>
  <c r="P65" i="75"/>
  <c r="O65" i="75" a="1"/>
  <c r="O65" i="75" s="1"/>
  <c r="N65" i="75" a="1"/>
  <c r="N65" i="75" s="1"/>
  <c r="M65" i="75" a="1"/>
  <c r="M65" i="75" s="1"/>
  <c r="L65" i="75" a="1"/>
  <c r="L65" i="75" s="1"/>
  <c r="K65" i="75"/>
  <c r="J65" i="75" a="1"/>
  <c r="J65" i="75" s="1"/>
  <c r="I65" i="75"/>
  <c r="P64" i="75"/>
  <c r="O64" i="75" a="1"/>
  <c r="O64" i="75" s="1"/>
  <c r="N64" i="75" a="1"/>
  <c r="N64" i="75" s="1"/>
  <c r="M64" i="75" a="1"/>
  <c r="M64" i="75" s="1"/>
  <c r="L64" i="75" a="1"/>
  <c r="L64" i="75" s="1"/>
  <c r="K64" i="75"/>
  <c r="J64" i="75" a="1"/>
  <c r="J64" i="75" s="1"/>
  <c r="I64" i="75"/>
  <c r="P62" i="75"/>
  <c r="O62" i="75" a="1"/>
  <c r="O62" i="75" s="1"/>
  <c r="N62" i="75" a="1"/>
  <c r="N62" i="75" s="1"/>
  <c r="M62" i="75" a="1"/>
  <c r="M62" i="75" s="1"/>
  <c r="L62" i="75" a="1"/>
  <c r="L62" i="75" s="1"/>
  <c r="K62" i="75"/>
  <c r="J62" i="75" a="1"/>
  <c r="J62" i="75" s="1"/>
  <c r="I62" i="75"/>
  <c r="P61" i="75"/>
  <c r="O61" i="75" a="1"/>
  <c r="O61" i="75" s="1"/>
  <c r="N61" i="75" a="1"/>
  <c r="N61" i="75" s="1"/>
  <c r="M61" i="75" a="1"/>
  <c r="M61" i="75" s="1"/>
  <c r="L61" i="75" a="1"/>
  <c r="L61" i="75" s="1"/>
  <c r="K61" i="75"/>
  <c r="J61" i="75" a="1"/>
  <c r="J61" i="75" s="1"/>
  <c r="I61" i="75"/>
  <c r="P60" i="75"/>
  <c r="O60" i="75" a="1"/>
  <c r="O60" i="75" s="1"/>
  <c r="N60" i="75" a="1"/>
  <c r="N60" i="75" s="1"/>
  <c r="M60" i="75" a="1"/>
  <c r="M60" i="75" s="1"/>
  <c r="L60" i="75" a="1"/>
  <c r="L60" i="75" s="1"/>
  <c r="K60" i="75"/>
  <c r="J60" i="75" a="1"/>
  <c r="J60" i="75" s="1"/>
  <c r="I60" i="75"/>
  <c r="P59" i="75"/>
  <c r="O59" i="75" a="1"/>
  <c r="O59" i="75" s="1"/>
  <c r="N59" i="75" a="1"/>
  <c r="N59" i="75" s="1"/>
  <c r="M59" i="75" a="1"/>
  <c r="M59" i="75" s="1"/>
  <c r="L59" i="75" a="1"/>
  <c r="L59" i="75" s="1"/>
  <c r="K59" i="75"/>
  <c r="J59" i="75" a="1"/>
  <c r="J59" i="75" s="1"/>
  <c r="I59" i="75"/>
  <c r="P58" i="75"/>
  <c r="O58" i="75" a="1"/>
  <c r="O58" i="75" s="1"/>
  <c r="N58" i="75" a="1"/>
  <c r="N58" i="75" s="1"/>
  <c r="M58" i="75" a="1"/>
  <c r="M58" i="75" s="1"/>
  <c r="L58" i="75" a="1"/>
  <c r="L58" i="75" s="1"/>
  <c r="K58" i="75"/>
  <c r="J58" i="75" a="1"/>
  <c r="J58" i="75" s="1"/>
  <c r="Q58" i="75" s="1"/>
  <c r="I58" i="75"/>
  <c r="P57" i="75"/>
  <c r="O57" i="75"/>
  <c r="O57" i="75" a="1"/>
  <c r="N57" i="75" a="1"/>
  <c r="N57" i="75" s="1"/>
  <c r="M57" i="75" a="1"/>
  <c r="M57" i="75" s="1"/>
  <c r="L57" i="75" a="1"/>
  <c r="L57" i="75" s="1"/>
  <c r="K57" i="75"/>
  <c r="J57" i="75"/>
  <c r="Q57" i="75" s="1"/>
  <c r="J57" i="75" a="1"/>
  <c r="I57" i="75"/>
  <c r="P56" i="75"/>
  <c r="O56" i="75" a="1"/>
  <c r="O56" i="75" s="1"/>
  <c r="N56" i="75"/>
  <c r="N56" i="75" a="1"/>
  <c r="M56" i="75"/>
  <c r="M56" i="75" a="1"/>
  <c r="L56" i="75" a="1"/>
  <c r="L56" i="75" s="1"/>
  <c r="K56" i="75"/>
  <c r="K63" i="75" s="1"/>
  <c r="J56" i="75" a="1"/>
  <c r="J56" i="75" s="1"/>
  <c r="I56" i="75"/>
  <c r="P55" i="75"/>
  <c r="O55" i="75" a="1"/>
  <c r="O55" i="75" s="1"/>
  <c r="N55" i="75" a="1"/>
  <c r="N55" i="75" s="1"/>
  <c r="M55" i="75" a="1"/>
  <c r="M55" i="75" s="1"/>
  <c r="L55" i="75" a="1"/>
  <c r="L55" i="75" s="1"/>
  <c r="K55" i="75"/>
  <c r="J55" i="75"/>
  <c r="J55" i="75" a="1"/>
  <c r="I55" i="75"/>
  <c r="P53" i="75"/>
  <c r="O53" i="75" a="1"/>
  <c r="O53" i="75" s="1"/>
  <c r="N53" i="75" a="1"/>
  <c r="N53" i="75" s="1"/>
  <c r="M53" i="75" a="1"/>
  <c r="M53" i="75" s="1"/>
  <c r="L53" i="75" a="1"/>
  <c r="L53" i="75" s="1"/>
  <c r="K53" i="75"/>
  <c r="J53" i="75" a="1"/>
  <c r="J53" i="75" s="1"/>
  <c r="I53" i="75"/>
  <c r="P52" i="75"/>
  <c r="Q52" i="75" s="1"/>
  <c r="O52" i="75" a="1"/>
  <c r="O52" i="75" s="1"/>
  <c r="N52" i="75"/>
  <c r="N52" i="75" a="1"/>
  <c r="M52" i="75" a="1"/>
  <c r="M52" i="75" s="1"/>
  <c r="L52" i="75" a="1"/>
  <c r="L52" i="75" s="1"/>
  <c r="K52" i="75"/>
  <c r="J52" i="75" a="1"/>
  <c r="J52" i="75" s="1"/>
  <c r="I52" i="75"/>
  <c r="P51" i="75"/>
  <c r="O51" i="75" a="1"/>
  <c r="O51" i="75" s="1"/>
  <c r="N51" i="75" a="1"/>
  <c r="N51" i="75" s="1"/>
  <c r="M51" i="75" a="1"/>
  <c r="M51" i="75" s="1"/>
  <c r="L51" i="75" a="1"/>
  <c r="L51" i="75" s="1"/>
  <c r="K51" i="75"/>
  <c r="J51" i="75" a="1"/>
  <c r="J51" i="75" s="1"/>
  <c r="I51" i="75"/>
  <c r="P50" i="75"/>
  <c r="O50" i="75"/>
  <c r="O50" i="75" a="1"/>
  <c r="N50" i="75" a="1"/>
  <c r="N50" i="75" s="1"/>
  <c r="M50" i="75" a="1"/>
  <c r="M50" i="75" s="1"/>
  <c r="L50" i="75" a="1"/>
  <c r="L50" i="75" s="1"/>
  <c r="K50" i="75"/>
  <c r="J50" i="75" a="1"/>
  <c r="J50" i="75" s="1"/>
  <c r="I50" i="75"/>
  <c r="P48" i="75"/>
  <c r="O48" i="75" a="1"/>
  <c r="O48" i="75" s="1"/>
  <c r="N48" i="75" a="1"/>
  <c r="N48" i="75" s="1"/>
  <c r="M48" i="75" a="1"/>
  <c r="M48" i="75" s="1"/>
  <c r="L48" i="75" a="1"/>
  <c r="L48" i="75" s="1"/>
  <c r="K48" i="75"/>
  <c r="J48" i="75" a="1"/>
  <c r="J48" i="75" s="1"/>
  <c r="Q48" i="75" s="1"/>
  <c r="I48" i="75"/>
  <c r="P47" i="75"/>
  <c r="Q47" i="75" s="1"/>
  <c r="O47" i="75" a="1"/>
  <c r="O47" i="75" s="1"/>
  <c r="N47" i="75" a="1"/>
  <c r="N47" i="75" s="1"/>
  <c r="M47" i="75" a="1"/>
  <c r="M47" i="75" s="1"/>
  <c r="L47" i="75" a="1"/>
  <c r="L47" i="75" s="1"/>
  <c r="K47" i="75"/>
  <c r="J47" i="75" a="1"/>
  <c r="J47" i="75" s="1"/>
  <c r="I47" i="75"/>
  <c r="P46" i="75"/>
  <c r="Q46" i="75" s="1"/>
  <c r="O46" i="75" a="1"/>
  <c r="O46" i="75" s="1"/>
  <c r="N46" i="75" a="1"/>
  <c r="N46" i="75" s="1"/>
  <c r="M46" i="75" a="1"/>
  <c r="M46" i="75" s="1"/>
  <c r="L46" i="75" a="1"/>
  <c r="L46" i="75" s="1"/>
  <c r="K46" i="75"/>
  <c r="J46" i="75" a="1"/>
  <c r="J46" i="75" s="1"/>
  <c r="I46" i="75"/>
  <c r="P45" i="75"/>
  <c r="O45" i="75" a="1"/>
  <c r="O45" i="75" s="1"/>
  <c r="N45" i="75" a="1"/>
  <c r="N45" i="75" s="1"/>
  <c r="M45" i="75" a="1"/>
  <c r="M45" i="75" s="1"/>
  <c r="L45" i="75" a="1"/>
  <c r="L45" i="75" s="1"/>
  <c r="K45" i="75"/>
  <c r="J45" i="75" a="1"/>
  <c r="J45" i="75" s="1"/>
  <c r="I45" i="75"/>
  <c r="P44" i="75"/>
  <c r="O44" i="75" a="1"/>
  <c r="O44" i="75" s="1"/>
  <c r="N44" i="75" a="1"/>
  <c r="N44" i="75" s="1"/>
  <c r="M44" i="75" a="1"/>
  <c r="M44" i="75" s="1"/>
  <c r="L44" i="75" a="1"/>
  <c r="L44" i="75" s="1"/>
  <c r="K44" i="75"/>
  <c r="J44" i="75" a="1"/>
  <c r="J44" i="75" s="1"/>
  <c r="I44" i="75"/>
  <c r="P43" i="75"/>
  <c r="O43" i="75" a="1"/>
  <c r="O43" i="75" s="1"/>
  <c r="N43" i="75"/>
  <c r="N43" i="75" a="1"/>
  <c r="M43" i="75" a="1"/>
  <c r="M43" i="75" s="1"/>
  <c r="L43" i="75" a="1"/>
  <c r="L43" i="75" s="1"/>
  <c r="K43" i="75"/>
  <c r="J43" i="75" a="1"/>
  <c r="J43" i="75" s="1"/>
  <c r="I43" i="75"/>
  <c r="P42" i="75"/>
  <c r="O42" i="75" a="1"/>
  <c r="O42" i="75" s="1"/>
  <c r="N42" i="75" a="1"/>
  <c r="N42" i="75" s="1"/>
  <c r="M42" i="75"/>
  <c r="M42" i="75" a="1"/>
  <c r="L42" i="75" a="1"/>
  <c r="L42" i="75" s="1"/>
  <c r="K42" i="75"/>
  <c r="J42" i="75" a="1"/>
  <c r="J42" i="75" s="1"/>
  <c r="I42" i="75"/>
  <c r="P41" i="75"/>
  <c r="O41" i="75" a="1"/>
  <c r="O41" i="75" s="1"/>
  <c r="N41" i="75" a="1"/>
  <c r="N41" i="75" s="1"/>
  <c r="M41" i="75"/>
  <c r="M41" i="75" a="1"/>
  <c r="L41" i="75" a="1"/>
  <c r="L41" i="75" s="1"/>
  <c r="K41" i="75"/>
  <c r="J41" i="75" a="1"/>
  <c r="J41" i="75" s="1"/>
  <c r="I41" i="75"/>
  <c r="P40" i="75"/>
  <c r="O40" i="75" a="1"/>
  <c r="O40" i="75" s="1"/>
  <c r="N40" i="75" a="1"/>
  <c r="N40" i="75" s="1"/>
  <c r="M40" i="75" a="1"/>
  <c r="M40" i="75" s="1"/>
  <c r="L40" i="75" a="1"/>
  <c r="L40" i="75" s="1"/>
  <c r="K40" i="75"/>
  <c r="J40" i="75" a="1"/>
  <c r="J40" i="75" s="1"/>
  <c r="I40" i="75"/>
  <c r="P39" i="75"/>
  <c r="O39" i="75"/>
  <c r="O39" i="75" a="1"/>
  <c r="N39" i="75" a="1"/>
  <c r="N39" i="75" s="1"/>
  <c r="M39" i="75" a="1"/>
  <c r="M39" i="75" s="1"/>
  <c r="L39" i="75" a="1"/>
  <c r="L39" i="75" s="1"/>
  <c r="K39" i="75"/>
  <c r="J39" i="75" a="1"/>
  <c r="J39" i="75" s="1"/>
  <c r="I39" i="75"/>
  <c r="P38" i="75"/>
  <c r="O38" i="75" a="1"/>
  <c r="O38" i="75" s="1"/>
  <c r="N38" i="75" a="1"/>
  <c r="N38" i="75" s="1"/>
  <c r="M38" i="75" a="1"/>
  <c r="M38" i="75" s="1"/>
  <c r="L38" i="75"/>
  <c r="L38" i="75" a="1"/>
  <c r="K38" i="75"/>
  <c r="J38" i="75" a="1"/>
  <c r="J38" i="75" s="1"/>
  <c r="I38" i="75"/>
  <c r="P37" i="75"/>
  <c r="O37" i="75" a="1"/>
  <c r="O37" i="75" s="1"/>
  <c r="N37" i="75" a="1"/>
  <c r="N37" i="75" s="1"/>
  <c r="M37" i="75" a="1"/>
  <c r="M37" i="75" s="1"/>
  <c r="L37" i="75" a="1"/>
  <c r="L37" i="75" s="1"/>
  <c r="K37" i="75"/>
  <c r="J37" i="75"/>
  <c r="J37" i="75" a="1"/>
  <c r="I37" i="75"/>
  <c r="P36" i="75"/>
  <c r="O36" i="75" a="1"/>
  <c r="O36" i="75" s="1"/>
  <c r="N36" i="75" a="1"/>
  <c r="N36" i="75" s="1"/>
  <c r="M36" i="75" a="1"/>
  <c r="M36" i="75" s="1"/>
  <c r="L36" i="75" a="1"/>
  <c r="L36" i="75" s="1"/>
  <c r="K36" i="75"/>
  <c r="J36" i="75" a="1"/>
  <c r="J36" i="75" s="1"/>
  <c r="Q36" i="75" s="1"/>
  <c r="I36" i="75"/>
  <c r="P35" i="75"/>
  <c r="O35" i="75" a="1"/>
  <c r="O35" i="75" s="1"/>
  <c r="N35" i="75" a="1"/>
  <c r="N35" i="75" s="1"/>
  <c r="M35" i="75" a="1"/>
  <c r="M35" i="75" s="1"/>
  <c r="L35" i="75" a="1"/>
  <c r="L35" i="75" s="1"/>
  <c r="K35" i="75"/>
  <c r="J35" i="75" a="1"/>
  <c r="J35" i="75" s="1"/>
  <c r="Q35" i="75" s="1"/>
  <c r="I35" i="75"/>
  <c r="P27" i="75"/>
  <c r="O27" i="75" a="1"/>
  <c r="O27" i="75" s="1"/>
  <c r="N27" i="75" a="1"/>
  <c r="N27" i="75" s="1"/>
  <c r="M27" i="75" a="1"/>
  <c r="M27" i="75" s="1"/>
  <c r="L27" i="75" a="1"/>
  <c r="L27" i="75" s="1"/>
  <c r="K27" i="75"/>
  <c r="J27" i="75" a="1"/>
  <c r="J27" i="75" s="1"/>
  <c r="I27" i="75"/>
  <c r="P26" i="75"/>
  <c r="Q26" i="75" s="1"/>
  <c r="O26" i="75" a="1"/>
  <c r="O26" i="75" s="1"/>
  <c r="N26" i="75" a="1"/>
  <c r="N26" i="75" s="1"/>
  <c r="M26" i="75" a="1"/>
  <c r="M26" i="75" s="1"/>
  <c r="L26" i="75" a="1"/>
  <c r="L26" i="75" s="1"/>
  <c r="K26" i="75"/>
  <c r="J26" i="75" a="1"/>
  <c r="J26" i="75" s="1"/>
  <c r="I26" i="75"/>
  <c r="P25" i="75"/>
  <c r="O25" i="75" a="1"/>
  <c r="O25" i="75" s="1"/>
  <c r="N25" i="75" a="1"/>
  <c r="N25" i="75" s="1"/>
  <c r="M25" i="75" a="1"/>
  <c r="M25" i="75" s="1"/>
  <c r="L25" i="75" a="1"/>
  <c r="L25" i="75" s="1"/>
  <c r="K25" i="75"/>
  <c r="J25" i="75" a="1"/>
  <c r="J25" i="75" s="1"/>
  <c r="Q25" i="75" s="1"/>
  <c r="I25" i="75"/>
  <c r="P24" i="75"/>
  <c r="O24" i="75" a="1"/>
  <c r="O24" i="75" s="1"/>
  <c r="N24" i="75" a="1"/>
  <c r="N24" i="75" s="1"/>
  <c r="M24" i="75" a="1"/>
  <c r="M24" i="75" s="1"/>
  <c r="L24" i="75" a="1"/>
  <c r="L24" i="75" s="1"/>
  <c r="K24" i="75"/>
  <c r="J24" i="75" a="1"/>
  <c r="J24" i="75" s="1"/>
  <c r="I24" i="75"/>
  <c r="P23" i="75"/>
  <c r="O23" i="75" a="1"/>
  <c r="O23" i="75" s="1"/>
  <c r="N23" i="75" a="1"/>
  <c r="N23" i="75" s="1"/>
  <c r="M23" i="75" a="1"/>
  <c r="M23" i="75" s="1"/>
  <c r="L23" i="75" a="1"/>
  <c r="L23" i="75" s="1"/>
  <c r="K23" i="75"/>
  <c r="J23" i="75" a="1"/>
  <c r="J23" i="75" s="1"/>
  <c r="I23" i="75"/>
  <c r="P22" i="75"/>
  <c r="Q22" i="75" s="1"/>
  <c r="O22" i="75" a="1"/>
  <c r="O22" i="75" s="1"/>
  <c r="N22" i="75" a="1"/>
  <c r="N22" i="75" s="1"/>
  <c r="M22" i="75" a="1"/>
  <c r="M22" i="75" s="1"/>
  <c r="L22" i="75"/>
  <c r="L22" i="75" a="1"/>
  <c r="K22" i="75"/>
  <c r="J22" i="75" a="1"/>
  <c r="J22" i="75" s="1"/>
  <c r="I22" i="75"/>
  <c r="P21" i="75"/>
  <c r="O21" i="75" a="1"/>
  <c r="O21" i="75" s="1"/>
  <c r="N21" i="75"/>
  <c r="N21" i="75" a="1"/>
  <c r="M21" i="75" a="1"/>
  <c r="M21" i="75" s="1"/>
  <c r="L21" i="75" a="1"/>
  <c r="L21" i="75" s="1"/>
  <c r="K21" i="75"/>
  <c r="J21" i="75" a="1"/>
  <c r="J21" i="75" s="1"/>
  <c r="I21" i="75"/>
  <c r="P20" i="75"/>
  <c r="O20" i="75" a="1"/>
  <c r="O20" i="75" s="1"/>
  <c r="N20" i="75" a="1"/>
  <c r="N20" i="75" s="1"/>
  <c r="M20" i="75" a="1"/>
  <c r="M20" i="75" s="1"/>
  <c r="L20" i="75" a="1"/>
  <c r="L20" i="75" s="1"/>
  <c r="K20" i="75"/>
  <c r="J20" i="75" a="1"/>
  <c r="J20" i="75" s="1"/>
  <c r="I20" i="75"/>
  <c r="P19" i="75"/>
  <c r="O19" i="75"/>
  <c r="O19" i="75" a="1"/>
  <c r="N19" i="75" a="1"/>
  <c r="N19" i="75" s="1"/>
  <c r="M19" i="75" a="1"/>
  <c r="M19" i="75" s="1"/>
  <c r="L19" i="75" a="1"/>
  <c r="L19" i="75" s="1"/>
  <c r="K19" i="75"/>
  <c r="J19" i="75" a="1"/>
  <c r="J19" i="75" s="1"/>
  <c r="I19" i="75"/>
  <c r="P18" i="75"/>
  <c r="O18" i="75" a="1"/>
  <c r="O18" i="75" s="1"/>
  <c r="N18" i="75" a="1"/>
  <c r="N18" i="75" s="1"/>
  <c r="M18" i="75" a="1"/>
  <c r="M18" i="75" s="1"/>
  <c r="L18" i="75" a="1"/>
  <c r="L18" i="75" s="1"/>
  <c r="K18" i="75"/>
  <c r="J18" i="75" a="1"/>
  <c r="J18" i="75" s="1"/>
  <c r="I18" i="75"/>
  <c r="P16" i="75"/>
  <c r="O16" i="75" a="1"/>
  <c r="O16" i="75" s="1"/>
  <c r="N16" i="75" a="1"/>
  <c r="N16" i="75" s="1"/>
  <c r="M16" i="75" a="1"/>
  <c r="M16" i="75" s="1"/>
  <c r="L16" i="75" a="1"/>
  <c r="L16" i="75" s="1"/>
  <c r="K16" i="75"/>
  <c r="J16" i="75" a="1"/>
  <c r="J16" i="75" s="1"/>
  <c r="I16" i="75"/>
  <c r="P15" i="75"/>
  <c r="O15" i="75" a="1"/>
  <c r="O15" i="75" s="1"/>
  <c r="N15" i="75" a="1"/>
  <c r="N15" i="75" s="1"/>
  <c r="M15" i="75" a="1"/>
  <c r="M15" i="75" s="1"/>
  <c r="L15" i="75" a="1"/>
  <c r="L15" i="75" s="1"/>
  <c r="K15" i="75"/>
  <c r="J15" i="75" a="1"/>
  <c r="J15" i="75" s="1"/>
  <c r="I15" i="75"/>
  <c r="P14" i="75"/>
  <c r="O14" i="75"/>
  <c r="O14" i="75" a="1"/>
  <c r="N14" i="75" a="1"/>
  <c r="N14" i="75" s="1"/>
  <c r="M14" i="75" a="1"/>
  <c r="M14" i="75" s="1"/>
  <c r="L14" i="75" a="1"/>
  <c r="L14" i="75" s="1"/>
  <c r="K14" i="75"/>
  <c r="J14" i="75" a="1"/>
  <c r="J14" i="75" s="1"/>
  <c r="I14" i="75"/>
  <c r="P13" i="75"/>
  <c r="Q13" i="75" s="1"/>
  <c r="O13" i="75" a="1"/>
  <c r="O13" i="75" s="1"/>
  <c r="N13" i="75" a="1"/>
  <c r="N13" i="75" s="1"/>
  <c r="M13" i="75" a="1"/>
  <c r="M13" i="75" s="1"/>
  <c r="L13" i="75" a="1"/>
  <c r="L13" i="75" s="1"/>
  <c r="K13" i="75"/>
  <c r="J13" i="75" a="1"/>
  <c r="J13" i="75" s="1"/>
  <c r="I13" i="75"/>
  <c r="P12" i="75"/>
  <c r="O12" i="75" a="1"/>
  <c r="O12" i="75" s="1"/>
  <c r="N12" i="75" a="1"/>
  <c r="N12" i="75" s="1"/>
  <c r="M12" i="75" a="1"/>
  <c r="M12" i="75" s="1"/>
  <c r="L12" i="75" a="1"/>
  <c r="L12" i="75" s="1"/>
  <c r="K12" i="75"/>
  <c r="J12" i="75" a="1"/>
  <c r="J12" i="75" s="1"/>
  <c r="I12" i="75"/>
  <c r="P11" i="75"/>
  <c r="O11" i="75" a="1"/>
  <c r="O11" i="75" s="1"/>
  <c r="N11" i="75" a="1"/>
  <c r="N11" i="75" s="1"/>
  <c r="M11" i="75" a="1"/>
  <c r="M11" i="75" s="1"/>
  <c r="L11" i="75" a="1"/>
  <c r="L11" i="75" s="1"/>
  <c r="K11" i="75"/>
  <c r="J11" i="75" a="1"/>
  <c r="J11" i="75" s="1"/>
  <c r="I11" i="75"/>
  <c r="P10" i="75"/>
  <c r="O10" i="75" a="1"/>
  <c r="O10" i="75" s="1"/>
  <c r="N10" i="75" a="1"/>
  <c r="N10" i="75" s="1"/>
  <c r="M10" i="75" a="1"/>
  <c r="M10" i="75" s="1"/>
  <c r="L10" i="75" a="1"/>
  <c r="L10" i="75" s="1"/>
  <c r="K10" i="75"/>
  <c r="J10" i="75" a="1"/>
  <c r="J10" i="75" s="1"/>
  <c r="I10" i="75"/>
  <c r="P9" i="75"/>
  <c r="O9" i="75" a="1"/>
  <c r="O9" i="75" s="1"/>
  <c r="N9" i="75" a="1"/>
  <c r="N9" i="75" s="1"/>
  <c r="M9" i="75" a="1"/>
  <c r="M9" i="75" s="1"/>
  <c r="L9" i="75" a="1"/>
  <c r="L9" i="75" s="1"/>
  <c r="K9" i="75"/>
  <c r="J9" i="75" a="1"/>
  <c r="J9" i="75" s="1"/>
  <c r="I9" i="75"/>
  <c r="P8" i="75"/>
  <c r="O8" i="75" a="1"/>
  <c r="O8" i="75" s="1"/>
  <c r="N8" i="75" a="1"/>
  <c r="N8" i="75" s="1"/>
  <c r="M8" i="75" a="1"/>
  <c r="M8" i="75" s="1"/>
  <c r="L8" i="75" a="1"/>
  <c r="L8" i="75" s="1"/>
  <c r="K8" i="75"/>
  <c r="J8" i="75" a="1"/>
  <c r="J8" i="75" s="1"/>
  <c r="I8" i="75"/>
  <c r="P7" i="75"/>
  <c r="O7" i="75" a="1"/>
  <c r="O7" i="75" s="1"/>
  <c r="N7" i="75" a="1"/>
  <c r="N7" i="75" s="1"/>
  <c r="M7" i="75"/>
  <c r="M7" i="75" a="1"/>
  <c r="L7" i="75" a="1"/>
  <c r="L7" i="75" s="1"/>
  <c r="K7" i="75"/>
  <c r="J7" i="75" a="1"/>
  <c r="J7" i="75" s="1"/>
  <c r="Q7" i="75" s="1"/>
  <c r="I7" i="75"/>
  <c r="P6" i="75"/>
  <c r="O6" i="75" a="1"/>
  <c r="O6" i="75" s="1"/>
  <c r="N6" i="75" a="1"/>
  <c r="N6" i="75" s="1"/>
  <c r="M6" i="75" a="1"/>
  <c r="M6" i="75" s="1"/>
  <c r="L6" i="75" a="1"/>
  <c r="L6" i="75" s="1"/>
  <c r="K6" i="75"/>
  <c r="J6" i="75" a="1"/>
  <c r="J6" i="75" s="1"/>
  <c r="I6" i="75"/>
  <c r="P5" i="75"/>
  <c r="O5" i="75" a="1"/>
  <c r="O5" i="75" s="1"/>
  <c r="N5" i="75" a="1"/>
  <c r="N5" i="75" s="1"/>
  <c r="M5" i="75" a="1"/>
  <c r="M5" i="75" s="1"/>
  <c r="L5" i="75" a="1"/>
  <c r="L5" i="75" s="1"/>
  <c r="K5" i="75"/>
  <c r="J5" i="75" a="1"/>
  <c r="J5" i="75" s="1"/>
  <c r="Q5" i="75" s="1"/>
  <c r="I5" i="75"/>
  <c r="P4" i="75"/>
  <c r="O4" i="75" a="1"/>
  <c r="O4" i="75" s="1"/>
  <c r="N4" i="75" a="1"/>
  <c r="N4" i="75" s="1"/>
  <c r="M4" i="75" a="1"/>
  <c r="M4" i="75" s="1"/>
  <c r="L4" i="75" a="1"/>
  <c r="L4" i="75" s="1"/>
  <c r="K4" i="75"/>
  <c r="J4" i="75" a="1"/>
  <c r="J4" i="75" s="1"/>
  <c r="I4" i="75"/>
  <c r="P3" i="75"/>
  <c r="O3" i="75" a="1"/>
  <c r="O3" i="75" s="1"/>
  <c r="N3" i="75"/>
  <c r="N3" i="75" a="1"/>
  <c r="M3" i="75" a="1"/>
  <c r="M3" i="75" s="1"/>
  <c r="L3" i="75" a="1"/>
  <c r="L3" i="75" s="1"/>
  <c r="K3" i="75"/>
  <c r="J3" i="75"/>
  <c r="J3" i="75" a="1"/>
  <c r="I3" i="75"/>
  <c r="P200" i="74"/>
  <c r="O200" i="74" a="1"/>
  <c r="O200" i="74" s="1"/>
  <c r="N200" i="74" a="1"/>
  <c r="N200" i="74" s="1"/>
  <c r="M200" i="74" a="1"/>
  <c r="M200" i="74" s="1"/>
  <c r="L200" i="74" a="1"/>
  <c r="L200" i="74" s="1"/>
  <c r="K200" i="74"/>
  <c r="J200" i="74" a="1"/>
  <c r="J200" i="74" s="1"/>
  <c r="I200" i="74"/>
  <c r="P199" i="74"/>
  <c r="O199" i="74" a="1"/>
  <c r="O199" i="74" s="1"/>
  <c r="N199" i="74" a="1"/>
  <c r="N199" i="74" s="1"/>
  <c r="M199" i="74" a="1"/>
  <c r="M199" i="74" s="1"/>
  <c r="L199" i="74" a="1"/>
  <c r="L199" i="74" s="1"/>
  <c r="K199" i="74"/>
  <c r="J199" i="74" a="1"/>
  <c r="J199" i="74" s="1"/>
  <c r="I199" i="74"/>
  <c r="P196" i="74"/>
  <c r="O196" i="74" a="1"/>
  <c r="O196" i="74" s="1"/>
  <c r="N196" i="74" a="1"/>
  <c r="N196" i="74" s="1"/>
  <c r="M196" i="74" a="1"/>
  <c r="M196" i="74" s="1"/>
  <c r="L196" i="74"/>
  <c r="L196" i="74" a="1"/>
  <c r="K196" i="74"/>
  <c r="J196" i="74"/>
  <c r="J196" i="74" a="1"/>
  <c r="I196" i="74"/>
  <c r="P195" i="74"/>
  <c r="O195" i="74" a="1"/>
  <c r="O195" i="74" s="1"/>
  <c r="N195" i="74"/>
  <c r="N195" i="74" a="1"/>
  <c r="M195" i="74" a="1"/>
  <c r="M195" i="74" s="1"/>
  <c r="L195" i="74" a="1"/>
  <c r="L195" i="74" s="1"/>
  <c r="K195" i="74"/>
  <c r="J195" i="74" a="1"/>
  <c r="J195" i="74" s="1"/>
  <c r="I195" i="74"/>
  <c r="P193" i="74"/>
  <c r="O193" i="74" a="1"/>
  <c r="O193" i="74" s="1"/>
  <c r="N193" i="74" a="1"/>
  <c r="N193" i="74" s="1"/>
  <c r="M193" i="74" a="1"/>
  <c r="M193" i="74" s="1"/>
  <c r="L193" i="74" a="1"/>
  <c r="L193" i="74" s="1"/>
  <c r="K193" i="74"/>
  <c r="J193" i="74" a="1"/>
  <c r="J193" i="74" s="1"/>
  <c r="I193" i="74"/>
  <c r="P192" i="74"/>
  <c r="O192" i="74" a="1"/>
  <c r="O192" i="74" s="1"/>
  <c r="N192" i="74" a="1"/>
  <c r="N192" i="74" s="1"/>
  <c r="M192" i="74" a="1"/>
  <c r="M192" i="74" s="1"/>
  <c r="L192" i="74" a="1"/>
  <c r="L192" i="74" s="1"/>
  <c r="K192" i="74"/>
  <c r="J192" i="74" a="1"/>
  <c r="J192" i="74" s="1"/>
  <c r="I192" i="74"/>
  <c r="P191" i="74"/>
  <c r="O191" i="74" a="1"/>
  <c r="O191" i="74" s="1"/>
  <c r="N191" i="74"/>
  <c r="N191" i="74" a="1"/>
  <c r="M191" i="74" a="1"/>
  <c r="M191" i="74" s="1"/>
  <c r="L191" i="74" a="1"/>
  <c r="L191" i="74" s="1"/>
  <c r="K191" i="74"/>
  <c r="J191" i="74" a="1"/>
  <c r="J191" i="74" s="1"/>
  <c r="Q191" i="74" s="1"/>
  <c r="I191" i="74"/>
  <c r="P190" i="74"/>
  <c r="O190" i="74" a="1"/>
  <c r="O190" i="74" s="1"/>
  <c r="N190" i="74" a="1"/>
  <c r="N190" i="74" s="1"/>
  <c r="M190" i="74"/>
  <c r="M190" i="74" a="1"/>
  <c r="L190" i="74" a="1"/>
  <c r="L190" i="74" s="1"/>
  <c r="K190" i="74"/>
  <c r="J190" i="74" a="1"/>
  <c r="J190" i="74" s="1"/>
  <c r="I190" i="74"/>
  <c r="P189" i="74"/>
  <c r="O189" i="74" a="1"/>
  <c r="O189" i="74" s="1"/>
  <c r="N189" i="74"/>
  <c r="N189" i="74" a="1"/>
  <c r="M189" i="74" a="1"/>
  <c r="M189" i="74" s="1"/>
  <c r="L189" i="74" a="1"/>
  <c r="L189" i="74" s="1"/>
  <c r="K189" i="74"/>
  <c r="J189" i="74" a="1"/>
  <c r="J189" i="74" s="1"/>
  <c r="I189" i="74"/>
  <c r="P188" i="74"/>
  <c r="O188" i="74" a="1"/>
  <c r="O188" i="74" s="1"/>
  <c r="N188" i="74" a="1"/>
  <c r="N188" i="74" s="1"/>
  <c r="M188" i="74" a="1"/>
  <c r="M188" i="74" s="1"/>
  <c r="L188" i="74" a="1"/>
  <c r="L188" i="74" s="1"/>
  <c r="K188" i="74"/>
  <c r="J188" i="74" a="1"/>
  <c r="J188" i="74" s="1"/>
  <c r="Q188" i="74" s="1"/>
  <c r="I188" i="74"/>
  <c r="P187" i="74"/>
  <c r="O187" i="74" a="1"/>
  <c r="O187" i="74" s="1"/>
  <c r="N187" i="74" a="1"/>
  <c r="N187" i="74" s="1"/>
  <c r="M187" i="74" a="1"/>
  <c r="M187" i="74" s="1"/>
  <c r="L187" i="74" a="1"/>
  <c r="L187" i="74" s="1"/>
  <c r="K187" i="74"/>
  <c r="J187" i="74" a="1"/>
  <c r="J187" i="74" s="1"/>
  <c r="Q187" i="74" s="1"/>
  <c r="I187" i="74"/>
  <c r="P186" i="74"/>
  <c r="Q186" i="74" s="1"/>
  <c r="O186" i="74" a="1"/>
  <c r="O186" i="74" s="1"/>
  <c r="N186" i="74" a="1"/>
  <c r="N186" i="74" s="1"/>
  <c r="M186" i="74" a="1"/>
  <c r="M186" i="74" s="1"/>
  <c r="L186" i="74" a="1"/>
  <c r="L186" i="74" s="1"/>
  <c r="K186" i="74"/>
  <c r="J186" i="74" a="1"/>
  <c r="J186" i="74" s="1"/>
  <c r="I186" i="74"/>
  <c r="P185" i="74"/>
  <c r="O185" i="74" a="1"/>
  <c r="O185" i="74" s="1"/>
  <c r="N185" i="74" a="1"/>
  <c r="N185" i="74" s="1"/>
  <c r="M185" i="74" a="1"/>
  <c r="M185" i="74" s="1"/>
  <c r="L185" i="74" a="1"/>
  <c r="L185" i="74" s="1"/>
  <c r="K185" i="74"/>
  <c r="J185" i="74" a="1"/>
  <c r="J185" i="74" s="1"/>
  <c r="I185" i="74"/>
  <c r="P184" i="74"/>
  <c r="O184" i="74" a="1"/>
  <c r="O184" i="74" s="1"/>
  <c r="N184" i="74" a="1"/>
  <c r="N184" i="74" s="1"/>
  <c r="M184" i="74" a="1"/>
  <c r="M184" i="74" s="1"/>
  <c r="L184" i="74" a="1"/>
  <c r="L184" i="74" s="1"/>
  <c r="K184" i="74"/>
  <c r="J184" i="74"/>
  <c r="Q184" i="74" s="1"/>
  <c r="J184" i="74" a="1"/>
  <c r="I184" i="74"/>
  <c r="P183" i="74"/>
  <c r="O183" i="74" a="1"/>
  <c r="O183" i="74" s="1"/>
  <c r="N183" i="74" a="1"/>
  <c r="N183" i="74" s="1"/>
  <c r="M183" i="74" a="1"/>
  <c r="M183" i="74" s="1"/>
  <c r="L183" i="74" a="1"/>
  <c r="L183" i="74" s="1"/>
  <c r="K183" i="74"/>
  <c r="J183" i="74" a="1"/>
  <c r="J183" i="74" s="1"/>
  <c r="Q183" i="74" s="1"/>
  <c r="I183" i="74"/>
  <c r="P182" i="74"/>
  <c r="Q182" i="74" s="1"/>
  <c r="O182" i="74" a="1"/>
  <c r="O182" i="74" s="1"/>
  <c r="N182" i="74" a="1"/>
  <c r="N182" i="74" s="1"/>
  <c r="M182" i="74" a="1"/>
  <c r="M182" i="74" s="1"/>
  <c r="L182" i="74" a="1"/>
  <c r="L182" i="74" s="1"/>
  <c r="K182" i="74"/>
  <c r="J182" i="74" a="1"/>
  <c r="J182" i="74" s="1"/>
  <c r="I182" i="74"/>
  <c r="P181" i="74"/>
  <c r="O181" i="74" a="1"/>
  <c r="O181" i="74" s="1"/>
  <c r="N181" i="74" a="1"/>
  <c r="N181" i="74" s="1"/>
  <c r="M181" i="74" a="1"/>
  <c r="M181" i="74" s="1"/>
  <c r="L181" i="74" a="1"/>
  <c r="L181" i="74" s="1"/>
  <c r="K181" i="74"/>
  <c r="J181" i="74" a="1"/>
  <c r="J181" i="74" s="1"/>
  <c r="I181" i="74"/>
  <c r="P180" i="74"/>
  <c r="O180" i="74" a="1"/>
  <c r="O180" i="74" s="1"/>
  <c r="N180" i="74" a="1"/>
  <c r="N180" i="74" s="1"/>
  <c r="M180" i="74" a="1"/>
  <c r="M180" i="74" s="1"/>
  <c r="L180" i="74" a="1"/>
  <c r="L180" i="74" s="1"/>
  <c r="K180" i="74"/>
  <c r="J180" i="74" a="1"/>
  <c r="J180" i="74" s="1"/>
  <c r="I180" i="74"/>
  <c r="P179" i="74"/>
  <c r="O179" i="74"/>
  <c r="O179" i="74" a="1"/>
  <c r="N179" i="74"/>
  <c r="N179" i="74" a="1"/>
  <c r="M179" i="74" a="1"/>
  <c r="M179" i="74" s="1"/>
  <c r="L179" i="74" a="1"/>
  <c r="L179" i="74" s="1"/>
  <c r="K179" i="74"/>
  <c r="J179" i="74" a="1"/>
  <c r="J179" i="74" s="1"/>
  <c r="I179" i="74"/>
  <c r="P178" i="74"/>
  <c r="O178" i="74"/>
  <c r="O178" i="74" a="1"/>
  <c r="N178" i="74"/>
  <c r="N178" i="74" a="1"/>
  <c r="M178" i="74" a="1"/>
  <c r="M178" i="74" s="1"/>
  <c r="L178" i="74" a="1"/>
  <c r="L178" i="74" s="1"/>
  <c r="K178" i="74"/>
  <c r="J178" i="74" a="1"/>
  <c r="J178" i="74" s="1"/>
  <c r="I178" i="74"/>
  <c r="P177" i="74"/>
  <c r="O177" i="74" a="1"/>
  <c r="O177" i="74" s="1"/>
  <c r="N177" i="74"/>
  <c r="N177" i="74" a="1"/>
  <c r="M177" i="74" a="1"/>
  <c r="M177" i="74" s="1"/>
  <c r="L177" i="74" a="1"/>
  <c r="L177" i="74" s="1"/>
  <c r="K177" i="74"/>
  <c r="J177" i="74" a="1"/>
  <c r="J177" i="74" s="1"/>
  <c r="I177" i="74"/>
  <c r="P176" i="74"/>
  <c r="O176" i="74"/>
  <c r="O176" i="74" a="1"/>
  <c r="N176" i="74" a="1"/>
  <c r="N176" i="74" s="1"/>
  <c r="M176" i="74" a="1"/>
  <c r="M176" i="74" s="1"/>
  <c r="L176" i="74" a="1"/>
  <c r="L176" i="74" s="1"/>
  <c r="K176" i="74"/>
  <c r="J176" i="74"/>
  <c r="J176" i="74" a="1"/>
  <c r="I176" i="74"/>
  <c r="P175" i="74"/>
  <c r="O175" i="74" a="1"/>
  <c r="O175" i="74" s="1"/>
  <c r="N175" i="74" a="1"/>
  <c r="N175" i="74" s="1"/>
  <c r="M175" i="74" a="1"/>
  <c r="M175" i="74" s="1"/>
  <c r="L175" i="74" a="1"/>
  <c r="L175" i="74" s="1"/>
  <c r="K175" i="74"/>
  <c r="J175" i="74" a="1"/>
  <c r="J175" i="74" s="1"/>
  <c r="I175" i="74"/>
  <c r="P174" i="74"/>
  <c r="Q174" i="74" s="1"/>
  <c r="O174" i="74" a="1"/>
  <c r="O174" i="74" s="1"/>
  <c r="N174" i="74" a="1"/>
  <c r="N174" i="74" s="1"/>
  <c r="M174" i="74" a="1"/>
  <c r="M174" i="74" s="1"/>
  <c r="L174" i="74" a="1"/>
  <c r="L174" i="74" s="1"/>
  <c r="K174" i="74"/>
  <c r="J174" i="74" a="1"/>
  <c r="J174" i="74" s="1"/>
  <c r="I174" i="74"/>
  <c r="P173" i="74"/>
  <c r="O173" i="74" a="1"/>
  <c r="O173" i="74" s="1"/>
  <c r="N173" i="74" a="1"/>
  <c r="N173" i="74" s="1"/>
  <c r="M173" i="74" a="1"/>
  <c r="M173" i="74" s="1"/>
  <c r="L173" i="74" a="1"/>
  <c r="L173" i="74" s="1"/>
  <c r="K173" i="74"/>
  <c r="J173" i="74"/>
  <c r="J173" i="74" a="1"/>
  <c r="I173" i="74"/>
  <c r="P172" i="74"/>
  <c r="O172" i="74" a="1"/>
  <c r="O172" i="74" s="1"/>
  <c r="N172" i="74" a="1"/>
  <c r="N172" i="74" s="1"/>
  <c r="M172" i="74" a="1"/>
  <c r="M172" i="74" s="1"/>
  <c r="L172" i="74" a="1"/>
  <c r="L172" i="74" s="1"/>
  <c r="K172" i="74"/>
  <c r="J172" i="74" a="1"/>
  <c r="J172" i="74" s="1"/>
  <c r="Q172" i="74" s="1"/>
  <c r="I172" i="74"/>
  <c r="P171" i="74"/>
  <c r="O171" i="74"/>
  <c r="O171" i="74" a="1"/>
  <c r="N171" i="74" a="1"/>
  <c r="N171" i="74" s="1"/>
  <c r="M171" i="74" a="1"/>
  <c r="M171" i="74" s="1"/>
  <c r="L171" i="74" a="1"/>
  <c r="L171" i="74" s="1"/>
  <c r="K171" i="74"/>
  <c r="J171" i="74" a="1"/>
  <c r="J171" i="74" s="1"/>
  <c r="I171" i="74"/>
  <c r="P170" i="74"/>
  <c r="Q170" i="74" s="1"/>
  <c r="O170" i="74" a="1"/>
  <c r="O170" i="74" s="1"/>
  <c r="N170" i="74" a="1"/>
  <c r="N170" i="74" s="1"/>
  <c r="M170" i="74" a="1"/>
  <c r="M170" i="74" s="1"/>
  <c r="L170" i="74" a="1"/>
  <c r="L170" i="74" s="1"/>
  <c r="K170" i="74"/>
  <c r="J170" i="74" a="1"/>
  <c r="J170" i="74" s="1"/>
  <c r="I170" i="74"/>
  <c r="P169" i="74"/>
  <c r="O169" i="74" a="1"/>
  <c r="O169" i="74" s="1"/>
  <c r="N169" i="74" a="1"/>
  <c r="N169" i="74" s="1"/>
  <c r="M169" i="74" a="1"/>
  <c r="M169" i="74" s="1"/>
  <c r="L169" i="74"/>
  <c r="L169" i="74" a="1"/>
  <c r="K169" i="74"/>
  <c r="J169" i="74" a="1"/>
  <c r="J169" i="74" s="1"/>
  <c r="I169" i="74"/>
  <c r="P168" i="74"/>
  <c r="O168" i="74" a="1"/>
  <c r="O168" i="74" s="1"/>
  <c r="N168" i="74" a="1"/>
  <c r="N168" i="74" s="1"/>
  <c r="M168" i="74" a="1"/>
  <c r="M168" i="74" s="1"/>
  <c r="L168" i="74" a="1"/>
  <c r="L168" i="74" s="1"/>
  <c r="K168" i="74"/>
  <c r="J168" i="74" a="1"/>
  <c r="J168" i="74" s="1"/>
  <c r="Q168" i="74" s="1"/>
  <c r="I168" i="74"/>
  <c r="P167" i="74"/>
  <c r="O167" i="74" a="1"/>
  <c r="O167" i="74" s="1"/>
  <c r="N167" i="74"/>
  <c r="N167" i="74" a="1"/>
  <c r="M167" i="74" a="1"/>
  <c r="M167" i="74" s="1"/>
  <c r="L167" i="74" a="1"/>
  <c r="L167" i="74" s="1"/>
  <c r="K167" i="74"/>
  <c r="J167" i="74" a="1"/>
  <c r="J167" i="74" s="1"/>
  <c r="I167" i="74"/>
  <c r="P166" i="74"/>
  <c r="O166" i="74" a="1"/>
  <c r="O166" i="74" s="1"/>
  <c r="N166" i="74" a="1"/>
  <c r="N166" i="74" s="1"/>
  <c r="M166" i="74"/>
  <c r="M166" i="74" a="1"/>
  <c r="L166" i="74" a="1"/>
  <c r="L166" i="74" s="1"/>
  <c r="K166" i="74"/>
  <c r="J166" i="74" a="1"/>
  <c r="J166" i="74" s="1"/>
  <c r="I166" i="74"/>
  <c r="P165" i="74"/>
  <c r="Q165" i="74" s="1"/>
  <c r="O165" i="74" a="1"/>
  <c r="O165" i="74" s="1"/>
  <c r="N165" i="74" a="1"/>
  <c r="N165" i="74" s="1"/>
  <c r="M165" i="74" a="1"/>
  <c r="M165" i="74" s="1"/>
  <c r="L165" i="74" a="1"/>
  <c r="L165" i="74" s="1"/>
  <c r="K165" i="74"/>
  <c r="J165" i="74" a="1"/>
  <c r="J165" i="74" s="1"/>
  <c r="I165" i="74"/>
  <c r="P164" i="74"/>
  <c r="O164" i="74" a="1"/>
  <c r="O164" i="74" s="1"/>
  <c r="N164" i="74" a="1"/>
  <c r="N164" i="74" s="1"/>
  <c r="M164" i="74" a="1"/>
  <c r="M164" i="74" s="1"/>
  <c r="L164" i="74" a="1"/>
  <c r="L164" i="74" s="1"/>
  <c r="K164" i="74"/>
  <c r="J164" i="74" a="1"/>
  <c r="J164" i="74" s="1"/>
  <c r="Q164" i="74" s="1"/>
  <c r="I164" i="74"/>
  <c r="P163" i="74"/>
  <c r="O163" i="74" a="1"/>
  <c r="O163" i="74" s="1"/>
  <c r="N163" i="74" a="1"/>
  <c r="N163" i="74" s="1"/>
  <c r="M163" i="74" a="1"/>
  <c r="M163" i="74" s="1"/>
  <c r="L163" i="74" a="1"/>
  <c r="L163" i="74" s="1"/>
  <c r="K163" i="74"/>
  <c r="J163" i="74" a="1"/>
  <c r="J163" i="74" s="1"/>
  <c r="I163" i="74"/>
  <c r="P162" i="74"/>
  <c r="O162" i="74" a="1"/>
  <c r="O162" i="74" s="1"/>
  <c r="N162" i="74" a="1"/>
  <c r="N162" i="74" s="1"/>
  <c r="M162" i="74" a="1"/>
  <c r="M162" i="74" s="1"/>
  <c r="L162" i="74" a="1"/>
  <c r="L162" i="74" s="1"/>
  <c r="K162" i="74"/>
  <c r="J162" i="74" a="1"/>
  <c r="J162" i="74" s="1"/>
  <c r="I162" i="74"/>
  <c r="P161" i="74"/>
  <c r="O161" i="74" a="1"/>
  <c r="O161" i="74" s="1"/>
  <c r="N161" i="74" a="1"/>
  <c r="N161" i="74" s="1"/>
  <c r="M161" i="74" a="1"/>
  <c r="M161" i="74" s="1"/>
  <c r="L161" i="74" a="1"/>
  <c r="L161" i="74" s="1"/>
  <c r="K161" i="74"/>
  <c r="J161" i="74" a="1"/>
  <c r="J161" i="74" s="1"/>
  <c r="I161" i="74"/>
  <c r="P160" i="74"/>
  <c r="O160" i="74" a="1"/>
  <c r="O160" i="74" s="1"/>
  <c r="N160" i="74" a="1"/>
  <c r="N160" i="74" s="1"/>
  <c r="M160" i="74" a="1"/>
  <c r="M160" i="74" s="1"/>
  <c r="L160" i="74" a="1"/>
  <c r="L160" i="74" s="1"/>
  <c r="K160" i="74"/>
  <c r="J160" i="74"/>
  <c r="J160" i="74" a="1"/>
  <c r="I160" i="74"/>
  <c r="P159" i="74"/>
  <c r="O159" i="74" a="1"/>
  <c r="O159" i="74" s="1"/>
  <c r="N159" i="74"/>
  <c r="N159" i="74" a="1"/>
  <c r="M159" i="74" a="1"/>
  <c r="M159" i="74" s="1"/>
  <c r="L159" i="74" a="1"/>
  <c r="L159" i="74" s="1"/>
  <c r="K159" i="74"/>
  <c r="J159" i="74" a="1"/>
  <c r="J159" i="74" s="1"/>
  <c r="I159" i="74"/>
  <c r="P158" i="74"/>
  <c r="O158" i="74" a="1"/>
  <c r="O158" i="74" s="1"/>
  <c r="N158" i="74" a="1"/>
  <c r="N158" i="74" s="1"/>
  <c r="M158" i="74" a="1"/>
  <c r="M158" i="74" s="1"/>
  <c r="L158" i="74" a="1"/>
  <c r="L158" i="74" s="1"/>
  <c r="K158" i="74"/>
  <c r="J158" i="74" a="1"/>
  <c r="J158" i="74" s="1"/>
  <c r="I158" i="74"/>
  <c r="P156" i="74"/>
  <c r="O156" i="74" a="1"/>
  <c r="O156" i="74" s="1"/>
  <c r="N156" i="74" a="1"/>
  <c r="N156" i="74" s="1"/>
  <c r="M156" i="74" a="1"/>
  <c r="M156" i="74" s="1"/>
  <c r="L156" i="74" a="1"/>
  <c r="L156" i="74" s="1"/>
  <c r="K156" i="74"/>
  <c r="J156" i="74" a="1"/>
  <c r="J156" i="74" s="1"/>
  <c r="I156" i="74"/>
  <c r="P155" i="74"/>
  <c r="O155" i="74" a="1"/>
  <c r="O155" i="74" s="1"/>
  <c r="N155" i="74" a="1"/>
  <c r="N155" i="74" s="1"/>
  <c r="M155" i="74" a="1"/>
  <c r="M155" i="74" s="1"/>
  <c r="L155" i="74" a="1"/>
  <c r="L155" i="74" s="1"/>
  <c r="K155" i="74"/>
  <c r="J155" i="74" a="1"/>
  <c r="J155" i="74" s="1"/>
  <c r="I155" i="74"/>
  <c r="P154" i="74"/>
  <c r="O154" i="74" a="1"/>
  <c r="O154" i="74" s="1"/>
  <c r="N154" i="74"/>
  <c r="N154" i="74" a="1"/>
  <c r="M154" i="74" a="1"/>
  <c r="M154" i="74" s="1"/>
  <c r="L154" i="74" a="1"/>
  <c r="L154" i="74" s="1"/>
  <c r="K154" i="74"/>
  <c r="J154" i="74" a="1"/>
  <c r="J154" i="74" s="1"/>
  <c r="I154" i="74"/>
  <c r="P153" i="74"/>
  <c r="O153" i="74" a="1"/>
  <c r="O153" i="74" s="1"/>
  <c r="N153" i="74" a="1"/>
  <c r="N153" i="74" s="1"/>
  <c r="M153" i="74"/>
  <c r="M153" i="74" a="1"/>
  <c r="L153" i="74" a="1"/>
  <c r="L153" i="74" s="1"/>
  <c r="K153" i="74"/>
  <c r="J153" i="74" a="1"/>
  <c r="J153" i="74" s="1"/>
  <c r="I153" i="74"/>
  <c r="P152" i="74"/>
  <c r="O152" i="74" a="1"/>
  <c r="O152" i="74" s="1"/>
  <c r="N152" i="74" a="1"/>
  <c r="N152" i="74" s="1"/>
  <c r="M152" i="74" a="1"/>
  <c r="M152" i="74" s="1"/>
  <c r="L152" i="74" a="1"/>
  <c r="L152" i="74" s="1"/>
  <c r="K152" i="74"/>
  <c r="J152" i="74" a="1"/>
  <c r="J152" i="74" s="1"/>
  <c r="I152" i="74"/>
  <c r="P151" i="74"/>
  <c r="O151" i="74" a="1"/>
  <c r="O151" i="74" s="1"/>
  <c r="N151" i="74" a="1"/>
  <c r="N151" i="74" s="1"/>
  <c r="M151" i="74" a="1"/>
  <c r="M151" i="74" s="1"/>
  <c r="L151" i="74" a="1"/>
  <c r="L151" i="74" s="1"/>
  <c r="K151" i="74"/>
  <c r="K157" i="74" s="1"/>
  <c r="J151" i="74" a="1"/>
  <c r="J151" i="74" s="1"/>
  <c r="I151" i="74"/>
  <c r="P150" i="74"/>
  <c r="O150" i="74" a="1"/>
  <c r="O150" i="74" s="1"/>
  <c r="N150" i="74" a="1"/>
  <c r="N150" i="74" s="1"/>
  <c r="M150" i="74" a="1"/>
  <c r="M150" i="74" s="1"/>
  <c r="L150" i="74" a="1"/>
  <c r="L150" i="74" s="1"/>
  <c r="K150" i="74"/>
  <c r="J150" i="74" a="1"/>
  <c r="J150" i="74" s="1"/>
  <c r="Q150" i="74" s="1"/>
  <c r="I150" i="74"/>
  <c r="P149" i="74"/>
  <c r="O149" i="74" a="1"/>
  <c r="O149" i="74" s="1"/>
  <c r="N149" i="74" a="1"/>
  <c r="N149" i="74" s="1"/>
  <c r="M149" i="74" a="1"/>
  <c r="M149" i="74" s="1"/>
  <c r="L149" i="74" a="1"/>
  <c r="L149" i="74" s="1"/>
  <c r="K149" i="74"/>
  <c r="J149" i="74" a="1"/>
  <c r="J149" i="74" s="1"/>
  <c r="I149" i="74"/>
  <c r="P147" i="74"/>
  <c r="O147" i="74" a="1"/>
  <c r="O147" i="74" s="1"/>
  <c r="N147" i="74" a="1"/>
  <c r="N147" i="74" s="1"/>
  <c r="M147" i="74" a="1"/>
  <c r="M147" i="74" s="1"/>
  <c r="L147" i="74" a="1"/>
  <c r="L147" i="74" s="1"/>
  <c r="K147" i="74"/>
  <c r="J147" i="74" a="1"/>
  <c r="J147" i="74" s="1"/>
  <c r="I147" i="74"/>
  <c r="P146" i="74"/>
  <c r="O146" i="74" a="1"/>
  <c r="O146" i="74" s="1"/>
  <c r="N146" i="74" a="1"/>
  <c r="N146" i="74" s="1"/>
  <c r="M146" i="74" a="1"/>
  <c r="M146" i="74" s="1"/>
  <c r="L146" i="74" a="1"/>
  <c r="L146" i="74" s="1"/>
  <c r="K146" i="74"/>
  <c r="J146" i="74" a="1"/>
  <c r="J146" i="74" s="1"/>
  <c r="I146" i="74"/>
  <c r="P145" i="74"/>
  <c r="O145" i="74"/>
  <c r="O145" i="74" a="1"/>
  <c r="N145" i="74"/>
  <c r="N145" i="74" a="1"/>
  <c r="M145" i="74" a="1"/>
  <c r="M145" i="74" s="1"/>
  <c r="L145" i="74" a="1"/>
  <c r="L145" i="74" s="1"/>
  <c r="K145" i="74"/>
  <c r="J145" i="74" a="1"/>
  <c r="J145" i="74" s="1"/>
  <c r="I145" i="74"/>
  <c r="P144" i="74"/>
  <c r="Q144" i="74" s="1"/>
  <c r="O144" i="74" a="1"/>
  <c r="O144" i="74" s="1"/>
  <c r="N144" i="74" a="1"/>
  <c r="N144" i="74" s="1"/>
  <c r="M144" i="74" a="1"/>
  <c r="M144" i="74" s="1"/>
  <c r="L144" i="74" a="1"/>
  <c r="L144" i="74" s="1"/>
  <c r="K144" i="74"/>
  <c r="J144" i="74" a="1"/>
  <c r="J144" i="74" s="1"/>
  <c r="I144" i="74"/>
  <c r="P143" i="74"/>
  <c r="O143" i="74" a="1"/>
  <c r="O143" i="74" s="1"/>
  <c r="N143" i="74" a="1"/>
  <c r="N143" i="74" s="1"/>
  <c r="M143" i="74" a="1"/>
  <c r="M143" i="74" s="1"/>
  <c r="L143" i="74" a="1"/>
  <c r="L143" i="74" s="1"/>
  <c r="K143" i="74"/>
  <c r="J143" i="74" a="1"/>
  <c r="J143" i="74" s="1"/>
  <c r="I143" i="74"/>
  <c r="P142" i="74"/>
  <c r="O142" i="74" a="1"/>
  <c r="O142" i="74" s="1"/>
  <c r="N142" i="74" a="1"/>
  <c r="N142" i="74" s="1"/>
  <c r="M142" i="74" a="1"/>
  <c r="M142" i="74" s="1"/>
  <c r="L142" i="74" a="1"/>
  <c r="L142" i="74" s="1"/>
  <c r="K142" i="74"/>
  <c r="J142" i="74" a="1"/>
  <c r="J142" i="74" s="1"/>
  <c r="Q142" i="74" s="1"/>
  <c r="I142" i="74"/>
  <c r="P141" i="74"/>
  <c r="O141" i="74"/>
  <c r="O141" i="74" a="1"/>
  <c r="N141" i="74" a="1"/>
  <c r="N141" i="74" s="1"/>
  <c r="M141" i="74" a="1"/>
  <c r="M141" i="74" s="1"/>
  <c r="L141" i="74" a="1"/>
  <c r="L141" i="74" s="1"/>
  <c r="K141" i="74"/>
  <c r="J141" i="74" a="1"/>
  <c r="J141" i="74" s="1"/>
  <c r="I141" i="74"/>
  <c r="P140" i="74"/>
  <c r="O140" i="74" a="1"/>
  <c r="O140" i="74" s="1"/>
  <c r="N140" i="74" a="1"/>
  <c r="N140" i="74" s="1"/>
  <c r="M140" i="74" a="1"/>
  <c r="M140" i="74" s="1"/>
  <c r="L140" i="74" a="1"/>
  <c r="L140" i="74" s="1"/>
  <c r="K140" i="74"/>
  <c r="J140" i="74" a="1"/>
  <c r="J140" i="74" s="1"/>
  <c r="I140" i="74"/>
  <c r="P138" i="74"/>
  <c r="O138" i="74"/>
  <c r="O138" i="74" a="1"/>
  <c r="N138" i="74" a="1"/>
  <c r="N138" i="74" s="1"/>
  <c r="M138" i="74" a="1"/>
  <c r="M138" i="74" s="1"/>
  <c r="L138" i="74" a="1"/>
  <c r="L138" i="74" s="1"/>
  <c r="K138" i="74"/>
  <c r="J138" i="74" a="1"/>
  <c r="J138" i="74" s="1"/>
  <c r="I138" i="74"/>
  <c r="P137" i="74"/>
  <c r="O137" i="74" a="1"/>
  <c r="O137" i="74" s="1"/>
  <c r="N137" i="74" a="1"/>
  <c r="N137" i="74" s="1"/>
  <c r="M137" i="74" a="1"/>
  <c r="M137" i="74" s="1"/>
  <c r="L137" i="74" a="1"/>
  <c r="L137" i="74" s="1"/>
  <c r="K137" i="74"/>
  <c r="J137" i="74" a="1"/>
  <c r="J137" i="74" s="1"/>
  <c r="I137" i="74"/>
  <c r="P136" i="74"/>
  <c r="Q136" i="74" s="1"/>
  <c r="O136" i="74"/>
  <c r="O136" i="74" a="1"/>
  <c r="N136" i="74" a="1"/>
  <c r="N136" i="74" s="1"/>
  <c r="M136" i="74" a="1"/>
  <c r="M136" i="74" s="1"/>
  <c r="L136" i="74" a="1"/>
  <c r="L136" i="74" s="1"/>
  <c r="K136" i="74"/>
  <c r="J136" i="74"/>
  <c r="J136" i="74" a="1"/>
  <c r="I136" i="74"/>
  <c r="P135" i="74"/>
  <c r="O135" i="74" a="1"/>
  <c r="O135" i="74" s="1"/>
  <c r="N135" i="74" a="1"/>
  <c r="N135" i="74" s="1"/>
  <c r="M135" i="74" a="1"/>
  <c r="M135" i="74" s="1"/>
  <c r="L135" i="74" a="1"/>
  <c r="L135" i="74" s="1"/>
  <c r="K135" i="74"/>
  <c r="J135" i="74" a="1"/>
  <c r="J135" i="74" s="1"/>
  <c r="I135" i="74"/>
  <c r="P134" i="74"/>
  <c r="O134" i="74" a="1"/>
  <c r="O134" i="74" s="1"/>
  <c r="N134" i="74" a="1"/>
  <c r="N134" i="74" s="1"/>
  <c r="M134" i="74" a="1"/>
  <c r="M134" i="74" s="1"/>
  <c r="L134" i="74" a="1"/>
  <c r="L134" i="74" s="1"/>
  <c r="K134" i="74"/>
  <c r="J134" i="74" a="1"/>
  <c r="J134" i="74" s="1"/>
  <c r="I134" i="74"/>
  <c r="P133" i="74"/>
  <c r="O133" i="74" a="1"/>
  <c r="O133" i="74" s="1"/>
  <c r="N133" i="74" a="1"/>
  <c r="N133" i="74" s="1"/>
  <c r="M133" i="74" a="1"/>
  <c r="M133" i="74" s="1"/>
  <c r="L133" i="74" a="1"/>
  <c r="L133" i="74" s="1"/>
  <c r="K133" i="74"/>
  <c r="J133" i="74" a="1"/>
  <c r="J133" i="74" s="1"/>
  <c r="Q133" i="74" s="1"/>
  <c r="I133" i="74"/>
  <c r="P132" i="74"/>
  <c r="Q132" i="74" s="1"/>
  <c r="O132" i="74" a="1"/>
  <c r="O132" i="74" s="1"/>
  <c r="N132" i="74" a="1"/>
  <c r="N132" i="74" s="1"/>
  <c r="M132" i="74" a="1"/>
  <c r="M132" i="74" s="1"/>
  <c r="L132" i="74" a="1"/>
  <c r="L132" i="74" s="1"/>
  <c r="K132" i="74"/>
  <c r="J132" i="74" a="1"/>
  <c r="J132" i="74" s="1"/>
  <c r="I132" i="74"/>
  <c r="P131" i="74"/>
  <c r="O131" i="74" a="1"/>
  <c r="O131" i="74" s="1"/>
  <c r="N131" i="74" a="1"/>
  <c r="N131" i="74" s="1"/>
  <c r="M131" i="74" a="1"/>
  <c r="M131" i="74" s="1"/>
  <c r="L131" i="74" a="1"/>
  <c r="L131" i="74" s="1"/>
  <c r="K131" i="74"/>
  <c r="J131" i="74" a="1"/>
  <c r="J131" i="74" s="1"/>
  <c r="I131" i="74"/>
  <c r="P130" i="74"/>
  <c r="O130" i="74" a="1"/>
  <c r="O130" i="74" s="1"/>
  <c r="N130" i="74" a="1"/>
  <c r="N130" i="74" s="1"/>
  <c r="M130" i="74" a="1"/>
  <c r="M130" i="74" s="1"/>
  <c r="L130" i="74" a="1"/>
  <c r="L130" i="74" s="1"/>
  <c r="K130" i="74"/>
  <c r="J130" i="74" a="1"/>
  <c r="J130" i="74" s="1"/>
  <c r="I130" i="74"/>
  <c r="P129" i="74"/>
  <c r="O129" i="74" a="1"/>
  <c r="O129" i="74" s="1"/>
  <c r="N129" i="74" a="1"/>
  <c r="N129" i="74" s="1"/>
  <c r="M129" i="74" a="1"/>
  <c r="M129" i="74" s="1"/>
  <c r="L129" i="74" a="1"/>
  <c r="L129" i="74" s="1"/>
  <c r="K129" i="74"/>
  <c r="J129" i="74"/>
  <c r="J129" i="74" a="1"/>
  <c r="I129" i="74"/>
  <c r="P127" i="74"/>
  <c r="O127" i="74" a="1"/>
  <c r="O127" i="74" s="1"/>
  <c r="N127" i="74" a="1"/>
  <c r="N127" i="74" s="1"/>
  <c r="M127" i="74" a="1"/>
  <c r="M127" i="74" s="1"/>
  <c r="L127" i="74" a="1"/>
  <c r="L127" i="74" s="1"/>
  <c r="K127" i="74"/>
  <c r="J127" i="74" a="1"/>
  <c r="J127" i="74" s="1"/>
  <c r="I127" i="74"/>
  <c r="P126" i="74"/>
  <c r="O126" i="74" a="1"/>
  <c r="O126" i="74" s="1"/>
  <c r="N126" i="74" a="1"/>
  <c r="N126" i="74" s="1"/>
  <c r="M126" i="74" a="1"/>
  <c r="M126" i="74" s="1"/>
  <c r="L126" i="74" a="1"/>
  <c r="L126" i="74" s="1"/>
  <c r="K126" i="74"/>
  <c r="J126" i="74" a="1"/>
  <c r="J126" i="74" s="1"/>
  <c r="Q126" i="74" s="1"/>
  <c r="I126" i="74"/>
  <c r="P125" i="74"/>
  <c r="O125" i="74" a="1"/>
  <c r="O125" i="74" s="1"/>
  <c r="N125" i="74" a="1"/>
  <c r="N125" i="74" s="1"/>
  <c r="M125" i="74" a="1"/>
  <c r="M125" i="74" s="1"/>
  <c r="L125" i="74"/>
  <c r="L125" i="74" a="1"/>
  <c r="K125" i="74"/>
  <c r="J125" i="74" a="1"/>
  <c r="J125" i="74" s="1"/>
  <c r="Q125" i="74" s="1"/>
  <c r="I125" i="74"/>
  <c r="P124" i="74"/>
  <c r="O124" i="74"/>
  <c r="O124" i="74" a="1"/>
  <c r="N124" i="74" a="1"/>
  <c r="N124" i="74" s="1"/>
  <c r="M124" i="74" a="1"/>
  <c r="M124" i="74" s="1"/>
  <c r="L124" i="74" a="1"/>
  <c r="L124" i="74" s="1"/>
  <c r="K124" i="74"/>
  <c r="J124" i="74" a="1"/>
  <c r="J124" i="74" s="1"/>
  <c r="I124" i="74"/>
  <c r="P123" i="74"/>
  <c r="O123" i="74"/>
  <c r="O123" i="74" a="1"/>
  <c r="N123" i="74" a="1"/>
  <c r="N123" i="74" s="1"/>
  <c r="M123" i="74" a="1"/>
  <c r="M123" i="74" s="1"/>
  <c r="L123" i="74" a="1"/>
  <c r="L123" i="74" s="1"/>
  <c r="K123" i="74"/>
  <c r="J123" i="74" a="1"/>
  <c r="J123" i="74" s="1"/>
  <c r="I123" i="74"/>
  <c r="P122" i="74"/>
  <c r="O122" i="74" a="1"/>
  <c r="O122" i="74" s="1"/>
  <c r="N122" i="74" a="1"/>
  <c r="N122" i="74" s="1"/>
  <c r="M122" i="74" a="1"/>
  <c r="M122" i="74" s="1"/>
  <c r="L122" i="74" a="1"/>
  <c r="L122" i="74" s="1"/>
  <c r="K122" i="74"/>
  <c r="J122" i="74"/>
  <c r="J122" i="74" a="1"/>
  <c r="I122" i="74"/>
  <c r="P121" i="74"/>
  <c r="O121" i="74" a="1"/>
  <c r="O121" i="74" s="1"/>
  <c r="N121" i="74" a="1"/>
  <c r="N121" i="74" s="1"/>
  <c r="M121" i="74" a="1"/>
  <c r="M121" i="74" s="1"/>
  <c r="L121" i="74" a="1"/>
  <c r="L121" i="74" s="1"/>
  <c r="K121" i="74"/>
  <c r="J121" i="74"/>
  <c r="J121" i="74" a="1"/>
  <c r="I121" i="74"/>
  <c r="P120" i="74"/>
  <c r="O120" i="74" a="1"/>
  <c r="O120" i="74" s="1"/>
  <c r="N120" i="74" a="1"/>
  <c r="N120" i="74" s="1"/>
  <c r="M120" i="74" a="1"/>
  <c r="M120" i="74" s="1"/>
  <c r="L120" i="74" a="1"/>
  <c r="L120" i="74" s="1"/>
  <c r="K120" i="74"/>
  <c r="J120" i="74"/>
  <c r="Q120" i="74" s="1"/>
  <c r="J120" i="74" a="1"/>
  <c r="I120" i="74"/>
  <c r="P119" i="74"/>
  <c r="Q119" i="74" s="1"/>
  <c r="O119" i="74"/>
  <c r="O119" i="74" a="1"/>
  <c r="N119" i="74" a="1"/>
  <c r="N119" i="74" s="1"/>
  <c r="M119" i="74" a="1"/>
  <c r="M119" i="74" s="1"/>
  <c r="L119" i="74" a="1"/>
  <c r="L119" i="74" s="1"/>
  <c r="K119" i="74"/>
  <c r="J119" i="74"/>
  <c r="J119" i="74" a="1"/>
  <c r="I119" i="74"/>
  <c r="P118" i="74"/>
  <c r="O118" i="74" a="1"/>
  <c r="O118" i="74" s="1"/>
  <c r="N118" i="74" a="1"/>
  <c r="N118" i="74" s="1"/>
  <c r="M118" i="74" a="1"/>
  <c r="M118" i="74" s="1"/>
  <c r="L118" i="74" a="1"/>
  <c r="L118" i="74" s="1"/>
  <c r="K118" i="74"/>
  <c r="J118" i="74" a="1"/>
  <c r="J118" i="74" s="1"/>
  <c r="I118" i="74"/>
  <c r="P117" i="74"/>
  <c r="O117" i="74" a="1"/>
  <c r="O117" i="74" s="1"/>
  <c r="N117" i="74" a="1"/>
  <c r="N117" i="74" s="1"/>
  <c r="M117" i="74" a="1"/>
  <c r="M117" i="74" s="1"/>
  <c r="L117" i="74" a="1"/>
  <c r="L117" i="74" s="1"/>
  <c r="K117" i="74"/>
  <c r="J117" i="74" a="1"/>
  <c r="J117" i="74" s="1"/>
  <c r="I117" i="74"/>
  <c r="P116" i="74"/>
  <c r="O116" i="74" a="1"/>
  <c r="O116" i="74" s="1"/>
  <c r="N116" i="74" a="1"/>
  <c r="N116" i="74" s="1"/>
  <c r="M116" i="74" a="1"/>
  <c r="M116" i="74" s="1"/>
  <c r="L116" i="74" a="1"/>
  <c r="L116" i="74" s="1"/>
  <c r="K116" i="74"/>
  <c r="J116" i="74"/>
  <c r="J116" i="74" a="1"/>
  <c r="I116" i="74"/>
  <c r="P115" i="74"/>
  <c r="O115" i="74" a="1"/>
  <c r="O115" i="74" s="1"/>
  <c r="N115" i="74" a="1"/>
  <c r="N115" i="74" s="1"/>
  <c r="M115" i="74" a="1"/>
  <c r="M115" i="74" s="1"/>
  <c r="L115" i="74" a="1"/>
  <c r="L115" i="74" s="1"/>
  <c r="K115" i="74"/>
  <c r="J115" i="74" a="1"/>
  <c r="J115" i="74" s="1"/>
  <c r="I115" i="74"/>
  <c r="P114" i="74"/>
  <c r="O114" i="74" a="1"/>
  <c r="O114" i="74" s="1"/>
  <c r="N114" i="74" a="1"/>
  <c r="N114" i="74" s="1"/>
  <c r="M114" i="74" a="1"/>
  <c r="M114" i="74" s="1"/>
  <c r="L114" i="74" a="1"/>
  <c r="L114" i="74" s="1"/>
  <c r="K114" i="74"/>
  <c r="J114" i="74"/>
  <c r="J114" i="74" a="1"/>
  <c r="I114" i="74"/>
  <c r="P113" i="74"/>
  <c r="O113" i="74" a="1"/>
  <c r="O113" i="74" s="1"/>
  <c r="N113" i="74" a="1"/>
  <c r="N113" i="74" s="1"/>
  <c r="M113" i="74" a="1"/>
  <c r="M113" i="74" s="1"/>
  <c r="L113" i="74" a="1"/>
  <c r="L113" i="74" s="1"/>
  <c r="K113" i="74"/>
  <c r="J113" i="74" a="1"/>
  <c r="J113" i="74" s="1"/>
  <c r="I113" i="74"/>
  <c r="P112" i="74"/>
  <c r="O112" i="74" a="1"/>
  <c r="O112" i="74" s="1"/>
  <c r="N112" i="74" a="1"/>
  <c r="N112" i="74" s="1"/>
  <c r="M112" i="74" a="1"/>
  <c r="M112" i="74" s="1"/>
  <c r="L112" i="74" a="1"/>
  <c r="L112" i="74" s="1"/>
  <c r="K112" i="74"/>
  <c r="J112" i="74" a="1"/>
  <c r="J112" i="74" s="1"/>
  <c r="I112" i="74"/>
  <c r="P111" i="74"/>
  <c r="O111" i="74" a="1"/>
  <c r="O111" i="74" s="1"/>
  <c r="N111" i="74" a="1"/>
  <c r="N111" i="74" s="1"/>
  <c r="M111" i="74" a="1"/>
  <c r="M111" i="74" s="1"/>
  <c r="L111" i="74" a="1"/>
  <c r="L111" i="74" s="1"/>
  <c r="K111" i="74"/>
  <c r="J111" i="74" a="1"/>
  <c r="J111" i="74" s="1"/>
  <c r="I111" i="74"/>
  <c r="P110" i="74"/>
  <c r="O110" i="74" a="1"/>
  <c r="O110" i="74" s="1"/>
  <c r="N110" i="74" a="1"/>
  <c r="N110" i="74" s="1"/>
  <c r="M110" i="74" a="1"/>
  <c r="M110" i="74" s="1"/>
  <c r="L110" i="74" a="1"/>
  <c r="L110" i="74" s="1"/>
  <c r="K110" i="74"/>
  <c r="J110" i="74" a="1"/>
  <c r="J110" i="74" s="1"/>
  <c r="I110" i="74"/>
  <c r="P109" i="74"/>
  <c r="O109" i="74" a="1"/>
  <c r="O109" i="74" s="1"/>
  <c r="N109" i="74" a="1"/>
  <c r="N109" i="74" s="1"/>
  <c r="M109" i="74" a="1"/>
  <c r="M109" i="74" s="1"/>
  <c r="L109" i="74" a="1"/>
  <c r="L109" i="74" s="1"/>
  <c r="K109" i="74"/>
  <c r="J109" i="74" a="1"/>
  <c r="J109" i="74" s="1"/>
  <c r="I109" i="74"/>
  <c r="P108" i="74"/>
  <c r="O108" i="74" a="1"/>
  <c r="O108" i="74" s="1"/>
  <c r="N108" i="74" a="1"/>
  <c r="N108" i="74" s="1"/>
  <c r="M108" i="74" a="1"/>
  <c r="M108" i="74" s="1"/>
  <c r="L108" i="74" a="1"/>
  <c r="L108" i="74" s="1"/>
  <c r="K108" i="74"/>
  <c r="J108" i="74" a="1"/>
  <c r="J108" i="74" s="1"/>
  <c r="I108" i="74"/>
  <c r="P107" i="74"/>
  <c r="O107" i="74" a="1"/>
  <c r="O107" i="74" s="1"/>
  <c r="N107" i="74" a="1"/>
  <c r="N107" i="74" s="1"/>
  <c r="M107" i="74" a="1"/>
  <c r="M107" i="74" s="1"/>
  <c r="L107" i="74" a="1"/>
  <c r="L107" i="74" s="1"/>
  <c r="K107" i="74"/>
  <c r="J107" i="74" a="1"/>
  <c r="J107" i="74" s="1"/>
  <c r="Q107" i="74" s="1"/>
  <c r="I107" i="74"/>
  <c r="P106" i="74"/>
  <c r="O106" i="74" a="1"/>
  <c r="O106" i="74" s="1"/>
  <c r="N106" i="74" a="1"/>
  <c r="N106" i="74" s="1"/>
  <c r="M106" i="74" a="1"/>
  <c r="M106" i="74" s="1"/>
  <c r="L106" i="74" a="1"/>
  <c r="L106" i="74" s="1"/>
  <c r="K106" i="74"/>
  <c r="J106" i="74" a="1"/>
  <c r="J106" i="74" s="1"/>
  <c r="Q106" i="74" s="1"/>
  <c r="I106" i="74"/>
  <c r="P105" i="74"/>
  <c r="O105" i="74" a="1"/>
  <c r="O105" i="74" s="1"/>
  <c r="N105" i="74" a="1"/>
  <c r="N105" i="74" s="1"/>
  <c r="M105" i="74" a="1"/>
  <c r="M105" i="74" s="1"/>
  <c r="L105" i="74" a="1"/>
  <c r="L105" i="74" s="1"/>
  <c r="K105" i="74"/>
  <c r="J105" i="74" a="1"/>
  <c r="J105" i="74" s="1"/>
  <c r="I105" i="74"/>
  <c r="P104" i="74"/>
  <c r="O104" i="74" a="1"/>
  <c r="O104" i="74" s="1"/>
  <c r="N104" i="74" a="1"/>
  <c r="N104" i="74" s="1"/>
  <c r="M104" i="74" a="1"/>
  <c r="M104" i="74" s="1"/>
  <c r="L104" i="74" a="1"/>
  <c r="L104" i="74" s="1"/>
  <c r="K104" i="74"/>
  <c r="J104" i="74" a="1"/>
  <c r="J104" i="74" s="1"/>
  <c r="I104" i="74"/>
  <c r="P103" i="74"/>
  <c r="O103" i="74" a="1"/>
  <c r="O103" i="74" s="1"/>
  <c r="N103" i="74" a="1"/>
  <c r="N103" i="74" s="1"/>
  <c r="M103" i="74" a="1"/>
  <c r="M103" i="74" s="1"/>
  <c r="L103" i="74" a="1"/>
  <c r="L103" i="74" s="1"/>
  <c r="K103" i="74"/>
  <c r="J103" i="74" a="1"/>
  <c r="J103" i="74" s="1"/>
  <c r="I103" i="74"/>
  <c r="P102" i="74"/>
  <c r="O102" i="74" a="1"/>
  <c r="O102" i="74" s="1"/>
  <c r="N102" i="74" a="1"/>
  <c r="N102" i="74" s="1"/>
  <c r="M102" i="74" a="1"/>
  <c r="M102" i="74" s="1"/>
  <c r="L102" i="74" a="1"/>
  <c r="L102" i="74" s="1"/>
  <c r="K102" i="74"/>
  <c r="J102" i="74" a="1"/>
  <c r="J102" i="74" s="1"/>
  <c r="I102" i="74"/>
  <c r="P101" i="74"/>
  <c r="Q101" i="74" s="1"/>
  <c r="O101" i="74" a="1"/>
  <c r="O101" i="74" s="1"/>
  <c r="N101" i="74" a="1"/>
  <c r="N101" i="74" s="1"/>
  <c r="M101" i="74" a="1"/>
  <c r="M101" i="74" s="1"/>
  <c r="L101" i="74" a="1"/>
  <c r="L101" i="74" s="1"/>
  <c r="K101" i="74"/>
  <c r="J101" i="74" a="1"/>
  <c r="J101" i="74" s="1"/>
  <c r="I101" i="74"/>
  <c r="P100" i="74"/>
  <c r="O100" i="74"/>
  <c r="O100" i="74" a="1"/>
  <c r="N100" i="74" a="1"/>
  <c r="N100" i="74" s="1"/>
  <c r="M100" i="74" a="1"/>
  <c r="M100" i="74" s="1"/>
  <c r="L100" i="74" a="1"/>
  <c r="L100" i="74" s="1"/>
  <c r="K100" i="74"/>
  <c r="J100" i="74" a="1"/>
  <c r="J100" i="74" s="1"/>
  <c r="I100" i="74"/>
  <c r="P99" i="74"/>
  <c r="Q99" i="74" s="1"/>
  <c r="O99" i="74" a="1"/>
  <c r="O99" i="74" s="1"/>
  <c r="N99" i="74" a="1"/>
  <c r="N99" i="74" s="1"/>
  <c r="M99" i="74" a="1"/>
  <c r="M99" i="74" s="1"/>
  <c r="L99" i="74" a="1"/>
  <c r="L99" i="74" s="1"/>
  <c r="K99" i="74"/>
  <c r="J99" i="74" a="1"/>
  <c r="J99" i="74" s="1"/>
  <c r="I99" i="74"/>
  <c r="P98" i="74"/>
  <c r="O98" i="74" a="1"/>
  <c r="O98" i="74" s="1"/>
  <c r="N98" i="74" a="1"/>
  <c r="N98" i="74" s="1"/>
  <c r="M98" i="74" a="1"/>
  <c r="M98" i="74" s="1"/>
  <c r="L98" i="74" a="1"/>
  <c r="L98" i="74" s="1"/>
  <c r="K98" i="74"/>
  <c r="J98" i="74" a="1"/>
  <c r="J98" i="74" s="1"/>
  <c r="I98" i="74"/>
  <c r="P97" i="74"/>
  <c r="O97" i="74" a="1"/>
  <c r="O97" i="74" s="1"/>
  <c r="N97" i="74" a="1"/>
  <c r="N97" i="74" s="1"/>
  <c r="M97" i="74" a="1"/>
  <c r="M97" i="74" s="1"/>
  <c r="L97" i="74" a="1"/>
  <c r="L97" i="74" s="1"/>
  <c r="K97" i="74"/>
  <c r="J97" i="74" a="1"/>
  <c r="J97" i="74" s="1"/>
  <c r="I97" i="74"/>
  <c r="P96" i="74"/>
  <c r="O96" i="74" a="1"/>
  <c r="O96" i="74" s="1"/>
  <c r="N96" i="74" a="1"/>
  <c r="N96" i="74" s="1"/>
  <c r="M96" i="74" a="1"/>
  <c r="M96" i="74" s="1"/>
  <c r="L96" i="74" a="1"/>
  <c r="L96" i="74" s="1"/>
  <c r="K96" i="74"/>
  <c r="J96" i="74" a="1"/>
  <c r="J96" i="74" s="1"/>
  <c r="I96" i="74"/>
  <c r="P95" i="74"/>
  <c r="O95" i="74" a="1"/>
  <c r="O95" i="74" s="1"/>
  <c r="N95" i="74" a="1"/>
  <c r="N95" i="74" s="1"/>
  <c r="M95" i="74" a="1"/>
  <c r="M95" i="74" s="1"/>
  <c r="L95" i="74" a="1"/>
  <c r="L95" i="74" s="1"/>
  <c r="K95" i="74"/>
  <c r="J95" i="74" a="1"/>
  <c r="J95" i="74" s="1"/>
  <c r="I95" i="74"/>
  <c r="P94" i="74"/>
  <c r="O94" i="74" a="1"/>
  <c r="O94" i="74" s="1"/>
  <c r="N94" i="74" a="1"/>
  <c r="N94" i="74" s="1"/>
  <c r="M94" i="74" a="1"/>
  <c r="M94" i="74" s="1"/>
  <c r="L94" i="74" a="1"/>
  <c r="L94" i="74" s="1"/>
  <c r="K94" i="74"/>
  <c r="J94" i="74" a="1"/>
  <c r="J94" i="74" s="1"/>
  <c r="I94" i="74"/>
  <c r="P93" i="74"/>
  <c r="O93" i="74" a="1"/>
  <c r="O93" i="74" s="1"/>
  <c r="N93" i="74" a="1"/>
  <c r="N93" i="74" s="1"/>
  <c r="M93" i="74"/>
  <c r="M93" i="74" a="1"/>
  <c r="L93" i="74" a="1"/>
  <c r="L93" i="74" s="1"/>
  <c r="K93" i="74"/>
  <c r="J93" i="74" a="1"/>
  <c r="J93" i="74" s="1"/>
  <c r="I93" i="74"/>
  <c r="P92" i="74"/>
  <c r="Q92" i="74" s="1"/>
  <c r="O92" i="74" a="1"/>
  <c r="O92" i="74" s="1"/>
  <c r="N92" i="74" a="1"/>
  <c r="N92" i="74" s="1"/>
  <c r="M92" i="74" a="1"/>
  <c r="M92" i="74" s="1"/>
  <c r="L92" i="74" a="1"/>
  <c r="L92" i="74" s="1"/>
  <c r="K92" i="74"/>
  <c r="J92" i="74" a="1"/>
  <c r="J92" i="74" s="1"/>
  <c r="I92" i="74"/>
  <c r="P91" i="74"/>
  <c r="O91" i="74" a="1"/>
  <c r="O91" i="74" s="1"/>
  <c r="N91" i="74" a="1"/>
  <c r="N91" i="74" s="1"/>
  <c r="M91" i="74" a="1"/>
  <c r="M91" i="74" s="1"/>
  <c r="L91" i="74" a="1"/>
  <c r="L91" i="74" s="1"/>
  <c r="K91" i="74"/>
  <c r="J91" i="74" a="1"/>
  <c r="J91" i="74" s="1"/>
  <c r="I91" i="74"/>
  <c r="P90" i="74"/>
  <c r="O90" i="74"/>
  <c r="O90" i="74" a="1"/>
  <c r="N90" i="74" a="1"/>
  <c r="N90" i="74" s="1"/>
  <c r="M90" i="74" a="1"/>
  <c r="M90" i="74" s="1"/>
  <c r="L90" i="74" a="1"/>
  <c r="L90" i="74" s="1"/>
  <c r="K90" i="74"/>
  <c r="J90" i="74" a="1"/>
  <c r="J90" i="74" s="1"/>
  <c r="Q90" i="74" s="1"/>
  <c r="I90" i="74"/>
  <c r="P89" i="74"/>
  <c r="O89" i="74" a="1"/>
  <c r="O89" i="74" s="1"/>
  <c r="N89" i="74" a="1"/>
  <c r="N89" i="74" s="1"/>
  <c r="M89" i="74" a="1"/>
  <c r="M89" i="74" s="1"/>
  <c r="L89" i="74" a="1"/>
  <c r="L89" i="74" s="1"/>
  <c r="K89" i="74"/>
  <c r="J89" i="74" a="1"/>
  <c r="J89" i="74" s="1"/>
  <c r="I89" i="74"/>
  <c r="P88" i="74"/>
  <c r="O88" i="74" a="1"/>
  <c r="O88" i="74" s="1"/>
  <c r="N88" i="74" a="1"/>
  <c r="N88" i="74" s="1"/>
  <c r="M88" i="74" a="1"/>
  <c r="M88" i="74" s="1"/>
  <c r="L88" i="74" a="1"/>
  <c r="L88" i="74" s="1"/>
  <c r="K88" i="74"/>
  <c r="J88" i="74" a="1"/>
  <c r="J88" i="74" s="1"/>
  <c r="I88" i="74"/>
  <c r="P87" i="74"/>
  <c r="O87" i="74" a="1"/>
  <c r="O87" i="74" s="1"/>
  <c r="N87" i="74" a="1"/>
  <c r="N87" i="74" s="1"/>
  <c r="M87" i="74" a="1"/>
  <c r="M87" i="74" s="1"/>
  <c r="L87" i="74" a="1"/>
  <c r="L87" i="74" s="1"/>
  <c r="K87" i="74"/>
  <c r="J87" i="74" a="1"/>
  <c r="J87" i="74" s="1"/>
  <c r="I87" i="74"/>
  <c r="P86" i="74"/>
  <c r="O86" i="74" a="1"/>
  <c r="O86" i="74" s="1"/>
  <c r="N86" i="74" a="1"/>
  <c r="N86" i="74" s="1"/>
  <c r="M86" i="74" a="1"/>
  <c r="M86" i="74" s="1"/>
  <c r="L86" i="74" a="1"/>
  <c r="L86" i="74" s="1"/>
  <c r="K86" i="74"/>
  <c r="J86" i="74" a="1"/>
  <c r="J86" i="74" s="1"/>
  <c r="I86" i="74"/>
  <c r="P85" i="74"/>
  <c r="O85" i="74" a="1"/>
  <c r="O85" i="74" s="1"/>
  <c r="N85" i="74" a="1"/>
  <c r="N85" i="74" s="1"/>
  <c r="M85" i="74" a="1"/>
  <c r="M85" i="74" s="1"/>
  <c r="L85" i="74" a="1"/>
  <c r="L85" i="74" s="1"/>
  <c r="K85" i="74"/>
  <c r="J85" i="74" a="1"/>
  <c r="J85" i="74" s="1"/>
  <c r="I85" i="74"/>
  <c r="P84" i="74"/>
  <c r="O84" i="74" a="1"/>
  <c r="O84" i="74" s="1"/>
  <c r="N84" i="74" a="1"/>
  <c r="N84" i="74" s="1"/>
  <c r="M84" i="74"/>
  <c r="M84" i="74" a="1"/>
  <c r="L84" i="74" a="1"/>
  <c r="L84" i="74" s="1"/>
  <c r="K84" i="74"/>
  <c r="J84" i="74" a="1"/>
  <c r="J84" i="74" s="1"/>
  <c r="I84" i="74"/>
  <c r="P83" i="74"/>
  <c r="O83" i="74" a="1"/>
  <c r="O83" i="74" s="1"/>
  <c r="N83" i="74" a="1"/>
  <c r="N83" i="74" s="1"/>
  <c r="M83" i="74"/>
  <c r="M83" i="74" a="1"/>
  <c r="L83" i="74" a="1"/>
  <c r="L83" i="74" s="1"/>
  <c r="K83" i="74"/>
  <c r="J83" i="74" a="1"/>
  <c r="J83" i="74" s="1"/>
  <c r="I83" i="74"/>
  <c r="P82" i="74"/>
  <c r="Q82" i="74" s="1"/>
  <c r="O82" i="74" a="1"/>
  <c r="O82" i="74" s="1"/>
  <c r="N82" i="74" a="1"/>
  <c r="N82" i="74" s="1"/>
  <c r="M82" i="74" a="1"/>
  <c r="M82" i="74" s="1"/>
  <c r="L82" i="74" a="1"/>
  <c r="L82" i="74" s="1"/>
  <c r="K82" i="74"/>
  <c r="J82" i="74" a="1"/>
  <c r="J82" i="74" s="1"/>
  <c r="I82" i="74"/>
  <c r="P81" i="74"/>
  <c r="O81" i="74" a="1"/>
  <c r="O81" i="74" s="1"/>
  <c r="N81" i="74" a="1"/>
  <c r="N81" i="74" s="1"/>
  <c r="M81" i="74" a="1"/>
  <c r="M81" i="74" s="1"/>
  <c r="L81" i="74" a="1"/>
  <c r="L81" i="74" s="1"/>
  <c r="K81" i="74"/>
  <c r="J81" i="74" a="1"/>
  <c r="J81" i="74" s="1"/>
  <c r="I81" i="74"/>
  <c r="P80" i="74"/>
  <c r="O80" i="74" a="1"/>
  <c r="O80" i="74" s="1"/>
  <c r="N80" i="74" a="1"/>
  <c r="N80" i="74" s="1"/>
  <c r="M80" i="74" a="1"/>
  <c r="M80" i="74" s="1"/>
  <c r="L80" i="74" a="1"/>
  <c r="L80" i="74" s="1"/>
  <c r="K80" i="74"/>
  <c r="J80" i="74" a="1"/>
  <c r="J80" i="74" s="1"/>
  <c r="I80" i="74"/>
  <c r="P79" i="74"/>
  <c r="Q79" i="74" s="1"/>
  <c r="O79" i="74" a="1"/>
  <c r="O79" i="74" s="1"/>
  <c r="N79" i="74" a="1"/>
  <c r="N79" i="74" s="1"/>
  <c r="M79" i="74" a="1"/>
  <c r="M79" i="74" s="1"/>
  <c r="L79" i="74" a="1"/>
  <c r="L79" i="74" s="1"/>
  <c r="K79" i="74"/>
  <c r="J79" i="74" a="1"/>
  <c r="J79" i="74" s="1"/>
  <c r="I79" i="74"/>
  <c r="P78" i="74"/>
  <c r="O78" i="74" a="1"/>
  <c r="O78" i="74" s="1"/>
  <c r="N78" i="74" a="1"/>
  <c r="N78" i="74" s="1"/>
  <c r="M78" i="74" a="1"/>
  <c r="M78" i="74" s="1"/>
  <c r="L78" i="74" a="1"/>
  <c r="L78" i="74" s="1"/>
  <c r="K78" i="74"/>
  <c r="J78" i="74" a="1"/>
  <c r="J78" i="74" s="1"/>
  <c r="I78" i="74"/>
  <c r="P75" i="74"/>
  <c r="O75" i="74" a="1"/>
  <c r="O75" i="74" s="1"/>
  <c r="N75" i="74" a="1"/>
  <c r="N75" i="74" s="1"/>
  <c r="M75" i="74" a="1"/>
  <c r="M75" i="74" s="1"/>
  <c r="L75" i="74" a="1"/>
  <c r="L75" i="74" s="1"/>
  <c r="K75" i="74"/>
  <c r="J75" i="74" a="1"/>
  <c r="J75" i="74" s="1"/>
  <c r="I75" i="74"/>
  <c r="P74" i="74"/>
  <c r="O74" i="74" a="1"/>
  <c r="O74" i="74" s="1"/>
  <c r="N74" i="74" a="1"/>
  <c r="N74" i="74" s="1"/>
  <c r="M74" i="74" a="1"/>
  <c r="M74" i="74" s="1"/>
  <c r="L74" i="74" a="1"/>
  <c r="L74" i="74" s="1"/>
  <c r="K74" i="74"/>
  <c r="J74" i="74"/>
  <c r="J74" i="74" a="1"/>
  <c r="I74" i="74"/>
  <c r="P73" i="74" a="1"/>
  <c r="P73" i="74" s="1"/>
  <c r="Q73" i="74" s="1"/>
  <c r="O73" i="74" a="1"/>
  <c r="O73" i="74" s="1"/>
  <c r="N73" i="74" a="1"/>
  <c r="N73" i="74" s="1"/>
  <c r="M73" i="74" a="1"/>
  <c r="M73" i="74" s="1"/>
  <c r="L73" i="74" a="1"/>
  <c r="L73" i="74" s="1"/>
  <c r="K73" i="74"/>
  <c r="J73" i="74" a="1"/>
  <c r="J73" i="74" s="1"/>
  <c r="I73" i="74" a="1"/>
  <c r="I73" i="74" s="1"/>
  <c r="P72" i="74" a="1"/>
  <c r="P72" i="74" s="1"/>
  <c r="O72" i="74" a="1"/>
  <c r="O72" i="74" s="1"/>
  <c r="N72" i="74" a="1"/>
  <c r="N72" i="74" s="1"/>
  <c r="M72" i="74" a="1"/>
  <c r="M72" i="74" s="1"/>
  <c r="L72" i="74" a="1"/>
  <c r="L72" i="74" s="1"/>
  <c r="K72" i="74"/>
  <c r="J72" i="74" a="1"/>
  <c r="J72" i="74" s="1"/>
  <c r="I72" i="74" a="1"/>
  <c r="I72" i="74" s="1"/>
  <c r="P71" i="74"/>
  <c r="O71" i="74" a="1"/>
  <c r="O71" i="74" s="1"/>
  <c r="N71" i="74" a="1"/>
  <c r="N71" i="74" s="1"/>
  <c r="M71" i="74" a="1"/>
  <c r="M71" i="74" s="1"/>
  <c r="L71" i="74" a="1"/>
  <c r="L71" i="74" s="1"/>
  <c r="K71" i="74"/>
  <c r="J71" i="74" a="1"/>
  <c r="J71" i="74" s="1"/>
  <c r="I71" i="74"/>
  <c r="P70" i="74"/>
  <c r="O70" i="74" a="1"/>
  <c r="O70" i="74" s="1"/>
  <c r="N70" i="74" a="1"/>
  <c r="N70" i="74" s="1"/>
  <c r="M70" i="74"/>
  <c r="M70" i="74" a="1"/>
  <c r="L70" i="74" a="1"/>
  <c r="L70" i="74" s="1"/>
  <c r="K70" i="74"/>
  <c r="J70" i="74" a="1"/>
  <c r="J70" i="74" s="1"/>
  <c r="I70" i="74"/>
  <c r="P69" i="74"/>
  <c r="O69" i="74" a="1"/>
  <c r="O69" i="74" s="1"/>
  <c r="N69" i="74" a="1"/>
  <c r="N69" i="74" s="1"/>
  <c r="M69" i="74" a="1"/>
  <c r="M69" i="74" s="1"/>
  <c r="L69" i="74" a="1"/>
  <c r="L69" i="74" s="1"/>
  <c r="K69" i="74"/>
  <c r="J69" i="74" a="1"/>
  <c r="J69" i="74" s="1"/>
  <c r="I69" i="74"/>
  <c r="P68" i="74"/>
  <c r="O68" i="74" a="1"/>
  <c r="O68" i="74" s="1"/>
  <c r="N68" i="74" a="1"/>
  <c r="N68" i="74" s="1"/>
  <c r="M68" i="74" a="1"/>
  <c r="M68" i="74" s="1"/>
  <c r="L68" i="74" a="1"/>
  <c r="L68" i="74" s="1"/>
  <c r="K68" i="74"/>
  <c r="J68" i="74" a="1"/>
  <c r="J68" i="74" s="1"/>
  <c r="I68" i="74"/>
  <c r="P67" i="74"/>
  <c r="O67" i="74" a="1"/>
  <c r="O67" i="74" s="1"/>
  <c r="N67" i="74" a="1"/>
  <c r="N67" i="74" s="1"/>
  <c r="M67" i="74" a="1"/>
  <c r="M67" i="74" s="1"/>
  <c r="L67" i="74" a="1"/>
  <c r="L67" i="74" s="1"/>
  <c r="K67" i="74"/>
  <c r="J67" i="74" a="1"/>
  <c r="J67" i="74" s="1"/>
  <c r="I67" i="74"/>
  <c r="P66" i="74"/>
  <c r="O66" i="74"/>
  <c r="O66" i="74" a="1"/>
  <c r="N66" i="74" a="1"/>
  <c r="N66" i="74" s="1"/>
  <c r="M66" i="74" a="1"/>
  <c r="M66" i="74" s="1"/>
  <c r="L66" i="74" a="1"/>
  <c r="L66" i="74" s="1"/>
  <c r="K66" i="74"/>
  <c r="J66" i="74" a="1"/>
  <c r="J66" i="74" s="1"/>
  <c r="I66" i="74"/>
  <c r="P65" i="74"/>
  <c r="O65" i="74" a="1"/>
  <c r="O65" i="74" s="1"/>
  <c r="N65" i="74" a="1"/>
  <c r="N65" i="74" s="1"/>
  <c r="M65" i="74"/>
  <c r="M65" i="74" a="1"/>
  <c r="L65" i="74" a="1"/>
  <c r="L65" i="74" s="1"/>
  <c r="K65" i="74"/>
  <c r="J65" i="74" a="1"/>
  <c r="J65" i="74" s="1"/>
  <c r="I65" i="74"/>
  <c r="P64" i="74"/>
  <c r="O64" i="74" a="1"/>
  <c r="O64" i="74" s="1"/>
  <c r="N64" i="74" a="1"/>
  <c r="N64" i="74" s="1"/>
  <c r="M64" i="74" a="1"/>
  <c r="M64" i="74" s="1"/>
  <c r="L64" i="74" a="1"/>
  <c r="L64" i="74" s="1"/>
  <c r="K64" i="74"/>
  <c r="J64" i="74" a="1"/>
  <c r="J64" i="74" s="1"/>
  <c r="I64" i="74"/>
  <c r="P62" i="74"/>
  <c r="O62" i="74" a="1"/>
  <c r="O62" i="74" s="1"/>
  <c r="N62" i="74" a="1"/>
  <c r="N62" i="74" s="1"/>
  <c r="M62" i="74" a="1"/>
  <c r="M62" i="74" s="1"/>
  <c r="L62" i="74" a="1"/>
  <c r="L62" i="74" s="1"/>
  <c r="K62" i="74"/>
  <c r="J62" i="74" a="1"/>
  <c r="J62" i="74" s="1"/>
  <c r="Q62" i="74" s="1"/>
  <c r="I62" i="74"/>
  <c r="P61" i="74"/>
  <c r="O61" i="74" a="1"/>
  <c r="O61" i="74" s="1"/>
  <c r="N61" i="74" a="1"/>
  <c r="N61" i="74" s="1"/>
  <c r="M61" i="74" a="1"/>
  <c r="M61" i="74" s="1"/>
  <c r="L61" i="74" a="1"/>
  <c r="L61" i="74" s="1"/>
  <c r="K61" i="74"/>
  <c r="J61" i="74" a="1"/>
  <c r="J61" i="74" s="1"/>
  <c r="I61" i="74"/>
  <c r="P60" i="74"/>
  <c r="O60" i="74"/>
  <c r="O60" i="74" a="1"/>
  <c r="N60" i="74" a="1"/>
  <c r="N60" i="74" s="1"/>
  <c r="M60" i="74" a="1"/>
  <c r="M60" i="74" s="1"/>
  <c r="L60" i="74" a="1"/>
  <c r="L60" i="74" s="1"/>
  <c r="K60" i="74"/>
  <c r="J60" i="74" a="1"/>
  <c r="J60" i="74" s="1"/>
  <c r="I60" i="74"/>
  <c r="P59" i="74"/>
  <c r="O59" i="74" a="1"/>
  <c r="O59" i="74" s="1"/>
  <c r="N59" i="74" a="1"/>
  <c r="N59" i="74" s="1"/>
  <c r="M59" i="74" a="1"/>
  <c r="M59" i="74" s="1"/>
  <c r="L59" i="74" a="1"/>
  <c r="L59" i="74" s="1"/>
  <c r="K59" i="74"/>
  <c r="J59" i="74" a="1"/>
  <c r="J59" i="74" s="1"/>
  <c r="I59" i="74"/>
  <c r="P58" i="74"/>
  <c r="O58" i="74" a="1"/>
  <c r="O58" i="74" s="1"/>
  <c r="N58" i="74" a="1"/>
  <c r="N58" i="74" s="1"/>
  <c r="M58" i="74" a="1"/>
  <c r="M58" i="74" s="1"/>
  <c r="L58" i="74" a="1"/>
  <c r="L58" i="74" s="1"/>
  <c r="K58" i="74"/>
  <c r="J58" i="74" a="1"/>
  <c r="J58" i="74" s="1"/>
  <c r="I58" i="74"/>
  <c r="P57" i="74"/>
  <c r="O57" i="74" a="1"/>
  <c r="O57" i="74" s="1"/>
  <c r="N57" i="74"/>
  <c r="N57" i="74" a="1"/>
  <c r="M57" i="74" a="1"/>
  <c r="M57" i="74" s="1"/>
  <c r="L57" i="74" a="1"/>
  <c r="L57" i="74" s="1"/>
  <c r="K57" i="74"/>
  <c r="J57" i="74" a="1"/>
  <c r="J57" i="74" s="1"/>
  <c r="I57" i="74"/>
  <c r="P56" i="74"/>
  <c r="O56" i="74" a="1"/>
  <c r="O56" i="74" s="1"/>
  <c r="N56" i="74" a="1"/>
  <c r="N56" i="74" s="1"/>
  <c r="M56" i="74" a="1"/>
  <c r="M56" i="74" s="1"/>
  <c r="L56" i="74" a="1"/>
  <c r="L56" i="74" s="1"/>
  <c r="K56" i="74"/>
  <c r="J56" i="74" a="1"/>
  <c r="J56" i="74" s="1"/>
  <c r="I56" i="74"/>
  <c r="P55" i="74"/>
  <c r="O55" i="74" a="1"/>
  <c r="O55" i="74" s="1"/>
  <c r="N55" i="74" a="1"/>
  <c r="N55" i="74" s="1"/>
  <c r="M55" i="74"/>
  <c r="M55" i="74" a="1"/>
  <c r="L55" i="74" a="1"/>
  <c r="L55" i="74" s="1"/>
  <c r="K55" i="74"/>
  <c r="J55" i="74" a="1"/>
  <c r="J55" i="74" s="1"/>
  <c r="I55" i="74"/>
  <c r="P53" i="74"/>
  <c r="O53" i="74" a="1"/>
  <c r="O53" i="74" s="1"/>
  <c r="N53" i="74" a="1"/>
  <c r="N53" i="74" s="1"/>
  <c r="M53" i="74" a="1"/>
  <c r="M53" i="74" s="1"/>
  <c r="L53" i="74" a="1"/>
  <c r="L53" i="74" s="1"/>
  <c r="K53" i="74"/>
  <c r="J53" i="74" a="1"/>
  <c r="J53" i="74" s="1"/>
  <c r="I53" i="74"/>
  <c r="P52" i="74"/>
  <c r="O52" i="74" a="1"/>
  <c r="O52" i="74" s="1"/>
  <c r="N52" i="74" a="1"/>
  <c r="N52" i="74" s="1"/>
  <c r="M52" i="74" a="1"/>
  <c r="M52" i="74" s="1"/>
  <c r="L52" i="74" a="1"/>
  <c r="L52" i="74" s="1"/>
  <c r="K52" i="74"/>
  <c r="J52" i="74"/>
  <c r="J52" i="74" a="1"/>
  <c r="I52" i="74"/>
  <c r="P51" i="74"/>
  <c r="O51" i="74" a="1"/>
  <c r="O51" i="74" s="1"/>
  <c r="N51" i="74" a="1"/>
  <c r="N51" i="74" s="1"/>
  <c r="M51" i="74" a="1"/>
  <c r="M51" i="74" s="1"/>
  <c r="L51" i="74" a="1"/>
  <c r="L51" i="74" s="1"/>
  <c r="K51" i="74"/>
  <c r="J51" i="74" a="1"/>
  <c r="J51" i="74" s="1"/>
  <c r="I51" i="74"/>
  <c r="P50" i="74"/>
  <c r="O50" i="74" a="1"/>
  <c r="O50" i="74" s="1"/>
  <c r="N50" i="74" a="1"/>
  <c r="N50" i="74" s="1"/>
  <c r="M50" i="74" a="1"/>
  <c r="M50" i="74" s="1"/>
  <c r="L50" i="74" a="1"/>
  <c r="L50" i="74" s="1"/>
  <c r="K50" i="74"/>
  <c r="J50" i="74" a="1"/>
  <c r="J50" i="74" s="1"/>
  <c r="I50" i="74"/>
  <c r="P48" i="74"/>
  <c r="Q48" i="74" s="1"/>
  <c r="O48" i="74" a="1"/>
  <c r="O48" i="74" s="1"/>
  <c r="N48" i="74" a="1"/>
  <c r="N48" i="74" s="1"/>
  <c r="M48" i="74" a="1"/>
  <c r="M48" i="74" s="1"/>
  <c r="L48" i="74" a="1"/>
  <c r="L48" i="74" s="1"/>
  <c r="K48" i="74"/>
  <c r="J48" i="74" a="1"/>
  <c r="J48" i="74" s="1"/>
  <c r="I48" i="74"/>
  <c r="P47" i="74"/>
  <c r="O47" i="74" a="1"/>
  <c r="O47" i="74" s="1"/>
  <c r="N47" i="74" a="1"/>
  <c r="N47" i="74" s="1"/>
  <c r="M47" i="74" a="1"/>
  <c r="M47" i="74" s="1"/>
  <c r="L47" i="74" a="1"/>
  <c r="L47" i="74" s="1"/>
  <c r="K47" i="74"/>
  <c r="J47" i="74"/>
  <c r="Q47" i="74" s="1"/>
  <c r="J47" i="74" a="1"/>
  <c r="I47" i="74"/>
  <c r="P46" i="74"/>
  <c r="O46" i="74" a="1"/>
  <c r="O46" i="74" s="1"/>
  <c r="N46" i="74" a="1"/>
  <c r="N46" i="74" s="1"/>
  <c r="M46" i="74" a="1"/>
  <c r="M46" i="74" s="1"/>
  <c r="L46" i="74" a="1"/>
  <c r="L46" i="74" s="1"/>
  <c r="K46" i="74"/>
  <c r="J46" i="74" a="1"/>
  <c r="J46" i="74" s="1"/>
  <c r="Q46" i="74" s="1"/>
  <c r="I46" i="74"/>
  <c r="P45" i="74"/>
  <c r="O45" i="74" a="1"/>
  <c r="O45" i="74" s="1"/>
  <c r="N45" i="74" a="1"/>
  <c r="N45" i="74" s="1"/>
  <c r="M45" i="74" a="1"/>
  <c r="M45" i="74" s="1"/>
  <c r="L45" i="74" a="1"/>
  <c r="L45" i="74" s="1"/>
  <c r="K45" i="74"/>
  <c r="J45" i="74" a="1"/>
  <c r="J45" i="74" s="1"/>
  <c r="I45" i="74"/>
  <c r="P44" i="74"/>
  <c r="O44" i="74" a="1"/>
  <c r="O44" i="74" s="1"/>
  <c r="N44" i="74" a="1"/>
  <c r="N44" i="74" s="1"/>
  <c r="M44" i="74" a="1"/>
  <c r="M44" i="74" s="1"/>
  <c r="L44" i="74" a="1"/>
  <c r="L44" i="74" s="1"/>
  <c r="K44" i="74"/>
  <c r="J44" i="74" a="1"/>
  <c r="J44" i="74" s="1"/>
  <c r="I44" i="74"/>
  <c r="P43" i="74"/>
  <c r="O43" i="74" a="1"/>
  <c r="O43" i="74" s="1"/>
  <c r="N43" i="74" a="1"/>
  <c r="N43" i="74" s="1"/>
  <c r="M43" i="74" a="1"/>
  <c r="M43" i="74" s="1"/>
  <c r="L43" i="74" a="1"/>
  <c r="L43" i="74" s="1"/>
  <c r="K43" i="74"/>
  <c r="J43" i="74" a="1"/>
  <c r="J43" i="74" s="1"/>
  <c r="Q43" i="74" s="1"/>
  <c r="I43" i="74"/>
  <c r="P42" i="74"/>
  <c r="Q42" i="74" s="1"/>
  <c r="O42" i="74" a="1"/>
  <c r="O42" i="74" s="1"/>
  <c r="N42" i="74" a="1"/>
  <c r="N42" i="74" s="1"/>
  <c r="M42" i="74" a="1"/>
  <c r="M42" i="74" s="1"/>
  <c r="L42" i="74" a="1"/>
  <c r="L42" i="74" s="1"/>
  <c r="K42" i="74"/>
  <c r="J42" i="74" a="1"/>
  <c r="J42" i="74" s="1"/>
  <c r="I42" i="74"/>
  <c r="P41" i="74"/>
  <c r="O41" i="74" a="1"/>
  <c r="O41" i="74" s="1"/>
  <c r="N41" i="74" a="1"/>
  <c r="N41" i="74" s="1"/>
  <c r="M41" i="74" a="1"/>
  <c r="M41" i="74" s="1"/>
  <c r="L41" i="74" a="1"/>
  <c r="L41" i="74" s="1"/>
  <c r="K41" i="74"/>
  <c r="J41" i="74" a="1"/>
  <c r="J41" i="74" s="1"/>
  <c r="I41" i="74"/>
  <c r="P40" i="74"/>
  <c r="O40" i="74" a="1"/>
  <c r="O40" i="74" s="1"/>
  <c r="N40" i="74" a="1"/>
  <c r="N40" i="74" s="1"/>
  <c r="M40" i="74" a="1"/>
  <c r="M40" i="74" s="1"/>
  <c r="L40" i="74" a="1"/>
  <c r="L40" i="74" s="1"/>
  <c r="K40" i="74"/>
  <c r="J40" i="74" a="1"/>
  <c r="J40" i="74" s="1"/>
  <c r="Q40" i="74" s="1"/>
  <c r="I40" i="74"/>
  <c r="P39" i="74"/>
  <c r="O39" i="74" a="1"/>
  <c r="O39" i="74" s="1"/>
  <c r="N39" i="74"/>
  <c r="N39" i="74" a="1"/>
  <c r="M39" i="74" a="1"/>
  <c r="M39" i="74" s="1"/>
  <c r="L39" i="74"/>
  <c r="L39" i="74" a="1"/>
  <c r="K39" i="74"/>
  <c r="J39" i="74" a="1"/>
  <c r="J39" i="74" s="1"/>
  <c r="Q39" i="74" s="1"/>
  <c r="I39" i="74"/>
  <c r="P38" i="74"/>
  <c r="Q38" i="74" s="1"/>
  <c r="O38" i="74" a="1"/>
  <c r="O38" i="74" s="1"/>
  <c r="N38" i="74" a="1"/>
  <c r="N38" i="74" s="1"/>
  <c r="M38" i="74" a="1"/>
  <c r="M38" i="74" s="1"/>
  <c r="L38" i="74" a="1"/>
  <c r="L38" i="74" s="1"/>
  <c r="K38" i="74"/>
  <c r="J38" i="74"/>
  <c r="J38" i="74" a="1"/>
  <c r="I38" i="74"/>
  <c r="P37" i="74"/>
  <c r="O37" i="74" a="1"/>
  <c r="O37" i="74" s="1"/>
  <c r="N37" i="74" a="1"/>
  <c r="N37" i="74" s="1"/>
  <c r="M37" i="74" a="1"/>
  <c r="M37" i="74" s="1"/>
  <c r="L37" i="74" a="1"/>
  <c r="L37" i="74" s="1"/>
  <c r="K37" i="74"/>
  <c r="J37" i="74" a="1"/>
  <c r="J37" i="74" s="1"/>
  <c r="I37" i="74"/>
  <c r="P36" i="74"/>
  <c r="O36" i="74" a="1"/>
  <c r="O36" i="74" s="1"/>
  <c r="N36" i="74" a="1"/>
  <c r="N36" i="74" s="1"/>
  <c r="M36" i="74" a="1"/>
  <c r="M36" i="74" s="1"/>
  <c r="L36" i="74" a="1"/>
  <c r="L36" i="74" s="1"/>
  <c r="K36" i="74"/>
  <c r="J36" i="74" a="1"/>
  <c r="J36" i="74" s="1"/>
  <c r="I36" i="74"/>
  <c r="P35" i="74"/>
  <c r="O35" i="74" a="1"/>
  <c r="O35" i="74" s="1"/>
  <c r="N35" i="74" a="1"/>
  <c r="N35" i="74" s="1"/>
  <c r="M35" i="74" a="1"/>
  <c r="M35" i="74" s="1"/>
  <c r="L35" i="74" a="1"/>
  <c r="L35" i="74" s="1"/>
  <c r="K35" i="74"/>
  <c r="J35" i="74" a="1"/>
  <c r="J35" i="74" s="1"/>
  <c r="I35" i="74"/>
  <c r="P27" i="74"/>
  <c r="Q27" i="74" s="1"/>
  <c r="O27" i="74" a="1"/>
  <c r="O27" i="74" s="1"/>
  <c r="N27" i="74" a="1"/>
  <c r="N27" i="74" s="1"/>
  <c r="M27" i="74" a="1"/>
  <c r="M27" i="74" s="1"/>
  <c r="L27" i="74" a="1"/>
  <c r="L27" i="74" s="1"/>
  <c r="K27" i="74"/>
  <c r="J27" i="74" a="1"/>
  <c r="J27" i="74" s="1"/>
  <c r="I27" i="74"/>
  <c r="P26" i="74"/>
  <c r="O26" i="74" a="1"/>
  <c r="O26" i="74" s="1"/>
  <c r="N26" i="74" a="1"/>
  <c r="N26" i="74" s="1"/>
  <c r="M26" i="74" a="1"/>
  <c r="M26" i="74" s="1"/>
  <c r="L26" i="74" a="1"/>
  <c r="L26" i="74" s="1"/>
  <c r="K26" i="74"/>
  <c r="J26" i="74" a="1"/>
  <c r="J26" i="74" s="1"/>
  <c r="Q26" i="74" s="1"/>
  <c r="I26" i="74"/>
  <c r="P25" i="74"/>
  <c r="O25" i="74" a="1"/>
  <c r="O25" i="74" s="1"/>
  <c r="N25" i="74" a="1"/>
  <c r="N25" i="74" s="1"/>
  <c r="M25" i="74" a="1"/>
  <c r="M25" i="74" s="1"/>
  <c r="L25" i="74" a="1"/>
  <c r="L25" i="74" s="1"/>
  <c r="K25" i="74"/>
  <c r="J25" i="74" a="1"/>
  <c r="J25" i="74" s="1"/>
  <c r="I25" i="74"/>
  <c r="P24" i="74"/>
  <c r="O24" i="74" a="1"/>
  <c r="O24" i="74" s="1"/>
  <c r="N24" i="74" a="1"/>
  <c r="N24" i="74" s="1"/>
  <c r="M24" i="74" a="1"/>
  <c r="M24" i="74" s="1"/>
  <c r="L24" i="74" a="1"/>
  <c r="L24" i="74" s="1"/>
  <c r="K24" i="74"/>
  <c r="J24" i="74" a="1"/>
  <c r="J24" i="74" s="1"/>
  <c r="I24" i="74"/>
  <c r="P23" i="74"/>
  <c r="O23" i="74" a="1"/>
  <c r="O23" i="74" s="1"/>
  <c r="N23" i="74" a="1"/>
  <c r="N23" i="74" s="1"/>
  <c r="M23" i="74" a="1"/>
  <c r="M23" i="74" s="1"/>
  <c r="L23" i="74" a="1"/>
  <c r="L23" i="74" s="1"/>
  <c r="K23" i="74"/>
  <c r="J23" i="74" a="1"/>
  <c r="J23" i="74" s="1"/>
  <c r="I23" i="74"/>
  <c r="P22" i="74"/>
  <c r="O22" i="74" a="1"/>
  <c r="O22" i="74" s="1"/>
  <c r="N22" i="74" a="1"/>
  <c r="N22" i="74" s="1"/>
  <c r="M22" i="74" a="1"/>
  <c r="M22" i="74" s="1"/>
  <c r="L22" i="74" a="1"/>
  <c r="L22" i="74" s="1"/>
  <c r="K22" i="74"/>
  <c r="J22" i="74" a="1"/>
  <c r="J22" i="74" s="1"/>
  <c r="I22" i="74"/>
  <c r="P21" i="74"/>
  <c r="O21" i="74" a="1"/>
  <c r="O21" i="74" s="1"/>
  <c r="N21" i="74" a="1"/>
  <c r="N21" i="74" s="1"/>
  <c r="M21" i="74" a="1"/>
  <c r="M21" i="74" s="1"/>
  <c r="L21" i="74" a="1"/>
  <c r="L21" i="74" s="1"/>
  <c r="K21" i="74"/>
  <c r="J21" i="74" a="1"/>
  <c r="J21" i="74" s="1"/>
  <c r="Q21" i="74" s="1"/>
  <c r="I21" i="74"/>
  <c r="P20" i="74"/>
  <c r="O20" i="74" a="1"/>
  <c r="O20" i="74" s="1"/>
  <c r="N20" i="74" a="1"/>
  <c r="N20" i="74" s="1"/>
  <c r="M20" i="74" a="1"/>
  <c r="M20" i="74" s="1"/>
  <c r="L20" i="74" a="1"/>
  <c r="L20" i="74" s="1"/>
  <c r="K20" i="74"/>
  <c r="J20" i="74" a="1"/>
  <c r="J20" i="74" s="1"/>
  <c r="I20" i="74"/>
  <c r="P19" i="74"/>
  <c r="O19" i="74" a="1"/>
  <c r="O19" i="74" s="1"/>
  <c r="N19" i="74" a="1"/>
  <c r="N19" i="74" s="1"/>
  <c r="M19" i="74" a="1"/>
  <c r="M19" i="74" s="1"/>
  <c r="L19" i="74"/>
  <c r="L19" i="74" a="1"/>
  <c r="K19" i="74"/>
  <c r="J19" i="74" a="1"/>
  <c r="J19" i="74" s="1"/>
  <c r="I19" i="74"/>
  <c r="P18" i="74"/>
  <c r="O18" i="74"/>
  <c r="O18" i="74" a="1"/>
  <c r="N18" i="74" a="1"/>
  <c r="N18" i="74" s="1"/>
  <c r="M18" i="74" a="1"/>
  <c r="M18" i="74" s="1"/>
  <c r="L18" i="74" a="1"/>
  <c r="L18" i="74" s="1"/>
  <c r="K18" i="74"/>
  <c r="J18" i="74" a="1"/>
  <c r="J18" i="74" s="1"/>
  <c r="I18" i="74"/>
  <c r="P16" i="74"/>
  <c r="O16" i="74" a="1"/>
  <c r="O16" i="74" s="1"/>
  <c r="N16" i="74" a="1"/>
  <c r="N16" i="74" s="1"/>
  <c r="M16" i="74" a="1"/>
  <c r="M16" i="74" s="1"/>
  <c r="L16" i="74" a="1"/>
  <c r="L16" i="74" s="1"/>
  <c r="K16" i="74"/>
  <c r="J16" i="74" a="1"/>
  <c r="J16" i="74" s="1"/>
  <c r="I16" i="74"/>
  <c r="P15" i="74"/>
  <c r="O15" i="74" a="1"/>
  <c r="O15" i="74" s="1"/>
  <c r="N15" i="74" a="1"/>
  <c r="N15" i="74" s="1"/>
  <c r="M15" i="74" a="1"/>
  <c r="M15" i="74" s="1"/>
  <c r="L15" i="74" a="1"/>
  <c r="L15" i="74" s="1"/>
  <c r="K15" i="74"/>
  <c r="J15" i="74" a="1"/>
  <c r="J15" i="74" s="1"/>
  <c r="I15" i="74"/>
  <c r="P14" i="74"/>
  <c r="O14" i="74" a="1"/>
  <c r="O14" i="74" s="1"/>
  <c r="N14" i="74" a="1"/>
  <c r="N14" i="74" s="1"/>
  <c r="M14" i="74" a="1"/>
  <c r="M14" i="74" s="1"/>
  <c r="L14" i="74" a="1"/>
  <c r="L14" i="74" s="1"/>
  <c r="K14" i="74"/>
  <c r="J14" i="74" a="1"/>
  <c r="J14" i="74" s="1"/>
  <c r="I14" i="74"/>
  <c r="P13" i="74"/>
  <c r="O13" i="74" a="1"/>
  <c r="O13" i="74" s="1"/>
  <c r="N13" i="74" a="1"/>
  <c r="N13" i="74" s="1"/>
  <c r="M13" i="74" a="1"/>
  <c r="M13" i="74" s="1"/>
  <c r="L13" i="74" a="1"/>
  <c r="L13" i="74" s="1"/>
  <c r="K13" i="74"/>
  <c r="J13" i="74" a="1"/>
  <c r="J13" i="74" s="1"/>
  <c r="I13" i="74"/>
  <c r="P12" i="74"/>
  <c r="O12" i="74" a="1"/>
  <c r="O12" i="74" s="1"/>
  <c r="N12" i="74" a="1"/>
  <c r="N12" i="74" s="1"/>
  <c r="M12" i="74" a="1"/>
  <c r="M12" i="74" s="1"/>
  <c r="L12" i="74" a="1"/>
  <c r="L12" i="74" s="1"/>
  <c r="K12" i="74"/>
  <c r="J12" i="74" a="1"/>
  <c r="J12" i="74" s="1"/>
  <c r="I12" i="74"/>
  <c r="P11" i="74"/>
  <c r="Q11" i="74" s="1"/>
  <c r="O11" i="74" a="1"/>
  <c r="O11" i="74" s="1"/>
  <c r="N11" i="74" a="1"/>
  <c r="N11" i="74" s="1"/>
  <c r="M11" i="74" a="1"/>
  <c r="M11" i="74" s="1"/>
  <c r="L11" i="74" a="1"/>
  <c r="L11" i="74" s="1"/>
  <c r="K11" i="74"/>
  <c r="J11" i="74" a="1"/>
  <c r="J11" i="74" s="1"/>
  <c r="I11" i="74"/>
  <c r="P10" i="74"/>
  <c r="O10" i="74" a="1"/>
  <c r="O10" i="74" s="1"/>
  <c r="N10" i="74" a="1"/>
  <c r="N10" i="74" s="1"/>
  <c r="M10" i="74" a="1"/>
  <c r="M10" i="74" s="1"/>
  <c r="L10" i="74" a="1"/>
  <c r="L10" i="74" s="1"/>
  <c r="K10" i="74"/>
  <c r="J10" i="74" a="1"/>
  <c r="J10" i="74" s="1"/>
  <c r="I10" i="74"/>
  <c r="P9" i="74"/>
  <c r="O9" i="74" a="1"/>
  <c r="O9" i="74" s="1"/>
  <c r="N9" i="74" a="1"/>
  <c r="N9" i="74" s="1"/>
  <c r="M9" i="74"/>
  <c r="M9" i="74" a="1"/>
  <c r="L9" i="74" a="1"/>
  <c r="L9" i="74" s="1"/>
  <c r="K9" i="74"/>
  <c r="J9" i="74" a="1"/>
  <c r="J9" i="74" s="1"/>
  <c r="I9" i="74"/>
  <c r="P8" i="74"/>
  <c r="O8" i="74" a="1"/>
  <c r="O8" i="74" s="1"/>
  <c r="N8" i="74" a="1"/>
  <c r="N8" i="74" s="1"/>
  <c r="M8" i="74" a="1"/>
  <c r="M8" i="74" s="1"/>
  <c r="L8" i="74" a="1"/>
  <c r="L8" i="74" s="1"/>
  <c r="K8" i="74"/>
  <c r="J8" i="74" a="1"/>
  <c r="J8" i="74" s="1"/>
  <c r="I8" i="74"/>
  <c r="P7" i="74"/>
  <c r="O7" i="74" a="1"/>
  <c r="O7" i="74" s="1"/>
  <c r="N7" i="74" a="1"/>
  <c r="N7" i="74" s="1"/>
  <c r="M7" i="74" a="1"/>
  <c r="M7" i="74" s="1"/>
  <c r="L7" i="74" a="1"/>
  <c r="L7" i="74" s="1"/>
  <c r="K7" i="74"/>
  <c r="J7" i="74" a="1"/>
  <c r="J7" i="74" s="1"/>
  <c r="I7" i="74"/>
  <c r="P6" i="74"/>
  <c r="O6" i="74" a="1"/>
  <c r="O6" i="74" s="1"/>
  <c r="N6" i="74" a="1"/>
  <c r="N6" i="74" s="1"/>
  <c r="M6" i="74" a="1"/>
  <c r="M6" i="74" s="1"/>
  <c r="L6" i="74" a="1"/>
  <c r="L6" i="74" s="1"/>
  <c r="K6" i="74"/>
  <c r="J6" i="74" a="1"/>
  <c r="J6" i="74" s="1"/>
  <c r="Q6" i="74" s="1"/>
  <c r="I6" i="74"/>
  <c r="P5" i="74"/>
  <c r="O5" i="74" a="1"/>
  <c r="O5" i="74" s="1"/>
  <c r="N5" i="74"/>
  <c r="N5" i="74" a="1"/>
  <c r="M5" i="74" a="1"/>
  <c r="M5" i="74" s="1"/>
  <c r="L5" i="74" a="1"/>
  <c r="L5" i="74" s="1"/>
  <c r="K5" i="74"/>
  <c r="J5" i="74" a="1"/>
  <c r="J5" i="74" s="1"/>
  <c r="I5" i="74"/>
  <c r="P4" i="74"/>
  <c r="O4" i="74" a="1"/>
  <c r="O4" i="74" s="1"/>
  <c r="N4" i="74" a="1"/>
  <c r="N4" i="74" s="1"/>
  <c r="M4" i="74" a="1"/>
  <c r="M4" i="74" s="1"/>
  <c r="L4" i="74" a="1"/>
  <c r="L4" i="74" s="1"/>
  <c r="K4" i="74"/>
  <c r="J4" i="74" a="1"/>
  <c r="J4" i="74" s="1"/>
  <c r="I4" i="74"/>
  <c r="P3" i="74"/>
  <c r="O3" i="74" a="1"/>
  <c r="O3" i="74" s="1"/>
  <c r="N3" i="74" a="1"/>
  <c r="N3" i="74" s="1"/>
  <c r="M3" i="74" a="1"/>
  <c r="M3" i="74" s="1"/>
  <c r="L3" i="74" a="1"/>
  <c r="L3" i="74" s="1"/>
  <c r="K3" i="74"/>
  <c r="J3" i="74" a="1"/>
  <c r="J3" i="74" s="1"/>
  <c r="I3" i="74"/>
  <c r="H196" i="76"/>
  <c r="H195" i="76"/>
  <c r="H193" i="76"/>
  <c r="H192" i="76"/>
  <c r="H191" i="76"/>
  <c r="H190" i="76"/>
  <c r="H189" i="76"/>
  <c r="H188" i="76"/>
  <c r="H187" i="76"/>
  <c r="H186" i="76"/>
  <c r="H185" i="76"/>
  <c r="H184" i="76"/>
  <c r="H183" i="76"/>
  <c r="H182" i="76"/>
  <c r="H181" i="76"/>
  <c r="H180" i="76"/>
  <c r="H179" i="76"/>
  <c r="H178" i="76"/>
  <c r="H177" i="76"/>
  <c r="H176" i="76"/>
  <c r="H175" i="76"/>
  <c r="H174" i="76"/>
  <c r="H173" i="76"/>
  <c r="H172" i="76"/>
  <c r="H171" i="76"/>
  <c r="H170" i="76"/>
  <c r="H169" i="76"/>
  <c r="H168" i="76"/>
  <c r="H167" i="76"/>
  <c r="H166" i="76"/>
  <c r="H165" i="76"/>
  <c r="H164" i="76"/>
  <c r="H163" i="76"/>
  <c r="H162" i="76"/>
  <c r="H161" i="76"/>
  <c r="H160" i="76"/>
  <c r="H159" i="76"/>
  <c r="H158" i="76"/>
  <c r="H156" i="76"/>
  <c r="H155" i="76"/>
  <c r="H154" i="76"/>
  <c r="H153" i="76"/>
  <c r="H152" i="76"/>
  <c r="H151" i="76"/>
  <c r="H150" i="76"/>
  <c r="H149" i="76"/>
  <c r="H147" i="76"/>
  <c r="H146" i="76"/>
  <c r="H145" i="76"/>
  <c r="H144" i="76"/>
  <c r="H143" i="76"/>
  <c r="H142" i="76"/>
  <c r="H141" i="76"/>
  <c r="H140" i="76"/>
  <c r="H138" i="76"/>
  <c r="H137" i="76"/>
  <c r="H136" i="76"/>
  <c r="H135" i="76"/>
  <c r="H134" i="76"/>
  <c r="H133" i="76"/>
  <c r="H132" i="76"/>
  <c r="H131" i="76"/>
  <c r="H130" i="76"/>
  <c r="H129" i="76"/>
  <c r="H127" i="76"/>
  <c r="H126" i="76"/>
  <c r="H125" i="76"/>
  <c r="H124" i="76"/>
  <c r="H123" i="76"/>
  <c r="H122" i="76"/>
  <c r="H121" i="76"/>
  <c r="H120" i="76"/>
  <c r="H119" i="76"/>
  <c r="H118" i="76"/>
  <c r="H117" i="76"/>
  <c r="H116" i="76"/>
  <c r="H115" i="76"/>
  <c r="H114" i="76"/>
  <c r="H113" i="76"/>
  <c r="H112" i="76"/>
  <c r="H111" i="76"/>
  <c r="H110" i="76"/>
  <c r="H109" i="76"/>
  <c r="H108" i="76"/>
  <c r="H107" i="76"/>
  <c r="H106" i="76"/>
  <c r="H105" i="76"/>
  <c r="H104" i="76"/>
  <c r="H103" i="76"/>
  <c r="H102" i="76"/>
  <c r="H101" i="76"/>
  <c r="H100" i="76"/>
  <c r="H99" i="76"/>
  <c r="H98" i="76"/>
  <c r="H97" i="76"/>
  <c r="H96" i="76"/>
  <c r="H95" i="76"/>
  <c r="H94" i="76"/>
  <c r="H93" i="76"/>
  <c r="H92" i="76"/>
  <c r="H91" i="76"/>
  <c r="H90" i="76"/>
  <c r="H89" i="76"/>
  <c r="H88" i="76"/>
  <c r="H87" i="76"/>
  <c r="H86" i="76"/>
  <c r="H85" i="76"/>
  <c r="H84" i="76"/>
  <c r="H83" i="76"/>
  <c r="H82" i="76"/>
  <c r="H81" i="76"/>
  <c r="H80" i="76"/>
  <c r="H79" i="76"/>
  <c r="H78" i="76"/>
  <c r="H75" i="76"/>
  <c r="H74" i="76"/>
  <c r="H73" i="76"/>
  <c r="H72" i="76"/>
  <c r="H71" i="76"/>
  <c r="H70" i="76"/>
  <c r="H69" i="76"/>
  <c r="H68" i="76"/>
  <c r="H67" i="76"/>
  <c r="H66" i="76"/>
  <c r="H65" i="76"/>
  <c r="H64" i="76"/>
  <c r="H62" i="76"/>
  <c r="H61" i="76"/>
  <c r="H60" i="76"/>
  <c r="H59" i="76"/>
  <c r="H58" i="76"/>
  <c r="H57" i="76"/>
  <c r="H56" i="76"/>
  <c r="H55" i="76"/>
  <c r="H53" i="76"/>
  <c r="H52" i="76"/>
  <c r="H51" i="76"/>
  <c r="H50" i="76"/>
  <c r="H48" i="76"/>
  <c r="H47" i="76"/>
  <c r="H46" i="76"/>
  <c r="H45" i="76"/>
  <c r="H44" i="76"/>
  <c r="H43" i="76"/>
  <c r="H42" i="76"/>
  <c r="H41" i="76"/>
  <c r="H40" i="76"/>
  <c r="H39" i="76"/>
  <c r="H38" i="76"/>
  <c r="H37" i="76"/>
  <c r="H36" i="76"/>
  <c r="H35" i="76"/>
  <c r="H27" i="76"/>
  <c r="H26" i="76"/>
  <c r="H25" i="76"/>
  <c r="H24" i="76"/>
  <c r="H23" i="76"/>
  <c r="H22" i="76"/>
  <c r="H21" i="76"/>
  <c r="H20" i="76"/>
  <c r="H19" i="76"/>
  <c r="H18" i="76"/>
  <c r="H16" i="76"/>
  <c r="H15" i="76"/>
  <c r="H14" i="76"/>
  <c r="H13" i="76"/>
  <c r="H12" i="76"/>
  <c r="H11" i="76"/>
  <c r="H10" i="76"/>
  <c r="H9" i="76"/>
  <c r="H8" i="76"/>
  <c r="H7" i="76"/>
  <c r="H196" i="75"/>
  <c r="H195" i="75"/>
  <c r="H193" i="75"/>
  <c r="H192" i="75"/>
  <c r="H191" i="75"/>
  <c r="H190" i="75"/>
  <c r="H189" i="75"/>
  <c r="H188" i="75"/>
  <c r="H187" i="75"/>
  <c r="H186" i="75"/>
  <c r="H185" i="75"/>
  <c r="H184" i="75"/>
  <c r="H183" i="75"/>
  <c r="H182" i="75"/>
  <c r="H181" i="75"/>
  <c r="H180" i="75"/>
  <c r="H179" i="75"/>
  <c r="H178" i="75"/>
  <c r="H177" i="75"/>
  <c r="H176" i="75"/>
  <c r="H175" i="75"/>
  <c r="H174" i="75"/>
  <c r="H173" i="75"/>
  <c r="H172" i="75"/>
  <c r="H171" i="75"/>
  <c r="H170" i="75"/>
  <c r="H169" i="75"/>
  <c r="H168" i="75"/>
  <c r="H167" i="75"/>
  <c r="H166" i="75"/>
  <c r="H165" i="75"/>
  <c r="H164" i="75"/>
  <c r="H163" i="75"/>
  <c r="H162" i="75"/>
  <c r="H161" i="75"/>
  <c r="H160" i="75"/>
  <c r="H159" i="75"/>
  <c r="H158" i="75"/>
  <c r="H156" i="75"/>
  <c r="H155" i="75"/>
  <c r="H154" i="75"/>
  <c r="H153" i="75"/>
  <c r="H152" i="75"/>
  <c r="H151" i="75"/>
  <c r="H150" i="75"/>
  <c r="H149" i="75"/>
  <c r="H147" i="75"/>
  <c r="H146" i="75"/>
  <c r="H145" i="75"/>
  <c r="H144" i="75"/>
  <c r="H143" i="75"/>
  <c r="H142" i="75"/>
  <c r="H141" i="75"/>
  <c r="H140" i="75"/>
  <c r="H138" i="75"/>
  <c r="H137" i="75"/>
  <c r="H136" i="75"/>
  <c r="H135" i="75"/>
  <c r="H134" i="75"/>
  <c r="H133" i="75"/>
  <c r="H132" i="75"/>
  <c r="H131" i="75"/>
  <c r="H130" i="75"/>
  <c r="H129" i="75"/>
  <c r="H127" i="75"/>
  <c r="H126" i="75"/>
  <c r="H125" i="75"/>
  <c r="H124" i="75"/>
  <c r="H123" i="75"/>
  <c r="H122" i="75"/>
  <c r="H121" i="75"/>
  <c r="H120" i="75"/>
  <c r="H119" i="75"/>
  <c r="H118" i="75"/>
  <c r="H117" i="75"/>
  <c r="H116" i="75"/>
  <c r="H115" i="75"/>
  <c r="H114" i="75"/>
  <c r="H113" i="75"/>
  <c r="H112" i="75"/>
  <c r="H111" i="75"/>
  <c r="H110" i="75"/>
  <c r="H109" i="75"/>
  <c r="H108" i="75"/>
  <c r="H107" i="75"/>
  <c r="H106" i="75"/>
  <c r="H105" i="75"/>
  <c r="H104" i="75"/>
  <c r="H103" i="75"/>
  <c r="H102" i="75"/>
  <c r="H101" i="75"/>
  <c r="H100" i="75"/>
  <c r="H99" i="75"/>
  <c r="H98" i="75"/>
  <c r="H97" i="75"/>
  <c r="H96" i="75"/>
  <c r="H95" i="75"/>
  <c r="H94" i="75"/>
  <c r="H93" i="75"/>
  <c r="H92" i="75"/>
  <c r="H91" i="75"/>
  <c r="H90" i="75"/>
  <c r="H89" i="75"/>
  <c r="H88" i="75"/>
  <c r="H87" i="75"/>
  <c r="H86" i="75"/>
  <c r="H85" i="75"/>
  <c r="H84" i="75"/>
  <c r="H83" i="75"/>
  <c r="H82" i="75"/>
  <c r="H81" i="75"/>
  <c r="H80" i="75"/>
  <c r="H79" i="75"/>
  <c r="H78" i="75"/>
  <c r="H75" i="75"/>
  <c r="H74" i="75"/>
  <c r="H73" i="75"/>
  <c r="H72" i="75"/>
  <c r="H71" i="75"/>
  <c r="H70" i="75"/>
  <c r="H69" i="75"/>
  <c r="H68" i="75"/>
  <c r="H67" i="75"/>
  <c r="H66" i="75"/>
  <c r="H65" i="75"/>
  <c r="H64" i="75"/>
  <c r="H62" i="75"/>
  <c r="H61" i="75"/>
  <c r="H60" i="75"/>
  <c r="H59" i="75"/>
  <c r="H58" i="75"/>
  <c r="H57" i="75"/>
  <c r="H56" i="75"/>
  <c r="H55" i="75"/>
  <c r="H53" i="75"/>
  <c r="H52" i="75"/>
  <c r="H51" i="75"/>
  <c r="H50" i="75"/>
  <c r="H48" i="75"/>
  <c r="H47" i="75"/>
  <c r="H46" i="75"/>
  <c r="H45" i="75"/>
  <c r="H44" i="75"/>
  <c r="H43" i="75"/>
  <c r="H42" i="75"/>
  <c r="H41" i="75"/>
  <c r="H40" i="75"/>
  <c r="H39" i="75"/>
  <c r="H38" i="75"/>
  <c r="H37" i="75"/>
  <c r="H36" i="75"/>
  <c r="H35" i="75"/>
  <c r="H27" i="75"/>
  <c r="H26" i="75"/>
  <c r="H25" i="75"/>
  <c r="H24" i="75"/>
  <c r="H23" i="75"/>
  <c r="H22" i="75"/>
  <c r="H21" i="75"/>
  <c r="H20" i="75"/>
  <c r="H19" i="75"/>
  <c r="H18" i="75"/>
  <c r="H16" i="75"/>
  <c r="H15" i="75"/>
  <c r="H14" i="75"/>
  <c r="H13" i="75"/>
  <c r="H12" i="75"/>
  <c r="H11" i="75"/>
  <c r="H10" i="75"/>
  <c r="H9" i="75"/>
  <c r="H8" i="75"/>
  <c r="H7" i="75"/>
  <c r="H196" i="74"/>
  <c r="H195" i="74"/>
  <c r="H193" i="74"/>
  <c r="H192" i="74"/>
  <c r="H191" i="74"/>
  <c r="H190" i="74"/>
  <c r="H189" i="74"/>
  <c r="H188" i="74"/>
  <c r="H187" i="74"/>
  <c r="H186" i="74"/>
  <c r="H185" i="74"/>
  <c r="H184" i="74"/>
  <c r="H183" i="74"/>
  <c r="H182" i="74"/>
  <c r="H181" i="74"/>
  <c r="H180" i="74"/>
  <c r="H179" i="74"/>
  <c r="H178" i="74"/>
  <c r="H177" i="74"/>
  <c r="H176" i="74"/>
  <c r="H175" i="74"/>
  <c r="H174" i="74"/>
  <c r="H173" i="74"/>
  <c r="H172" i="74"/>
  <c r="H171" i="74"/>
  <c r="H170" i="74"/>
  <c r="H169" i="74"/>
  <c r="H168" i="74"/>
  <c r="H167" i="74"/>
  <c r="H166" i="74"/>
  <c r="H165" i="74"/>
  <c r="H164" i="74"/>
  <c r="H163" i="74"/>
  <c r="H162" i="74"/>
  <c r="H161" i="74"/>
  <c r="H160" i="74"/>
  <c r="H159" i="74"/>
  <c r="H158" i="74"/>
  <c r="H156" i="74"/>
  <c r="H155" i="74"/>
  <c r="H154" i="74"/>
  <c r="H153" i="74"/>
  <c r="H152" i="74"/>
  <c r="H151" i="74"/>
  <c r="H150" i="74"/>
  <c r="H149" i="74"/>
  <c r="H147" i="74"/>
  <c r="H146" i="74"/>
  <c r="H145" i="74"/>
  <c r="H144" i="74"/>
  <c r="H143" i="74"/>
  <c r="H142" i="74"/>
  <c r="H141" i="74"/>
  <c r="H140" i="74"/>
  <c r="H138" i="74"/>
  <c r="H137" i="74"/>
  <c r="H136" i="74"/>
  <c r="H135" i="74"/>
  <c r="H134" i="74"/>
  <c r="H133" i="74"/>
  <c r="H132" i="74"/>
  <c r="H131" i="74"/>
  <c r="H130" i="74"/>
  <c r="H129" i="74"/>
  <c r="H127" i="74"/>
  <c r="H126" i="74"/>
  <c r="H125" i="74"/>
  <c r="H124" i="74"/>
  <c r="H123" i="74"/>
  <c r="H122" i="74"/>
  <c r="H121" i="74"/>
  <c r="H120" i="74"/>
  <c r="H119" i="74"/>
  <c r="H118" i="74"/>
  <c r="H117" i="74"/>
  <c r="H116" i="74"/>
  <c r="H115" i="74"/>
  <c r="H114" i="74"/>
  <c r="H113" i="74"/>
  <c r="H112" i="74"/>
  <c r="H111" i="74"/>
  <c r="H110" i="74"/>
  <c r="H109" i="74"/>
  <c r="H108" i="74"/>
  <c r="H107" i="74"/>
  <c r="H106" i="74"/>
  <c r="H105" i="74"/>
  <c r="H104" i="74"/>
  <c r="H103" i="74"/>
  <c r="H102" i="74"/>
  <c r="H101" i="74"/>
  <c r="H100" i="74"/>
  <c r="H99" i="74"/>
  <c r="H98" i="74"/>
  <c r="H97" i="74"/>
  <c r="H96" i="74"/>
  <c r="H95" i="74"/>
  <c r="H94" i="74"/>
  <c r="H93" i="74"/>
  <c r="H92" i="74"/>
  <c r="H91" i="74"/>
  <c r="H90" i="74"/>
  <c r="H89" i="74"/>
  <c r="H88" i="74"/>
  <c r="H87" i="74"/>
  <c r="H86" i="74"/>
  <c r="H85" i="74"/>
  <c r="H84" i="74"/>
  <c r="H83" i="74"/>
  <c r="H82" i="74"/>
  <c r="H81" i="74"/>
  <c r="H80" i="74"/>
  <c r="H79" i="74"/>
  <c r="H78" i="74"/>
  <c r="H75" i="74"/>
  <c r="H74" i="74"/>
  <c r="H73" i="74"/>
  <c r="H72" i="74"/>
  <c r="H71" i="74"/>
  <c r="H70" i="74"/>
  <c r="H69" i="74"/>
  <c r="H68" i="74"/>
  <c r="H67" i="74"/>
  <c r="H66" i="74"/>
  <c r="H65" i="74"/>
  <c r="H64" i="74"/>
  <c r="H62" i="74"/>
  <c r="H61" i="74"/>
  <c r="H60" i="74"/>
  <c r="H59" i="74"/>
  <c r="H58" i="74"/>
  <c r="H57" i="74"/>
  <c r="H56" i="74"/>
  <c r="H55" i="74"/>
  <c r="H53" i="74"/>
  <c r="H52" i="74"/>
  <c r="H51" i="74"/>
  <c r="H50" i="74"/>
  <c r="H48" i="74"/>
  <c r="H47" i="74"/>
  <c r="H46" i="74"/>
  <c r="H45" i="74"/>
  <c r="H44" i="74"/>
  <c r="H43" i="74"/>
  <c r="H42" i="74"/>
  <c r="H41" i="74"/>
  <c r="H40" i="74"/>
  <c r="H39" i="74"/>
  <c r="H38" i="74"/>
  <c r="H37" i="74"/>
  <c r="H36" i="74"/>
  <c r="H35" i="74"/>
  <c r="H27" i="74"/>
  <c r="H26" i="74"/>
  <c r="H25" i="74"/>
  <c r="H24" i="74"/>
  <c r="H23" i="74"/>
  <c r="H22" i="74"/>
  <c r="H21" i="74"/>
  <c r="H20" i="74"/>
  <c r="H19" i="74"/>
  <c r="H18" i="74"/>
  <c r="H16" i="74"/>
  <c r="H15" i="74"/>
  <c r="H14" i="74"/>
  <c r="H13" i="74"/>
  <c r="H12" i="74"/>
  <c r="H11" i="74"/>
  <c r="H10" i="74"/>
  <c r="H9" i="74"/>
  <c r="H8" i="74"/>
  <c r="H7" i="74"/>
  <c r="H200" i="76"/>
  <c r="H199" i="76"/>
  <c r="H6" i="76"/>
  <c r="H5" i="76"/>
  <c r="H4" i="76"/>
  <c r="H3" i="76"/>
  <c r="H200" i="75"/>
  <c r="H199" i="75"/>
  <c r="H6" i="75"/>
  <c r="H5" i="75"/>
  <c r="H4" i="75"/>
  <c r="H3" i="75"/>
  <c r="H200" i="74"/>
  <c r="H199" i="74"/>
  <c r="H6" i="74"/>
  <c r="H5" i="74"/>
  <c r="H4" i="74"/>
  <c r="H3" i="74"/>
  <c r="H200" i="73"/>
  <c r="H199" i="73"/>
  <c r="H196" i="73"/>
  <c r="H195" i="73"/>
  <c r="H193" i="73"/>
  <c r="H192" i="73"/>
  <c r="H191" i="73"/>
  <c r="H190" i="73"/>
  <c r="H189" i="73"/>
  <c r="H188" i="73"/>
  <c r="H187" i="73"/>
  <c r="H186" i="73"/>
  <c r="H185" i="73"/>
  <c r="H184" i="73"/>
  <c r="H183" i="73"/>
  <c r="H182" i="73"/>
  <c r="H181" i="73"/>
  <c r="H180" i="73"/>
  <c r="H179" i="73"/>
  <c r="H178" i="73"/>
  <c r="H177" i="73"/>
  <c r="H176" i="73"/>
  <c r="H175" i="73"/>
  <c r="H174" i="73"/>
  <c r="H173" i="73"/>
  <c r="H172" i="73"/>
  <c r="H171" i="73"/>
  <c r="H170" i="73"/>
  <c r="H169" i="73"/>
  <c r="H168" i="73"/>
  <c r="H167" i="73"/>
  <c r="H166" i="73"/>
  <c r="H165" i="73"/>
  <c r="H164" i="73"/>
  <c r="H163" i="73"/>
  <c r="H162" i="73"/>
  <c r="H161" i="73"/>
  <c r="H160" i="73"/>
  <c r="H159" i="73"/>
  <c r="H158" i="73"/>
  <c r="H156" i="73"/>
  <c r="H155" i="73"/>
  <c r="H154" i="73"/>
  <c r="H153" i="73"/>
  <c r="H152" i="73"/>
  <c r="H151" i="73"/>
  <c r="H150" i="73"/>
  <c r="H149" i="73"/>
  <c r="H147" i="73"/>
  <c r="H146" i="73"/>
  <c r="H145" i="73"/>
  <c r="H144" i="73"/>
  <c r="H143" i="73"/>
  <c r="H142" i="73"/>
  <c r="H141" i="73"/>
  <c r="H140" i="73"/>
  <c r="H138" i="73"/>
  <c r="H137" i="73"/>
  <c r="H136" i="73"/>
  <c r="H135" i="73"/>
  <c r="H134" i="73"/>
  <c r="H133" i="73"/>
  <c r="H132" i="73"/>
  <c r="H131" i="73"/>
  <c r="H130" i="73"/>
  <c r="H129" i="73"/>
  <c r="H127" i="73"/>
  <c r="H126" i="73"/>
  <c r="H125" i="73"/>
  <c r="H124" i="73"/>
  <c r="H123" i="73"/>
  <c r="H122" i="73"/>
  <c r="H121" i="73"/>
  <c r="H120" i="73"/>
  <c r="H119" i="73"/>
  <c r="H118" i="73"/>
  <c r="H117" i="73"/>
  <c r="H116" i="73"/>
  <c r="H115" i="73"/>
  <c r="H114" i="73"/>
  <c r="H113" i="73"/>
  <c r="H112" i="73"/>
  <c r="H111" i="73"/>
  <c r="H110" i="73"/>
  <c r="H109" i="73"/>
  <c r="H108" i="73"/>
  <c r="H107" i="73"/>
  <c r="H106" i="73"/>
  <c r="H105" i="73"/>
  <c r="H104" i="73"/>
  <c r="H103" i="73"/>
  <c r="H102" i="73"/>
  <c r="H101" i="73"/>
  <c r="H100" i="73"/>
  <c r="H99" i="73"/>
  <c r="H98" i="73"/>
  <c r="H97" i="73"/>
  <c r="H96" i="73"/>
  <c r="H95" i="73"/>
  <c r="H94" i="73"/>
  <c r="H93" i="73"/>
  <c r="H92" i="73"/>
  <c r="H91" i="73"/>
  <c r="H90" i="73"/>
  <c r="H89" i="73"/>
  <c r="H88" i="73"/>
  <c r="H87" i="73"/>
  <c r="H86" i="73"/>
  <c r="H85" i="73"/>
  <c r="H84" i="73"/>
  <c r="H83" i="73"/>
  <c r="H82" i="73"/>
  <c r="H81" i="73"/>
  <c r="H80" i="73"/>
  <c r="H79" i="73"/>
  <c r="H78" i="73"/>
  <c r="H75" i="73"/>
  <c r="H74" i="73"/>
  <c r="H73" i="73"/>
  <c r="H72" i="73"/>
  <c r="H71" i="73"/>
  <c r="H70" i="73"/>
  <c r="H69" i="73"/>
  <c r="H68" i="73"/>
  <c r="H67" i="73"/>
  <c r="H66" i="73"/>
  <c r="H65" i="73"/>
  <c r="H64" i="73"/>
  <c r="H62" i="73"/>
  <c r="H61" i="73"/>
  <c r="H60" i="73"/>
  <c r="H59" i="73"/>
  <c r="H58" i="73"/>
  <c r="H57" i="73"/>
  <c r="H56" i="73"/>
  <c r="H55" i="73"/>
  <c r="H53" i="73"/>
  <c r="H52" i="73"/>
  <c r="H51" i="73"/>
  <c r="H50" i="73"/>
  <c r="H48" i="73"/>
  <c r="H47" i="73"/>
  <c r="H46" i="73"/>
  <c r="H45" i="73"/>
  <c r="H44" i="73"/>
  <c r="H43" i="73"/>
  <c r="H42" i="73"/>
  <c r="H41" i="73"/>
  <c r="H40" i="73"/>
  <c r="H39" i="73"/>
  <c r="H38" i="73"/>
  <c r="H37" i="73"/>
  <c r="H36" i="73"/>
  <c r="H35" i="73"/>
  <c r="H27" i="73"/>
  <c r="H26" i="73"/>
  <c r="H25" i="73"/>
  <c r="H24" i="73"/>
  <c r="H23" i="73"/>
  <c r="H22" i="73"/>
  <c r="H21" i="73"/>
  <c r="H20" i="73"/>
  <c r="H19" i="73"/>
  <c r="H18" i="73"/>
  <c r="H16" i="73"/>
  <c r="H15" i="73"/>
  <c r="H14" i="73"/>
  <c r="H13" i="73"/>
  <c r="H12" i="73"/>
  <c r="H11" i="73"/>
  <c r="H10" i="73"/>
  <c r="H9" i="73"/>
  <c r="H8" i="73"/>
  <c r="H7" i="73"/>
  <c r="H6" i="73"/>
  <c r="H5" i="73"/>
  <c r="H4" i="73"/>
  <c r="H3" i="73"/>
  <c r="H200" i="72"/>
  <c r="H199" i="72"/>
  <c r="H196" i="72"/>
  <c r="H195" i="72"/>
  <c r="H193" i="72"/>
  <c r="H192" i="72"/>
  <c r="H191" i="72"/>
  <c r="H190" i="72"/>
  <c r="H189" i="72"/>
  <c r="H188" i="72"/>
  <c r="H187" i="72"/>
  <c r="H186" i="72"/>
  <c r="H185" i="72"/>
  <c r="H184" i="72"/>
  <c r="H183" i="72"/>
  <c r="H182" i="72"/>
  <c r="H181" i="72"/>
  <c r="H180" i="72"/>
  <c r="H179" i="72"/>
  <c r="H178" i="72"/>
  <c r="H177" i="72"/>
  <c r="H176" i="72"/>
  <c r="H175" i="72"/>
  <c r="H174" i="72"/>
  <c r="H173" i="72"/>
  <c r="H172" i="72"/>
  <c r="H171" i="72"/>
  <c r="H170" i="72"/>
  <c r="H169" i="72"/>
  <c r="H168" i="72"/>
  <c r="H167" i="72"/>
  <c r="H166" i="72"/>
  <c r="H165" i="72"/>
  <c r="H164" i="72"/>
  <c r="H163" i="72"/>
  <c r="H162" i="72"/>
  <c r="H161" i="72"/>
  <c r="H160" i="72"/>
  <c r="H159" i="72"/>
  <c r="H158" i="72"/>
  <c r="H156" i="72"/>
  <c r="H155" i="72"/>
  <c r="H154" i="72"/>
  <c r="H153" i="72"/>
  <c r="H152" i="72"/>
  <c r="H151" i="72"/>
  <c r="H150" i="72"/>
  <c r="H149" i="72"/>
  <c r="H147" i="72"/>
  <c r="H146" i="72"/>
  <c r="H145" i="72"/>
  <c r="H144" i="72"/>
  <c r="H143" i="72"/>
  <c r="H142" i="72"/>
  <c r="H141" i="72"/>
  <c r="H140" i="72"/>
  <c r="H138" i="72"/>
  <c r="H137" i="72"/>
  <c r="H136" i="72"/>
  <c r="H135" i="72"/>
  <c r="H134" i="72"/>
  <c r="H133" i="72"/>
  <c r="H132" i="72"/>
  <c r="H131" i="72"/>
  <c r="H130" i="72"/>
  <c r="H129" i="72"/>
  <c r="H127" i="72"/>
  <c r="H126" i="72"/>
  <c r="H125" i="72"/>
  <c r="H124" i="72"/>
  <c r="H123" i="72"/>
  <c r="H122" i="72"/>
  <c r="H121" i="72"/>
  <c r="H120" i="72"/>
  <c r="H119" i="72"/>
  <c r="H118" i="72"/>
  <c r="H117" i="72"/>
  <c r="H116" i="72"/>
  <c r="H115" i="72"/>
  <c r="H114" i="72"/>
  <c r="H113" i="72"/>
  <c r="H112" i="72"/>
  <c r="H111" i="72"/>
  <c r="H110" i="72"/>
  <c r="H109" i="72"/>
  <c r="H108" i="72"/>
  <c r="H107" i="72"/>
  <c r="H106" i="72"/>
  <c r="H105" i="72"/>
  <c r="H104" i="72"/>
  <c r="H103" i="72"/>
  <c r="H102" i="72"/>
  <c r="H101" i="72"/>
  <c r="H100" i="72"/>
  <c r="H99" i="72"/>
  <c r="H98" i="72"/>
  <c r="H97" i="72"/>
  <c r="H96" i="72"/>
  <c r="H95" i="72"/>
  <c r="H94" i="72"/>
  <c r="H93" i="72"/>
  <c r="H92" i="72"/>
  <c r="H91" i="72"/>
  <c r="H90" i="72"/>
  <c r="H89" i="72"/>
  <c r="H88" i="72"/>
  <c r="H87" i="72"/>
  <c r="H86" i="72"/>
  <c r="H85" i="72"/>
  <c r="H84" i="72"/>
  <c r="H83" i="72"/>
  <c r="H82" i="72"/>
  <c r="H81" i="72"/>
  <c r="H80" i="72"/>
  <c r="H79" i="72"/>
  <c r="H78" i="72"/>
  <c r="H75" i="72"/>
  <c r="H74" i="72"/>
  <c r="H73" i="72"/>
  <c r="H72" i="72"/>
  <c r="H71" i="72"/>
  <c r="H70" i="72"/>
  <c r="H69" i="72"/>
  <c r="H68" i="72"/>
  <c r="H67" i="72"/>
  <c r="H66" i="72"/>
  <c r="H65" i="72"/>
  <c r="H64" i="72"/>
  <c r="H62" i="72"/>
  <c r="H61" i="72"/>
  <c r="H60" i="72"/>
  <c r="H59" i="72"/>
  <c r="H58" i="72"/>
  <c r="H57" i="72"/>
  <c r="H56" i="72"/>
  <c r="H55" i="72"/>
  <c r="H53" i="72"/>
  <c r="H52" i="72"/>
  <c r="H51" i="72"/>
  <c r="H50" i="72"/>
  <c r="H48" i="72"/>
  <c r="H47" i="72"/>
  <c r="H46" i="72"/>
  <c r="H45" i="72"/>
  <c r="H44" i="72"/>
  <c r="H43" i="72"/>
  <c r="H42" i="72"/>
  <c r="H41" i="72"/>
  <c r="H40" i="72"/>
  <c r="H39" i="72"/>
  <c r="H38" i="72"/>
  <c r="H37" i="72"/>
  <c r="H36" i="72"/>
  <c r="H35" i="72"/>
  <c r="H27" i="72"/>
  <c r="H26" i="72"/>
  <c r="H25" i="72"/>
  <c r="H24" i="72"/>
  <c r="H23" i="72"/>
  <c r="H22" i="72"/>
  <c r="H21" i="72"/>
  <c r="H20" i="72"/>
  <c r="H19" i="72"/>
  <c r="H18" i="72"/>
  <c r="H16" i="72"/>
  <c r="H15" i="72"/>
  <c r="H14" i="72"/>
  <c r="H13" i="72"/>
  <c r="H12" i="72"/>
  <c r="H11" i="72"/>
  <c r="H10" i="72"/>
  <c r="H9" i="72"/>
  <c r="H8" i="72"/>
  <c r="H7" i="72"/>
  <c r="H6" i="72"/>
  <c r="H5" i="72"/>
  <c r="H4" i="72"/>
  <c r="H3" i="72"/>
  <c r="H200" i="71"/>
  <c r="H199" i="71"/>
  <c r="H196" i="71"/>
  <c r="H195" i="71"/>
  <c r="H193" i="71"/>
  <c r="H192" i="71"/>
  <c r="H191" i="71"/>
  <c r="H190" i="71"/>
  <c r="H189" i="71"/>
  <c r="H188" i="71"/>
  <c r="H187" i="71"/>
  <c r="H186" i="71"/>
  <c r="H185" i="71"/>
  <c r="H184" i="71"/>
  <c r="H183" i="71"/>
  <c r="H182" i="71"/>
  <c r="H181" i="71"/>
  <c r="H180" i="71"/>
  <c r="H179" i="71"/>
  <c r="H178" i="71"/>
  <c r="H177" i="71"/>
  <c r="H176" i="71"/>
  <c r="H175" i="71"/>
  <c r="H174" i="71"/>
  <c r="H173" i="71"/>
  <c r="H172" i="71"/>
  <c r="H171" i="71"/>
  <c r="H170" i="71"/>
  <c r="H169" i="71"/>
  <c r="H168" i="71"/>
  <c r="H167" i="71"/>
  <c r="H166" i="71"/>
  <c r="H165" i="71"/>
  <c r="H164" i="71"/>
  <c r="H163" i="71"/>
  <c r="H162" i="71"/>
  <c r="H161" i="71"/>
  <c r="H160" i="71"/>
  <c r="H159" i="71"/>
  <c r="H158" i="71"/>
  <c r="H156" i="71"/>
  <c r="H155" i="71"/>
  <c r="H154" i="71"/>
  <c r="H153" i="71"/>
  <c r="H152" i="71"/>
  <c r="H151" i="71"/>
  <c r="H150" i="71"/>
  <c r="H149" i="71"/>
  <c r="H147" i="71"/>
  <c r="H146" i="71"/>
  <c r="H145" i="71"/>
  <c r="H144" i="71"/>
  <c r="H143" i="71"/>
  <c r="H142" i="71"/>
  <c r="H141" i="71"/>
  <c r="H140" i="71"/>
  <c r="H138" i="71"/>
  <c r="H137" i="71"/>
  <c r="H136" i="71"/>
  <c r="H135" i="71"/>
  <c r="H134" i="71"/>
  <c r="H133" i="71"/>
  <c r="H132" i="71"/>
  <c r="H131" i="71"/>
  <c r="H130" i="71"/>
  <c r="H129" i="71"/>
  <c r="H127" i="71"/>
  <c r="H126" i="71"/>
  <c r="H125" i="71"/>
  <c r="H124" i="71"/>
  <c r="H123" i="71"/>
  <c r="H122" i="71"/>
  <c r="H121" i="71"/>
  <c r="H120" i="71"/>
  <c r="H119" i="71"/>
  <c r="H118" i="71"/>
  <c r="H117" i="71"/>
  <c r="H116" i="71"/>
  <c r="H115" i="71"/>
  <c r="H114" i="71"/>
  <c r="H113" i="71"/>
  <c r="H112" i="71"/>
  <c r="H111" i="71"/>
  <c r="H110" i="71"/>
  <c r="H109" i="71"/>
  <c r="H108" i="71"/>
  <c r="H107" i="71"/>
  <c r="H106" i="71"/>
  <c r="H105" i="71"/>
  <c r="H104" i="71"/>
  <c r="H103" i="71"/>
  <c r="H102" i="71"/>
  <c r="H101" i="71"/>
  <c r="H100" i="71"/>
  <c r="H99" i="71"/>
  <c r="H98" i="71"/>
  <c r="H97" i="71"/>
  <c r="H96" i="71"/>
  <c r="H95" i="71"/>
  <c r="H94" i="71"/>
  <c r="H93" i="71"/>
  <c r="H92" i="71"/>
  <c r="H91" i="71"/>
  <c r="H90" i="71"/>
  <c r="H89" i="71"/>
  <c r="H88" i="71"/>
  <c r="H87" i="71"/>
  <c r="H86" i="71"/>
  <c r="H85" i="71"/>
  <c r="H84" i="71"/>
  <c r="H83" i="71"/>
  <c r="H82" i="71"/>
  <c r="H81" i="71"/>
  <c r="H80" i="71"/>
  <c r="H79" i="71"/>
  <c r="H78" i="71"/>
  <c r="H75" i="71"/>
  <c r="H74" i="71"/>
  <c r="H73" i="71"/>
  <c r="H72" i="71"/>
  <c r="H71" i="71"/>
  <c r="H70" i="71"/>
  <c r="H69" i="71"/>
  <c r="H68" i="71"/>
  <c r="H67" i="71"/>
  <c r="H66" i="71"/>
  <c r="H65" i="71"/>
  <c r="H64" i="71"/>
  <c r="H62" i="71"/>
  <c r="H61" i="71"/>
  <c r="H60" i="71"/>
  <c r="H59" i="71"/>
  <c r="H58" i="71"/>
  <c r="H57" i="71"/>
  <c r="H56" i="71"/>
  <c r="H55" i="71"/>
  <c r="H53" i="71"/>
  <c r="H52" i="71"/>
  <c r="H51" i="71"/>
  <c r="H50" i="71"/>
  <c r="H48" i="71"/>
  <c r="H47" i="71"/>
  <c r="H46" i="71"/>
  <c r="H45" i="71"/>
  <c r="H44" i="71"/>
  <c r="H43" i="71"/>
  <c r="H42" i="71"/>
  <c r="H41" i="71"/>
  <c r="H40" i="71"/>
  <c r="H39" i="71"/>
  <c r="H38" i="71"/>
  <c r="H37" i="71"/>
  <c r="H36" i="71"/>
  <c r="H35" i="71"/>
  <c r="H27" i="71"/>
  <c r="H26" i="71"/>
  <c r="H25" i="71"/>
  <c r="H24" i="71"/>
  <c r="H23" i="71"/>
  <c r="H22" i="71"/>
  <c r="H21" i="71"/>
  <c r="H20" i="71"/>
  <c r="H19" i="71"/>
  <c r="H18" i="71"/>
  <c r="H16" i="71"/>
  <c r="H15" i="71"/>
  <c r="H14" i="71"/>
  <c r="H13" i="71"/>
  <c r="H12" i="71"/>
  <c r="H11" i="71"/>
  <c r="H10" i="71"/>
  <c r="H9" i="71"/>
  <c r="H8" i="71"/>
  <c r="H7" i="71"/>
  <c r="H6" i="71"/>
  <c r="H5" i="71"/>
  <c r="H4" i="71"/>
  <c r="H3" i="71"/>
  <c r="H200" i="66"/>
  <c r="H199" i="66"/>
  <c r="H196" i="66"/>
  <c r="H195" i="66"/>
  <c r="H193" i="66"/>
  <c r="H192" i="66"/>
  <c r="H191" i="66"/>
  <c r="H190" i="66"/>
  <c r="H189" i="66"/>
  <c r="H188" i="66"/>
  <c r="H187" i="66"/>
  <c r="H186" i="66"/>
  <c r="H185" i="66"/>
  <c r="H184" i="66"/>
  <c r="H183" i="66"/>
  <c r="H182" i="66"/>
  <c r="H181" i="66"/>
  <c r="H180" i="66"/>
  <c r="H179" i="66"/>
  <c r="H178" i="66"/>
  <c r="H177" i="66"/>
  <c r="H176" i="66"/>
  <c r="H175" i="66"/>
  <c r="H174" i="66"/>
  <c r="H173" i="66"/>
  <c r="H172" i="66"/>
  <c r="H171" i="66"/>
  <c r="H170" i="66"/>
  <c r="H169" i="66"/>
  <c r="H168" i="66"/>
  <c r="H167" i="66"/>
  <c r="H166" i="66"/>
  <c r="H165" i="66"/>
  <c r="H164" i="66"/>
  <c r="H163" i="66"/>
  <c r="H162" i="66"/>
  <c r="H161" i="66"/>
  <c r="H160" i="66"/>
  <c r="H159" i="66"/>
  <c r="H158" i="66"/>
  <c r="H156" i="66"/>
  <c r="H155" i="66"/>
  <c r="H154" i="66"/>
  <c r="H153" i="66"/>
  <c r="H152" i="66"/>
  <c r="H151" i="66"/>
  <c r="H150" i="66"/>
  <c r="H149" i="66"/>
  <c r="H147" i="66"/>
  <c r="H146" i="66"/>
  <c r="H145" i="66"/>
  <c r="H144" i="66"/>
  <c r="H143" i="66"/>
  <c r="H142" i="66"/>
  <c r="H141" i="66"/>
  <c r="H140" i="66"/>
  <c r="H138" i="66"/>
  <c r="H137" i="66"/>
  <c r="H136" i="66"/>
  <c r="H135" i="66"/>
  <c r="H134" i="66"/>
  <c r="H133" i="66"/>
  <c r="H132" i="66"/>
  <c r="H131" i="66"/>
  <c r="H130" i="66"/>
  <c r="H129" i="66"/>
  <c r="H127" i="66"/>
  <c r="H126" i="66"/>
  <c r="H125" i="66"/>
  <c r="H124" i="66"/>
  <c r="H123" i="66"/>
  <c r="H122" i="66"/>
  <c r="H121" i="66"/>
  <c r="H120" i="66"/>
  <c r="H119" i="66"/>
  <c r="H118" i="66"/>
  <c r="H117" i="66"/>
  <c r="H116" i="66"/>
  <c r="H115" i="66"/>
  <c r="H114" i="66"/>
  <c r="H113" i="66"/>
  <c r="H112" i="66"/>
  <c r="H111" i="66"/>
  <c r="H110" i="66"/>
  <c r="H109" i="66"/>
  <c r="H108" i="66"/>
  <c r="H107" i="66"/>
  <c r="H106" i="66"/>
  <c r="H105" i="66"/>
  <c r="H104" i="66"/>
  <c r="H103" i="66"/>
  <c r="H102" i="66"/>
  <c r="H101" i="66"/>
  <c r="H100" i="66"/>
  <c r="H99" i="66"/>
  <c r="H98" i="66"/>
  <c r="H97" i="66"/>
  <c r="H96" i="66"/>
  <c r="H95" i="66"/>
  <c r="H94" i="66"/>
  <c r="H93" i="66"/>
  <c r="H92" i="66"/>
  <c r="H91" i="66"/>
  <c r="H90" i="66"/>
  <c r="H89" i="66"/>
  <c r="H88" i="66"/>
  <c r="H87" i="66"/>
  <c r="H86" i="66"/>
  <c r="H85" i="66"/>
  <c r="H84" i="66"/>
  <c r="H83" i="66"/>
  <c r="H82" i="66"/>
  <c r="H81" i="66"/>
  <c r="H80" i="66"/>
  <c r="H79" i="66"/>
  <c r="H78" i="66"/>
  <c r="H75" i="66"/>
  <c r="H74" i="66"/>
  <c r="H73" i="66"/>
  <c r="H72" i="66"/>
  <c r="H71" i="66"/>
  <c r="H70" i="66"/>
  <c r="H69" i="66"/>
  <c r="H68" i="66"/>
  <c r="H67" i="66"/>
  <c r="H66" i="66"/>
  <c r="H65" i="66"/>
  <c r="H64" i="66"/>
  <c r="H62" i="66"/>
  <c r="H61" i="66"/>
  <c r="H60" i="66"/>
  <c r="H59" i="66"/>
  <c r="H58" i="66"/>
  <c r="H57" i="66"/>
  <c r="H56" i="66"/>
  <c r="H55" i="66"/>
  <c r="H53" i="66"/>
  <c r="H52" i="66"/>
  <c r="H51" i="66"/>
  <c r="H50" i="66"/>
  <c r="H48" i="66"/>
  <c r="H47" i="66"/>
  <c r="H46" i="66"/>
  <c r="H45" i="66"/>
  <c r="H44" i="66"/>
  <c r="H43" i="66"/>
  <c r="H42" i="66"/>
  <c r="H41" i="66"/>
  <c r="H40" i="66"/>
  <c r="H39" i="66"/>
  <c r="H38" i="66"/>
  <c r="H37" i="66"/>
  <c r="H36" i="66"/>
  <c r="H35" i="66"/>
  <c r="H27" i="66"/>
  <c r="H26" i="66"/>
  <c r="H25" i="66"/>
  <c r="H24" i="66"/>
  <c r="H23" i="66"/>
  <c r="H22" i="66"/>
  <c r="H21" i="66"/>
  <c r="H20" i="66"/>
  <c r="H19" i="66"/>
  <c r="H18" i="66"/>
  <c r="H16" i="66"/>
  <c r="H15" i="66"/>
  <c r="H14" i="66"/>
  <c r="H13" i="66"/>
  <c r="H12" i="66"/>
  <c r="H11" i="66"/>
  <c r="H10" i="66"/>
  <c r="H9" i="66"/>
  <c r="H8" i="66"/>
  <c r="H7" i="66"/>
  <c r="H6" i="66"/>
  <c r="H5" i="66"/>
  <c r="H4" i="66"/>
  <c r="H3" i="66"/>
  <c r="H200" i="70"/>
  <c r="H199" i="70"/>
  <c r="H196" i="70"/>
  <c r="H195" i="70"/>
  <c r="H193" i="70"/>
  <c r="H192" i="70"/>
  <c r="H191" i="70"/>
  <c r="H190" i="70"/>
  <c r="H189" i="70"/>
  <c r="H188" i="70"/>
  <c r="H187" i="70"/>
  <c r="H186" i="70"/>
  <c r="H185" i="70"/>
  <c r="H184" i="70"/>
  <c r="H183" i="70"/>
  <c r="H182" i="70"/>
  <c r="H181" i="70"/>
  <c r="H180" i="70"/>
  <c r="H179" i="70"/>
  <c r="H178" i="70"/>
  <c r="H177" i="70"/>
  <c r="H176" i="70"/>
  <c r="H175" i="70"/>
  <c r="H174" i="70"/>
  <c r="H173" i="70"/>
  <c r="H172" i="70"/>
  <c r="H171" i="70"/>
  <c r="H170" i="70"/>
  <c r="H169" i="70"/>
  <c r="H168" i="70"/>
  <c r="H167" i="70"/>
  <c r="H166" i="70"/>
  <c r="H165" i="70"/>
  <c r="H164" i="70"/>
  <c r="H163" i="70"/>
  <c r="H162" i="70"/>
  <c r="H161" i="70"/>
  <c r="H160" i="70"/>
  <c r="H159" i="70"/>
  <c r="H158" i="70"/>
  <c r="H156" i="70"/>
  <c r="H155" i="70"/>
  <c r="H154" i="70"/>
  <c r="H153" i="70"/>
  <c r="H152" i="70"/>
  <c r="H151" i="70"/>
  <c r="H150" i="70"/>
  <c r="H149" i="70"/>
  <c r="H147" i="70"/>
  <c r="H146" i="70"/>
  <c r="H145" i="70"/>
  <c r="H144" i="70"/>
  <c r="H143" i="70"/>
  <c r="H142" i="70"/>
  <c r="H141" i="70"/>
  <c r="H140" i="70"/>
  <c r="H138" i="70"/>
  <c r="H137" i="70"/>
  <c r="H136" i="70"/>
  <c r="H135" i="70"/>
  <c r="H134" i="70"/>
  <c r="H133" i="70"/>
  <c r="H132" i="70"/>
  <c r="H131" i="70"/>
  <c r="H130" i="70"/>
  <c r="H129" i="70"/>
  <c r="H127" i="70"/>
  <c r="H126" i="70"/>
  <c r="H125" i="70"/>
  <c r="H124" i="70"/>
  <c r="H123" i="70"/>
  <c r="H122" i="70"/>
  <c r="H121" i="70"/>
  <c r="H120" i="70"/>
  <c r="H119" i="70"/>
  <c r="H118" i="70"/>
  <c r="H117" i="70"/>
  <c r="H116" i="70"/>
  <c r="H115" i="70"/>
  <c r="H114" i="70"/>
  <c r="H113" i="70"/>
  <c r="H112" i="70"/>
  <c r="H111" i="70"/>
  <c r="H110" i="70"/>
  <c r="H109" i="70"/>
  <c r="H108" i="70"/>
  <c r="H107" i="70"/>
  <c r="H106" i="70"/>
  <c r="H105" i="70"/>
  <c r="H104" i="70"/>
  <c r="H103" i="70"/>
  <c r="H102" i="70"/>
  <c r="H101" i="70"/>
  <c r="H100" i="70"/>
  <c r="H99" i="70"/>
  <c r="H98" i="70"/>
  <c r="H97" i="70"/>
  <c r="H96" i="70"/>
  <c r="H95" i="70"/>
  <c r="H94" i="70"/>
  <c r="H93" i="70"/>
  <c r="H92" i="70"/>
  <c r="H91" i="70"/>
  <c r="H90" i="70"/>
  <c r="H89" i="70"/>
  <c r="H88" i="70"/>
  <c r="H87" i="70"/>
  <c r="H86" i="70"/>
  <c r="H85" i="70"/>
  <c r="H84" i="70"/>
  <c r="H83" i="70"/>
  <c r="H82" i="70"/>
  <c r="H81" i="70"/>
  <c r="H80" i="70"/>
  <c r="H79" i="70"/>
  <c r="H78" i="70"/>
  <c r="H75" i="70"/>
  <c r="H74" i="70"/>
  <c r="H73" i="70"/>
  <c r="H72" i="70"/>
  <c r="H71" i="70"/>
  <c r="H70" i="70"/>
  <c r="H69" i="70"/>
  <c r="H68" i="70"/>
  <c r="H67" i="70"/>
  <c r="H66" i="70"/>
  <c r="H65" i="70"/>
  <c r="H64" i="70"/>
  <c r="H62" i="70"/>
  <c r="H61" i="70"/>
  <c r="H60" i="70"/>
  <c r="H59" i="70"/>
  <c r="H58" i="70"/>
  <c r="H57" i="70"/>
  <c r="H56" i="70"/>
  <c r="H55" i="70"/>
  <c r="H53" i="70"/>
  <c r="H52" i="70"/>
  <c r="H51" i="70"/>
  <c r="H50" i="70"/>
  <c r="H48" i="70"/>
  <c r="H47" i="70"/>
  <c r="H46" i="70"/>
  <c r="H45" i="70"/>
  <c r="H44" i="70"/>
  <c r="H43" i="70"/>
  <c r="H42" i="70"/>
  <c r="H41" i="70"/>
  <c r="H40" i="70"/>
  <c r="H39" i="70"/>
  <c r="H38" i="70"/>
  <c r="H37" i="70"/>
  <c r="H36" i="70"/>
  <c r="H35" i="70"/>
  <c r="H27" i="70"/>
  <c r="H26" i="70"/>
  <c r="H25" i="70"/>
  <c r="H24" i="70"/>
  <c r="H23" i="70"/>
  <c r="H22" i="70"/>
  <c r="H21" i="70"/>
  <c r="H20" i="70"/>
  <c r="H19" i="70"/>
  <c r="H18" i="70"/>
  <c r="H16" i="70"/>
  <c r="H15" i="70"/>
  <c r="H14" i="70"/>
  <c r="H13" i="70"/>
  <c r="H12" i="70"/>
  <c r="H11" i="70"/>
  <c r="H10" i="70"/>
  <c r="H9" i="70"/>
  <c r="H8" i="70"/>
  <c r="H7" i="70"/>
  <c r="H6" i="70"/>
  <c r="H5" i="70"/>
  <c r="H4" i="70"/>
  <c r="H3" i="70"/>
  <c r="P200" i="73"/>
  <c r="O200" i="73" a="1"/>
  <c r="O200" i="73" s="1"/>
  <c r="N200" i="73" a="1"/>
  <c r="N200" i="73" s="1"/>
  <c r="M200" i="73" a="1"/>
  <c r="M200" i="73" s="1"/>
  <c r="L200" i="73" a="1"/>
  <c r="L200" i="73" s="1"/>
  <c r="K200" i="73"/>
  <c r="J200" i="73" a="1"/>
  <c r="J200" i="73" s="1"/>
  <c r="I200" i="73"/>
  <c r="P199" i="73"/>
  <c r="O199" i="73" a="1"/>
  <c r="O199" i="73" s="1"/>
  <c r="N199" i="73" a="1"/>
  <c r="N199" i="73" s="1"/>
  <c r="M199" i="73" a="1"/>
  <c r="M199" i="73" s="1"/>
  <c r="L199" i="73" a="1"/>
  <c r="L199" i="73" s="1"/>
  <c r="L201" i="73" s="1"/>
  <c r="K199" i="73"/>
  <c r="J199" i="73" a="1"/>
  <c r="J199" i="73" s="1"/>
  <c r="I199" i="73"/>
  <c r="P196" i="73"/>
  <c r="O196" i="73" a="1"/>
  <c r="O196" i="73" s="1"/>
  <c r="N196" i="73"/>
  <c r="N196" i="73" a="1"/>
  <c r="M196" i="73" a="1"/>
  <c r="M196" i="73" s="1"/>
  <c r="L196" i="73" a="1"/>
  <c r="L196" i="73" s="1"/>
  <c r="K196" i="73"/>
  <c r="J196" i="73" a="1"/>
  <c r="J196" i="73" s="1"/>
  <c r="J197" i="73" s="1"/>
  <c r="I196" i="73"/>
  <c r="P195" i="73"/>
  <c r="O195" i="73" a="1"/>
  <c r="O195" i="73" s="1"/>
  <c r="N195" i="73" a="1"/>
  <c r="N195" i="73" s="1"/>
  <c r="M195" i="73" a="1"/>
  <c r="M195" i="73" s="1"/>
  <c r="L195" i="73" a="1"/>
  <c r="L195" i="73" s="1"/>
  <c r="K195" i="73"/>
  <c r="J195" i="73" a="1"/>
  <c r="J195" i="73" s="1"/>
  <c r="I195" i="73"/>
  <c r="P193" i="73"/>
  <c r="O193" i="73" a="1"/>
  <c r="O193" i="73" s="1"/>
  <c r="N193" i="73" a="1"/>
  <c r="N193" i="73" s="1"/>
  <c r="M193" i="73" a="1"/>
  <c r="M193" i="73" s="1"/>
  <c r="L193" i="73" a="1"/>
  <c r="L193" i="73" s="1"/>
  <c r="K193" i="73"/>
  <c r="J193" i="73" a="1"/>
  <c r="J193" i="73" s="1"/>
  <c r="I193" i="73"/>
  <c r="P192" i="73"/>
  <c r="O192" i="73" a="1"/>
  <c r="O192" i="73" s="1"/>
  <c r="N192" i="73"/>
  <c r="N192" i="73" a="1"/>
  <c r="M192" i="73" a="1"/>
  <c r="M192" i="73" s="1"/>
  <c r="L192" i="73" a="1"/>
  <c r="L192" i="73" s="1"/>
  <c r="K192" i="73"/>
  <c r="J192" i="73" a="1"/>
  <c r="J192" i="73" s="1"/>
  <c r="I192" i="73"/>
  <c r="P191" i="73"/>
  <c r="O191" i="73" a="1"/>
  <c r="O191" i="73" s="1"/>
  <c r="N191" i="73" a="1"/>
  <c r="N191" i="73" s="1"/>
  <c r="M191" i="73" a="1"/>
  <c r="M191" i="73" s="1"/>
  <c r="L191" i="73" a="1"/>
  <c r="L191" i="73" s="1"/>
  <c r="K191" i="73"/>
  <c r="J191" i="73" a="1"/>
  <c r="J191" i="73" s="1"/>
  <c r="I191" i="73"/>
  <c r="P190" i="73"/>
  <c r="O190" i="73" a="1"/>
  <c r="O190" i="73" s="1"/>
  <c r="N190" i="73" a="1"/>
  <c r="N190" i="73" s="1"/>
  <c r="M190" i="73" a="1"/>
  <c r="M190" i="73" s="1"/>
  <c r="L190" i="73" a="1"/>
  <c r="L190" i="73" s="1"/>
  <c r="K190" i="73"/>
  <c r="J190" i="73" a="1"/>
  <c r="J190" i="73" s="1"/>
  <c r="I190" i="73"/>
  <c r="P189" i="73"/>
  <c r="O189" i="73" a="1"/>
  <c r="O189" i="73" s="1"/>
  <c r="N189" i="73" a="1"/>
  <c r="N189" i="73" s="1"/>
  <c r="M189" i="73" a="1"/>
  <c r="M189" i="73" s="1"/>
  <c r="L189" i="73" a="1"/>
  <c r="L189" i="73" s="1"/>
  <c r="K189" i="73"/>
  <c r="J189" i="73" a="1"/>
  <c r="J189" i="73" s="1"/>
  <c r="Q189" i="73" s="1"/>
  <c r="I189" i="73"/>
  <c r="P188" i="73"/>
  <c r="O188" i="73" a="1"/>
  <c r="O188" i="73" s="1"/>
  <c r="N188" i="73" a="1"/>
  <c r="N188" i="73" s="1"/>
  <c r="M188" i="73" a="1"/>
  <c r="M188" i="73" s="1"/>
  <c r="L188" i="73"/>
  <c r="L188" i="73" a="1"/>
  <c r="K188" i="73"/>
  <c r="J188" i="73" a="1"/>
  <c r="J188" i="73" s="1"/>
  <c r="I188" i="73"/>
  <c r="P187" i="73"/>
  <c r="O187" i="73" a="1"/>
  <c r="O187" i="73" s="1"/>
  <c r="N187" i="73" a="1"/>
  <c r="N187" i="73" s="1"/>
  <c r="M187" i="73" a="1"/>
  <c r="M187" i="73" s="1"/>
  <c r="L187" i="73"/>
  <c r="L187" i="73" a="1"/>
  <c r="K187" i="73"/>
  <c r="J187" i="73" a="1"/>
  <c r="J187" i="73" s="1"/>
  <c r="I187" i="73"/>
  <c r="P186" i="73"/>
  <c r="O186" i="73" a="1"/>
  <c r="O186" i="73" s="1"/>
  <c r="N186" i="73" a="1"/>
  <c r="N186" i="73" s="1"/>
  <c r="M186" i="73" a="1"/>
  <c r="M186" i="73" s="1"/>
  <c r="L186" i="73" a="1"/>
  <c r="L186" i="73" s="1"/>
  <c r="K186" i="73"/>
  <c r="J186" i="73" a="1"/>
  <c r="J186" i="73" s="1"/>
  <c r="I186" i="73"/>
  <c r="P185" i="73"/>
  <c r="O185" i="73" a="1"/>
  <c r="O185" i="73" s="1"/>
  <c r="N185" i="73" a="1"/>
  <c r="N185" i="73" s="1"/>
  <c r="M185" i="73" a="1"/>
  <c r="M185" i="73" s="1"/>
  <c r="L185" i="73" a="1"/>
  <c r="L185" i="73" s="1"/>
  <c r="K185" i="73"/>
  <c r="J185" i="73" a="1"/>
  <c r="J185" i="73" s="1"/>
  <c r="Q185" i="73" s="1"/>
  <c r="I185" i="73"/>
  <c r="P184" i="73"/>
  <c r="O184" i="73"/>
  <c r="O184" i="73" a="1"/>
  <c r="N184" i="73"/>
  <c r="N184" i="73" a="1"/>
  <c r="M184" i="73" a="1"/>
  <c r="M184" i="73" s="1"/>
  <c r="L184" i="73" a="1"/>
  <c r="L184" i="73" s="1"/>
  <c r="K184" i="73"/>
  <c r="J184" i="73" a="1"/>
  <c r="J184" i="73" s="1"/>
  <c r="Q184" i="73" s="1"/>
  <c r="I184" i="73"/>
  <c r="P183" i="73"/>
  <c r="O183" i="73" a="1"/>
  <c r="O183" i="73" s="1"/>
  <c r="N183" i="73" a="1"/>
  <c r="N183" i="73" s="1"/>
  <c r="M183" i="73" a="1"/>
  <c r="M183" i="73" s="1"/>
  <c r="L183" i="73" a="1"/>
  <c r="L183" i="73" s="1"/>
  <c r="K183" i="73"/>
  <c r="J183" i="73" a="1"/>
  <c r="J183" i="73" s="1"/>
  <c r="I183" i="73"/>
  <c r="P182" i="73"/>
  <c r="Q182" i="73" s="1"/>
  <c r="O182" i="73" a="1"/>
  <c r="O182" i="73" s="1"/>
  <c r="N182" i="73" a="1"/>
  <c r="N182" i="73" s="1"/>
  <c r="M182" i="73" a="1"/>
  <c r="M182" i="73" s="1"/>
  <c r="L182" i="73" a="1"/>
  <c r="L182" i="73" s="1"/>
  <c r="K182" i="73"/>
  <c r="J182" i="73"/>
  <c r="J182" i="73" a="1"/>
  <c r="I182" i="73"/>
  <c r="P181" i="73"/>
  <c r="O181" i="73" a="1"/>
  <c r="O181" i="73" s="1"/>
  <c r="N181" i="73" a="1"/>
  <c r="N181" i="73" s="1"/>
  <c r="M181" i="73" a="1"/>
  <c r="M181" i="73" s="1"/>
  <c r="L181" i="73" a="1"/>
  <c r="L181" i="73" s="1"/>
  <c r="K181" i="73"/>
  <c r="J181" i="73" a="1"/>
  <c r="J181" i="73" s="1"/>
  <c r="I181" i="73"/>
  <c r="P180" i="73"/>
  <c r="O180" i="73" a="1"/>
  <c r="O180" i="73" s="1"/>
  <c r="N180" i="73" a="1"/>
  <c r="N180" i="73" s="1"/>
  <c r="M180" i="73" a="1"/>
  <c r="M180" i="73" s="1"/>
  <c r="L180" i="73" a="1"/>
  <c r="L180" i="73" s="1"/>
  <c r="K180" i="73"/>
  <c r="J180" i="73" a="1"/>
  <c r="J180" i="73" s="1"/>
  <c r="Q180" i="73" s="1"/>
  <c r="I180" i="73"/>
  <c r="P179" i="73"/>
  <c r="O179" i="73" a="1"/>
  <c r="O179" i="73" s="1"/>
  <c r="N179" i="73" a="1"/>
  <c r="N179" i="73" s="1"/>
  <c r="M179" i="73" a="1"/>
  <c r="M179" i="73" s="1"/>
  <c r="L179" i="73" a="1"/>
  <c r="L179" i="73" s="1"/>
  <c r="K179" i="73"/>
  <c r="J179" i="73" a="1"/>
  <c r="J179" i="73" s="1"/>
  <c r="I179" i="73"/>
  <c r="P178" i="73"/>
  <c r="O178" i="73" a="1"/>
  <c r="O178" i="73" s="1"/>
  <c r="N178" i="73" a="1"/>
  <c r="N178" i="73" s="1"/>
  <c r="M178" i="73" a="1"/>
  <c r="M178" i="73" s="1"/>
  <c r="L178" i="73" a="1"/>
  <c r="L178" i="73" s="1"/>
  <c r="K178" i="73"/>
  <c r="J178" i="73" a="1"/>
  <c r="J178" i="73" s="1"/>
  <c r="Q178" i="73" s="1"/>
  <c r="I178" i="73"/>
  <c r="P177" i="73"/>
  <c r="O177" i="73" a="1"/>
  <c r="O177" i="73" s="1"/>
  <c r="N177" i="73" a="1"/>
  <c r="N177" i="73" s="1"/>
  <c r="M177" i="73" a="1"/>
  <c r="M177" i="73" s="1"/>
  <c r="L177" i="73" a="1"/>
  <c r="L177" i="73" s="1"/>
  <c r="K177" i="73"/>
  <c r="J177" i="73" a="1"/>
  <c r="J177" i="73" s="1"/>
  <c r="I177" i="73"/>
  <c r="P176" i="73"/>
  <c r="O176" i="73" a="1"/>
  <c r="O176" i="73" s="1"/>
  <c r="N176" i="73" a="1"/>
  <c r="N176" i="73" s="1"/>
  <c r="M176" i="73" a="1"/>
  <c r="M176" i="73" s="1"/>
  <c r="L176" i="73" a="1"/>
  <c r="L176" i="73" s="1"/>
  <c r="K176" i="73"/>
  <c r="J176" i="73" a="1"/>
  <c r="J176" i="73" s="1"/>
  <c r="I176" i="73"/>
  <c r="P175" i="73"/>
  <c r="O175" i="73" a="1"/>
  <c r="O175" i="73" s="1"/>
  <c r="N175" i="73" a="1"/>
  <c r="N175" i="73" s="1"/>
  <c r="M175" i="73" a="1"/>
  <c r="M175" i="73" s="1"/>
  <c r="L175" i="73" a="1"/>
  <c r="L175" i="73" s="1"/>
  <c r="K175" i="73"/>
  <c r="J175" i="73" a="1"/>
  <c r="J175" i="73" s="1"/>
  <c r="I175" i="73"/>
  <c r="P174" i="73"/>
  <c r="O174" i="73" a="1"/>
  <c r="O174" i="73" s="1"/>
  <c r="N174" i="73" a="1"/>
  <c r="N174" i="73" s="1"/>
  <c r="M174" i="73" a="1"/>
  <c r="M174" i="73" s="1"/>
  <c r="L174" i="73" a="1"/>
  <c r="L174" i="73" s="1"/>
  <c r="K174" i="73"/>
  <c r="J174" i="73" a="1"/>
  <c r="J174" i="73" s="1"/>
  <c r="I174" i="73"/>
  <c r="P173" i="73"/>
  <c r="O173" i="73"/>
  <c r="O173" i="73" a="1"/>
  <c r="N173" i="73" a="1"/>
  <c r="N173" i="73" s="1"/>
  <c r="M173" i="73" a="1"/>
  <c r="M173" i="73" s="1"/>
  <c r="L173" i="73" a="1"/>
  <c r="L173" i="73" s="1"/>
  <c r="K173" i="73"/>
  <c r="J173" i="73" a="1"/>
  <c r="J173" i="73" s="1"/>
  <c r="I173" i="73"/>
  <c r="P172" i="73"/>
  <c r="O172" i="73" a="1"/>
  <c r="O172" i="73" s="1"/>
  <c r="N172" i="73" a="1"/>
  <c r="N172" i="73" s="1"/>
  <c r="M172" i="73" a="1"/>
  <c r="M172" i="73" s="1"/>
  <c r="L172" i="73" a="1"/>
  <c r="L172" i="73" s="1"/>
  <c r="K172" i="73"/>
  <c r="J172" i="73" a="1"/>
  <c r="J172" i="73" s="1"/>
  <c r="I172" i="73"/>
  <c r="P171" i="73"/>
  <c r="O171" i="73" a="1"/>
  <c r="O171" i="73" s="1"/>
  <c r="N171" i="73" a="1"/>
  <c r="N171" i="73" s="1"/>
  <c r="M171" i="73" a="1"/>
  <c r="M171" i="73" s="1"/>
  <c r="L171" i="73" a="1"/>
  <c r="L171" i="73" s="1"/>
  <c r="K171" i="73"/>
  <c r="J171" i="73" a="1"/>
  <c r="J171" i="73" s="1"/>
  <c r="I171" i="73"/>
  <c r="P170" i="73"/>
  <c r="O170" i="73" a="1"/>
  <c r="O170" i="73" s="1"/>
  <c r="N170" i="73" a="1"/>
  <c r="N170" i="73" s="1"/>
  <c r="M170" i="73" a="1"/>
  <c r="M170" i="73" s="1"/>
  <c r="L170" i="73" a="1"/>
  <c r="L170" i="73" s="1"/>
  <c r="K170" i="73"/>
  <c r="J170" i="73"/>
  <c r="Q170" i="73" s="1"/>
  <c r="J170" i="73" a="1"/>
  <c r="I170" i="73"/>
  <c r="P169" i="73"/>
  <c r="Q169" i="73" s="1"/>
  <c r="O169" i="73"/>
  <c r="O169" i="73" a="1"/>
  <c r="N169" i="73" a="1"/>
  <c r="N169" i="73" s="1"/>
  <c r="M169" i="73" a="1"/>
  <c r="M169" i="73" s="1"/>
  <c r="L169" i="73" a="1"/>
  <c r="L169" i="73" s="1"/>
  <c r="K169" i="73"/>
  <c r="J169" i="73" a="1"/>
  <c r="J169" i="73" s="1"/>
  <c r="I169" i="73"/>
  <c r="P168" i="73"/>
  <c r="Q168" i="73" s="1"/>
  <c r="O168" i="73" a="1"/>
  <c r="O168" i="73" s="1"/>
  <c r="N168" i="73" a="1"/>
  <c r="N168" i="73" s="1"/>
  <c r="M168" i="73" a="1"/>
  <c r="M168" i="73" s="1"/>
  <c r="L168" i="73" a="1"/>
  <c r="L168" i="73" s="1"/>
  <c r="K168" i="73"/>
  <c r="J168" i="73" a="1"/>
  <c r="J168" i="73" s="1"/>
  <c r="I168" i="73"/>
  <c r="P167" i="73"/>
  <c r="O167" i="73" a="1"/>
  <c r="O167" i="73" s="1"/>
  <c r="N167" i="73" a="1"/>
  <c r="N167" i="73" s="1"/>
  <c r="M167" i="73" a="1"/>
  <c r="M167" i="73" s="1"/>
  <c r="L167" i="73" a="1"/>
  <c r="L167" i="73" s="1"/>
  <c r="K167" i="73"/>
  <c r="J167" i="73" a="1"/>
  <c r="J167" i="73" s="1"/>
  <c r="I167" i="73"/>
  <c r="P166" i="73"/>
  <c r="O166" i="73" a="1"/>
  <c r="O166" i="73" s="1"/>
  <c r="N166" i="73" a="1"/>
  <c r="N166" i="73" s="1"/>
  <c r="M166" i="73" a="1"/>
  <c r="M166" i="73" s="1"/>
  <c r="L166" i="73" a="1"/>
  <c r="L166" i="73" s="1"/>
  <c r="K166" i="73"/>
  <c r="J166" i="73" a="1"/>
  <c r="J166" i="73" s="1"/>
  <c r="Q166" i="73" s="1"/>
  <c r="I166" i="73"/>
  <c r="P165" i="73"/>
  <c r="O165" i="73" a="1"/>
  <c r="O165" i="73" s="1"/>
  <c r="N165" i="73"/>
  <c r="N165" i="73" a="1"/>
  <c r="M165" i="73" a="1"/>
  <c r="M165" i="73" s="1"/>
  <c r="L165" i="73" a="1"/>
  <c r="L165" i="73" s="1"/>
  <c r="K165" i="73"/>
  <c r="J165" i="73" a="1"/>
  <c r="J165" i="73" s="1"/>
  <c r="I165" i="73"/>
  <c r="P164" i="73"/>
  <c r="O164" i="73"/>
  <c r="O164" i="73" a="1"/>
  <c r="N164" i="73" a="1"/>
  <c r="N164" i="73" s="1"/>
  <c r="M164" i="73" a="1"/>
  <c r="M164" i="73" s="1"/>
  <c r="L164" i="73" a="1"/>
  <c r="L164" i="73" s="1"/>
  <c r="K164" i="73"/>
  <c r="J164" i="73" a="1"/>
  <c r="J164" i="73" s="1"/>
  <c r="Q164" i="73" s="1"/>
  <c r="I164" i="73"/>
  <c r="P163" i="73"/>
  <c r="O163" i="73" a="1"/>
  <c r="O163" i="73" s="1"/>
  <c r="N163" i="73" a="1"/>
  <c r="N163" i="73" s="1"/>
  <c r="M163" i="73" a="1"/>
  <c r="M163" i="73" s="1"/>
  <c r="L163" i="73" a="1"/>
  <c r="L163" i="73" s="1"/>
  <c r="K163" i="73"/>
  <c r="J163" i="73"/>
  <c r="J163" i="73" a="1"/>
  <c r="I163" i="73"/>
  <c r="P162" i="73"/>
  <c r="O162" i="73" a="1"/>
  <c r="O162" i="73" s="1"/>
  <c r="N162" i="73" a="1"/>
  <c r="N162" i="73" s="1"/>
  <c r="M162" i="73" a="1"/>
  <c r="M162" i="73" s="1"/>
  <c r="L162" i="73" a="1"/>
  <c r="L162" i="73" s="1"/>
  <c r="K162" i="73"/>
  <c r="J162" i="73" a="1"/>
  <c r="J162" i="73" s="1"/>
  <c r="I162" i="73"/>
  <c r="P161" i="73"/>
  <c r="O161" i="73" a="1"/>
  <c r="O161" i="73" s="1"/>
  <c r="N161" i="73" a="1"/>
  <c r="N161" i="73" s="1"/>
  <c r="M161" i="73" a="1"/>
  <c r="M161" i="73" s="1"/>
  <c r="L161" i="73" a="1"/>
  <c r="L161" i="73" s="1"/>
  <c r="K161" i="73"/>
  <c r="J161" i="73" a="1"/>
  <c r="J161" i="73" s="1"/>
  <c r="I161" i="73"/>
  <c r="P160" i="73"/>
  <c r="O160" i="73" a="1"/>
  <c r="O160" i="73" s="1"/>
  <c r="N160" i="73" a="1"/>
  <c r="N160" i="73" s="1"/>
  <c r="M160" i="73" a="1"/>
  <c r="M160" i="73" s="1"/>
  <c r="L160" i="73" a="1"/>
  <c r="L160" i="73" s="1"/>
  <c r="K160" i="73"/>
  <c r="J160" i="73" a="1"/>
  <c r="J160" i="73" s="1"/>
  <c r="I160" i="73"/>
  <c r="P159" i="73"/>
  <c r="O159" i="73" a="1"/>
  <c r="O159" i="73" s="1"/>
  <c r="N159" i="73" a="1"/>
  <c r="N159" i="73" s="1"/>
  <c r="M159" i="73" a="1"/>
  <c r="M159" i="73" s="1"/>
  <c r="L159" i="73" a="1"/>
  <c r="L159" i="73" s="1"/>
  <c r="K159" i="73"/>
  <c r="J159" i="73" a="1"/>
  <c r="J159" i="73" s="1"/>
  <c r="I159" i="73"/>
  <c r="P158" i="73"/>
  <c r="O158" i="73" a="1"/>
  <c r="O158" i="73" s="1"/>
  <c r="N158" i="73" a="1"/>
  <c r="N158" i="73" s="1"/>
  <c r="M158" i="73" a="1"/>
  <c r="M158" i="73" s="1"/>
  <c r="L158" i="73" a="1"/>
  <c r="L158" i="73" s="1"/>
  <c r="K158" i="73"/>
  <c r="J158" i="73" a="1"/>
  <c r="J158" i="73" s="1"/>
  <c r="I158" i="73"/>
  <c r="P156" i="73"/>
  <c r="O156" i="73" a="1"/>
  <c r="O156" i="73" s="1"/>
  <c r="N156" i="73" a="1"/>
  <c r="N156" i="73" s="1"/>
  <c r="M156" i="73" a="1"/>
  <c r="M156" i="73" s="1"/>
  <c r="L156" i="73" a="1"/>
  <c r="L156" i="73" s="1"/>
  <c r="K156" i="73"/>
  <c r="J156" i="73" a="1"/>
  <c r="J156" i="73" s="1"/>
  <c r="I156" i="73"/>
  <c r="P155" i="73"/>
  <c r="O155" i="73" a="1"/>
  <c r="O155" i="73" s="1"/>
  <c r="N155" i="73" a="1"/>
  <c r="N155" i="73" s="1"/>
  <c r="M155" i="73" a="1"/>
  <c r="M155" i="73" s="1"/>
  <c r="L155" i="73" a="1"/>
  <c r="L155" i="73" s="1"/>
  <c r="K155" i="73"/>
  <c r="J155" i="73" a="1"/>
  <c r="J155" i="73" s="1"/>
  <c r="I155" i="73"/>
  <c r="P154" i="73"/>
  <c r="O154" i="73" a="1"/>
  <c r="O154" i="73" s="1"/>
  <c r="N154" i="73" a="1"/>
  <c r="N154" i="73" s="1"/>
  <c r="M154" i="73" a="1"/>
  <c r="M154" i="73" s="1"/>
  <c r="L154" i="73" a="1"/>
  <c r="L154" i="73" s="1"/>
  <c r="K154" i="73"/>
  <c r="J154" i="73" a="1"/>
  <c r="J154" i="73" s="1"/>
  <c r="Q154" i="73" s="1"/>
  <c r="I154" i="73"/>
  <c r="P153" i="73"/>
  <c r="O153" i="73" a="1"/>
  <c r="O153" i="73" s="1"/>
  <c r="N153" i="73" a="1"/>
  <c r="N153" i="73" s="1"/>
  <c r="M153" i="73" a="1"/>
  <c r="M153" i="73" s="1"/>
  <c r="L153" i="73" a="1"/>
  <c r="L153" i="73" s="1"/>
  <c r="K153" i="73"/>
  <c r="J153" i="73" a="1"/>
  <c r="J153" i="73" s="1"/>
  <c r="I153" i="73"/>
  <c r="P152" i="73"/>
  <c r="Q152" i="73" s="1"/>
  <c r="O152" i="73"/>
  <c r="O152" i="73" a="1"/>
  <c r="N152" i="73" a="1"/>
  <c r="N152" i="73" s="1"/>
  <c r="M152" i="73" a="1"/>
  <c r="M152" i="73" s="1"/>
  <c r="L152" i="73" a="1"/>
  <c r="L152" i="73" s="1"/>
  <c r="K152" i="73"/>
  <c r="J152" i="73" a="1"/>
  <c r="J152" i="73" s="1"/>
  <c r="I152" i="73"/>
  <c r="P151" i="73"/>
  <c r="O151" i="73" a="1"/>
  <c r="O151" i="73" s="1"/>
  <c r="N151" i="73" a="1"/>
  <c r="N151" i="73" s="1"/>
  <c r="M151" i="73" a="1"/>
  <c r="M151" i="73" s="1"/>
  <c r="L151" i="73" a="1"/>
  <c r="L151" i="73" s="1"/>
  <c r="K151" i="73"/>
  <c r="K157" i="73" s="1"/>
  <c r="J151" i="73" a="1"/>
  <c r="J151" i="73" s="1"/>
  <c r="I151" i="73"/>
  <c r="P150" i="73"/>
  <c r="O150" i="73" a="1"/>
  <c r="O150" i="73" s="1"/>
  <c r="N150" i="73" a="1"/>
  <c r="N150" i="73" s="1"/>
  <c r="M150" i="73" a="1"/>
  <c r="M150" i="73" s="1"/>
  <c r="L150" i="73"/>
  <c r="L150" i="73" a="1"/>
  <c r="K150" i="73"/>
  <c r="J150" i="73" a="1"/>
  <c r="J150" i="73" s="1"/>
  <c r="I150" i="73"/>
  <c r="P149" i="73"/>
  <c r="O149" i="73" a="1"/>
  <c r="O149" i="73" s="1"/>
  <c r="N149" i="73" a="1"/>
  <c r="N149" i="73" s="1"/>
  <c r="M149" i="73" a="1"/>
  <c r="M149" i="73" s="1"/>
  <c r="L149" i="73" a="1"/>
  <c r="L149" i="73" s="1"/>
  <c r="K149" i="73"/>
  <c r="J149" i="73" a="1"/>
  <c r="J149" i="73" s="1"/>
  <c r="I149" i="73"/>
  <c r="P147" i="73"/>
  <c r="O147" i="73" a="1"/>
  <c r="O147" i="73" s="1"/>
  <c r="N147" i="73" a="1"/>
  <c r="N147" i="73" s="1"/>
  <c r="M147" i="73" a="1"/>
  <c r="M147" i="73" s="1"/>
  <c r="L147" i="73" a="1"/>
  <c r="L147" i="73" s="1"/>
  <c r="K147" i="73"/>
  <c r="J147" i="73" a="1"/>
  <c r="J147" i="73" s="1"/>
  <c r="Q147" i="73" s="1"/>
  <c r="I147" i="73"/>
  <c r="P146" i="73"/>
  <c r="O146" i="73" a="1"/>
  <c r="O146" i="73" s="1"/>
  <c r="N146" i="73" a="1"/>
  <c r="N146" i="73" s="1"/>
  <c r="M146" i="73" a="1"/>
  <c r="M146" i="73" s="1"/>
  <c r="L146" i="73"/>
  <c r="L146" i="73" a="1"/>
  <c r="K146" i="73"/>
  <c r="J146" i="73" a="1"/>
  <c r="J146" i="73" s="1"/>
  <c r="Q146" i="73" s="1"/>
  <c r="I146" i="73"/>
  <c r="P145" i="73"/>
  <c r="O145" i="73" a="1"/>
  <c r="O145" i="73" s="1"/>
  <c r="N145" i="73"/>
  <c r="N145" i="73" a="1"/>
  <c r="M145" i="73" a="1"/>
  <c r="M145" i="73" s="1"/>
  <c r="L145" i="73" a="1"/>
  <c r="L145" i="73" s="1"/>
  <c r="K145" i="73"/>
  <c r="J145" i="73" a="1"/>
  <c r="J145" i="73" s="1"/>
  <c r="I145" i="73"/>
  <c r="P144" i="73"/>
  <c r="Q144" i="73" s="1"/>
  <c r="O144" i="73" a="1"/>
  <c r="O144" i="73" s="1"/>
  <c r="N144" i="73" a="1"/>
  <c r="N144" i="73" s="1"/>
  <c r="M144" i="73" a="1"/>
  <c r="M144" i="73" s="1"/>
  <c r="L144" i="73" a="1"/>
  <c r="L144" i="73" s="1"/>
  <c r="K144" i="73"/>
  <c r="J144" i="73"/>
  <c r="J144" i="73" a="1"/>
  <c r="I144" i="73"/>
  <c r="P143" i="73"/>
  <c r="O143" i="73" a="1"/>
  <c r="O143" i="73" s="1"/>
  <c r="N143" i="73" a="1"/>
  <c r="N143" i="73" s="1"/>
  <c r="M143" i="73" a="1"/>
  <c r="M143" i="73" s="1"/>
  <c r="L143" i="73" a="1"/>
  <c r="L143" i="73" s="1"/>
  <c r="K143" i="73"/>
  <c r="J143" i="73" a="1"/>
  <c r="J143" i="73" s="1"/>
  <c r="I143" i="73"/>
  <c r="P142" i="73"/>
  <c r="O142" i="73" a="1"/>
  <c r="O142" i="73" s="1"/>
  <c r="N142" i="73" a="1"/>
  <c r="N142" i="73" s="1"/>
  <c r="M142" i="73"/>
  <c r="M142" i="73" a="1"/>
  <c r="L142" i="73" a="1"/>
  <c r="L142" i="73" s="1"/>
  <c r="K142" i="73"/>
  <c r="J142" i="73" a="1"/>
  <c r="J142" i="73" s="1"/>
  <c r="I142" i="73"/>
  <c r="P141" i="73"/>
  <c r="O141" i="73" a="1"/>
  <c r="O141" i="73" s="1"/>
  <c r="N141" i="73" a="1"/>
  <c r="N141" i="73" s="1"/>
  <c r="M141" i="73" a="1"/>
  <c r="M141" i="73" s="1"/>
  <c r="L141" i="73" a="1"/>
  <c r="L141" i="73" s="1"/>
  <c r="K141" i="73"/>
  <c r="J141" i="73" a="1"/>
  <c r="J141" i="73" s="1"/>
  <c r="I141" i="73"/>
  <c r="P140" i="73"/>
  <c r="O140" i="73" a="1"/>
  <c r="O140" i="73" s="1"/>
  <c r="N140" i="73" a="1"/>
  <c r="N140" i="73" s="1"/>
  <c r="M140" i="73" a="1"/>
  <c r="M140" i="73" s="1"/>
  <c r="L140" i="73" a="1"/>
  <c r="L140" i="73" s="1"/>
  <c r="K140" i="73"/>
  <c r="J140" i="73" a="1"/>
  <c r="J140" i="73" s="1"/>
  <c r="I140" i="73"/>
  <c r="P138" i="73"/>
  <c r="O138" i="73" a="1"/>
  <c r="O138" i="73" s="1"/>
  <c r="N138" i="73" a="1"/>
  <c r="N138" i="73" s="1"/>
  <c r="M138" i="73" a="1"/>
  <c r="M138" i="73" s="1"/>
  <c r="L138" i="73" a="1"/>
  <c r="L138" i="73" s="1"/>
  <c r="K138" i="73"/>
  <c r="J138" i="73" a="1"/>
  <c r="J138" i="73" s="1"/>
  <c r="I138" i="73"/>
  <c r="P137" i="73"/>
  <c r="O137" i="73" a="1"/>
  <c r="O137" i="73" s="1"/>
  <c r="N137" i="73" a="1"/>
  <c r="N137" i="73" s="1"/>
  <c r="M137" i="73" a="1"/>
  <c r="M137" i="73" s="1"/>
  <c r="L137" i="73" a="1"/>
  <c r="L137" i="73" s="1"/>
  <c r="K137" i="73"/>
  <c r="J137" i="73" a="1"/>
  <c r="J137" i="73" s="1"/>
  <c r="I137" i="73"/>
  <c r="P136" i="73"/>
  <c r="O136" i="73" a="1"/>
  <c r="O136" i="73" s="1"/>
  <c r="N136" i="73" a="1"/>
  <c r="N136" i="73" s="1"/>
  <c r="M136" i="73" a="1"/>
  <c r="M136" i="73" s="1"/>
  <c r="L136" i="73" a="1"/>
  <c r="L136" i="73" s="1"/>
  <c r="K136" i="73"/>
  <c r="J136" i="73" a="1"/>
  <c r="J136" i="73" s="1"/>
  <c r="I136" i="73"/>
  <c r="P135" i="73"/>
  <c r="O135" i="73" a="1"/>
  <c r="O135" i="73" s="1"/>
  <c r="N135" i="73" a="1"/>
  <c r="N135" i="73" s="1"/>
  <c r="M135" i="73" a="1"/>
  <c r="M135" i="73" s="1"/>
  <c r="L135" i="73" a="1"/>
  <c r="L135" i="73" s="1"/>
  <c r="K135" i="73"/>
  <c r="J135" i="73" a="1"/>
  <c r="J135" i="73" s="1"/>
  <c r="I135" i="73"/>
  <c r="P134" i="73"/>
  <c r="O134" i="73" a="1"/>
  <c r="O134" i="73" s="1"/>
  <c r="N134" i="73" a="1"/>
  <c r="N134" i="73" s="1"/>
  <c r="M134" i="73" a="1"/>
  <c r="M134" i="73" s="1"/>
  <c r="L134" i="73" a="1"/>
  <c r="L134" i="73" s="1"/>
  <c r="K134" i="73"/>
  <c r="J134" i="73" a="1"/>
  <c r="J134" i="73" s="1"/>
  <c r="I134" i="73"/>
  <c r="P133" i="73"/>
  <c r="O133" i="73" a="1"/>
  <c r="O133" i="73" s="1"/>
  <c r="N133" i="73" a="1"/>
  <c r="N133" i="73" s="1"/>
  <c r="M133" i="73" a="1"/>
  <c r="M133" i="73" s="1"/>
  <c r="L133" i="73" a="1"/>
  <c r="L133" i="73" s="1"/>
  <c r="K133" i="73"/>
  <c r="J133" i="73" a="1"/>
  <c r="J133" i="73" s="1"/>
  <c r="Q133" i="73" s="1"/>
  <c r="I133" i="73"/>
  <c r="P132" i="73"/>
  <c r="Q132" i="73" s="1"/>
  <c r="O132" i="73" a="1"/>
  <c r="O132" i="73" s="1"/>
  <c r="N132" i="73" a="1"/>
  <c r="N132" i="73" s="1"/>
  <c r="M132" i="73" a="1"/>
  <c r="M132" i="73" s="1"/>
  <c r="L132" i="73" a="1"/>
  <c r="L132" i="73" s="1"/>
  <c r="K132" i="73"/>
  <c r="J132" i="73"/>
  <c r="J132" i="73" a="1"/>
  <c r="I132" i="73"/>
  <c r="P131" i="73"/>
  <c r="O131" i="73" a="1"/>
  <c r="O131" i="73" s="1"/>
  <c r="N131" i="73" a="1"/>
  <c r="N131" i="73" s="1"/>
  <c r="M131" i="73" a="1"/>
  <c r="M131" i="73" s="1"/>
  <c r="L131" i="73" a="1"/>
  <c r="L131" i="73" s="1"/>
  <c r="K131" i="73"/>
  <c r="J131" i="73" a="1"/>
  <c r="J131" i="73" s="1"/>
  <c r="Q131" i="73" s="1"/>
  <c r="I131" i="73"/>
  <c r="P130" i="73"/>
  <c r="O130" i="73" a="1"/>
  <c r="O130" i="73" s="1"/>
  <c r="N130" i="73" a="1"/>
  <c r="N130" i="73" s="1"/>
  <c r="M130" i="73" a="1"/>
  <c r="M130" i="73" s="1"/>
  <c r="L130" i="73" a="1"/>
  <c r="L130" i="73" s="1"/>
  <c r="K130" i="73"/>
  <c r="J130" i="73" a="1"/>
  <c r="J130" i="73" s="1"/>
  <c r="I130" i="73"/>
  <c r="P129" i="73"/>
  <c r="O129" i="73" a="1"/>
  <c r="O129" i="73" s="1"/>
  <c r="N129" i="73" a="1"/>
  <c r="N129" i="73" s="1"/>
  <c r="M129" i="73" a="1"/>
  <c r="M129" i="73" s="1"/>
  <c r="L129" i="73" a="1"/>
  <c r="L129" i="73" s="1"/>
  <c r="K129" i="73"/>
  <c r="J129" i="73" a="1"/>
  <c r="J129" i="73" s="1"/>
  <c r="I129" i="73"/>
  <c r="P127" i="73"/>
  <c r="O127" i="73" a="1"/>
  <c r="O127" i="73" s="1"/>
  <c r="N127" i="73" a="1"/>
  <c r="N127" i="73" s="1"/>
  <c r="M127" i="73" a="1"/>
  <c r="M127" i="73" s="1"/>
  <c r="L127" i="73" a="1"/>
  <c r="L127" i="73" s="1"/>
  <c r="K127" i="73"/>
  <c r="J127" i="73" a="1"/>
  <c r="J127" i="73" s="1"/>
  <c r="I127" i="73"/>
  <c r="P126" i="73"/>
  <c r="O126" i="73"/>
  <c r="O126" i="73" a="1"/>
  <c r="N126" i="73" a="1"/>
  <c r="N126" i="73" s="1"/>
  <c r="M126" i="73" a="1"/>
  <c r="M126" i="73" s="1"/>
  <c r="L126" i="73" a="1"/>
  <c r="L126" i="73" s="1"/>
  <c r="K126" i="73"/>
  <c r="J126" i="73" a="1"/>
  <c r="J126" i="73" s="1"/>
  <c r="I126" i="73"/>
  <c r="P125" i="73"/>
  <c r="O125" i="73" a="1"/>
  <c r="O125" i="73" s="1"/>
  <c r="N125" i="73" a="1"/>
  <c r="N125" i="73" s="1"/>
  <c r="M125" i="73" a="1"/>
  <c r="M125" i="73" s="1"/>
  <c r="L125" i="73" a="1"/>
  <c r="L125" i="73" s="1"/>
  <c r="K125" i="73"/>
  <c r="J125" i="73" a="1"/>
  <c r="J125" i="73" s="1"/>
  <c r="Q125" i="73" s="1"/>
  <c r="I125" i="73"/>
  <c r="P124" i="73"/>
  <c r="Q124" i="73" s="1"/>
  <c r="O124" i="73" a="1"/>
  <c r="O124" i="73" s="1"/>
  <c r="N124" i="73"/>
  <c r="N124" i="73" a="1"/>
  <c r="M124" i="73" a="1"/>
  <c r="M124" i="73" s="1"/>
  <c r="L124" i="73" a="1"/>
  <c r="L124" i="73" s="1"/>
  <c r="K124" i="73"/>
  <c r="J124" i="73" a="1"/>
  <c r="J124" i="73" s="1"/>
  <c r="I124" i="73"/>
  <c r="P123" i="73"/>
  <c r="O123" i="73" a="1"/>
  <c r="O123" i="73" s="1"/>
  <c r="N123" i="73" a="1"/>
  <c r="N123" i="73" s="1"/>
  <c r="M123" i="73" a="1"/>
  <c r="M123" i="73" s="1"/>
  <c r="L123" i="73" a="1"/>
  <c r="L123" i="73" s="1"/>
  <c r="K123" i="73"/>
  <c r="J123" i="73" a="1"/>
  <c r="J123" i="73" s="1"/>
  <c r="I123" i="73"/>
  <c r="P122" i="73"/>
  <c r="O122" i="73" a="1"/>
  <c r="O122" i="73" s="1"/>
  <c r="N122" i="73" a="1"/>
  <c r="N122" i="73" s="1"/>
  <c r="M122" i="73" a="1"/>
  <c r="M122" i="73" s="1"/>
  <c r="L122" i="73" a="1"/>
  <c r="L122" i="73" s="1"/>
  <c r="K122" i="73"/>
  <c r="J122" i="73" a="1"/>
  <c r="J122" i="73" s="1"/>
  <c r="I122" i="73"/>
  <c r="P121" i="73"/>
  <c r="O121" i="73" a="1"/>
  <c r="O121" i="73" s="1"/>
  <c r="N121" i="73" a="1"/>
  <c r="N121" i="73" s="1"/>
  <c r="M121" i="73" a="1"/>
  <c r="M121" i="73" s="1"/>
  <c r="L121" i="73" a="1"/>
  <c r="L121" i="73" s="1"/>
  <c r="K121" i="73"/>
  <c r="J121" i="73" a="1"/>
  <c r="J121" i="73" s="1"/>
  <c r="Q121" i="73" s="1"/>
  <c r="I121" i="73"/>
  <c r="P120" i="73"/>
  <c r="O120" i="73" a="1"/>
  <c r="O120" i="73" s="1"/>
  <c r="N120" i="73" a="1"/>
  <c r="N120" i="73" s="1"/>
  <c r="M120" i="73" a="1"/>
  <c r="M120" i="73" s="1"/>
  <c r="L120" i="73" a="1"/>
  <c r="L120" i="73" s="1"/>
  <c r="K120" i="73"/>
  <c r="J120" i="73"/>
  <c r="J120" i="73" a="1"/>
  <c r="I120" i="73"/>
  <c r="P119" i="73"/>
  <c r="O119" i="73" a="1"/>
  <c r="O119" i="73" s="1"/>
  <c r="N119" i="73"/>
  <c r="N119" i="73" a="1"/>
  <c r="M119" i="73" a="1"/>
  <c r="M119" i="73" s="1"/>
  <c r="L119" i="73" a="1"/>
  <c r="L119" i="73" s="1"/>
  <c r="K119" i="73"/>
  <c r="J119" i="73"/>
  <c r="J119" i="73" a="1"/>
  <c r="I119" i="73"/>
  <c r="P118" i="73"/>
  <c r="O118" i="73" a="1"/>
  <c r="O118" i="73" s="1"/>
  <c r="N118" i="73" a="1"/>
  <c r="N118" i="73" s="1"/>
  <c r="M118" i="73" a="1"/>
  <c r="M118" i="73" s="1"/>
  <c r="L118" i="73" a="1"/>
  <c r="L118" i="73" s="1"/>
  <c r="K118" i="73"/>
  <c r="J118" i="73" a="1"/>
  <c r="J118" i="73" s="1"/>
  <c r="I118" i="73"/>
  <c r="P117" i="73"/>
  <c r="O117" i="73" a="1"/>
  <c r="O117" i="73" s="1"/>
  <c r="N117" i="73" a="1"/>
  <c r="N117" i="73" s="1"/>
  <c r="M117" i="73" a="1"/>
  <c r="M117" i="73" s="1"/>
  <c r="L117" i="73" a="1"/>
  <c r="L117" i="73" s="1"/>
  <c r="K117" i="73"/>
  <c r="J117" i="73" a="1"/>
  <c r="J117" i="73" s="1"/>
  <c r="I117" i="73"/>
  <c r="P116" i="73"/>
  <c r="O116" i="73" a="1"/>
  <c r="O116" i="73" s="1"/>
  <c r="N116" i="73" a="1"/>
  <c r="N116" i="73" s="1"/>
  <c r="M116" i="73" a="1"/>
  <c r="M116" i="73" s="1"/>
  <c r="L116" i="73" a="1"/>
  <c r="L116" i="73" s="1"/>
  <c r="K116" i="73"/>
  <c r="J116" i="73" a="1"/>
  <c r="J116" i="73" s="1"/>
  <c r="I116" i="73"/>
  <c r="P115" i="73"/>
  <c r="O115" i="73"/>
  <c r="O115" i="73" a="1"/>
  <c r="N115" i="73" a="1"/>
  <c r="N115" i="73" s="1"/>
  <c r="M115" i="73" a="1"/>
  <c r="M115" i="73" s="1"/>
  <c r="L115" i="73" a="1"/>
  <c r="L115" i="73" s="1"/>
  <c r="K115" i="73"/>
  <c r="J115" i="73" a="1"/>
  <c r="J115" i="73" s="1"/>
  <c r="I115" i="73"/>
  <c r="P114" i="73"/>
  <c r="O114" i="73" a="1"/>
  <c r="O114" i="73" s="1"/>
  <c r="N114" i="73" a="1"/>
  <c r="N114" i="73" s="1"/>
  <c r="M114" i="73" a="1"/>
  <c r="M114" i="73" s="1"/>
  <c r="L114" i="73" a="1"/>
  <c r="L114" i="73" s="1"/>
  <c r="K114" i="73"/>
  <c r="J114" i="73" a="1"/>
  <c r="J114" i="73" s="1"/>
  <c r="I114" i="73"/>
  <c r="P113" i="73"/>
  <c r="O113" i="73" a="1"/>
  <c r="O113" i="73" s="1"/>
  <c r="N113" i="73"/>
  <c r="N113" i="73" a="1"/>
  <c r="M113" i="73"/>
  <c r="M113" i="73" a="1"/>
  <c r="L113" i="73" a="1"/>
  <c r="L113" i="73" s="1"/>
  <c r="K113" i="73"/>
  <c r="J113" i="73" a="1"/>
  <c r="J113" i="73" s="1"/>
  <c r="I113" i="73"/>
  <c r="P112" i="73"/>
  <c r="O112" i="73" a="1"/>
  <c r="O112" i="73" s="1"/>
  <c r="N112" i="73" a="1"/>
  <c r="N112" i="73" s="1"/>
  <c r="M112" i="73" a="1"/>
  <c r="M112" i="73" s="1"/>
  <c r="L112" i="73" a="1"/>
  <c r="L112" i="73" s="1"/>
  <c r="K112" i="73"/>
  <c r="J112" i="73" a="1"/>
  <c r="J112" i="73" s="1"/>
  <c r="I112" i="73"/>
  <c r="P111" i="73"/>
  <c r="O111" i="73" a="1"/>
  <c r="O111" i="73" s="1"/>
  <c r="N111" i="73" a="1"/>
  <c r="N111" i="73" s="1"/>
  <c r="M111" i="73" a="1"/>
  <c r="M111" i="73" s="1"/>
  <c r="L111" i="73" a="1"/>
  <c r="L111" i="73" s="1"/>
  <c r="K111" i="73"/>
  <c r="J111" i="73" a="1"/>
  <c r="J111" i="73" s="1"/>
  <c r="I111" i="73"/>
  <c r="P110" i="73"/>
  <c r="O110" i="73" a="1"/>
  <c r="O110" i="73" s="1"/>
  <c r="N110" i="73" a="1"/>
  <c r="N110" i="73" s="1"/>
  <c r="M110" i="73" a="1"/>
  <c r="M110" i="73" s="1"/>
  <c r="L110" i="73" a="1"/>
  <c r="L110" i="73" s="1"/>
  <c r="K110" i="73"/>
  <c r="J110" i="73" a="1"/>
  <c r="J110" i="73" s="1"/>
  <c r="Q110" i="73" s="1"/>
  <c r="I110" i="73"/>
  <c r="P109" i="73"/>
  <c r="O109" i="73" a="1"/>
  <c r="O109" i="73" s="1"/>
  <c r="N109" i="73" a="1"/>
  <c r="N109" i="73" s="1"/>
  <c r="M109" i="73" a="1"/>
  <c r="M109" i="73" s="1"/>
  <c r="L109" i="73" a="1"/>
  <c r="L109" i="73" s="1"/>
  <c r="K109" i="73"/>
  <c r="J109" i="73" a="1"/>
  <c r="J109" i="73" s="1"/>
  <c r="I109" i="73"/>
  <c r="P108" i="73"/>
  <c r="Q108" i="73" s="1"/>
  <c r="O108" i="73" a="1"/>
  <c r="O108" i="73" s="1"/>
  <c r="N108" i="73" a="1"/>
  <c r="N108" i="73" s="1"/>
  <c r="M108" i="73" a="1"/>
  <c r="M108" i="73" s="1"/>
  <c r="L108" i="73" a="1"/>
  <c r="L108" i="73" s="1"/>
  <c r="K108" i="73"/>
  <c r="J108" i="73" a="1"/>
  <c r="J108" i="73" s="1"/>
  <c r="I108" i="73"/>
  <c r="P107" i="73"/>
  <c r="O107" i="73" a="1"/>
  <c r="O107" i="73" s="1"/>
  <c r="N107" i="73" a="1"/>
  <c r="N107" i="73" s="1"/>
  <c r="M107" i="73" a="1"/>
  <c r="M107" i="73" s="1"/>
  <c r="L107" i="73" a="1"/>
  <c r="L107" i="73" s="1"/>
  <c r="K107" i="73"/>
  <c r="J107" i="73" a="1"/>
  <c r="J107" i="73" s="1"/>
  <c r="I107" i="73"/>
  <c r="P106" i="73"/>
  <c r="O106" i="73"/>
  <c r="O106" i="73" a="1"/>
  <c r="N106" i="73" a="1"/>
  <c r="N106" i="73" s="1"/>
  <c r="M106" i="73" a="1"/>
  <c r="M106" i="73" s="1"/>
  <c r="L106" i="73" a="1"/>
  <c r="L106" i="73" s="1"/>
  <c r="K106" i="73"/>
  <c r="J106" i="73" a="1"/>
  <c r="J106" i="73" s="1"/>
  <c r="I106" i="73"/>
  <c r="P105" i="73"/>
  <c r="O105" i="73" a="1"/>
  <c r="O105" i="73" s="1"/>
  <c r="N105" i="73" a="1"/>
  <c r="N105" i="73" s="1"/>
  <c r="M105" i="73" a="1"/>
  <c r="M105" i="73" s="1"/>
  <c r="L105" i="73"/>
  <c r="L105" i="73" a="1"/>
  <c r="K105" i="73"/>
  <c r="J105" i="73" a="1"/>
  <c r="J105" i="73" s="1"/>
  <c r="I105" i="73"/>
  <c r="P104" i="73"/>
  <c r="O104" i="73" a="1"/>
  <c r="O104" i="73" s="1"/>
  <c r="N104" i="73" a="1"/>
  <c r="N104" i="73" s="1"/>
  <c r="M104" i="73" a="1"/>
  <c r="M104" i="73" s="1"/>
  <c r="L104" i="73" a="1"/>
  <c r="L104" i="73" s="1"/>
  <c r="K104" i="73"/>
  <c r="J104" i="73" a="1"/>
  <c r="J104" i="73" s="1"/>
  <c r="I104" i="73"/>
  <c r="P103" i="73"/>
  <c r="O103" i="73" a="1"/>
  <c r="O103" i="73" s="1"/>
  <c r="N103" i="73" a="1"/>
  <c r="N103" i="73" s="1"/>
  <c r="M103" i="73" a="1"/>
  <c r="M103" i="73" s="1"/>
  <c r="L103" i="73" a="1"/>
  <c r="L103" i="73" s="1"/>
  <c r="K103" i="73"/>
  <c r="J103" i="73" a="1"/>
  <c r="J103" i="73" s="1"/>
  <c r="I103" i="73"/>
  <c r="P102" i="73"/>
  <c r="O102" i="73" a="1"/>
  <c r="O102" i="73" s="1"/>
  <c r="N102" i="73" a="1"/>
  <c r="N102" i="73" s="1"/>
  <c r="M102" i="73" a="1"/>
  <c r="M102" i="73" s="1"/>
  <c r="L102" i="73" a="1"/>
  <c r="L102" i="73" s="1"/>
  <c r="K102" i="73"/>
  <c r="J102" i="73" a="1"/>
  <c r="J102" i="73" s="1"/>
  <c r="I102" i="73"/>
  <c r="P101" i="73"/>
  <c r="O101" i="73" a="1"/>
  <c r="O101" i="73" s="1"/>
  <c r="N101" i="73" a="1"/>
  <c r="N101" i="73" s="1"/>
  <c r="M101" i="73" a="1"/>
  <c r="M101" i="73" s="1"/>
  <c r="L101" i="73" a="1"/>
  <c r="L101" i="73" s="1"/>
  <c r="K101" i="73"/>
  <c r="J101" i="73" a="1"/>
  <c r="J101" i="73" s="1"/>
  <c r="I101" i="73"/>
  <c r="P100" i="73"/>
  <c r="O100" i="73" a="1"/>
  <c r="O100" i="73" s="1"/>
  <c r="N100" i="73" a="1"/>
  <c r="N100" i="73" s="1"/>
  <c r="M100" i="73" a="1"/>
  <c r="M100" i="73" s="1"/>
  <c r="L100" i="73" a="1"/>
  <c r="L100" i="73" s="1"/>
  <c r="K100" i="73"/>
  <c r="J100" i="73" a="1"/>
  <c r="J100" i="73" s="1"/>
  <c r="I100" i="73"/>
  <c r="P99" i="73"/>
  <c r="O99" i="73" a="1"/>
  <c r="O99" i="73" s="1"/>
  <c r="N99" i="73" a="1"/>
  <c r="N99" i="73" s="1"/>
  <c r="M99" i="73" a="1"/>
  <c r="M99" i="73" s="1"/>
  <c r="L99" i="73" a="1"/>
  <c r="L99" i="73" s="1"/>
  <c r="K99" i="73"/>
  <c r="J99" i="73" a="1"/>
  <c r="J99" i="73" s="1"/>
  <c r="I99" i="73"/>
  <c r="P98" i="73"/>
  <c r="O98" i="73" a="1"/>
  <c r="O98" i="73" s="1"/>
  <c r="N98" i="73" a="1"/>
  <c r="N98" i="73" s="1"/>
  <c r="M98" i="73" a="1"/>
  <c r="M98" i="73" s="1"/>
  <c r="L98" i="73" a="1"/>
  <c r="L98" i="73" s="1"/>
  <c r="K98" i="73"/>
  <c r="J98" i="73" a="1"/>
  <c r="J98" i="73" s="1"/>
  <c r="I98" i="73"/>
  <c r="P97" i="73"/>
  <c r="Q97" i="73" s="1"/>
  <c r="O97" i="73" a="1"/>
  <c r="O97" i="73" s="1"/>
  <c r="N97" i="73" a="1"/>
  <c r="N97" i="73" s="1"/>
  <c r="M97" i="73" a="1"/>
  <c r="M97" i="73" s="1"/>
  <c r="L97" i="73" a="1"/>
  <c r="L97" i="73" s="1"/>
  <c r="K97" i="73"/>
  <c r="J97" i="73" a="1"/>
  <c r="J97" i="73" s="1"/>
  <c r="I97" i="73"/>
  <c r="P96" i="73"/>
  <c r="O96" i="73" a="1"/>
  <c r="O96" i="73" s="1"/>
  <c r="N96" i="73" a="1"/>
  <c r="N96" i="73" s="1"/>
  <c r="M96" i="73" a="1"/>
  <c r="M96" i="73" s="1"/>
  <c r="L96" i="73" a="1"/>
  <c r="L96" i="73" s="1"/>
  <c r="K96" i="73"/>
  <c r="J96" i="73" a="1"/>
  <c r="J96" i="73" s="1"/>
  <c r="Q96" i="73" s="1"/>
  <c r="I96" i="73"/>
  <c r="P95" i="73"/>
  <c r="O95" i="73" a="1"/>
  <c r="O95" i="73" s="1"/>
  <c r="N95" i="73" a="1"/>
  <c r="N95" i="73" s="1"/>
  <c r="M95" i="73" a="1"/>
  <c r="M95" i="73" s="1"/>
  <c r="L95" i="73"/>
  <c r="L95" i="73" a="1"/>
  <c r="K95" i="73"/>
  <c r="J95" i="73" a="1"/>
  <c r="J95" i="73" s="1"/>
  <c r="Q95" i="73" s="1"/>
  <c r="I95" i="73"/>
  <c r="P94" i="73"/>
  <c r="O94" i="73" a="1"/>
  <c r="O94" i="73" s="1"/>
  <c r="N94" i="73" a="1"/>
  <c r="N94" i="73" s="1"/>
  <c r="M94" i="73" a="1"/>
  <c r="M94" i="73" s="1"/>
  <c r="L94" i="73" a="1"/>
  <c r="L94" i="73" s="1"/>
  <c r="K94" i="73"/>
  <c r="J94" i="73" a="1"/>
  <c r="J94" i="73" s="1"/>
  <c r="I94" i="73"/>
  <c r="P93" i="73"/>
  <c r="O93" i="73" a="1"/>
  <c r="O93" i="73" s="1"/>
  <c r="N93" i="73" a="1"/>
  <c r="N93" i="73" s="1"/>
  <c r="M93" i="73" a="1"/>
  <c r="M93" i="73" s="1"/>
  <c r="L93" i="73" a="1"/>
  <c r="L93" i="73" s="1"/>
  <c r="K93" i="73"/>
  <c r="J93" i="73" a="1"/>
  <c r="J93" i="73" s="1"/>
  <c r="I93" i="73"/>
  <c r="P92" i="73"/>
  <c r="O92" i="73" a="1"/>
  <c r="O92" i="73" s="1"/>
  <c r="N92" i="73" a="1"/>
  <c r="N92" i="73" s="1"/>
  <c r="M92" i="73" a="1"/>
  <c r="M92" i="73" s="1"/>
  <c r="L92" i="73" a="1"/>
  <c r="L92" i="73" s="1"/>
  <c r="K92" i="73"/>
  <c r="J92" i="73" a="1"/>
  <c r="J92" i="73" s="1"/>
  <c r="Q92" i="73" s="1"/>
  <c r="I92" i="73"/>
  <c r="P91" i="73"/>
  <c r="O91" i="73" a="1"/>
  <c r="O91" i="73" s="1"/>
  <c r="N91" i="73" a="1"/>
  <c r="N91" i="73" s="1"/>
  <c r="M91" i="73" a="1"/>
  <c r="M91" i="73" s="1"/>
  <c r="L91" i="73" a="1"/>
  <c r="L91" i="73" s="1"/>
  <c r="K91" i="73"/>
  <c r="J91" i="73" a="1"/>
  <c r="J91" i="73" s="1"/>
  <c r="I91" i="73"/>
  <c r="P90" i="73"/>
  <c r="O90" i="73" a="1"/>
  <c r="O90" i="73" s="1"/>
  <c r="N90" i="73" a="1"/>
  <c r="N90" i="73" s="1"/>
  <c r="M90" i="73" a="1"/>
  <c r="M90" i="73" s="1"/>
  <c r="L90" i="73" a="1"/>
  <c r="L90" i="73" s="1"/>
  <c r="K90" i="73"/>
  <c r="J90" i="73" a="1"/>
  <c r="J90" i="73" s="1"/>
  <c r="I90" i="73"/>
  <c r="P89" i="73"/>
  <c r="O89" i="73" a="1"/>
  <c r="O89" i="73" s="1"/>
  <c r="N89" i="73" a="1"/>
  <c r="N89" i="73" s="1"/>
  <c r="M89" i="73" a="1"/>
  <c r="M89" i="73" s="1"/>
  <c r="L89" i="73" a="1"/>
  <c r="L89" i="73" s="1"/>
  <c r="K89" i="73"/>
  <c r="J89" i="73" a="1"/>
  <c r="J89" i="73" s="1"/>
  <c r="Q89" i="73" s="1"/>
  <c r="I89" i="73"/>
  <c r="P88" i="73"/>
  <c r="O88" i="73" a="1"/>
  <c r="O88" i="73" s="1"/>
  <c r="N88" i="73" a="1"/>
  <c r="N88" i="73" s="1"/>
  <c r="M88" i="73" a="1"/>
  <c r="M88" i="73" s="1"/>
  <c r="L88" i="73" a="1"/>
  <c r="L88" i="73" s="1"/>
  <c r="K88" i="73"/>
  <c r="J88" i="73" a="1"/>
  <c r="J88" i="73" s="1"/>
  <c r="Q88" i="73" s="1"/>
  <c r="I88" i="73"/>
  <c r="P87" i="73"/>
  <c r="O87" i="73"/>
  <c r="O87" i="73" a="1"/>
  <c r="N87" i="73" a="1"/>
  <c r="N87" i="73" s="1"/>
  <c r="M87" i="73" a="1"/>
  <c r="M87" i="73" s="1"/>
  <c r="L87" i="73" a="1"/>
  <c r="L87" i="73" s="1"/>
  <c r="K87" i="73"/>
  <c r="J87" i="73" a="1"/>
  <c r="J87" i="73" s="1"/>
  <c r="I87" i="73"/>
  <c r="P86" i="73"/>
  <c r="O86" i="73" a="1"/>
  <c r="O86" i="73" s="1"/>
  <c r="N86" i="73" a="1"/>
  <c r="N86" i="73" s="1"/>
  <c r="M86" i="73" a="1"/>
  <c r="M86" i="73" s="1"/>
  <c r="L86" i="73" a="1"/>
  <c r="L86" i="73" s="1"/>
  <c r="K86" i="73"/>
  <c r="J86" i="73" a="1"/>
  <c r="J86" i="73" s="1"/>
  <c r="I86" i="73"/>
  <c r="P85" i="73"/>
  <c r="O85" i="73" a="1"/>
  <c r="O85" i="73" s="1"/>
  <c r="N85" i="73" a="1"/>
  <c r="N85" i="73" s="1"/>
  <c r="M85" i="73" a="1"/>
  <c r="M85" i="73" s="1"/>
  <c r="L85" i="73" a="1"/>
  <c r="L85" i="73" s="1"/>
  <c r="K85" i="73"/>
  <c r="J85" i="73" a="1"/>
  <c r="J85" i="73" s="1"/>
  <c r="I85" i="73"/>
  <c r="P84" i="73"/>
  <c r="O84" i="73" a="1"/>
  <c r="O84" i="73" s="1"/>
  <c r="N84" i="73" a="1"/>
  <c r="N84" i="73" s="1"/>
  <c r="M84" i="73" a="1"/>
  <c r="M84" i="73" s="1"/>
  <c r="L84" i="73" a="1"/>
  <c r="L84" i="73" s="1"/>
  <c r="K84" i="73"/>
  <c r="J84" i="73" a="1"/>
  <c r="J84" i="73" s="1"/>
  <c r="I84" i="73"/>
  <c r="P83" i="73"/>
  <c r="Q83" i="73" s="1"/>
  <c r="O83" i="73" a="1"/>
  <c r="O83" i="73" s="1"/>
  <c r="N83" i="73" a="1"/>
  <c r="N83" i="73" s="1"/>
  <c r="M83" i="73" a="1"/>
  <c r="M83" i="73" s="1"/>
  <c r="L83" i="73" a="1"/>
  <c r="L83" i="73" s="1"/>
  <c r="K83" i="73"/>
  <c r="J83" i="73" a="1"/>
  <c r="J83" i="73" s="1"/>
  <c r="I83" i="73"/>
  <c r="P82" i="73"/>
  <c r="O82" i="73" a="1"/>
  <c r="O82" i="73" s="1"/>
  <c r="N82" i="73" a="1"/>
  <c r="N82" i="73" s="1"/>
  <c r="M82" i="73" a="1"/>
  <c r="M82" i="73" s="1"/>
  <c r="L82" i="73" a="1"/>
  <c r="L82" i="73" s="1"/>
  <c r="K82" i="73"/>
  <c r="J82" i="73" a="1"/>
  <c r="J82" i="73" s="1"/>
  <c r="Q82" i="73" s="1"/>
  <c r="I82" i="73"/>
  <c r="P81" i="73"/>
  <c r="O81" i="73" a="1"/>
  <c r="O81" i="73" s="1"/>
  <c r="N81" i="73" a="1"/>
  <c r="N81" i="73" s="1"/>
  <c r="M81" i="73" a="1"/>
  <c r="M81" i="73" s="1"/>
  <c r="L81" i="73" a="1"/>
  <c r="L81" i="73" s="1"/>
  <c r="K81" i="73"/>
  <c r="J81" i="73" a="1"/>
  <c r="J81" i="73" s="1"/>
  <c r="I81" i="73"/>
  <c r="P80" i="73"/>
  <c r="O80" i="73" a="1"/>
  <c r="O80" i="73" s="1"/>
  <c r="N80" i="73" a="1"/>
  <c r="N80" i="73" s="1"/>
  <c r="M80" i="73" a="1"/>
  <c r="M80" i="73" s="1"/>
  <c r="L80" i="73" a="1"/>
  <c r="L80" i="73" s="1"/>
  <c r="K80" i="73"/>
  <c r="J80" i="73" a="1"/>
  <c r="J80" i="73" s="1"/>
  <c r="I80" i="73"/>
  <c r="P79" i="73"/>
  <c r="O79" i="73" a="1"/>
  <c r="O79" i="73" s="1"/>
  <c r="N79" i="73" a="1"/>
  <c r="N79" i="73" s="1"/>
  <c r="M79" i="73" a="1"/>
  <c r="M79" i="73" s="1"/>
  <c r="L79" i="73" a="1"/>
  <c r="L79" i="73" s="1"/>
  <c r="K79" i="73"/>
  <c r="J79" i="73" a="1"/>
  <c r="J79" i="73" s="1"/>
  <c r="I79" i="73"/>
  <c r="P78" i="73"/>
  <c r="O78" i="73" a="1"/>
  <c r="O78" i="73" s="1"/>
  <c r="N78" i="73" a="1"/>
  <c r="N78" i="73" s="1"/>
  <c r="M78" i="73"/>
  <c r="M78" i="73" a="1"/>
  <c r="L78" i="73" a="1"/>
  <c r="L78" i="73" s="1"/>
  <c r="K78" i="73"/>
  <c r="J78" i="73" a="1"/>
  <c r="J78" i="73" s="1"/>
  <c r="I78" i="73"/>
  <c r="P75" i="73"/>
  <c r="O75" i="73" a="1"/>
  <c r="O75" i="73" s="1"/>
  <c r="N75" i="73" a="1"/>
  <c r="N75" i="73" s="1"/>
  <c r="M75" i="73" a="1"/>
  <c r="M75" i="73" s="1"/>
  <c r="L75" i="73" a="1"/>
  <c r="L75" i="73" s="1"/>
  <c r="K75" i="73"/>
  <c r="J75" i="73" a="1"/>
  <c r="J75" i="73" s="1"/>
  <c r="I75" i="73"/>
  <c r="P74" i="73"/>
  <c r="O74" i="73" a="1"/>
  <c r="O74" i="73" s="1"/>
  <c r="N74" i="73" a="1"/>
  <c r="N74" i="73" s="1"/>
  <c r="M74" i="73" a="1"/>
  <c r="M74" i="73" s="1"/>
  <c r="L74" i="73" a="1"/>
  <c r="L74" i="73" s="1"/>
  <c r="K74" i="73"/>
  <c r="J74" i="73" a="1"/>
  <c r="J74" i="73" s="1"/>
  <c r="I74" i="73"/>
  <c r="P73" i="73" a="1"/>
  <c r="P73" i="73" s="1"/>
  <c r="O73" i="73" a="1"/>
  <c r="O73" i="73" s="1"/>
  <c r="N73" i="73" a="1"/>
  <c r="N73" i="73" s="1"/>
  <c r="M73" i="73" a="1"/>
  <c r="M73" i="73" s="1"/>
  <c r="L73" i="73" a="1"/>
  <c r="L73" i="73" s="1"/>
  <c r="K73" i="73"/>
  <c r="J73" i="73" a="1"/>
  <c r="J73" i="73" s="1"/>
  <c r="Q73" i="73" s="1"/>
  <c r="I73" i="73" a="1"/>
  <c r="I73" i="73" s="1"/>
  <c r="P72" i="73"/>
  <c r="P72" i="73" a="1"/>
  <c r="O72" i="73" a="1"/>
  <c r="O72" i="73" s="1"/>
  <c r="N72" i="73" a="1"/>
  <c r="N72" i="73" s="1"/>
  <c r="M72" i="73" a="1"/>
  <c r="M72" i="73" s="1"/>
  <c r="L72" i="73" a="1"/>
  <c r="L72" i="73" s="1"/>
  <c r="K72" i="73"/>
  <c r="J72" i="73" a="1"/>
  <c r="J72" i="73" s="1"/>
  <c r="Q72" i="73" s="1"/>
  <c r="I72" i="73" a="1"/>
  <c r="I72" i="73" s="1"/>
  <c r="P71" i="73"/>
  <c r="Q71" i="73" s="1"/>
  <c r="O71" i="73" a="1"/>
  <c r="O71" i="73" s="1"/>
  <c r="N71" i="73" a="1"/>
  <c r="N71" i="73" s="1"/>
  <c r="M71" i="73" a="1"/>
  <c r="M71" i="73" s="1"/>
  <c r="L71" i="73" a="1"/>
  <c r="L71" i="73" s="1"/>
  <c r="K71" i="73"/>
  <c r="J71" i="73" a="1"/>
  <c r="J71" i="73" s="1"/>
  <c r="I71" i="73"/>
  <c r="P70" i="73"/>
  <c r="O70" i="73" a="1"/>
  <c r="O70" i="73" s="1"/>
  <c r="N70" i="73" a="1"/>
  <c r="N70" i="73" s="1"/>
  <c r="M70" i="73" a="1"/>
  <c r="M70" i="73" s="1"/>
  <c r="L70" i="73" a="1"/>
  <c r="L70" i="73" s="1"/>
  <c r="K70" i="73"/>
  <c r="J70" i="73" a="1"/>
  <c r="J70" i="73" s="1"/>
  <c r="I70" i="73"/>
  <c r="P69" i="73"/>
  <c r="O69" i="73" a="1"/>
  <c r="O69" i="73" s="1"/>
  <c r="N69" i="73" a="1"/>
  <c r="N69" i="73" s="1"/>
  <c r="M69" i="73" a="1"/>
  <c r="M69" i="73" s="1"/>
  <c r="L69" i="73" a="1"/>
  <c r="L69" i="73" s="1"/>
  <c r="K69" i="73"/>
  <c r="J69" i="73" a="1"/>
  <c r="J69" i="73" s="1"/>
  <c r="I69" i="73"/>
  <c r="P68" i="73"/>
  <c r="O68" i="73" a="1"/>
  <c r="O68" i="73" s="1"/>
  <c r="N68" i="73" a="1"/>
  <c r="N68" i="73" s="1"/>
  <c r="M68" i="73" a="1"/>
  <c r="M68" i="73" s="1"/>
  <c r="L68" i="73" a="1"/>
  <c r="L68" i="73" s="1"/>
  <c r="K68" i="73"/>
  <c r="J68" i="73" a="1"/>
  <c r="J68" i="73" s="1"/>
  <c r="I68" i="73"/>
  <c r="P67" i="73"/>
  <c r="O67" i="73" a="1"/>
  <c r="O67" i="73" s="1"/>
  <c r="N67" i="73" a="1"/>
  <c r="N67" i="73" s="1"/>
  <c r="M67" i="73" a="1"/>
  <c r="M67" i="73" s="1"/>
  <c r="L67" i="73" a="1"/>
  <c r="L67" i="73" s="1"/>
  <c r="K67" i="73"/>
  <c r="J67" i="73" a="1"/>
  <c r="J67" i="73" s="1"/>
  <c r="I67" i="73"/>
  <c r="P66" i="73"/>
  <c r="O66" i="73" a="1"/>
  <c r="O66" i="73" s="1"/>
  <c r="N66" i="73" a="1"/>
  <c r="N66" i="73" s="1"/>
  <c r="M66" i="73" a="1"/>
  <c r="M66" i="73" s="1"/>
  <c r="L66" i="73" a="1"/>
  <c r="L66" i="73" s="1"/>
  <c r="K66" i="73"/>
  <c r="J66" i="73" a="1"/>
  <c r="J66" i="73" s="1"/>
  <c r="I66" i="73"/>
  <c r="P65" i="73"/>
  <c r="Q65" i="73" s="1"/>
  <c r="O65" i="73" a="1"/>
  <c r="O65" i="73" s="1"/>
  <c r="N65" i="73" a="1"/>
  <c r="N65" i="73" s="1"/>
  <c r="M65" i="73"/>
  <c r="M65" i="73" a="1"/>
  <c r="L65" i="73" a="1"/>
  <c r="L65" i="73" s="1"/>
  <c r="K65" i="73"/>
  <c r="J65" i="73" a="1"/>
  <c r="J65" i="73" s="1"/>
  <c r="I65" i="73"/>
  <c r="P64" i="73"/>
  <c r="O64" i="73" a="1"/>
  <c r="O64" i="73" s="1"/>
  <c r="N64" i="73" a="1"/>
  <c r="N64" i="73" s="1"/>
  <c r="M64" i="73" a="1"/>
  <c r="M64" i="73" s="1"/>
  <c r="L64" i="73" a="1"/>
  <c r="L64" i="73" s="1"/>
  <c r="K64" i="73"/>
  <c r="J64" i="73" a="1"/>
  <c r="J64" i="73" s="1"/>
  <c r="I64" i="73"/>
  <c r="P62" i="73"/>
  <c r="O62" i="73" a="1"/>
  <c r="O62" i="73" s="1"/>
  <c r="N62" i="73" a="1"/>
  <c r="N62" i="73" s="1"/>
  <c r="M62" i="73" a="1"/>
  <c r="M62" i="73" s="1"/>
  <c r="L62" i="73" a="1"/>
  <c r="L62" i="73" s="1"/>
  <c r="K62" i="73"/>
  <c r="J62" i="73" a="1"/>
  <c r="J62" i="73" s="1"/>
  <c r="I62" i="73"/>
  <c r="P61" i="73"/>
  <c r="O61" i="73" a="1"/>
  <c r="O61" i="73" s="1"/>
  <c r="N61" i="73" a="1"/>
  <c r="N61" i="73" s="1"/>
  <c r="M61" i="73" a="1"/>
  <c r="M61" i="73" s="1"/>
  <c r="L61" i="73"/>
  <c r="L61" i="73" a="1"/>
  <c r="K61" i="73"/>
  <c r="J61" i="73" a="1"/>
  <c r="J61" i="73" s="1"/>
  <c r="I61" i="73"/>
  <c r="P60" i="73"/>
  <c r="O60" i="73" a="1"/>
  <c r="O60" i="73" s="1"/>
  <c r="N60" i="73" a="1"/>
  <c r="N60" i="73" s="1"/>
  <c r="M60" i="73" a="1"/>
  <c r="M60" i="73" s="1"/>
  <c r="L60" i="73" a="1"/>
  <c r="L60" i="73" s="1"/>
  <c r="K60" i="73"/>
  <c r="J60" i="73" a="1"/>
  <c r="J60" i="73" s="1"/>
  <c r="I60" i="73"/>
  <c r="P59" i="73"/>
  <c r="O59" i="73" a="1"/>
  <c r="O59" i="73" s="1"/>
  <c r="N59" i="73" a="1"/>
  <c r="N59" i="73" s="1"/>
  <c r="M59" i="73" a="1"/>
  <c r="M59" i="73" s="1"/>
  <c r="L59" i="73" a="1"/>
  <c r="L59" i="73" s="1"/>
  <c r="K59" i="73"/>
  <c r="J59" i="73" a="1"/>
  <c r="J59" i="73" s="1"/>
  <c r="I59" i="73"/>
  <c r="P58" i="73"/>
  <c r="O58" i="73"/>
  <c r="O58" i="73" a="1"/>
  <c r="N58" i="73" a="1"/>
  <c r="N58" i="73" s="1"/>
  <c r="M58" i="73" a="1"/>
  <c r="M58" i="73" s="1"/>
  <c r="L58" i="73" a="1"/>
  <c r="L58" i="73" s="1"/>
  <c r="K58" i="73"/>
  <c r="J58" i="73" a="1"/>
  <c r="J58" i="73" s="1"/>
  <c r="I58" i="73"/>
  <c r="P57" i="73"/>
  <c r="Q57" i="73" s="1"/>
  <c r="O57" i="73" a="1"/>
  <c r="O57" i="73" s="1"/>
  <c r="N57" i="73" a="1"/>
  <c r="N57" i="73" s="1"/>
  <c r="M57" i="73" a="1"/>
  <c r="M57" i="73" s="1"/>
  <c r="L57" i="73" a="1"/>
  <c r="L57" i="73" s="1"/>
  <c r="K57" i="73"/>
  <c r="J57" i="73" a="1"/>
  <c r="J57" i="73" s="1"/>
  <c r="I57" i="73"/>
  <c r="P56" i="73"/>
  <c r="O56" i="73" a="1"/>
  <c r="O56" i="73" s="1"/>
  <c r="N56" i="73" a="1"/>
  <c r="N56" i="73" s="1"/>
  <c r="M56" i="73" a="1"/>
  <c r="M56" i="73" s="1"/>
  <c r="L56" i="73"/>
  <c r="L56" i="73" a="1"/>
  <c r="K56" i="73"/>
  <c r="J56" i="73" a="1"/>
  <c r="J56" i="73" s="1"/>
  <c r="I56" i="73"/>
  <c r="P55" i="73"/>
  <c r="O55" i="73" a="1"/>
  <c r="O55" i="73" s="1"/>
  <c r="N55" i="73" a="1"/>
  <c r="N55" i="73" s="1"/>
  <c r="M55" i="73" a="1"/>
  <c r="M55" i="73" s="1"/>
  <c r="L55" i="73" a="1"/>
  <c r="L55" i="73" s="1"/>
  <c r="K55" i="73"/>
  <c r="J55" i="73" a="1"/>
  <c r="J55" i="73" s="1"/>
  <c r="I55" i="73"/>
  <c r="P53" i="73"/>
  <c r="O53" i="73" a="1"/>
  <c r="O53" i="73" s="1"/>
  <c r="N53" i="73" a="1"/>
  <c r="N53" i="73" s="1"/>
  <c r="M53" i="73" a="1"/>
  <c r="M53" i="73" s="1"/>
  <c r="L53" i="73" a="1"/>
  <c r="L53" i="73" s="1"/>
  <c r="K53" i="73"/>
  <c r="J53" i="73" a="1"/>
  <c r="J53" i="73" s="1"/>
  <c r="Q53" i="73" s="1"/>
  <c r="I53" i="73"/>
  <c r="P52" i="73"/>
  <c r="O52" i="73" a="1"/>
  <c r="O52" i="73" s="1"/>
  <c r="N52" i="73" a="1"/>
  <c r="N52" i="73" s="1"/>
  <c r="M52" i="73" a="1"/>
  <c r="M52" i="73" s="1"/>
  <c r="L52" i="73" a="1"/>
  <c r="L52" i="73" s="1"/>
  <c r="K52" i="73"/>
  <c r="J52" i="73" a="1"/>
  <c r="J52" i="73" s="1"/>
  <c r="I52" i="73"/>
  <c r="P51" i="73"/>
  <c r="O51" i="73" a="1"/>
  <c r="O51" i="73" s="1"/>
  <c r="N51" i="73" a="1"/>
  <c r="N51" i="73" s="1"/>
  <c r="M51" i="73" a="1"/>
  <c r="M51" i="73" s="1"/>
  <c r="L51" i="73" a="1"/>
  <c r="L51" i="73" s="1"/>
  <c r="K51" i="73"/>
  <c r="J51" i="73" a="1"/>
  <c r="J51" i="73" s="1"/>
  <c r="Q51" i="73" s="1"/>
  <c r="I51" i="73"/>
  <c r="P50" i="73"/>
  <c r="O50" i="73" a="1"/>
  <c r="O50" i="73" s="1"/>
  <c r="N50" i="73" a="1"/>
  <c r="N50" i="73" s="1"/>
  <c r="M50" i="73" a="1"/>
  <c r="M50" i="73" s="1"/>
  <c r="L50" i="73" a="1"/>
  <c r="L50" i="73" s="1"/>
  <c r="K50" i="73"/>
  <c r="J50" i="73" a="1"/>
  <c r="J50" i="73" s="1"/>
  <c r="I50" i="73"/>
  <c r="I54" i="73" s="1"/>
  <c r="P48" i="73"/>
  <c r="Q48" i="73" s="1"/>
  <c r="O48" i="73" a="1"/>
  <c r="O48" i="73" s="1"/>
  <c r="N48" i="73" a="1"/>
  <c r="N48" i="73" s="1"/>
  <c r="M48" i="73" a="1"/>
  <c r="M48" i="73" s="1"/>
  <c r="L48" i="73" a="1"/>
  <c r="L48" i="73" s="1"/>
  <c r="K48" i="73"/>
  <c r="J48" i="73" a="1"/>
  <c r="J48" i="73" s="1"/>
  <c r="I48" i="73"/>
  <c r="P47" i="73"/>
  <c r="O47" i="73" a="1"/>
  <c r="O47" i="73" s="1"/>
  <c r="N47" i="73" a="1"/>
  <c r="N47" i="73" s="1"/>
  <c r="M47" i="73" a="1"/>
  <c r="M47" i="73" s="1"/>
  <c r="L47" i="73" a="1"/>
  <c r="L47" i="73" s="1"/>
  <c r="K47" i="73"/>
  <c r="J47" i="73" a="1"/>
  <c r="J47" i="73" s="1"/>
  <c r="I47" i="73"/>
  <c r="P46" i="73"/>
  <c r="O46" i="73" a="1"/>
  <c r="O46" i="73" s="1"/>
  <c r="N46" i="73" a="1"/>
  <c r="N46" i="73" s="1"/>
  <c r="M46" i="73" a="1"/>
  <c r="M46" i="73" s="1"/>
  <c r="L46" i="73" a="1"/>
  <c r="L46" i="73" s="1"/>
  <c r="K46" i="73"/>
  <c r="J46" i="73" a="1"/>
  <c r="J46" i="73" s="1"/>
  <c r="Q46" i="73" s="1"/>
  <c r="I46" i="73"/>
  <c r="P45" i="73"/>
  <c r="Q45" i="73" s="1"/>
  <c r="O45" i="73" a="1"/>
  <c r="O45" i="73" s="1"/>
  <c r="N45" i="73" a="1"/>
  <c r="N45" i="73" s="1"/>
  <c r="M45" i="73" a="1"/>
  <c r="M45" i="73" s="1"/>
  <c r="L45" i="73" a="1"/>
  <c r="L45" i="73" s="1"/>
  <c r="K45" i="73"/>
  <c r="J45" i="73" a="1"/>
  <c r="J45" i="73" s="1"/>
  <c r="I45" i="73"/>
  <c r="P44" i="73"/>
  <c r="O44" i="73" a="1"/>
  <c r="O44" i="73" s="1"/>
  <c r="N44" i="73" a="1"/>
  <c r="N44" i="73" s="1"/>
  <c r="M44" i="73" a="1"/>
  <c r="M44" i="73" s="1"/>
  <c r="L44" i="73" a="1"/>
  <c r="L44" i="73" s="1"/>
  <c r="K44" i="73"/>
  <c r="J44" i="73" a="1"/>
  <c r="J44" i="73" s="1"/>
  <c r="I44" i="73"/>
  <c r="P43" i="73"/>
  <c r="O43" i="73" a="1"/>
  <c r="O43" i="73" s="1"/>
  <c r="N43" i="73" a="1"/>
  <c r="N43" i="73" s="1"/>
  <c r="M43" i="73" a="1"/>
  <c r="M43" i="73" s="1"/>
  <c r="L43" i="73" a="1"/>
  <c r="L43" i="73" s="1"/>
  <c r="K43" i="73"/>
  <c r="J43" i="73" a="1"/>
  <c r="J43" i="73" s="1"/>
  <c r="I43" i="73"/>
  <c r="P42" i="73"/>
  <c r="O42" i="73" a="1"/>
  <c r="O42" i="73" s="1"/>
  <c r="N42" i="73" a="1"/>
  <c r="N42" i="73" s="1"/>
  <c r="M42" i="73" a="1"/>
  <c r="M42" i="73" s="1"/>
  <c r="L42" i="73" a="1"/>
  <c r="L42" i="73" s="1"/>
  <c r="K42" i="73"/>
  <c r="J42" i="73" a="1"/>
  <c r="J42" i="73" s="1"/>
  <c r="I42" i="73"/>
  <c r="P41" i="73"/>
  <c r="O41" i="73" a="1"/>
  <c r="O41" i="73" s="1"/>
  <c r="N41" i="73" a="1"/>
  <c r="N41" i="73" s="1"/>
  <c r="M41" i="73" a="1"/>
  <c r="M41" i="73" s="1"/>
  <c r="L41" i="73" a="1"/>
  <c r="L41" i="73" s="1"/>
  <c r="K41" i="73"/>
  <c r="J41" i="73"/>
  <c r="J41" i="73" a="1"/>
  <c r="I41" i="73"/>
  <c r="P40" i="73"/>
  <c r="O40" i="73" a="1"/>
  <c r="O40" i="73" s="1"/>
  <c r="N40" i="73" a="1"/>
  <c r="N40" i="73" s="1"/>
  <c r="M40" i="73" a="1"/>
  <c r="M40" i="73" s="1"/>
  <c r="L40" i="73" a="1"/>
  <c r="L40" i="73" s="1"/>
  <c r="K40" i="73"/>
  <c r="J40" i="73" a="1"/>
  <c r="J40" i="73" s="1"/>
  <c r="I40" i="73"/>
  <c r="P39" i="73"/>
  <c r="O39" i="73" a="1"/>
  <c r="O39" i="73" s="1"/>
  <c r="N39" i="73" a="1"/>
  <c r="N39" i="73" s="1"/>
  <c r="M39" i="73" a="1"/>
  <c r="M39" i="73" s="1"/>
  <c r="L39" i="73" a="1"/>
  <c r="L39" i="73" s="1"/>
  <c r="K39" i="73"/>
  <c r="J39" i="73" a="1"/>
  <c r="J39" i="73" s="1"/>
  <c r="I39" i="73"/>
  <c r="P38" i="73"/>
  <c r="O38" i="73" a="1"/>
  <c r="O38" i="73" s="1"/>
  <c r="N38" i="73" a="1"/>
  <c r="N38" i="73" s="1"/>
  <c r="M38" i="73" a="1"/>
  <c r="M38" i="73" s="1"/>
  <c r="L38" i="73" a="1"/>
  <c r="L38" i="73" s="1"/>
  <c r="K38" i="73"/>
  <c r="J38" i="73" a="1"/>
  <c r="J38" i="73" s="1"/>
  <c r="I38" i="73"/>
  <c r="P37" i="73"/>
  <c r="Q37" i="73" s="1"/>
  <c r="O37" i="73" a="1"/>
  <c r="O37" i="73" s="1"/>
  <c r="N37" i="73" a="1"/>
  <c r="N37" i="73" s="1"/>
  <c r="M37" i="73" a="1"/>
  <c r="M37" i="73" s="1"/>
  <c r="L37" i="73" a="1"/>
  <c r="L37" i="73" s="1"/>
  <c r="K37" i="73"/>
  <c r="J37" i="73" a="1"/>
  <c r="J37" i="73" s="1"/>
  <c r="I37" i="73"/>
  <c r="P36" i="73"/>
  <c r="O36" i="73" a="1"/>
  <c r="O36" i="73" s="1"/>
  <c r="N36" i="73" a="1"/>
  <c r="N36" i="73" s="1"/>
  <c r="M36" i="73" a="1"/>
  <c r="M36" i="73" s="1"/>
  <c r="L36" i="73" a="1"/>
  <c r="L36" i="73" s="1"/>
  <c r="K36" i="73"/>
  <c r="J36" i="73" a="1"/>
  <c r="J36" i="73" s="1"/>
  <c r="I36" i="73"/>
  <c r="P35" i="73"/>
  <c r="O35" i="73" a="1"/>
  <c r="O35" i="73" s="1"/>
  <c r="N35" i="73" a="1"/>
  <c r="N35" i="73" s="1"/>
  <c r="M35" i="73" a="1"/>
  <c r="M35" i="73" s="1"/>
  <c r="L35" i="73" a="1"/>
  <c r="L35" i="73" s="1"/>
  <c r="K35" i="73"/>
  <c r="J35" i="73" a="1"/>
  <c r="J35" i="73" s="1"/>
  <c r="I35" i="73"/>
  <c r="P27" i="73"/>
  <c r="O27" i="73" a="1"/>
  <c r="O27" i="73" s="1"/>
  <c r="N27" i="73" a="1"/>
  <c r="N27" i="73" s="1"/>
  <c r="M27" i="73" a="1"/>
  <c r="M27" i="73" s="1"/>
  <c r="L27" i="73" a="1"/>
  <c r="L27" i="73" s="1"/>
  <c r="K27" i="73"/>
  <c r="J27" i="73" a="1"/>
  <c r="J27" i="73" s="1"/>
  <c r="I27" i="73"/>
  <c r="P26" i="73"/>
  <c r="O26" i="73" a="1"/>
  <c r="O26" i="73" s="1"/>
  <c r="N26" i="73" a="1"/>
  <c r="N26" i="73" s="1"/>
  <c r="M26" i="73" a="1"/>
  <c r="M26" i="73" s="1"/>
  <c r="L26" i="73" a="1"/>
  <c r="L26" i="73" s="1"/>
  <c r="K26" i="73"/>
  <c r="J26" i="73" a="1"/>
  <c r="J26" i="73" s="1"/>
  <c r="I26" i="73"/>
  <c r="P25" i="73"/>
  <c r="O25" i="73" a="1"/>
  <c r="O25" i="73" s="1"/>
  <c r="N25" i="73" a="1"/>
  <c r="N25" i="73" s="1"/>
  <c r="M25" i="73" a="1"/>
  <c r="M25" i="73" s="1"/>
  <c r="L25" i="73" a="1"/>
  <c r="L25" i="73" s="1"/>
  <c r="K25" i="73"/>
  <c r="J25" i="73" a="1"/>
  <c r="J25" i="73" s="1"/>
  <c r="I25" i="73"/>
  <c r="P24" i="73"/>
  <c r="O24" i="73" a="1"/>
  <c r="O24" i="73" s="1"/>
  <c r="N24" i="73" a="1"/>
  <c r="N24" i="73" s="1"/>
  <c r="M24" i="73" a="1"/>
  <c r="M24" i="73" s="1"/>
  <c r="L24" i="73" a="1"/>
  <c r="L24" i="73" s="1"/>
  <c r="K24" i="73"/>
  <c r="J24" i="73" a="1"/>
  <c r="J24" i="73" s="1"/>
  <c r="Q24" i="73" s="1"/>
  <c r="I24" i="73"/>
  <c r="P23" i="73"/>
  <c r="O23" i="73" a="1"/>
  <c r="O23" i="73" s="1"/>
  <c r="N23" i="73" a="1"/>
  <c r="N23" i="73" s="1"/>
  <c r="M23" i="73" a="1"/>
  <c r="M23" i="73" s="1"/>
  <c r="L23" i="73" a="1"/>
  <c r="L23" i="73" s="1"/>
  <c r="K23" i="73"/>
  <c r="J23" i="73"/>
  <c r="J23" i="73" a="1"/>
  <c r="I23" i="73"/>
  <c r="P22" i="73"/>
  <c r="O22" i="73" a="1"/>
  <c r="O22" i="73" s="1"/>
  <c r="N22" i="73" a="1"/>
  <c r="N22" i="73" s="1"/>
  <c r="M22" i="73" a="1"/>
  <c r="M22" i="73" s="1"/>
  <c r="L22" i="73" a="1"/>
  <c r="L22" i="73" s="1"/>
  <c r="K22" i="73"/>
  <c r="J22" i="73" a="1"/>
  <c r="J22" i="73" s="1"/>
  <c r="Q22" i="73" s="1"/>
  <c r="I22" i="73"/>
  <c r="P21" i="73"/>
  <c r="O21" i="73" a="1"/>
  <c r="O21" i="73" s="1"/>
  <c r="N21" i="73" a="1"/>
  <c r="N21" i="73" s="1"/>
  <c r="M21" i="73" a="1"/>
  <c r="M21" i="73" s="1"/>
  <c r="L21" i="73" a="1"/>
  <c r="L21" i="73" s="1"/>
  <c r="K21" i="73"/>
  <c r="J21" i="73" a="1"/>
  <c r="J21" i="73" s="1"/>
  <c r="I21" i="73"/>
  <c r="P20" i="73"/>
  <c r="O20" i="73" a="1"/>
  <c r="O20" i="73" s="1"/>
  <c r="N20" i="73" a="1"/>
  <c r="N20" i="73" s="1"/>
  <c r="M20" i="73" a="1"/>
  <c r="M20" i="73" s="1"/>
  <c r="L20" i="73" a="1"/>
  <c r="L20" i="73" s="1"/>
  <c r="K20" i="73"/>
  <c r="J20" i="73" a="1"/>
  <c r="J20" i="73" s="1"/>
  <c r="I20" i="73"/>
  <c r="P19" i="73"/>
  <c r="O19" i="73" a="1"/>
  <c r="O19" i="73" s="1"/>
  <c r="N19" i="73" a="1"/>
  <c r="N19" i="73" s="1"/>
  <c r="M19" i="73" a="1"/>
  <c r="M19" i="73" s="1"/>
  <c r="L19" i="73" a="1"/>
  <c r="L19" i="73" s="1"/>
  <c r="K19" i="73"/>
  <c r="J19" i="73" a="1"/>
  <c r="J19" i="73" s="1"/>
  <c r="I19" i="73"/>
  <c r="P18" i="73"/>
  <c r="O18" i="73" a="1"/>
  <c r="O18" i="73" s="1"/>
  <c r="N18" i="73" a="1"/>
  <c r="N18" i="73" s="1"/>
  <c r="M18" i="73" a="1"/>
  <c r="M18" i="73" s="1"/>
  <c r="L18" i="73" a="1"/>
  <c r="L18" i="73" s="1"/>
  <c r="K18" i="73"/>
  <c r="J18" i="73" a="1"/>
  <c r="J18" i="73" s="1"/>
  <c r="I18" i="73"/>
  <c r="P16" i="73"/>
  <c r="O16" i="73" a="1"/>
  <c r="O16" i="73" s="1"/>
  <c r="N16" i="73" a="1"/>
  <c r="N16" i="73" s="1"/>
  <c r="M16" i="73" a="1"/>
  <c r="M16" i="73" s="1"/>
  <c r="L16" i="73" a="1"/>
  <c r="L16" i="73" s="1"/>
  <c r="K16" i="73"/>
  <c r="J16" i="73" a="1"/>
  <c r="J16" i="73" s="1"/>
  <c r="I16" i="73"/>
  <c r="P15" i="73"/>
  <c r="O15" i="73" a="1"/>
  <c r="O15" i="73" s="1"/>
  <c r="N15" i="73" a="1"/>
  <c r="N15" i="73" s="1"/>
  <c r="M15" i="73" a="1"/>
  <c r="M15" i="73" s="1"/>
  <c r="L15" i="73" a="1"/>
  <c r="L15" i="73" s="1"/>
  <c r="K15" i="73"/>
  <c r="J15" i="73" a="1"/>
  <c r="J15" i="73" s="1"/>
  <c r="I15" i="73"/>
  <c r="P14" i="73"/>
  <c r="O14" i="73" a="1"/>
  <c r="O14" i="73" s="1"/>
  <c r="N14" i="73" a="1"/>
  <c r="N14" i="73" s="1"/>
  <c r="M14" i="73" a="1"/>
  <c r="M14" i="73" s="1"/>
  <c r="L14" i="73" a="1"/>
  <c r="L14" i="73" s="1"/>
  <c r="K14" i="73"/>
  <c r="J14" i="73" a="1"/>
  <c r="J14" i="73" s="1"/>
  <c r="I14" i="73"/>
  <c r="P13" i="73"/>
  <c r="O13" i="73" a="1"/>
  <c r="O13" i="73" s="1"/>
  <c r="N13" i="73" a="1"/>
  <c r="N13" i="73" s="1"/>
  <c r="M13" i="73" a="1"/>
  <c r="M13" i="73" s="1"/>
  <c r="L13" i="73" a="1"/>
  <c r="L13" i="73" s="1"/>
  <c r="K13" i="73"/>
  <c r="J13" i="73" a="1"/>
  <c r="J13" i="73" s="1"/>
  <c r="I13" i="73"/>
  <c r="P12" i="73"/>
  <c r="O12" i="73" a="1"/>
  <c r="O12" i="73" s="1"/>
  <c r="N12" i="73" a="1"/>
  <c r="N12" i="73" s="1"/>
  <c r="M12" i="73"/>
  <c r="M12" i="73" a="1"/>
  <c r="L12" i="73" a="1"/>
  <c r="L12" i="73" s="1"/>
  <c r="K12" i="73"/>
  <c r="J12" i="73" a="1"/>
  <c r="J12" i="73" s="1"/>
  <c r="I12" i="73"/>
  <c r="P11" i="73"/>
  <c r="O11" i="73" a="1"/>
  <c r="O11" i="73" s="1"/>
  <c r="N11" i="73" a="1"/>
  <c r="N11" i="73" s="1"/>
  <c r="M11" i="73" a="1"/>
  <c r="M11" i="73" s="1"/>
  <c r="L11" i="73" a="1"/>
  <c r="L11" i="73" s="1"/>
  <c r="K11" i="73"/>
  <c r="J11" i="73" a="1"/>
  <c r="J11" i="73" s="1"/>
  <c r="I11" i="73"/>
  <c r="P10" i="73"/>
  <c r="O10" i="73" a="1"/>
  <c r="O10" i="73" s="1"/>
  <c r="N10" i="73"/>
  <c r="N10" i="73" a="1"/>
  <c r="M10" i="73" a="1"/>
  <c r="M10" i="73" s="1"/>
  <c r="L10" i="73" a="1"/>
  <c r="L10" i="73" s="1"/>
  <c r="K10" i="73"/>
  <c r="J10" i="73" a="1"/>
  <c r="J10" i="73" s="1"/>
  <c r="I10" i="73"/>
  <c r="P9" i="73"/>
  <c r="O9" i="73" a="1"/>
  <c r="O9" i="73" s="1"/>
  <c r="N9" i="73" a="1"/>
  <c r="N9" i="73" s="1"/>
  <c r="M9" i="73" a="1"/>
  <c r="M9" i="73" s="1"/>
  <c r="L9" i="73" a="1"/>
  <c r="L9" i="73" s="1"/>
  <c r="K9" i="73"/>
  <c r="J9" i="73" a="1"/>
  <c r="J9" i="73" s="1"/>
  <c r="I9" i="73"/>
  <c r="P8" i="73"/>
  <c r="Q8" i="73" s="1"/>
  <c r="O8" i="73" a="1"/>
  <c r="O8" i="73" s="1"/>
  <c r="N8" i="73" a="1"/>
  <c r="N8" i="73" s="1"/>
  <c r="M8" i="73" a="1"/>
  <c r="M8" i="73" s="1"/>
  <c r="L8" i="73" a="1"/>
  <c r="L8" i="73" s="1"/>
  <c r="K8" i="73"/>
  <c r="J8" i="73" a="1"/>
  <c r="J8" i="73" s="1"/>
  <c r="I8" i="73"/>
  <c r="P7" i="73"/>
  <c r="O7" i="73" a="1"/>
  <c r="O7" i="73" s="1"/>
  <c r="N7" i="73" a="1"/>
  <c r="N7" i="73" s="1"/>
  <c r="M7" i="73" a="1"/>
  <c r="M7" i="73" s="1"/>
  <c r="L7" i="73" a="1"/>
  <c r="L7" i="73" s="1"/>
  <c r="K7" i="73"/>
  <c r="J7" i="73" a="1"/>
  <c r="J7" i="73" s="1"/>
  <c r="I7" i="73"/>
  <c r="P6" i="73"/>
  <c r="O6" i="73" a="1"/>
  <c r="O6" i="73" s="1"/>
  <c r="N6" i="73" a="1"/>
  <c r="N6" i="73" s="1"/>
  <c r="M6" i="73" a="1"/>
  <c r="M6" i="73" s="1"/>
  <c r="L6" i="73" a="1"/>
  <c r="L6" i="73" s="1"/>
  <c r="K6" i="73"/>
  <c r="J6" i="73" a="1"/>
  <c r="J6" i="73" s="1"/>
  <c r="I6" i="73"/>
  <c r="P5" i="73"/>
  <c r="Q5" i="73" s="1"/>
  <c r="O5" i="73" a="1"/>
  <c r="O5" i="73" s="1"/>
  <c r="N5" i="73" a="1"/>
  <c r="N5" i="73" s="1"/>
  <c r="M5" i="73" a="1"/>
  <c r="M5" i="73" s="1"/>
  <c r="L5" i="73" a="1"/>
  <c r="L5" i="73" s="1"/>
  <c r="K5" i="73"/>
  <c r="J5" i="73" a="1"/>
  <c r="J5" i="73" s="1"/>
  <c r="I5" i="73"/>
  <c r="P4" i="73"/>
  <c r="O4" i="73" a="1"/>
  <c r="O4" i="73" s="1"/>
  <c r="N4" i="73" a="1"/>
  <c r="N4" i="73" s="1"/>
  <c r="M4" i="73" a="1"/>
  <c r="M4" i="73" s="1"/>
  <c r="L4" i="73" a="1"/>
  <c r="L4" i="73" s="1"/>
  <c r="K4" i="73"/>
  <c r="J4" i="73" a="1"/>
  <c r="J4" i="73" s="1"/>
  <c r="I4" i="73"/>
  <c r="P3" i="73"/>
  <c r="O3" i="73" a="1"/>
  <c r="O3" i="73" s="1"/>
  <c r="N3" i="73" a="1"/>
  <c r="N3" i="73" s="1"/>
  <c r="M3" i="73" a="1"/>
  <c r="M3" i="73" s="1"/>
  <c r="L3" i="73" a="1"/>
  <c r="L3" i="73" s="1"/>
  <c r="K3" i="73"/>
  <c r="J3" i="73" a="1"/>
  <c r="J3" i="73" s="1"/>
  <c r="I3" i="73"/>
  <c r="I201" i="76"/>
  <c r="Q193" i="76"/>
  <c r="Q191" i="76"/>
  <c r="Q190" i="76"/>
  <c r="Q186" i="76"/>
  <c r="Q182" i="76"/>
  <c r="Q181" i="76"/>
  <c r="Q169" i="76"/>
  <c r="Q167" i="76"/>
  <c r="Q164" i="76"/>
  <c r="Q163" i="76"/>
  <c r="Q159" i="76"/>
  <c r="Q156" i="76"/>
  <c r="K157" i="76"/>
  <c r="Q136" i="76"/>
  <c r="Q132" i="76"/>
  <c r="Q130" i="76"/>
  <c r="Q126" i="76"/>
  <c r="Q125" i="76"/>
  <c r="Q124" i="76"/>
  <c r="Q122" i="76"/>
  <c r="Q115" i="76"/>
  <c r="Q94" i="76"/>
  <c r="Q91" i="76"/>
  <c r="Q84" i="76"/>
  <c r="Q75" i="76"/>
  <c r="Q72" i="76"/>
  <c r="M201" i="75"/>
  <c r="I201" i="75"/>
  <c r="K197" i="75"/>
  <c r="Q186" i="75"/>
  <c r="Q165" i="75"/>
  <c r="I148" i="75"/>
  <c r="Q133" i="75"/>
  <c r="Q127" i="75"/>
  <c r="Q110" i="75"/>
  <c r="Q96" i="75"/>
  <c r="Q66" i="75"/>
  <c r="K54" i="75"/>
  <c r="Q53" i="75"/>
  <c r="Q27" i="75"/>
  <c r="N201" i="74"/>
  <c r="L201" i="74"/>
  <c r="K201" i="74"/>
  <c r="K197" i="74"/>
  <c r="Q196" i="74"/>
  <c r="J197" i="74"/>
  <c r="N197" i="74"/>
  <c r="I197" i="74"/>
  <c r="Q193" i="74"/>
  <c r="Q190" i="74"/>
  <c r="Q189" i="74"/>
  <c r="Q185" i="74"/>
  <c r="Q181" i="74"/>
  <c r="Q180" i="74"/>
  <c r="Q178" i="74"/>
  <c r="Q177" i="74"/>
  <c r="Q173" i="74"/>
  <c r="Q171" i="74"/>
  <c r="Q169" i="74"/>
  <c r="Q166" i="74"/>
  <c r="Q162" i="74"/>
  <c r="Q160" i="74"/>
  <c r="Q159" i="74"/>
  <c r="Q158" i="74"/>
  <c r="Q143" i="74"/>
  <c r="Q138" i="74"/>
  <c r="Q137" i="74"/>
  <c r="Q134" i="74"/>
  <c r="Q116" i="74"/>
  <c r="Q114" i="74"/>
  <c r="Q112" i="74"/>
  <c r="Q95" i="74"/>
  <c r="Q91" i="74"/>
  <c r="Q81" i="74"/>
  <c r="Q75" i="74"/>
  <c r="Q74" i="74"/>
  <c r="Q70" i="74"/>
  <c r="I54" i="74"/>
  <c r="P197" i="73"/>
  <c r="Q196" i="73"/>
  <c r="K197" i="73"/>
  <c r="Q142" i="73"/>
  <c r="Q140" i="73"/>
  <c r="Q127" i="73"/>
  <c r="Q123" i="73"/>
  <c r="Q119" i="73"/>
  <c r="P200" i="72"/>
  <c r="O200" i="72" a="1"/>
  <c r="O200" i="72" s="1"/>
  <c r="N200" i="72" a="1"/>
  <c r="N200" i="72" s="1"/>
  <c r="M200" i="72" a="1"/>
  <c r="M200" i="72" s="1"/>
  <c r="L200" i="72" a="1"/>
  <c r="L200" i="72" s="1"/>
  <c r="K200" i="72"/>
  <c r="J200" i="72" a="1"/>
  <c r="J200" i="72" s="1"/>
  <c r="I200" i="72"/>
  <c r="P199" i="72"/>
  <c r="O199" i="72" a="1"/>
  <c r="O199" i="72" s="1"/>
  <c r="N199" i="72" a="1"/>
  <c r="N199" i="72" s="1"/>
  <c r="N201" i="72" s="1"/>
  <c r="M199" i="72" a="1"/>
  <c r="M199" i="72" s="1"/>
  <c r="M201" i="72" s="1"/>
  <c r="L199" i="72" a="1"/>
  <c r="L199" i="72" s="1"/>
  <c r="K199" i="72"/>
  <c r="J199" i="72" a="1"/>
  <c r="J199" i="72" s="1"/>
  <c r="I199" i="72"/>
  <c r="P196" i="72"/>
  <c r="O196" i="72" a="1"/>
  <c r="O196" i="72" s="1"/>
  <c r="N196" i="72" a="1"/>
  <c r="N196" i="72" s="1"/>
  <c r="M196" i="72" a="1"/>
  <c r="M196" i="72" s="1"/>
  <c r="L196" i="72" a="1"/>
  <c r="L196" i="72" s="1"/>
  <c r="K196" i="72"/>
  <c r="J196" i="72" a="1"/>
  <c r="J196" i="72" s="1"/>
  <c r="I196" i="72"/>
  <c r="P195" i="72"/>
  <c r="O195" i="72" a="1"/>
  <c r="O195" i="72" s="1"/>
  <c r="N195" i="72" a="1"/>
  <c r="N195" i="72" s="1"/>
  <c r="M195" i="72" a="1"/>
  <c r="M195" i="72" s="1"/>
  <c r="M197" i="72" s="1"/>
  <c r="L195" i="72" a="1"/>
  <c r="L195" i="72" s="1"/>
  <c r="K195" i="72"/>
  <c r="J195" i="72" a="1"/>
  <c r="J195" i="72" s="1"/>
  <c r="I195" i="72"/>
  <c r="P193" i="72"/>
  <c r="O193" i="72" a="1"/>
  <c r="O193" i="72" s="1"/>
  <c r="N193" i="72" a="1"/>
  <c r="N193" i="72" s="1"/>
  <c r="M193" i="72" a="1"/>
  <c r="M193" i="72" s="1"/>
  <c r="L193" i="72" a="1"/>
  <c r="L193" i="72" s="1"/>
  <c r="K193" i="72"/>
  <c r="J193" i="72" a="1"/>
  <c r="J193" i="72" s="1"/>
  <c r="I193" i="72"/>
  <c r="P192" i="72"/>
  <c r="O192" i="72" a="1"/>
  <c r="O192" i="72" s="1"/>
  <c r="N192" i="72" a="1"/>
  <c r="N192" i="72" s="1"/>
  <c r="M192" i="72" a="1"/>
  <c r="M192" i="72" s="1"/>
  <c r="L192" i="72" a="1"/>
  <c r="L192" i="72" s="1"/>
  <c r="K192" i="72"/>
  <c r="J192" i="72" a="1"/>
  <c r="J192" i="72" s="1"/>
  <c r="I192" i="72"/>
  <c r="P191" i="72"/>
  <c r="O191" i="72" a="1"/>
  <c r="O191" i="72" s="1"/>
  <c r="N191" i="72" a="1"/>
  <c r="N191" i="72" s="1"/>
  <c r="M191" i="72" a="1"/>
  <c r="M191" i="72" s="1"/>
  <c r="L191" i="72" a="1"/>
  <c r="L191" i="72" s="1"/>
  <c r="K191" i="72"/>
  <c r="J191" i="72" a="1"/>
  <c r="J191" i="72" s="1"/>
  <c r="I191" i="72"/>
  <c r="P190" i="72"/>
  <c r="O190" i="72" a="1"/>
  <c r="O190" i="72" s="1"/>
  <c r="N190" i="72" a="1"/>
  <c r="N190" i="72" s="1"/>
  <c r="M190" i="72" a="1"/>
  <c r="M190" i="72" s="1"/>
  <c r="L190" i="72" a="1"/>
  <c r="L190" i="72" s="1"/>
  <c r="K190" i="72"/>
  <c r="J190" i="72" a="1"/>
  <c r="J190" i="72" s="1"/>
  <c r="Q190" i="72" s="1"/>
  <c r="I190" i="72"/>
  <c r="P189" i="72"/>
  <c r="O189" i="72" a="1"/>
  <c r="O189" i="72" s="1"/>
  <c r="N189" i="72" a="1"/>
  <c r="N189" i="72" s="1"/>
  <c r="M189" i="72" a="1"/>
  <c r="M189" i="72" s="1"/>
  <c r="L189" i="72" a="1"/>
  <c r="L189" i="72" s="1"/>
  <c r="K189" i="72"/>
  <c r="J189" i="72" a="1"/>
  <c r="J189" i="72" s="1"/>
  <c r="I189" i="72"/>
  <c r="P188" i="72"/>
  <c r="O188" i="72" a="1"/>
  <c r="O188" i="72" s="1"/>
  <c r="N188" i="72" a="1"/>
  <c r="N188" i="72" s="1"/>
  <c r="M188" i="72" a="1"/>
  <c r="M188" i="72" s="1"/>
  <c r="L188" i="72" a="1"/>
  <c r="L188" i="72" s="1"/>
  <c r="K188" i="72"/>
  <c r="J188" i="72" a="1"/>
  <c r="J188" i="72" s="1"/>
  <c r="I188" i="72"/>
  <c r="P187" i="72"/>
  <c r="O187" i="72" a="1"/>
  <c r="O187" i="72" s="1"/>
  <c r="N187" i="72" a="1"/>
  <c r="N187" i="72" s="1"/>
  <c r="M187" i="72" a="1"/>
  <c r="M187" i="72" s="1"/>
  <c r="L187" i="72" a="1"/>
  <c r="L187" i="72" s="1"/>
  <c r="K187" i="72"/>
  <c r="J187" i="72" a="1"/>
  <c r="J187" i="72" s="1"/>
  <c r="I187" i="72"/>
  <c r="P186" i="72"/>
  <c r="O186" i="72" a="1"/>
  <c r="O186" i="72" s="1"/>
  <c r="N186" i="72" a="1"/>
  <c r="N186" i="72" s="1"/>
  <c r="M186" i="72" a="1"/>
  <c r="M186" i="72" s="1"/>
  <c r="L186" i="72" a="1"/>
  <c r="L186" i="72" s="1"/>
  <c r="K186" i="72"/>
  <c r="J186" i="72" a="1"/>
  <c r="J186" i="72" s="1"/>
  <c r="I186" i="72"/>
  <c r="P185" i="72"/>
  <c r="O185" i="72"/>
  <c r="O185" i="72" a="1"/>
  <c r="N185" i="72" a="1"/>
  <c r="N185" i="72" s="1"/>
  <c r="M185" i="72" a="1"/>
  <c r="M185" i="72" s="1"/>
  <c r="L185" i="72" a="1"/>
  <c r="L185" i="72" s="1"/>
  <c r="K185" i="72"/>
  <c r="J185" i="72" a="1"/>
  <c r="J185" i="72" s="1"/>
  <c r="Q185" i="72" s="1"/>
  <c r="I185" i="72"/>
  <c r="P184" i="72"/>
  <c r="O184" i="72" a="1"/>
  <c r="O184" i="72" s="1"/>
  <c r="N184" i="72" a="1"/>
  <c r="N184" i="72" s="1"/>
  <c r="M184" i="72" a="1"/>
  <c r="M184" i="72" s="1"/>
  <c r="L184" i="72" a="1"/>
  <c r="L184" i="72" s="1"/>
  <c r="K184" i="72"/>
  <c r="J184" i="72" a="1"/>
  <c r="J184" i="72" s="1"/>
  <c r="Q184" i="72" s="1"/>
  <c r="I184" i="72"/>
  <c r="P183" i="72"/>
  <c r="O183" i="72" a="1"/>
  <c r="O183" i="72" s="1"/>
  <c r="N183" i="72" a="1"/>
  <c r="N183" i="72" s="1"/>
  <c r="M183" i="72" a="1"/>
  <c r="M183" i="72" s="1"/>
  <c r="L183" i="72" a="1"/>
  <c r="L183" i="72" s="1"/>
  <c r="K183" i="72"/>
  <c r="J183" i="72" a="1"/>
  <c r="J183" i="72" s="1"/>
  <c r="Q183" i="72" s="1"/>
  <c r="I183" i="72"/>
  <c r="P182" i="72"/>
  <c r="Q182" i="72" s="1"/>
  <c r="O182" i="72" a="1"/>
  <c r="O182" i="72" s="1"/>
  <c r="N182" i="72"/>
  <c r="N182" i="72" a="1"/>
  <c r="M182" i="72" a="1"/>
  <c r="M182" i="72" s="1"/>
  <c r="L182" i="72" a="1"/>
  <c r="L182" i="72" s="1"/>
  <c r="K182" i="72"/>
  <c r="J182" i="72" a="1"/>
  <c r="J182" i="72" s="1"/>
  <c r="I182" i="72"/>
  <c r="P181" i="72"/>
  <c r="O181" i="72" a="1"/>
  <c r="O181" i="72" s="1"/>
  <c r="N181" i="72" a="1"/>
  <c r="N181" i="72" s="1"/>
  <c r="M181" i="72" a="1"/>
  <c r="M181" i="72" s="1"/>
  <c r="L181" i="72" a="1"/>
  <c r="L181" i="72" s="1"/>
  <c r="K181" i="72"/>
  <c r="J181" i="72" a="1"/>
  <c r="J181" i="72" s="1"/>
  <c r="I181" i="72"/>
  <c r="P180" i="72"/>
  <c r="O180" i="72" a="1"/>
  <c r="O180" i="72" s="1"/>
  <c r="N180" i="72" a="1"/>
  <c r="N180" i="72" s="1"/>
  <c r="M180" i="72" a="1"/>
  <c r="M180" i="72" s="1"/>
  <c r="L180" i="72" a="1"/>
  <c r="L180" i="72" s="1"/>
  <c r="K180" i="72"/>
  <c r="J180" i="72" a="1"/>
  <c r="J180" i="72" s="1"/>
  <c r="I180" i="72"/>
  <c r="P179" i="72"/>
  <c r="O179" i="72" a="1"/>
  <c r="O179" i="72" s="1"/>
  <c r="N179" i="72" a="1"/>
  <c r="N179" i="72" s="1"/>
  <c r="M179" i="72"/>
  <c r="M179" i="72" a="1"/>
  <c r="L179" i="72"/>
  <c r="L179" i="72" a="1"/>
  <c r="K179" i="72"/>
  <c r="J179" i="72" a="1"/>
  <c r="J179" i="72" s="1"/>
  <c r="I179" i="72"/>
  <c r="P178" i="72"/>
  <c r="O178" i="72" a="1"/>
  <c r="O178" i="72" s="1"/>
  <c r="N178" i="72" a="1"/>
  <c r="N178" i="72" s="1"/>
  <c r="M178" i="72" a="1"/>
  <c r="M178" i="72" s="1"/>
  <c r="L178" i="72" a="1"/>
  <c r="L178" i="72" s="1"/>
  <c r="K178" i="72"/>
  <c r="J178" i="72" a="1"/>
  <c r="J178" i="72" s="1"/>
  <c r="I178" i="72"/>
  <c r="P177" i="72"/>
  <c r="O177" i="72" a="1"/>
  <c r="O177" i="72" s="1"/>
  <c r="N177" i="72" a="1"/>
  <c r="N177" i="72" s="1"/>
  <c r="M177" i="72" a="1"/>
  <c r="M177" i="72" s="1"/>
  <c r="L177" i="72" a="1"/>
  <c r="L177" i="72" s="1"/>
  <c r="K177" i="72"/>
  <c r="J177" i="72" a="1"/>
  <c r="J177" i="72" s="1"/>
  <c r="I177" i="72"/>
  <c r="P176" i="72"/>
  <c r="O176" i="72"/>
  <c r="O176" i="72" a="1"/>
  <c r="N176" i="72" a="1"/>
  <c r="N176" i="72" s="1"/>
  <c r="M176" i="72" a="1"/>
  <c r="M176" i="72" s="1"/>
  <c r="L176" i="72" a="1"/>
  <c r="L176" i="72" s="1"/>
  <c r="K176" i="72"/>
  <c r="J176" i="72" a="1"/>
  <c r="J176" i="72" s="1"/>
  <c r="I176" i="72"/>
  <c r="P175" i="72"/>
  <c r="O175" i="72" a="1"/>
  <c r="O175" i="72" s="1"/>
  <c r="N175" i="72" a="1"/>
  <c r="N175" i="72" s="1"/>
  <c r="M175" i="72" a="1"/>
  <c r="M175" i="72" s="1"/>
  <c r="L175" i="72" a="1"/>
  <c r="L175" i="72" s="1"/>
  <c r="K175" i="72"/>
  <c r="J175" i="72" a="1"/>
  <c r="J175" i="72" s="1"/>
  <c r="I175" i="72"/>
  <c r="P174" i="72"/>
  <c r="O174" i="72"/>
  <c r="O174" i="72" a="1"/>
  <c r="N174" i="72" a="1"/>
  <c r="N174" i="72" s="1"/>
  <c r="M174" i="72" a="1"/>
  <c r="M174" i="72" s="1"/>
  <c r="L174" i="72" a="1"/>
  <c r="L174" i="72" s="1"/>
  <c r="K174" i="72"/>
  <c r="J174" i="72" a="1"/>
  <c r="J174" i="72" s="1"/>
  <c r="I174" i="72"/>
  <c r="P173" i="72"/>
  <c r="O173" i="72" a="1"/>
  <c r="O173" i="72" s="1"/>
  <c r="N173" i="72" a="1"/>
  <c r="N173" i="72" s="1"/>
  <c r="M173" i="72" a="1"/>
  <c r="M173" i="72" s="1"/>
  <c r="L173" i="72" a="1"/>
  <c r="L173" i="72" s="1"/>
  <c r="K173" i="72"/>
  <c r="J173" i="72" a="1"/>
  <c r="J173" i="72" s="1"/>
  <c r="I173" i="72"/>
  <c r="P172" i="72"/>
  <c r="O172" i="72" a="1"/>
  <c r="O172" i="72" s="1"/>
  <c r="N172" i="72" a="1"/>
  <c r="N172" i="72" s="1"/>
  <c r="M172" i="72" a="1"/>
  <c r="M172" i="72" s="1"/>
  <c r="L172" i="72" a="1"/>
  <c r="L172" i="72" s="1"/>
  <c r="K172" i="72"/>
  <c r="J172" i="72" a="1"/>
  <c r="J172" i="72" s="1"/>
  <c r="I172" i="72"/>
  <c r="P171" i="72"/>
  <c r="O171" i="72" a="1"/>
  <c r="O171" i="72" s="1"/>
  <c r="N171" i="72" a="1"/>
  <c r="N171" i="72" s="1"/>
  <c r="M171" i="72" a="1"/>
  <c r="M171" i="72" s="1"/>
  <c r="L171" i="72" a="1"/>
  <c r="L171" i="72" s="1"/>
  <c r="K171" i="72"/>
  <c r="J171" i="72" a="1"/>
  <c r="J171" i="72" s="1"/>
  <c r="I171" i="72"/>
  <c r="P170" i="72"/>
  <c r="O170" i="72" a="1"/>
  <c r="O170" i="72" s="1"/>
  <c r="N170" i="72" a="1"/>
  <c r="N170" i="72" s="1"/>
  <c r="M170" i="72" a="1"/>
  <c r="M170" i="72" s="1"/>
  <c r="L170" i="72" a="1"/>
  <c r="L170" i="72" s="1"/>
  <c r="K170" i="72"/>
  <c r="J170" i="72" a="1"/>
  <c r="J170" i="72" s="1"/>
  <c r="I170" i="72"/>
  <c r="P169" i="72"/>
  <c r="O169" i="72" a="1"/>
  <c r="O169" i="72" s="1"/>
  <c r="N169" i="72" a="1"/>
  <c r="N169" i="72" s="1"/>
  <c r="M169" i="72" a="1"/>
  <c r="M169" i="72" s="1"/>
  <c r="L169" i="72" a="1"/>
  <c r="L169" i="72" s="1"/>
  <c r="K169" i="72"/>
  <c r="J169" i="72" a="1"/>
  <c r="J169" i="72" s="1"/>
  <c r="I169" i="72"/>
  <c r="P168" i="72"/>
  <c r="O168" i="72" a="1"/>
  <c r="O168" i="72" s="1"/>
  <c r="N168" i="72" a="1"/>
  <c r="N168" i="72" s="1"/>
  <c r="M168" i="72" a="1"/>
  <c r="M168" i="72" s="1"/>
  <c r="L168" i="72" a="1"/>
  <c r="L168" i="72" s="1"/>
  <c r="K168" i="72"/>
  <c r="J168" i="72" a="1"/>
  <c r="J168" i="72" s="1"/>
  <c r="I168" i="72"/>
  <c r="P167" i="72"/>
  <c r="O167" i="72" a="1"/>
  <c r="O167" i="72" s="1"/>
  <c r="N167" i="72" a="1"/>
  <c r="N167" i="72" s="1"/>
  <c r="M167" i="72" a="1"/>
  <c r="M167" i="72" s="1"/>
  <c r="L167" i="72" a="1"/>
  <c r="L167" i="72" s="1"/>
  <c r="K167" i="72"/>
  <c r="J167" i="72" a="1"/>
  <c r="J167" i="72" s="1"/>
  <c r="I167" i="72"/>
  <c r="P166" i="72"/>
  <c r="O166" i="72" a="1"/>
  <c r="O166" i="72" s="1"/>
  <c r="N166" i="72" a="1"/>
  <c r="N166" i="72" s="1"/>
  <c r="M166" i="72" a="1"/>
  <c r="M166" i="72" s="1"/>
  <c r="L166" i="72" a="1"/>
  <c r="L166" i="72" s="1"/>
  <c r="K166" i="72"/>
  <c r="J166" i="72" a="1"/>
  <c r="J166" i="72" s="1"/>
  <c r="Q166" i="72" s="1"/>
  <c r="I166" i="72"/>
  <c r="P165" i="72"/>
  <c r="O165" i="72" a="1"/>
  <c r="O165" i="72" s="1"/>
  <c r="N165" i="72" a="1"/>
  <c r="N165" i="72" s="1"/>
  <c r="M165" i="72" a="1"/>
  <c r="M165" i="72" s="1"/>
  <c r="L165" i="72" a="1"/>
  <c r="L165" i="72" s="1"/>
  <c r="K165" i="72"/>
  <c r="J165" i="72" a="1"/>
  <c r="J165" i="72" s="1"/>
  <c r="I165" i="72"/>
  <c r="P164" i="72"/>
  <c r="O164" i="72" a="1"/>
  <c r="O164" i="72" s="1"/>
  <c r="N164" i="72" a="1"/>
  <c r="N164" i="72" s="1"/>
  <c r="M164" i="72" a="1"/>
  <c r="M164" i="72" s="1"/>
  <c r="L164" i="72" a="1"/>
  <c r="L164" i="72" s="1"/>
  <c r="K164" i="72"/>
  <c r="J164" i="72" a="1"/>
  <c r="J164" i="72" s="1"/>
  <c r="Q164" i="72" s="1"/>
  <c r="I164" i="72"/>
  <c r="P163" i="72"/>
  <c r="O163" i="72" a="1"/>
  <c r="O163" i="72" s="1"/>
  <c r="N163" i="72" a="1"/>
  <c r="N163" i="72" s="1"/>
  <c r="M163" i="72" a="1"/>
  <c r="M163" i="72" s="1"/>
  <c r="L163" i="72" a="1"/>
  <c r="L163" i="72" s="1"/>
  <c r="K163" i="72"/>
  <c r="J163" i="72" a="1"/>
  <c r="J163" i="72" s="1"/>
  <c r="I163" i="72"/>
  <c r="P162" i="72"/>
  <c r="O162" i="72" a="1"/>
  <c r="O162" i="72" s="1"/>
  <c r="N162" i="72" a="1"/>
  <c r="N162" i="72" s="1"/>
  <c r="M162" i="72" a="1"/>
  <c r="M162" i="72" s="1"/>
  <c r="L162" i="72"/>
  <c r="L162" i="72" a="1"/>
  <c r="K162" i="72"/>
  <c r="J162" i="72" a="1"/>
  <c r="J162" i="72" s="1"/>
  <c r="I162" i="72"/>
  <c r="P161" i="72"/>
  <c r="O161" i="72" a="1"/>
  <c r="O161" i="72" s="1"/>
  <c r="N161" i="72" a="1"/>
  <c r="N161" i="72" s="1"/>
  <c r="M161" i="72" a="1"/>
  <c r="M161" i="72" s="1"/>
  <c r="L161" i="72" a="1"/>
  <c r="L161" i="72" s="1"/>
  <c r="K161" i="72"/>
  <c r="J161" i="72" a="1"/>
  <c r="J161" i="72" s="1"/>
  <c r="I161" i="72"/>
  <c r="P160" i="72"/>
  <c r="O160" i="72" a="1"/>
  <c r="O160" i="72" s="1"/>
  <c r="N160" i="72" a="1"/>
  <c r="N160" i="72" s="1"/>
  <c r="M160" i="72" a="1"/>
  <c r="M160" i="72" s="1"/>
  <c r="L160" i="72" a="1"/>
  <c r="L160" i="72" s="1"/>
  <c r="K160" i="72"/>
  <c r="J160" i="72" a="1"/>
  <c r="J160" i="72" s="1"/>
  <c r="I160" i="72"/>
  <c r="P159" i="72"/>
  <c r="O159" i="72" a="1"/>
  <c r="O159" i="72" s="1"/>
  <c r="N159" i="72" a="1"/>
  <c r="N159" i="72" s="1"/>
  <c r="M159" i="72" a="1"/>
  <c r="M159" i="72" s="1"/>
  <c r="L159" i="72" a="1"/>
  <c r="L159" i="72" s="1"/>
  <c r="K159" i="72"/>
  <c r="J159" i="72" a="1"/>
  <c r="J159" i="72" s="1"/>
  <c r="I159" i="72"/>
  <c r="P158" i="72"/>
  <c r="O158" i="72" a="1"/>
  <c r="O158" i="72" s="1"/>
  <c r="N158" i="72" a="1"/>
  <c r="N158" i="72" s="1"/>
  <c r="M158" i="72" a="1"/>
  <c r="M158" i="72" s="1"/>
  <c r="L158" i="72" a="1"/>
  <c r="L158" i="72" s="1"/>
  <c r="K158" i="72"/>
  <c r="J158" i="72" a="1"/>
  <c r="J158" i="72" s="1"/>
  <c r="I158" i="72"/>
  <c r="P156" i="72"/>
  <c r="O156" i="72" a="1"/>
  <c r="O156" i="72" s="1"/>
  <c r="N156" i="72" a="1"/>
  <c r="N156" i="72" s="1"/>
  <c r="M156" i="72" a="1"/>
  <c r="M156" i="72" s="1"/>
  <c r="L156" i="72"/>
  <c r="L156" i="72" a="1"/>
  <c r="K156" i="72"/>
  <c r="J156" i="72" a="1"/>
  <c r="J156" i="72" s="1"/>
  <c r="I156" i="72"/>
  <c r="P155" i="72"/>
  <c r="O155" i="72" a="1"/>
  <c r="O155" i="72" s="1"/>
  <c r="N155" i="72" a="1"/>
  <c r="N155" i="72" s="1"/>
  <c r="M155" i="72" a="1"/>
  <c r="M155" i="72" s="1"/>
  <c r="L155" i="72" a="1"/>
  <c r="L155" i="72" s="1"/>
  <c r="K155" i="72"/>
  <c r="J155" i="72" a="1"/>
  <c r="J155" i="72" s="1"/>
  <c r="I155" i="72"/>
  <c r="P154" i="72"/>
  <c r="O154" i="72" a="1"/>
  <c r="O154" i="72" s="1"/>
  <c r="N154" i="72"/>
  <c r="N154" i="72" a="1"/>
  <c r="M154" i="72" a="1"/>
  <c r="M154" i="72" s="1"/>
  <c r="L154" i="72" a="1"/>
  <c r="L154" i="72" s="1"/>
  <c r="K154" i="72"/>
  <c r="J154" i="72" a="1"/>
  <c r="J154" i="72" s="1"/>
  <c r="I154" i="72"/>
  <c r="P153" i="72"/>
  <c r="O153" i="72" a="1"/>
  <c r="O153" i="72" s="1"/>
  <c r="N153" i="72" a="1"/>
  <c r="N153" i="72" s="1"/>
  <c r="M153" i="72" a="1"/>
  <c r="M153" i="72" s="1"/>
  <c r="L153" i="72" a="1"/>
  <c r="L153" i="72" s="1"/>
  <c r="K153" i="72"/>
  <c r="J153" i="72" a="1"/>
  <c r="J153" i="72" s="1"/>
  <c r="I153" i="72"/>
  <c r="P152" i="72"/>
  <c r="O152" i="72" a="1"/>
  <c r="O152" i="72" s="1"/>
  <c r="N152" i="72" a="1"/>
  <c r="N152" i="72" s="1"/>
  <c r="M152" i="72" a="1"/>
  <c r="M152" i="72" s="1"/>
  <c r="L152" i="72" a="1"/>
  <c r="L152" i="72" s="1"/>
  <c r="K152" i="72"/>
  <c r="J152" i="72" a="1"/>
  <c r="J152" i="72" s="1"/>
  <c r="I152" i="72"/>
  <c r="P151" i="72"/>
  <c r="O151" i="72" a="1"/>
  <c r="O151" i="72" s="1"/>
  <c r="N151" i="72" a="1"/>
  <c r="N151" i="72" s="1"/>
  <c r="M151" i="72" a="1"/>
  <c r="M151" i="72" s="1"/>
  <c r="L151" i="72"/>
  <c r="L151" i="72" a="1"/>
  <c r="K151" i="72"/>
  <c r="J151" i="72" a="1"/>
  <c r="J151" i="72" s="1"/>
  <c r="I151" i="72"/>
  <c r="P150" i="72"/>
  <c r="O150" i="72" a="1"/>
  <c r="O150" i="72" s="1"/>
  <c r="N150" i="72" a="1"/>
  <c r="N150" i="72" s="1"/>
  <c r="M150" i="72" a="1"/>
  <c r="M150" i="72" s="1"/>
  <c r="L150" i="72" a="1"/>
  <c r="L150" i="72" s="1"/>
  <c r="K150" i="72"/>
  <c r="J150" i="72" a="1"/>
  <c r="J150" i="72" s="1"/>
  <c r="I150" i="72"/>
  <c r="P149" i="72"/>
  <c r="O149" i="72"/>
  <c r="O149" i="72" a="1"/>
  <c r="N149" i="72" a="1"/>
  <c r="N149" i="72" s="1"/>
  <c r="M149" i="72" a="1"/>
  <c r="M149" i="72" s="1"/>
  <c r="L149" i="72" a="1"/>
  <c r="L149" i="72" s="1"/>
  <c r="K149" i="72"/>
  <c r="J149" i="72" a="1"/>
  <c r="J149" i="72" s="1"/>
  <c r="I149" i="72"/>
  <c r="P147" i="72"/>
  <c r="O147" i="72" a="1"/>
  <c r="O147" i="72" s="1"/>
  <c r="N147" i="72" a="1"/>
  <c r="N147" i="72" s="1"/>
  <c r="M147" i="72" a="1"/>
  <c r="M147" i="72" s="1"/>
  <c r="L147" i="72" a="1"/>
  <c r="L147" i="72" s="1"/>
  <c r="K147" i="72"/>
  <c r="J147" i="72" a="1"/>
  <c r="J147" i="72" s="1"/>
  <c r="I147" i="72"/>
  <c r="P146" i="72"/>
  <c r="Q146" i="72" s="1"/>
  <c r="O146" i="72" a="1"/>
  <c r="O146" i="72" s="1"/>
  <c r="N146" i="72" a="1"/>
  <c r="N146" i="72" s="1"/>
  <c r="M146" i="72" a="1"/>
  <c r="M146" i="72" s="1"/>
  <c r="L146" i="72" a="1"/>
  <c r="L146" i="72" s="1"/>
  <c r="K146" i="72"/>
  <c r="J146" i="72" a="1"/>
  <c r="J146" i="72" s="1"/>
  <c r="I146" i="72"/>
  <c r="P145" i="72"/>
  <c r="O145" i="72" a="1"/>
  <c r="O145" i="72" s="1"/>
  <c r="N145" i="72" a="1"/>
  <c r="N145" i="72" s="1"/>
  <c r="M145" i="72" a="1"/>
  <c r="M145" i="72" s="1"/>
  <c r="L145" i="72"/>
  <c r="L145" i="72" a="1"/>
  <c r="K145" i="72"/>
  <c r="J145" i="72" a="1"/>
  <c r="J145" i="72" s="1"/>
  <c r="I145" i="72"/>
  <c r="P144" i="72"/>
  <c r="O144" i="72" a="1"/>
  <c r="O144" i="72" s="1"/>
  <c r="N144" i="72" a="1"/>
  <c r="N144" i="72" s="1"/>
  <c r="M144" i="72" a="1"/>
  <c r="M144" i="72" s="1"/>
  <c r="L144" i="72" a="1"/>
  <c r="L144" i="72" s="1"/>
  <c r="K144" i="72"/>
  <c r="J144" i="72" a="1"/>
  <c r="J144" i="72" s="1"/>
  <c r="I144" i="72"/>
  <c r="P143" i="72"/>
  <c r="O143" i="72" a="1"/>
  <c r="O143" i="72" s="1"/>
  <c r="N143" i="72" a="1"/>
  <c r="N143" i="72" s="1"/>
  <c r="M143" i="72" a="1"/>
  <c r="M143" i="72" s="1"/>
  <c r="L143" i="72" a="1"/>
  <c r="L143" i="72" s="1"/>
  <c r="K143" i="72"/>
  <c r="J143" i="72" a="1"/>
  <c r="J143" i="72" s="1"/>
  <c r="I143" i="72"/>
  <c r="P142" i="72"/>
  <c r="Q142" i="72" s="1"/>
  <c r="O142" i="72" a="1"/>
  <c r="O142" i="72" s="1"/>
  <c r="N142" i="72" a="1"/>
  <c r="N142" i="72" s="1"/>
  <c r="M142" i="72" a="1"/>
  <c r="M142" i="72" s="1"/>
  <c r="L142" i="72" a="1"/>
  <c r="L142" i="72" s="1"/>
  <c r="K142" i="72"/>
  <c r="J142" i="72" a="1"/>
  <c r="J142" i="72" s="1"/>
  <c r="I142" i="72"/>
  <c r="P141" i="72"/>
  <c r="O141" i="72" a="1"/>
  <c r="O141" i="72" s="1"/>
  <c r="N141" i="72" a="1"/>
  <c r="N141" i="72" s="1"/>
  <c r="M141" i="72" a="1"/>
  <c r="M141" i="72" s="1"/>
  <c r="L141" i="72" a="1"/>
  <c r="L141" i="72" s="1"/>
  <c r="K141" i="72"/>
  <c r="J141" i="72" a="1"/>
  <c r="J141" i="72" s="1"/>
  <c r="I141" i="72"/>
  <c r="P140" i="72"/>
  <c r="O140" i="72" a="1"/>
  <c r="O140" i="72" s="1"/>
  <c r="N140" i="72" a="1"/>
  <c r="N140" i="72" s="1"/>
  <c r="M140" i="72"/>
  <c r="M140" i="72" a="1"/>
  <c r="L140" i="72" a="1"/>
  <c r="L140" i="72" s="1"/>
  <c r="K140" i="72"/>
  <c r="J140" i="72" a="1"/>
  <c r="J140" i="72" s="1"/>
  <c r="J148" i="72" s="1"/>
  <c r="I140" i="72"/>
  <c r="I148" i="72" s="1"/>
  <c r="P138" i="72"/>
  <c r="Q138" i="72" s="1"/>
  <c r="O138" i="72" a="1"/>
  <c r="O138" i="72" s="1"/>
  <c r="N138" i="72" a="1"/>
  <c r="N138" i="72" s="1"/>
  <c r="M138" i="72" a="1"/>
  <c r="M138" i="72" s="1"/>
  <c r="L138" i="72" a="1"/>
  <c r="L138" i="72" s="1"/>
  <c r="K138" i="72"/>
  <c r="J138" i="72"/>
  <c r="J138" i="72" a="1"/>
  <c r="I138" i="72"/>
  <c r="P137" i="72"/>
  <c r="O137" i="72" a="1"/>
  <c r="O137" i="72" s="1"/>
  <c r="N137" i="72" a="1"/>
  <c r="N137" i="72" s="1"/>
  <c r="M137" i="72" a="1"/>
  <c r="M137" i="72" s="1"/>
  <c r="L137" i="72" a="1"/>
  <c r="L137" i="72" s="1"/>
  <c r="K137" i="72"/>
  <c r="J137" i="72"/>
  <c r="J137" i="72" a="1"/>
  <c r="I137" i="72"/>
  <c r="P136" i="72"/>
  <c r="O136" i="72" a="1"/>
  <c r="O136" i="72" s="1"/>
  <c r="N136" i="72" a="1"/>
  <c r="N136" i="72" s="1"/>
  <c r="M136" i="72" a="1"/>
  <c r="M136" i="72" s="1"/>
  <c r="L136" i="72" a="1"/>
  <c r="L136" i="72" s="1"/>
  <c r="K136" i="72"/>
  <c r="J136" i="72" a="1"/>
  <c r="J136" i="72" s="1"/>
  <c r="I136" i="72"/>
  <c r="P135" i="72"/>
  <c r="O135" i="72" a="1"/>
  <c r="O135" i="72" s="1"/>
  <c r="N135" i="72" a="1"/>
  <c r="N135" i="72" s="1"/>
  <c r="M135" i="72" a="1"/>
  <c r="M135" i="72" s="1"/>
  <c r="L135" i="72" a="1"/>
  <c r="L135" i="72" s="1"/>
  <c r="K135" i="72"/>
  <c r="J135" i="72" a="1"/>
  <c r="J135" i="72" s="1"/>
  <c r="I135" i="72"/>
  <c r="P134" i="72"/>
  <c r="Q134" i="72" s="1"/>
  <c r="O134" i="72" a="1"/>
  <c r="O134" i="72" s="1"/>
  <c r="N134" i="72" a="1"/>
  <c r="N134" i="72" s="1"/>
  <c r="M134" i="72" a="1"/>
  <c r="M134" i="72" s="1"/>
  <c r="L134" i="72" a="1"/>
  <c r="L134" i="72" s="1"/>
  <c r="K134" i="72"/>
  <c r="J134" i="72" a="1"/>
  <c r="J134" i="72" s="1"/>
  <c r="I134" i="72"/>
  <c r="P133" i="72"/>
  <c r="O133" i="72" a="1"/>
  <c r="O133" i="72" s="1"/>
  <c r="N133" i="72" a="1"/>
  <c r="N133" i="72" s="1"/>
  <c r="M133" i="72" a="1"/>
  <c r="M133" i="72" s="1"/>
  <c r="L133" i="72" a="1"/>
  <c r="L133" i="72" s="1"/>
  <c r="K133" i="72"/>
  <c r="J133" i="72" a="1"/>
  <c r="J133" i="72" s="1"/>
  <c r="Q133" i="72" s="1"/>
  <c r="I133" i="72"/>
  <c r="P132" i="72"/>
  <c r="O132" i="72" a="1"/>
  <c r="O132" i="72" s="1"/>
  <c r="N132" i="72" a="1"/>
  <c r="N132" i="72" s="1"/>
  <c r="M132" i="72" a="1"/>
  <c r="M132" i="72" s="1"/>
  <c r="L132" i="72" a="1"/>
  <c r="L132" i="72" s="1"/>
  <c r="K132" i="72"/>
  <c r="J132" i="72" a="1"/>
  <c r="J132" i="72" s="1"/>
  <c r="I132" i="72"/>
  <c r="P131" i="72"/>
  <c r="O131" i="72" a="1"/>
  <c r="O131" i="72" s="1"/>
  <c r="N131" i="72" a="1"/>
  <c r="N131" i="72" s="1"/>
  <c r="M131" i="72"/>
  <c r="M131" i="72" a="1"/>
  <c r="L131" i="72" a="1"/>
  <c r="L131" i="72" s="1"/>
  <c r="K131" i="72"/>
  <c r="J131" i="72" a="1"/>
  <c r="J131" i="72" s="1"/>
  <c r="I131" i="72"/>
  <c r="P130" i="72"/>
  <c r="O130" i="72" a="1"/>
  <c r="O130" i="72" s="1"/>
  <c r="N130" i="72" a="1"/>
  <c r="N130" i="72" s="1"/>
  <c r="M130" i="72"/>
  <c r="M130" i="72" a="1"/>
  <c r="L130" i="72" a="1"/>
  <c r="L130" i="72" s="1"/>
  <c r="K130" i="72"/>
  <c r="J130" i="72" a="1"/>
  <c r="J130" i="72" s="1"/>
  <c r="I130" i="72"/>
  <c r="P129" i="72"/>
  <c r="O129" i="72" a="1"/>
  <c r="O129" i="72" s="1"/>
  <c r="N129" i="72" a="1"/>
  <c r="N129" i="72" s="1"/>
  <c r="M129" i="72" a="1"/>
  <c r="M129" i="72" s="1"/>
  <c r="L129" i="72" a="1"/>
  <c r="L129" i="72" s="1"/>
  <c r="K129" i="72"/>
  <c r="J129" i="72" a="1"/>
  <c r="J129" i="72" s="1"/>
  <c r="I129" i="72"/>
  <c r="P127" i="72"/>
  <c r="O127" i="72" a="1"/>
  <c r="O127" i="72" s="1"/>
  <c r="N127" i="72" a="1"/>
  <c r="N127" i="72" s="1"/>
  <c r="M127" i="72" a="1"/>
  <c r="M127" i="72" s="1"/>
  <c r="L127" i="72" a="1"/>
  <c r="L127" i="72" s="1"/>
  <c r="K127" i="72"/>
  <c r="J127" i="72" a="1"/>
  <c r="J127" i="72" s="1"/>
  <c r="I127" i="72"/>
  <c r="P126" i="72"/>
  <c r="O126" i="72" a="1"/>
  <c r="O126" i="72" s="1"/>
  <c r="N126" i="72" a="1"/>
  <c r="N126" i="72" s="1"/>
  <c r="M126" i="72" a="1"/>
  <c r="M126" i="72" s="1"/>
  <c r="L126" i="72" a="1"/>
  <c r="L126" i="72" s="1"/>
  <c r="K126" i="72"/>
  <c r="J126" i="72" a="1"/>
  <c r="J126" i="72" s="1"/>
  <c r="I126" i="72"/>
  <c r="P125" i="72"/>
  <c r="O125" i="72" a="1"/>
  <c r="O125" i="72" s="1"/>
  <c r="N125" i="72" a="1"/>
  <c r="N125" i="72" s="1"/>
  <c r="M125" i="72" a="1"/>
  <c r="M125" i="72" s="1"/>
  <c r="L125" i="72" a="1"/>
  <c r="L125" i="72" s="1"/>
  <c r="K125" i="72"/>
  <c r="J125" i="72" a="1"/>
  <c r="J125" i="72" s="1"/>
  <c r="I125" i="72"/>
  <c r="P124" i="72"/>
  <c r="O124" i="72" a="1"/>
  <c r="O124" i="72" s="1"/>
  <c r="N124" i="72"/>
  <c r="N124" i="72" a="1"/>
  <c r="M124" i="72" a="1"/>
  <c r="M124" i="72" s="1"/>
  <c r="L124" i="72"/>
  <c r="L124" i="72" a="1"/>
  <c r="K124" i="72"/>
  <c r="J124" i="72" a="1"/>
  <c r="J124" i="72" s="1"/>
  <c r="I124" i="72"/>
  <c r="P123" i="72"/>
  <c r="O123" i="72" a="1"/>
  <c r="O123" i="72" s="1"/>
  <c r="N123" i="72" a="1"/>
  <c r="N123" i="72" s="1"/>
  <c r="M123" i="72" a="1"/>
  <c r="M123" i="72" s="1"/>
  <c r="L123" i="72" a="1"/>
  <c r="L123" i="72" s="1"/>
  <c r="K123" i="72"/>
  <c r="J123" i="72" a="1"/>
  <c r="J123" i="72" s="1"/>
  <c r="I123" i="72"/>
  <c r="P122" i="72"/>
  <c r="O122" i="72" a="1"/>
  <c r="O122" i="72" s="1"/>
  <c r="N122" i="72" a="1"/>
  <c r="N122" i="72" s="1"/>
  <c r="M122" i="72"/>
  <c r="M122" i="72" a="1"/>
  <c r="L122" i="72" a="1"/>
  <c r="L122" i="72" s="1"/>
  <c r="K122" i="72"/>
  <c r="J122" i="72" a="1"/>
  <c r="J122" i="72" s="1"/>
  <c r="I122" i="72"/>
  <c r="P121" i="72"/>
  <c r="O121" i="72" a="1"/>
  <c r="O121" i="72" s="1"/>
  <c r="N121" i="72" a="1"/>
  <c r="N121" i="72" s="1"/>
  <c r="M121" i="72" a="1"/>
  <c r="M121" i="72" s="1"/>
  <c r="L121" i="72" a="1"/>
  <c r="L121" i="72" s="1"/>
  <c r="K121" i="72"/>
  <c r="J121" i="72"/>
  <c r="Q121" i="72" s="1"/>
  <c r="J121" i="72" a="1"/>
  <c r="I121" i="72"/>
  <c r="P120" i="72"/>
  <c r="O120" i="72" a="1"/>
  <c r="O120" i="72" s="1"/>
  <c r="N120" i="72" a="1"/>
  <c r="N120" i="72" s="1"/>
  <c r="M120" i="72" a="1"/>
  <c r="M120" i="72" s="1"/>
  <c r="L120" i="72" a="1"/>
  <c r="L120" i="72" s="1"/>
  <c r="K120" i="72"/>
  <c r="J120" i="72" a="1"/>
  <c r="J120" i="72" s="1"/>
  <c r="I120" i="72"/>
  <c r="P119" i="72"/>
  <c r="O119" i="72" a="1"/>
  <c r="O119" i="72" s="1"/>
  <c r="N119" i="72"/>
  <c r="N119" i="72" a="1"/>
  <c r="M119" i="72" a="1"/>
  <c r="M119" i="72" s="1"/>
  <c r="L119" i="72" a="1"/>
  <c r="L119" i="72" s="1"/>
  <c r="K119" i="72"/>
  <c r="J119" i="72" a="1"/>
  <c r="J119" i="72" s="1"/>
  <c r="I119" i="72"/>
  <c r="P118" i="72"/>
  <c r="O118" i="72" a="1"/>
  <c r="O118" i="72" s="1"/>
  <c r="N118" i="72" a="1"/>
  <c r="N118" i="72" s="1"/>
  <c r="M118" i="72" a="1"/>
  <c r="M118" i="72" s="1"/>
  <c r="L118" i="72" a="1"/>
  <c r="L118" i="72" s="1"/>
  <c r="K118" i="72"/>
  <c r="J118" i="72" a="1"/>
  <c r="J118" i="72" s="1"/>
  <c r="I118" i="72"/>
  <c r="P117" i="72"/>
  <c r="O117" i="72" a="1"/>
  <c r="O117" i="72" s="1"/>
  <c r="N117" i="72" a="1"/>
  <c r="N117" i="72" s="1"/>
  <c r="M117" i="72" a="1"/>
  <c r="M117" i="72" s="1"/>
  <c r="L117" i="72" a="1"/>
  <c r="L117" i="72" s="1"/>
  <c r="K117" i="72"/>
  <c r="J117" i="72" a="1"/>
  <c r="J117" i="72" s="1"/>
  <c r="I117" i="72"/>
  <c r="P116" i="72"/>
  <c r="Q116" i="72" s="1"/>
  <c r="O116" i="72" a="1"/>
  <c r="O116" i="72" s="1"/>
  <c r="N116" i="72" a="1"/>
  <c r="N116" i="72" s="1"/>
  <c r="M116" i="72" a="1"/>
  <c r="M116" i="72" s="1"/>
  <c r="L116" i="72" a="1"/>
  <c r="L116" i="72" s="1"/>
  <c r="K116" i="72"/>
  <c r="J116" i="72" a="1"/>
  <c r="J116" i="72" s="1"/>
  <c r="I116" i="72"/>
  <c r="P115" i="72"/>
  <c r="O115" i="72" a="1"/>
  <c r="O115" i="72" s="1"/>
  <c r="N115" i="72" a="1"/>
  <c r="N115" i="72" s="1"/>
  <c r="M115" i="72" a="1"/>
  <c r="M115" i="72" s="1"/>
  <c r="L115" i="72" a="1"/>
  <c r="L115" i="72" s="1"/>
  <c r="K115" i="72"/>
  <c r="J115" i="72" a="1"/>
  <c r="J115" i="72" s="1"/>
  <c r="I115" i="72"/>
  <c r="P114" i="72"/>
  <c r="O114" i="72" a="1"/>
  <c r="O114" i="72" s="1"/>
  <c r="N114" i="72" a="1"/>
  <c r="N114" i="72" s="1"/>
  <c r="M114" i="72" a="1"/>
  <c r="M114" i="72" s="1"/>
  <c r="L114" i="72" a="1"/>
  <c r="L114" i="72" s="1"/>
  <c r="K114" i="72"/>
  <c r="J114" i="72" a="1"/>
  <c r="J114" i="72" s="1"/>
  <c r="Q114" i="72" s="1"/>
  <c r="I114" i="72"/>
  <c r="P113" i="72"/>
  <c r="O113" i="72" a="1"/>
  <c r="O113" i="72" s="1"/>
  <c r="N113" i="72" a="1"/>
  <c r="N113" i="72" s="1"/>
  <c r="M113" i="72" a="1"/>
  <c r="M113" i="72" s="1"/>
  <c r="L113" i="72" a="1"/>
  <c r="L113" i="72" s="1"/>
  <c r="K113" i="72"/>
  <c r="J113" i="72" a="1"/>
  <c r="J113" i="72" s="1"/>
  <c r="I113" i="72"/>
  <c r="P112" i="72"/>
  <c r="O112" i="72" a="1"/>
  <c r="O112" i="72" s="1"/>
  <c r="N112" i="72" a="1"/>
  <c r="N112" i="72" s="1"/>
  <c r="M112" i="72" a="1"/>
  <c r="M112" i="72" s="1"/>
  <c r="L112" i="72" a="1"/>
  <c r="L112" i="72" s="1"/>
  <c r="K112" i="72"/>
  <c r="J112" i="72" a="1"/>
  <c r="J112" i="72" s="1"/>
  <c r="I112" i="72"/>
  <c r="P111" i="72"/>
  <c r="O111" i="72" a="1"/>
  <c r="O111" i="72" s="1"/>
  <c r="N111" i="72" a="1"/>
  <c r="N111" i="72" s="1"/>
  <c r="M111" i="72" a="1"/>
  <c r="M111" i="72" s="1"/>
  <c r="L111" i="72" a="1"/>
  <c r="L111" i="72" s="1"/>
  <c r="K111" i="72"/>
  <c r="J111" i="72" a="1"/>
  <c r="J111" i="72" s="1"/>
  <c r="I111" i="72"/>
  <c r="P110" i="72"/>
  <c r="O110" i="72" a="1"/>
  <c r="O110" i="72" s="1"/>
  <c r="N110" i="72" a="1"/>
  <c r="N110" i="72" s="1"/>
  <c r="M110" i="72" a="1"/>
  <c r="M110" i="72" s="1"/>
  <c r="L110" i="72" a="1"/>
  <c r="L110" i="72" s="1"/>
  <c r="K110" i="72"/>
  <c r="J110" i="72" a="1"/>
  <c r="J110" i="72" s="1"/>
  <c r="I110" i="72"/>
  <c r="P109" i="72"/>
  <c r="O109" i="72" a="1"/>
  <c r="O109" i="72" s="1"/>
  <c r="N109" i="72" a="1"/>
  <c r="N109" i="72" s="1"/>
  <c r="M109" i="72" a="1"/>
  <c r="M109" i="72" s="1"/>
  <c r="L109" i="72" a="1"/>
  <c r="L109" i="72" s="1"/>
  <c r="K109" i="72"/>
  <c r="J109" i="72" a="1"/>
  <c r="J109" i="72" s="1"/>
  <c r="I109" i="72"/>
  <c r="P108" i="72"/>
  <c r="O108" i="72" a="1"/>
  <c r="O108" i="72" s="1"/>
  <c r="N108" i="72" a="1"/>
  <c r="N108" i="72" s="1"/>
  <c r="M108" i="72" a="1"/>
  <c r="M108" i="72" s="1"/>
  <c r="L108" i="72" a="1"/>
  <c r="L108" i="72" s="1"/>
  <c r="K108" i="72"/>
  <c r="J108" i="72" a="1"/>
  <c r="J108" i="72" s="1"/>
  <c r="I108" i="72"/>
  <c r="P107" i="72"/>
  <c r="O107" i="72" a="1"/>
  <c r="O107" i="72" s="1"/>
  <c r="N107" i="72" a="1"/>
  <c r="N107" i="72" s="1"/>
  <c r="M107" i="72" a="1"/>
  <c r="M107" i="72" s="1"/>
  <c r="L107" i="72" a="1"/>
  <c r="L107" i="72" s="1"/>
  <c r="K107" i="72"/>
  <c r="J107" i="72" a="1"/>
  <c r="J107" i="72" s="1"/>
  <c r="I107" i="72"/>
  <c r="P106" i="72"/>
  <c r="O106" i="72" a="1"/>
  <c r="O106" i="72" s="1"/>
  <c r="N106" i="72" a="1"/>
  <c r="N106" i="72" s="1"/>
  <c r="M106" i="72" a="1"/>
  <c r="M106" i="72" s="1"/>
  <c r="L106" i="72" a="1"/>
  <c r="L106" i="72" s="1"/>
  <c r="K106" i="72"/>
  <c r="J106" i="72" a="1"/>
  <c r="J106" i="72" s="1"/>
  <c r="I106" i="72"/>
  <c r="P105" i="72"/>
  <c r="O105" i="72" a="1"/>
  <c r="O105" i="72" s="1"/>
  <c r="N105" i="72" a="1"/>
  <c r="N105" i="72" s="1"/>
  <c r="M105" i="72" a="1"/>
  <c r="M105" i="72" s="1"/>
  <c r="L105" i="72" a="1"/>
  <c r="L105" i="72" s="1"/>
  <c r="K105" i="72"/>
  <c r="J105" i="72" a="1"/>
  <c r="J105" i="72" s="1"/>
  <c r="I105" i="72"/>
  <c r="P104" i="72"/>
  <c r="O104" i="72" a="1"/>
  <c r="O104" i="72" s="1"/>
  <c r="N104" i="72" a="1"/>
  <c r="N104" i="72" s="1"/>
  <c r="M104" i="72" a="1"/>
  <c r="M104" i="72" s="1"/>
  <c r="L104" i="72" a="1"/>
  <c r="L104" i="72" s="1"/>
  <c r="K104" i="72"/>
  <c r="J104" i="72" a="1"/>
  <c r="J104" i="72" s="1"/>
  <c r="I104" i="72"/>
  <c r="P103" i="72"/>
  <c r="O103" i="72" a="1"/>
  <c r="O103" i="72" s="1"/>
  <c r="N103" i="72" a="1"/>
  <c r="N103" i="72" s="1"/>
  <c r="M103" i="72" a="1"/>
  <c r="M103" i="72" s="1"/>
  <c r="L103" i="72" a="1"/>
  <c r="L103" i="72" s="1"/>
  <c r="K103" i="72"/>
  <c r="J103" i="72"/>
  <c r="Q103" i="72" s="1"/>
  <c r="J103" i="72" a="1"/>
  <c r="I103" i="72"/>
  <c r="P102" i="72"/>
  <c r="O102" i="72"/>
  <c r="O102" i="72" a="1"/>
  <c r="N102" i="72" a="1"/>
  <c r="N102" i="72" s="1"/>
  <c r="M102" i="72" a="1"/>
  <c r="M102" i="72" s="1"/>
  <c r="L102" i="72" a="1"/>
  <c r="L102" i="72" s="1"/>
  <c r="K102" i="72"/>
  <c r="J102" i="72" a="1"/>
  <c r="J102" i="72" s="1"/>
  <c r="I102" i="72"/>
  <c r="P101" i="72"/>
  <c r="O101" i="72" a="1"/>
  <c r="O101" i="72" s="1"/>
  <c r="N101" i="72" a="1"/>
  <c r="N101" i="72" s="1"/>
  <c r="M101" i="72" a="1"/>
  <c r="M101" i="72" s="1"/>
  <c r="L101" i="72" a="1"/>
  <c r="L101" i="72" s="1"/>
  <c r="K101" i="72"/>
  <c r="J101" i="72" a="1"/>
  <c r="J101" i="72" s="1"/>
  <c r="I101" i="72"/>
  <c r="P100" i="72"/>
  <c r="O100" i="72" a="1"/>
  <c r="O100" i="72" s="1"/>
  <c r="N100" i="72"/>
  <c r="N100" i="72" a="1"/>
  <c r="M100" i="72" a="1"/>
  <c r="M100" i="72" s="1"/>
  <c r="L100" i="72" a="1"/>
  <c r="L100" i="72" s="1"/>
  <c r="K100" i="72"/>
  <c r="J100" i="72" a="1"/>
  <c r="J100" i="72" s="1"/>
  <c r="I100" i="72"/>
  <c r="P99" i="72"/>
  <c r="O99" i="72" a="1"/>
  <c r="O99" i="72" s="1"/>
  <c r="N99" i="72" a="1"/>
  <c r="N99" i="72" s="1"/>
  <c r="M99" i="72" a="1"/>
  <c r="M99" i="72" s="1"/>
  <c r="L99" i="72" a="1"/>
  <c r="L99" i="72" s="1"/>
  <c r="K99" i="72"/>
  <c r="J99" i="72" a="1"/>
  <c r="J99" i="72" s="1"/>
  <c r="I99" i="72"/>
  <c r="P98" i="72"/>
  <c r="O98" i="72" a="1"/>
  <c r="O98" i="72" s="1"/>
  <c r="N98" i="72" a="1"/>
  <c r="N98" i="72" s="1"/>
  <c r="M98" i="72" a="1"/>
  <c r="M98" i="72" s="1"/>
  <c r="L98" i="72" a="1"/>
  <c r="L98" i="72" s="1"/>
  <c r="K98" i="72"/>
  <c r="J98" i="72" a="1"/>
  <c r="J98" i="72" s="1"/>
  <c r="I98" i="72"/>
  <c r="P97" i="72"/>
  <c r="O97" i="72" a="1"/>
  <c r="O97" i="72" s="1"/>
  <c r="N97" i="72" a="1"/>
  <c r="N97" i="72" s="1"/>
  <c r="M97" i="72" a="1"/>
  <c r="M97" i="72" s="1"/>
  <c r="L97" i="72" a="1"/>
  <c r="L97" i="72" s="1"/>
  <c r="K97" i="72"/>
  <c r="J97" i="72" a="1"/>
  <c r="J97" i="72" s="1"/>
  <c r="I97" i="72"/>
  <c r="P96" i="72"/>
  <c r="O96" i="72" a="1"/>
  <c r="O96" i="72" s="1"/>
  <c r="N96" i="72" a="1"/>
  <c r="N96" i="72" s="1"/>
  <c r="M96" i="72" a="1"/>
  <c r="M96" i="72" s="1"/>
  <c r="L96" i="72" a="1"/>
  <c r="L96" i="72" s="1"/>
  <c r="K96" i="72"/>
  <c r="J96" i="72" a="1"/>
  <c r="J96" i="72" s="1"/>
  <c r="Q96" i="72" s="1"/>
  <c r="I96" i="72"/>
  <c r="P95" i="72"/>
  <c r="O95" i="72"/>
  <c r="O95" i="72" a="1"/>
  <c r="N95" i="72" a="1"/>
  <c r="N95" i="72" s="1"/>
  <c r="M95" i="72" a="1"/>
  <c r="M95" i="72" s="1"/>
  <c r="L95" i="72" a="1"/>
  <c r="L95" i="72" s="1"/>
  <c r="K95" i="72"/>
  <c r="J95" i="72"/>
  <c r="Q95" i="72" s="1"/>
  <c r="J95" i="72" a="1"/>
  <c r="I95" i="72"/>
  <c r="P94" i="72"/>
  <c r="O94" i="72" a="1"/>
  <c r="O94" i="72" s="1"/>
  <c r="N94" i="72" a="1"/>
  <c r="N94" i="72" s="1"/>
  <c r="M94" i="72" a="1"/>
  <c r="M94" i="72" s="1"/>
  <c r="L94" i="72" a="1"/>
  <c r="L94" i="72" s="1"/>
  <c r="K94" i="72"/>
  <c r="J94" i="72" a="1"/>
  <c r="J94" i="72" s="1"/>
  <c r="I94" i="72"/>
  <c r="P93" i="72"/>
  <c r="Q93" i="72" s="1"/>
  <c r="O93" i="72" a="1"/>
  <c r="O93" i="72" s="1"/>
  <c r="N93" i="72" a="1"/>
  <c r="N93" i="72" s="1"/>
  <c r="M93" i="72" a="1"/>
  <c r="M93" i="72" s="1"/>
  <c r="L93" i="72" a="1"/>
  <c r="L93" i="72" s="1"/>
  <c r="K93" i="72"/>
  <c r="J93" i="72" a="1"/>
  <c r="J93" i="72" s="1"/>
  <c r="I93" i="72"/>
  <c r="P92" i="72"/>
  <c r="O92" i="72" a="1"/>
  <c r="O92" i="72" s="1"/>
  <c r="N92" i="72" a="1"/>
  <c r="N92" i="72" s="1"/>
  <c r="M92" i="72" a="1"/>
  <c r="M92" i="72" s="1"/>
  <c r="L92" i="72" a="1"/>
  <c r="L92" i="72" s="1"/>
  <c r="K92" i="72"/>
  <c r="J92" i="72" a="1"/>
  <c r="J92" i="72" s="1"/>
  <c r="I92" i="72"/>
  <c r="P91" i="72"/>
  <c r="O91" i="72" a="1"/>
  <c r="O91" i="72" s="1"/>
  <c r="N91" i="72" a="1"/>
  <c r="N91" i="72" s="1"/>
  <c r="M91" i="72" a="1"/>
  <c r="M91" i="72" s="1"/>
  <c r="L91" i="72" a="1"/>
  <c r="L91" i="72" s="1"/>
  <c r="K91" i="72"/>
  <c r="J91" i="72" a="1"/>
  <c r="J91" i="72" s="1"/>
  <c r="I91" i="72"/>
  <c r="P90" i="72"/>
  <c r="Q90" i="72" s="1"/>
  <c r="O90" i="72" a="1"/>
  <c r="O90" i="72" s="1"/>
  <c r="N90" i="72" a="1"/>
  <c r="N90" i="72" s="1"/>
  <c r="M90" i="72" a="1"/>
  <c r="M90" i="72" s="1"/>
  <c r="L90" i="72" a="1"/>
  <c r="L90" i="72" s="1"/>
  <c r="K90" i="72"/>
  <c r="J90" i="72" a="1"/>
  <c r="J90" i="72" s="1"/>
  <c r="I90" i="72"/>
  <c r="P89" i="72"/>
  <c r="O89" i="72" a="1"/>
  <c r="O89" i="72" s="1"/>
  <c r="N89" i="72" a="1"/>
  <c r="N89" i="72" s="1"/>
  <c r="M89" i="72" a="1"/>
  <c r="M89" i="72" s="1"/>
  <c r="L89" i="72" a="1"/>
  <c r="L89" i="72" s="1"/>
  <c r="K89" i="72"/>
  <c r="J89" i="72" a="1"/>
  <c r="J89" i="72" s="1"/>
  <c r="Q89" i="72" s="1"/>
  <c r="I89" i="72"/>
  <c r="P88" i="72"/>
  <c r="O88" i="72" a="1"/>
  <c r="O88" i="72" s="1"/>
  <c r="N88" i="72"/>
  <c r="N88" i="72" a="1"/>
  <c r="M88" i="72" a="1"/>
  <c r="M88" i="72" s="1"/>
  <c r="L88" i="72" a="1"/>
  <c r="L88" i="72" s="1"/>
  <c r="K88" i="72"/>
  <c r="J88" i="72" a="1"/>
  <c r="J88" i="72" s="1"/>
  <c r="Q88" i="72" s="1"/>
  <c r="I88" i="72"/>
  <c r="P87" i="72"/>
  <c r="O87" i="72"/>
  <c r="O87" i="72" a="1"/>
  <c r="N87" i="72" a="1"/>
  <c r="N87" i="72" s="1"/>
  <c r="M87" i="72" a="1"/>
  <c r="M87" i="72" s="1"/>
  <c r="L87" i="72" a="1"/>
  <c r="L87" i="72" s="1"/>
  <c r="K87" i="72"/>
  <c r="J87" i="72" a="1"/>
  <c r="J87" i="72" s="1"/>
  <c r="I87" i="72"/>
  <c r="P86" i="72"/>
  <c r="O86" i="72" a="1"/>
  <c r="O86" i="72" s="1"/>
  <c r="N86" i="72" a="1"/>
  <c r="N86" i="72" s="1"/>
  <c r="M86" i="72" a="1"/>
  <c r="M86" i="72" s="1"/>
  <c r="L86" i="72" a="1"/>
  <c r="L86" i="72" s="1"/>
  <c r="K86" i="72"/>
  <c r="J86" i="72" a="1"/>
  <c r="J86" i="72" s="1"/>
  <c r="I86" i="72"/>
  <c r="P85" i="72"/>
  <c r="O85" i="72" a="1"/>
  <c r="O85" i="72" s="1"/>
  <c r="N85" i="72" a="1"/>
  <c r="N85" i="72" s="1"/>
  <c r="M85" i="72" a="1"/>
  <c r="M85" i="72" s="1"/>
  <c r="L85" i="72" a="1"/>
  <c r="L85" i="72" s="1"/>
  <c r="K85" i="72"/>
  <c r="J85" i="72" a="1"/>
  <c r="J85" i="72" s="1"/>
  <c r="I85" i="72"/>
  <c r="P84" i="72"/>
  <c r="O84" i="72" a="1"/>
  <c r="O84" i="72" s="1"/>
  <c r="N84" i="72" a="1"/>
  <c r="N84" i="72" s="1"/>
  <c r="M84" i="72" a="1"/>
  <c r="M84" i="72" s="1"/>
  <c r="L84" i="72" a="1"/>
  <c r="L84" i="72" s="1"/>
  <c r="K84" i="72"/>
  <c r="J84" i="72" a="1"/>
  <c r="J84" i="72" s="1"/>
  <c r="I84" i="72"/>
  <c r="P83" i="72"/>
  <c r="O83" i="72" a="1"/>
  <c r="O83" i="72" s="1"/>
  <c r="N83" i="72" a="1"/>
  <c r="N83" i="72" s="1"/>
  <c r="M83" i="72" a="1"/>
  <c r="M83" i="72" s="1"/>
  <c r="L83" i="72" a="1"/>
  <c r="L83" i="72" s="1"/>
  <c r="K83" i="72"/>
  <c r="J83" i="72" a="1"/>
  <c r="J83" i="72" s="1"/>
  <c r="I83" i="72"/>
  <c r="P82" i="72"/>
  <c r="O82" i="72" a="1"/>
  <c r="O82" i="72" s="1"/>
  <c r="N82" i="72" a="1"/>
  <c r="N82" i="72" s="1"/>
  <c r="M82" i="72" a="1"/>
  <c r="M82" i="72" s="1"/>
  <c r="L82" i="72" a="1"/>
  <c r="L82" i="72" s="1"/>
  <c r="K82" i="72"/>
  <c r="J82" i="72" a="1"/>
  <c r="J82" i="72" s="1"/>
  <c r="I82" i="72"/>
  <c r="P81" i="72"/>
  <c r="O81" i="72" a="1"/>
  <c r="O81" i="72" s="1"/>
  <c r="N81" i="72" a="1"/>
  <c r="N81" i="72" s="1"/>
  <c r="M81" i="72" a="1"/>
  <c r="M81" i="72" s="1"/>
  <c r="L81" i="72" a="1"/>
  <c r="L81" i="72" s="1"/>
  <c r="K81" i="72"/>
  <c r="J81" i="72" a="1"/>
  <c r="J81" i="72" s="1"/>
  <c r="I81" i="72"/>
  <c r="P80" i="72"/>
  <c r="O80" i="72" a="1"/>
  <c r="O80" i="72" s="1"/>
  <c r="N80" i="72" a="1"/>
  <c r="N80" i="72" s="1"/>
  <c r="M80" i="72" a="1"/>
  <c r="M80" i="72" s="1"/>
  <c r="L80" i="72" a="1"/>
  <c r="L80" i="72" s="1"/>
  <c r="K80" i="72"/>
  <c r="J80" i="72" a="1"/>
  <c r="J80" i="72" s="1"/>
  <c r="I80" i="72"/>
  <c r="P79" i="72"/>
  <c r="O79" i="72" a="1"/>
  <c r="O79" i="72" s="1"/>
  <c r="N79" i="72" a="1"/>
  <c r="N79" i="72" s="1"/>
  <c r="M79" i="72" a="1"/>
  <c r="M79" i="72" s="1"/>
  <c r="L79" i="72" a="1"/>
  <c r="L79" i="72" s="1"/>
  <c r="K79" i="72"/>
  <c r="J79" i="72" a="1"/>
  <c r="J79" i="72" s="1"/>
  <c r="I79" i="72"/>
  <c r="P78" i="72"/>
  <c r="O78" i="72" a="1"/>
  <c r="O78" i="72" s="1"/>
  <c r="N78" i="72" a="1"/>
  <c r="N78" i="72" s="1"/>
  <c r="M78" i="72" a="1"/>
  <c r="M78" i="72" s="1"/>
  <c r="L78" i="72" a="1"/>
  <c r="L78" i="72" s="1"/>
  <c r="K78" i="72"/>
  <c r="J78" i="72" a="1"/>
  <c r="J78" i="72" s="1"/>
  <c r="I78" i="72"/>
  <c r="P75" i="72"/>
  <c r="O75" i="72" a="1"/>
  <c r="O75" i="72" s="1"/>
  <c r="N75" i="72" a="1"/>
  <c r="N75" i="72" s="1"/>
  <c r="M75" i="72"/>
  <c r="M75" i="72" a="1"/>
  <c r="L75" i="72" a="1"/>
  <c r="L75" i="72" s="1"/>
  <c r="K75" i="72"/>
  <c r="J75" i="72" a="1"/>
  <c r="J75" i="72" s="1"/>
  <c r="I75" i="72"/>
  <c r="P74" i="72"/>
  <c r="O74" i="72" a="1"/>
  <c r="O74" i="72" s="1"/>
  <c r="N74" i="72" a="1"/>
  <c r="N74" i="72" s="1"/>
  <c r="M74" i="72" a="1"/>
  <c r="M74" i="72" s="1"/>
  <c r="L74" i="72" a="1"/>
  <c r="L74" i="72" s="1"/>
  <c r="K74" i="72"/>
  <c r="J74" i="72" a="1"/>
  <c r="J74" i="72" s="1"/>
  <c r="I74" i="72"/>
  <c r="P73" i="72" a="1"/>
  <c r="P73" i="72" s="1"/>
  <c r="O73" i="72" a="1"/>
  <c r="O73" i="72" s="1"/>
  <c r="N73" i="72" a="1"/>
  <c r="N73" i="72" s="1"/>
  <c r="M73" i="72" a="1"/>
  <c r="M73" i="72" s="1"/>
  <c r="L73" i="72" a="1"/>
  <c r="L73" i="72" s="1"/>
  <c r="K73" i="72"/>
  <c r="J73" i="72" a="1"/>
  <c r="J73" i="72" s="1"/>
  <c r="I73" i="72" a="1"/>
  <c r="I73" i="72" s="1"/>
  <c r="P72" i="72" a="1"/>
  <c r="P72" i="72" s="1"/>
  <c r="O72" i="72" a="1"/>
  <c r="O72" i="72" s="1"/>
  <c r="N72" i="72" a="1"/>
  <c r="N72" i="72" s="1"/>
  <c r="M72" i="72" a="1"/>
  <c r="M72" i="72" s="1"/>
  <c r="L72" i="72" a="1"/>
  <c r="L72" i="72" s="1"/>
  <c r="K72" i="72"/>
  <c r="J72" i="72" a="1"/>
  <c r="J72" i="72" s="1"/>
  <c r="I72" i="72" a="1"/>
  <c r="I72" i="72" s="1"/>
  <c r="P71" i="72"/>
  <c r="O71" i="72" a="1"/>
  <c r="O71" i="72" s="1"/>
  <c r="N71" i="72" a="1"/>
  <c r="N71" i="72" s="1"/>
  <c r="M71" i="72" a="1"/>
  <c r="M71" i="72" s="1"/>
  <c r="L71" i="72" a="1"/>
  <c r="L71" i="72" s="1"/>
  <c r="K71" i="72"/>
  <c r="J71" i="72" a="1"/>
  <c r="J71" i="72" s="1"/>
  <c r="I71" i="72"/>
  <c r="P70" i="72"/>
  <c r="O70" i="72" a="1"/>
  <c r="O70" i="72" s="1"/>
  <c r="N70" i="72" a="1"/>
  <c r="N70" i="72" s="1"/>
  <c r="M70" i="72" a="1"/>
  <c r="M70" i="72" s="1"/>
  <c r="L70" i="72" a="1"/>
  <c r="L70" i="72" s="1"/>
  <c r="K70" i="72"/>
  <c r="J70" i="72" a="1"/>
  <c r="J70" i="72" s="1"/>
  <c r="I70" i="72"/>
  <c r="P69" i="72"/>
  <c r="O69" i="72" a="1"/>
  <c r="O69" i="72" s="1"/>
  <c r="N69" i="72" a="1"/>
  <c r="N69" i="72" s="1"/>
  <c r="M69" i="72"/>
  <c r="M69" i="72" a="1"/>
  <c r="L69" i="72" a="1"/>
  <c r="L69" i="72" s="1"/>
  <c r="K69" i="72"/>
  <c r="J69" i="72" a="1"/>
  <c r="J69" i="72" s="1"/>
  <c r="Q69" i="72" s="1"/>
  <c r="I69" i="72"/>
  <c r="P68" i="72"/>
  <c r="O68" i="72" a="1"/>
  <c r="O68" i="72" s="1"/>
  <c r="N68" i="72" a="1"/>
  <c r="N68" i="72" s="1"/>
  <c r="M68" i="72" a="1"/>
  <c r="M68" i="72" s="1"/>
  <c r="L68" i="72" a="1"/>
  <c r="L68" i="72" s="1"/>
  <c r="K68" i="72"/>
  <c r="J68" i="72" a="1"/>
  <c r="J68" i="72" s="1"/>
  <c r="I68" i="72"/>
  <c r="P67" i="72"/>
  <c r="O67" i="72" a="1"/>
  <c r="O67" i="72" s="1"/>
  <c r="N67" i="72" a="1"/>
  <c r="N67" i="72" s="1"/>
  <c r="M67" i="72" a="1"/>
  <c r="M67" i="72" s="1"/>
  <c r="L67" i="72" a="1"/>
  <c r="L67" i="72" s="1"/>
  <c r="K67" i="72"/>
  <c r="J67" i="72" a="1"/>
  <c r="J67" i="72" s="1"/>
  <c r="I67" i="72"/>
  <c r="P66" i="72"/>
  <c r="O66" i="72" a="1"/>
  <c r="O66" i="72" s="1"/>
  <c r="N66" i="72"/>
  <c r="N66" i="72" a="1"/>
  <c r="M66" i="72" a="1"/>
  <c r="M66" i="72" s="1"/>
  <c r="L66" i="72" a="1"/>
  <c r="L66" i="72" s="1"/>
  <c r="K66" i="72"/>
  <c r="J66" i="72"/>
  <c r="J66" i="72" a="1"/>
  <c r="I66" i="72"/>
  <c r="P65" i="72"/>
  <c r="O65" i="72" a="1"/>
  <c r="O65" i="72" s="1"/>
  <c r="N65" i="72" a="1"/>
  <c r="N65" i="72" s="1"/>
  <c r="M65" i="72"/>
  <c r="M65" i="72" a="1"/>
  <c r="L65" i="72" a="1"/>
  <c r="L65" i="72" s="1"/>
  <c r="K65" i="72"/>
  <c r="J65" i="72" a="1"/>
  <c r="J65" i="72" s="1"/>
  <c r="Q65" i="72" s="1"/>
  <c r="I65" i="72"/>
  <c r="P64" i="72"/>
  <c r="O64" i="72" a="1"/>
  <c r="O64" i="72" s="1"/>
  <c r="N64" i="72" a="1"/>
  <c r="N64" i="72" s="1"/>
  <c r="M64" i="72" a="1"/>
  <c r="M64" i="72" s="1"/>
  <c r="L64" i="72" a="1"/>
  <c r="L64" i="72" s="1"/>
  <c r="K64" i="72"/>
  <c r="J64" i="72" a="1"/>
  <c r="J64" i="72" s="1"/>
  <c r="I64" i="72"/>
  <c r="P62" i="72"/>
  <c r="O62" i="72" a="1"/>
  <c r="O62" i="72" s="1"/>
  <c r="N62" i="72" a="1"/>
  <c r="N62" i="72" s="1"/>
  <c r="M62" i="72" a="1"/>
  <c r="M62" i="72" s="1"/>
  <c r="L62" i="72" a="1"/>
  <c r="L62" i="72" s="1"/>
  <c r="K62" i="72"/>
  <c r="J62" i="72" a="1"/>
  <c r="J62" i="72" s="1"/>
  <c r="I62" i="72"/>
  <c r="P61" i="72"/>
  <c r="O61" i="72" a="1"/>
  <c r="O61" i="72" s="1"/>
  <c r="N61" i="72" a="1"/>
  <c r="N61" i="72" s="1"/>
  <c r="M61" i="72" a="1"/>
  <c r="M61" i="72" s="1"/>
  <c r="L61" i="72" a="1"/>
  <c r="L61" i="72" s="1"/>
  <c r="K61" i="72"/>
  <c r="J61" i="72" a="1"/>
  <c r="J61" i="72" s="1"/>
  <c r="I61" i="72"/>
  <c r="P60" i="72"/>
  <c r="O60" i="72" a="1"/>
  <c r="O60" i="72" s="1"/>
  <c r="N60" i="72" a="1"/>
  <c r="N60" i="72" s="1"/>
  <c r="M60" i="72" a="1"/>
  <c r="M60" i="72" s="1"/>
  <c r="L60" i="72"/>
  <c r="L60" i="72" a="1"/>
  <c r="K60" i="72"/>
  <c r="J60" i="72" a="1"/>
  <c r="J60" i="72" s="1"/>
  <c r="I60" i="72"/>
  <c r="P59" i="72"/>
  <c r="O59" i="72" a="1"/>
  <c r="O59" i="72" s="1"/>
  <c r="N59" i="72" a="1"/>
  <c r="N59" i="72" s="1"/>
  <c r="M59" i="72" a="1"/>
  <c r="M59" i="72" s="1"/>
  <c r="L59" i="72" a="1"/>
  <c r="L59" i="72" s="1"/>
  <c r="K59" i="72"/>
  <c r="J59" i="72" a="1"/>
  <c r="J59" i="72" s="1"/>
  <c r="I59" i="72"/>
  <c r="P58" i="72"/>
  <c r="O58" i="72" a="1"/>
  <c r="O58" i="72" s="1"/>
  <c r="N58" i="72" a="1"/>
  <c r="N58" i="72" s="1"/>
  <c r="M58" i="72" a="1"/>
  <c r="M58" i="72" s="1"/>
  <c r="L58" i="72" a="1"/>
  <c r="L58" i="72" s="1"/>
  <c r="K58" i="72"/>
  <c r="J58" i="72" a="1"/>
  <c r="J58" i="72" s="1"/>
  <c r="Q58" i="72" s="1"/>
  <c r="I58" i="72"/>
  <c r="P57" i="72"/>
  <c r="O57" i="72" a="1"/>
  <c r="O57" i="72" s="1"/>
  <c r="N57" i="72" a="1"/>
  <c r="N57" i="72" s="1"/>
  <c r="M57" i="72" a="1"/>
  <c r="M57" i="72" s="1"/>
  <c r="L57" i="72" a="1"/>
  <c r="L57" i="72" s="1"/>
  <c r="K57" i="72"/>
  <c r="J57" i="72" a="1"/>
  <c r="J57" i="72" s="1"/>
  <c r="I57" i="72"/>
  <c r="P56" i="72"/>
  <c r="O56" i="72" a="1"/>
  <c r="O56" i="72" s="1"/>
  <c r="N56" i="72" a="1"/>
  <c r="N56" i="72" s="1"/>
  <c r="M56" i="72" a="1"/>
  <c r="M56" i="72" s="1"/>
  <c r="L56" i="72" a="1"/>
  <c r="L56" i="72" s="1"/>
  <c r="K56" i="72"/>
  <c r="J56" i="72" a="1"/>
  <c r="J56" i="72" s="1"/>
  <c r="I56" i="72"/>
  <c r="P55" i="72"/>
  <c r="O55" i="72" a="1"/>
  <c r="O55" i="72" s="1"/>
  <c r="N55" i="72" a="1"/>
  <c r="N55" i="72" s="1"/>
  <c r="M55" i="72" a="1"/>
  <c r="M55" i="72" s="1"/>
  <c r="L55" i="72" a="1"/>
  <c r="L55" i="72" s="1"/>
  <c r="K55" i="72"/>
  <c r="J55" i="72" a="1"/>
  <c r="J55" i="72" s="1"/>
  <c r="I55" i="72"/>
  <c r="P53" i="72"/>
  <c r="Q53" i="72" s="1"/>
  <c r="O53" i="72" a="1"/>
  <c r="O53" i="72" s="1"/>
  <c r="N53" i="72" a="1"/>
  <c r="N53" i="72" s="1"/>
  <c r="M53" i="72" a="1"/>
  <c r="M53" i="72" s="1"/>
  <c r="L53" i="72" a="1"/>
  <c r="L53" i="72" s="1"/>
  <c r="K53" i="72"/>
  <c r="J53" i="72" a="1"/>
  <c r="J53" i="72" s="1"/>
  <c r="I53" i="72"/>
  <c r="P52" i="72"/>
  <c r="O52" i="72" a="1"/>
  <c r="O52" i="72" s="1"/>
  <c r="N52" i="72" a="1"/>
  <c r="N52" i="72" s="1"/>
  <c r="M52" i="72" a="1"/>
  <c r="M52" i="72" s="1"/>
  <c r="L52" i="72" a="1"/>
  <c r="L52" i="72" s="1"/>
  <c r="K52" i="72"/>
  <c r="J52" i="72" a="1"/>
  <c r="J52" i="72" s="1"/>
  <c r="I52" i="72"/>
  <c r="P51" i="72"/>
  <c r="O51" i="72" a="1"/>
  <c r="O51" i="72" s="1"/>
  <c r="N51" i="72" a="1"/>
  <c r="N51" i="72" s="1"/>
  <c r="M51" i="72" a="1"/>
  <c r="M51" i="72" s="1"/>
  <c r="L51" i="72" a="1"/>
  <c r="L51" i="72" s="1"/>
  <c r="K51" i="72"/>
  <c r="K54" i="72" s="1"/>
  <c r="J51" i="72" a="1"/>
  <c r="J51" i="72" s="1"/>
  <c r="I51" i="72"/>
  <c r="P50" i="72"/>
  <c r="O50" i="72" a="1"/>
  <c r="O50" i="72" s="1"/>
  <c r="N50" i="72" a="1"/>
  <c r="N50" i="72" s="1"/>
  <c r="M50" i="72" a="1"/>
  <c r="M50" i="72" s="1"/>
  <c r="L50" i="72" a="1"/>
  <c r="L50" i="72" s="1"/>
  <c r="K50" i="72"/>
  <c r="J50" i="72" a="1"/>
  <c r="J50" i="72" s="1"/>
  <c r="I50" i="72"/>
  <c r="P48" i="72"/>
  <c r="O48" i="72" a="1"/>
  <c r="O48" i="72" s="1"/>
  <c r="N48" i="72" a="1"/>
  <c r="N48" i="72" s="1"/>
  <c r="M48" i="72" a="1"/>
  <c r="M48" i="72" s="1"/>
  <c r="L48" i="72" a="1"/>
  <c r="L48" i="72" s="1"/>
  <c r="K48" i="72"/>
  <c r="J48" i="72" a="1"/>
  <c r="J48" i="72" s="1"/>
  <c r="I48" i="72"/>
  <c r="P47" i="72"/>
  <c r="O47" i="72" a="1"/>
  <c r="O47" i="72" s="1"/>
  <c r="N47" i="72" a="1"/>
  <c r="N47" i="72" s="1"/>
  <c r="M47" i="72" a="1"/>
  <c r="M47" i="72" s="1"/>
  <c r="L47" i="72" a="1"/>
  <c r="L47" i="72" s="1"/>
  <c r="K47" i="72"/>
  <c r="J47" i="72" a="1"/>
  <c r="J47" i="72" s="1"/>
  <c r="I47" i="72"/>
  <c r="P46" i="72"/>
  <c r="O46" i="72" a="1"/>
  <c r="O46" i="72" s="1"/>
  <c r="N46" i="72" a="1"/>
  <c r="N46" i="72" s="1"/>
  <c r="M46" i="72" a="1"/>
  <c r="M46" i="72" s="1"/>
  <c r="L46" i="72" a="1"/>
  <c r="L46" i="72" s="1"/>
  <c r="K46" i="72"/>
  <c r="J46" i="72" a="1"/>
  <c r="J46" i="72" s="1"/>
  <c r="Q46" i="72" s="1"/>
  <c r="I46" i="72"/>
  <c r="P45" i="72"/>
  <c r="O45" i="72"/>
  <c r="O45" i="72" a="1"/>
  <c r="N45" i="72" a="1"/>
  <c r="N45" i="72" s="1"/>
  <c r="M45" i="72" a="1"/>
  <c r="M45" i="72" s="1"/>
  <c r="L45" i="72" a="1"/>
  <c r="L45" i="72" s="1"/>
  <c r="K45" i="72"/>
  <c r="J45" i="72" a="1"/>
  <c r="J45" i="72" s="1"/>
  <c r="I45" i="72"/>
  <c r="P44" i="72"/>
  <c r="O44" i="72" a="1"/>
  <c r="O44" i="72" s="1"/>
  <c r="N44" i="72" a="1"/>
  <c r="N44" i="72" s="1"/>
  <c r="M44" i="72" a="1"/>
  <c r="M44" i="72" s="1"/>
  <c r="L44" i="72" a="1"/>
  <c r="L44" i="72" s="1"/>
  <c r="K44" i="72"/>
  <c r="J44" i="72" a="1"/>
  <c r="J44" i="72" s="1"/>
  <c r="I44" i="72"/>
  <c r="P43" i="72"/>
  <c r="O43" i="72" a="1"/>
  <c r="O43" i="72" s="1"/>
  <c r="N43" i="72" a="1"/>
  <c r="N43" i="72" s="1"/>
  <c r="M43" i="72" a="1"/>
  <c r="M43" i="72" s="1"/>
  <c r="L43" i="72" a="1"/>
  <c r="L43" i="72" s="1"/>
  <c r="K43" i="72"/>
  <c r="J43" i="72" a="1"/>
  <c r="J43" i="72" s="1"/>
  <c r="I43" i="72"/>
  <c r="P42" i="72"/>
  <c r="O42" i="72" a="1"/>
  <c r="O42" i="72" s="1"/>
  <c r="N42" i="72" a="1"/>
  <c r="N42" i="72" s="1"/>
  <c r="M42" i="72" a="1"/>
  <c r="M42" i="72" s="1"/>
  <c r="L42" i="72" a="1"/>
  <c r="L42" i="72" s="1"/>
  <c r="K42" i="72"/>
  <c r="J42" i="72" a="1"/>
  <c r="J42" i="72" s="1"/>
  <c r="I42" i="72"/>
  <c r="P41" i="72"/>
  <c r="O41" i="72" a="1"/>
  <c r="O41" i="72" s="1"/>
  <c r="N41" i="72" a="1"/>
  <c r="N41" i="72" s="1"/>
  <c r="M41" i="72" a="1"/>
  <c r="M41" i="72" s="1"/>
  <c r="L41" i="72" a="1"/>
  <c r="L41" i="72" s="1"/>
  <c r="K41" i="72"/>
  <c r="J41" i="72" a="1"/>
  <c r="J41" i="72" s="1"/>
  <c r="Q41" i="72" s="1"/>
  <c r="I41" i="72"/>
  <c r="P40" i="72"/>
  <c r="O40" i="72" a="1"/>
  <c r="O40" i="72" s="1"/>
  <c r="N40" i="72" a="1"/>
  <c r="N40" i="72" s="1"/>
  <c r="M40" i="72" a="1"/>
  <c r="M40" i="72" s="1"/>
  <c r="L40" i="72" a="1"/>
  <c r="L40" i="72" s="1"/>
  <c r="K40" i="72"/>
  <c r="J40" i="72" a="1"/>
  <c r="J40" i="72" s="1"/>
  <c r="I40" i="72"/>
  <c r="P39" i="72"/>
  <c r="O39" i="72" a="1"/>
  <c r="O39" i="72" s="1"/>
  <c r="N39" i="72" a="1"/>
  <c r="N39" i="72" s="1"/>
  <c r="M39" i="72" a="1"/>
  <c r="M39" i="72" s="1"/>
  <c r="L39" i="72" a="1"/>
  <c r="L39" i="72" s="1"/>
  <c r="K39" i="72"/>
  <c r="J39" i="72" a="1"/>
  <c r="J39" i="72" s="1"/>
  <c r="I39" i="72"/>
  <c r="P38" i="72"/>
  <c r="O38" i="72" a="1"/>
  <c r="O38" i="72" s="1"/>
  <c r="N38" i="72" a="1"/>
  <c r="N38" i="72" s="1"/>
  <c r="M38" i="72" a="1"/>
  <c r="M38" i="72" s="1"/>
  <c r="L38" i="72" a="1"/>
  <c r="L38" i="72" s="1"/>
  <c r="K38" i="72"/>
  <c r="J38" i="72" a="1"/>
  <c r="J38" i="72" s="1"/>
  <c r="I38" i="72"/>
  <c r="P37" i="72"/>
  <c r="O37" i="72" a="1"/>
  <c r="O37" i="72" s="1"/>
  <c r="N37" i="72" a="1"/>
  <c r="N37" i="72" s="1"/>
  <c r="M37" i="72" a="1"/>
  <c r="M37" i="72" s="1"/>
  <c r="L37" i="72" a="1"/>
  <c r="L37" i="72" s="1"/>
  <c r="K37" i="72"/>
  <c r="J37" i="72" a="1"/>
  <c r="J37" i="72" s="1"/>
  <c r="Q37" i="72" s="1"/>
  <c r="I37" i="72"/>
  <c r="P36" i="72"/>
  <c r="O36" i="72" a="1"/>
  <c r="O36" i="72" s="1"/>
  <c r="N36" i="72" a="1"/>
  <c r="N36" i="72" s="1"/>
  <c r="M36" i="72" a="1"/>
  <c r="M36" i="72" s="1"/>
  <c r="L36" i="72" a="1"/>
  <c r="L36" i="72" s="1"/>
  <c r="K36" i="72"/>
  <c r="J36" i="72" a="1"/>
  <c r="J36" i="72" s="1"/>
  <c r="I36" i="72"/>
  <c r="P35" i="72"/>
  <c r="P49" i="72" s="1"/>
  <c r="O35" i="72" a="1"/>
  <c r="O35" i="72" s="1"/>
  <c r="N35" i="72" a="1"/>
  <c r="N35" i="72" s="1"/>
  <c r="M35" i="72" a="1"/>
  <c r="M35" i="72" s="1"/>
  <c r="L35" i="72" a="1"/>
  <c r="L35" i="72" s="1"/>
  <c r="K35" i="72"/>
  <c r="J35" i="72" a="1"/>
  <c r="J35" i="72" s="1"/>
  <c r="I35" i="72"/>
  <c r="P27" i="72"/>
  <c r="O27" i="72" a="1"/>
  <c r="O27" i="72" s="1"/>
  <c r="N27" i="72" a="1"/>
  <c r="N27" i="72" s="1"/>
  <c r="M27" i="72" a="1"/>
  <c r="M27" i="72" s="1"/>
  <c r="L27" i="72" a="1"/>
  <c r="L27" i="72" s="1"/>
  <c r="K27" i="72"/>
  <c r="J27" i="72" a="1"/>
  <c r="J27" i="72" s="1"/>
  <c r="I27" i="72"/>
  <c r="P26" i="72"/>
  <c r="O26" i="72" a="1"/>
  <c r="O26" i="72" s="1"/>
  <c r="N26" i="72" a="1"/>
  <c r="N26" i="72" s="1"/>
  <c r="M26" i="72" a="1"/>
  <c r="M26" i="72" s="1"/>
  <c r="L26" i="72" a="1"/>
  <c r="L26" i="72" s="1"/>
  <c r="K26" i="72"/>
  <c r="J26" i="72" a="1"/>
  <c r="J26" i="72" s="1"/>
  <c r="I26" i="72"/>
  <c r="P25" i="72"/>
  <c r="Q25" i="72" s="1"/>
  <c r="O25" i="72" a="1"/>
  <c r="O25" i="72" s="1"/>
  <c r="N25" i="72" a="1"/>
  <c r="N25" i="72" s="1"/>
  <c r="M25" i="72" a="1"/>
  <c r="M25" i="72" s="1"/>
  <c r="L25" i="72" a="1"/>
  <c r="L25" i="72" s="1"/>
  <c r="K25" i="72"/>
  <c r="J25" i="72" a="1"/>
  <c r="J25" i="72" s="1"/>
  <c r="I25" i="72"/>
  <c r="P24" i="72"/>
  <c r="O24" i="72" a="1"/>
  <c r="O24" i="72" s="1"/>
  <c r="N24" i="72" a="1"/>
  <c r="N24" i="72" s="1"/>
  <c r="M24" i="72" a="1"/>
  <c r="M24" i="72" s="1"/>
  <c r="L24" i="72" a="1"/>
  <c r="L24" i="72" s="1"/>
  <c r="K24" i="72"/>
  <c r="J24" i="72" a="1"/>
  <c r="J24" i="72" s="1"/>
  <c r="I24" i="72"/>
  <c r="P23" i="72"/>
  <c r="O23" i="72" a="1"/>
  <c r="O23" i="72" s="1"/>
  <c r="N23" i="72" a="1"/>
  <c r="N23" i="72" s="1"/>
  <c r="M23" i="72" a="1"/>
  <c r="M23" i="72" s="1"/>
  <c r="L23" i="72" a="1"/>
  <c r="L23" i="72" s="1"/>
  <c r="K23" i="72"/>
  <c r="J23" i="72" a="1"/>
  <c r="J23" i="72" s="1"/>
  <c r="I23" i="72"/>
  <c r="P22" i="72"/>
  <c r="O22" i="72" a="1"/>
  <c r="O22" i="72" s="1"/>
  <c r="N22" i="72" a="1"/>
  <c r="N22" i="72" s="1"/>
  <c r="M22" i="72" a="1"/>
  <c r="M22" i="72" s="1"/>
  <c r="L22" i="72" a="1"/>
  <c r="L22" i="72" s="1"/>
  <c r="K22" i="72"/>
  <c r="J22" i="72" a="1"/>
  <c r="J22" i="72" s="1"/>
  <c r="I22" i="72"/>
  <c r="P21" i="72"/>
  <c r="O21" i="72" a="1"/>
  <c r="O21" i="72" s="1"/>
  <c r="N21" i="72" a="1"/>
  <c r="N21" i="72" s="1"/>
  <c r="M21" i="72" a="1"/>
  <c r="M21" i="72" s="1"/>
  <c r="L21" i="72" a="1"/>
  <c r="L21" i="72" s="1"/>
  <c r="K21" i="72"/>
  <c r="J21" i="72" a="1"/>
  <c r="J21" i="72" s="1"/>
  <c r="I21" i="72"/>
  <c r="P20" i="72"/>
  <c r="O20" i="72" a="1"/>
  <c r="O20" i="72" s="1"/>
  <c r="N20" i="72" a="1"/>
  <c r="N20" i="72" s="1"/>
  <c r="M20" i="72" a="1"/>
  <c r="M20" i="72" s="1"/>
  <c r="L20" i="72" a="1"/>
  <c r="L20" i="72" s="1"/>
  <c r="K20" i="72"/>
  <c r="J20" i="72" a="1"/>
  <c r="J20" i="72" s="1"/>
  <c r="Q20" i="72" s="1"/>
  <c r="I20" i="72"/>
  <c r="P19" i="72"/>
  <c r="O19" i="72" a="1"/>
  <c r="O19" i="72" s="1"/>
  <c r="N19" i="72"/>
  <c r="N19" i="72" a="1"/>
  <c r="M19" i="72" a="1"/>
  <c r="M19" i="72" s="1"/>
  <c r="L19" i="72" a="1"/>
  <c r="L19" i="72" s="1"/>
  <c r="K19" i="72"/>
  <c r="J19" i="72" a="1"/>
  <c r="J19" i="72" s="1"/>
  <c r="I19" i="72"/>
  <c r="P18" i="72"/>
  <c r="O18" i="72" a="1"/>
  <c r="O18" i="72" s="1"/>
  <c r="N18" i="72" a="1"/>
  <c r="N18" i="72" s="1"/>
  <c r="M18" i="72" a="1"/>
  <c r="M18" i="72" s="1"/>
  <c r="L18" i="72" a="1"/>
  <c r="L18" i="72" s="1"/>
  <c r="K18" i="72"/>
  <c r="J18" i="72" a="1"/>
  <c r="J18" i="72" s="1"/>
  <c r="I18" i="72"/>
  <c r="P16" i="72"/>
  <c r="O16" i="72" a="1"/>
  <c r="O16" i="72" s="1"/>
  <c r="N16" i="72" a="1"/>
  <c r="N16" i="72" s="1"/>
  <c r="M16" i="72" a="1"/>
  <c r="M16" i="72" s="1"/>
  <c r="L16" i="72" a="1"/>
  <c r="L16" i="72" s="1"/>
  <c r="K16" i="72"/>
  <c r="J16" i="72" a="1"/>
  <c r="J16" i="72" s="1"/>
  <c r="I16" i="72"/>
  <c r="P15" i="72"/>
  <c r="O15" i="72" a="1"/>
  <c r="O15" i="72" s="1"/>
  <c r="N15" i="72" a="1"/>
  <c r="N15" i="72" s="1"/>
  <c r="M15" i="72" a="1"/>
  <c r="M15" i="72" s="1"/>
  <c r="L15" i="72" a="1"/>
  <c r="L15" i="72" s="1"/>
  <c r="K15" i="72"/>
  <c r="J15" i="72" a="1"/>
  <c r="J15" i="72" s="1"/>
  <c r="I15" i="72"/>
  <c r="P14" i="72"/>
  <c r="O14" i="72" a="1"/>
  <c r="O14" i="72" s="1"/>
  <c r="N14" i="72" a="1"/>
  <c r="N14" i="72" s="1"/>
  <c r="M14" i="72" a="1"/>
  <c r="M14" i="72" s="1"/>
  <c r="L14" i="72" a="1"/>
  <c r="L14" i="72" s="1"/>
  <c r="K14" i="72"/>
  <c r="J14" i="72" a="1"/>
  <c r="J14" i="72" s="1"/>
  <c r="I14" i="72"/>
  <c r="P13" i="72"/>
  <c r="O13" i="72" a="1"/>
  <c r="O13" i="72" s="1"/>
  <c r="N13" i="72" a="1"/>
  <c r="N13" i="72" s="1"/>
  <c r="M13" i="72" a="1"/>
  <c r="M13" i="72" s="1"/>
  <c r="L13" i="72" a="1"/>
  <c r="L13" i="72" s="1"/>
  <c r="K13" i="72"/>
  <c r="J13" i="72" a="1"/>
  <c r="J13" i="72" s="1"/>
  <c r="Q13" i="72" s="1"/>
  <c r="I13" i="72"/>
  <c r="P12" i="72"/>
  <c r="O12" i="72" a="1"/>
  <c r="O12" i="72" s="1"/>
  <c r="N12" i="72" a="1"/>
  <c r="N12" i="72" s="1"/>
  <c r="M12" i="72" a="1"/>
  <c r="M12" i="72" s="1"/>
  <c r="L12" i="72" a="1"/>
  <c r="L12" i="72" s="1"/>
  <c r="K12" i="72"/>
  <c r="J12" i="72" a="1"/>
  <c r="J12" i="72" s="1"/>
  <c r="I12" i="72"/>
  <c r="P11" i="72"/>
  <c r="O11" i="72" a="1"/>
  <c r="O11" i="72" s="1"/>
  <c r="N11" i="72" a="1"/>
  <c r="N11" i="72" s="1"/>
  <c r="M11" i="72" a="1"/>
  <c r="M11" i="72" s="1"/>
  <c r="L11" i="72" a="1"/>
  <c r="L11" i="72" s="1"/>
  <c r="K11" i="72"/>
  <c r="J11" i="72" a="1"/>
  <c r="J11" i="72" s="1"/>
  <c r="I11" i="72"/>
  <c r="P10" i="72"/>
  <c r="O10" i="72" a="1"/>
  <c r="O10" i="72" s="1"/>
  <c r="N10" i="72" a="1"/>
  <c r="N10" i="72" s="1"/>
  <c r="M10" i="72" a="1"/>
  <c r="M10" i="72" s="1"/>
  <c r="L10" i="72" a="1"/>
  <c r="L10" i="72" s="1"/>
  <c r="K10" i="72"/>
  <c r="J10" i="72" a="1"/>
  <c r="J10" i="72" s="1"/>
  <c r="I10" i="72"/>
  <c r="P9" i="72"/>
  <c r="O9" i="72" a="1"/>
  <c r="O9" i="72" s="1"/>
  <c r="N9" i="72" a="1"/>
  <c r="N9" i="72" s="1"/>
  <c r="M9" i="72" a="1"/>
  <c r="M9" i="72" s="1"/>
  <c r="L9" i="72" a="1"/>
  <c r="L9" i="72" s="1"/>
  <c r="K9" i="72"/>
  <c r="J9" i="72" a="1"/>
  <c r="J9" i="72" s="1"/>
  <c r="I9" i="72"/>
  <c r="P8" i="72"/>
  <c r="O8" i="72" a="1"/>
  <c r="O8" i="72" s="1"/>
  <c r="N8" i="72" a="1"/>
  <c r="N8" i="72" s="1"/>
  <c r="M8" i="72" a="1"/>
  <c r="M8" i="72" s="1"/>
  <c r="L8" i="72" a="1"/>
  <c r="L8" i="72" s="1"/>
  <c r="K8" i="72"/>
  <c r="J8" i="72" a="1"/>
  <c r="J8" i="72" s="1"/>
  <c r="I8" i="72"/>
  <c r="P7" i="72"/>
  <c r="O7" i="72" a="1"/>
  <c r="O7" i="72" s="1"/>
  <c r="N7" i="72" a="1"/>
  <c r="N7" i="72" s="1"/>
  <c r="M7" i="72" a="1"/>
  <c r="M7" i="72" s="1"/>
  <c r="L7" i="72" a="1"/>
  <c r="L7" i="72" s="1"/>
  <c r="K7" i="72"/>
  <c r="J7" i="72" a="1"/>
  <c r="J7" i="72" s="1"/>
  <c r="I7" i="72"/>
  <c r="P6" i="72"/>
  <c r="O6" i="72" a="1"/>
  <c r="O6" i="72" s="1"/>
  <c r="N6" i="72" a="1"/>
  <c r="N6" i="72" s="1"/>
  <c r="M6" i="72" a="1"/>
  <c r="M6" i="72" s="1"/>
  <c r="L6" i="72" a="1"/>
  <c r="L6" i="72" s="1"/>
  <c r="K6" i="72"/>
  <c r="J6" i="72" a="1"/>
  <c r="J6" i="72" s="1"/>
  <c r="I6" i="72"/>
  <c r="P5" i="72"/>
  <c r="O5" i="72" a="1"/>
  <c r="O5" i="72" s="1"/>
  <c r="N5" i="72" a="1"/>
  <c r="N5" i="72" s="1"/>
  <c r="M5" i="72" a="1"/>
  <c r="M5" i="72" s="1"/>
  <c r="L5" i="72" a="1"/>
  <c r="L5" i="72" s="1"/>
  <c r="K5" i="72"/>
  <c r="J5" i="72" a="1"/>
  <c r="J5" i="72" s="1"/>
  <c r="I5" i="72"/>
  <c r="P4" i="72"/>
  <c r="O4" i="72" a="1"/>
  <c r="O4" i="72" s="1"/>
  <c r="N4" i="72" a="1"/>
  <c r="N4" i="72" s="1"/>
  <c r="M4" i="72" a="1"/>
  <c r="M4" i="72" s="1"/>
  <c r="L4" i="72" a="1"/>
  <c r="L4" i="72" s="1"/>
  <c r="K4" i="72"/>
  <c r="J4" i="72" a="1"/>
  <c r="J4" i="72" s="1"/>
  <c r="I4" i="72"/>
  <c r="P3" i="72"/>
  <c r="O3" i="72" a="1"/>
  <c r="O3" i="72" s="1"/>
  <c r="N3" i="72" a="1"/>
  <c r="N3" i="72" s="1"/>
  <c r="M3" i="72" a="1"/>
  <c r="M3" i="72" s="1"/>
  <c r="L3" i="72" a="1"/>
  <c r="L3" i="72" s="1"/>
  <c r="K3" i="72"/>
  <c r="J3" i="72" a="1"/>
  <c r="J3" i="72" s="1"/>
  <c r="I3" i="72"/>
  <c r="I201" i="72"/>
  <c r="K201" i="72"/>
  <c r="I197" i="72"/>
  <c r="K197" i="72"/>
  <c r="Q181" i="72"/>
  <c r="Q173" i="72"/>
  <c r="Q170" i="72"/>
  <c r="Q169" i="72"/>
  <c r="Q168" i="72"/>
  <c r="Q160" i="72"/>
  <c r="Q158" i="72"/>
  <c r="Q156" i="72"/>
  <c r="Q145" i="72"/>
  <c r="Q143" i="72"/>
  <c r="Q132" i="72"/>
  <c r="Q129" i="72"/>
  <c r="Q125" i="72"/>
  <c r="Q123" i="72"/>
  <c r="Q118" i="72"/>
  <c r="Q117" i="72"/>
  <c r="Q115" i="72"/>
  <c r="Q94" i="72"/>
  <c r="Q92" i="72"/>
  <c r="Q81" i="72"/>
  <c r="P200" i="71"/>
  <c r="O200" i="71" a="1"/>
  <c r="O200" i="71" s="1"/>
  <c r="N200" i="71" a="1"/>
  <c r="N200" i="71" s="1"/>
  <c r="M200" i="71" a="1"/>
  <c r="M200" i="71" s="1"/>
  <c r="L200" i="71" a="1"/>
  <c r="L200" i="71" s="1"/>
  <c r="K200" i="71"/>
  <c r="J200" i="71" a="1"/>
  <c r="J200" i="71" s="1"/>
  <c r="I200" i="71"/>
  <c r="P199" i="71"/>
  <c r="O199" i="71" a="1"/>
  <c r="O199" i="71" s="1"/>
  <c r="N199" i="71" a="1"/>
  <c r="N199" i="71" s="1"/>
  <c r="M199" i="71" a="1"/>
  <c r="M199" i="71" s="1"/>
  <c r="L199" i="71" a="1"/>
  <c r="L199" i="71" s="1"/>
  <c r="K199" i="71"/>
  <c r="J199" i="71"/>
  <c r="J199" i="71" a="1"/>
  <c r="I199" i="71"/>
  <c r="P196" i="71"/>
  <c r="O196" i="71" a="1"/>
  <c r="O196" i="71" s="1"/>
  <c r="N196" i="71" a="1"/>
  <c r="N196" i="71" s="1"/>
  <c r="M196" i="71" a="1"/>
  <c r="M196" i="71" s="1"/>
  <c r="L196" i="71" a="1"/>
  <c r="L196" i="71" s="1"/>
  <c r="K196" i="71"/>
  <c r="J196" i="71" a="1"/>
  <c r="J196" i="71" s="1"/>
  <c r="I196" i="71"/>
  <c r="P195" i="71"/>
  <c r="P197" i="71" s="1"/>
  <c r="O195" i="71" a="1"/>
  <c r="O195" i="71" s="1"/>
  <c r="N195" i="71" a="1"/>
  <c r="N195" i="71" s="1"/>
  <c r="M195" i="71" a="1"/>
  <c r="M195" i="71" s="1"/>
  <c r="L195" i="71" a="1"/>
  <c r="L195" i="71" s="1"/>
  <c r="K195" i="71"/>
  <c r="J195" i="71" a="1"/>
  <c r="J195" i="71" s="1"/>
  <c r="I195" i="71"/>
  <c r="P193" i="71"/>
  <c r="O193" i="71" a="1"/>
  <c r="O193" i="71" s="1"/>
  <c r="N193" i="71"/>
  <c r="N193" i="71" a="1"/>
  <c r="M193" i="71" a="1"/>
  <c r="M193" i="71" s="1"/>
  <c r="L193" i="71" a="1"/>
  <c r="L193" i="71" s="1"/>
  <c r="K193" i="71"/>
  <c r="J193" i="71" a="1"/>
  <c r="J193" i="71" s="1"/>
  <c r="I193" i="71"/>
  <c r="P192" i="71"/>
  <c r="O192" i="71" a="1"/>
  <c r="O192" i="71" s="1"/>
  <c r="N192" i="71" a="1"/>
  <c r="N192" i="71" s="1"/>
  <c r="M192" i="71" a="1"/>
  <c r="M192" i="71" s="1"/>
  <c r="L192" i="71" a="1"/>
  <c r="L192" i="71" s="1"/>
  <c r="K192" i="71"/>
  <c r="J192" i="71" a="1"/>
  <c r="J192" i="71" s="1"/>
  <c r="I192" i="71"/>
  <c r="P191" i="71"/>
  <c r="O191" i="71" a="1"/>
  <c r="O191" i="71" s="1"/>
  <c r="N191" i="71" a="1"/>
  <c r="N191" i="71" s="1"/>
  <c r="M191" i="71"/>
  <c r="M191" i="71" a="1"/>
  <c r="L191" i="71" a="1"/>
  <c r="L191" i="71" s="1"/>
  <c r="K191" i="71"/>
  <c r="J191" i="71" a="1"/>
  <c r="J191" i="71" s="1"/>
  <c r="I191" i="71"/>
  <c r="P190" i="71"/>
  <c r="O190" i="71" a="1"/>
  <c r="O190" i="71" s="1"/>
  <c r="N190" i="71" a="1"/>
  <c r="N190" i="71" s="1"/>
  <c r="M190" i="71" a="1"/>
  <c r="M190" i="71" s="1"/>
  <c r="L190" i="71" a="1"/>
  <c r="L190" i="71" s="1"/>
  <c r="K190" i="71"/>
  <c r="J190" i="71" a="1"/>
  <c r="J190" i="71" s="1"/>
  <c r="I190" i="71"/>
  <c r="P189" i="71"/>
  <c r="O189" i="71" a="1"/>
  <c r="O189" i="71" s="1"/>
  <c r="N189" i="71" a="1"/>
  <c r="N189" i="71" s="1"/>
  <c r="M189" i="71" a="1"/>
  <c r="M189" i="71" s="1"/>
  <c r="L189" i="71" a="1"/>
  <c r="L189" i="71" s="1"/>
  <c r="K189" i="71"/>
  <c r="J189" i="71" a="1"/>
  <c r="J189" i="71" s="1"/>
  <c r="I189" i="71"/>
  <c r="P188" i="71"/>
  <c r="O188" i="71" a="1"/>
  <c r="O188" i="71" s="1"/>
  <c r="N188" i="71" a="1"/>
  <c r="N188" i="71" s="1"/>
  <c r="M188" i="71" a="1"/>
  <c r="M188" i="71" s="1"/>
  <c r="L188" i="71" a="1"/>
  <c r="L188" i="71" s="1"/>
  <c r="K188" i="71"/>
  <c r="J188" i="71" a="1"/>
  <c r="J188" i="71" s="1"/>
  <c r="I188" i="71"/>
  <c r="P187" i="71"/>
  <c r="O187" i="71" a="1"/>
  <c r="O187" i="71" s="1"/>
  <c r="N187" i="71" a="1"/>
  <c r="N187" i="71" s="1"/>
  <c r="M187" i="71" a="1"/>
  <c r="M187" i="71" s="1"/>
  <c r="L187" i="71" a="1"/>
  <c r="L187" i="71" s="1"/>
  <c r="K187" i="71"/>
  <c r="J187" i="71" a="1"/>
  <c r="J187" i="71" s="1"/>
  <c r="I187" i="71"/>
  <c r="P186" i="71"/>
  <c r="O186" i="71" a="1"/>
  <c r="O186" i="71" s="1"/>
  <c r="N186" i="71" a="1"/>
  <c r="N186" i="71" s="1"/>
  <c r="M186" i="71" a="1"/>
  <c r="M186" i="71" s="1"/>
  <c r="L186" i="71" a="1"/>
  <c r="L186" i="71" s="1"/>
  <c r="K186" i="71"/>
  <c r="J186" i="71" a="1"/>
  <c r="J186" i="71" s="1"/>
  <c r="I186" i="71"/>
  <c r="P185" i="71"/>
  <c r="O185" i="71" a="1"/>
  <c r="O185" i="71" s="1"/>
  <c r="N185" i="71" a="1"/>
  <c r="N185" i="71" s="1"/>
  <c r="M185" i="71" a="1"/>
  <c r="M185" i="71" s="1"/>
  <c r="L185" i="71" a="1"/>
  <c r="L185" i="71" s="1"/>
  <c r="K185" i="71"/>
  <c r="J185" i="71" a="1"/>
  <c r="J185" i="71" s="1"/>
  <c r="I185" i="71"/>
  <c r="P184" i="71"/>
  <c r="O184" i="71" a="1"/>
  <c r="O184" i="71" s="1"/>
  <c r="N184" i="71" a="1"/>
  <c r="N184" i="71" s="1"/>
  <c r="M184" i="71" a="1"/>
  <c r="M184" i="71" s="1"/>
  <c r="L184" i="71" a="1"/>
  <c r="L184" i="71" s="1"/>
  <c r="K184" i="71"/>
  <c r="J184" i="71" a="1"/>
  <c r="J184" i="71" s="1"/>
  <c r="Q184" i="71" s="1"/>
  <c r="I184" i="71"/>
  <c r="P183" i="71"/>
  <c r="O183" i="71" a="1"/>
  <c r="O183" i="71" s="1"/>
  <c r="N183" i="71"/>
  <c r="N183" i="71" a="1"/>
  <c r="M183" i="71" a="1"/>
  <c r="M183" i="71" s="1"/>
  <c r="L183" i="71" a="1"/>
  <c r="L183" i="71" s="1"/>
  <c r="K183" i="71"/>
  <c r="J183" i="71" a="1"/>
  <c r="J183" i="71" s="1"/>
  <c r="I183" i="71"/>
  <c r="P182" i="71"/>
  <c r="O182" i="71" a="1"/>
  <c r="O182" i="71" s="1"/>
  <c r="N182" i="71" a="1"/>
  <c r="N182" i="71" s="1"/>
  <c r="M182" i="71" a="1"/>
  <c r="M182" i="71" s="1"/>
  <c r="L182" i="71" a="1"/>
  <c r="L182" i="71" s="1"/>
  <c r="K182" i="71"/>
  <c r="J182" i="71" a="1"/>
  <c r="J182" i="71" s="1"/>
  <c r="I182" i="71"/>
  <c r="P181" i="71"/>
  <c r="O181" i="71" a="1"/>
  <c r="O181" i="71" s="1"/>
  <c r="N181" i="71" a="1"/>
  <c r="N181" i="71" s="1"/>
  <c r="M181" i="71" a="1"/>
  <c r="M181" i="71" s="1"/>
  <c r="L181" i="71" a="1"/>
  <c r="L181" i="71" s="1"/>
  <c r="K181" i="71"/>
  <c r="J181" i="71" a="1"/>
  <c r="J181" i="71" s="1"/>
  <c r="I181" i="71"/>
  <c r="P180" i="71"/>
  <c r="O180" i="71"/>
  <c r="O180" i="71" a="1"/>
  <c r="N180" i="71" a="1"/>
  <c r="N180" i="71" s="1"/>
  <c r="M180" i="71" a="1"/>
  <c r="M180" i="71" s="1"/>
  <c r="L180" i="71" a="1"/>
  <c r="L180" i="71" s="1"/>
  <c r="K180" i="71"/>
  <c r="J180" i="71" a="1"/>
  <c r="J180" i="71" s="1"/>
  <c r="I180" i="71"/>
  <c r="P179" i="71"/>
  <c r="O179" i="71" a="1"/>
  <c r="O179" i="71" s="1"/>
  <c r="N179" i="71" a="1"/>
  <c r="N179" i="71" s="1"/>
  <c r="M179" i="71" a="1"/>
  <c r="M179" i="71" s="1"/>
  <c r="L179" i="71" a="1"/>
  <c r="L179" i="71" s="1"/>
  <c r="K179" i="71"/>
  <c r="J179" i="71" a="1"/>
  <c r="J179" i="71" s="1"/>
  <c r="I179" i="71"/>
  <c r="P178" i="71"/>
  <c r="O178" i="71" a="1"/>
  <c r="O178" i="71" s="1"/>
  <c r="N178" i="71" a="1"/>
  <c r="N178" i="71" s="1"/>
  <c r="M178" i="71"/>
  <c r="M178" i="71" a="1"/>
  <c r="L178" i="71" a="1"/>
  <c r="L178" i="71" s="1"/>
  <c r="K178" i="71"/>
  <c r="J178" i="71" a="1"/>
  <c r="J178" i="71" s="1"/>
  <c r="Q178" i="71" s="1"/>
  <c r="I178" i="71"/>
  <c r="P177" i="71"/>
  <c r="O177" i="71" a="1"/>
  <c r="O177" i="71" s="1"/>
  <c r="N177" i="71" a="1"/>
  <c r="N177" i="71" s="1"/>
  <c r="M177" i="71" a="1"/>
  <c r="M177" i="71" s="1"/>
  <c r="L177" i="71" a="1"/>
  <c r="L177" i="71" s="1"/>
  <c r="K177" i="71"/>
  <c r="J177" i="71" a="1"/>
  <c r="J177" i="71" s="1"/>
  <c r="I177" i="71"/>
  <c r="P176" i="71"/>
  <c r="O176" i="71" a="1"/>
  <c r="O176" i="71" s="1"/>
  <c r="N176" i="71" a="1"/>
  <c r="N176" i="71" s="1"/>
  <c r="M176" i="71" a="1"/>
  <c r="M176" i="71" s="1"/>
  <c r="L176" i="71" a="1"/>
  <c r="L176" i="71" s="1"/>
  <c r="K176" i="71"/>
  <c r="J176" i="71" a="1"/>
  <c r="J176" i="71" s="1"/>
  <c r="I176" i="71"/>
  <c r="P175" i="71"/>
  <c r="O175" i="71" a="1"/>
  <c r="O175" i="71" s="1"/>
  <c r="N175" i="71" a="1"/>
  <c r="N175" i="71" s="1"/>
  <c r="M175" i="71" a="1"/>
  <c r="M175" i="71" s="1"/>
  <c r="L175" i="71" a="1"/>
  <c r="L175" i="71" s="1"/>
  <c r="K175" i="71"/>
  <c r="J175" i="71" a="1"/>
  <c r="J175" i="71" s="1"/>
  <c r="I175" i="71"/>
  <c r="P174" i="71"/>
  <c r="O174" i="71" a="1"/>
  <c r="O174" i="71" s="1"/>
  <c r="N174" i="71" a="1"/>
  <c r="N174" i="71" s="1"/>
  <c r="M174" i="71" a="1"/>
  <c r="M174" i="71" s="1"/>
  <c r="L174" i="71" a="1"/>
  <c r="L174" i="71" s="1"/>
  <c r="K174" i="71"/>
  <c r="J174" i="71"/>
  <c r="Q174" i="71" s="1"/>
  <c r="J174" i="71" a="1"/>
  <c r="I174" i="71"/>
  <c r="P173" i="71"/>
  <c r="O173" i="71" a="1"/>
  <c r="O173" i="71" s="1"/>
  <c r="N173" i="71" a="1"/>
  <c r="N173" i="71" s="1"/>
  <c r="M173" i="71" a="1"/>
  <c r="M173" i="71" s="1"/>
  <c r="L173" i="71" a="1"/>
  <c r="L173" i="71" s="1"/>
  <c r="K173" i="71"/>
  <c r="J173" i="71" a="1"/>
  <c r="J173" i="71" s="1"/>
  <c r="I173" i="71"/>
  <c r="P172" i="71"/>
  <c r="O172" i="71" a="1"/>
  <c r="O172" i="71" s="1"/>
  <c r="N172" i="71" a="1"/>
  <c r="N172" i="71" s="1"/>
  <c r="M172" i="71" a="1"/>
  <c r="M172" i="71" s="1"/>
  <c r="L172" i="71" a="1"/>
  <c r="L172" i="71" s="1"/>
  <c r="K172" i="71"/>
  <c r="J172" i="71" a="1"/>
  <c r="J172" i="71" s="1"/>
  <c r="I172" i="71"/>
  <c r="P171" i="71"/>
  <c r="O171" i="71" a="1"/>
  <c r="O171" i="71" s="1"/>
  <c r="N171" i="71" a="1"/>
  <c r="N171" i="71" s="1"/>
  <c r="M171" i="71" a="1"/>
  <c r="M171" i="71" s="1"/>
  <c r="L171" i="71" a="1"/>
  <c r="L171" i="71" s="1"/>
  <c r="K171" i="71"/>
  <c r="J171" i="71" a="1"/>
  <c r="J171" i="71" s="1"/>
  <c r="I171" i="71"/>
  <c r="P170" i="71"/>
  <c r="O170" i="71" a="1"/>
  <c r="O170" i="71" s="1"/>
  <c r="N170" i="71" a="1"/>
  <c r="N170" i="71" s="1"/>
  <c r="M170" i="71" a="1"/>
  <c r="M170" i="71" s="1"/>
  <c r="L170" i="71" a="1"/>
  <c r="L170" i="71" s="1"/>
  <c r="K170" i="71"/>
  <c r="J170" i="71" a="1"/>
  <c r="J170" i="71" s="1"/>
  <c r="I170" i="71"/>
  <c r="P169" i="71"/>
  <c r="O169" i="71" a="1"/>
  <c r="O169" i="71" s="1"/>
  <c r="N169" i="71" a="1"/>
  <c r="N169" i="71" s="1"/>
  <c r="M169" i="71" a="1"/>
  <c r="M169" i="71" s="1"/>
  <c r="L169" i="71" a="1"/>
  <c r="L169" i="71" s="1"/>
  <c r="K169" i="71"/>
  <c r="J169" i="71" a="1"/>
  <c r="J169" i="71" s="1"/>
  <c r="I169" i="71"/>
  <c r="P168" i="71"/>
  <c r="O168" i="71" a="1"/>
  <c r="O168" i="71" s="1"/>
  <c r="N168" i="71" a="1"/>
  <c r="N168" i="71" s="1"/>
  <c r="M168" i="71" a="1"/>
  <c r="M168" i="71" s="1"/>
  <c r="L168" i="71"/>
  <c r="L168" i="71" a="1"/>
  <c r="K168" i="71"/>
  <c r="J168" i="71" a="1"/>
  <c r="J168" i="71" s="1"/>
  <c r="I168" i="71"/>
  <c r="P167" i="71"/>
  <c r="O167" i="71" a="1"/>
  <c r="O167" i="71" s="1"/>
  <c r="N167" i="71" a="1"/>
  <c r="N167" i="71" s="1"/>
  <c r="M167" i="71"/>
  <c r="M167" i="71" a="1"/>
  <c r="L167" i="71" a="1"/>
  <c r="L167" i="71" s="1"/>
  <c r="K167" i="71"/>
  <c r="J167" i="71" a="1"/>
  <c r="J167" i="71" s="1"/>
  <c r="I167" i="71"/>
  <c r="P166" i="71"/>
  <c r="O166" i="71" a="1"/>
  <c r="O166" i="71" s="1"/>
  <c r="N166" i="71" a="1"/>
  <c r="N166" i="71" s="1"/>
  <c r="M166" i="71" a="1"/>
  <c r="M166" i="71" s="1"/>
  <c r="L166" i="71" a="1"/>
  <c r="L166" i="71" s="1"/>
  <c r="K166" i="71"/>
  <c r="J166" i="71" a="1"/>
  <c r="J166" i="71" s="1"/>
  <c r="I166" i="71"/>
  <c r="P165" i="71"/>
  <c r="O165" i="71" a="1"/>
  <c r="O165" i="71" s="1"/>
  <c r="N165" i="71" a="1"/>
  <c r="N165" i="71" s="1"/>
  <c r="M165" i="71" a="1"/>
  <c r="M165" i="71" s="1"/>
  <c r="L165" i="71" a="1"/>
  <c r="L165" i="71" s="1"/>
  <c r="K165" i="71"/>
  <c r="J165" i="71" a="1"/>
  <c r="J165" i="71" s="1"/>
  <c r="I165" i="71"/>
  <c r="P164" i="71"/>
  <c r="O164" i="71" a="1"/>
  <c r="O164" i="71" s="1"/>
  <c r="N164" i="71" a="1"/>
  <c r="N164" i="71" s="1"/>
  <c r="M164" i="71" a="1"/>
  <c r="M164" i="71" s="1"/>
  <c r="L164" i="71" a="1"/>
  <c r="L164" i="71" s="1"/>
  <c r="K164" i="71"/>
  <c r="J164" i="71" a="1"/>
  <c r="J164" i="71" s="1"/>
  <c r="I164" i="71"/>
  <c r="P163" i="71"/>
  <c r="O163" i="71" a="1"/>
  <c r="O163" i="71" s="1"/>
  <c r="N163" i="71" a="1"/>
  <c r="N163" i="71" s="1"/>
  <c r="M163" i="71" a="1"/>
  <c r="M163" i="71" s="1"/>
  <c r="L163" i="71" a="1"/>
  <c r="L163" i="71" s="1"/>
  <c r="K163" i="71"/>
  <c r="J163" i="71" a="1"/>
  <c r="J163" i="71" s="1"/>
  <c r="I163" i="71"/>
  <c r="P162" i="71"/>
  <c r="O162" i="71" a="1"/>
  <c r="O162" i="71" s="1"/>
  <c r="N162" i="71" a="1"/>
  <c r="N162" i="71" s="1"/>
  <c r="M162" i="71" a="1"/>
  <c r="M162" i="71" s="1"/>
  <c r="L162" i="71" a="1"/>
  <c r="L162" i="71" s="1"/>
  <c r="K162" i="71"/>
  <c r="J162" i="71" a="1"/>
  <c r="J162" i="71" s="1"/>
  <c r="I162" i="71"/>
  <c r="P161" i="71"/>
  <c r="O161" i="71" a="1"/>
  <c r="O161" i="71" s="1"/>
  <c r="N161" i="71" a="1"/>
  <c r="N161" i="71" s="1"/>
  <c r="M161" i="71" a="1"/>
  <c r="M161" i="71" s="1"/>
  <c r="L161" i="71" a="1"/>
  <c r="L161" i="71" s="1"/>
  <c r="K161" i="71"/>
  <c r="J161" i="71" a="1"/>
  <c r="J161" i="71" s="1"/>
  <c r="I161" i="71"/>
  <c r="P160" i="71"/>
  <c r="O160" i="71" a="1"/>
  <c r="O160" i="71" s="1"/>
  <c r="N160" i="71" a="1"/>
  <c r="N160" i="71" s="1"/>
  <c r="M160" i="71" a="1"/>
  <c r="M160" i="71" s="1"/>
  <c r="L160" i="71" a="1"/>
  <c r="L160" i="71" s="1"/>
  <c r="K160" i="71"/>
  <c r="J160" i="71" a="1"/>
  <c r="J160" i="71" s="1"/>
  <c r="I160" i="71"/>
  <c r="P159" i="71"/>
  <c r="O159" i="71" a="1"/>
  <c r="O159" i="71" s="1"/>
  <c r="N159" i="71" a="1"/>
  <c r="N159" i="71" s="1"/>
  <c r="M159" i="71" a="1"/>
  <c r="M159" i="71" s="1"/>
  <c r="L159" i="71" a="1"/>
  <c r="L159" i="71" s="1"/>
  <c r="K159" i="71"/>
  <c r="J159" i="71" a="1"/>
  <c r="J159" i="71" s="1"/>
  <c r="I159" i="71"/>
  <c r="P158" i="71"/>
  <c r="O158" i="71" a="1"/>
  <c r="O158" i="71" s="1"/>
  <c r="N158" i="71" a="1"/>
  <c r="N158" i="71" s="1"/>
  <c r="M158" i="71" a="1"/>
  <c r="M158" i="71" s="1"/>
  <c r="L158" i="71" a="1"/>
  <c r="L158" i="71" s="1"/>
  <c r="K158" i="71"/>
  <c r="J158" i="71" a="1"/>
  <c r="J158" i="71" s="1"/>
  <c r="I158" i="71"/>
  <c r="P156" i="71"/>
  <c r="O156" i="71" a="1"/>
  <c r="O156" i="71" s="1"/>
  <c r="N156" i="71" a="1"/>
  <c r="N156" i="71" s="1"/>
  <c r="M156" i="71" a="1"/>
  <c r="M156" i="71" s="1"/>
  <c r="L156" i="71" a="1"/>
  <c r="L156" i="71" s="1"/>
  <c r="K156" i="71"/>
  <c r="J156" i="71" a="1"/>
  <c r="J156" i="71" s="1"/>
  <c r="I156" i="71"/>
  <c r="P155" i="71"/>
  <c r="O155" i="71" a="1"/>
  <c r="O155" i="71" s="1"/>
  <c r="N155" i="71" a="1"/>
  <c r="N155" i="71" s="1"/>
  <c r="M155" i="71" a="1"/>
  <c r="M155" i="71" s="1"/>
  <c r="L155" i="71" a="1"/>
  <c r="L155" i="71" s="1"/>
  <c r="K155" i="71"/>
  <c r="J155" i="71" a="1"/>
  <c r="J155" i="71" s="1"/>
  <c r="I155" i="71"/>
  <c r="P154" i="71"/>
  <c r="O154" i="71" a="1"/>
  <c r="O154" i="71" s="1"/>
  <c r="N154" i="71" a="1"/>
  <c r="N154" i="71" s="1"/>
  <c r="M154" i="71" a="1"/>
  <c r="M154" i="71" s="1"/>
  <c r="L154" i="71" a="1"/>
  <c r="L154" i="71" s="1"/>
  <c r="K154" i="71"/>
  <c r="J154" i="71" a="1"/>
  <c r="J154" i="71" s="1"/>
  <c r="I154" i="71"/>
  <c r="P153" i="71"/>
  <c r="O153" i="71" a="1"/>
  <c r="O153" i="71" s="1"/>
  <c r="N153" i="71" a="1"/>
  <c r="N153" i="71" s="1"/>
  <c r="M153" i="71" a="1"/>
  <c r="M153" i="71" s="1"/>
  <c r="L153" i="71" a="1"/>
  <c r="L153" i="71" s="1"/>
  <c r="K153" i="71"/>
  <c r="J153" i="71" a="1"/>
  <c r="J153" i="71" s="1"/>
  <c r="Q153" i="71" s="1"/>
  <c r="I153" i="71"/>
  <c r="P152" i="71"/>
  <c r="O152" i="71" a="1"/>
  <c r="O152" i="71" s="1"/>
  <c r="N152" i="71" a="1"/>
  <c r="N152" i="71" s="1"/>
  <c r="M152" i="71" a="1"/>
  <c r="M152" i="71" s="1"/>
  <c r="L152" i="71" a="1"/>
  <c r="L152" i="71" s="1"/>
  <c r="K152" i="71"/>
  <c r="J152" i="71" a="1"/>
  <c r="J152" i="71" s="1"/>
  <c r="I152" i="71"/>
  <c r="P151" i="71"/>
  <c r="O151" i="71" a="1"/>
  <c r="O151" i="71" s="1"/>
  <c r="N151" i="71"/>
  <c r="N151" i="71" a="1"/>
  <c r="M151" i="71" a="1"/>
  <c r="M151" i="71" s="1"/>
  <c r="L151" i="71" a="1"/>
  <c r="L151" i="71" s="1"/>
  <c r="K151" i="71"/>
  <c r="J151" i="71" a="1"/>
  <c r="J151" i="71" s="1"/>
  <c r="I151" i="71"/>
  <c r="P150" i="71"/>
  <c r="O150" i="71" a="1"/>
  <c r="O150" i="71" s="1"/>
  <c r="N150" i="71" a="1"/>
  <c r="N150" i="71" s="1"/>
  <c r="M150" i="71" a="1"/>
  <c r="M150" i="71" s="1"/>
  <c r="L150" i="71" a="1"/>
  <c r="L150" i="71" s="1"/>
  <c r="K150" i="71"/>
  <c r="J150" i="71" a="1"/>
  <c r="J150" i="71" s="1"/>
  <c r="I150" i="71"/>
  <c r="P149" i="71"/>
  <c r="O149" i="71" a="1"/>
  <c r="O149" i="71" s="1"/>
  <c r="N149" i="71" a="1"/>
  <c r="N149" i="71" s="1"/>
  <c r="M149" i="71" a="1"/>
  <c r="M149" i="71" s="1"/>
  <c r="L149" i="71" a="1"/>
  <c r="L149" i="71" s="1"/>
  <c r="K149" i="71"/>
  <c r="J149" i="71" a="1"/>
  <c r="J149" i="71" s="1"/>
  <c r="I149" i="71"/>
  <c r="P147" i="71"/>
  <c r="Q147" i="71" s="1"/>
  <c r="O147" i="71" a="1"/>
  <c r="O147" i="71" s="1"/>
  <c r="N147" i="71" a="1"/>
  <c r="N147" i="71" s="1"/>
  <c r="M147" i="71" a="1"/>
  <c r="M147" i="71" s="1"/>
  <c r="L147" i="71" a="1"/>
  <c r="L147" i="71" s="1"/>
  <c r="K147" i="71"/>
  <c r="J147" i="71" a="1"/>
  <c r="J147" i="71" s="1"/>
  <c r="I147" i="71"/>
  <c r="P146" i="71"/>
  <c r="O146" i="71" a="1"/>
  <c r="O146" i="71" s="1"/>
  <c r="N146" i="71" a="1"/>
  <c r="N146" i="71" s="1"/>
  <c r="M146" i="71" a="1"/>
  <c r="M146" i="71" s="1"/>
  <c r="L146" i="71" a="1"/>
  <c r="L146" i="71" s="1"/>
  <c r="K146" i="71"/>
  <c r="J146" i="71" a="1"/>
  <c r="J146" i="71" s="1"/>
  <c r="I146" i="71"/>
  <c r="P145" i="71"/>
  <c r="O145" i="71" a="1"/>
  <c r="O145" i="71" s="1"/>
  <c r="N145" i="71" a="1"/>
  <c r="N145" i="71" s="1"/>
  <c r="M145" i="71" a="1"/>
  <c r="M145" i="71" s="1"/>
  <c r="L145" i="71" a="1"/>
  <c r="L145" i="71" s="1"/>
  <c r="K145" i="71"/>
  <c r="J145" i="71" a="1"/>
  <c r="J145" i="71" s="1"/>
  <c r="I145" i="71"/>
  <c r="P144" i="71"/>
  <c r="O144" i="71" a="1"/>
  <c r="O144" i="71" s="1"/>
  <c r="N144" i="71" a="1"/>
  <c r="N144" i="71" s="1"/>
  <c r="M144" i="71"/>
  <c r="M144" i="71" a="1"/>
  <c r="L144" i="71" a="1"/>
  <c r="L144" i="71" s="1"/>
  <c r="K144" i="71"/>
  <c r="J144" i="71" a="1"/>
  <c r="J144" i="71" s="1"/>
  <c r="I144" i="71"/>
  <c r="P143" i="71"/>
  <c r="Q143" i="71" s="1"/>
  <c r="O143" i="71" a="1"/>
  <c r="O143" i="71" s="1"/>
  <c r="N143" i="71" a="1"/>
  <c r="N143" i="71" s="1"/>
  <c r="M143" i="71" a="1"/>
  <c r="M143" i="71" s="1"/>
  <c r="L143" i="71" a="1"/>
  <c r="L143" i="71" s="1"/>
  <c r="K143" i="71"/>
  <c r="J143" i="71" a="1"/>
  <c r="J143" i="71" s="1"/>
  <c r="I143" i="71"/>
  <c r="P142" i="71"/>
  <c r="O142" i="71" a="1"/>
  <c r="O142" i="71" s="1"/>
  <c r="N142" i="71" a="1"/>
  <c r="N142" i="71" s="1"/>
  <c r="M142" i="71" a="1"/>
  <c r="M142" i="71" s="1"/>
  <c r="L142" i="71" a="1"/>
  <c r="L142" i="71" s="1"/>
  <c r="K142" i="71"/>
  <c r="J142" i="71"/>
  <c r="J142" i="71" a="1"/>
  <c r="I142" i="71"/>
  <c r="P141" i="71"/>
  <c r="O141" i="71" a="1"/>
  <c r="O141" i="71" s="1"/>
  <c r="N141" i="71" a="1"/>
  <c r="N141" i="71" s="1"/>
  <c r="M141" i="71" a="1"/>
  <c r="M141" i="71" s="1"/>
  <c r="L141" i="71" a="1"/>
  <c r="L141" i="71" s="1"/>
  <c r="K141" i="71"/>
  <c r="J141" i="71" a="1"/>
  <c r="J141" i="71" s="1"/>
  <c r="I141" i="71"/>
  <c r="P140" i="71"/>
  <c r="O140" i="71" a="1"/>
  <c r="O140" i="71" s="1"/>
  <c r="N140" i="71" a="1"/>
  <c r="N140" i="71" s="1"/>
  <c r="M140" i="71" a="1"/>
  <c r="M140" i="71" s="1"/>
  <c r="L140" i="71" a="1"/>
  <c r="L140" i="71" s="1"/>
  <c r="K140" i="71"/>
  <c r="J140" i="71" a="1"/>
  <c r="J140" i="71" s="1"/>
  <c r="I140" i="71"/>
  <c r="P138" i="71"/>
  <c r="O138" i="71" a="1"/>
  <c r="O138" i="71" s="1"/>
  <c r="N138" i="71" a="1"/>
  <c r="N138" i="71" s="1"/>
  <c r="M138" i="71" a="1"/>
  <c r="M138" i="71" s="1"/>
  <c r="L138" i="71" a="1"/>
  <c r="L138" i="71" s="1"/>
  <c r="K138" i="71"/>
  <c r="J138" i="71" a="1"/>
  <c r="J138" i="71" s="1"/>
  <c r="I138" i="71"/>
  <c r="P137" i="71"/>
  <c r="O137" i="71" a="1"/>
  <c r="O137" i="71" s="1"/>
  <c r="N137" i="71" a="1"/>
  <c r="N137" i="71" s="1"/>
  <c r="M137" i="71" a="1"/>
  <c r="M137" i="71" s="1"/>
  <c r="L137" i="71" a="1"/>
  <c r="L137" i="71" s="1"/>
  <c r="K137" i="71"/>
  <c r="J137" i="71" a="1"/>
  <c r="J137" i="71" s="1"/>
  <c r="I137" i="71"/>
  <c r="P136" i="71"/>
  <c r="O136" i="71" a="1"/>
  <c r="O136" i="71" s="1"/>
  <c r="N136" i="71" a="1"/>
  <c r="N136" i="71" s="1"/>
  <c r="M136" i="71" a="1"/>
  <c r="M136" i="71" s="1"/>
  <c r="L136" i="71" a="1"/>
  <c r="L136" i="71" s="1"/>
  <c r="K136" i="71"/>
  <c r="J136" i="71" a="1"/>
  <c r="J136" i="71" s="1"/>
  <c r="I136" i="71"/>
  <c r="P135" i="71"/>
  <c r="O135" i="71" a="1"/>
  <c r="O135" i="71" s="1"/>
  <c r="N135" i="71" a="1"/>
  <c r="N135" i="71" s="1"/>
  <c r="M135" i="71" a="1"/>
  <c r="M135" i="71" s="1"/>
  <c r="L135" i="71" a="1"/>
  <c r="L135" i="71" s="1"/>
  <c r="K135" i="71"/>
  <c r="J135" i="71" a="1"/>
  <c r="J135" i="71" s="1"/>
  <c r="I135" i="71"/>
  <c r="P134" i="71"/>
  <c r="O134" i="71" a="1"/>
  <c r="O134" i="71" s="1"/>
  <c r="N134" i="71" a="1"/>
  <c r="N134" i="71" s="1"/>
  <c r="M134" i="71" a="1"/>
  <c r="M134" i="71" s="1"/>
  <c r="L134" i="71" a="1"/>
  <c r="L134" i="71" s="1"/>
  <c r="K134" i="71"/>
  <c r="J134" i="71" a="1"/>
  <c r="J134" i="71" s="1"/>
  <c r="I134" i="71"/>
  <c r="P133" i="71"/>
  <c r="O133" i="71"/>
  <c r="O133" i="71" a="1"/>
  <c r="N133" i="71" a="1"/>
  <c r="N133" i="71" s="1"/>
  <c r="M133" i="71" a="1"/>
  <c r="M133" i="71" s="1"/>
  <c r="L133" i="71" a="1"/>
  <c r="L133" i="71" s="1"/>
  <c r="K133" i="71"/>
  <c r="J133" i="71" a="1"/>
  <c r="J133" i="71" s="1"/>
  <c r="I133" i="71"/>
  <c r="P132" i="71"/>
  <c r="O132" i="71" a="1"/>
  <c r="O132" i="71" s="1"/>
  <c r="N132" i="71" a="1"/>
  <c r="N132" i="71" s="1"/>
  <c r="M132" i="71" a="1"/>
  <c r="M132" i="71" s="1"/>
  <c r="L132" i="71" a="1"/>
  <c r="L132" i="71" s="1"/>
  <c r="K132" i="71"/>
  <c r="J132" i="71" a="1"/>
  <c r="J132" i="71" s="1"/>
  <c r="I132" i="71"/>
  <c r="P131" i="71"/>
  <c r="O131" i="71" a="1"/>
  <c r="O131" i="71" s="1"/>
  <c r="N131" i="71" a="1"/>
  <c r="N131" i="71" s="1"/>
  <c r="M131" i="71" a="1"/>
  <c r="M131" i="71" s="1"/>
  <c r="L131" i="71" a="1"/>
  <c r="L131" i="71" s="1"/>
  <c r="K131" i="71"/>
  <c r="J131" i="71" a="1"/>
  <c r="J131" i="71" s="1"/>
  <c r="I131" i="71"/>
  <c r="P130" i="71"/>
  <c r="O130" i="71" a="1"/>
  <c r="O130" i="71" s="1"/>
  <c r="N130" i="71" a="1"/>
  <c r="N130" i="71" s="1"/>
  <c r="M130" i="71" a="1"/>
  <c r="M130" i="71" s="1"/>
  <c r="L130" i="71" a="1"/>
  <c r="L130" i="71" s="1"/>
  <c r="K130" i="71"/>
  <c r="J130" i="71" a="1"/>
  <c r="J130" i="71" s="1"/>
  <c r="I130" i="71"/>
  <c r="P129" i="71"/>
  <c r="O129" i="71" a="1"/>
  <c r="O129" i="71" s="1"/>
  <c r="N129" i="71" a="1"/>
  <c r="N129" i="71" s="1"/>
  <c r="M129" i="71" a="1"/>
  <c r="M129" i="71" s="1"/>
  <c r="L129" i="71"/>
  <c r="L129" i="71" a="1"/>
  <c r="K129" i="71"/>
  <c r="J129" i="71" a="1"/>
  <c r="J129" i="71" s="1"/>
  <c r="I129" i="71"/>
  <c r="P127" i="71"/>
  <c r="O127" i="71" a="1"/>
  <c r="O127" i="71" s="1"/>
  <c r="N127" i="71" a="1"/>
  <c r="N127" i="71" s="1"/>
  <c r="M127" i="71" a="1"/>
  <c r="M127" i="71" s="1"/>
  <c r="L127" i="71" a="1"/>
  <c r="L127" i="71" s="1"/>
  <c r="K127" i="71"/>
  <c r="J127" i="71"/>
  <c r="J127" i="71" a="1"/>
  <c r="I127" i="71"/>
  <c r="P126" i="71"/>
  <c r="O126" i="71" a="1"/>
  <c r="O126" i="71" s="1"/>
  <c r="N126" i="71" a="1"/>
  <c r="N126" i="71" s="1"/>
  <c r="M126" i="71" a="1"/>
  <c r="M126" i="71" s="1"/>
  <c r="L126" i="71" a="1"/>
  <c r="L126" i="71" s="1"/>
  <c r="K126" i="71"/>
  <c r="J126" i="71" a="1"/>
  <c r="J126" i="71" s="1"/>
  <c r="I126" i="71"/>
  <c r="P125" i="71"/>
  <c r="O125" i="71" a="1"/>
  <c r="O125" i="71" s="1"/>
  <c r="N125" i="71" a="1"/>
  <c r="N125" i="71" s="1"/>
  <c r="M125" i="71" a="1"/>
  <c r="M125" i="71" s="1"/>
  <c r="L125" i="71" a="1"/>
  <c r="L125" i="71" s="1"/>
  <c r="K125" i="71"/>
  <c r="J125" i="71" a="1"/>
  <c r="J125" i="71" s="1"/>
  <c r="I125" i="71"/>
  <c r="P124" i="71"/>
  <c r="O124" i="71" a="1"/>
  <c r="O124" i="71" s="1"/>
  <c r="N124" i="71" a="1"/>
  <c r="N124" i="71" s="1"/>
  <c r="M124" i="71" a="1"/>
  <c r="M124" i="71" s="1"/>
  <c r="L124" i="71" a="1"/>
  <c r="L124" i="71" s="1"/>
  <c r="K124" i="71"/>
  <c r="J124" i="71" a="1"/>
  <c r="J124" i="71" s="1"/>
  <c r="I124" i="71"/>
  <c r="P123" i="71"/>
  <c r="O123" i="71"/>
  <c r="O123" i="71" a="1"/>
  <c r="N123" i="71" a="1"/>
  <c r="N123" i="71" s="1"/>
  <c r="M123" i="71" a="1"/>
  <c r="M123" i="71" s="1"/>
  <c r="L123" i="71" a="1"/>
  <c r="L123" i="71" s="1"/>
  <c r="K123" i="71"/>
  <c r="J123" i="71" a="1"/>
  <c r="J123" i="71" s="1"/>
  <c r="I123" i="71"/>
  <c r="P122" i="71"/>
  <c r="O122" i="71" a="1"/>
  <c r="O122" i="71" s="1"/>
  <c r="N122" i="71" a="1"/>
  <c r="N122" i="71" s="1"/>
  <c r="M122" i="71" a="1"/>
  <c r="M122" i="71" s="1"/>
  <c r="L122" i="71" a="1"/>
  <c r="L122" i="71" s="1"/>
  <c r="K122" i="71"/>
  <c r="J122" i="71" a="1"/>
  <c r="J122" i="71" s="1"/>
  <c r="I122" i="71"/>
  <c r="P121" i="71"/>
  <c r="O121" i="71" a="1"/>
  <c r="O121" i="71" s="1"/>
  <c r="N121" i="71" a="1"/>
  <c r="N121" i="71" s="1"/>
  <c r="M121" i="71" a="1"/>
  <c r="M121" i="71" s="1"/>
  <c r="L121" i="71" a="1"/>
  <c r="L121" i="71" s="1"/>
  <c r="K121" i="71"/>
  <c r="J121" i="71" a="1"/>
  <c r="J121" i="71" s="1"/>
  <c r="I121" i="71"/>
  <c r="P120" i="71"/>
  <c r="O120" i="71" a="1"/>
  <c r="O120" i="71" s="1"/>
  <c r="N120" i="71" a="1"/>
  <c r="N120" i="71" s="1"/>
  <c r="M120" i="71" a="1"/>
  <c r="M120" i="71" s="1"/>
  <c r="L120" i="71" a="1"/>
  <c r="L120" i="71" s="1"/>
  <c r="K120" i="71"/>
  <c r="J120" i="71" a="1"/>
  <c r="J120" i="71" s="1"/>
  <c r="I120" i="71"/>
  <c r="P119" i="71"/>
  <c r="Q119" i="71" s="1"/>
  <c r="O119" i="71"/>
  <c r="O119" i="71" a="1"/>
  <c r="N119" i="71" a="1"/>
  <c r="N119" i="71" s="1"/>
  <c r="M119" i="71"/>
  <c r="M119" i="71" a="1"/>
  <c r="L119" i="71" a="1"/>
  <c r="L119" i="71" s="1"/>
  <c r="K119" i="71"/>
  <c r="J119" i="71" a="1"/>
  <c r="J119" i="71" s="1"/>
  <c r="I119" i="71"/>
  <c r="P118" i="71"/>
  <c r="O118" i="71" a="1"/>
  <c r="O118" i="71" s="1"/>
  <c r="N118" i="71" a="1"/>
  <c r="N118" i="71" s="1"/>
  <c r="M118" i="71" a="1"/>
  <c r="M118" i="71" s="1"/>
  <c r="L118" i="71" a="1"/>
  <c r="L118" i="71" s="1"/>
  <c r="K118" i="71"/>
  <c r="J118" i="71" a="1"/>
  <c r="J118" i="71" s="1"/>
  <c r="Q118" i="71" s="1"/>
  <c r="I118" i="71"/>
  <c r="P117" i="71"/>
  <c r="O117" i="71" a="1"/>
  <c r="O117" i="71" s="1"/>
  <c r="N117" i="71"/>
  <c r="N117" i="71" a="1"/>
  <c r="M117" i="71" a="1"/>
  <c r="M117" i="71" s="1"/>
  <c r="L117" i="71" a="1"/>
  <c r="L117" i="71" s="1"/>
  <c r="K117" i="71"/>
  <c r="J117" i="71" a="1"/>
  <c r="J117" i="71" s="1"/>
  <c r="Q117" i="71" s="1"/>
  <c r="I117" i="71"/>
  <c r="P116" i="71"/>
  <c r="O116" i="71" a="1"/>
  <c r="O116" i="71" s="1"/>
  <c r="N116" i="71" a="1"/>
  <c r="N116" i="71" s="1"/>
  <c r="M116" i="71" a="1"/>
  <c r="M116" i="71" s="1"/>
  <c r="L116" i="71" a="1"/>
  <c r="L116" i="71" s="1"/>
  <c r="K116" i="71"/>
  <c r="J116" i="71" a="1"/>
  <c r="J116" i="71" s="1"/>
  <c r="I116" i="71"/>
  <c r="P115" i="71"/>
  <c r="O115" i="71" a="1"/>
  <c r="O115" i="71" s="1"/>
  <c r="N115" i="71" a="1"/>
  <c r="N115" i="71" s="1"/>
  <c r="M115" i="71" a="1"/>
  <c r="M115" i="71" s="1"/>
  <c r="L115" i="71" a="1"/>
  <c r="L115" i="71" s="1"/>
  <c r="K115" i="71"/>
  <c r="J115" i="71" a="1"/>
  <c r="J115" i="71" s="1"/>
  <c r="I115" i="71"/>
  <c r="P114" i="71"/>
  <c r="O114" i="71"/>
  <c r="O114" i="71" a="1"/>
  <c r="N114" i="71" a="1"/>
  <c r="N114" i="71" s="1"/>
  <c r="M114" i="71"/>
  <c r="M114" i="71" a="1"/>
  <c r="L114" i="71" a="1"/>
  <c r="L114" i="71" s="1"/>
  <c r="K114" i="71"/>
  <c r="J114" i="71" a="1"/>
  <c r="J114" i="71" s="1"/>
  <c r="I114" i="71"/>
  <c r="P113" i="71"/>
  <c r="O113" i="71" a="1"/>
  <c r="O113" i="71" s="1"/>
  <c r="N113" i="71"/>
  <c r="N113" i="71" a="1"/>
  <c r="M113" i="71" a="1"/>
  <c r="M113" i="71" s="1"/>
  <c r="L113" i="71"/>
  <c r="L113" i="71" a="1"/>
  <c r="K113" i="71"/>
  <c r="J113" i="71" a="1"/>
  <c r="J113" i="71" s="1"/>
  <c r="I113" i="71"/>
  <c r="P112" i="71"/>
  <c r="O112" i="71" a="1"/>
  <c r="O112" i="71" s="1"/>
  <c r="N112" i="71" a="1"/>
  <c r="N112" i="71" s="1"/>
  <c r="M112" i="71" a="1"/>
  <c r="M112" i="71" s="1"/>
  <c r="L112" i="71" a="1"/>
  <c r="L112" i="71" s="1"/>
  <c r="K112" i="71"/>
  <c r="J112" i="71" a="1"/>
  <c r="J112" i="71" s="1"/>
  <c r="I112" i="71"/>
  <c r="P111" i="71"/>
  <c r="O111" i="71" a="1"/>
  <c r="O111" i="71" s="1"/>
  <c r="N111" i="71" a="1"/>
  <c r="N111" i="71" s="1"/>
  <c r="M111" i="71" a="1"/>
  <c r="M111" i="71" s="1"/>
  <c r="L111" i="71" a="1"/>
  <c r="L111" i="71" s="1"/>
  <c r="K111" i="71"/>
  <c r="J111" i="71" a="1"/>
  <c r="J111" i="71" s="1"/>
  <c r="Q111" i="71" s="1"/>
  <c r="I111" i="71"/>
  <c r="P110" i="71"/>
  <c r="O110" i="71" a="1"/>
  <c r="O110" i="71" s="1"/>
  <c r="N110" i="71" a="1"/>
  <c r="N110" i="71" s="1"/>
  <c r="M110" i="71" a="1"/>
  <c r="M110" i="71" s="1"/>
  <c r="L110" i="71" a="1"/>
  <c r="L110" i="71" s="1"/>
  <c r="K110" i="71"/>
  <c r="J110" i="71" a="1"/>
  <c r="J110" i="71" s="1"/>
  <c r="I110" i="71"/>
  <c r="P109" i="71"/>
  <c r="O109" i="71" a="1"/>
  <c r="O109" i="71" s="1"/>
  <c r="N109" i="71" a="1"/>
  <c r="N109" i="71" s="1"/>
  <c r="M109" i="71" a="1"/>
  <c r="M109" i="71" s="1"/>
  <c r="L109" i="71" a="1"/>
  <c r="L109" i="71" s="1"/>
  <c r="K109" i="71"/>
  <c r="J109" i="71" a="1"/>
  <c r="J109" i="71" s="1"/>
  <c r="I109" i="71"/>
  <c r="P108" i="71"/>
  <c r="O108" i="71" a="1"/>
  <c r="O108" i="71" s="1"/>
  <c r="N108" i="71" a="1"/>
  <c r="N108" i="71" s="1"/>
  <c r="M108" i="71" a="1"/>
  <c r="M108" i="71" s="1"/>
  <c r="L108" i="71" a="1"/>
  <c r="L108" i="71" s="1"/>
  <c r="K108" i="71"/>
  <c r="J108" i="71" a="1"/>
  <c r="J108" i="71" s="1"/>
  <c r="Q108" i="71" s="1"/>
  <c r="I108" i="71"/>
  <c r="P107" i="71"/>
  <c r="O107" i="71" a="1"/>
  <c r="O107" i="71" s="1"/>
  <c r="N107" i="71" a="1"/>
  <c r="N107" i="71" s="1"/>
  <c r="M107" i="71" a="1"/>
  <c r="M107" i="71" s="1"/>
  <c r="L107" i="71" a="1"/>
  <c r="L107" i="71" s="1"/>
  <c r="K107" i="71"/>
  <c r="J107" i="71" a="1"/>
  <c r="J107" i="71" s="1"/>
  <c r="Q107" i="71" s="1"/>
  <c r="I107" i="71"/>
  <c r="P106" i="71"/>
  <c r="O106" i="71" a="1"/>
  <c r="O106" i="71" s="1"/>
  <c r="N106" i="71" a="1"/>
  <c r="N106" i="71" s="1"/>
  <c r="M106" i="71" a="1"/>
  <c r="M106" i="71" s="1"/>
  <c r="L106" i="71" a="1"/>
  <c r="L106" i="71" s="1"/>
  <c r="K106" i="71"/>
  <c r="J106" i="71" a="1"/>
  <c r="J106" i="71" s="1"/>
  <c r="I106" i="71"/>
  <c r="P105" i="71"/>
  <c r="O105" i="71" a="1"/>
  <c r="O105" i="71" s="1"/>
  <c r="N105" i="71" a="1"/>
  <c r="N105" i="71" s="1"/>
  <c r="M105" i="71" a="1"/>
  <c r="M105" i="71" s="1"/>
  <c r="L105" i="71" a="1"/>
  <c r="L105" i="71" s="1"/>
  <c r="K105" i="71"/>
  <c r="J105" i="71" a="1"/>
  <c r="J105" i="71" s="1"/>
  <c r="I105" i="71"/>
  <c r="P104" i="71"/>
  <c r="O104" i="71" a="1"/>
  <c r="O104" i="71" s="1"/>
  <c r="N104" i="71" a="1"/>
  <c r="N104" i="71" s="1"/>
  <c r="M104" i="71" a="1"/>
  <c r="M104" i="71" s="1"/>
  <c r="L104" i="71" a="1"/>
  <c r="L104" i="71" s="1"/>
  <c r="K104" i="71"/>
  <c r="J104" i="71" a="1"/>
  <c r="J104" i="71" s="1"/>
  <c r="I104" i="71"/>
  <c r="P103" i="71"/>
  <c r="O103" i="71" a="1"/>
  <c r="O103" i="71" s="1"/>
  <c r="N103" i="71" a="1"/>
  <c r="N103" i="71" s="1"/>
  <c r="M103" i="71" a="1"/>
  <c r="M103" i="71" s="1"/>
  <c r="L103" i="71" a="1"/>
  <c r="L103" i="71" s="1"/>
  <c r="K103" i="71"/>
  <c r="J103" i="71" a="1"/>
  <c r="J103" i="71" s="1"/>
  <c r="I103" i="71"/>
  <c r="P102" i="71"/>
  <c r="O102" i="71" a="1"/>
  <c r="O102" i="71" s="1"/>
  <c r="N102" i="71" a="1"/>
  <c r="N102" i="71" s="1"/>
  <c r="M102" i="71" a="1"/>
  <c r="M102" i="71" s="1"/>
  <c r="L102" i="71" a="1"/>
  <c r="L102" i="71" s="1"/>
  <c r="K102" i="71"/>
  <c r="J102" i="71" a="1"/>
  <c r="J102" i="71" s="1"/>
  <c r="I102" i="71"/>
  <c r="P101" i="71"/>
  <c r="O101" i="71" a="1"/>
  <c r="O101" i="71" s="1"/>
  <c r="N101" i="71" a="1"/>
  <c r="N101" i="71" s="1"/>
  <c r="M101" i="71" a="1"/>
  <c r="M101" i="71" s="1"/>
  <c r="L101" i="71" a="1"/>
  <c r="L101" i="71" s="1"/>
  <c r="K101" i="71"/>
  <c r="J101" i="71" a="1"/>
  <c r="J101" i="71" s="1"/>
  <c r="I101" i="71"/>
  <c r="P100" i="71"/>
  <c r="O100" i="71" a="1"/>
  <c r="O100" i="71" s="1"/>
  <c r="N100" i="71" a="1"/>
  <c r="N100" i="71" s="1"/>
  <c r="M100" i="71" a="1"/>
  <c r="M100" i="71" s="1"/>
  <c r="L100" i="71" a="1"/>
  <c r="L100" i="71" s="1"/>
  <c r="K100" i="71"/>
  <c r="J100" i="71" a="1"/>
  <c r="J100" i="71" s="1"/>
  <c r="I100" i="71"/>
  <c r="P99" i="71"/>
  <c r="O99" i="71" a="1"/>
  <c r="O99" i="71" s="1"/>
  <c r="N99" i="71" a="1"/>
  <c r="N99" i="71" s="1"/>
  <c r="M99" i="71" a="1"/>
  <c r="M99" i="71" s="1"/>
  <c r="L99" i="71" a="1"/>
  <c r="L99" i="71" s="1"/>
  <c r="K99" i="71"/>
  <c r="J99" i="71" a="1"/>
  <c r="J99" i="71" s="1"/>
  <c r="I99" i="71"/>
  <c r="P98" i="71"/>
  <c r="O98" i="71" a="1"/>
  <c r="O98" i="71" s="1"/>
  <c r="N98" i="71" a="1"/>
  <c r="N98" i="71" s="1"/>
  <c r="M98" i="71" a="1"/>
  <c r="M98" i="71" s="1"/>
  <c r="L98" i="71" a="1"/>
  <c r="L98" i="71" s="1"/>
  <c r="K98" i="71"/>
  <c r="J98" i="71" a="1"/>
  <c r="J98" i="71" s="1"/>
  <c r="I98" i="71"/>
  <c r="P97" i="71"/>
  <c r="O97" i="71" a="1"/>
  <c r="O97" i="71" s="1"/>
  <c r="N97" i="71" a="1"/>
  <c r="N97" i="71" s="1"/>
  <c r="M97" i="71" a="1"/>
  <c r="M97" i="71" s="1"/>
  <c r="L97" i="71" a="1"/>
  <c r="L97" i="71" s="1"/>
  <c r="K97" i="71"/>
  <c r="J97" i="71" a="1"/>
  <c r="J97" i="71" s="1"/>
  <c r="I97" i="71"/>
  <c r="P96" i="71"/>
  <c r="O96" i="71" a="1"/>
  <c r="O96" i="71" s="1"/>
  <c r="N96" i="71" a="1"/>
  <c r="N96" i="71" s="1"/>
  <c r="M96" i="71" a="1"/>
  <c r="M96" i="71" s="1"/>
  <c r="L96" i="71" a="1"/>
  <c r="L96" i="71" s="1"/>
  <c r="K96" i="71"/>
  <c r="J96" i="71" a="1"/>
  <c r="J96" i="71" s="1"/>
  <c r="I96" i="71"/>
  <c r="P95" i="71"/>
  <c r="O95" i="71" a="1"/>
  <c r="O95" i="71" s="1"/>
  <c r="N95" i="71" a="1"/>
  <c r="N95" i="71" s="1"/>
  <c r="M95" i="71" a="1"/>
  <c r="M95" i="71" s="1"/>
  <c r="L95" i="71" a="1"/>
  <c r="L95" i="71" s="1"/>
  <c r="K95" i="71"/>
  <c r="J95" i="71" a="1"/>
  <c r="J95" i="71" s="1"/>
  <c r="I95" i="71"/>
  <c r="P94" i="71"/>
  <c r="O94" i="71" a="1"/>
  <c r="O94" i="71" s="1"/>
  <c r="N94" i="71" a="1"/>
  <c r="N94" i="71" s="1"/>
  <c r="M94" i="71" a="1"/>
  <c r="M94" i="71" s="1"/>
  <c r="L94" i="71" a="1"/>
  <c r="L94" i="71" s="1"/>
  <c r="K94" i="71"/>
  <c r="J94" i="71" a="1"/>
  <c r="J94" i="71" s="1"/>
  <c r="I94" i="71"/>
  <c r="P93" i="71"/>
  <c r="O93" i="71" a="1"/>
  <c r="O93" i="71" s="1"/>
  <c r="N93" i="71" a="1"/>
  <c r="N93" i="71" s="1"/>
  <c r="M93" i="71" a="1"/>
  <c r="M93" i="71" s="1"/>
  <c r="L93" i="71" a="1"/>
  <c r="L93" i="71" s="1"/>
  <c r="K93" i="71"/>
  <c r="J93" i="71" a="1"/>
  <c r="J93" i="71" s="1"/>
  <c r="I93" i="71"/>
  <c r="P92" i="71"/>
  <c r="O92" i="71" a="1"/>
  <c r="O92" i="71" s="1"/>
  <c r="N92" i="71" a="1"/>
  <c r="N92" i="71" s="1"/>
  <c r="M92" i="71" a="1"/>
  <c r="M92" i="71" s="1"/>
  <c r="L92" i="71" a="1"/>
  <c r="L92" i="71" s="1"/>
  <c r="K92" i="71"/>
  <c r="J92" i="71" a="1"/>
  <c r="J92" i="71" s="1"/>
  <c r="I92" i="71"/>
  <c r="P91" i="71"/>
  <c r="O91" i="71" a="1"/>
  <c r="O91" i="71" s="1"/>
  <c r="N91" i="71" a="1"/>
  <c r="N91" i="71" s="1"/>
  <c r="M91" i="71" a="1"/>
  <c r="M91" i="71" s="1"/>
  <c r="L91" i="71" a="1"/>
  <c r="L91" i="71" s="1"/>
  <c r="K91" i="71"/>
  <c r="J91" i="71" a="1"/>
  <c r="J91" i="71" s="1"/>
  <c r="I91" i="71"/>
  <c r="P90" i="71"/>
  <c r="O90" i="71" a="1"/>
  <c r="O90" i="71" s="1"/>
  <c r="N90" i="71" a="1"/>
  <c r="N90" i="71" s="1"/>
  <c r="M90" i="71" a="1"/>
  <c r="M90" i="71" s="1"/>
  <c r="L90" i="71" a="1"/>
  <c r="L90" i="71" s="1"/>
  <c r="K90" i="71"/>
  <c r="J90" i="71" a="1"/>
  <c r="J90" i="71" s="1"/>
  <c r="I90" i="71"/>
  <c r="P89" i="71"/>
  <c r="O89" i="71" a="1"/>
  <c r="O89" i="71" s="1"/>
  <c r="N89" i="71" a="1"/>
  <c r="N89" i="71" s="1"/>
  <c r="M89" i="71" a="1"/>
  <c r="M89" i="71" s="1"/>
  <c r="L89" i="71" a="1"/>
  <c r="L89" i="71" s="1"/>
  <c r="K89" i="71"/>
  <c r="J89" i="71" a="1"/>
  <c r="J89" i="71" s="1"/>
  <c r="Q89" i="71" s="1"/>
  <c r="I89" i="71"/>
  <c r="P88" i="71"/>
  <c r="O88" i="71" a="1"/>
  <c r="O88" i="71" s="1"/>
  <c r="N88" i="71" a="1"/>
  <c r="N88" i="71" s="1"/>
  <c r="M88" i="71" a="1"/>
  <c r="M88" i="71" s="1"/>
  <c r="L88" i="71" a="1"/>
  <c r="L88" i="71" s="1"/>
  <c r="K88" i="71"/>
  <c r="J88" i="71" a="1"/>
  <c r="J88" i="71" s="1"/>
  <c r="I88" i="71"/>
  <c r="P87" i="71"/>
  <c r="O87" i="71" a="1"/>
  <c r="O87" i="71" s="1"/>
  <c r="N87" i="71" a="1"/>
  <c r="N87" i="71" s="1"/>
  <c r="M87" i="71" a="1"/>
  <c r="M87" i="71" s="1"/>
  <c r="L87" i="71" a="1"/>
  <c r="L87" i="71" s="1"/>
  <c r="K87" i="71"/>
  <c r="J87" i="71" a="1"/>
  <c r="J87" i="71" s="1"/>
  <c r="I87" i="71"/>
  <c r="P86" i="71"/>
  <c r="O86" i="71" a="1"/>
  <c r="O86" i="71" s="1"/>
  <c r="N86" i="71"/>
  <c r="N86" i="71" a="1"/>
  <c r="M86" i="71" a="1"/>
  <c r="M86" i="71" s="1"/>
  <c r="L86" i="71" a="1"/>
  <c r="L86" i="71" s="1"/>
  <c r="K86" i="71"/>
  <c r="J86" i="71" a="1"/>
  <c r="J86" i="71" s="1"/>
  <c r="I86" i="71"/>
  <c r="P85" i="71"/>
  <c r="O85" i="71" a="1"/>
  <c r="O85" i="71" s="1"/>
  <c r="N85" i="71" a="1"/>
  <c r="N85" i="71" s="1"/>
  <c r="M85" i="71" a="1"/>
  <c r="M85" i="71" s="1"/>
  <c r="L85" i="71" a="1"/>
  <c r="L85" i="71" s="1"/>
  <c r="K85" i="71"/>
  <c r="J85" i="71" a="1"/>
  <c r="J85" i="71" s="1"/>
  <c r="Q85" i="71" s="1"/>
  <c r="I85" i="71"/>
  <c r="P84" i="71"/>
  <c r="O84" i="71" a="1"/>
  <c r="O84" i="71" s="1"/>
  <c r="N84" i="71" a="1"/>
  <c r="N84" i="71" s="1"/>
  <c r="M84" i="71" a="1"/>
  <c r="M84" i="71" s="1"/>
  <c r="L84" i="71" a="1"/>
  <c r="L84" i="71" s="1"/>
  <c r="K84" i="71"/>
  <c r="J84" i="71" a="1"/>
  <c r="J84" i="71" s="1"/>
  <c r="Q84" i="71" s="1"/>
  <c r="I84" i="71"/>
  <c r="P83" i="71"/>
  <c r="O83" i="71" a="1"/>
  <c r="O83" i="71" s="1"/>
  <c r="N83" i="71" a="1"/>
  <c r="N83" i="71" s="1"/>
  <c r="M83" i="71" a="1"/>
  <c r="M83" i="71" s="1"/>
  <c r="L83" i="71" a="1"/>
  <c r="L83" i="71" s="1"/>
  <c r="K83" i="71"/>
  <c r="J83" i="71" a="1"/>
  <c r="J83" i="71" s="1"/>
  <c r="I83" i="71"/>
  <c r="P82" i="71"/>
  <c r="O82" i="71" a="1"/>
  <c r="O82" i="71" s="1"/>
  <c r="N82" i="71" a="1"/>
  <c r="N82" i="71" s="1"/>
  <c r="M82" i="71" a="1"/>
  <c r="M82" i="71" s="1"/>
  <c r="L82" i="71" a="1"/>
  <c r="L82" i="71" s="1"/>
  <c r="K82" i="71"/>
  <c r="J82" i="71" a="1"/>
  <c r="J82" i="71" s="1"/>
  <c r="I82" i="71"/>
  <c r="P81" i="71"/>
  <c r="Q81" i="71" s="1"/>
  <c r="O81" i="71" a="1"/>
  <c r="O81" i="71" s="1"/>
  <c r="N81" i="71" a="1"/>
  <c r="N81" i="71" s="1"/>
  <c r="M81" i="71" a="1"/>
  <c r="M81" i="71" s="1"/>
  <c r="L81" i="71" a="1"/>
  <c r="L81" i="71" s="1"/>
  <c r="K81" i="71"/>
  <c r="J81" i="71" a="1"/>
  <c r="J81" i="71" s="1"/>
  <c r="I81" i="71"/>
  <c r="P80" i="71"/>
  <c r="O80" i="71" a="1"/>
  <c r="O80" i="71" s="1"/>
  <c r="N80" i="71" a="1"/>
  <c r="N80" i="71" s="1"/>
  <c r="M80" i="71" a="1"/>
  <c r="M80" i="71" s="1"/>
  <c r="L80" i="71" a="1"/>
  <c r="L80" i="71" s="1"/>
  <c r="K80" i="71"/>
  <c r="J80" i="71" a="1"/>
  <c r="J80" i="71" s="1"/>
  <c r="I80" i="71"/>
  <c r="P79" i="71"/>
  <c r="O79" i="71" a="1"/>
  <c r="O79" i="71" s="1"/>
  <c r="N79" i="71"/>
  <c r="N79" i="71" a="1"/>
  <c r="M79" i="71" a="1"/>
  <c r="M79" i="71" s="1"/>
  <c r="L79" i="71" a="1"/>
  <c r="L79" i="71" s="1"/>
  <c r="K79" i="71"/>
  <c r="J79" i="71" a="1"/>
  <c r="J79" i="71" s="1"/>
  <c r="I79" i="71"/>
  <c r="P78" i="71"/>
  <c r="O78" i="71" a="1"/>
  <c r="O78" i="71" s="1"/>
  <c r="N78" i="71" a="1"/>
  <c r="N78" i="71" s="1"/>
  <c r="M78" i="71"/>
  <c r="M78" i="71" a="1"/>
  <c r="L78" i="71" a="1"/>
  <c r="L78" i="71" s="1"/>
  <c r="K78" i="71"/>
  <c r="J78" i="71" a="1"/>
  <c r="J78" i="71" s="1"/>
  <c r="I78" i="71"/>
  <c r="P75" i="71"/>
  <c r="O75" i="71" a="1"/>
  <c r="O75" i="71" s="1"/>
  <c r="N75" i="71" a="1"/>
  <c r="N75" i="71" s="1"/>
  <c r="M75" i="71" a="1"/>
  <c r="M75" i="71" s="1"/>
  <c r="L75" i="71" a="1"/>
  <c r="L75" i="71" s="1"/>
  <c r="K75" i="71"/>
  <c r="J75" i="71" a="1"/>
  <c r="J75" i="71" s="1"/>
  <c r="I75" i="71"/>
  <c r="P74" i="71"/>
  <c r="O74" i="71" a="1"/>
  <c r="O74" i="71" s="1"/>
  <c r="N74" i="71" a="1"/>
  <c r="N74" i="71" s="1"/>
  <c r="M74" i="71" a="1"/>
  <c r="M74" i="71" s="1"/>
  <c r="L74" i="71" a="1"/>
  <c r="L74" i="71" s="1"/>
  <c r="K74" i="71"/>
  <c r="J74" i="71" a="1"/>
  <c r="J74" i="71" s="1"/>
  <c r="I74" i="71"/>
  <c r="P73" i="71" a="1"/>
  <c r="P73" i="71" s="1"/>
  <c r="O73" i="71" a="1"/>
  <c r="O73" i="71" s="1"/>
  <c r="N73" i="71" a="1"/>
  <c r="N73" i="71" s="1"/>
  <c r="M73" i="71" a="1"/>
  <c r="M73" i="71" s="1"/>
  <c r="L73" i="71" a="1"/>
  <c r="L73" i="71" s="1"/>
  <c r="K73" i="71"/>
  <c r="J73" i="71" a="1"/>
  <c r="J73" i="71" s="1"/>
  <c r="I73" i="71" a="1"/>
  <c r="I73" i="71" s="1"/>
  <c r="P72" i="71" a="1"/>
  <c r="P72" i="71" s="1"/>
  <c r="O72" i="71" a="1"/>
  <c r="O72" i="71" s="1"/>
  <c r="N72" i="71" a="1"/>
  <c r="N72" i="71" s="1"/>
  <c r="M72" i="71" a="1"/>
  <c r="M72" i="71" s="1"/>
  <c r="L72" i="71" a="1"/>
  <c r="L72" i="71" s="1"/>
  <c r="K72" i="71"/>
  <c r="J72" i="71" a="1"/>
  <c r="J72" i="71" s="1"/>
  <c r="I72" i="71" a="1"/>
  <c r="I72" i="71" s="1"/>
  <c r="P71" i="71"/>
  <c r="O71" i="71" a="1"/>
  <c r="O71" i="71" s="1"/>
  <c r="N71" i="71" a="1"/>
  <c r="N71" i="71" s="1"/>
  <c r="M71" i="71" a="1"/>
  <c r="M71" i="71" s="1"/>
  <c r="L71" i="71" a="1"/>
  <c r="L71" i="71" s="1"/>
  <c r="K71" i="71"/>
  <c r="J71" i="71"/>
  <c r="J71" i="71" a="1"/>
  <c r="I71" i="71"/>
  <c r="P70" i="71"/>
  <c r="O70" i="71" a="1"/>
  <c r="O70" i="71" s="1"/>
  <c r="N70" i="71" a="1"/>
  <c r="N70" i="71" s="1"/>
  <c r="M70" i="71" a="1"/>
  <c r="M70" i="71" s="1"/>
  <c r="L70" i="71" a="1"/>
  <c r="L70" i="71" s="1"/>
  <c r="K70" i="71"/>
  <c r="J70" i="71" a="1"/>
  <c r="J70" i="71" s="1"/>
  <c r="I70" i="71"/>
  <c r="P69" i="71"/>
  <c r="O69" i="71" a="1"/>
  <c r="O69" i="71" s="1"/>
  <c r="N69" i="71" a="1"/>
  <c r="N69" i="71" s="1"/>
  <c r="M69" i="71" a="1"/>
  <c r="M69" i="71" s="1"/>
  <c r="L69" i="71" a="1"/>
  <c r="L69" i="71" s="1"/>
  <c r="K69" i="71"/>
  <c r="J69" i="71" a="1"/>
  <c r="J69" i="71" s="1"/>
  <c r="I69" i="71"/>
  <c r="P68" i="71"/>
  <c r="Q68" i="71" s="1"/>
  <c r="O68" i="71" a="1"/>
  <c r="O68" i="71" s="1"/>
  <c r="N68" i="71" a="1"/>
  <c r="N68" i="71" s="1"/>
  <c r="M68" i="71" a="1"/>
  <c r="M68" i="71" s="1"/>
  <c r="L68" i="71" a="1"/>
  <c r="L68" i="71" s="1"/>
  <c r="K68" i="71"/>
  <c r="J68" i="71" a="1"/>
  <c r="J68" i="71" s="1"/>
  <c r="I68" i="71"/>
  <c r="P67" i="71"/>
  <c r="O67" i="71" a="1"/>
  <c r="O67" i="71" s="1"/>
  <c r="N67" i="71" a="1"/>
  <c r="N67" i="71" s="1"/>
  <c r="M67" i="71" a="1"/>
  <c r="M67" i="71" s="1"/>
  <c r="L67" i="71" a="1"/>
  <c r="L67" i="71" s="1"/>
  <c r="K67" i="71"/>
  <c r="J67" i="71" a="1"/>
  <c r="J67" i="71" s="1"/>
  <c r="I67" i="71"/>
  <c r="P66" i="71"/>
  <c r="O66" i="71" a="1"/>
  <c r="O66" i="71" s="1"/>
  <c r="N66" i="71" a="1"/>
  <c r="N66" i="71" s="1"/>
  <c r="M66" i="71" a="1"/>
  <c r="M66" i="71" s="1"/>
  <c r="L66" i="71" a="1"/>
  <c r="L66" i="71" s="1"/>
  <c r="K66" i="71"/>
  <c r="J66" i="71" a="1"/>
  <c r="J66" i="71" s="1"/>
  <c r="I66" i="71"/>
  <c r="P65" i="71"/>
  <c r="O65" i="71" a="1"/>
  <c r="O65" i="71" s="1"/>
  <c r="N65" i="71" a="1"/>
  <c r="N65" i="71" s="1"/>
  <c r="M65" i="71" a="1"/>
  <c r="M65" i="71" s="1"/>
  <c r="L65" i="71"/>
  <c r="L65" i="71" a="1"/>
  <c r="K65" i="71"/>
  <c r="J65" i="71" a="1"/>
  <c r="J65" i="71" s="1"/>
  <c r="I65" i="71"/>
  <c r="P64" i="71"/>
  <c r="O64" i="71" a="1"/>
  <c r="O64" i="71" s="1"/>
  <c r="N64" i="71" a="1"/>
  <c r="N64" i="71" s="1"/>
  <c r="M64" i="71" a="1"/>
  <c r="M64" i="71" s="1"/>
  <c r="L64" i="71" a="1"/>
  <c r="L64" i="71" s="1"/>
  <c r="K64" i="71"/>
  <c r="J64" i="71" a="1"/>
  <c r="J64" i="71" s="1"/>
  <c r="I64" i="71"/>
  <c r="P62" i="71"/>
  <c r="O62" i="71" a="1"/>
  <c r="O62" i="71" s="1"/>
  <c r="N62" i="71" a="1"/>
  <c r="N62" i="71" s="1"/>
  <c r="M62" i="71" a="1"/>
  <c r="M62" i="71" s="1"/>
  <c r="L62" i="71" a="1"/>
  <c r="L62" i="71" s="1"/>
  <c r="K62" i="71"/>
  <c r="J62" i="71" a="1"/>
  <c r="J62" i="71" s="1"/>
  <c r="I62" i="71"/>
  <c r="P61" i="71"/>
  <c r="O61" i="71" a="1"/>
  <c r="O61" i="71" s="1"/>
  <c r="N61" i="71" a="1"/>
  <c r="N61" i="71" s="1"/>
  <c r="M61" i="71" a="1"/>
  <c r="M61" i="71" s="1"/>
  <c r="L61" i="71" a="1"/>
  <c r="L61" i="71" s="1"/>
  <c r="K61" i="71"/>
  <c r="J61" i="71" a="1"/>
  <c r="J61" i="71" s="1"/>
  <c r="I61" i="71"/>
  <c r="P60" i="71"/>
  <c r="O60" i="71" a="1"/>
  <c r="O60" i="71" s="1"/>
  <c r="N60" i="71" a="1"/>
  <c r="N60" i="71" s="1"/>
  <c r="M60" i="71" a="1"/>
  <c r="M60" i="71" s="1"/>
  <c r="L60" i="71" a="1"/>
  <c r="L60" i="71" s="1"/>
  <c r="K60" i="71"/>
  <c r="J60" i="71" a="1"/>
  <c r="J60" i="71" s="1"/>
  <c r="I60" i="71"/>
  <c r="P59" i="71"/>
  <c r="O59" i="71" a="1"/>
  <c r="O59" i="71" s="1"/>
  <c r="N59" i="71" a="1"/>
  <c r="N59" i="71" s="1"/>
  <c r="M59" i="71" a="1"/>
  <c r="M59" i="71" s="1"/>
  <c r="L59" i="71" a="1"/>
  <c r="L59" i="71" s="1"/>
  <c r="K59" i="71"/>
  <c r="J59" i="71" a="1"/>
  <c r="J59" i="71" s="1"/>
  <c r="I59" i="71"/>
  <c r="P58" i="71"/>
  <c r="O58" i="71" a="1"/>
  <c r="O58" i="71" s="1"/>
  <c r="N58" i="71" a="1"/>
  <c r="N58" i="71" s="1"/>
  <c r="M58" i="71" a="1"/>
  <c r="M58" i="71" s="1"/>
  <c r="L58" i="71" a="1"/>
  <c r="L58" i="71" s="1"/>
  <c r="K58" i="71"/>
  <c r="J58" i="71" a="1"/>
  <c r="J58" i="71" s="1"/>
  <c r="I58" i="71"/>
  <c r="P57" i="71"/>
  <c r="O57" i="71" a="1"/>
  <c r="O57" i="71" s="1"/>
  <c r="N57" i="71" a="1"/>
  <c r="N57" i="71" s="1"/>
  <c r="M57" i="71" a="1"/>
  <c r="M57" i="71" s="1"/>
  <c r="L57" i="71"/>
  <c r="L57" i="71" a="1"/>
  <c r="K57" i="71"/>
  <c r="J57" i="71" a="1"/>
  <c r="J57" i="71" s="1"/>
  <c r="I57" i="71"/>
  <c r="P56" i="71"/>
  <c r="O56" i="71" a="1"/>
  <c r="O56" i="71" s="1"/>
  <c r="N56" i="71" a="1"/>
  <c r="N56" i="71" s="1"/>
  <c r="M56" i="71" a="1"/>
  <c r="M56" i="71" s="1"/>
  <c r="L56" i="71" a="1"/>
  <c r="L56" i="71" s="1"/>
  <c r="K56" i="71"/>
  <c r="J56" i="71" a="1"/>
  <c r="J56" i="71" s="1"/>
  <c r="I56" i="71"/>
  <c r="P55" i="71"/>
  <c r="O55" i="71" a="1"/>
  <c r="O55" i="71" s="1"/>
  <c r="N55" i="71" a="1"/>
  <c r="N55" i="71" s="1"/>
  <c r="M55" i="71" a="1"/>
  <c r="M55" i="71" s="1"/>
  <c r="L55" i="71" a="1"/>
  <c r="L55" i="71" s="1"/>
  <c r="K55" i="71"/>
  <c r="J55" i="71" a="1"/>
  <c r="J55" i="71" s="1"/>
  <c r="I55" i="71"/>
  <c r="P53" i="71"/>
  <c r="O53" i="71" a="1"/>
  <c r="O53" i="71" s="1"/>
  <c r="N53" i="71" a="1"/>
  <c r="N53" i="71" s="1"/>
  <c r="M53" i="71" a="1"/>
  <c r="M53" i="71" s="1"/>
  <c r="L53" i="71" a="1"/>
  <c r="L53" i="71" s="1"/>
  <c r="K53" i="71"/>
  <c r="J53" i="71" a="1"/>
  <c r="J53" i="71" s="1"/>
  <c r="I53" i="71"/>
  <c r="P52" i="71"/>
  <c r="O52" i="71" a="1"/>
  <c r="O52" i="71" s="1"/>
  <c r="N52" i="71" a="1"/>
  <c r="N52" i="71" s="1"/>
  <c r="M52" i="71" a="1"/>
  <c r="M52" i="71" s="1"/>
  <c r="L52" i="71" a="1"/>
  <c r="L52" i="71" s="1"/>
  <c r="K52" i="71"/>
  <c r="J52" i="71" a="1"/>
  <c r="J52" i="71" s="1"/>
  <c r="I52" i="71"/>
  <c r="P51" i="71"/>
  <c r="O51" i="71" a="1"/>
  <c r="O51" i="71" s="1"/>
  <c r="N51" i="71" a="1"/>
  <c r="N51" i="71" s="1"/>
  <c r="M51" i="71" a="1"/>
  <c r="M51" i="71" s="1"/>
  <c r="L51" i="71" a="1"/>
  <c r="L51" i="71" s="1"/>
  <c r="K51" i="71"/>
  <c r="J51" i="71" a="1"/>
  <c r="J51" i="71" s="1"/>
  <c r="I51" i="71"/>
  <c r="I54" i="71" s="1"/>
  <c r="P50" i="71"/>
  <c r="O50" i="71" a="1"/>
  <c r="O50" i="71" s="1"/>
  <c r="N50" i="71" a="1"/>
  <c r="N50" i="71" s="1"/>
  <c r="M50" i="71" a="1"/>
  <c r="M50" i="71" s="1"/>
  <c r="L50" i="71" a="1"/>
  <c r="L50" i="71" s="1"/>
  <c r="K50" i="71"/>
  <c r="J50" i="71" a="1"/>
  <c r="J50" i="71" s="1"/>
  <c r="I50" i="71"/>
  <c r="P48" i="71"/>
  <c r="O48" i="71" a="1"/>
  <c r="O48" i="71" s="1"/>
  <c r="N48" i="71" a="1"/>
  <c r="N48" i="71" s="1"/>
  <c r="M48" i="71" a="1"/>
  <c r="M48" i="71" s="1"/>
  <c r="L48" i="71" a="1"/>
  <c r="L48" i="71" s="1"/>
  <c r="K48" i="71"/>
  <c r="J48" i="71" a="1"/>
  <c r="J48" i="71" s="1"/>
  <c r="I48" i="71"/>
  <c r="P47" i="71"/>
  <c r="O47" i="71" a="1"/>
  <c r="O47" i="71" s="1"/>
  <c r="N47" i="71" a="1"/>
  <c r="N47" i="71" s="1"/>
  <c r="M47" i="71" a="1"/>
  <c r="M47" i="71" s="1"/>
  <c r="L47" i="71" a="1"/>
  <c r="L47" i="71" s="1"/>
  <c r="K47" i="71"/>
  <c r="J47" i="71" a="1"/>
  <c r="J47" i="71" s="1"/>
  <c r="I47" i="71"/>
  <c r="P46" i="71"/>
  <c r="O46" i="71" a="1"/>
  <c r="O46" i="71" s="1"/>
  <c r="N46" i="71" a="1"/>
  <c r="N46" i="71" s="1"/>
  <c r="M46" i="71" a="1"/>
  <c r="M46" i="71" s="1"/>
  <c r="L46" i="71" a="1"/>
  <c r="L46" i="71" s="1"/>
  <c r="K46" i="71"/>
  <c r="J46" i="71" a="1"/>
  <c r="J46" i="71" s="1"/>
  <c r="I46" i="71"/>
  <c r="P45" i="71"/>
  <c r="O45" i="71" a="1"/>
  <c r="O45" i="71" s="1"/>
  <c r="N45" i="71" a="1"/>
  <c r="N45" i="71" s="1"/>
  <c r="M45" i="71" a="1"/>
  <c r="M45" i="71" s="1"/>
  <c r="L45" i="71" a="1"/>
  <c r="L45" i="71" s="1"/>
  <c r="K45" i="71"/>
  <c r="J45" i="71" a="1"/>
  <c r="J45" i="71" s="1"/>
  <c r="I45" i="71"/>
  <c r="P44" i="71"/>
  <c r="O44" i="71" a="1"/>
  <c r="O44" i="71" s="1"/>
  <c r="N44" i="71" a="1"/>
  <c r="N44" i="71" s="1"/>
  <c r="M44" i="71" a="1"/>
  <c r="M44" i="71" s="1"/>
  <c r="L44" i="71" a="1"/>
  <c r="L44" i="71" s="1"/>
  <c r="K44" i="71"/>
  <c r="J44" i="71" a="1"/>
  <c r="J44" i="71" s="1"/>
  <c r="I44" i="71"/>
  <c r="P43" i="71"/>
  <c r="O43" i="71" a="1"/>
  <c r="O43" i="71" s="1"/>
  <c r="N43" i="71" a="1"/>
  <c r="N43" i="71" s="1"/>
  <c r="M43" i="71" a="1"/>
  <c r="M43" i="71" s="1"/>
  <c r="L43" i="71" a="1"/>
  <c r="L43" i="71" s="1"/>
  <c r="K43" i="71"/>
  <c r="J43" i="71" a="1"/>
  <c r="J43" i="71" s="1"/>
  <c r="I43" i="71"/>
  <c r="P42" i="71"/>
  <c r="O42" i="71" a="1"/>
  <c r="O42" i="71" s="1"/>
  <c r="N42" i="71" a="1"/>
  <c r="N42" i="71" s="1"/>
  <c r="M42" i="71" a="1"/>
  <c r="M42" i="71" s="1"/>
  <c r="L42" i="71" a="1"/>
  <c r="L42" i="71" s="1"/>
  <c r="K42" i="71"/>
  <c r="J42" i="71" a="1"/>
  <c r="J42" i="71" s="1"/>
  <c r="I42" i="71"/>
  <c r="P41" i="71"/>
  <c r="O41" i="71" a="1"/>
  <c r="O41" i="71" s="1"/>
  <c r="N41" i="71"/>
  <c r="N41" i="71" a="1"/>
  <c r="M41" i="71" a="1"/>
  <c r="M41" i="71" s="1"/>
  <c r="L41" i="71" a="1"/>
  <c r="L41" i="71" s="1"/>
  <c r="K41" i="71"/>
  <c r="J41" i="71" a="1"/>
  <c r="J41" i="71" s="1"/>
  <c r="I41" i="71"/>
  <c r="P40" i="71"/>
  <c r="O40" i="71" a="1"/>
  <c r="O40" i="71" s="1"/>
  <c r="N40" i="71" a="1"/>
  <c r="N40" i="71" s="1"/>
  <c r="M40" i="71" a="1"/>
  <c r="M40" i="71" s="1"/>
  <c r="L40" i="71" a="1"/>
  <c r="L40" i="71" s="1"/>
  <c r="K40" i="71"/>
  <c r="J40" i="71" a="1"/>
  <c r="J40" i="71" s="1"/>
  <c r="I40" i="71"/>
  <c r="P39" i="71"/>
  <c r="O39" i="71" a="1"/>
  <c r="O39" i="71" s="1"/>
  <c r="N39" i="71" a="1"/>
  <c r="N39" i="71" s="1"/>
  <c r="M39" i="71" a="1"/>
  <c r="M39" i="71" s="1"/>
  <c r="L39" i="71" a="1"/>
  <c r="L39" i="71" s="1"/>
  <c r="K39" i="71"/>
  <c r="J39" i="71" a="1"/>
  <c r="J39" i="71" s="1"/>
  <c r="I39" i="71"/>
  <c r="P38" i="71"/>
  <c r="O38" i="71" a="1"/>
  <c r="O38" i="71" s="1"/>
  <c r="N38" i="71" a="1"/>
  <c r="N38" i="71" s="1"/>
  <c r="M38" i="71" a="1"/>
  <c r="M38" i="71" s="1"/>
  <c r="L38" i="71" a="1"/>
  <c r="L38" i="71" s="1"/>
  <c r="K38" i="71"/>
  <c r="J38" i="71" a="1"/>
  <c r="J38" i="71" s="1"/>
  <c r="I38" i="71"/>
  <c r="P37" i="71"/>
  <c r="O37" i="71" a="1"/>
  <c r="O37" i="71" s="1"/>
  <c r="N37" i="71" a="1"/>
  <c r="N37" i="71" s="1"/>
  <c r="M37" i="71" a="1"/>
  <c r="M37" i="71" s="1"/>
  <c r="L37" i="71" a="1"/>
  <c r="L37" i="71" s="1"/>
  <c r="K37" i="71"/>
  <c r="J37" i="71" a="1"/>
  <c r="J37" i="71" s="1"/>
  <c r="I37" i="71"/>
  <c r="P36" i="71"/>
  <c r="O36" i="71" a="1"/>
  <c r="O36" i="71" s="1"/>
  <c r="N36" i="71" a="1"/>
  <c r="N36" i="71" s="1"/>
  <c r="M36" i="71" a="1"/>
  <c r="M36" i="71" s="1"/>
  <c r="L36" i="71" a="1"/>
  <c r="L36" i="71" s="1"/>
  <c r="K36" i="71"/>
  <c r="J36" i="71" a="1"/>
  <c r="J36" i="71" s="1"/>
  <c r="I36" i="71"/>
  <c r="P35" i="71"/>
  <c r="O35" i="71" a="1"/>
  <c r="O35" i="71" s="1"/>
  <c r="N35" i="71" a="1"/>
  <c r="N35" i="71" s="1"/>
  <c r="M35" i="71" a="1"/>
  <c r="M35" i="71" s="1"/>
  <c r="L35" i="71" a="1"/>
  <c r="L35" i="71" s="1"/>
  <c r="K35" i="71"/>
  <c r="J35" i="71" a="1"/>
  <c r="J35" i="71" s="1"/>
  <c r="Q35" i="71" s="1"/>
  <c r="I35" i="71"/>
  <c r="P27" i="71"/>
  <c r="O27" i="71" a="1"/>
  <c r="O27" i="71" s="1"/>
  <c r="N27" i="71" a="1"/>
  <c r="N27" i="71" s="1"/>
  <c r="M27" i="71" a="1"/>
  <c r="M27" i="71" s="1"/>
  <c r="L27" i="71" a="1"/>
  <c r="L27" i="71" s="1"/>
  <c r="K27" i="71"/>
  <c r="J27" i="71" a="1"/>
  <c r="J27" i="71" s="1"/>
  <c r="I27" i="71"/>
  <c r="P26" i="71"/>
  <c r="O26" i="71" a="1"/>
  <c r="O26" i="71" s="1"/>
  <c r="N26" i="71" a="1"/>
  <c r="N26" i="71" s="1"/>
  <c r="M26" i="71" a="1"/>
  <c r="M26" i="71" s="1"/>
  <c r="L26" i="71" a="1"/>
  <c r="L26" i="71" s="1"/>
  <c r="K26" i="71"/>
  <c r="J26" i="71" a="1"/>
  <c r="J26" i="71" s="1"/>
  <c r="I26" i="71"/>
  <c r="P25" i="71"/>
  <c r="O25" i="71" a="1"/>
  <c r="O25" i="71" s="1"/>
  <c r="N25" i="71" a="1"/>
  <c r="N25" i="71" s="1"/>
  <c r="M25" i="71" a="1"/>
  <c r="M25" i="71" s="1"/>
  <c r="L25" i="71" a="1"/>
  <c r="L25" i="71" s="1"/>
  <c r="K25" i="71"/>
  <c r="J25" i="71" a="1"/>
  <c r="J25" i="71" s="1"/>
  <c r="Q25" i="71" s="1"/>
  <c r="I25" i="71"/>
  <c r="P24" i="71"/>
  <c r="O24" i="71" a="1"/>
  <c r="O24" i="71" s="1"/>
  <c r="N24" i="71" a="1"/>
  <c r="N24" i="71" s="1"/>
  <c r="M24" i="71" a="1"/>
  <c r="M24" i="71" s="1"/>
  <c r="L24" i="71" a="1"/>
  <c r="L24" i="71" s="1"/>
  <c r="K24" i="71"/>
  <c r="J24" i="71" a="1"/>
  <c r="J24" i="71" s="1"/>
  <c r="Q24" i="71" s="1"/>
  <c r="I24" i="71"/>
  <c r="P23" i="71"/>
  <c r="O23" i="71" a="1"/>
  <c r="O23" i="71" s="1"/>
  <c r="N23" i="71" a="1"/>
  <c r="N23" i="71" s="1"/>
  <c r="M23" i="71" a="1"/>
  <c r="M23" i="71" s="1"/>
  <c r="L23" i="71" a="1"/>
  <c r="L23" i="71" s="1"/>
  <c r="K23" i="71"/>
  <c r="J23" i="71" a="1"/>
  <c r="J23" i="71" s="1"/>
  <c r="I23" i="71"/>
  <c r="P22" i="71"/>
  <c r="O22" i="71" a="1"/>
  <c r="O22" i="71" s="1"/>
  <c r="N22" i="71" a="1"/>
  <c r="N22" i="71" s="1"/>
  <c r="M22" i="71" a="1"/>
  <c r="M22" i="71" s="1"/>
  <c r="L22" i="71" a="1"/>
  <c r="L22" i="71" s="1"/>
  <c r="K22" i="71"/>
  <c r="J22" i="71" a="1"/>
  <c r="J22" i="71" s="1"/>
  <c r="Q22" i="71" s="1"/>
  <c r="I22" i="71"/>
  <c r="P21" i="71"/>
  <c r="O21" i="71" a="1"/>
  <c r="O21" i="71" s="1"/>
  <c r="N21" i="71" a="1"/>
  <c r="N21" i="71" s="1"/>
  <c r="M21" i="71" a="1"/>
  <c r="M21" i="71" s="1"/>
  <c r="L21" i="71" a="1"/>
  <c r="L21" i="71" s="1"/>
  <c r="K21" i="71"/>
  <c r="J21" i="71" a="1"/>
  <c r="J21" i="71" s="1"/>
  <c r="Q21" i="71" s="1"/>
  <c r="I21" i="71"/>
  <c r="P20" i="71"/>
  <c r="O20" i="71" a="1"/>
  <c r="O20" i="71" s="1"/>
  <c r="N20" i="71" a="1"/>
  <c r="N20" i="71" s="1"/>
  <c r="M20" i="71" a="1"/>
  <c r="M20" i="71" s="1"/>
  <c r="L20" i="71" a="1"/>
  <c r="L20" i="71" s="1"/>
  <c r="K20" i="71"/>
  <c r="J20" i="71" a="1"/>
  <c r="J20" i="71" s="1"/>
  <c r="I20" i="71"/>
  <c r="P19" i="71"/>
  <c r="O19" i="71" a="1"/>
  <c r="O19" i="71" s="1"/>
  <c r="N19" i="71" a="1"/>
  <c r="N19" i="71" s="1"/>
  <c r="M19" i="71" a="1"/>
  <c r="M19" i="71" s="1"/>
  <c r="L19" i="71" a="1"/>
  <c r="L19" i="71" s="1"/>
  <c r="K19" i="71"/>
  <c r="J19" i="71" a="1"/>
  <c r="J19" i="71" s="1"/>
  <c r="I19" i="71"/>
  <c r="P18" i="71"/>
  <c r="O18" i="71" a="1"/>
  <c r="O18" i="71" s="1"/>
  <c r="N18" i="71" a="1"/>
  <c r="N18" i="71" s="1"/>
  <c r="M18" i="71" a="1"/>
  <c r="M18" i="71" s="1"/>
  <c r="L18" i="71" a="1"/>
  <c r="L18" i="71" s="1"/>
  <c r="K18" i="71"/>
  <c r="J18" i="71" a="1"/>
  <c r="J18" i="71" s="1"/>
  <c r="I18" i="71"/>
  <c r="P16" i="71"/>
  <c r="O16" i="71" a="1"/>
  <c r="O16" i="71" s="1"/>
  <c r="N16" i="71" a="1"/>
  <c r="N16" i="71" s="1"/>
  <c r="M16" i="71" a="1"/>
  <c r="M16" i="71" s="1"/>
  <c r="L16" i="71" a="1"/>
  <c r="L16" i="71" s="1"/>
  <c r="K16" i="71"/>
  <c r="J16" i="71" a="1"/>
  <c r="J16" i="71" s="1"/>
  <c r="I16" i="71"/>
  <c r="P15" i="71"/>
  <c r="O15" i="71" a="1"/>
  <c r="O15" i="71" s="1"/>
  <c r="N15" i="71" a="1"/>
  <c r="N15" i="71" s="1"/>
  <c r="M15" i="71" a="1"/>
  <c r="M15" i="71" s="1"/>
  <c r="L15" i="71" a="1"/>
  <c r="L15" i="71" s="1"/>
  <c r="K15" i="71"/>
  <c r="J15" i="71" a="1"/>
  <c r="J15" i="71" s="1"/>
  <c r="Q15" i="71" s="1"/>
  <c r="I15" i="71"/>
  <c r="P14" i="71"/>
  <c r="O14" i="71" a="1"/>
  <c r="O14" i="71" s="1"/>
  <c r="N14" i="71" a="1"/>
  <c r="N14" i="71" s="1"/>
  <c r="M14" i="71" a="1"/>
  <c r="M14" i="71" s="1"/>
  <c r="L14" i="71" a="1"/>
  <c r="L14" i="71" s="1"/>
  <c r="K14" i="71"/>
  <c r="J14" i="71" a="1"/>
  <c r="J14" i="71" s="1"/>
  <c r="I14" i="71"/>
  <c r="P13" i="71"/>
  <c r="O13" i="71" a="1"/>
  <c r="O13" i="71" s="1"/>
  <c r="N13" i="71" a="1"/>
  <c r="N13" i="71" s="1"/>
  <c r="M13" i="71"/>
  <c r="M13" i="71" a="1"/>
  <c r="L13" i="71" a="1"/>
  <c r="L13" i="71" s="1"/>
  <c r="K13" i="71"/>
  <c r="J13" i="71" a="1"/>
  <c r="J13" i="71" s="1"/>
  <c r="I13" i="71"/>
  <c r="P12" i="71"/>
  <c r="O12" i="71" a="1"/>
  <c r="O12" i="71" s="1"/>
  <c r="N12" i="71" a="1"/>
  <c r="N12" i="71" s="1"/>
  <c r="M12" i="71" a="1"/>
  <c r="M12" i="71" s="1"/>
  <c r="L12" i="71" a="1"/>
  <c r="L12" i="71" s="1"/>
  <c r="K12" i="71"/>
  <c r="J12" i="71" a="1"/>
  <c r="J12" i="71" s="1"/>
  <c r="I12" i="71"/>
  <c r="P11" i="71"/>
  <c r="Q11" i="71" s="1"/>
  <c r="O11" i="71" a="1"/>
  <c r="O11" i="71" s="1"/>
  <c r="N11" i="71" a="1"/>
  <c r="N11" i="71" s="1"/>
  <c r="M11" i="71" a="1"/>
  <c r="M11" i="71" s="1"/>
  <c r="L11" i="71" a="1"/>
  <c r="L11" i="71" s="1"/>
  <c r="K11" i="71"/>
  <c r="J11" i="71" a="1"/>
  <c r="J11" i="71" s="1"/>
  <c r="I11" i="71"/>
  <c r="P10" i="71"/>
  <c r="Q10" i="71" s="1"/>
  <c r="O10" i="71" a="1"/>
  <c r="O10" i="71" s="1"/>
  <c r="N10" i="71" a="1"/>
  <c r="N10" i="71" s="1"/>
  <c r="M10" i="71" a="1"/>
  <c r="M10" i="71" s="1"/>
  <c r="L10" i="71" a="1"/>
  <c r="L10" i="71" s="1"/>
  <c r="K10" i="71"/>
  <c r="J10" i="71"/>
  <c r="J10" i="71" a="1"/>
  <c r="I10" i="71"/>
  <c r="P9" i="71"/>
  <c r="O9" i="71" a="1"/>
  <c r="O9" i="71" s="1"/>
  <c r="N9" i="71" a="1"/>
  <c r="N9" i="71" s="1"/>
  <c r="M9" i="71" a="1"/>
  <c r="M9" i="71" s="1"/>
  <c r="L9" i="71" a="1"/>
  <c r="L9" i="71" s="1"/>
  <c r="K9" i="71"/>
  <c r="J9" i="71" a="1"/>
  <c r="J9" i="71" s="1"/>
  <c r="I9" i="71"/>
  <c r="P8" i="71"/>
  <c r="O8" i="71" a="1"/>
  <c r="O8" i="71" s="1"/>
  <c r="N8" i="71" a="1"/>
  <c r="N8" i="71" s="1"/>
  <c r="M8" i="71" a="1"/>
  <c r="M8" i="71" s="1"/>
  <c r="L8" i="71" a="1"/>
  <c r="L8" i="71" s="1"/>
  <c r="K8" i="71"/>
  <c r="J8" i="71" a="1"/>
  <c r="J8" i="71" s="1"/>
  <c r="I8" i="71"/>
  <c r="P7" i="71"/>
  <c r="O7" i="71" a="1"/>
  <c r="O7" i="71" s="1"/>
  <c r="N7" i="71" a="1"/>
  <c r="N7" i="71" s="1"/>
  <c r="M7" i="71" a="1"/>
  <c r="M7" i="71" s="1"/>
  <c r="L7" i="71" a="1"/>
  <c r="L7" i="71" s="1"/>
  <c r="K7" i="71"/>
  <c r="J7" i="71" a="1"/>
  <c r="J7" i="71" s="1"/>
  <c r="Q7" i="71" s="1"/>
  <c r="I7" i="71"/>
  <c r="P6" i="71"/>
  <c r="O6" i="71" a="1"/>
  <c r="O6" i="71" s="1"/>
  <c r="N6" i="71" a="1"/>
  <c r="N6" i="71" s="1"/>
  <c r="M6" i="71" a="1"/>
  <c r="M6" i="71" s="1"/>
  <c r="L6" i="71" a="1"/>
  <c r="L6" i="71" s="1"/>
  <c r="K6" i="71"/>
  <c r="J6" i="71" a="1"/>
  <c r="J6" i="71" s="1"/>
  <c r="I6" i="71"/>
  <c r="P5" i="71"/>
  <c r="O5" i="71" a="1"/>
  <c r="O5" i="71" s="1"/>
  <c r="N5" i="71" a="1"/>
  <c r="N5" i="71" s="1"/>
  <c r="M5" i="71" a="1"/>
  <c r="M5" i="71" s="1"/>
  <c r="L5" i="71" a="1"/>
  <c r="L5" i="71" s="1"/>
  <c r="K5" i="71"/>
  <c r="J5" i="71" a="1"/>
  <c r="J5" i="71" s="1"/>
  <c r="I5" i="71"/>
  <c r="P4" i="71"/>
  <c r="O4" i="71" a="1"/>
  <c r="O4" i="71" s="1"/>
  <c r="N4" i="71" a="1"/>
  <c r="N4" i="71" s="1"/>
  <c r="M4" i="71" a="1"/>
  <c r="M4" i="71" s="1"/>
  <c r="L4" i="71" a="1"/>
  <c r="L4" i="71" s="1"/>
  <c r="K4" i="71"/>
  <c r="J4" i="71" a="1"/>
  <c r="J4" i="71" s="1"/>
  <c r="I4" i="71"/>
  <c r="P3" i="71"/>
  <c r="O3" i="71" a="1"/>
  <c r="O3" i="71" s="1"/>
  <c r="N3" i="71" a="1"/>
  <c r="N3" i="71" s="1"/>
  <c r="M3" i="71" a="1"/>
  <c r="M3" i="71" s="1"/>
  <c r="L3" i="71" a="1"/>
  <c r="L3" i="71" s="1"/>
  <c r="K3" i="71"/>
  <c r="J3" i="71" a="1"/>
  <c r="J3" i="71" s="1"/>
  <c r="I3" i="71"/>
  <c r="I201" i="71"/>
  <c r="K197" i="71"/>
  <c r="I197" i="71"/>
  <c r="Q182" i="71"/>
  <c r="Q168" i="71"/>
  <c r="I157" i="71"/>
  <c r="Q142" i="71"/>
  <c r="Q141" i="71"/>
  <c r="Q131" i="71"/>
  <c r="Q99" i="71"/>
  <c r="Q92" i="71"/>
  <c r="P200" i="70"/>
  <c r="O200" i="70" a="1"/>
  <c r="O200" i="70" s="1"/>
  <c r="N200" i="70" a="1"/>
  <c r="N200" i="70" s="1"/>
  <c r="M200" i="70" a="1"/>
  <c r="M200" i="70" s="1"/>
  <c r="L200" i="70" a="1"/>
  <c r="L200" i="70" s="1"/>
  <c r="K200" i="70"/>
  <c r="J200" i="70" a="1"/>
  <c r="J200" i="70" s="1"/>
  <c r="I200" i="70"/>
  <c r="I201" i="70" s="1"/>
  <c r="P199" i="70"/>
  <c r="O199" i="70" a="1"/>
  <c r="O199" i="70" s="1"/>
  <c r="N199" i="70" a="1"/>
  <c r="N199" i="70" s="1"/>
  <c r="M199" i="70" a="1"/>
  <c r="M199" i="70" s="1"/>
  <c r="L199" i="70" a="1"/>
  <c r="L199" i="70" s="1"/>
  <c r="K199" i="70"/>
  <c r="K201" i="70" s="1"/>
  <c r="J199" i="70" a="1"/>
  <c r="J199" i="70" s="1"/>
  <c r="I199" i="70"/>
  <c r="P196" i="70"/>
  <c r="O196" i="70" a="1"/>
  <c r="O196" i="70" s="1"/>
  <c r="N196" i="70" a="1"/>
  <c r="N196" i="70" s="1"/>
  <c r="M196" i="70" a="1"/>
  <c r="M196" i="70" s="1"/>
  <c r="L196" i="70" a="1"/>
  <c r="L196" i="70" s="1"/>
  <c r="L197" i="70" s="1"/>
  <c r="K196" i="70"/>
  <c r="J196" i="70" a="1"/>
  <c r="J196" i="70" s="1"/>
  <c r="Q196" i="70" s="1"/>
  <c r="I196" i="70"/>
  <c r="P195" i="70"/>
  <c r="O195" i="70" a="1"/>
  <c r="O195" i="70" s="1"/>
  <c r="O197" i="70" s="1"/>
  <c r="N195" i="70" a="1"/>
  <c r="N195" i="70" s="1"/>
  <c r="M195" i="70" a="1"/>
  <c r="M195" i="70" s="1"/>
  <c r="L195" i="70" a="1"/>
  <c r="L195" i="70" s="1"/>
  <c r="K195" i="70"/>
  <c r="J195" i="70" a="1"/>
  <c r="J195" i="70" s="1"/>
  <c r="I195" i="70"/>
  <c r="P193" i="70"/>
  <c r="O193" i="70" a="1"/>
  <c r="O193" i="70" s="1"/>
  <c r="N193" i="70" a="1"/>
  <c r="N193" i="70" s="1"/>
  <c r="M193" i="70" a="1"/>
  <c r="M193" i="70" s="1"/>
  <c r="L193" i="70" a="1"/>
  <c r="L193" i="70" s="1"/>
  <c r="K193" i="70"/>
  <c r="J193" i="70" a="1"/>
  <c r="J193" i="70" s="1"/>
  <c r="I193" i="70"/>
  <c r="P192" i="70"/>
  <c r="O192" i="70" a="1"/>
  <c r="O192" i="70" s="1"/>
  <c r="N192" i="70" a="1"/>
  <c r="N192" i="70" s="1"/>
  <c r="M192" i="70" a="1"/>
  <c r="M192" i="70" s="1"/>
  <c r="L192" i="70" a="1"/>
  <c r="L192" i="70" s="1"/>
  <c r="K192" i="70"/>
  <c r="J192" i="70" a="1"/>
  <c r="J192" i="70" s="1"/>
  <c r="Q192" i="70" s="1"/>
  <c r="I192" i="70"/>
  <c r="P191" i="70"/>
  <c r="O191" i="70" a="1"/>
  <c r="O191" i="70" s="1"/>
  <c r="N191" i="70" a="1"/>
  <c r="N191" i="70" s="1"/>
  <c r="M191" i="70" a="1"/>
  <c r="M191" i="70" s="1"/>
  <c r="L191" i="70" a="1"/>
  <c r="L191" i="70" s="1"/>
  <c r="K191" i="70"/>
  <c r="J191" i="70" a="1"/>
  <c r="J191" i="70" s="1"/>
  <c r="I191" i="70"/>
  <c r="P190" i="70"/>
  <c r="O190" i="70" a="1"/>
  <c r="O190" i="70" s="1"/>
  <c r="N190" i="70" a="1"/>
  <c r="N190" i="70" s="1"/>
  <c r="M190" i="70" a="1"/>
  <c r="M190" i="70" s="1"/>
  <c r="L190" i="70" a="1"/>
  <c r="L190" i="70" s="1"/>
  <c r="K190" i="70"/>
  <c r="J190" i="70" a="1"/>
  <c r="J190" i="70" s="1"/>
  <c r="I190" i="70"/>
  <c r="P189" i="70"/>
  <c r="O189" i="70" a="1"/>
  <c r="O189" i="70" s="1"/>
  <c r="N189" i="70" a="1"/>
  <c r="N189" i="70" s="1"/>
  <c r="M189" i="70" a="1"/>
  <c r="M189" i="70" s="1"/>
  <c r="L189" i="70" a="1"/>
  <c r="L189" i="70" s="1"/>
  <c r="K189" i="70"/>
  <c r="J189" i="70" a="1"/>
  <c r="J189" i="70" s="1"/>
  <c r="I189" i="70"/>
  <c r="P188" i="70"/>
  <c r="O188" i="70" a="1"/>
  <c r="O188" i="70" s="1"/>
  <c r="N188" i="70" a="1"/>
  <c r="N188" i="70" s="1"/>
  <c r="M188" i="70" a="1"/>
  <c r="M188" i="70" s="1"/>
  <c r="L188" i="70" a="1"/>
  <c r="L188" i="70" s="1"/>
  <c r="K188" i="70"/>
  <c r="J188" i="70" a="1"/>
  <c r="J188" i="70" s="1"/>
  <c r="I188" i="70"/>
  <c r="P187" i="70"/>
  <c r="O187" i="70" a="1"/>
  <c r="O187" i="70" s="1"/>
  <c r="N187" i="70" a="1"/>
  <c r="N187" i="70" s="1"/>
  <c r="M187" i="70" a="1"/>
  <c r="M187" i="70" s="1"/>
  <c r="L187" i="70" a="1"/>
  <c r="L187" i="70" s="1"/>
  <c r="K187" i="70"/>
  <c r="J187" i="70" a="1"/>
  <c r="J187" i="70" s="1"/>
  <c r="I187" i="70"/>
  <c r="P186" i="70"/>
  <c r="O186" i="70" a="1"/>
  <c r="O186" i="70" s="1"/>
  <c r="N186" i="70" a="1"/>
  <c r="N186" i="70" s="1"/>
  <c r="M186" i="70" a="1"/>
  <c r="M186" i="70" s="1"/>
  <c r="L186" i="70" a="1"/>
  <c r="L186" i="70" s="1"/>
  <c r="K186" i="70"/>
  <c r="J186" i="70" a="1"/>
  <c r="J186" i="70" s="1"/>
  <c r="I186" i="70"/>
  <c r="P185" i="70"/>
  <c r="O185" i="70" a="1"/>
  <c r="O185" i="70" s="1"/>
  <c r="N185" i="70" a="1"/>
  <c r="N185" i="70" s="1"/>
  <c r="M185" i="70" a="1"/>
  <c r="M185" i="70" s="1"/>
  <c r="L185" i="70" a="1"/>
  <c r="L185" i="70" s="1"/>
  <c r="K185" i="70"/>
  <c r="J185" i="70" a="1"/>
  <c r="J185" i="70" s="1"/>
  <c r="I185" i="70"/>
  <c r="P184" i="70"/>
  <c r="O184" i="70" a="1"/>
  <c r="O184" i="70" s="1"/>
  <c r="N184" i="70" a="1"/>
  <c r="N184" i="70" s="1"/>
  <c r="M184" i="70" a="1"/>
  <c r="M184" i="70" s="1"/>
  <c r="L184" i="70" a="1"/>
  <c r="L184" i="70" s="1"/>
  <c r="K184" i="70"/>
  <c r="J184" i="70"/>
  <c r="J184" i="70" a="1"/>
  <c r="I184" i="70"/>
  <c r="P183" i="70"/>
  <c r="O183" i="70" a="1"/>
  <c r="O183" i="70" s="1"/>
  <c r="N183" i="70" a="1"/>
  <c r="N183" i="70" s="1"/>
  <c r="M183" i="70" a="1"/>
  <c r="M183" i="70" s="1"/>
  <c r="L183" i="70" a="1"/>
  <c r="L183" i="70" s="1"/>
  <c r="K183" i="70"/>
  <c r="J183" i="70" a="1"/>
  <c r="J183" i="70" s="1"/>
  <c r="I183" i="70"/>
  <c r="P182" i="70"/>
  <c r="Q182" i="70" s="1"/>
  <c r="O182" i="70" a="1"/>
  <c r="O182" i="70" s="1"/>
  <c r="N182" i="70" a="1"/>
  <c r="N182" i="70" s="1"/>
  <c r="M182" i="70" a="1"/>
  <c r="M182" i="70" s="1"/>
  <c r="L182" i="70" a="1"/>
  <c r="L182" i="70" s="1"/>
  <c r="K182" i="70"/>
  <c r="J182" i="70" a="1"/>
  <c r="J182" i="70" s="1"/>
  <c r="I182" i="70"/>
  <c r="P181" i="70"/>
  <c r="O181" i="70" a="1"/>
  <c r="O181" i="70" s="1"/>
  <c r="N181" i="70" a="1"/>
  <c r="N181" i="70" s="1"/>
  <c r="M181" i="70" a="1"/>
  <c r="M181" i="70" s="1"/>
  <c r="L181" i="70" a="1"/>
  <c r="L181" i="70" s="1"/>
  <c r="K181" i="70"/>
  <c r="J181" i="70" a="1"/>
  <c r="J181" i="70" s="1"/>
  <c r="I181" i="70"/>
  <c r="P180" i="70"/>
  <c r="O180" i="70" a="1"/>
  <c r="O180" i="70" s="1"/>
  <c r="N180" i="70" a="1"/>
  <c r="N180" i="70" s="1"/>
  <c r="M180" i="70" a="1"/>
  <c r="M180" i="70" s="1"/>
  <c r="L180" i="70" a="1"/>
  <c r="L180" i="70" s="1"/>
  <c r="K180" i="70"/>
  <c r="J180" i="70" a="1"/>
  <c r="J180" i="70" s="1"/>
  <c r="I180" i="70"/>
  <c r="P179" i="70"/>
  <c r="Q179" i="70" s="1"/>
  <c r="O179" i="70" a="1"/>
  <c r="O179" i="70" s="1"/>
  <c r="N179" i="70" a="1"/>
  <c r="N179" i="70" s="1"/>
  <c r="M179" i="70" a="1"/>
  <c r="M179" i="70" s="1"/>
  <c r="L179" i="70" a="1"/>
  <c r="L179" i="70" s="1"/>
  <c r="K179" i="70"/>
  <c r="J179" i="70" a="1"/>
  <c r="J179" i="70" s="1"/>
  <c r="I179" i="70"/>
  <c r="P178" i="70"/>
  <c r="Q178" i="70" s="1"/>
  <c r="O178" i="70" a="1"/>
  <c r="O178" i="70" s="1"/>
  <c r="N178" i="70" a="1"/>
  <c r="N178" i="70" s="1"/>
  <c r="M178" i="70" a="1"/>
  <c r="M178" i="70" s="1"/>
  <c r="L178" i="70" a="1"/>
  <c r="L178" i="70" s="1"/>
  <c r="K178" i="70"/>
  <c r="J178" i="70" a="1"/>
  <c r="J178" i="70" s="1"/>
  <c r="I178" i="70"/>
  <c r="P177" i="70"/>
  <c r="O177" i="70" a="1"/>
  <c r="O177" i="70" s="1"/>
  <c r="N177" i="70" a="1"/>
  <c r="N177" i="70" s="1"/>
  <c r="M177" i="70" a="1"/>
  <c r="M177" i="70" s="1"/>
  <c r="L177" i="70" a="1"/>
  <c r="L177" i="70" s="1"/>
  <c r="K177" i="70"/>
  <c r="J177" i="70" a="1"/>
  <c r="J177" i="70" s="1"/>
  <c r="I177" i="70"/>
  <c r="P176" i="70"/>
  <c r="Q176" i="70" s="1"/>
  <c r="O176" i="70" a="1"/>
  <c r="O176" i="70" s="1"/>
  <c r="N176" i="70" a="1"/>
  <c r="N176" i="70" s="1"/>
  <c r="M176" i="70" a="1"/>
  <c r="M176" i="70" s="1"/>
  <c r="L176" i="70" a="1"/>
  <c r="L176" i="70" s="1"/>
  <c r="K176" i="70"/>
  <c r="J176" i="70" a="1"/>
  <c r="J176" i="70" s="1"/>
  <c r="I176" i="70"/>
  <c r="P175" i="70"/>
  <c r="O175" i="70" a="1"/>
  <c r="O175" i="70" s="1"/>
  <c r="N175" i="70" a="1"/>
  <c r="N175" i="70" s="1"/>
  <c r="M175" i="70" a="1"/>
  <c r="M175" i="70" s="1"/>
  <c r="L175" i="70" a="1"/>
  <c r="L175" i="70" s="1"/>
  <c r="K175" i="70"/>
  <c r="J175" i="70" a="1"/>
  <c r="J175" i="70" s="1"/>
  <c r="I175" i="70"/>
  <c r="P174" i="70"/>
  <c r="O174" i="70" a="1"/>
  <c r="O174" i="70" s="1"/>
  <c r="N174" i="70" a="1"/>
  <c r="N174" i="70" s="1"/>
  <c r="M174" i="70" a="1"/>
  <c r="M174" i="70" s="1"/>
  <c r="L174" i="70" a="1"/>
  <c r="L174" i="70" s="1"/>
  <c r="K174" i="70"/>
  <c r="J174" i="70" a="1"/>
  <c r="J174" i="70" s="1"/>
  <c r="I174" i="70"/>
  <c r="P173" i="70"/>
  <c r="O173" i="70" a="1"/>
  <c r="O173" i="70" s="1"/>
  <c r="N173" i="70" a="1"/>
  <c r="N173" i="70" s="1"/>
  <c r="M173" i="70" a="1"/>
  <c r="M173" i="70" s="1"/>
  <c r="L173" i="70" a="1"/>
  <c r="L173" i="70" s="1"/>
  <c r="K173" i="70"/>
  <c r="J173" i="70" a="1"/>
  <c r="J173" i="70" s="1"/>
  <c r="I173" i="70"/>
  <c r="P172" i="70"/>
  <c r="Q172" i="70" s="1"/>
  <c r="O172" i="70" a="1"/>
  <c r="O172" i="70" s="1"/>
  <c r="N172" i="70" a="1"/>
  <c r="N172" i="70" s="1"/>
  <c r="M172" i="70" a="1"/>
  <c r="M172" i="70" s="1"/>
  <c r="L172" i="70" a="1"/>
  <c r="L172" i="70" s="1"/>
  <c r="K172" i="70"/>
  <c r="J172" i="70" a="1"/>
  <c r="J172" i="70" s="1"/>
  <c r="I172" i="70"/>
  <c r="P171" i="70"/>
  <c r="O171" i="70" a="1"/>
  <c r="O171" i="70" s="1"/>
  <c r="N171" i="70" a="1"/>
  <c r="N171" i="70" s="1"/>
  <c r="M171" i="70" a="1"/>
  <c r="M171" i="70" s="1"/>
  <c r="L171" i="70" a="1"/>
  <c r="L171" i="70" s="1"/>
  <c r="K171" i="70"/>
  <c r="J171" i="70" a="1"/>
  <c r="J171" i="70" s="1"/>
  <c r="I171" i="70"/>
  <c r="P170" i="70"/>
  <c r="O170" i="70" a="1"/>
  <c r="O170" i="70" s="1"/>
  <c r="N170" i="70" a="1"/>
  <c r="N170" i="70" s="1"/>
  <c r="M170" i="70" a="1"/>
  <c r="M170" i="70" s="1"/>
  <c r="L170" i="70" a="1"/>
  <c r="L170" i="70" s="1"/>
  <c r="K170" i="70"/>
  <c r="J170" i="70" a="1"/>
  <c r="J170" i="70" s="1"/>
  <c r="I170" i="70"/>
  <c r="P169" i="70"/>
  <c r="O169" i="70" a="1"/>
  <c r="O169" i="70" s="1"/>
  <c r="N169" i="70" a="1"/>
  <c r="N169" i="70" s="1"/>
  <c r="M169" i="70" a="1"/>
  <c r="M169" i="70" s="1"/>
  <c r="L169" i="70" a="1"/>
  <c r="L169" i="70" s="1"/>
  <c r="K169" i="70"/>
  <c r="J169" i="70" a="1"/>
  <c r="J169" i="70" s="1"/>
  <c r="I169" i="70"/>
  <c r="P168" i="70"/>
  <c r="O168" i="70" a="1"/>
  <c r="O168" i="70" s="1"/>
  <c r="N168" i="70" a="1"/>
  <c r="N168" i="70" s="1"/>
  <c r="M168" i="70" a="1"/>
  <c r="M168" i="70" s="1"/>
  <c r="L168" i="70" a="1"/>
  <c r="L168" i="70" s="1"/>
  <c r="K168" i="70"/>
  <c r="J168" i="70" a="1"/>
  <c r="J168" i="70" s="1"/>
  <c r="Q168" i="70" s="1"/>
  <c r="I168" i="70"/>
  <c r="P167" i="70"/>
  <c r="O167" i="70" a="1"/>
  <c r="O167" i="70" s="1"/>
  <c r="N167" i="70" a="1"/>
  <c r="N167" i="70" s="1"/>
  <c r="M167" i="70" a="1"/>
  <c r="M167" i="70" s="1"/>
  <c r="L167" i="70" a="1"/>
  <c r="L167" i="70" s="1"/>
  <c r="K167" i="70"/>
  <c r="J167" i="70" a="1"/>
  <c r="J167" i="70" s="1"/>
  <c r="I167" i="70"/>
  <c r="P166" i="70"/>
  <c r="Q166" i="70" s="1"/>
  <c r="O166" i="70" a="1"/>
  <c r="O166" i="70" s="1"/>
  <c r="N166" i="70" a="1"/>
  <c r="N166" i="70" s="1"/>
  <c r="M166" i="70" a="1"/>
  <c r="M166" i="70" s="1"/>
  <c r="L166" i="70" a="1"/>
  <c r="L166" i="70" s="1"/>
  <c r="K166" i="70"/>
  <c r="J166" i="70" a="1"/>
  <c r="J166" i="70" s="1"/>
  <c r="I166" i="70"/>
  <c r="P165" i="70"/>
  <c r="O165" i="70" a="1"/>
  <c r="O165" i="70" s="1"/>
  <c r="N165" i="70" a="1"/>
  <c r="N165" i="70" s="1"/>
  <c r="M165" i="70" a="1"/>
  <c r="M165" i="70" s="1"/>
  <c r="L165" i="70" a="1"/>
  <c r="L165" i="70" s="1"/>
  <c r="K165" i="70"/>
  <c r="J165" i="70" a="1"/>
  <c r="J165" i="70" s="1"/>
  <c r="I165" i="70"/>
  <c r="P164" i="70"/>
  <c r="O164" i="70" a="1"/>
  <c r="O164" i="70" s="1"/>
  <c r="N164" i="70" a="1"/>
  <c r="N164" i="70" s="1"/>
  <c r="M164" i="70" a="1"/>
  <c r="M164" i="70" s="1"/>
  <c r="L164" i="70" a="1"/>
  <c r="L164" i="70" s="1"/>
  <c r="K164" i="70"/>
  <c r="J164" i="70" a="1"/>
  <c r="J164" i="70" s="1"/>
  <c r="I164" i="70"/>
  <c r="P163" i="70"/>
  <c r="O163" i="70" a="1"/>
  <c r="O163" i="70" s="1"/>
  <c r="N163" i="70" a="1"/>
  <c r="N163" i="70" s="1"/>
  <c r="M163" i="70" a="1"/>
  <c r="M163" i="70" s="1"/>
  <c r="L163" i="70" a="1"/>
  <c r="L163" i="70" s="1"/>
  <c r="K163" i="70"/>
  <c r="J163" i="70" a="1"/>
  <c r="J163" i="70" s="1"/>
  <c r="I163" i="70"/>
  <c r="P162" i="70"/>
  <c r="O162" i="70" a="1"/>
  <c r="O162" i="70" s="1"/>
  <c r="N162" i="70" a="1"/>
  <c r="N162" i="70" s="1"/>
  <c r="M162" i="70" a="1"/>
  <c r="M162" i="70" s="1"/>
  <c r="L162" i="70" a="1"/>
  <c r="L162" i="70" s="1"/>
  <c r="K162" i="70"/>
  <c r="J162" i="70" a="1"/>
  <c r="J162" i="70" s="1"/>
  <c r="I162" i="70"/>
  <c r="P161" i="70"/>
  <c r="O161" i="70" a="1"/>
  <c r="O161" i="70" s="1"/>
  <c r="N161" i="70" a="1"/>
  <c r="N161" i="70" s="1"/>
  <c r="M161" i="70" a="1"/>
  <c r="M161" i="70" s="1"/>
  <c r="L161" i="70" a="1"/>
  <c r="L161" i="70" s="1"/>
  <c r="K161" i="70"/>
  <c r="J161" i="70" a="1"/>
  <c r="J161" i="70" s="1"/>
  <c r="I161" i="70"/>
  <c r="P160" i="70"/>
  <c r="O160" i="70" a="1"/>
  <c r="O160" i="70" s="1"/>
  <c r="N160" i="70" a="1"/>
  <c r="N160" i="70" s="1"/>
  <c r="M160" i="70" a="1"/>
  <c r="M160" i="70" s="1"/>
  <c r="L160" i="70" a="1"/>
  <c r="L160" i="70" s="1"/>
  <c r="K160" i="70"/>
  <c r="J160" i="70" a="1"/>
  <c r="J160" i="70" s="1"/>
  <c r="I160" i="70"/>
  <c r="P159" i="70"/>
  <c r="O159" i="70" a="1"/>
  <c r="O159" i="70" s="1"/>
  <c r="N159" i="70" a="1"/>
  <c r="N159" i="70" s="1"/>
  <c r="M159" i="70" a="1"/>
  <c r="M159" i="70" s="1"/>
  <c r="L159" i="70" a="1"/>
  <c r="L159" i="70" s="1"/>
  <c r="K159" i="70"/>
  <c r="J159" i="70" a="1"/>
  <c r="J159" i="70" s="1"/>
  <c r="I159" i="70"/>
  <c r="P158" i="70"/>
  <c r="O158" i="70" a="1"/>
  <c r="O158" i="70" s="1"/>
  <c r="N158" i="70" a="1"/>
  <c r="N158" i="70" s="1"/>
  <c r="M158" i="70" a="1"/>
  <c r="M158" i="70" s="1"/>
  <c r="L158" i="70" a="1"/>
  <c r="L158" i="70" s="1"/>
  <c r="K158" i="70"/>
  <c r="J158" i="70" a="1"/>
  <c r="J158" i="70" s="1"/>
  <c r="I158" i="70"/>
  <c r="P156" i="70"/>
  <c r="O156" i="70" a="1"/>
  <c r="O156" i="70" s="1"/>
  <c r="N156" i="70" a="1"/>
  <c r="N156" i="70" s="1"/>
  <c r="M156" i="70" a="1"/>
  <c r="M156" i="70" s="1"/>
  <c r="L156" i="70" a="1"/>
  <c r="L156" i="70" s="1"/>
  <c r="K156" i="70"/>
  <c r="J156" i="70" a="1"/>
  <c r="J156" i="70" s="1"/>
  <c r="I156" i="70"/>
  <c r="P155" i="70"/>
  <c r="O155" i="70" a="1"/>
  <c r="O155" i="70" s="1"/>
  <c r="N155" i="70" a="1"/>
  <c r="N155" i="70" s="1"/>
  <c r="M155" i="70" a="1"/>
  <c r="M155" i="70" s="1"/>
  <c r="L155" i="70" a="1"/>
  <c r="L155" i="70" s="1"/>
  <c r="K155" i="70"/>
  <c r="J155" i="70" a="1"/>
  <c r="J155" i="70" s="1"/>
  <c r="I155" i="70"/>
  <c r="P154" i="70"/>
  <c r="O154" i="70" a="1"/>
  <c r="O154" i="70" s="1"/>
  <c r="N154" i="70" a="1"/>
  <c r="N154" i="70" s="1"/>
  <c r="M154" i="70" a="1"/>
  <c r="M154" i="70" s="1"/>
  <c r="L154" i="70" a="1"/>
  <c r="L154" i="70" s="1"/>
  <c r="K154" i="70"/>
  <c r="J154" i="70" a="1"/>
  <c r="J154" i="70" s="1"/>
  <c r="I154" i="70"/>
  <c r="P153" i="70"/>
  <c r="O153" i="70" a="1"/>
  <c r="O153" i="70" s="1"/>
  <c r="N153" i="70" a="1"/>
  <c r="N153" i="70" s="1"/>
  <c r="M153" i="70" a="1"/>
  <c r="M153" i="70" s="1"/>
  <c r="L153" i="70" a="1"/>
  <c r="L153" i="70" s="1"/>
  <c r="K153" i="70"/>
  <c r="J153" i="70" a="1"/>
  <c r="J153" i="70" s="1"/>
  <c r="I153" i="70"/>
  <c r="P152" i="70"/>
  <c r="O152" i="70" a="1"/>
  <c r="O152" i="70" s="1"/>
  <c r="N152" i="70" a="1"/>
  <c r="N152" i="70" s="1"/>
  <c r="M152" i="70" a="1"/>
  <c r="M152" i="70" s="1"/>
  <c r="L152" i="70" a="1"/>
  <c r="L152" i="70" s="1"/>
  <c r="K152" i="70"/>
  <c r="J152" i="70" a="1"/>
  <c r="J152" i="70" s="1"/>
  <c r="I152" i="70"/>
  <c r="P151" i="70"/>
  <c r="O151" i="70" a="1"/>
  <c r="O151" i="70" s="1"/>
  <c r="N151" i="70" a="1"/>
  <c r="N151" i="70" s="1"/>
  <c r="M151" i="70" a="1"/>
  <c r="M151" i="70" s="1"/>
  <c r="L151" i="70" a="1"/>
  <c r="L151" i="70" s="1"/>
  <c r="K151" i="70"/>
  <c r="J151" i="70" a="1"/>
  <c r="J151" i="70" s="1"/>
  <c r="I151" i="70"/>
  <c r="P150" i="70"/>
  <c r="O150" i="70" a="1"/>
  <c r="O150" i="70" s="1"/>
  <c r="N150" i="70" a="1"/>
  <c r="N150" i="70" s="1"/>
  <c r="M150" i="70" a="1"/>
  <c r="M150" i="70" s="1"/>
  <c r="L150" i="70" a="1"/>
  <c r="L150" i="70" s="1"/>
  <c r="K150" i="70"/>
  <c r="J150" i="70" a="1"/>
  <c r="J150" i="70" s="1"/>
  <c r="I150" i="70"/>
  <c r="P149" i="70"/>
  <c r="O149" i="70" a="1"/>
  <c r="O149" i="70" s="1"/>
  <c r="N149" i="70" a="1"/>
  <c r="N149" i="70" s="1"/>
  <c r="M149" i="70" a="1"/>
  <c r="M149" i="70" s="1"/>
  <c r="L149" i="70" a="1"/>
  <c r="L149" i="70" s="1"/>
  <c r="K149" i="70"/>
  <c r="J149" i="70" a="1"/>
  <c r="J149" i="70" s="1"/>
  <c r="I149" i="70"/>
  <c r="P147" i="70"/>
  <c r="O147" i="70" a="1"/>
  <c r="O147" i="70" s="1"/>
  <c r="N147" i="70" a="1"/>
  <c r="N147" i="70" s="1"/>
  <c r="M147" i="70" a="1"/>
  <c r="M147" i="70" s="1"/>
  <c r="L147" i="70" a="1"/>
  <c r="L147" i="70" s="1"/>
  <c r="K147" i="70"/>
  <c r="J147" i="70" a="1"/>
  <c r="J147" i="70" s="1"/>
  <c r="I147" i="70"/>
  <c r="P146" i="70"/>
  <c r="O146" i="70" a="1"/>
  <c r="O146" i="70" s="1"/>
  <c r="N146" i="70" a="1"/>
  <c r="N146" i="70" s="1"/>
  <c r="M146" i="70" a="1"/>
  <c r="M146" i="70" s="1"/>
  <c r="L146" i="70" a="1"/>
  <c r="L146" i="70" s="1"/>
  <c r="K146" i="70"/>
  <c r="J146" i="70" a="1"/>
  <c r="J146" i="70" s="1"/>
  <c r="I146" i="70"/>
  <c r="P145" i="70"/>
  <c r="O145" i="70" a="1"/>
  <c r="O145" i="70" s="1"/>
  <c r="N145" i="70" a="1"/>
  <c r="N145" i="70" s="1"/>
  <c r="M145" i="70" a="1"/>
  <c r="M145" i="70" s="1"/>
  <c r="L145" i="70" a="1"/>
  <c r="L145" i="70" s="1"/>
  <c r="K145" i="70"/>
  <c r="J145" i="70" a="1"/>
  <c r="J145" i="70" s="1"/>
  <c r="Q145" i="70" s="1"/>
  <c r="I145" i="70"/>
  <c r="P144" i="70"/>
  <c r="O144" i="70" a="1"/>
  <c r="O144" i="70" s="1"/>
  <c r="N144" i="70" a="1"/>
  <c r="N144" i="70" s="1"/>
  <c r="M144" i="70" a="1"/>
  <c r="M144" i="70" s="1"/>
  <c r="L144" i="70" a="1"/>
  <c r="L144" i="70" s="1"/>
  <c r="K144" i="70"/>
  <c r="J144" i="70" a="1"/>
  <c r="J144" i="70" s="1"/>
  <c r="I144" i="70"/>
  <c r="P143" i="70"/>
  <c r="O143" i="70" a="1"/>
  <c r="O143" i="70" s="1"/>
  <c r="N143" i="70" a="1"/>
  <c r="N143" i="70" s="1"/>
  <c r="M143" i="70" a="1"/>
  <c r="M143" i="70" s="1"/>
  <c r="L143" i="70" a="1"/>
  <c r="L143" i="70" s="1"/>
  <c r="K143" i="70"/>
  <c r="J143" i="70" a="1"/>
  <c r="J143" i="70" s="1"/>
  <c r="I143" i="70"/>
  <c r="P142" i="70"/>
  <c r="O142" i="70" a="1"/>
  <c r="O142" i="70" s="1"/>
  <c r="N142" i="70" a="1"/>
  <c r="N142" i="70" s="1"/>
  <c r="M142" i="70" a="1"/>
  <c r="M142" i="70" s="1"/>
  <c r="L142" i="70" a="1"/>
  <c r="L142" i="70" s="1"/>
  <c r="K142" i="70"/>
  <c r="J142" i="70" a="1"/>
  <c r="J142" i="70" s="1"/>
  <c r="I142" i="70"/>
  <c r="P141" i="70"/>
  <c r="O141" i="70" a="1"/>
  <c r="O141" i="70" s="1"/>
  <c r="N141" i="70" a="1"/>
  <c r="N141" i="70" s="1"/>
  <c r="M141" i="70" a="1"/>
  <c r="M141" i="70" s="1"/>
  <c r="L141" i="70" a="1"/>
  <c r="L141" i="70" s="1"/>
  <c r="K141" i="70"/>
  <c r="J141" i="70" a="1"/>
  <c r="J141" i="70" s="1"/>
  <c r="I141" i="70"/>
  <c r="P140" i="70"/>
  <c r="O140" i="70" a="1"/>
  <c r="O140" i="70" s="1"/>
  <c r="N140" i="70" a="1"/>
  <c r="N140" i="70" s="1"/>
  <c r="M140" i="70" a="1"/>
  <c r="M140" i="70" s="1"/>
  <c r="L140" i="70" a="1"/>
  <c r="L140" i="70" s="1"/>
  <c r="K140" i="70"/>
  <c r="J140" i="70" a="1"/>
  <c r="J140" i="70" s="1"/>
  <c r="I140" i="70"/>
  <c r="P138" i="70"/>
  <c r="O138" i="70" a="1"/>
  <c r="O138" i="70" s="1"/>
  <c r="N138" i="70" a="1"/>
  <c r="N138" i="70" s="1"/>
  <c r="M138" i="70" a="1"/>
  <c r="M138" i="70" s="1"/>
  <c r="L138" i="70" a="1"/>
  <c r="L138" i="70" s="1"/>
  <c r="K138" i="70"/>
  <c r="J138" i="70" a="1"/>
  <c r="J138" i="70" s="1"/>
  <c r="Q138" i="70" s="1"/>
  <c r="I138" i="70"/>
  <c r="P137" i="70"/>
  <c r="O137" i="70" a="1"/>
  <c r="O137" i="70" s="1"/>
  <c r="N137" i="70" a="1"/>
  <c r="N137" i="70" s="1"/>
  <c r="M137" i="70" a="1"/>
  <c r="M137" i="70" s="1"/>
  <c r="L137" i="70" a="1"/>
  <c r="L137" i="70" s="1"/>
  <c r="K137" i="70"/>
  <c r="J137" i="70" a="1"/>
  <c r="J137" i="70" s="1"/>
  <c r="I137" i="70"/>
  <c r="P136" i="70"/>
  <c r="O136" i="70" a="1"/>
  <c r="O136" i="70" s="1"/>
  <c r="N136" i="70" a="1"/>
  <c r="N136" i="70" s="1"/>
  <c r="M136" i="70" a="1"/>
  <c r="M136" i="70" s="1"/>
  <c r="L136" i="70" a="1"/>
  <c r="L136" i="70" s="1"/>
  <c r="K136" i="70"/>
  <c r="J136" i="70" a="1"/>
  <c r="J136" i="70" s="1"/>
  <c r="I136" i="70"/>
  <c r="P135" i="70"/>
  <c r="O135" i="70" a="1"/>
  <c r="O135" i="70" s="1"/>
  <c r="N135" i="70" a="1"/>
  <c r="N135" i="70" s="1"/>
  <c r="M135" i="70" a="1"/>
  <c r="M135" i="70" s="1"/>
  <c r="L135" i="70" a="1"/>
  <c r="L135" i="70" s="1"/>
  <c r="K135" i="70"/>
  <c r="J135" i="70" a="1"/>
  <c r="J135" i="70" s="1"/>
  <c r="I135" i="70"/>
  <c r="P134" i="70"/>
  <c r="O134" i="70" a="1"/>
  <c r="O134" i="70" s="1"/>
  <c r="N134" i="70" a="1"/>
  <c r="N134" i="70" s="1"/>
  <c r="M134" i="70" a="1"/>
  <c r="M134" i="70" s="1"/>
  <c r="L134" i="70" a="1"/>
  <c r="L134" i="70" s="1"/>
  <c r="K134" i="70"/>
  <c r="J134" i="70" a="1"/>
  <c r="J134" i="70" s="1"/>
  <c r="I134" i="70"/>
  <c r="P133" i="70"/>
  <c r="O133" i="70" a="1"/>
  <c r="O133" i="70" s="1"/>
  <c r="N133" i="70" a="1"/>
  <c r="N133" i="70" s="1"/>
  <c r="M133" i="70" a="1"/>
  <c r="M133" i="70" s="1"/>
  <c r="L133" i="70" a="1"/>
  <c r="L133" i="70" s="1"/>
  <c r="K133" i="70"/>
  <c r="J133" i="70" a="1"/>
  <c r="J133" i="70" s="1"/>
  <c r="I133" i="70"/>
  <c r="P132" i="70"/>
  <c r="O132" i="70" a="1"/>
  <c r="O132" i="70" s="1"/>
  <c r="N132" i="70" a="1"/>
  <c r="N132" i="70" s="1"/>
  <c r="M132" i="70" a="1"/>
  <c r="M132" i="70" s="1"/>
  <c r="L132" i="70" a="1"/>
  <c r="L132" i="70" s="1"/>
  <c r="K132" i="70"/>
  <c r="J132" i="70" a="1"/>
  <c r="J132" i="70" s="1"/>
  <c r="I132" i="70"/>
  <c r="P131" i="70"/>
  <c r="O131" i="70" a="1"/>
  <c r="O131" i="70" s="1"/>
  <c r="N131" i="70" a="1"/>
  <c r="N131" i="70" s="1"/>
  <c r="M131" i="70" a="1"/>
  <c r="M131" i="70" s="1"/>
  <c r="L131" i="70" a="1"/>
  <c r="L131" i="70" s="1"/>
  <c r="K131" i="70"/>
  <c r="J131" i="70" a="1"/>
  <c r="J131" i="70" s="1"/>
  <c r="I131" i="70"/>
  <c r="P130" i="70"/>
  <c r="O130" i="70" a="1"/>
  <c r="O130" i="70" s="1"/>
  <c r="N130" i="70" a="1"/>
  <c r="N130" i="70" s="1"/>
  <c r="M130" i="70" a="1"/>
  <c r="M130" i="70" s="1"/>
  <c r="L130" i="70" a="1"/>
  <c r="L130" i="70" s="1"/>
  <c r="K130" i="70"/>
  <c r="J130" i="70" a="1"/>
  <c r="J130" i="70" s="1"/>
  <c r="I130" i="70"/>
  <c r="P129" i="70"/>
  <c r="O129" i="70" a="1"/>
  <c r="O129" i="70" s="1"/>
  <c r="N129" i="70" a="1"/>
  <c r="N129" i="70" s="1"/>
  <c r="M129" i="70" a="1"/>
  <c r="M129" i="70" s="1"/>
  <c r="L129" i="70" a="1"/>
  <c r="L129" i="70" s="1"/>
  <c r="K129" i="70"/>
  <c r="J129" i="70" a="1"/>
  <c r="J129" i="70" s="1"/>
  <c r="I129" i="70"/>
  <c r="P127" i="70"/>
  <c r="O127" i="70" a="1"/>
  <c r="O127" i="70" s="1"/>
  <c r="N127" i="70" a="1"/>
  <c r="N127" i="70" s="1"/>
  <c r="M127" i="70" a="1"/>
  <c r="M127" i="70" s="1"/>
  <c r="L127" i="70" a="1"/>
  <c r="L127" i="70" s="1"/>
  <c r="K127" i="70"/>
  <c r="J127" i="70" a="1"/>
  <c r="J127" i="70" s="1"/>
  <c r="I127" i="70"/>
  <c r="P126" i="70"/>
  <c r="O126" i="70" a="1"/>
  <c r="O126" i="70" s="1"/>
  <c r="N126" i="70" a="1"/>
  <c r="N126" i="70" s="1"/>
  <c r="M126" i="70" a="1"/>
  <c r="M126" i="70" s="1"/>
  <c r="L126" i="70" a="1"/>
  <c r="L126" i="70" s="1"/>
  <c r="K126" i="70"/>
  <c r="J126" i="70" a="1"/>
  <c r="J126" i="70" s="1"/>
  <c r="I126" i="70"/>
  <c r="P125" i="70"/>
  <c r="O125" i="70" a="1"/>
  <c r="O125" i="70" s="1"/>
  <c r="N125" i="70" a="1"/>
  <c r="N125" i="70" s="1"/>
  <c r="M125" i="70" a="1"/>
  <c r="M125" i="70" s="1"/>
  <c r="L125" i="70" a="1"/>
  <c r="L125" i="70" s="1"/>
  <c r="K125" i="70"/>
  <c r="J125" i="70" a="1"/>
  <c r="J125" i="70" s="1"/>
  <c r="I125" i="70"/>
  <c r="P124" i="70"/>
  <c r="O124" i="70" a="1"/>
  <c r="O124" i="70" s="1"/>
  <c r="N124" i="70" a="1"/>
  <c r="N124" i="70" s="1"/>
  <c r="M124" i="70" a="1"/>
  <c r="M124" i="70" s="1"/>
  <c r="L124" i="70" a="1"/>
  <c r="L124" i="70" s="1"/>
  <c r="K124" i="70"/>
  <c r="J124" i="70" a="1"/>
  <c r="J124" i="70" s="1"/>
  <c r="I124" i="70"/>
  <c r="P123" i="70"/>
  <c r="Q123" i="70" s="1"/>
  <c r="O123" i="70" a="1"/>
  <c r="O123" i="70" s="1"/>
  <c r="N123" i="70" a="1"/>
  <c r="N123" i="70" s="1"/>
  <c r="M123" i="70" a="1"/>
  <c r="M123" i="70" s="1"/>
  <c r="L123" i="70" a="1"/>
  <c r="L123" i="70" s="1"/>
  <c r="K123" i="70"/>
  <c r="J123" i="70" a="1"/>
  <c r="J123" i="70" s="1"/>
  <c r="I123" i="70"/>
  <c r="P122" i="70"/>
  <c r="O122" i="70" a="1"/>
  <c r="O122" i="70" s="1"/>
  <c r="N122" i="70" a="1"/>
  <c r="N122" i="70" s="1"/>
  <c r="M122" i="70" a="1"/>
  <c r="M122" i="70" s="1"/>
  <c r="L122" i="70" a="1"/>
  <c r="L122" i="70" s="1"/>
  <c r="K122" i="70"/>
  <c r="J122" i="70" a="1"/>
  <c r="J122" i="70" s="1"/>
  <c r="I122" i="70"/>
  <c r="P121" i="70"/>
  <c r="O121" i="70" a="1"/>
  <c r="O121" i="70" s="1"/>
  <c r="N121" i="70" a="1"/>
  <c r="N121" i="70" s="1"/>
  <c r="M121" i="70" a="1"/>
  <c r="M121" i="70" s="1"/>
  <c r="L121" i="70" a="1"/>
  <c r="L121" i="70" s="1"/>
  <c r="K121" i="70"/>
  <c r="J121" i="70" a="1"/>
  <c r="J121" i="70" s="1"/>
  <c r="I121" i="70"/>
  <c r="P120" i="70"/>
  <c r="O120" i="70" a="1"/>
  <c r="O120" i="70" s="1"/>
  <c r="N120" i="70" a="1"/>
  <c r="N120" i="70" s="1"/>
  <c r="M120" i="70" a="1"/>
  <c r="M120" i="70" s="1"/>
  <c r="L120" i="70" a="1"/>
  <c r="L120" i="70" s="1"/>
  <c r="K120" i="70"/>
  <c r="J120" i="70" a="1"/>
  <c r="J120" i="70" s="1"/>
  <c r="I120" i="70"/>
  <c r="P119" i="70"/>
  <c r="O119" i="70" a="1"/>
  <c r="O119" i="70" s="1"/>
  <c r="N119" i="70" a="1"/>
  <c r="N119" i="70" s="1"/>
  <c r="M119" i="70" a="1"/>
  <c r="M119" i="70" s="1"/>
  <c r="L119" i="70" a="1"/>
  <c r="L119" i="70" s="1"/>
  <c r="K119" i="70"/>
  <c r="J119" i="70" a="1"/>
  <c r="J119" i="70" s="1"/>
  <c r="I119" i="70"/>
  <c r="P118" i="70"/>
  <c r="O118" i="70" a="1"/>
  <c r="O118" i="70" s="1"/>
  <c r="N118" i="70" a="1"/>
  <c r="N118" i="70" s="1"/>
  <c r="M118" i="70" a="1"/>
  <c r="M118" i="70" s="1"/>
  <c r="L118" i="70" a="1"/>
  <c r="L118" i="70" s="1"/>
  <c r="K118" i="70"/>
  <c r="J118" i="70" a="1"/>
  <c r="J118" i="70" s="1"/>
  <c r="I118" i="70"/>
  <c r="P117" i="70"/>
  <c r="O117" i="70" a="1"/>
  <c r="O117" i="70" s="1"/>
  <c r="N117" i="70" a="1"/>
  <c r="N117" i="70" s="1"/>
  <c r="M117" i="70" a="1"/>
  <c r="M117" i="70" s="1"/>
  <c r="L117" i="70" a="1"/>
  <c r="L117" i="70" s="1"/>
  <c r="K117" i="70"/>
  <c r="J117" i="70" a="1"/>
  <c r="J117" i="70" s="1"/>
  <c r="I117" i="70"/>
  <c r="P116" i="70"/>
  <c r="O116" i="70" a="1"/>
  <c r="O116" i="70" s="1"/>
  <c r="N116" i="70" a="1"/>
  <c r="N116" i="70" s="1"/>
  <c r="M116" i="70" a="1"/>
  <c r="M116" i="70" s="1"/>
  <c r="L116" i="70" a="1"/>
  <c r="L116" i="70" s="1"/>
  <c r="K116" i="70"/>
  <c r="J116" i="70" a="1"/>
  <c r="J116" i="70" s="1"/>
  <c r="I116" i="70"/>
  <c r="P115" i="70"/>
  <c r="O115" i="70" a="1"/>
  <c r="O115" i="70" s="1"/>
  <c r="N115" i="70" a="1"/>
  <c r="N115" i="70" s="1"/>
  <c r="M115" i="70" a="1"/>
  <c r="M115" i="70" s="1"/>
  <c r="L115" i="70" a="1"/>
  <c r="L115" i="70" s="1"/>
  <c r="K115" i="70"/>
  <c r="J115" i="70" a="1"/>
  <c r="J115" i="70" s="1"/>
  <c r="I115" i="70"/>
  <c r="P114" i="70"/>
  <c r="O114" i="70" a="1"/>
  <c r="O114" i="70" s="1"/>
  <c r="N114" i="70" a="1"/>
  <c r="N114" i="70" s="1"/>
  <c r="M114" i="70" a="1"/>
  <c r="M114" i="70" s="1"/>
  <c r="L114" i="70" a="1"/>
  <c r="L114" i="70" s="1"/>
  <c r="K114" i="70"/>
  <c r="J114" i="70" a="1"/>
  <c r="J114" i="70" s="1"/>
  <c r="I114" i="70"/>
  <c r="P113" i="70"/>
  <c r="O113" i="70" a="1"/>
  <c r="O113" i="70" s="1"/>
  <c r="N113" i="70" a="1"/>
  <c r="N113" i="70" s="1"/>
  <c r="M113" i="70" a="1"/>
  <c r="M113" i="70" s="1"/>
  <c r="L113" i="70" a="1"/>
  <c r="L113" i="70" s="1"/>
  <c r="K113" i="70"/>
  <c r="J113" i="70" a="1"/>
  <c r="J113" i="70" s="1"/>
  <c r="I113" i="70"/>
  <c r="P112" i="70"/>
  <c r="O112" i="70" a="1"/>
  <c r="O112" i="70" s="1"/>
  <c r="N112" i="70" a="1"/>
  <c r="N112" i="70" s="1"/>
  <c r="M112" i="70" a="1"/>
  <c r="M112" i="70" s="1"/>
  <c r="L112" i="70" a="1"/>
  <c r="L112" i="70" s="1"/>
  <c r="K112" i="70"/>
  <c r="J112" i="70" a="1"/>
  <c r="J112" i="70" s="1"/>
  <c r="I112" i="70"/>
  <c r="P111" i="70"/>
  <c r="Q111" i="70" s="1"/>
  <c r="O111" i="70" a="1"/>
  <c r="O111" i="70" s="1"/>
  <c r="N111" i="70" a="1"/>
  <c r="N111" i="70" s="1"/>
  <c r="M111" i="70" a="1"/>
  <c r="M111" i="70" s="1"/>
  <c r="L111" i="70" a="1"/>
  <c r="L111" i="70" s="1"/>
  <c r="K111" i="70"/>
  <c r="J111" i="70" a="1"/>
  <c r="J111" i="70" s="1"/>
  <c r="I111" i="70"/>
  <c r="P110" i="70"/>
  <c r="Q110" i="70" s="1"/>
  <c r="O110" i="70" a="1"/>
  <c r="O110" i="70" s="1"/>
  <c r="N110" i="70" a="1"/>
  <c r="N110" i="70" s="1"/>
  <c r="M110" i="70" a="1"/>
  <c r="M110" i="70" s="1"/>
  <c r="L110" i="70" a="1"/>
  <c r="L110" i="70" s="1"/>
  <c r="K110" i="70"/>
  <c r="J110" i="70" a="1"/>
  <c r="J110" i="70" s="1"/>
  <c r="I110" i="70"/>
  <c r="P109" i="70"/>
  <c r="O109" i="70" a="1"/>
  <c r="O109" i="70" s="1"/>
  <c r="N109" i="70" a="1"/>
  <c r="N109" i="70" s="1"/>
  <c r="M109" i="70" a="1"/>
  <c r="M109" i="70" s="1"/>
  <c r="L109" i="70" a="1"/>
  <c r="L109" i="70" s="1"/>
  <c r="K109" i="70"/>
  <c r="J109" i="70" a="1"/>
  <c r="J109" i="70" s="1"/>
  <c r="I109" i="70"/>
  <c r="P108" i="70"/>
  <c r="O108" i="70" a="1"/>
  <c r="O108" i="70" s="1"/>
  <c r="N108" i="70" a="1"/>
  <c r="N108" i="70" s="1"/>
  <c r="M108" i="70" a="1"/>
  <c r="M108" i="70" s="1"/>
  <c r="L108" i="70" a="1"/>
  <c r="L108" i="70" s="1"/>
  <c r="K108" i="70"/>
  <c r="J108" i="70" a="1"/>
  <c r="J108" i="70" s="1"/>
  <c r="I108" i="70"/>
  <c r="P107" i="70"/>
  <c r="O107" i="70" a="1"/>
  <c r="O107" i="70" s="1"/>
  <c r="N107" i="70" a="1"/>
  <c r="N107" i="70" s="1"/>
  <c r="M107" i="70" a="1"/>
  <c r="M107" i="70" s="1"/>
  <c r="L107" i="70" a="1"/>
  <c r="L107" i="70" s="1"/>
  <c r="K107" i="70"/>
  <c r="J107" i="70" a="1"/>
  <c r="J107" i="70" s="1"/>
  <c r="I107" i="70"/>
  <c r="P106" i="70"/>
  <c r="O106" i="70" a="1"/>
  <c r="O106" i="70" s="1"/>
  <c r="N106" i="70" a="1"/>
  <c r="N106" i="70" s="1"/>
  <c r="M106" i="70" a="1"/>
  <c r="M106" i="70" s="1"/>
  <c r="L106" i="70" a="1"/>
  <c r="L106" i="70" s="1"/>
  <c r="K106" i="70"/>
  <c r="J106" i="70" a="1"/>
  <c r="J106" i="70" s="1"/>
  <c r="Q106" i="70" s="1"/>
  <c r="I106" i="70"/>
  <c r="P105" i="70"/>
  <c r="O105" i="70" a="1"/>
  <c r="O105" i="70" s="1"/>
  <c r="N105" i="70" a="1"/>
  <c r="N105" i="70" s="1"/>
  <c r="M105" i="70" a="1"/>
  <c r="M105" i="70" s="1"/>
  <c r="L105" i="70" a="1"/>
  <c r="L105" i="70" s="1"/>
  <c r="K105" i="70"/>
  <c r="J105" i="70" a="1"/>
  <c r="J105" i="70" s="1"/>
  <c r="I105" i="70"/>
  <c r="P104" i="70"/>
  <c r="O104" i="70" a="1"/>
  <c r="O104" i="70" s="1"/>
  <c r="N104" i="70" a="1"/>
  <c r="N104" i="70" s="1"/>
  <c r="M104" i="70" a="1"/>
  <c r="M104" i="70" s="1"/>
  <c r="L104" i="70" a="1"/>
  <c r="L104" i="70" s="1"/>
  <c r="K104" i="70"/>
  <c r="J104" i="70" a="1"/>
  <c r="J104" i="70" s="1"/>
  <c r="I104" i="70"/>
  <c r="P103" i="70"/>
  <c r="O103" i="70" a="1"/>
  <c r="O103" i="70" s="1"/>
  <c r="N103" i="70" a="1"/>
  <c r="N103" i="70" s="1"/>
  <c r="M103" i="70" a="1"/>
  <c r="M103" i="70" s="1"/>
  <c r="L103" i="70" a="1"/>
  <c r="L103" i="70" s="1"/>
  <c r="K103" i="70"/>
  <c r="J103" i="70" a="1"/>
  <c r="J103" i="70" s="1"/>
  <c r="I103" i="70"/>
  <c r="P102" i="70"/>
  <c r="O102" i="70" a="1"/>
  <c r="O102" i="70" s="1"/>
  <c r="N102" i="70" a="1"/>
  <c r="N102" i="70" s="1"/>
  <c r="M102" i="70" a="1"/>
  <c r="M102" i="70" s="1"/>
  <c r="L102" i="70" a="1"/>
  <c r="L102" i="70" s="1"/>
  <c r="K102" i="70"/>
  <c r="J102" i="70" a="1"/>
  <c r="J102" i="70" s="1"/>
  <c r="I102" i="70"/>
  <c r="P101" i="70"/>
  <c r="O101" i="70" a="1"/>
  <c r="O101" i="70" s="1"/>
  <c r="N101" i="70" a="1"/>
  <c r="N101" i="70" s="1"/>
  <c r="M101" i="70" a="1"/>
  <c r="M101" i="70" s="1"/>
  <c r="L101" i="70" a="1"/>
  <c r="L101" i="70" s="1"/>
  <c r="K101" i="70"/>
  <c r="J101" i="70" a="1"/>
  <c r="J101" i="70" s="1"/>
  <c r="I101" i="70"/>
  <c r="P100" i="70"/>
  <c r="O100" i="70" a="1"/>
  <c r="O100" i="70" s="1"/>
  <c r="N100" i="70" a="1"/>
  <c r="N100" i="70" s="1"/>
  <c r="M100" i="70" a="1"/>
  <c r="M100" i="70" s="1"/>
  <c r="L100" i="70" a="1"/>
  <c r="L100" i="70" s="1"/>
  <c r="K100" i="70"/>
  <c r="J100" i="70" a="1"/>
  <c r="J100" i="70" s="1"/>
  <c r="I100" i="70"/>
  <c r="P99" i="70"/>
  <c r="Q99" i="70" s="1"/>
  <c r="O99" i="70" a="1"/>
  <c r="O99" i="70" s="1"/>
  <c r="N99" i="70" a="1"/>
  <c r="N99" i="70" s="1"/>
  <c r="M99" i="70" a="1"/>
  <c r="M99" i="70" s="1"/>
  <c r="L99" i="70" a="1"/>
  <c r="L99" i="70" s="1"/>
  <c r="K99" i="70"/>
  <c r="J99" i="70" a="1"/>
  <c r="J99" i="70" s="1"/>
  <c r="I99" i="70"/>
  <c r="P98" i="70"/>
  <c r="O98" i="70" a="1"/>
  <c r="O98" i="70" s="1"/>
  <c r="N98" i="70" a="1"/>
  <c r="N98" i="70" s="1"/>
  <c r="M98" i="70" a="1"/>
  <c r="M98" i="70" s="1"/>
  <c r="L98" i="70" a="1"/>
  <c r="L98" i="70" s="1"/>
  <c r="K98" i="70"/>
  <c r="J98" i="70" a="1"/>
  <c r="J98" i="70" s="1"/>
  <c r="I98" i="70"/>
  <c r="P97" i="70"/>
  <c r="O97" i="70" a="1"/>
  <c r="O97" i="70" s="1"/>
  <c r="N97" i="70" a="1"/>
  <c r="N97" i="70" s="1"/>
  <c r="M97" i="70" a="1"/>
  <c r="M97" i="70" s="1"/>
  <c r="L97" i="70" a="1"/>
  <c r="L97" i="70" s="1"/>
  <c r="K97" i="70"/>
  <c r="J97" i="70" a="1"/>
  <c r="J97" i="70" s="1"/>
  <c r="I97" i="70"/>
  <c r="P96" i="70"/>
  <c r="O96" i="70" a="1"/>
  <c r="O96" i="70" s="1"/>
  <c r="N96" i="70" a="1"/>
  <c r="N96" i="70" s="1"/>
  <c r="M96" i="70" a="1"/>
  <c r="M96" i="70" s="1"/>
  <c r="L96" i="70" a="1"/>
  <c r="L96" i="70" s="1"/>
  <c r="K96" i="70"/>
  <c r="J96" i="70" a="1"/>
  <c r="J96" i="70" s="1"/>
  <c r="I96" i="70"/>
  <c r="P95" i="70"/>
  <c r="O95" i="70" a="1"/>
  <c r="O95" i="70" s="1"/>
  <c r="N95" i="70" a="1"/>
  <c r="N95" i="70" s="1"/>
  <c r="M95" i="70" a="1"/>
  <c r="M95" i="70" s="1"/>
  <c r="L95" i="70" a="1"/>
  <c r="L95" i="70" s="1"/>
  <c r="K95" i="70"/>
  <c r="J95" i="70" a="1"/>
  <c r="J95" i="70" s="1"/>
  <c r="I95" i="70"/>
  <c r="P94" i="70"/>
  <c r="O94" i="70" a="1"/>
  <c r="O94" i="70" s="1"/>
  <c r="N94" i="70" a="1"/>
  <c r="N94" i="70" s="1"/>
  <c r="M94" i="70" a="1"/>
  <c r="M94" i="70" s="1"/>
  <c r="L94" i="70" a="1"/>
  <c r="L94" i="70" s="1"/>
  <c r="K94" i="70"/>
  <c r="J94" i="70" a="1"/>
  <c r="J94" i="70" s="1"/>
  <c r="Q94" i="70" s="1"/>
  <c r="I94" i="70"/>
  <c r="P93" i="70"/>
  <c r="O93" i="70" a="1"/>
  <c r="O93" i="70" s="1"/>
  <c r="N93" i="70" a="1"/>
  <c r="N93" i="70" s="1"/>
  <c r="M93" i="70" a="1"/>
  <c r="M93" i="70" s="1"/>
  <c r="L93" i="70" a="1"/>
  <c r="L93" i="70" s="1"/>
  <c r="K93" i="70"/>
  <c r="J93" i="70" a="1"/>
  <c r="J93" i="70" s="1"/>
  <c r="I93" i="70"/>
  <c r="P92" i="70"/>
  <c r="O92" i="70" a="1"/>
  <c r="O92" i="70" s="1"/>
  <c r="N92" i="70" a="1"/>
  <c r="N92" i="70" s="1"/>
  <c r="M92" i="70" a="1"/>
  <c r="M92" i="70" s="1"/>
  <c r="L92" i="70" a="1"/>
  <c r="L92" i="70" s="1"/>
  <c r="K92" i="70"/>
  <c r="J92" i="70" a="1"/>
  <c r="J92" i="70" s="1"/>
  <c r="I92" i="70"/>
  <c r="P91" i="70"/>
  <c r="O91" i="70" a="1"/>
  <c r="O91" i="70" s="1"/>
  <c r="N91" i="70" a="1"/>
  <c r="N91" i="70" s="1"/>
  <c r="M91" i="70" a="1"/>
  <c r="M91" i="70" s="1"/>
  <c r="L91" i="70" a="1"/>
  <c r="L91" i="70" s="1"/>
  <c r="K91" i="70"/>
  <c r="J91" i="70" a="1"/>
  <c r="J91" i="70" s="1"/>
  <c r="I91" i="70"/>
  <c r="P90" i="70"/>
  <c r="O90" i="70" a="1"/>
  <c r="O90" i="70" s="1"/>
  <c r="N90" i="70" a="1"/>
  <c r="N90" i="70" s="1"/>
  <c r="M90" i="70" a="1"/>
  <c r="M90" i="70" s="1"/>
  <c r="L90" i="70" a="1"/>
  <c r="L90" i="70" s="1"/>
  <c r="K90" i="70"/>
  <c r="J90" i="70" a="1"/>
  <c r="J90" i="70" s="1"/>
  <c r="I90" i="70"/>
  <c r="P89" i="70"/>
  <c r="O89" i="70" a="1"/>
  <c r="O89" i="70" s="1"/>
  <c r="N89" i="70" a="1"/>
  <c r="N89" i="70" s="1"/>
  <c r="M89" i="70" a="1"/>
  <c r="M89" i="70" s="1"/>
  <c r="L89" i="70" a="1"/>
  <c r="L89" i="70" s="1"/>
  <c r="K89" i="70"/>
  <c r="J89" i="70" a="1"/>
  <c r="J89" i="70" s="1"/>
  <c r="I89" i="70"/>
  <c r="P88" i="70"/>
  <c r="O88" i="70" a="1"/>
  <c r="O88" i="70" s="1"/>
  <c r="N88" i="70" a="1"/>
  <c r="N88" i="70" s="1"/>
  <c r="M88" i="70" a="1"/>
  <c r="M88" i="70" s="1"/>
  <c r="L88" i="70" a="1"/>
  <c r="L88" i="70" s="1"/>
  <c r="K88" i="70"/>
  <c r="J88" i="70" a="1"/>
  <c r="J88" i="70" s="1"/>
  <c r="I88" i="70"/>
  <c r="P87" i="70"/>
  <c r="O87" i="70" a="1"/>
  <c r="O87" i="70" s="1"/>
  <c r="N87" i="70" a="1"/>
  <c r="N87" i="70" s="1"/>
  <c r="M87" i="70" a="1"/>
  <c r="M87" i="70" s="1"/>
  <c r="L87" i="70" a="1"/>
  <c r="L87" i="70" s="1"/>
  <c r="K87" i="70"/>
  <c r="J87" i="70" a="1"/>
  <c r="J87" i="70" s="1"/>
  <c r="I87" i="70"/>
  <c r="P86" i="70"/>
  <c r="O86" i="70" a="1"/>
  <c r="O86" i="70" s="1"/>
  <c r="N86" i="70" a="1"/>
  <c r="N86" i="70" s="1"/>
  <c r="M86" i="70" a="1"/>
  <c r="M86" i="70" s="1"/>
  <c r="L86" i="70" a="1"/>
  <c r="L86" i="70" s="1"/>
  <c r="K86" i="70"/>
  <c r="J86" i="70" a="1"/>
  <c r="J86" i="70" s="1"/>
  <c r="I86" i="70"/>
  <c r="P85" i="70"/>
  <c r="O85" i="70" a="1"/>
  <c r="O85" i="70" s="1"/>
  <c r="N85" i="70" a="1"/>
  <c r="N85" i="70" s="1"/>
  <c r="M85" i="70" a="1"/>
  <c r="M85" i="70" s="1"/>
  <c r="L85" i="70" a="1"/>
  <c r="L85" i="70" s="1"/>
  <c r="K85" i="70"/>
  <c r="J85" i="70" a="1"/>
  <c r="J85" i="70" s="1"/>
  <c r="I85" i="70"/>
  <c r="P84" i="70"/>
  <c r="O84" i="70" a="1"/>
  <c r="O84" i="70" s="1"/>
  <c r="N84" i="70" a="1"/>
  <c r="N84" i="70" s="1"/>
  <c r="M84" i="70" a="1"/>
  <c r="M84" i="70" s="1"/>
  <c r="L84" i="70" a="1"/>
  <c r="L84" i="70" s="1"/>
  <c r="K84" i="70"/>
  <c r="J84" i="70" a="1"/>
  <c r="J84" i="70" s="1"/>
  <c r="I84" i="70"/>
  <c r="P83" i="70"/>
  <c r="O83" i="70" a="1"/>
  <c r="O83" i="70" s="1"/>
  <c r="N83" i="70" a="1"/>
  <c r="N83" i="70" s="1"/>
  <c r="M83" i="70" a="1"/>
  <c r="M83" i="70" s="1"/>
  <c r="L83" i="70" a="1"/>
  <c r="L83" i="70" s="1"/>
  <c r="K83" i="70"/>
  <c r="J83" i="70" a="1"/>
  <c r="J83" i="70" s="1"/>
  <c r="I83" i="70"/>
  <c r="P82" i="70"/>
  <c r="O82" i="70" a="1"/>
  <c r="O82" i="70" s="1"/>
  <c r="N82" i="70" a="1"/>
  <c r="N82" i="70" s="1"/>
  <c r="M82" i="70" a="1"/>
  <c r="M82" i="70" s="1"/>
  <c r="L82" i="70" a="1"/>
  <c r="L82" i="70" s="1"/>
  <c r="K82" i="70"/>
  <c r="J82" i="70" a="1"/>
  <c r="J82" i="70" s="1"/>
  <c r="I82" i="70"/>
  <c r="P81" i="70"/>
  <c r="O81" i="70" a="1"/>
  <c r="O81" i="70" s="1"/>
  <c r="N81" i="70" a="1"/>
  <c r="N81" i="70" s="1"/>
  <c r="M81" i="70" a="1"/>
  <c r="M81" i="70" s="1"/>
  <c r="L81" i="70" a="1"/>
  <c r="L81" i="70" s="1"/>
  <c r="K81" i="70"/>
  <c r="J81" i="70" a="1"/>
  <c r="J81" i="70" s="1"/>
  <c r="I81" i="70"/>
  <c r="P80" i="70"/>
  <c r="O80" i="70" a="1"/>
  <c r="O80" i="70" s="1"/>
  <c r="N80" i="70" a="1"/>
  <c r="N80" i="70" s="1"/>
  <c r="M80" i="70" a="1"/>
  <c r="M80" i="70" s="1"/>
  <c r="L80" i="70" a="1"/>
  <c r="L80" i="70" s="1"/>
  <c r="K80" i="70"/>
  <c r="J80" i="70" a="1"/>
  <c r="J80" i="70" s="1"/>
  <c r="I80" i="70"/>
  <c r="P79" i="70"/>
  <c r="O79" i="70" a="1"/>
  <c r="O79" i="70" s="1"/>
  <c r="N79" i="70" a="1"/>
  <c r="N79" i="70" s="1"/>
  <c r="M79" i="70" a="1"/>
  <c r="M79" i="70" s="1"/>
  <c r="L79" i="70" a="1"/>
  <c r="L79" i="70" s="1"/>
  <c r="K79" i="70"/>
  <c r="J79" i="70" a="1"/>
  <c r="J79" i="70" s="1"/>
  <c r="I79" i="70"/>
  <c r="P78" i="70"/>
  <c r="O78" i="70" a="1"/>
  <c r="O78" i="70" s="1"/>
  <c r="N78" i="70" a="1"/>
  <c r="N78" i="70" s="1"/>
  <c r="M78" i="70" a="1"/>
  <c r="M78" i="70" s="1"/>
  <c r="L78" i="70" a="1"/>
  <c r="L78" i="70" s="1"/>
  <c r="K78" i="70"/>
  <c r="J78" i="70" a="1"/>
  <c r="J78" i="70" s="1"/>
  <c r="I78" i="70"/>
  <c r="P75" i="70"/>
  <c r="O75" i="70" a="1"/>
  <c r="O75" i="70" s="1"/>
  <c r="N75" i="70" a="1"/>
  <c r="N75" i="70" s="1"/>
  <c r="M75" i="70" a="1"/>
  <c r="M75" i="70" s="1"/>
  <c r="L75" i="70" a="1"/>
  <c r="L75" i="70" s="1"/>
  <c r="K75" i="70"/>
  <c r="J75" i="70" a="1"/>
  <c r="J75" i="70" s="1"/>
  <c r="I75" i="70"/>
  <c r="P74" i="70"/>
  <c r="O74" i="70" a="1"/>
  <c r="O74" i="70" s="1"/>
  <c r="N74" i="70" a="1"/>
  <c r="N74" i="70" s="1"/>
  <c r="M74" i="70" a="1"/>
  <c r="M74" i="70" s="1"/>
  <c r="L74" i="70" a="1"/>
  <c r="L74" i="70" s="1"/>
  <c r="K74" i="70"/>
  <c r="J74" i="70" a="1"/>
  <c r="J74" i="70" s="1"/>
  <c r="I74" i="70"/>
  <c r="P73" i="70" a="1"/>
  <c r="P73" i="70" s="1"/>
  <c r="O73" i="70" a="1"/>
  <c r="O73" i="70" s="1"/>
  <c r="N73" i="70" a="1"/>
  <c r="N73" i="70" s="1"/>
  <c r="M73" i="70" a="1"/>
  <c r="M73" i="70" s="1"/>
  <c r="L73" i="70" a="1"/>
  <c r="L73" i="70" s="1"/>
  <c r="K73" i="70"/>
  <c r="J73" i="70" a="1"/>
  <c r="J73" i="70" s="1"/>
  <c r="I73" i="70" a="1"/>
  <c r="I73" i="70" s="1"/>
  <c r="P72" i="70" a="1"/>
  <c r="P72" i="70" s="1"/>
  <c r="O72" i="70" a="1"/>
  <c r="O72" i="70" s="1"/>
  <c r="N72" i="70" a="1"/>
  <c r="N72" i="70" s="1"/>
  <c r="M72" i="70" a="1"/>
  <c r="M72" i="70" s="1"/>
  <c r="L72" i="70" a="1"/>
  <c r="L72" i="70" s="1"/>
  <c r="K72" i="70"/>
  <c r="J72" i="70" a="1"/>
  <c r="J72" i="70" s="1"/>
  <c r="I72" i="70" a="1"/>
  <c r="I72" i="70" s="1"/>
  <c r="P71" i="70"/>
  <c r="O71" i="70" a="1"/>
  <c r="O71" i="70" s="1"/>
  <c r="N71" i="70" a="1"/>
  <c r="N71" i="70" s="1"/>
  <c r="M71" i="70" a="1"/>
  <c r="M71" i="70" s="1"/>
  <c r="L71" i="70" a="1"/>
  <c r="L71" i="70" s="1"/>
  <c r="K71" i="70"/>
  <c r="J71" i="70" a="1"/>
  <c r="J71" i="70" s="1"/>
  <c r="I71" i="70"/>
  <c r="P70" i="70"/>
  <c r="O70" i="70" a="1"/>
  <c r="O70" i="70" s="1"/>
  <c r="N70" i="70" a="1"/>
  <c r="N70" i="70" s="1"/>
  <c r="M70" i="70" a="1"/>
  <c r="M70" i="70" s="1"/>
  <c r="L70" i="70" a="1"/>
  <c r="L70" i="70" s="1"/>
  <c r="K70" i="70"/>
  <c r="J70" i="70" a="1"/>
  <c r="J70" i="70" s="1"/>
  <c r="I70" i="70"/>
  <c r="P69" i="70"/>
  <c r="O69" i="70" a="1"/>
  <c r="O69" i="70" s="1"/>
  <c r="N69" i="70" a="1"/>
  <c r="N69" i="70" s="1"/>
  <c r="M69" i="70" a="1"/>
  <c r="M69" i="70" s="1"/>
  <c r="L69" i="70" a="1"/>
  <c r="L69" i="70" s="1"/>
  <c r="K69" i="70"/>
  <c r="J69" i="70" a="1"/>
  <c r="J69" i="70" s="1"/>
  <c r="I69" i="70"/>
  <c r="P68" i="70"/>
  <c r="O68" i="70" a="1"/>
  <c r="O68" i="70" s="1"/>
  <c r="N68" i="70" a="1"/>
  <c r="N68" i="70" s="1"/>
  <c r="M68" i="70" a="1"/>
  <c r="M68" i="70" s="1"/>
  <c r="L68" i="70" a="1"/>
  <c r="L68" i="70" s="1"/>
  <c r="K68" i="70"/>
  <c r="J68" i="70" a="1"/>
  <c r="J68" i="70" s="1"/>
  <c r="Q68" i="70" s="1"/>
  <c r="I68" i="70"/>
  <c r="P67" i="70"/>
  <c r="O67" i="70" a="1"/>
  <c r="O67" i="70" s="1"/>
  <c r="N67" i="70" a="1"/>
  <c r="N67" i="70" s="1"/>
  <c r="M67" i="70" a="1"/>
  <c r="M67" i="70" s="1"/>
  <c r="L67" i="70" a="1"/>
  <c r="L67" i="70" s="1"/>
  <c r="K67" i="70"/>
  <c r="J67" i="70" a="1"/>
  <c r="J67" i="70" s="1"/>
  <c r="I67" i="70"/>
  <c r="P66" i="70"/>
  <c r="O66" i="70" a="1"/>
  <c r="O66" i="70" s="1"/>
  <c r="N66" i="70" a="1"/>
  <c r="N66" i="70" s="1"/>
  <c r="M66" i="70" a="1"/>
  <c r="M66" i="70" s="1"/>
  <c r="L66" i="70" a="1"/>
  <c r="L66" i="70" s="1"/>
  <c r="K66" i="70"/>
  <c r="J66" i="70" a="1"/>
  <c r="J66" i="70" s="1"/>
  <c r="I66" i="70"/>
  <c r="P65" i="70"/>
  <c r="O65" i="70" a="1"/>
  <c r="O65" i="70" s="1"/>
  <c r="N65" i="70" a="1"/>
  <c r="N65" i="70" s="1"/>
  <c r="M65" i="70" a="1"/>
  <c r="M65" i="70" s="1"/>
  <c r="L65" i="70" a="1"/>
  <c r="L65" i="70" s="1"/>
  <c r="K65" i="70"/>
  <c r="J65" i="70" a="1"/>
  <c r="J65" i="70" s="1"/>
  <c r="I65" i="70"/>
  <c r="P64" i="70"/>
  <c r="O64" i="70" a="1"/>
  <c r="O64" i="70" s="1"/>
  <c r="N64" i="70" a="1"/>
  <c r="N64" i="70" s="1"/>
  <c r="M64" i="70" a="1"/>
  <c r="M64" i="70" s="1"/>
  <c r="L64" i="70" a="1"/>
  <c r="L64" i="70" s="1"/>
  <c r="K64" i="70"/>
  <c r="J64" i="70" a="1"/>
  <c r="J64" i="70" s="1"/>
  <c r="I64" i="70"/>
  <c r="P62" i="70"/>
  <c r="O62" i="70" a="1"/>
  <c r="O62" i="70" s="1"/>
  <c r="N62" i="70" a="1"/>
  <c r="N62" i="70" s="1"/>
  <c r="M62" i="70" a="1"/>
  <c r="M62" i="70" s="1"/>
  <c r="L62" i="70" a="1"/>
  <c r="L62" i="70" s="1"/>
  <c r="K62" i="70"/>
  <c r="J62" i="70" a="1"/>
  <c r="J62" i="70" s="1"/>
  <c r="I62" i="70"/>
  <c r="P61" i="70"/>
  <c r="O61" i="70" a="1"/>
  <c r="O61" i="70" s="1"/>
  <c r="N61" i="70" a="1"/>
  <c r="N61" i="70" s="1"/>
  <c r="M61" i="70" a="1"/>
  <c r="M61" i="70" s="1"/>
  <c r="L61" i="70" a="1"/>
  <c r="L61" i="70" s="1"/>
  <c r="K61" i="70"/>
  <c r="J61" i="70" a="1"/>
  <c r="J61" i="70" s="1"/>
  <c r="I61" i="70"/>
  <c r="P60" i="70"/>
  <c r="O60" i="70" a="1"/>
  <c r="O60" i="70" s="1"/>
  <c r="N60" i="70" a="1"/>
  <c r="N60" i="70" s="1"/>
  <c r="M60" i="70" a="1"/>
  <c r="M60" i="70" s="1"/>
  <c r="L60" i="70" a="1"/>
  <c r="L60" i="70" s="1"/>
  <c r="K60" i="70"/>
  <c r="J60" i="70" a="1"/>
  <c r="J60" i="70" s="1"/>
  <c r="I60" i="70"/>
  <c r="P59" i="70"/>
  <c r="O59" i="70" a="1"/>
  <c r="O59" i="70" s="1"/>
  <c r="N59" i="70" a="1"/>
  <c r="N59" i="70" s="1"/>
  <c r="M59" i="70" a="1"/>
  <c r="M59" i="70" s="1"/>
  <c r="L59" i="70" a="1"/>
  <c r="L59" i="70" s="1"/>
  <c r="K59" i="70"/>
  <c r="J59" i="70" a="1"/>
  <c r="J59" i="70" s="1"/>
  <c r="I59" i="70"/>
  <c r="P58" i="70"/>
  <c r="O58" i="70" a="1"/>
  <c r="O58" i="70" s="1"/>
  <c r="N58" i="70" a="1"/>
  <c r="N58" i="70" s="1"/>
  <c r="M58" i="70" a="1"/>
  <c r="M58" i="70" s="1"/>
  <c r="L58" i="70" a="1"/>
  <c r="L58" i="70" s="1"/>
  <c r="K58" i="70"/>
  <c r="J58" i="70" a="1"/>
  <c r="J58" i="70" s="1"/>
  <c r="I58" i="70"/>
  <c r="P57" i="70"/>
  <c r="O57" i="70" a="1"/>
  <c r="O57" i="70" s="1"/>
  <c r="N57" i="70" a="1"/>
  <c r="N57" i="70" s="1"/>
  <c r="M57" i="70" a="1"/>
  <c r="M57" i="70" s="1"/>
  <c r="L57" i="70" a="1"/>
  <c r="L57" i="70" s="1"/>
  <c r="K57" i="70"/>
  <c r="J57" i="70" a="1"/>
  <c r="J57" i="70" s="1"/>
  <c r="I57" i="70"/>
  <c r="P56" i="70"/>
  <c r="Q56" i="70" s="1"/>
  <c r="O56" i="70" a="1"/>
  <c r="O56" i="70" s="1"/>
  <c r="N56" i="70" a="1"/>
  <c r="N56" i="70" s="1"/>
  <c r="M56" i="70" a="1"/>
  <c r="M56" i="70" s="1"/>
  <c r="L56" i="70" a="1"/>
  <c r="L56" i="70" s="1"/>
  <c r="K56" i="70"/>
  <c r="J56" i="70" a="1"/>
  <c r="J56" i="70" s="1"/>
  <c r="I56" i="70"/>
  <c r="P55" i="70"/>
  <c r="O55" i="70" a="1"/>
  <c r="O55" i="70" s="1"/>
  <c r="N55" i="70" a="1"/>
  <c r="N55" i="70" s="1"/>
  <c r="M55" i="70" a="1"/>
  <c r="M55" i="70" s="1"/>
  <c r="L55" i="70" a="1"/>
  <c r="L55" i="70" s="1"/>
  <c r="K55" i="70"/>
  <c r="J55" i="70" a="1"/>
  <c r="J55" i="70" s="1"/>
  <c r="I55" i="70"/>
  <c r="P53" i="70"/>
  <c r="O53" i="70" a="1"/>
  <c r="O53" i="70" s="1"/>
  <c r="N53" i="70" a="1"/>
  <c r="N53" i="70" s="1"/>
  <c r="M53" i="70" a="1"/>
  <c r="M53" i="70" s="1"/>
  <c r="L53" i="70" a="1"/>
  <c r="L53" i="70" s="1"/>
  <c r="K53" i="70"/>
  <c r="J53" i="70" a="1"/>
  <c r="J53" i="70" s="1"/>
  <c r="I53" i="70"/>
  <c r="P52" i="70"/>
  <c r="O52" i="70" a="1"/>
  <c r="O52" i="70" s="1"/>
  <c r="N52" i="70" a="1"/>
  <c r="N52" i="70" s="1"/>
  <c r="M52" i="70" a="1"/>
  <c r="M52" i="70" s="1"/>
  <c r="L52" i="70" a="1"/>
  <c r="L52" i="70" s="1"/>
  <c r="K52" i="70"/>
  <c r="J52" i="70" a="1"/>
  <c r="J52" i="70" s="1"/>
  <c r="I52" i="70"/>
  <c r="P51" i="70"/>
  <c r="O51" i="70" a="1"/>
  <c r="O51" i="70" s="1"/>
  <c r="N51" i="70" a="1"/>
  <c r="N51" i="70" s="1"/>
  <c r="M51" i="70" a="1"/>
  <c r="M51" i="70" s="1"/>
  <c r="L51" i="70" a="1"/>
  <c r="L51" i="70" s="1"/>
  <c r="K51" i="70"/>
  <c r="J51" i="70" a="1"/>
  <c r="J51" i="70" s="1"/>
  <c r="I51" i="70"/>
  <c r="P50" i="70"/>
  <c r="O50" i="70" a="1"/>
  <c r="O50" i="70" s="1"/>
  <c r="N50" i="70" a="1"/>
  <c r="N50" i="70" s="1"/>
  <c r="M50" i="70" a="1"/>
  <c r="M50" i="70" s="1"/>
  <c r="L50" i="70" a="1"/>
  <c r="L50" i="70" s="1"/>
  <c r="K50" i="70"/>
  <c r="J50" i="70" a="1"/>
  <c r="J50" i="70" s="1"/>
  <c r="I50" i="70"/>
  <c r="P48" i="70"/>
  <c r="Q48" i="70" s="1"/>
  <c r="O48" i="70" a="1"/>
  <c r="O48" i="70" s="1"/>
  <c r="N48" i="70" a="1"/>
  <c r="N48" i="70" s="1"/>
  <c r="M48" i="70" a="1"/>
  <c r="M48" i="70" s="1"/>
  <c r="L48" i="70" a="1"/>
  <c r="L48" i="70" s="1"/>
  <c r="K48" i="70"/>
  <c r="J48" i="70" a="1"/>
  <c r="J48" i="70" s="1"/>
  <c r="I48" i="70"/>
  <c r="P47" i="70"/>
  <c r="O47" i="70" a="1"/>
  <c r="O47" i="70" s="1"/>
  <c r="N47" i="70" a="1"/>
  <c r="N47" i="70" s="1"/>
  <c r="M47" i="70" a="1"/>
  <c r="M47" i="70" s="1"/>
  <c r="L47" i="70" a="1"/>
  <c r="L47" i="70" s="1"/>
  <c r="K47" i="70"/>
  <c r="J47" i="70" a="1"/>
  <c r="J47" i="70" s="1"/>
  <c r="I47" i="70"/>
  <c r="P46" i="70"/>
  <c r="O46" i="70" a="1"/>
  <c r="O46" i="70" s="1"/>
  <c r="N46" i="70" a="1"/>
  <c r="N46" i="70" s="1"/>
  <c r="M46" i="70" a="1"/>
  <c r="M46" i="70" s="1"/>
  <c r="L46" i="70" a="1"/>
  <c r="L46" i="70" s="1"/>
  <c r="K46" i="70"/>
  <c r="J46" i="70" a="1"/>
  <c r="J46" i="70" s="1"/>
  <c r="I46" i="70"/>
  <c r="P45" i="70"/>
  <c r="O45" i="70" a="1"/>
  <c r="O45" i="70" s="1"/>
  <c r="N45" i="70" a="1"/>
  <c r="N45" i="70" s="1"/>
  <c r="M45" i="70" a="1"/>
  <c r="M45" i="70" s="1"/>
  <c r="L45" i="70" a="1"/>
  <c r="L45" i="70" s="1"/>
  <c r="K45" i="70"/>
  <c r="J45" i="70" a="1"/>
  <c r="J45" i="70" s="1"/>
  <c r="I45" i="70"/>
  <c r="P44" i="70"/>
  <c r="O44" i="70" a="1"/>
  <c r="O44" i="70" s="1"/>
  <c r="N44" i="70" a="1"/>
  <c r="N44" i="70" s="1"/>
  <c r="M44" i="70" a="1"/>
  <c r="M44" i="70" s="1"/>
  <c r="L44" i="70" a="1"/>
  <c r="L44" i="70" s="1"/>
  <c r="K44" i="70"/>
  <c r="J44" i="70" a="1"/>
  <c r="J44" i="70" s="1"/>
  <c r="I44" i="70"/>
  <c r="P43" i="70"/>
  <c r="O43" i="70" a="1"/>
  <c r="O43" i="70" s="1"/>
  <c r="N43" i="70" a="1"/>
  <c r="N43" i="70" s="1"/>
  <c r="M43" i="70" a="1"/>
  <c r="M43" i="70" s="1"/>
  <c r="L43" i="70" a="1"/>
  <c r="L43" i="70" s="1"/>
  <c r="K43" i="70"/>
  <c r="J43" i="70" a="1"/>
  <c r="J43" i="70" s="1"/>
  <c r="I43" i="70"/>
  <c r="P42" i="70"/>
  <c r="O42" i="70" a="1"/>
  <c r="O42" i="70" s="1"/>
  <c r="N42" i="70" a="1"/>
  <c r="N42" i="70" s="1"/>
  <c r="M42" i="70" a="1"/>
  <c r="M42" i="70" s="1"/>
  <c r="L42" i="70" a="1"/>
  <c r="L42" i="70" s="1"/>
  <c r="K42" i="70"/>
  <c r="J42" i="70" a="1"/>
  <c r="J42" i="70" s="1"/>
  <c r="Q42" i="70" s="1"/>
  <c r="I42" i="70"/>
  <c r="P41" i="70"/>
  <c r="O41" i="70" a="1"/>
  <c r="O41" i="70" s="1"/>
  <c r="N41" i="70" a="1"/>
  <c r="N41" i="70" s="1"/>
  <c r="M41" i="70" a="1"/>
  <c r="M41" i="70" s="1"/>
  <c r="L41" i="70" a="1"/>
  <c r="L41" i="70" s="1"/>
  <c r="K41" i="70"/>
  <c r="J41" i="70" a="1"/>
  <c r="J41" i="70" s="1"/>
  <c r="I41" i="70"/>
  <c r="P40" i="70"/>
  <c r="O40" i="70" a="1"/>
  <c r="O40" i="70" s="1"/>
  <c r="N40" i="70" a="1"/>
  <c r="N40" i="70" s="1"/>
  <c r="M40" i="70" a="1"/>
  <c r="M40" i="70" s="1"/>
  <c r="L40" i="70" a="1"/>
  <c r="L40" i="70" s="1"/>
  <c r="K40" i="70"/>
  <c r="J40" i="70" a="1"/>
  <c r="J40" i="70" s="1"/>
  <c r="I40" i="70"/>
  <c r="P39" i="70"/>
  <c r="O39" i="70" a="1"/>
  <c r="O39" i="70" s="1"/>
  <c r="N39" i="70" a="1"/>
  <c r="N39" i="70" s="1"/>
  <c r="M39" i="70" a="1"/>
  <c r="M39" i="70" s="1"/>
  <c r="L39" i="70" a="1"/>
  <c r="L39" i="70" s="1"/>
  <c r="K39" i="70"/>
  <c r="J39" i="70" a="1"/>
  <c r="J39" i="70" s="1"/>
  <c r="I39" i="70"/>
  <c r="P38" i="70"/>
  <c r="O38" i="70" a="1"/>
  <c r="O38" i="70" s="1"/>
  <c r="N38" i="70" a="1"/>
  <c r="N38" i="70" s="1"/>
  <c r="M38" i="70" a="1"/>
  <c r="M38" i="70" s="1"/>
  <c r="L38" i="70" a="1"/>
  <c r="L38" i="70" s="1"/>
  <c r="K38" i="70"/>
  <c r="J38" i="70" a="1"/>
  <c r="J38" i="70" s="1"/>
  <c r="I38" i="70"/>
  <c r="P37" i="70"/>
  <c r="O37" i="70" a="1"/>
  <c r="O37" i="70" s="1"/>
  <c r="N37" i="70" a="1"/>
  <c r="N37" i="70" s="1"/>
  <c r="M37" i="70" a="1"/>
  <c r="M37" i="70" s="1"/>
  <c r="L37" i="70" a="1"/>
  <c r="L37" i="70" s="1"/>
  <c r="K37" i="70"/>
  <c r="J37" i="70" a="1"/>
  <c r="J37" i="70" s="1"/>
  <c r="I37" i="70"/>
  <c r="P36" i="70"/>
  <c r="O36" i="70" a="1"/>
  <c r="O36" i="70" s="1"/>
  <c r="N36" i="70" a="1"/>
  <c r="N36" i="70" s="1"/>
  <c r="M36" i="70" a="1"/>
  <c r="M36" i="70" s="1"/>
  <c r="L36" i="70" a="1"/>
  <c r="L36" i="70" s="1"/>
  <c r="K36" i="70"/>
  <c r="J36" i="70" a="1"/>
  <c r="J36" i="70" s="1"/>
  <c r="Q36" i="70" s="1"/>
  <c r="I36" i="70"/>
  <c r="P35" i="70"/>
  <c r="O35" i="70" a="1"/>
  <c r="O35" i="70" s="1"/>
  <c r="N35" i="70" a="1"/>
  <c r="N35" i="70" s="1"/>
  <c r="M35" i="70" a="1"/>
  <c r="M35" i="70" s="1"/>
  <c r="L35" i="70" a="1"/>
  <c r="L35" i="70" s="1"/>
  <c r="K35" i="70"/>
  <c r="J35" i="70" a="1"/>
  <c r="J35" i="70" s="1"/>
  <c r="I35" i="70"/>
  <c r="P27" i="70"/>
  <c r="O27" i="70" a="1"/>
  <c r="O27" i="70" s="1"/>
  <c r="N27" i="70" a="1"/>
  <c r="N27" i="70" s="1"/>
  <c r="M27" i="70" a="1"/>
  <c r="M27" i="70" s="1"/>
  <c r="L27" i="70" a="1"/>
  <c r="L27" i="70" s="1"/>
  <c r="K27" i="70"/>
  <c r="J27" i="70" a="1"/>
  <c r="J27" i="70" s="1"/>
  <c r="Q27" i="70" s="1"/>
  <c r="I27" i="70"/>
  <c r="P26" i="70"/>
  <c r="O26" i="70" a="1"/>
  <c r="O26" i="70" s="1"/>
  <c r="N26" i="70" a="1"/>
  <c r="N26" i="70" s="1"/>
  <c r="M26" i="70" a="1"/>
  <c r="M26" i="70" s="1"/>
  <c r="L26" i="70" a="1"/>
  <c r="L26" i="70" s="1"/>
  <c r="K26" i="70"/>
  <c r="J26" i="70" a="1"/>
  <c r="J26" i="70" s="1"/>
  <c r="I26" i="70"/>
  <c r="P25" i="70"/>
  <c r="O25" i="70" a="1"/>
  <c r="O25" i="70" s="1"/>
  <c r="N25" i="70" a="1"/>
  <c r="N25" i="70" s="1"/>
  <c r="M25" i="70" a="1"/>
  <c r="M25" i="70" s="1"/>
  <c r="L25" i="70" a="1"/>
  <c r="L25" i="70" s="1"/>
  <c r="K25" i="70"/>
  <c r="J25" i="70" a="1"/>
  <c r="J25" i="70" s="1"/>
  <c r="I25" i="70"/>
  <c r="P24" i="70"/>
  <c r="O24" i="70" a="1"/>
  <c r="O24" i="70" s="1"/>
  <c r="N24" i="70" a="1"/>
  <c r="N24" i="70" s="1"/>
  <c r="M24" i="70" a="1"/>
  <c r="M24" i="70" s="1"/>
  <c r="L24" i="70" a="1"/>
  <c r="L24" i="70" s="1"/>
  <c r="K24" i="70"/>
  <c r="J24" i="70" a="1"/>
  <c r="J24" i="70" s="1"/>
  <c r="I24" i="70"/>
  <c r="P23" i="70"/>
  <c r="O23" i="70" a="1"/>
  <c r="O23" i="70" s="1"/>
  <c r="N23" i="70" a="1"/>
  <c r="N23" i="70" s="1"/>
  <c r="M23" i="70" a="1"/>
  <c r="M23" i="70" s="1"/>
  <c r="L23" i="70" a="1"/>
  <c r="L23" i="70" s="1"/>
  <c r="K23" i="70"/>
  <c r="J23" i="70" a="1"/>
  <c r="J23" i="70" s="1"/>
  <c r="I23" i="70"/>
  <c r="P22" i="70"/>
  <c r="O22" i="70" a="1"/>
  <c r="O22" i="70" s="1"/>
  <c r="N22" i="70" a="1"/>
  <c r="N22" i="70" s="1"/>
  <c r="M22" i="70" a="1"/>
  <c r="M22" i="70" s="1"/>
  <c r="L22" i="70" a="1"/>
  <c r="L22" i="70" s="1"/>
  <c r="K22" i="70"/>
  <c r="J22" i="70" a="1"/>
  <c r="J22" i="70" s="1"/>
  <c r="I22" i="70"/>
  <c r="P21" i="70"/>
  <c r="O21" i="70" a="1"/>
  <c r="O21" i="70" s="1"/>
  <c r="N21" i="70" a="1"/>
  <c r="N21" i="70" s="1"/>
  <c r="M21" i="70" a="1"/>
  <c r="M21" i="70" s="1"/>
  <c r="L21" i="70" a="1"/>
  <c r="L21" i="70" s="1"/>
  <c r="K21" i="70"/>
  <c r="J21" i="70" a="1"/>
  <c r="J21" i="70" s="1"/>
  <c r="I21" i="70"/>
  <c r="P20" i="70"/>
  <c r="O20" i="70" a="1"/>
  <c r="O20" i="70" s="1"/>
  <c r="N20" i="70" a="1"/>
  <c r="N20" i="70" s="1"/>
  <c r="M20" i="70" a="1"/>
  <c r="M20" i="70" s="1"/>
  <c r="L20" i="70" a="1"/>
  <c r="L20" i="70" s="1"/>
  <c r="K20" i="70"/>
  <c r="J20" i="70" a="1"/>
  <c r="J20" i="70" s="1"/>
  <c r="I20" i="70"/>
  <c r="P19" i="70"/>
  <c r="O19" i="70" a="1"/>
  <c r="O19" i="70" s="1"/>
  <c r="N19" i="70" a="1"/>
  <c r="N19" i="70" s="1"/>
  <c r="M19" i="70" a="1"/>
  <c r="M19" i="70" s="1"/>
  <c r="L19" i="70" a="1"/>
  <c r="L19" i="70" s="1"/>
  <c r="K19" i="70"/>
  <c r="J19" i="70" a="1"/>
  <c r="J19" i="70" s="1"/>
  <c r="I19" i="70"/>
  <c r="P18" i="70"/>
  <c r="O18" i="70" a="1"/>
  <c r="O18" i="70" s="1"/>
  <c r="N18" i="70" a="1"/>
  <c r="N18" i="70" s="1"/>
  <c r="M18" i="70" a="1"/>
  <c r="M18" i="70" s="1"/>
  <c r="L18" i="70" a="1"/>
  <c r="L18" i="70" s="1"/>
  <c r="K18" i="70"/>
  <c r="J18" i="70" a="1"/>
  <c r="J18" i="70" s="1"/>
  <c r="I18" i="70"/>
  <c r="P16" i="70"/>
  <c r="O16" i="70" a="1"/>
  <c r="O16" i="70" s="1"/>
  <c r="N16" i="70" a="1"/>
  <c r="N16" i="70" s="1"/>
  <c r="M16" i="70" a="1"/>
  <c r="M16" i="70" s="1"/>
  <c r="L16" i="70" a="1"/>
  <c r="L16" i="70" s="1"/>
  <c r="K16" i="70"/>
  <c r="J16" i="70" a="1"/>
  <c r="J16" i="70" s="1"/>
  <c r="I16" i="70"/>
  <c r="P15" i="70"/>
  <c r="O15" i="70" a="1"/>
  <c r="O15" i="70" s="1"/>
  <c r="N15" i="70" a="1"/>
  <c r="N15" i="70" s="1"/>
  <c r="M15" i="70" a="1"/>
  <c r="M15" i="70" s="1"/>
  <c r="L15" i="70" a="1"/>
  <c r="L15" i="70" s="1"/>
  <c r="K15" i="70"/>
  <c r="J15" i="70" a="1"/>
  <c r="J15" i="70" s="1"/>
  <c r="I15" i="70"/>
  <c r="P14" i="70"/>
  <c r="O14" i="70" a="1"/>
  <c r="O14" i="70" s="1"/>
  <c r="N14" i="70" a="1"/>
  <c r="N14" i="70" s="1"/>
  <c r="M14" i="70" a="1"/>
  <c r="M14" i="70" s="1"/>
  <c r="L14" i="70" a="1"/>
  <c r="L14" i="70" s="1"/>
  <c r="K14" i="70"/>
  <c r="J14" i="70" a="1"/>
  <c r="J14" i="70" s="1"/>
  <c r="I14" i="70"/>
  <c r="P13" i="70"/>
  <c r="O13" i="70" a="1"/>
  <c r="O13" i="70" s="1"/>
  <c r="N13" i="70" a="1"/>
  <c r="N13" i="70" s="1"/>
  <c r="M13" i="70" a="1"/>
  <c r="M13" i="70" s="1"/>
  <c r="L13" i="70" a="1"/>
  <c r="L13" i="70" s="1"/>
  <c r="K13" i="70"/>
  <c r="J13" i="70" a="1"/>
  <c r="J13" i="70" s="1"/>
  <c r="I13" i="70"/>
  <c r="P12" i="70"/>
  <c r="O12" i="70" a="1"/>
  <c r="O12" i="70" s="1"/>
  <c r="N12" i="70" a="1"/>
  <c r="N12" i="70" s="1"/>
  <c r="M12" i="70" a="1"/>
  <c r="M12" i="70" s="1"/>
  <c r="L12" i="70" a="1"/>
  <c r="L12" i="70" s="1"/>
  <c r="K12" i="70"/>
  <c r="J12" i="70" a="1"/>
  <c r="J12" i="70" s="1"/>
  <c r="I12" i="70"/>
  <c r="P11" i="70"/>
  <c r="O11" i="70" a="1"/>
  <c r="O11" i="70" s="1"/>
  <c r="N11" i="70" a="1"/>
  <c r="N11" i="70" s="1"/>
  <c r="M11" i="70" a="1"/>
  <c r="M11" i="70" s="1"/>
  <c r="L11" i="70" a="1"/>
  <c r="L11" i="70" s="1"/>
  <c r="K11" i="70"/>
  <c r="J11" i="70" a="1"/>
  <c r="J11" i="70" s="1"/>
  <c r="I11" i="70"/>
  <c r="P10" i="70"/>
  <c r="O10" i="70" a="1"/>
  <c r="O10" i="70" s="1"/>
  <c r="N10" i="70" a="1"/>
  <c r="N10" i="70" s="1"/>
  <c r="M10" i="70" a="1"/>
  <c r="M10" i="70" s="1"/>
  <c r="L10" i="70" a="1"/>
  <c r="L10" i="70" s="1"/>
  <c r="K10" i="70"/>
  <c r="J10" i="70" a="1"/>
  <c r="J10" i="70" s="1"/>
  <c r="I10" i="70"/>
  <c r="P9" i="70"/>
  <c r="O9" i="70" a="1"/>
  <c r="O9" i="70" s="1"/>
  <c r="N9" i="70" a="1"/>
  <c r="N9" i="70" s="1"/>
  <c r="M9" i="70" a="1"/>
  <c r="M9" i="70" s="1"/>
  <c r="L9" i="70" a="1"/>
  <c r="L9" i="70" s="1"/>
  <c r="K9" i="70"/>
  <c r="J9" i="70" a="1"/>
  <c r="J9" i="70" s="1"/>
  <c r="I9" i="70"/>
  <c r="P8" i="70"/>
  <c r="O8" i="70" a="1"/>
  <c r="O8" i="70" s="1"/>
  <c r="N8" i="70" a="1"/>
  <c r="N8" i="70" s="1"/>
  <c r="M8" i="70" a="1"/>
  <c r="M8" i="70" s="1"/>
  <c r="L8" i="70" a="1"/>
  <c r="L8" i="70" s="1"/>
  <c r="K8" i="70"/>
  <c r="J8" i="70" a="1"/>
  <c r="J8" i="70" s="1"/>
  <c r="I8" i="70"/>
  <c r="P7" i="70"/>
  <c r="O7" i="70" a="1"/>
  <c r="O7" i="70" s="1"/>
  <c r="N7" i="70" a="1"/>
  <c r="N7" i="70" s="1"/>
  <c r="M7" i="70" a="1"/>
  <c r="M7" i="70" s="1"/>
  <c r="L7" i="70" a="1"/>
  <c r="L7" i="70" s="1"/>
  <c r="K7" i="70"/>
  <c r="J7" i="70" a="1"/>
  <c r="J7" i="70" s="1"/>
  <c r="I7" i="70"/>
  <c r="P6" i="70"/>
  <c r="O6" i="70" a="1"/>
  <c r="O6" i="70" s="1"/>
  <c r="N6" i="70" a="1"/>
  <c r="N6" i="70" s="1"/>
  <c r="M6" i="70" a="1"/>
  <c r="M6" i="70" s="1"/>
  <c r="L6" i="70" a="1"/>
  <c r="L6" i="70" s="1"/>
  <c r="K6" i="70"/>
  <c r="J6" i="70" a="1"/>
  <c r="J6" i="70" s="1"/>
  <c r="I6" i="70"/>
  <c r="P5" i="70"/>
  <c r="O5" i="70" a="1"/>
  <c r="O5" i="70" s="1"/>
  <c r="N5" i="70" a="1"/>
  <c r="N5" i="70" s="1"/>
  <c r="M5" i="70" a="1"/>
  <c r="M5" i="70" s="1"/>
  <c r="L5" i="70" a="1"/>
  <c r="L5" i="70" s="1"/>
  <c r="K5" i="70"/>
  <c r="J5" i="70" a="1"/>
  <c r="J5" i="70" s="1"/>
  <c r="I5" i="70"/>
  <c r="P4" i="70"/>
  <c r="O4" i="70" a="1"/>
  <c r="O4" i="70" s="1"/>
  <c r="N4" i="70" a="1"/>
  <c r="N4" i="70" s="1"/>
  <c r="M4" i="70" a="1"/>
  <c r="M4" i="70" s="1"/>
  <c r="L4" i="70" a="1"/>
  <c r="L4" i="70" s="1"/>
  <c r="K4" i="70"/>
  <c r="J4" i="70" a="1"/>
  <c r="J4" i="70" s="1"/>
  <c r="I4" i="70"/>
  <c r="P3" i="70"/>
  <c r="O3" i="70" a="1"/>
  <c r="O3" i="70" s="1"/>
  <c r="N3" i="70" a="1"/>
  <c r="N3" i="70" s="1"/>
  <c r="M3" i="70" a="1"/>
  <c r="M3" i="70" s="1"/>
  <c r="L3" i="70" a="1"/>
  <c r="L3" i="70" s="1"/>
  <c r="K3" i="70"/>
  <c r="J3" i="70" a="1"/>
  <c r="J3" i="70" s="1"/>
  <c r="I3" i="70"/>
  <c r="Q151" i="70"/>
  <c r="P73" i="66" a="1"/>
  <c r="P73" i="66" s="1"/>
  <c r="P72" i="66" a="1"/>
  <c r="P72" i="66" s="1"/>
  <c r="O73" i="66" a="1"/>
  <c r="O73" i="66" s="1"/>
  <c r="O72" i="66" a="1"/>
  <c r="O72" i="66" s="1"/>
  <c r="N73" i="66" a="1"/>
  <c r="N73" i="66" s="1"/>
  <c r="N72" i="66" a="1"/>
  <c r="N72" i="66" s="1"/>
  <c r="M73" i="66" a="1"/>
  <c r="M73" i="66" s="1"/>
  <c r="M72" i="66" a="1"/>
  <c r="M72" i="66" s="1"/>
  <c r="L73" i="66" a="1"/>
  <c r="L73" i="66" s="1"/>
  <c r="L74" i="66" a="1"/>
  <c r="L74" i="66" s="1"/>
  <c r="L72" i="66" a="1"/>
  <c r="L72" i="66" s="1"/>
  <c r="K73" i="66"/>
  <c r="K72" i="66"/>
  <c r="J73" i="66" a="1"/>
  <c r="J73" i="66" s="1"/>
  <c r="J72" i="66" a="1"/>
  <c r="J72" i="66" s="1"/>
  <c r="I72" i="66" a="1"/>
  <c r="I72" i="66" s="1"/>
  <c r="P200" i="66"/>
  <c r="O200" i="66" a="1"/>
  <c r="O200" i="66" s="1"/>
  <c r="N200" i="66" a="1"/>
  <c r="N200" i="66" s="1"/>
  <c r="M200" i="66" a="1"/>
  <c r="M200" i="66" s="1"/>
  <c r="L200" i="66" a="1"/>
  <c r="L200" i="66" s="1"/>
  <c r="K200" i="66"/>
  <c r="P199" i="66"/>
  <c r="O199" i="66" a="1"/>
  <c r="O199" i="66" s="1"/>
  <c r="N199" i="66" a="1"/>
  <c r="N199" i="66" s="1"/>
  <c r="M199" i="66" a="1"/>
  <c r="M199" i="66" s="1"/>
  <c r="L199" i="66" a="1"/>
  <c r="L199" i="66" s="1"/>
  <c r="K199" i="66"/>
  <c r="P196" i="66"/>
  <c r="O196" i="66" a="1"/>
  <c r="O196" i="66" s="1"/>
  <c r="N196" i="66" a="1"/>
  <c r="N196" i="66" s="1"/>
  <c r="M196" i="66" a="1"/>
  <c r="M196" i="66" s="1"/>
  <c r="L196" i="66" a="1"/>
  <c r="L196" i="66" s="1"/>
  <c r="K196" i="66"/>
  <c r="P195" i="66"/>
  <c r="O195" i="66" a="1"/>
  <c r="O195" i="66" s="1"/>
  <c r="N195" i="66" a="1"/>
  <c r="N195" i="66" s="1"/>
  <c r="M195" i="66" a="1"/>
  <c r="M195" i="66" s="1"/>
  <c r="L195" i="66" a="1"/>
  <c r="L195" i="66" s="1"/>
  <c r="K195" i="66"/>
  <c r="P193" i="66"/>
  <c r="O193" i="66" a="1"/>
  <c r="O193" i="66" s="1"/>
  <c r="N193" i="66" a="1"/>
  <c r="N193" i="66" s="1"/>
  <c r="M193" i="66" a="1"/>
  <c r="M193" i="66" s="1"/>
  <c r="L193" i="66" a="1"/>
  <c r="L193" i="66" s="1"/>
  <c r="K193" i="66"/>
  <c r="P192" i="66"/>
  <c r="O192" i="66" a="1"/>
  <c r="O192" i="66" s="1"/>
  <c r="N192" i="66" a="1"/>
  <c r="N192" i="66" s="1"/>
  <c r="M192" i="66" a="1"/>
  <c r="M192" i="66" s="1"/>
  <c r="L192" i="66" a="1"/>
  <c r="L192" i="66" s="1"/>
  <c r="K192" i="66"/>
  <c r="P191" i="66"/>
  <c r="O191" i="66" a="1"/>
  <c r="O191" i="66" s="1"/>
  <c r="N191" i="66" a="1"/>
  <c r="N191" i="66" s="1"/>
  <c r="M191" i="66" a="1"/>
  <c r="M191" i="66" s="1"/>
  <c r="L191" i="66" a="1"/>
  <c r="L191" i="66" s="1"/>
  <c r="K191" i="66"/>
  <c r="P190" i="66"/>
  <c r="O190" i="66" a="1"/>
  <c r="O190" i="66" s="1"/>
  <c r="N190" i="66" a="1"/>
  <c r="N190" i="66" s="1"/>
  <c r="M190" i="66" a="1"/>
  <c r="M190" i="66" s="1"/>
  <c r="L190" i="66" a="1"/>
  <c r="L190" i="66" s="1"/>
  <c r="K190" i="66"/>
  <c r="P189" i="66"/>
  <c r="O189" i="66" a="1"/>
  <c r="O189" i="66" s="1"/>
  <c r="N189" i="66" a="1"/>
  <c r="N189" i="66" s="1"/>
  <c r="M189" i="66" a="1"/>
  <c r="M189" i="66" s="1"/>
  <c r="L189" i="66" a="1"/>
  <c r="L189" i="66" s="1"/>
  <c r="K189" i="66"/>
  <c r="P188" i="66"/>
  <c r="O188" i="66" a="1"/>
  <c r="O188" i="66" s="1"/>
  <c r="N188" i="66" a="1"/>
  <c r="N188" i="66" s="1"/>
  <c r="M188" i="66" a="1"/>
  <c r="M188" i="66" s="1"/>
  <c r="L188" i="66" a="1"/>
  <c r="L188" i="66" s="1"/>
  <c r="K188" i="66"/>
  <c r="P187" i="66"/>
  <c r="O187" i="66" a="1"/>
  <c r="O187" i="66" s="1"/>
  <c r="N187" i="66" a="1"/>
  <c r="N187" i="66" s="1"/>
  <c r="M187" i="66" a="1"/>
  <c r="M187" i="66" s="1"/>
  <c r="L187" i="66" a="1"/>
  <c r="L187" i="66" s="1"/>
  <c r="K187" i="66"/>
  <c r="P186" i="66"/>
  <c r="O186" i="66" a="1"/>
  <c r="O186" i="66" s="1"/>
  <c r="N186" i="66" a="1"/>
  <c r="N186" i="66" s="1"/>
  <c r="M186" i="66" a="1"/>
  <c r="M186" i="66" s="1"/>
  <c r="L186" i="66" a="1"/>
  <c r="L186" i="66" s="1"/>
  <c r="K186" i="66"/>
  <c r="P185" i="66"/>
  <c r="O185" i="66" a="1"/>
  <c r="O185" i="66" s="1"/>
  <c r="N185" i="66" a="1"/>
  <c r="N185" i="66" s="1"/>
  <c r="M185" i="66" a="1"/>
  <c r="M185" i="66" s="1"/>
  <c r="L185" i="66" a="1"/>
  <c r="L185" i="66" s="1"/>
  <c r="K185" i="66"/>
  <c r="P184" i="66"/>
  <c r="O184" i="66" a="1"/>
  <c r="O184" i="66" s="1"/>
  <c r="N184" i="66" a="1"/>
  <c r="N184" i="66" s="1"/>
  <c r="M184" i="66" a="1"/>
  <c r="M184" i="66" s="1"/>
  <c r="L184" i="66" a="1"/>
  <c r="L184" i="66" s="1"/>
  <c r="K184" i="66"/>
  <c r="P183" i="66"/>
  <c r="O183" i="66" a="1"/>
  <c r="O183" i="66" s="1"/>
  <c r="N183" i="66" a="1"/>
  <c r="N183" i="66" s="1"/>
  <c r="M183" i="66" a="1"/>
  <c r="M183" i="66" s="1"/>
  <c r="L183" i="66" a="1"/>
  <c r="L183" i="66" s="1"/>
  <c r="K183" i="66"/>
  <c r="P182" i="66"/>
  <c r="O182" i="66" a="1"/>
  <c r="O182" i="66" s="1"/>
  <c r="N182" i="66" a="1"/>
  <c r="N182" i="66" s="1"/>
  <c r="M182" i="66" a="1"/>
  <c r="M182" i="66" s="1"/>
  <c r="L182" i="66" a="1"/>
  <c r="L182" i="66" s="1"/>
  <c r="K182" i="66"/>
  <c r="P181" i="66"/>
  <c r="O181" i="66" a="1"/>
  <c r="O181" i="66" s="1"/>
  <c r="N181" i="66" a="1"/>
  <c r="N181" i="66" s="1"/>
  <c r="M181" i="66" a="1"/>
  <c r="M181" i="66" s="1"/>
  <c r="L181" i="66" a="1"/>
  <c r="L181" i="66" s="1"/>
  <c r="K181" i="66"/>
  <c r="P180" i="66"/>
  <c r="O180" i="66" a="1"/>
  <c r="O180" i="66" s="1"/>
  <c r="N180" i="66" a="1"/>
  <c r="N180" i="66" s="1"/>
  <c r="M180" i="66" a="1"/>
  <c r="M180" i="66" s="1"/>
  <c r="L180" i="66" a="1"/>
  <c r="L180" i="66" s="1"/>
  <c r="K180" i="66"/>
  <c r="P179" i="66"/>
  <c r="O179" i="66" a="1"/>
  <c r="O179" i="66" s="1"/>
  <c r="N179" i="66" a="1"/>
  <c r="N179" i="66" s="1"/>
  <c r="M179" i="66" a="1"/>
  <c r="M179" i="66" s="1"/>
  <c r="L179" i="66" a="1"/>
  <c r="L179" i="66" s="1"/>
  <c r="K179" i="66"/>
  <c r="P178" i="66"/>
  <c r="O178" i="66" a="1"/>
  <c r="O178" i="66" s="1"/>
  <c r="N178" i="66" a="1"/>
  <c r="N178" i="66" s="1"/>
  <c r="M178" i="66" a="1"/>
  <c r="M178" i="66" s="1"/>
  <c r="L178" i="66" a="1"/>
  <c r="L178" i="66" s="1"/>
  <c r="K178" i="66"/>
  <c r="P177" i="66"/>
  <c r="O177" i="66" a="1"/>
  <c r="O177" i="66" s="1"/>
  <c r="N177" i="66" a="1"/>
  <c r="N177" i="66" s="1"/>
  <c r="M177" i="66" a="1"/>
  <c r="M177" i="66" s="1"/>
  <c r="L177" i="66" a="1"/>
  <c r="L177" i="66" s="1"/>
  <c r="K177" i="66"/>
  <c r="P176" i="66"/>
  <c r="O176" i="66" a="1"/>
  <c r="O176" i="66" s="1"/>
  <c r="N176" i="66" a="1"/>
  <c r="N176" i="66" s="1"/>
  <c r="M176" i="66" a="1"/>
  <c r="M176" i="66" s="1"/>
  <c r="L176" i="66" a="1"/>
  <c r="L176" i="66" s="1"/>
  <c r="K176" i="66"/>
  <c r="P175" i="66"/>
  <c r="O175" i="66" a="1"/>
  <c r="O175" i="66" s="1"/>
  <c r="N175" i="66" a="1"/>
  <c r="N175" i="66" s="1"/>
  <c r="M175" i="66" a="1"/>
  <c r="M175" i="66" s="1"/>
  <c r="L175" i="66" a="1"/>
  <c r="L175" i="66" s="1"/>
  <c r="K175" i="66"/>
  <c r="P174" i="66"/>
  <c r="O174" i="66" a="1"/>
  <c r="O174" i="66" s="1"/>
  <c r="N174" i="66" a="1"/>
  <c r="N174" i="66" s="1"/>
  <c r="M174" i="66" a="1"/>
  <c r="M174" i="66" s="1"/>
  <c r="L174" i="66" a="1"/>
  <c r="L174" i="66" s="1"/>
  <c r="K174" i="66"/>
  <c r="P173" i="66"/>
  <c r="O173" i="66" a="1"/>
  <c r="O173" i="66" s="1"/>
  <c r="N173" i="66" a="1"/>
  <c r="N173" i="66" s="1"/>
  <c r="M173" i="66" a="1"/>
  <c r="M173" i="66" s="1"/>
  <c r="L173" i="66" a="1"/>
  <c r="L173" i="66" s="1"/>
  <c r="K173" i="66"/>
  <c r="P172" i="66"/>
  <c r="O172" i="66" a="1"/>
  <c r="O172" i="66" s="1"/>
  <c r="N172" i="66" a="1"/>
  <c r="N172" i="66" s="1"/>
  <c r="M172" i="66" a="1"/>
  <c r="M172" i="66" s="1"/>
  <c r="L172" i="66" a="1"/>
  <c r="L172" i="66" s="1"/>
  <c r="K172" i="66"/>
  <c r="P171" i="66"/>
  <c r="O171" i="66" a="1"/>
  <c r="O171" i="66" s="1"/>
  <c r="N171" i="66" a="1"/>
  <c r="N171" i="66" s="1"/>
  <c r="M171" i="66" a="1"/>
  <c r="M171" i="66" s="1"/>
  <c r="L171" i="66" a="1"/>
  <c r="L171" i="66" s="1"/>
  <c r="K171" i="66"/>
  <c r="P170" i="66"/>
  <c r="O170" i="66" a="1"/>
  <c r="O170" i="66" s="1"/>
  <c r="N170" i="66" a="1"/>
  <c r="N170" i="66" s="1"/>
  <c r="M170" i="66" a="1"/>
  <c r="M170" i="66" s="1"/>
  <c r="L170" i="66" a="1"/>
  <c r="L170" i="66" s="1"/>
  <c r="K170" i="66"/>
  <c r="P169" i="66"/>
  <c r="O169" i="66" a="1"/>
  <c r="O169" i="66" s="1"/>
  <c r="N169" i="66" a="1"/>
  <c r="N169" i="66" s="1"/>
  <c r="M169" i="66" a="1"/>
  <c r="M169" i="66" s="1"/>
  <c r="L169" i="66" a="1"/>
  <c r="L169" i="66" s="1"/>
  <c r="K169" i="66"/>
  <c r="P168" i="66"/>
  <c r="O168" i="66" a="1"/>
  <c r="O168" i="66" s="1"/>
  <c r="N168" i="66" a="1"/>
  <c r="N168" i="66" s="1"/>
  <c r="M168" i="66" a="1"/>
  <c r="M168" i="66" s="1"/>
  <c r="L168" i="66" a="1"/>
  <c r="L168" i="66" s="1"/>
  <c r="K168" i="66"/>
  <c r="P167" i="66"/>
  <c r="O167" i="66" a="1"/>
  <c r="O167" i="66" s="1"/>
  <c r="N167" i="66" a="1"/>
  <c r="N167" i="66" s="1"/>
  <c r="M167" i="66" a="1"/>
  <c r="M167" i="66" s="1"/>
  <c r="L167" i="66" a="1"/>
  <c r="L167" i="66" s="1"/>
  <c r="K167" i="66"/>
  <c r="P166" i="66"/>
  <c r="O166" i="66" a="1"/>
  <c r="O166" i="66" s="1"/>
  <c r="N166" i="66" a="1"/>
  <c r="N166" i="66" s="1"/>
  <c r="M166" i="66" a="1"/>
  <c r="M166" i="66" s="1"/>
  <c r="L166" i="66" a="1"/>
  <c r="L166" i="66" s="1"/>
  <c r="K166" i="66"/>
  <c r="P165" i="66"/>
  <c r="O165" i="66" a="1"/>
  <c r="O165" i="66" s="1"/>
  <c r="N165" i="66" a="1"/>
  <c r="N165" i="66" s="1"/>
  <c r="M165" i="66" a="1"/>
  <c r="M165" i="66" s="1"/>
  <c r="L165" i="66" a="1"/>
  <c r="L165" i="66" s="1"/>
  <c r="K165" i="66"/>
  <c r="P164" i="66"/>
  <c r="O164" i="66" a="1"/>
  <c r="O164" i="66" s="1"/>
  <c r="N164" i="66" a="1"/>
  <c r="N164" i="66" s="1"/>
  <c r="M164" i="66" a="1"/>
  <c r="M164" i="66" s="1"/>
  <c r="L164" i="66" a="1"/>
  <c r="L164" i="66" s="1"/>
  <c r="K164" i="66"/>
  <c r="P163" i="66"/>
  <c r="O163" i="66" a="1"/>
  <c r="O163" i="66" s="1"/>
  <c r="N163" i="66" a="1"/>
  <c r="N163" i="66" s="1"/>
  <c r="M163" i="66" a="1"/>
  <c r="M163" i="66" s="1"/>
  <c r="L163" i="66" a="1"/>
  <c r="L163" i="66" s="1"/>
  <c r="K163" i="66"/>
  <c r="P162" i="66"/>
  <c r="O162" i="66" a="1"/>
  <c r="O162" i="66" s="1"/>
  <c r="N162" i="66" a="1"/>
  <c r="N162" i="66" s="1"/>
  <c r="M162" i="66" a="1"/>
  <c r="M162" i="66" s="1"/>
  <c r="L162" i="66" a="1"/>
  <c r="L162" i="66" s="1"/>
  <c r="K162" i="66"/>
  <c r="P161" i="66"/>
  <c r="O161" i="66" a="1"/>
  <c r="O161" i="66" s="1"/>
  <c r="N161" i="66" a="1"/>
  <c r="N161" i="66" s="1"/>
  <c r="M161" i="66" a="1"/>
  <c r="M161" i="66" s="1"/>
  <c r="L161" i="66" a="1"/>
  <c r="L161" i="66" s="1"/>
  <c r="K161" i="66"/>
  <c r="P160" i="66"/>
  <c r="O160" i="66" a="1"/>
  <c r="O160" i="66" s="1"/>
  <c r="N160" i="66" a="1"/>
  <c r="N160" i="66" s="1"/>
  <c r="M160" i="66" a="1"/>
  <c r="M160" i="66" s="1"/>
  <c r="L160" i="66" a="1"/>
  <c r="L160" i="66" s="1"/>
  <c r="K160" i="66"/>
  <c r="P159" i="66"/>
  <c r="O159" i="66" a="1"/>
  <c r="O159" i="66" s="1"/>
  <c r="N159" i="66" a="1"/>
  <c r="N159" i="66" s="1"/>
  <c r="M159" i="66" a="1"/>
  <c r="M159" i="66" s="1"/>
  <c r="L159" i="66" a="1"/>
  <c r="L159" i="66" s="1"/>
  <c r="K159" i="66"/>
  <c r="P158" i="66"/>
  <c r="O158" i="66" a="1"/>
  <c r="O158" i="66" s="1"/>
  <c r="N158" i="66" a="1"/>
  <c r="N158" i="66" s="1"/>
  <c r="M158" i="66" a="1"/>
  <c r="M158" i="66" s="1"/>
  <c r="L158" i="66" a="1"/>
  <c r="L158" i="66" s="1"/>
  <c r="K158" i="66"/>
  <c r="P156" i="66"/>
  <c r="O156" i="66" a="1"/>
  <c r="O156" i="66" s="1"/>
  <c r="N156" i="66" a="1"/>
  <c r="N156" i="66" s="1"/>
  <c r="M156" i="66" a="1"/>
  <c r="M156" i="66" s="1"/>
  <c r="L156" i="66" a="1"/>
  <c r="L156" i="66" s="1"/>
  <c r="K156" i="66"/>
  <c r="P155" i="66"/>
  <c r="O155" i="66" a="1"/>
  <c r="O155" i="66" s="1"/>
  <c r="N155" i="66" a="1"/>
  <c r="N155" i="66" s="1"/>
  <c r="M155" i="66" a="1"/>
  <c r="M155" i="66" s="1"/>
  <c r="L155" i="66" a="1"/>
  <c r="L155" i="66" s="1"/>
  <c r="K155" i="66"/>
  <c r="P154" i="66"/>
  <c r="O154" i="66" a="1"/>
  <c r="O154" i="66" s="1"/>
  <c r="N154" i="66" a="1"/>
  <c r="N154" i="66" s="1"/>
  <c r="M154" i="66" a="1"/>
  <c r="M154" i="66" s="1"/>
  <c r="L154" i="66" a="1"/>
  <c r="L154" i="66" s="1"/>
  <c r="K154" i="66"/>
  <c r="P153" i="66"/>
  <c r="O153" i="66" a="1"/>
  <c r="O153" i="66" s="1"/>
  <c r="N153" i="66" a="1"/>
  <c r="N153" i="66" s="1"/>
  <c r="M153" i="66" a="1"/>
  <c r="M153" i="66" s="1"/>
  <c r="L153" i="66" a="1"/>
  <c r="L153" i="66" s="1"/>
  <c r="K153" i="66"/>
  <c r="P152" i="66"/>
  <c r="O152" i="66" a="1"/>
  <c r="O152" i="66" s="1"/>
  <c r="N152" i="66" a="1"/>
  <c r="N152" i="66" s="1"/>
  <c r="M152" i="66" a="1"/>
  <c r="M152" i="66" s="1"/>
  <c r="L152" i="66" a="1"/>
  <c r="L152" i="66" s="1"/>
  <c r="K152" i="66"/>
  <c r="P151" i="66"/>
  <c r="O151" i="66" a="1"/>
  <c r="O151" i="66" s="1"/>
  <c r="N151" i="66" a="1"/>
  <c r="N151" i="66" s="1"/>
  <c r="M151" i="66" a="1"/>
  <c r="M151" i="66" s="1"/>
  <c r="L151" i="66" a="1"/>
  <c r="L151" i="66" s="1"/>
  <c r="K151" i="66"/>
  <c r="P150" i="66"/>
  <c r="O150" i="66" a="1"/>
  <c r="O150" i="66" s="1"/>
  <c r="N150" i="66" a="1"/>
  <c r="N150" i="66" s="1"/>
  <c r="M150" i="66" a="1"/>
  <c r="M150" i="66" s="1"/>
  <c r="L150" i="66" a="1"/>
  <c r="L150" i="66" s="1"/>
  <c r="K150" i="66"/>
  <c r="P149" i="66"/>
  <c r="O149" i="66" a="1"/>
  <c r="O149" i="66" s="1"/>
  <c r="N149" i="66" a="1"/>
  <c r="N149" i="66" s="1"/>
  <c r="M149" i="66" a="1"/>
  <c r="M149" i="66" s="1"/>
  <c r="L149" i="66" a="1"/>
  <c r="L149" i="66" s="1"/>
  <c r="K149" i="66"/>
  <c r="P147" i="66"/>
  <c r="O147" i="66" a="1"/>
  <c r="O147" i="66" s="1"/>
  <c r="N147" i="66" a="1"/>
  <c r="N147" i="66" s="1"/>
  <c r="M147" i="66" a="1"/>
  <c r="M147" i="66" s="1"/>
  <c r="L147" i="66" a="1"/>
  <c r="L147" i="66" s="1"/>
  <c r="K147" i="66"/>
  <c r="P146" i="66"/>
  <c r="O146" i="66" a="1"/>
  <c r="O146" i="66" s="1"/>
  <c r="N146" i="66" a="1"/>
  <c r="N146" i="66" s="1"/>
  <c r="M146" i="66" a="1"/>
  <c r="M146" i="66" s="1"/>
  <c r="L146" i="66" a="1"/>
  <c r="L146" i="66" s="1"/>
  <c r="K146" i="66"/>
  <c r="P145" i="66"/>
  <c r="O145" i="66" a="1"/>
  <c r="O145" i="66" s="1"/>
  <c r="N145" i="66" a="1"/>
  <c r="N145" i="66" s="1"/>
  <c r="M145" i="66" a="1"/>
  <c r="M145" i="66" s="1"/>
  <c r="L145" i="66" a="1"/>
  <c r="L145" i="66" s="1"/>
  <c r="K145" i="66"/>
  <c r="P144" i="66"/>
  <c r="O144" i="66" a="1"/>
  <c r="O144" i="66" s="1"/>
  <c r="N144" i="66" a="1"/>
  <c r="N144" i="66" s="1"/>
  <c r="M144" i="66" a="1"/>
  <c r="M144" i="66" s="1"/>
  <c r="L144" i="66" a="1"/>
  <c r="L144" i="66" s="1"/>
  <c r="K144" i="66"/>
  <c r="P143" i="66"/>
  <c r="O143" i="66" a="1"/>
  <c r="O143" i="66" s="1"/>
  <c r="N143" i="66" a="1"/>
  <c r="N143" i="66" s="1"/>
  <c r="M143" i="66" a="1"/>
  <c r="M143" i="66" s="1"/>
  <c r="L143" i="66" a="1"/>
  <c r="L143" i="66" s="1"/>
  <c r="K143" i="66"/>
  <c r="P142" i="66"/>
  <c r="O142" i="66" a="1"/>
  <c r="O142" i="66" s="1"/>
  <c r="N142" i="66" a="1"/>
  <c r="N142" i="66" s="1"/>
  <c r="M142" i="66" a="1"/>
  <c r="M142" i="66" s="1"/>
  <c r="L142" i="66" a="1"/>
  <c r="L142" i="66" s="1"/>
  <c r="K142" i="66"/>
  <c r="P141" i="66"/>
  <c r="O141" i="66" a="1"/>
  <c r="O141" i="66" s="1"/>
  <c r="N141" i="66" a="1"/>
  <c r="N141" i="66" s="1"/>
  <c r="M141" i="66" a="1"/>
  <c r="M141" i="66" s="1"/>
  <c r="L141" i="66" a="1"/>
  <c r="L141" i="66" s="1"/>
  <c r="K141" i="66"/>
  <c r="P140" i="66"/>
  <c r="O140" i="66" a="1"/>
  <c r="O140" i="66" s="1"/>
  <c r="N140" i="66" a="1"/>
  <c r="N140" i="66" s="1"/>
  <c r="M140" i="66" a="1"/>
  <c r="M140" i="66" s="1"/>
  <c r="L140" i="66" a="1"/>
  <c r="L140" i="66" s="1"/>
  <c r="K140" i="66"/>
  <c r="P138" i="66"/>
  <c r="O138" i="66" a="1"/>
  <c r="O138" i="66" s="1"/>
  <c r="N138" i="66" a="1"/>
  <c r="N138" i="66" s="1"/>
  <c r="M138" i="66" a="1"/>
  <c r="M138" i="66" s="1"/>
  <c r="L138" i="66" a="1"/>
  <c r="L138" i="66" s="1"/>
  <c r="K138" i="66"/>
  <c r="P137" i="66"/>
  <c r="O137" i="66" a="1"/>
  <c r="O137" i="66" s="1"/>
  <c r="N137" i="66" a="1"/>
  <c r="N137" i="66" s="1"/>
  <c r="M137" i="66" a="1"/>
  <c r="M137" i="66" s="1"/>
  <c r="L137" i="66" a="1"/>
  <c r="L137" i="66" s="1"/>
  <c r="K137" i="66"/>
  <c r="P136" i="66"/>
  <c r="O136" i="66" a="1"/>
  <c r="O136" i="66" s="1"/>
  <c r="N136" i="66" a="1"/>
  <c r="N136" i="66" s="1"/>
  <c r="M136" i="66" a="1"/>
  <c r="M136" i="66" s="1"/>
  <c r="L136" i="66" a="1"/>
  <c r="L136" i="66" s="1"/>
  <c r="K136" i="66"/>
  <c r="P135" i="66"/>
  <c r="O135" i="66" a="1"/>
  <c r="O135" i="66" s="1"/>
  <c r="N135" i="66" a="1"/>
  <c r="N135" i="66" s="1"/>
  <c r="M135" i="66" a="1"/>
  <c r="M135" i="66" s="1"/>
  <c r="L135" i="66" a="1"/>
  <c r="L135" i="66" s="1"/>
  <c r="K135" i="66"/>
  <c r="P134" i="66"/>
  <c r="O134" i="66" a="1"/>
  <c r="O134" i="66" s="1"/>
  <c r="N134" i="66" a="1"/>
  <c r="N134" i="66" s="1"/>
  <c r="M134" i="66" a="1"/>
  <c r="M134" i="66" s="1"/>
  <c r="L134" i="66" a="1"/>
  <c r="L134" i="66" s="1"/>
  <c r="K134" i="66"/>
  <c r="P133" i="66"/>
  <c r="O133" i="66" a="1"/>
  <c r="O133" i="66" s="1"/>
  <c r="N133" i="66" a="1"/>
  <c r="N133" i="66" s="1"/>
  <c r="M133" i="66" a="1"/>
  <c r="M133" i="66" s="1"/>
  <c r="L133" i="66" a="1"/>
  <c r="L133" i="66" s="1"/>
  <c r="K133" i="66"/>
  <c r="P132" i="66"/>
  <c r="O132" i="66" a="1"/>
  <c r="O132" i="66" s="1"/>
  <c r="N132" i="66" a="1"/>
  <c r="N132" i="66" s="1"/>
  <c r="M132" i="66" a="1"/>
  <c r="M132" i="66" s="1"/>
  <c r="L132" i="66" a="1"/>
  <c r="L132" i="66" s="1"/>
  <c r="K132" i="66"/>
  <c r="P131" i="66"/>
  <c r="O131" i="66" a="1"/>
  <c r="O131" i="66" s="1"/>
  <c r="N131" i="66" a="1"/>
  <c r="N131" i="66" s="1"/>
  <c r="M131" i="66" a="1"/>
  <c r="M131" i="66" s="1"/>
  <c r="L131" i="66" a="1"/>
  <c r="L131" i="66" s="1"/>
  <c r="K131" i="66"/>
  <c r="P130" i="66"/>
  <c r="O130" i="66" a="1"/>
  <c r="O130" i="66" s="1"/>
  <c r="N130" i="66" a="1"/>
  <c r="N130" i="66" s="1"/>
  <c r="M130" i="66" a="1"/>
  <c r="M130" i="66" s="1"/>
  <c r="L130" i="66" a="1"/>
  <c r="L130" i="66" s="1"/>
  <c r="K130" i="66"/>
  <c r="P129" i="66"/>
  <c r="O129" i="66" a="1"/>
  <c r="O129" i="66" s="1"/>
  <c r="N129" i="66" a="1"/>
  <c r="N129" i="66" s="1"/>
  <c r="M129" i="66" a="1"/>
  <c r="M129" i="66" s="1"/>
  <c r="L129" i="66" a="1"/>
  <c r="L129" i="66" s="1"/>
  <c r="K129" i="66"/>
  <c r="P127" i="66"/>
  <c r="O127" i="66" a="1"/>
  <c r="O127" i="66" s="1"/>
  <c r="N127" i="66" a="1"/>
  <c r="N127" i="66" s="1"/>
  <c r="M127" i="66" a="1"/>
  <c r="M127" i="66" s="1"/>
  <c r="L127" i="66" a="1"/>
  <c r="L127" i="66" s="1"/>
  <c r="K127" i="66"/>
  <c r="P126" i="66"/>
  <c r="O126" i="66" a="1"/>
  <c r="O126" i="66" s="1"/>
  <c r="N126" i="66" a="1"/>
  <c r="N126" i="66" s="1"/>
  <c r="M126" i="66" a="1"/>
  <c r="M126" i="66" s="1"/>
  <c r="L126" i="66" a="1"/>
  <c r="L126" i="66" s="1"/>
  <c r="K126" i="66"/>
  <c r="P125" i="66"/>
  <c r="O125" i="66" a="1"/>
  <c r="O125" i="66" s="1"/>
  <c r="N125" i="66" a="1"/>
  <c r="N125" i="66" s="1"/>
  <c r="M125" i="66" a="1"/>
  <c r="M125" i="66" s="1"/>
  <c r="L125" i="66" a="1"/>
  <c r="L125" i="66" s="1"/>
  <c r="K125" i="66"/>
  <c r="P124" i="66"/>
  <c r="O124" i="66" a="1"/>
  <c r="O124" i="66" s="1"/>
  <c r="N124" i="66" a="1"/>
  <c r="N124" i="66" s="1"/>
  <c r="M124" i="66" a="1"/>
  <c r="M124" i="66" s="1"/>
  <c r="L124" i="66" a="1"/>
  <c r="L124" i="66" s="1"/>
  <c r="K124" i="66"/>
  <c r="P123" i="66"/>
  <c r="O123" i="66" a="1"/>
  <c r="O123" i="66" s="1"/>
  <c r="N123" i="66" a="1"/>
  <c r="N123" i="66" s="1"/>
  <c r="M123" i="66" a="1"/>
  <c r="M123" i="66" s="1"/>
  <c r="L123" i="66" a="1"/>
  <c r="L123" i="66" s="1"/>
  <c r="K123" i="66"/>
  <c r="P122" i="66"/>
  <c r="O122" i="66" a="1"/>
  <c r="O122" i="66" s="1"/>
  <c r="N122" i="66" a="1"/>
  <c r="N122" i="66" s="1"/>
  <c r="M122" i="66" a="1"/>
  <c r="M122" i="66" s="1"/>
  <c r="L122" i="66" a="1"/>
  <c r="L122" i="66" s="1"/>
  <c r="K122" i="66"/>
  <c r="P121" i="66"/>
  <c r="O121" i="66" a="1"/>
  <c r="O121" i="66" s="1"/>
  <c r="N121" i="66" a="1"/>
  <c r="N121" i="66" s="1"/>
  <c r="M121" i="66" a="1"/>
  <c r="M121" i="66" s="1"/>
  <c r="L121" i="66" a="1"/>
  <c r="L121" i="66" s="1"/>
  <c r="K121" i="66"/>
  <c r="P120" i="66"/>
  <c r="O120" i="66" a="1"/>
  <c r="O120" i="66" s="1"/>
  <c r="N120" i="66" a="1"/>
  <c r="N120" i="66" s="1"/>
  <c r="M120" i="66" a="1"/>
  <c r="M120" i="66" s="1"/>
  <c r="L120" i="66" a="1"/>
  <c r="L120" i="66" s="1"/>
  <c r="K120" i="66"/>
  <c r="P119" i="66"/>
  <c r="O119" i="66" a="1"/>
  <c r="O119" i="66" s="1"/>
  <c r="N119" i="66" a="1"/>
  <c r="N119" i="66" s="1"/>
  <c r="M119" i="66" a="1"/>
  <c r="M119" i="66" s="1"/>
  <c r="L119" i="66" a="1"/>
  <c r="L119" i="66" s="1"/>
  <c r="K119" i="66"/>
  <c r="P118" i="66"/>
  <c r="O118" i="66" a="1"/>
  <c r="O118" i="66" s="1"/>
  <c r="N118" i="66" a="1"/>
  <c r="N118" i="66" s="1"/>
  <c r="M118" i="66" a="1"/>
  <c r="M118" i="66" s="1"/>
  <c r="L118" i="66" a="1"/>
  <c r="L118" i="66" s="1"/>
  <c r="K118" i="66"/>
  <c r="P117" i="66"/>
  <c r="O117" i="66" a="1"/>
  <c r="O117" i="66" s="1"/>
  <c r="N117" i="66" a="1"/>
  <c r="N117" i="66" s="1"/>
  <c r="M117" i="66" a="1"/>
  <c r="M117" i="66" s="1"/>
  <c r="L117" i="66" a="1"/>
  <c r="L117" i="66" s="1"/>
  <c r="K117" i="66"/>
  <c r="P116" i="66"/>
  <c r="O116" i="66" a="1"/>
  <c r="O116" i="66" s="1"/>
  <c r="N116" i="66" a="1"/>
  <c r="N116" i="66" s="1"/>
  <c r="M116" i="66" a="1"/>
  <c r="M116" i="66" s="1"/>
  <c r="L116" i="66" a="1"/>
  <c r="L116" i="66" s="1"/>
  <c r="K116" i="66"/>
  <c r="P115" i="66"/>
  <c r="O115" i="66" a="1"/>
  <c r="O115" i="66" s="1"/>
  <c r="N115" i="66" a="1"/>
  <c r="N115" i="66" s="1"/>
  <c r="M115" i="66" a="1"/>
  <c r="M115" i="66" s="1"/>
  <c r="L115" i="66" a="1"/>
  <c r="L115" i="66" s="1"/>
  <c r="K115" i="66"/>
  <c r="P114" i="66"/>
  <c r="O114" i="66" a="1"/>
  <c r="O114" i="66" s="1"/>
  <c r="N114" i="66" a="1"/>
  <c r="N114" i="66" s="1"/>
  <c r="M114" i="66" a="1"/>
  <c r="M114" i="66" s="1"/>
  <c r="L114" i="66" a="1"/>
  <c r="L114" i="66" s="1"/>
  <c r="K114" i="66"/>
  <c r="P113" i="66"/>
  <c r="O113" i="66" a="1"/>
  <c r="O113" i="66" s="1"/>
  <c r="N113" i="66" a="1"/>
  <c r="N113" i="66" s="1"/>
  <c r="M113" i="66" a="1"/>
  <c r="M113" i="66" s="1"/>
  <c r="L113" i="66" a="1"/>
  <c r="L113" i="66" s="1"/>
  <c r="K113" i="66"/>
  <c r="P112" i="66"/>
  <c r="O112" i="66" a="1"/>
  <c r="O112" i="66" s="1"/>
  <c r="N112" i="66" a="1"/>
  <c r="N112" i="66" s="1"/>
  <c r="M112" i="66" a="1"/>
  <c r="M112" i="66" s="1"/>
  <c r="L112" i="66" a="1"/>
  <c r="L112" i="66" s="1"/>
  <c r="K112" i="66"/>
  <c r="P111" i="66"/>
  <c r="O111" i="66" a="1"/>
  <c r="O111" i="66" s="1"/>
  <c r="N111" i="66" a="1"/>
  <c r="N111" i="66" s="1"/>
  <c r="M111" i="66" a="1"/>
  <c r="M111" i="66" s="1"/>
  <c r="L111" i="66" a="1"/>
  <c r="L111" i="66" s="1"/>
  <c r="K111" i="66"/>
  <c r="P110" i="66"/>
  <c r="O110" i="66" a="1"/>
  <c r="O110" i="66" s="1"/>
  <c r="N110" i="66" a="1"/>
  <c r="N110" i="66" s="1"/>
  <c r="M110" i="66" a="1"/>
  <c r="M110" i="66" s="1"/>
  <c r="L110" i="66" a="1"/>
  <c r="L110" i="66" s="1"/>
  <c r="K110" i="66"/>
  <c r="P109" i="66"/>
  <c r="O109" i="66" a="1"/>
  <c r="O109" i="66" s="1"/>
  <c r="N109" i="66" a="1"/>
  <c r="N109" i="66" s="1"/>
  <c r="M109" i="66" a="1"/>
  <c r="M109" i="66" s="1"/>
  <c r="L109" i="66" a="1"/>
  <c r="L109" i="66" s="1"/>
  <c r="K109" i="66"/>
  <c r="P108" i="66"/>
  <c r="O108" i="66" a="1"/>
  <c r="O108" i="66" s="1"/>
  <c r="N108" i="66" a="1"/>
  <c r="N108" i="66" s="1"/>
  <c r="M108" i="66" a="1"/>
  <c r="M108" i="66" s="1"/>
  <c r="L108" i="66" a="1"/>
  <c r="L108" i="66" s="1"/>
  <c r="K108" i="66"/>
  <c r="P107" i="66"/>
  <c r="O107" i="66" a="1"/>
  <c r="O107" i="66" s="1"/>
  <c r="N107" i="66" a="1"/>
  <c r="N107" i="66" s="1"/>
  <c r="M107" i="66" a="1"/>
  <c r="M107" i="66" s="1"/>
  <c r="L107" i="66" a="1"/>
  <c r="L107" i="66" s="1"/>
  <c r="K107" i="66"/>
  <c r="P106" i="66"/>
  <c r="O106" i="66" a="1"/>
  <c r="O106" i="66" s="1"/>
  <c r="N106" i="66" a="1"/>
  <c r="N106" i="66" s="1"/>
  <c r="M106" i="66" a="1"/>
  <c r="M106" i="66" s="1"/>
  <c r="L106" i="66" a="1"/>
  <c r="L106" i="66" s="1"/>
  <c r="K106" i="66"/>
  <c r="P105" i="66"/>
  <c r="O105" i="66" a="1"/>
  <c r="O105" i="66" s="1"/>
  <c r="N105" i="66" a="1"/>
  <c r="N105" i="66" s="1"/>
  <c r="M105" i="66" a="1"/>
  <c r="M105" i="66" s="1"/>
  <c r="L105" i="66" a="1"/>
  <c r="L105" i="66" s="1"/>
  <c r="K105" i="66"/>
  <c r="P104" i="66"/>
  <c r="O104" i="66" a="1"/>
  <c r="O104" i="66" s="1"/>
  <c r="N104" i="66" a="1"/>
  <c r="N104" i="66" s="1"/>
  <c r="M104" i="66" a="1"/>
  <c r="M104" i="66" s="1"/>
  <c r="L104" i="66" a="1"/>
  <c r="L104" i="66" s="1"/>
  <c r="K104" i="66"/>
  <c r="P103" i="66"/>
  <c r="O103" i="66" a="1"/>
  <c r="O103" i="66" s="1"/>
  <c r="N103" i="66" a="1"/>
  <c r="N103" i="66" s="1"/>
  <c r="M103" i="66" a="1"/>
  <c r="M103" i="66" s="1"/>
  <c r="L103" i="66" a="1"/>
  <c r="L103" i="66" s="1"/>
  <c r="K103" i="66"/>
  <c r="P102" i="66"/>
  <c r="O102" i="66" a="1"/>
  <c r="O102" i="66" s="1"/>
  <c r="N102" i="66" a="1"/>
  <c r="N102" i="66" s="1"/>
  <c r="M102" i="66" a="1"/>
  <c r="M102" i="66" s="1"/>
  <c r="L102" i="66" a="1"/>
  <c r="L102" i="66" s="1"/>
  <c r="K102" i="66"/>
  <c r="P101" i="66"/>
  <c r="O101" i="66" a="1"/>
  <c r="O101" i="66" s="1"/>
  <c r="N101" i="66" a="1"/>
  <c r="N101" i="66" s="1"/>
  <c r="M101" i="66" a="1"/>
  <c r="M101" i="66" s="1"/>
  <c r="L101" i="66" a="1"/>
  <c r="L101" i="66" s="1"/>
  <c r="K101" i="66"/>
  <c r="P100" i="66"/>
  <c r="O100" i="66" a="1"/>
  <c r="O100" i="66" s="1"/>
  <c r="N100" i="66" a="1"/>
  <c r="N100" i="66" s="1"/>
  <c r="M100" i="66" a="1"/>
  <c r="M100" i="66" s="1"/>
  <c r="L100" i="66" a="1"/>
  <c r="L100" i="66" s="1"/>
  <c r="K100" i="66"/>
  <c r="P99" i="66"/>
  <c r="O99" i="66" a="1"/>
  <c r="O99" i="66" s="1"/>
  <c r="N99" i="66" a="1"/>
  <c r="N99" i="66" s="1"/>
  <c r="M99" i="66" a="1"/>
  <c r="M99" i="66" s="1"/>
  <c r="L99" i="66" a="1"/>
  <c r="L99" i="66" s="1"/>
  <c r="K99" i="66"/>
  <c r="P98" i="66"/>
  <c r="O98" i="66" a="1"/>
  <c r="O98" i="66" s="1"/>
  <c r="N98" i="66" a="1"/>
  <c r="N98" i="66" s="1"/>
  <c r="M98" i="66" a="1"/>
  <c r="M98" i="66" s="1"/>
  <c r="L98" i="66" a="1"/>
  <c r="L98" i="66" s="1"/>
  <c r="K98" i="66"/>
  <c r="P97" i="66"/>
  <c r="O97" i="66" a="1"/>
  <c r="O97" i="66" s="1"/>
  <c r="N97" i="66" a="1"/>
  <c r="N97" i="66" s="1"/>
  <c r="M97" i="66" a="1"/>
  <c r="M97" i="66" s="1"/>
  <c r="L97" i="66" a="1"/>
  <c r="L97" i="66" s="1"/>
  <c r="K97" i="66"/>
  <c r="P96" i="66"/>
  <c r="O96" i="66" a="1"/>
  <c r="O96" i="66" s="1"/>
  <c r="N96" i="66" a="1"/>
  <c r="N96" i="66" s="1"/>
  <c r="M96" i="66" a="1"/>
  <c r="M96" i="66" s="1"/>
  <c r="L96" i="66" a="1"/>
  <c r="L96" i="66" s="1"/>
  <c r="K96" i="66"/>
  <c r="P95" i="66"/>
  <c r="O95" i="66" a="1"/>
  <c r="O95" i="66" s="1"/>
  <c r="N95" i="66" a="1"/>
  <c r="N95" i="66" s="1"/>
  <c r="M95" i="66" a="1"/>
  <c r="M95" i="66" s="1"/>
  <c r="L95" i="66" a="1"/>
  <c r="L95" i="66" s="1"/>
  <c r="K95" i="66"/>
  <c r="P94" i="66"/>
  <c r="O94" i="66" a="1"/>
  <c r="O94" i="66" s="1"/>
  <c r="N94" i="66" a="1"/>
  <c r="N94" i="66" s="1"/>
  <c r="M94" i="66" a="1"/>
  <c r="M94" i="66" s="1"/>
  <c r="L94" i="66" a="1"/>
  <c r="L94" i="66" s="1"/>
  <c r="K94" i="66"/>
  <c r="P93" i="66"/>
  <c r="O93" i="66" a="1"/>
  <c r="O93" i="66" s="1"/>
  <c r="N93" i="66" a="1"/>
  <c r="N93" i="66" s="1"/>
  <c r="M93" i="66" a="1"/>
  <c r="M93" i="66" s="1"/>
  <c r="L93" i="66" a="1"/>
  <c r="L93" i="66" s="1"/>
  <c r="K93" i="66"/>
  <c r="P92" i="66"/>
  <c r="O92" i="66" a="1"/>
  <c r="O92" i="66" s="1"/>
  <c r="N92" i="66" a="1"/>
  <c r="N92" i="66" s="1"/>
  <c r="M92" i="66" a="1"/>
  <c r="M92" i="66" s="1"/>
  <c r="L92" i="66" a="1"/>
  <c r="L92" i="66" s="1"/>
  <c r="K92" i="66"/>
  <c r="P91" i="66"/>
  <c r="O91" i="66" a="1"/>
  <c r="O91" i="66" s="1"/>
  <c r="N91" i="66" a="1"/>
  <c r="N91" i="66" s="1"/>
  <c r="M91" i="66" a="1"/>
  <c r="M91" i="66" s="1"/>
  <c r="L91" i="66" a="1"/>
  <c r="L91" i="66" s="1"/>
  <c r="K91" i="66"/>
  <c r="P90" i="66"/>
  <c r="O90" i="66" a="1"/>
  <c r="O90" i="66" s="1"/>
  <c r="N90" i="66" a="1"/>
  <c r="N90" i="66" s="1"/>
  <c r="M90" i="66" a="1"/>
  <c r="M90" i="66" s="1"/>
  <c r="L90" i="66" a="1"/>
  <c r="L90" i="66" s="1"/>
  <c r="K90" i="66"/>
  <c r="P89" i="66"/>
  <c r="O89" i="66" a="1"/>
  <c r="O89" i="66" s="1"/>
  <c r="N89" i="66" a="1"/>
  <c r="N89" i="66" s="1"/>
  <c r="M89" i="66" a="1"/>
  <c r="M89" i="66" s="1"/>
  <c r="L89" i="66" a="1"/>
  <c r="L89" i="66" s="1"/>
  <c r="K89" i="66"/>
  <c r="P88" i="66"/>
  <c r="O88" i="66" a="1"/>
  <c r="O88" i="66" s="1"/>
  <c r="N88" i="66" a="1"/>
  <c r="N88" i="66" s="1"/>
  <c r="M88" i="66" a="1"/>
  <c r="M88" i="66" s="1"/>
  <c r="L88" i="66" a="1"/>
  <c r="L88" i="66" s="1"/>
  <c r="K88" i="66"/>
  <c r="P87" i="66"/>
  <c r="O87" i="66" a="1"/>
  <c r="O87" i="66" s="1"/>
  <c r="N87" i="66" a="1"/>
  <c r="N87" i="66" s="1"/>
  <c r="M87" i="66" a="1"/>
  <c r="M87" i="66" s="1"/>
  <c r="L87" i="66" a="1"/>
  <c r="L87" i="66" s="1"/>
  <c r="K87" i="66"/>
  <c r="P86" i="66"/>
  <c r="O86" i="66" a="1"/>
  <c r="O86" i="66" s="1"/>
  <c r="N86" i="66" a="1"/>
  <c r="N86" i="66" s="1"/>
  <c r="M86" i="66" a="1"/>
  <c r="M86" i="66" s="1"/>
  <c r="L86" i="66" a="1"/>
  <c r="L86" i="66" s="1"/>
  <c r="K86" i="66"/>
  <c r="P85" i="66"/>
  <c r="O85" i="66" a="1"/>
  <c r="O85" i="66" s="1"/>
  <c r="N85" i="66" a="1"/>
  <c r="N85" i="66" s="1"/>
  <c r="M85" i="66" a="1"/>
  <c r="M85" i="66" s="1"/>
  <c r="L85" i="66" a="1"/>
  <c r="L85" i="66" s="1"/>
  <c r="K85" i="66"/>
  <c r="P84" i="66"/>
  <c r="O84" i="66" a="1"/>
  <c r="O84" i="66" s="1"/>
  <c r="N84" i="66" a="1"/>
  <c r="N84" i="66" s="1"/>
  <c r="M84" i="66" a="1"/>
  <c r="M84" i="66" s="1"/>
  <c r="L84" i="66" a="1"/>
  <c r="L84" i="66" s="1"/>
  <c r="K84" i="66"/>
  <c r="P83" i="66"/>
  <c r="O83" i="66" a="1"/>
  <c r="O83" i="66" s="1"/>
  <c r="N83" i="66" a="1"/>
  <c r="N83" i="66" s="1"/>
  <c r="M83" i="66" a="1"/>
  <c r="M83" i="66" s="1"/>
  <c r="L83" i="66" a="1"/>
  <c r="L83" i="66" s="1"/>
  <c r="K83" i="66"/>
  <c r="P82" i="66"/>
  <c r="O82" i="66" a="1"/>
  <c r="O82" i="66" s="1"/>
  <c r="N82" i="66" a="1"/>
  <c r="N82" i="66" s="1"/>
  <c r="M82" i="66" a="1"/>
  <c r="M82" i="66" s="1"/>
  <c r="L82" i="66" a="1"/>
  <c r="L82" i="66" s="1"/>
  <c r="K82" i="66"/>
  <c r="P81" i="66"/>
  <c r="O81" i="66" a="1"/>
  <c r="O81" i="66" s="1"/>
  <c r="N81" i="66" a="1"/>
  <c r="N81" i="66" s="1"/>
  <c r="M81" i="66" a="1"/>
  <c r="M81" i="66" s="1"/>
  <c r="L81" i="66" a="1"/>
  <c r="L81" i="66" s="1"/>
  <c r="K81" i="66"/>
  <c r="P80" i="66"/>
  <c r="O80" i="66" a="1"/>
  <c r="O80" i="66" s="1"/>
  <c r="N80" i="66" a="1"/>
  <c r="N80" i="66" s="1"/>
  <c r="M80" i="66" a="1"/>
  <c r="M80" i="66" s="1"/>
  <c r="L80" i="66" a="1"/>
  <c r="L80" i="66" s="1"/>
  <c r="K80" i="66"/>
  <c r="P79" i="66"/>
  <c r="O79" i="66" a="1"/>
  <c r="O79" i="66" s="1"/>
  <c r="N79" i="66" a="1"/>
  <c r="N79" i="66" s="1"/>
  <c r="M79" i="66" a="1"/>
  <c r="M79" i="66" s="1"/>
  <c r="L79" i="66" a="1"/>
  <c r="L79" i="66" s="1"/>
  <c r="K79" i="66"/>
  <c r="P78" i="66"/>
  <c r="O78" i="66" a="1"/>
  <c r="O78" i="66" s="1"/>
  <c r="N78" i="66" a="1"/>
  <c r="N78" i="66" s="1"/>
  <c r="M78" i="66" a="1"/>
  <c r="M78" i="66" s="1"/>
  <c r="L78" i="66" a="1"/>
  <c r="L78" i="66" s="1"/>
  <c r="K78" i="66"/>
  <c r="P75" i="66"/>
  <c r="O75" i="66" a="1"/>
  <c r="O75" i="66" s="1"/>
  <c r="N75" i="66" a="1"/>
  <c r="N75" i="66" s="1"/>
  <c r="M75" i="66" a="1"/>
  <c r="M75" i="66" s="1"/>
  <c r="L75" i="66" a="1"/>
  <c r="L75" i="66" s="1"/>
  <c r="K75" i="66"/>
  <c r="P74" i="66"/>
  <c r="O74" i="66" a="1"/>
  <c r="O74" i="66" s="1"/>
  <c r="N74" i="66" a="1"/>
  <c r="N74" i="66" s="1"/>
  <c r="M74" i="66" a="1"/>
  <c r="M74" i="66" s="1"/>
  <c r="K74" i="66"/>
  <c r="P71" i="66"/>
  <c r="O71" i="66" a="1"/>
  <c r="O71" i="66" s="1"/>
  <c r="N71" i="66" a="1"/>
  <c r="N71" i="66" s="1"/>
  <c r="M71" i="66" a="1"/>
  <c r="M71" i="66" s="1"/>
  <c r="L71" i="66" a="1"/>
  <c r="L71" i="66" s="1"/>
  <c r="K71" i="66"/>
  <c r="P70" i="66"/>
  <c r="O70" i="66" a="1"/>
  <c r="O70" i="66" s="1"/>
  <c r="N70" i="66" a="1"/>
  <c r="N70" i="66" s="1"/>
  <c r="M70" i="66" a="1"/>
  <c r="M70" i="66" s="1"/>
  <c r="L70" i="66" a="1"/>
  <c r="L70" i="66" s="1"/>
  <c r="K70" i="66"/>
  <c r="P69" i="66"/>
  <c r="O69" i="66" a="1"/>
  <c r="O69" i="66" s="1"/>
  <c r="N69" i="66" a="1"/>
  <c r="N69" i="66" s="1"/>
  <c r="M69" i="66" a="1"/>
  <c r="M69" i="66" s="1"/>
  <c r="L69" i="66" a="1"/>
  <c r="L69" i="66" s="1"/>
  <c r="K69" i="66"/>
  <c r="P68" i="66"/>
  <c r="O68" i="66" a="1"/>
  <c r="O68" i="66" s="1"/>
  <c r="N68" i="66" a="1"/>
  <c r="N68" i="66" s="1"/>
  <c r="M68" i="66" a="1"/>
  <c r="M68" i="66" s="1"/>
  <c r="L68" i="66" a="1"/>
  <c r="L68" i="66" s="1"/>
  <c r="K68" i="66"/>
  <c r="P67" i="66"/>
  <c r="O67" i="66" a="1"/>
  <c r="O67" i="66" s="1"/>
  <c r="N67" i="66" a="1"/>
  <c r="N67" i="66" s="1"/>
  <c r="M67" i="66" a="1"/>
  <c r="M67" i="66" s="1"/>
  <c r="L67" i="66" a="1"/>
  <c r="L67" i="66" s="1"/>
  <c r="K67" i="66"/>
  <c r="P66" i="66"/>
  <c r="O66" i="66" a="1"/>
  <c r="O66" i="66" s="1"/>
  <c r="N66" i="66" a="1"/>
  <c r="N66" i="66" s="1"/>
  <c r="M66" i="66" a="1"/>
  <c r="M66" i="66" s="1"/>
  <c r="L66" i="66" a="1"/>
  <c r="L66" i="66" s="1"/>
  <c r="K66" i="66"/>
  <c r="P65" i="66"/>
  <c r="O65" i="66" a="1"/>
  <c r="O65" i="66" s="1"/>
  <c r="N65" i="66" a="1"/>
  <c r="N65" i="66" s="1"/>
  <c r="M65" i="66" a="1"/>
  <c r="M65" i="66" s="1"/>
  <c r="L65" i="66" a="1"/>
  <c r="L65" i="66" s="1"/>
  <c r="K65" i="66"/>
  <c r="P64" i="66"/>
  <c r="O64" i="66" a="1"/>
  <c r="O64" i="66" s="1"/>
  <c r="N64" i="66" a="1"/>
  <c r="N64" i="66" s="1"/>
  <c r="M64" i="66" a="1"/>
  <c r="M64" i="66" s="1"/>
  <c r="L64" i="66" a="1"/>
  <c r="L64" i="66" s="1"/>
  <c r="K64" i="66"/>
  <c r="P62" i="66"/>
  <c r="O62" i="66" a="1"/>
  <c r="O62" i="66" s="1"/>
  <c r="N62" i="66" a="1"/>
  <c r="N62" i="66" s="1"/>
  <c r="M62" i="66" a="1"/>
  <c r="M62" i="66" s="1"/>
  <c r="L62" i="66" a="1"/>
  <c r="L62" i="66" s="1"/>
  <c r="K62" i="66"/>
  <c r="P61" i="66"/>
  <c r="O61" i="66" a="1"/>
  <c r="O61" i="66" s="1"/>
  <c r="N61" i="66" a="1"/>
  <c r="N61" i="66" s="1"/>
  <c r="M61" i="66" a="1"/>
  <c r="M61" i="66" s="1"/>
  <c r="L61" i="66" a="1"/>
  <c r="L61" i="66" s="1"/>
  <c r="K61" i="66"/>
  <c r="P60" i="66"/>
  <c r="O60" i="66" a="1"/>
  <c r="O60" i="66" s="1"/>
  <c r="N60" i="66" a="1"/>
  <c r="N60" i="66" s="1"/>
  <c r="M60" i="66" a="1"/>
  <c r="M60" i="66" s="1"/>
  <c r="L60" i="66" a="1"/>
  <c r="L60" i="66" s="1"/>
  <c r="K60" i="66"/>
  <c r="P59" i="66"/>
  <c r="O59" i="66" a="1"/>
  <c r="O59" i="66" s="1"/>
  <c r="N59" i="66" a="1"/>
  <c r="N59" i="66" s="1"/>
  <c r="M59" i="66" a="1"/>
  <c r="M59" i="66" s="1"/>
  <c r="L59" i="66" a="1"/>
  <c r="L59" i="66" s="1"/>
  <c r="K59" i="66"/>
  <c r="P58" i="66"/>
  <c r="O58" i="66" a="1"/>
  <c r="O58" i="66" s="1"/>
  <c r="N58" i="66" a="1"/>
  <c r="N58" i="66" s="1"/>
  <c r="M58" i="66" a="1"/>
  <c r="M58" i="66" s="1"/>
  <c r="L58" i="66" a="1"/>
  <c r="L58" i="66" s="1"/>
  <c r="K58" i="66"/>
  <c r="P57" i="66"/>
  <c r="O57" i="66" a="1"/>
  <c r="O57" i="66" s="1"/>
  <c r="N57" i="66" a="1"/>
  <c r="N57" i="66" s="1"/>
  <c r="M57" i="66" a="1"/>
  <c r="M57" i="66" s="1"/>
  <c r="L57" i="66" a="1"/>
  <c r="L57" i="66" s="1"/>
  <c r="K57" i="66"/>
  <c r="P56" i="66"/>
  <c r="O56" i="66" a="1"/>
  <c r="O56" i="66" s="1"/>
  <c r="N56" i="66" a="1"/>
  <c r="N56" i="66" s="1"/>
  <c r="M56" i="66" a="1"/>
  <c r="M56" i="66" s="1"/>
  <c r="L56" i="66" a="1"/>
  <c r="L56" i="66" s="1"/>
  <c r="K56" i="66"/>
  <c r="P55" i="66"/>
  <c r="O55" i="66" a="1"/>
  <c r="O55" i="66" s="1"/>
  <c r="N55" i="66" a="1"/>
  <c r="N55" i="66" s="1"/>
  <c r="M55" i="66" a="1"/>
  <c r="M55" i="66" s="1"/>
  <c r="L55" i="66" a="1"/>
  <c r="L55" i="66" s="1"/>
  <c r="K55" i="66"/>
  <c r="P53" i="66"/>
  <c r="O53" i="66" a="1"/>
  <c r="O53" i="66" s="1"/>
  <c r="N53" i="66" a="1"/>
  <c r="N53" i="66" s="1"/>
  <c r="M53" i="66" a="1"/>
  <c r="M53" i="66" s="1"/>
  <c r="L53" i="66" a="1"/>
  <c r="L53" i="66" s="1"/>
  <c r="K53" i="66"/>
  <c r="P52" i="66"/>
  <c r="O52" i="66" a="1"/>
  <c r="O52" i="66" s="1"/>
  <c r="N52" i="66" a="1"/>
  <c r="N52" i="66" s="1"/>
  <c r="M52" i="66" a="1"/>
  <c r="M52" i="66" s="1"/>
  <c r="L52" i="66" a="1"/>
  <c r="L52" i="66" s="1"/>
  <c r="K52" i="66"/>
  <c r="P51" i="66"/>
  <c r="O51" i="66" a="1"/>
  <c r="O51" i="66" s="1"/>
  <c r="N51" i="66" a="1"/>
  <c r="N51" i="66" s="1"/>
  <c r="M51" i="66" a="1"/>
  <c r="M51" i="66" s="1"/>
  <c r="L51" i="66" a="1"/>
  <c r="L51" i="66" s="1"/>
  <c r="K51" i="66"/>
  <c r="P50" i="66"/>
  <c r="O50" i="66" a="1"/>
  <c r="O50" i="66" s="1"/>
  <c r="N50" i="66" a="1"/>
  <c r="N50" i="66" s="1"/>
  <c r="M50" i="66" a="1"/>
  <c r="M50" i="66" s="1"/>
  <c r="L50" i="66" a="1"/>
  <c r="L50" i="66" s="1"/>
  <c r="K50" i="66"/>
  <c r="P48" i="66"/>
  <c r="O48" i="66" a="1"/>
  <c r="O48" i="66" s="1"/>
  <c r="N48" i="66" a="1"/>
  <c r="N48" i="66" s="1"/>
  <c r="M48" i="66" a="1"/>
  <c r="M48" i="66" s="1"/>
  <c r="L48" i="66" a="1"/>
  <c r="L48" i="66" s="1"/>
  <c r="K48" i="66"/>
  <c r="P47" i="66"/>
  <c r="O47" i="66" a="1"/>
  <c r="O47" i="66" s="1"/>
  <c r="N47" i="66" a="1"/>
  <c r="N47" i="66" s="1"/>
  <c r="M47" i="66" a="1"/>
  <c r="M47" i="66" s="1"/>
  <c r="L47" i="66" a="1"/>
  <c r="L47" i="66" s="1"/>
  <c r="K47" i="66"/>
  <c r="P46" i="66"/>
  <c r="O46" i="66" a="1"/>
  <c r="O46" i="66" s="1"/>
  <c r="N46" i="66" a="1"/>
  <c r="N46" i="66" s="1"/>
  <c r="M46" i="66" a="1"/>
  <c r="M46" i="66" s="1"/>
  <c r="L46" i="66" a="1"/>
  <c r="L46" i="66" s="1"/>
  <c r="K46" i="66"/>
  <c r="P45" i="66"/>
  <c r="O45" i="66" a="1"/>
  <c r="O45" i="66" s="1"/>
  <c r="N45" i="66" a="1"/>
  <c r="N45" i="66" s="1"/>
  <c r="M45" i="66" a="1"/>
  <c r="M45" i="66" s="1"/>
  <c r="L45" i="66" a="1"/>
  <c r="L45" i="66" s="1"/>
  <c r="K45" i="66"/>
  <c r="P44" i="66"/>
  <c r="O44" i="66" a="1"/>
  <c r="O44" i="66" s="1"/>
  <c r="N44" i="66" a="1"/>
  <c r="N44" i="66" s="1"/>
  <c r="M44" i="66" a="1"/>
  <c r="M44" i="66" s="1"/>
  <c r="L44" i="66" a="1"/>
  <c r="L44" i="66" s="1"/>
  <c r="K44" i="66"/>
  <c r="P43" i="66"/>
  <c r="O43" i="66" a="1"/>
  <c r="O43" i="66" s="1"/>
  <c r="N43" i="66" a="1"/>
  <c r="N43" i="66" s="1"/>
  <c r="M43" i="66" a="1"/>
  <c r="M43" i="66" s="1"/>
  <c r="L43" i="66" a="1"/>
  <c r="L43" i="66" s="1"/>
  <c r="K43" i="66"/>
  <c r="P42" i="66"/>
  <c r="O42" i="66" a="1"/>
  <c r="O42" i="66" s="1"/>
  <c r="N42" i="66" a="1"/>
  <c r="N42" i="66" s="1"/>
  <c r="M42" i="66" a="1"/>
  <c r="M42" i="66" s="1"/>
  <c r="L42" i="66" a="1"/>
  <c r="L42" i="66" s="1"/>
  <c r="K42" i="66"/>
  <c r="P41" i="66"/>
  <c r="O41" i="66" a="1"/>
  <c r="O41" i="66" s="1"/>
  <c r="N41" i="66" a="1"/>
  <c r="N41" i="66" s="1"/>
  <c r="M41" i="66" a="1"/>
  <c r="M41" i="66" s="1"/>
  <c r="L41" i="66" a="1"/>
  <c r="L41" i="66" s="1"/>
  <c r="K41" i="66"/>
  <c r="P40" i="66"/>
  <c r="O40" i="66" a="1"/>
  <c r="O40" i="66" s="1"/>
  <c r="N40" i="66" a="1"/>
  <c r="N40" i="66" s="1"/>
  <c r="M40" i="66" a="1"/>
  <c r="M40" i="66" s="1"/>
  <c r="L40" i="66" a="1"/>
  <c r="L40" i="66" s="1"/>
  <c r="K40" i="66"/>
  <c r="P39" i="66"/>
  <c r="O39" i="66" a="1"/>
  <c r="O39" i="66" s="1"/>
  <c r="N39" i="66" a="1"/>
  <c r="N39" i="66" s="1"/>
  <c r="M39" i="66" a="1"/>
  <c r="M39" i="66" s="1"/>
  <c r="L39" i="66" a="1"/>
  <c r="L39" i="66" s="1"/>
  <c r="K39" i="66"/>
  <c r="P38" i="66"/>
  <c r="O38" i="66" a="1"/>
  <c r="O38" i="66" s="1"/>
  <c r="N38" i="66" a="1"/>
  <c r="N38" i="66" s="1"/>
  <c r="M38" i="66" a="1"/>
  <c r="M38" i="66" s="1"/>
  <c r="L38" i="66" a="1"/>
  <c r="L38" i="66" s="1"/>
  <c r="K38" i="66"/>
  <c r="P37" i="66"/>
  <c r="O37" i="66" a="1"/>
  <c r="O37" i="66" s="1"/>
  <c r="N37" i="66" a="1"/>
  <c r="N37" i="66" s="1"/>
  <c r="M37" i="66" a="1"/>
  <c r="M37" i="66" s="1"/>
  <c r="L37" i="66" a="1"/>
  <c r="L37" i="66" s="1"/>
  <c r="K37" i="66"/>
  <c r="P36" i="66"/>
  <c r="O36" i="66" a="1"/>
  <c r="O36" i="66" s="1"/>
  <c r="N36" i="66" a="1"/>
  <c r="N36" i="66" s="1"/>
  <c r="M36" i="66" a="1"/>
  <c r="M36" i="66" s="1"/>
  <c r="L36" i="66" a="1"/>
  <c r="L36" i="66" s="1"/>
  <c r="K36" i="66"/>
  <c r="P35" i="66"/>
  <c r="O35" i="66" a="1"/>
  <c r="O35" i="66" s="1"/>
  <c r="N35" i="66" a="1"/>
  <c r="N35" i="66" s="1"/>
  <c r="M35" i="66" a="1"/>
  <c r="M35" i="66" s="1"/>
  <c r="L35" i="66" a="1"/>
  <c r="L35" i="66" s="1"/>
  <c r="K35" i="66"/>
  <c r="P27" i="66"/>
  <c r="O27" i="66" a="1"/>
  <c r="O27" i="66" s="1"/>
  <c r="N27" i="66" a="1"/>
  <c r="N27" i="66" s="1"/>
  <c r="M27" i="66" a="1"/>
  <c r="M27" i="66" s="1"/>
  <c r="L27" i="66" a="1"/>
  <c r="L27" i="66" s="1"/>
  <c r="K27" i="66"/>
  <c r="P26" i="66"/>
  <c r="O26" i="66" a="1"/>
  <c r="O26" i="66" s="1"/>
  <c r="N26" i="66" a="1"/>
  <c r="N26" i="66" s="1"/>
  <c r="M26" i="66" a="1"/>
  <c r="M26" i="66" s="1"/>
  <c r="L26" i="66" a="1"/>
  <c r="L26" i="66" s="1"/>
  <c r="K26" i="66"/>
  <c r="P25" i="66"/>
  <c r="O25" i="66" a="1"/>
  <c r="O25" i="66" s="1"/>
  <c r="N25" i="66" a="1"/>
  <c r="N25" i="66" s="1"/>
  <c r="M25" i="66" a="1"/>
  <c r="M25" i="66" s="1"/>
  <c r="L25" i="66" a="1"/>
  <c r="L25" i="66" s="1"/>
  <c r="K25" i="66"/>
  <c r="P24" i="66"/>
  <c r="O24" i="66" a="1"/>
  <c r="O24" i="66" s="1"/>
  <c r="N24" i="66" a="1"/>
  <c r="N24" i="66" s="1"/>
  <c r="M24" i="66" a="1"/>
  <c r="M24" i="66" s="1"/>
  <c r="L24" i="66" a="1"/>
  <c r="L24" i="66" s="1"/>
  <c r="K24" i="66"/>
  <c r="P23" i="66"/>
  <c r="O23" i="66" a="1"/>
  <c r="O23" i="66" s="1"/>
  <c r="N23" i="66" a="1"/>
  <c r="N23" i="66" s="1"/>
  <c r="M23" i="66" a="1"/>
  <c r="M23" i="66" s="1"/>
  <c r="L23" i="66" a="1"/>
  <c r="L23" i="66" s="1"/>
  <c r="K23" i="66"/>
  <c r="P22" i="66"/>
  <c r="O22" i="66" a="1"/>
  <c r="O22" i="66" s="1"/>
  <c r="N22" i="66" a="1"/>
  <c r="N22" i="66" s="1"/>
  <c r="M22" i="66" a="1"/>
  <c r="M22" i="66" s="1"/>
  <c r="L22" i="66" a="1"/>
  <c r="L22" i="66" s="1"/>
  <c r="K22" i="66"/>
  <c r="P21" i="66"/>
  <c r="O21" i="66" a="1"/>
  <c r="O21" i="66" s="1"/>
  <c r="N21" i="66" a="1"/>
  <c r="N21" i="66" s="1"/>
  <c r="M21" i="66" a="1"/>
  <c r="M21" i="66" s="1"/>
  <c r="L21" i="66" a="1"/>
  <c r="L21" i="66" s="1"/>
  <c r="K21" i="66"/>
  <c r="P20" i="66"/>
  <c r="O20" i="66" a="1"/>
  <c r="O20" i="66" s="1"/>
  <c r="N20" i="66" a="1"/>
  <c r="N20" i="66" s="1"/>
  <c r="M20" i="66" a="1"/>
  <c r="M20" i="66" s="1"/>
  <c r="L20" i="66" a="1"/>
  <c r="L20" i="66" s="1"/>
  <c r="K20" i="66"/>
  <c r="P19" i="66"/>
  <c r="O19" i="66" a="1"/>
  <c r="O19" i="66" s="1"/>
  <c r="N19" i="66" a="1"/>
  <c r="N19" i="66" s="1"/>
  <c r="M19" i="66" a="1"/>
  <c r="M19" i="66" s="1"/>
  <c r="L19" i="66" a="1"/>
  <c r="L19" i="66" s="1"/>
  <c r="K19" i="66"/>
  <c r="P18" i="66"/>
  <c r="O18" i="66" a="1"/>
  <c r="O18" i="66" s="1"/>
  <c r="N18" i="66" a="1"/>
  <c r="N18" i="66" s="1"/>
  <c r="M18" i="66" a="1"/>
  <c r="M18" i="66" s="1"/>
  <c r="L18" i="66" a="1"/>
  <c r="L18" i="66" s="1"/>
  <c r="K18" i="66"/>
  <c r="P16" i="66"/>
  <c r="O16" i="66" a="1"/>
  <c r="O16" i="66" s="1"/>
  <c r="N16" i="66" a="1"/>
  <c r="N16" i="66" s="1"/>
  <c r="M16" i="66" a="1"/>
  <c r="M16" i="66" s="1"/>
  <c r="L16" i="66" a="1"/>
  <c r="L16" i="66" s="1"/>
  <c r="K16" i="66"/>
  <c r="P15" i="66"/>
  <c r="O15" i="66" a="1"/>
  <c r="O15" i="66" s="1"/>
  <c r="N15" i="66" a="1"/>
  <c r="N15" i="66" s="1"/>
  <c r="M15" i="66" a="1"/>
  <c r="M15" i="66" s="1"/>
  <c r="L15" i="66" a="1"/>
  <c r="L15" i="66" s="1"/>
  <c r="K15" i="66"/>
  <c r="P14" i="66"/>
  <c r="O14" i="66" a="1"/>
  <c r="O14" i="66" s="1"/>
  <c r="N14" i="66" a="1"/>
  <c r="N14" i="66" s="1"/>
  <c r="M14" i="66" a="1"/>
  <c r="M14" i="66" s="1"/>
  <c r="L14" i="66" a="1"/>
  <c r="L14" i="66" s="1"/>
  <c r="K14" i="66"/>
  <c r="P13" i="66"/>
  <c r="O13" i="66" a="1"/>
  <c r="O13" i="66" s="1"/>
  <c r="N13" i="66" a="1"/>
  <c r="N13" i="66" s="1"/>
  <c r="M13" i="66" a="1"/>
  <c r="M13" i="66" s="1"/>
  <c r="L13" i="66" a="1"/>
  <c r="L13" i="66" s="1"/>
  <c r="K13" i="66"/>
  <c r="P12" i="66"/>
  <c r="O12" i="66" a="1"/>
  <c r="O12" i="66" s="1"/>
  <c r="N12" i="66" a="1"/>
  <c r="N12" i="66" s="1"/>
  <c r="M12" i="66" a="1"/>
  <c r="M12" i="66" s="1"/>
  <c r="L12" i="66" a="1"/>
  <c r="L12" i="66" s="1"/>
  <c r="K12" i="66"/>
  <c r="P11" i="66"/>
  <c r="O11" i="66" a="1"/>
  <c r="O11" i="66" s="1"/>
  <c r="N11" i="66" a="1"/>
  <c r="N11" i="66" s="1"/>
  <c r="M11" i="66" a="1"/>
  <c r="M11" i="66" s="1"/>
  <c r="L11" i="66" a="1"/>
  <c r="L11" i="66" s="1"/>
  <c r="K11" i="66"/>
  <c r="P10" i="66"/>
  <c r="O10" i="66" a="1"/>
  <c r="O10" i="66" s="1"/>
  <c r="N10" i="66" a="1"/>
  <c r="N10" i="66" s="1"/>
  <c r="M10" i="66" a="1"/>
  <c r="M10" i="66" s="1"/>
  <c r="L10" i="66" a="1"/>
  <c r="L10" i="66" s="1"/>
  <c r="K10" i="66"/>
  <c r="P9" i="66"/>
  <c r="O9" i="66" a="1"/>
  <c r="O9" i="66" s="1"/>
  <c r="N9" i="66" a="1"/>
  <c r="N9" i="66" s="1"/>
  <c r="M9" i="66" a="1"/>
  <c r="M9" i="66" s="1"/>
  <c r="L9" i="66" a="1"/>
  <c r="L9" i="66" s="1"/>
  <c r="K9" i="66"/>
  <c r="P8" i="66"/>
  <c r="O8" i="66" a="1"/>
  <c r="O8" i="66" s="1"/>
  <c r="N8" i="66" a="1"/>
  <c r="N8" i="66" s="1"/>
  <c r="M8" i="66" a="1"/>
  <c r="M8" i="66" s="1"/>
  <c r="L8" i="66" a="1"/>
  <c r="L8" i="66" s="1"/>
  <c r="K8" i="66"/>
  <c r="P7" i="66"/>
  <c r="O7" i="66" a="1"/>
  <c r="O7" i="66" s="1"/>
  <c r="N7" i="66" a="1"/>
  <c r="N7" i="66" s="1"/>
  <c r="M7" i="66" a="1"/>
  <c r="M7" i="66" s="1"/>
  <c r="L7" i="66" a="1"/>
  <c r="L7" i="66" s="1"/>
  <c r="K7" i="66"/>
  <c r="P6" i="66"/>
  <c r="O6" i="66" a="1"/>
  <c r="O6" i="66" s="1"/>
  <c r="N6" i="66" a="1"/>
  <c r="N6" i="66" s="1"/>
  <c r="M6" i="66" a="1"/>
  <c r="M6" i="66" s="1"/>
  <c r="L6" i="66" a="1"/>
  <c r="L6" i="66" s="1"/>
  <c r="K6" i="66"/>
  <c r="P5" i="66"/>
  <c r="O5" i="66" a="1"/>
  <c r="O5" i="66" s="1"/>
  <c r="N5" i="66" a="1"/>
  <c r="N5" i="66" s="1"/>
  <c r="M5" i="66" a="1"/>
  <c r="M5" i="66" s="1"/>
  <c r="L5" i="66" a="1"/>
  <c r="L5" i="66" s="1"/>
  <c r="K5" i="66"/>
  <c r="P4" i="66"/>
  <c r="O4" i="66" a="1"/>
  <c r="O4" i="66" s="1"/>
  <c r="N4" i="66" a="1"/>
  <c r="N4" i="66" s="1"/>
  <c r="M4" i="66" a="1"/>
  <c r="M4" i="66" s="1"/>
  <c r="L4" i="66" a="1"/>
  <c r="L4" i="66" s="1"/>
  <c r="K4" i="66"/>
  <c r="P3" i="66"/>
  <c r="O3" i="66" a="1"/>
  <c r="O3" i="66" s="1"/>
  <c r="N3" i="66" a="1"/>
  <c r="N3" i="66" s="1"/>
  <c r="M3" i="66" a="1"/>
  <c r="M3" i="66" s="1"/>
  <c r="L3" i="66" a="1"/>
  <c r="L3" i="66" s="1"/>
  <c r="K3" i="66"/>
  <c r="J5" i="66" a="1"/>
  <c r="J5" i="66" s="1"/>
  <c r="J11" i="66" a="1"/>
  <c r="J11" i="66" s="1"/>
  <c r="J200" i="66" a="1"/>
  <c r="J200" i="66" s="1"/>
  <c r="J199" i="66" a="1"/>
  <c r="J199" i="66" s="1"/>
  <c r="J196" i="66" a="1"/>
  <c r="J196" i="66" s="1"/>
  <c r="J195" i="66" a="1"/>
  <c r="J195" i="66" s="1"/>
  <c r="J193" i="66" a="1"/>
  <c r="J193" i="66" s="1"/>
  <c r="J192" i="66" a="1"/>
  <c r="J192" i="66" s="1"/>
  <c r="J191" i="66" a="1"/>
  <c r="J191" i="66" s="1"/>
  <c r="J190" i="66" a="1"/>
  <c r="J190" i="66" s="1"/>
  <c r="J189" i="66" a="1"/>
  <c r="J189" i="66" s="1"/>
  <c r="J188" i="66" a="1"/>
  <c r="J188" i="66" s="1"/>
  <c r="J187" i="66" a="1"/>
  <c r="J187" i="66" s="1"/>
  <c r="J186" i="66" a="1"/>
  <c r="J186" i="66" s="1"/>
  <c r="J185" i="66" a="1"/>
  <c r="J185" i="66" s="1"/>
  <c r="J184" i="66" a="1"/>
  <c r="J184" i="66" s="1"/>
  <c r="J183" i="66" a="1"/>
  <c r="J183" i="66" s="1"/>
  <c r="J182" i="66" a="1"/>
  <c r="J182" i="66" s="1"/>
  <c r="J181" i="66" a="1"/>
  <c r="J181" i="66" s="1"/>
  <c r="J180" i="66" a="1"/>
  <c r="J180" i="66" s="1"/>
  <c r="J179" i="66" a="1"/>
  <c r="J179" i="66" s="1"/>
  <c r="J178" i="66" a="1"/>
  <c r="J178" i="66" s="1"/>
  <c r="J177" i="66" a="1"/>
  <c r="J177" i="66" s="1"/>
  <c r="J176" i="66" a="1"/>
  <c r="J176" i="66" s="1"/>
  <c r="J175" i="66" a="1"/>
  <c r="J175" i="66" s="1"/>
  <c r="J174" i="66" a="1"/>
  <c r="J174" i="66" s="1"/>
  <c r="J173" i="66" a="1"/>
  <c r="J173" i="66" s="1"/>
  <c r="J172" i="66" a="1"/>
  <c r="J172" i="66" s="1"/>
  <c r="J171" i="66" a="1"/>
  <c r="J171" i="66" s="1"/>
  <c r="J170" i="66" a="1"/>
  <c r="J170" i="66" s="1"/>
  <c r="J169" i="66" a="1"/>
  <c r="J169" i="66" s="1"/>
  <c r="J168" i="66" a="1"/>
  <c r="J168" i="66" s="1"/>
  <c r="J167" i="66" a="1"/>
  <c r="J167" i="66" s="1"/>
  <c r="J166" i="66" a="1"/>
  <c r="J166" i="66" s="1"/>
  <c r="J165" i="66" a="1"/>
  <c r="J165" i="66" s="1"/>
  <c r="J164" i="66" a="1"/>
  <c r="J164" i="66" s="1"/>
  <c r="J163" i="66" a="1"/>
  <c r="J163" i="66" s="1"/>
  <c r="J162" i="66" a="1"/>
  <c r="J162" i="66" s="1"/>
  <c r="J161" i="66" a="1"/>
  <c r="J161" i="66" s="1"/>
  <c r="J160" i="66" a="1"/>
  <c r="J160" i="66" s="1"/>
  <c r="J159" i="66" a="1"/>
  <c r="J159" i="66" s="1"/>
  <c r="J158" i="66" a="1"/>
  <c r="J158" i="66" s="1"/>
  <c r="J156" i="66" a="1"/>
  <c r="J156" i="66" s="1"/>
  <c r="J155" i="66" a="1"/>
  <c r="J155" i="66" s="1"/>
  <c r="J154" i="66" a="1"/>
  <c r="J154" i="66" s="1"/>
  <c r="J153" i="66" a="1"/>
  <c r="J153" i="66" s="1"/>
  <c r="J152" i="66" a="1"/>
  <c r="J152" i="66" s="1"/>
  <c r="J151" i="66" a="1"/>
  <c r="J151" i="66" s="1"/>
  <c r="J150" i="66" a="1"/>
  <c r="J150" i="66" s="1"/>
  <c r="J149" i="66" a="1"/>
  <c r="J149" i="66" s="1"/>
  <c r="J147" i="66" a="1"/>
  <c r="J147" i="66" s="1"/>
  <c r="J146" i="66" a="1"/>
  <c r="J146" i="66" s="1"/>
  <c r="J145" i="66" a="1"/>
  <c r="J145" i="66" s="1"/>
  <c r="J144" i="66" a="1"/>
  <c r="J144" i="66" s="1"/>
  <c r="J143" i="66" a="1"/>
  <c r="J143" i="66" s="1"/>
  <c r="J142" i="66" a="1"/>
  <c r="J142" i="66" s="1"/>
  <c r="J141" i="66" a="1"/>
  <c r="J141" i="66" s="1"/>
  <c r="J140" i="66" a="1"/>
  <c r="J140" i="66" s="1"/>
  <c r="J138" i="66" a="1"/>
  <c r="J138" i="66" s="1"/>
  <c r="J137" i="66" a="1"/>
  <c r="J137" i="66" s="1"/>
  <c r="J136" i="66" a="1"/>
  <c r="J136" i="66" s="1"/>
  <c r="J135" i="66" a="1"/>
  <c r="J135" i="66" s="1"/>
  <c r="J134" i="66" a="1"/>
  <c r="J134" i="66" s="1"/>
  <c r="J133" i="66" a="1"/>
  <c r="J133" i="66" s="1"/>
  <c r="J132" i="66" a="1"/>
  <c r="J132" i="66" s="1"/>
  <c r="J131" i="66" a="1"/>
  <c r="J131" i="66" s="1"/>
  <c r="J130" i="66" a="1"/>
  <c r="J130" i="66" s="1"/>
  <c r="J129" i="66" a="1"/>
  <c r="J129" i="66" s="1"/>
  <c r="J127" i="66" a="1"/>
  <c r="J127" i="66" s="1"/>
  <c r="J126" i="66" a="1"/>
  <c r="J126" i="66" s="1"/>
  <c r="J125" i="66" a="1"/>
  <c r="J125" i="66" s="1"/>
  <c r="J124" i="66" a="1"/>
  <c r="J124" i="66" s="1"/>
  <c r="J123" i="66" a="1"/>
  <c r="J123" i="66" s="1"/>
  <c r="J122" i="66" a="1"/>
  <c r="J122" i="66" s="1"/>
  <c r="J121" i="66" a="1"/>
  <c r="J121" i="66" s="1"/>
  <c r="J120" i="66" a="1"/>
  <c r="J120" i="66" s="1"/>
  <c r="J119" i="66" a="1"/>
  <c r="J119" i="66" s="1"/>
  <c r="J118" i="66" a="1"/>
  <c r="J118" i="66" s="1"/>
  <c r="J117" i="66" a="1"/>
  <c r="J117" i="66" s="1"/>
  <c r="J116" i="66" a="1"/>
  <c r="J116" i="66" s="1"/>
  <c r="J115" i="66" a="1"/>
  <c r="J115" i="66" s="1"/>
  <c r="J114" i="66" a="1"/>
  <c r="J114" i="66" s="1"/>
  <c r="J113" i="66" a="1"/>
  <c r="J113" i="66" s="1"/>
  <c r="J112" i="66" a="1"/>
  <c r="J112" i="66" s="1"/>
  <c r="J111" i="66" a="1"/>
  <c r="J111" i="66" s="1"/>
  <c r="J110" i="66" a="1"/>
  <c r="J110" i="66" s="1"/>
  <c r="J109" i="66" a="1"/>
  <c r="J109" i="66" s="1"/>
  <c r="J108" i="66" a="1"/>
  <c r="J108" i="66" s="1"/>
  <c r="J107" i="66" a="1"/>
  <c r="J107" i="66" s="1"/>
  <c r="J106" i="66" a="1"/>
  <c r="J106" i="66" s="1"/>
  <c r="J105" i="66" a="1"/>
  <c r="J105" i="66" s="1"/>
  <c r="J104" i="66" a="1"/>
  <c r="J104" i="66" s="1"/>
  <c r="J103" i="66" a="1"/>
  <c r="J103" i="66" s="1"/>
  <c r="J102" i="66" a="1"/>
  <c r="J102" i="66" s="1"/>
  <c r="J101" i="66" a="1"/>
  <c r="J101" i="66" s="1"/>
  <c r="J100" i="66" a="1"/>
  <c r="J100" i="66" s="1"/>
  <c r="J99" i="66" a="1"/>
  <c r="J99" i="66" s="1"/>
  <c r="J98" i="66" a="1"/>
  <c r="J98" i="66" s="1"/>
  <c r="J97" i="66" a="1"/>
  <c r="J97" i="66" s="1"/>
  <c r="J96" i="66" a="1"/>
  <c r="J96" i="66" s="1"/>
  <c r="J95" i="66" a="1"/>
  <c r="J95" i="66" s="1"/>
  <c r="J94" i="66" a="1"/>
  <c r="J94" i="66" s="1"/>
  <c r="J93" i="66" a="1"/>
  <c r="J93" i="66" s="1"/>
  <c r="J92" i="66" a="1"/>
  <c r="J92" i="66" s="1"/>
  <c r="J91" i="66" a="1"/>
  <c r="J91" i="66" s="1"/>
  <c r="J90" i="66" a="1"/>
  <c r="J90" i="66" s="1"/>
  <c r="J89" i="66" a="1"/>
  <c r="J89" i="66" s="1"/>
  <c r="J88" i="66" a="1"/>
  <c r="J88" i="66" s="1"/>
  <c r="J87" i="66" a="1"/>
  <c r="J87" i="66" s="1"/>
  <c r="J86" i="66" a="1"/>
  <c r="J86" i="66" s="1"/>
  <c r="J85" i="66" a="1"/>
  <c r="J85" i="66" s="1"/>
  <c r="J84" i="66" a="1"/>
  <c r="J84" i="66" s="1"/>
  <c r="J83" i="66" a="1"/>
  <c r="J83" i="66" s="1"/>
  <c r="J82" i="66" a="1"/>
  <c r="J82" i="66" s="1"/>
  <c r="J81" i="66" a="1"/>
  <c r="J81" i="66" s="1"/>
  <c r="J80" i="66" a="1"/>
  <c r="J80" i="66" s="1"/>
  <c r="J79" i="66" a="1"/>
  <c r="J79" i="66" s="1"/>
  <c r="J78" i="66" a="1"/>
  <c r="J78" i="66" s="1"/>
  <c r="J75" i="66" a="1"/>
  <c r="J75" i="66" s="1"/>
  <c r="J74" i="66" a="1"/>
  <c r="J74" i="66" s="1"/>
  <c r="J71" i="66" a="1"/>
  <c r="J71" i="66" s="1"/>
  <c r="J70" i="66" a="1"/>
  <c r="J70" i="66" s="1"/>
  <c r="J69" i="66" a="1"/>
  <c r="J69" i="66" s="1"/>
  <c r="J68" i="66" a="1"/>
  <c r="J68" i="66" s="1"/>
  <c r="J67" i="66" a="1"/>
  <c r="J67" i="66" s="1"/>
  <c r="J66" i="66" a="1"/>
  <c r="J66" i="66" s="1"/>
  <c r="J65" i="66" a="1"/>
  <c r="J65" i="66" s="1"/>
  <c r="J64" i="66" a="1"/>
  <c r="J64" i="66" s="1"/>
  <c r="J62" i="66" a="1"/>
  <c r="J62" i="66" s="1"/>
  <c r="J61" i="66" a="1"/>
  <c r="J61" i="66" s="1"/>
  <c r="J60" i="66" a="1"/>
  <c r="J60" i="66" s="1"/>
  <c r="J59" i="66" a="1"/>
  <c r="J59" i="66" s="1"/>
  <c r="J58" i="66" a="1"/>
  <c r="J58" i="66" s="1"/>
  <c r="J57" i="66" a="1"/>
  <c r="J57" i="66" s="1"/>
  <c r="J56" i="66" a="1"/>
  <c r="J56" i="66" s="1"/>
  <c r="J55" i="66" a="1"/>
  <c r="J55" i="66" s="1"/>
  <c r="J53" i="66" a="1"/>
  <c r="J53" i="66" s="1"/>
  <c r="J52" i="66" a="1"/>
  <c r="J52" i="66" s="1"/>
  <c r="J51" i="66" a="1"/>
  <c r="J51" i="66" s="1"/>
  <c r="J50" i="66" a="1"/>
  <c r="J50" i="66" s="1"/>
  <c r="J48" i="66" a="1"/>
  <c r="J48" i="66" s="1"/>
  <c r="J47" i="66" a="1"/>
  <c r="J47" i="66" s="1"/>
  <c r="J46" i="66" a="1"/>
  <c r="J46" i="66" s="1"/>
  <c r="J45" i="66" a="1"/>
  <c r="J45" i="66" s="1"/>
  <c r="J44" i="66" a="1"/>
  <c r="J44" i="66" s="1"/>
  <c r="J43" i="66" a="1"/>
  <c r="J43" i="66" s="1"/>
  <c r="J42" i="66" a="1"/>
  <c r="J42" i="66" s="1"/>
  <c r="J41" i="66" a="1"/>
  <c r="J41" i="66" s="1"/>
  <c r="J40" i="66" a="1"/>
  <c r="J40" i="66" s="1"/>
  <c r="J39" i="66" a="1"/>
  <c r="J39" i="66" s="1"/>
  <c r="J38" i="66" a="1"/>
  <c r="J38" i="66" s="1"/>
  <c r="J37" i="66" a="1"/>
  <c r="J37" i="66" s="1"/>
  <c r="J36" i="66" a="1"/>
  <c r="J36" i="66" s="1"/>
  <c r="J35" i="66" a="1"/>
  <c r="J35" i="66" s="1"/>
  <c r="J27" i="66" a="1"/>
  <c r="J27" i="66" s="1"/>
  <c r="J26" i="66" a="1"/>
  <c r="J26" i="66" s="1"/>
  <c r="J25" i="66" a="1"/>
  <c r="J25" i="66" s="1"/>
  <c r="J24" i="66" a="1"/>
  <c r="J24" i="66" s="1"/>
  <c r="J23" i="66" a="1"/>
  <c r="J23" i="66" s="1"/>
  <c r="J22" i="66" a="1"/>
  <c r="J22" i="66" s="1"/>
  <c r="J21" i="66" a="1"/>
  <c r="J21" i="66" s="1"/>
  <c r="J20" i="66" a="1"/>
  <c r="J20" i="66" s="1"/>
  <c r="J19" i="66" a="1"/>
  <c r="J19" i="66" s="1"/>
  <c r="J18" i="66" a="1"/>
  <c r="J18" i="66" s="1"/>
  <c r="J16" i="66" a="1"/>
  <c r="J16" i="66" s="1"/>
  <c r="J15" i="66" a="1"/>
  <c r="J15" i="66" s="1"/>
  <c r="J14" i="66" a="1"/>
  <c r="J14" i="66" s="1"/>
  <c r="J13" i="66" a="1"/>
  <c r="J13" i="66" s="1"/>
  <c r="J12" i="66" a="1"/>
  <c r="J12" i="66" s="1"/>
  <c r="J10" i="66" a="1"/>
  <c r="J10" i="66" s="1"/>
  <c r="J9" i="66" a="1"/>
  <c r="J9" i="66" s="1"/>
  <c r="J8" i="66" a="1"/>
  <c r="J8" i="66" s="1"/>
  <c r="J7" i="66" a="1"/>
  <c r="J7" i="66" s="1"/>
  <c r="J6" i="66" a="1"/>
  <c r="J6" i="66" s="1"/>
  <c r="J4" i="66" a="1"/>
  <c r="J4" i="66" s="1"/>
  <c r="J3" i="66" a="1"/>
  <c r="J3" i="66" s="1"/>
  <c r="Q27" i="76" l="1"/>
  <c r="Q61" i="76"/>
  <c r="Q95" i="76"/>
  <c r="Q146" i="76"/>
  <c r="Q25" i="76"/>
  <c r="Q42" i="76"/>
  <c r="Q133" i="76"/>
  <c r="Q155" i="76"/>
  <c r="Q60" i="76"/>
  <c r="Q86" i="76"/>
  <c r="Q105" i="76"/>
  <c r="Q180" i="76"/>
  <c r="I139" i="76"/>
  <c r="Q118" i="76"/>
  <c r="Q137" i="76"/>
  <c r="Q192" i="76"/>
  <c r="Q195" i="76"/>
  <c r="I63" i="76"/>
  <c r="Q106" i="76"/>
  <c r="Q9" i="76"/>
  <c r="Q35" i="76"/>
  <c r="Q92" i="76"/>
  <c r="Q170" i="76"/>
  <c r="Q183" i="75"/>
  <c r="Q178" i="75"/>
  <c r="Q120" i="75"/>
  <c r="Q61" i="75"/>
  <c r="Q173" i="75"/>
  <c r="Q191" i="75"/>
  <c r="Q116" i="75"/>
  <c r="P139" i="75"/>
  <c r="Q23" i="75"/>
  <c r="Q181" i="75"/>
  <c r="I28" i="75"/>
  <c r="Q124" i="75"/>
  <c r="I63" i="75"/>
  <c r="Q109" i="75"/>
  <c r="Q167" i="75"/>
  <c r="N197" i="75"/>
  <c r="M201" i="74"/>
  <c r="N76" i="74"/>
  <c r="I148" i="74"/>
  <c r="O139" i="74"/>
  <c r="Q167" i="74"/>
  <c r="Q4" i="74"/>
  <c r="Q24" i="74"/>
  <c r="Q94" i="74"/>
  <c r="Q155" i="74"/>
  <c r="Q123" i="74"/>
  <c r="Q20" i="74"/>
  <c r="Q69" i="74"/>
  <c r="Q127" i="74"/>
  <c r="Q153" i="74"/>
  <c r="Q8" i="74"/>
  <c r="Q65" i="74"/>
  <c r="Q100" i="74"/>
  <c r="Q108" i="74"/>
  <c r="Q130" i="74"/>
  <c r="M157" i="74"/>
  <c r="Q23" i="74"/>
  <c r="Q37" i="74"/>
  <c r="Q60" i="74"/>
  <c r="Q83" i="74"/>
  <c r="Q58" i="74"/>
  <c r="Q147" i="74"/>
  <c r="I201" i="74"/>
  <c r="Q16" i="73"/>
  <c r="Q36" i="73"/>
  <c r="Q84" i="73"/>
  <c r="Q193" i="73"/>
  <c r="Q109" i="73"/>
  <c r="Q155" i="73"/>
  <c r="I197" i="73"/>
  <c r="Q94" i="73"/>
  <c r="Q90" i="73"/>
  <c r="M201" i="73"/>
  <c r="Q25" i="73"/>
  <c r="Q41" i="73"/>
  <c r="Q43" i="73"/>
  <c r="Q52" i="73"/>
  <c r="Q60" i="73"/>
  <c r="Q118" i="73"/>
  <c r="Q126" i="73"/>
  <c r="Q176" i="73"/>
  <c r="Q179" i="73"/>
  <c r="I201" i="73"/>
  <c r="K17" i="73"/>
  <c r="I28" i="73"/>
  <c r="Q23" i="73"/>
  <c r="Q26" i="73"/>
  <c r="Q50" i="73"/>
  <c r="Q74" i="73"/>
  <c r="Q107" i="73"/>
  <c r="Q115" i="73"/>
  <c r="Q120" i="73"/>
  <c r="Q143" i="73"/>
  <c r="Q160" i="73"/>
  <c r="Q172" i="73"/>
  <c r="Q192" i="73"/>
  <c r="Q40" i="73"/>
  <c r="Q130" i="73"/>
  <c r="K139" i="73"/>
  <c r="Q13" i="73"/>
  <c r="Q47" i="73"/>
  <c r="Q67" i="73"/>
  <c r="Q138" i="73"/>
  <c r="Q11" i="72"/>
  <c r="Q83" i="72"/>
  <c r="Q126" i="72"/>
  <c r="Q161" i="72"/>
  <c r="Q8" i="72"/>
  <c r="Q38" i="72"/>
  <c r="Q172" i="72"/>
  <c r="Q57" i="72"/>
  <c r="Q101" i="72"/>
  <c r="Q120" i="72"/>
  <c r="Q122" i="72"/>
  <c r="Q127" i="72"/>
  <c r="Q130" i="72"/>
  <c r="K148" i="72"/>
  <c r="Q159" i="72"/>
  <c r="Q36" i="72"/>
  <c r="Q179" i="72"/>
  <c r="Q68" i="72"/>
  <c r="Q85" i="72"/>
  <c r="Q165" i="72"/>
  <c r="Q100" i="72"/>
  <c r="Q113" i="72"/>
  <c r="Q136" i="72"/>
  <c r="Q174" i="72"/>
  <c r="Q191" i="71"/>
  <c r="Q83" i="71"/>
  <c r="Q98" i="71"/>
  <c r="Q164" i="71"/>
  <c r="Q43" i="71"/>
  <c r="Q129" i="71"/>
  <c r="Q39" i="71"/>
  <c r="Q160" i="71"/>
  <c r="Q97" i="71"/>
  <c r="Q127" i="71"/>
  <c r="Q134" i="71"/>
  <c r="Q65" i="71"/>
  <c r="Q13" i="71"/>
  <c r="Q110" i="71"/>
  <c r="Q125" i="71"/>
  <c r="Q132" i="71"/>
  <c r="Q173" i="71"/>
  <c r="Q185" i="71"/>
  <c r="K201" i="71"/>
  <c r="Q96" i="71"/>
  <c r="Q172" i="71"/>
  <c r="Q26" i="71"/>
  <c r="Q124" i="71"/>
  <c r="H197" i="73"/>
  <c r="H197" i="74"/>
  <c r="H197" i="72"/>
  <c r="H201" i="73"/>
  <c r="H201" i="75"/>
  <c r="H201" i="76"/>
  <c r="H197" i="76"/>
  <c r="H54" i="75"/>
  <c r="H49" i="74"/>
  <c r="H28" i="75"/>
  <c r="H139" i="75"/>
  <c r="H54" i="74"/>
  <c r="H201" i="74"/>
  <c r="Q152" i="66"/>
  <c r="I54" i="70"/>
  <c r="Q188" i="70"/>
  <c r="Q46" i="70"/>
  <c r="Q60" i="70"/>
  <c r="Q180" i="70"/>
  <c r="Q5" i="70"/>
  <c r="Q146" i="70"/>
  <c r="Q150" i="70"/>
  <c r="Q95" i="70"/>
  <c r="Q144" i="70"/>
  <c r="Q190" i="70"/>
  <c r="Q24" i="70"/>
  <c r="Q83" i="70"/>
  <c r="J157" i="70"/>
  <c r="Q169" i="70"/>
  <c r="Q59" i="70"/>
  <c r="Q114" i="70"/>
  <c r="Q122" i="70"/>
  <c r="Q125" i="70"/>
  <c r="Q26" i="70"/>
  <c r="Q167" i="70"/>
  <c r="K197" i="70"/>
  <c r="Q177" i="70"/>
  <c r="Q187" i="70"/>
  <c r="Q64" i="70"/>
  <c r="K139" i="70"/>
  <c r="Q174" i="70"/>
  <c r="Q193" i="70"/>
  <c r="Q58" i="70"/>
  <c r="Q113" i="70"/>
  <c r="I148" i="70"/>
  <c r="Q163" i="70"/>
  <c r="N201" i="70"/>
  <c r="Q93" i="70"/>
  <c r="Q171" i="70"/>
  <c r="Q47" i="70"/>
  <c r="Q55" i="70"/>
  <c r="Q62" i="70"/>
  <c r="Q121" i="70"/>
  <c r="Q130" i="70"/>
  <c r="Q147" i="70"/>
  <c r="Q184" i="70"/>
  <c r="Q117" i="70"/>
  <c r="Q160" i="70"/>
  <c r="Q170" i="70"/>
  <c r="Q126" i="70"/>
  <c r="Q14" i="70"/>
  <c r="I28" i="70"/>
  <c r="Q53" i="70"/>
  <c r="Q118" i="70"/>
  <c r="Q153" i="70"/>
  <c r="Q67" i="70"/>
  <c r="Q127" i="70"/>
  <c r="Q159" i="70"/>
  <c r="M201" i="70"/>
  <c r="H197" i="70"/>
  <c r="Q85" i="70"/>
  <c r="Q96" i="70"/>
  <c r="Q109" i="70"/>
  <c r="Q136" i="70"/>
  <c r="Q142" i="70"/>
  <c r="Q21" i="73"/>
  <c r="P128" i="73"/>
  <c r="K17" i="74"/>
  <c r="Q80" i="74"/>
  <c r="Q111" i="74"/>
  <c r="Q131" i="74"/>
  <c r="K76" i="73"/>
  <c r="Q98" i="73"/>
  <c r="Q181" i="73"/>
  <c r="O54" i="74"/>
  <c r="Q153" i="73"/>
  <c r="N201" i="73"/>
  <c r="N54" i="74"/>
  <c r="O63" i="74"/>
  <c r="M139" i="74"/>
  <c r="O157" i="75"/>
  <c r="M197" i="76"/>
  <c r="Q59" i="73"/>
  <c r="O201" i="73"/>
  <c r="L54" i="74"/>
  <c r="Q53" i="74"/>
  <c r="P139" i="73"/>
  <c r="Q20" i="73"/>
  <c r="Q58" i="73"/>
  <c r="Q69" i="73"/>
  <c r="Q86" i="73"/>
  <c r="Q103" i="73"/>
  <c r="Q106" i="73"/>
  <c r="Q161" i="74"/>
  <c r="K63" i="73"/>
  <c r="N63" i="74"/>
  <c r="Q124" i="74"/>
  <c r="Q151" i="74"/>
  <c r="P157" i="74"/>
  <c r="L197" i="74"/>
  <c r="Q15" i="73"/>
  <c r="Q66" i="73"/>
  <c r="Q197" i="73"/>
  <c r="Q7" i="73"/>
  <c r="M54" i="73"/>
  <c r="Q93" i="73"/>
  <c r="M63" i="73"/>
  <c r="Q68" i="73"/>
  <c r="Q85" i="73"/>
  <c r="Q114" i="73"/>
  <c r="K49" i="73"/>
  <c r="K28" i="74"/>
  <c r="Q51" i="74"/>
  <c r="L139" i="74"/>
  <c r="Q145" i="74"/>
  <c r="Q21" i="75"/>
  <c r="P157" i="75"/>
  <c r="M54" i="74"/>
  <c r="Q67" i="74"/>
  <c r="Q110" i="74"/>
  <c r="Q137" i="73"/>
  <c r="I28" i="74"/>
  <c r="K63" i="74"/>
  <c r="K76" i="74"/>
  <c r="O197" i="74"/>
  <c r="Q156" i="75"/>
  <c r="Q46" i="76"/>
  <c r="I54" i="76"/>
  <c r="Q38" i="73"/>
  <c r="Q13" i="74"/>
  <c r="Q15" i="74"/>
  <c r="Q87" i="74"/>
  <c r="Q89" i="74"/>
  <c r="Q122" i="74"/>
  <c r="I49" i="75"/>
  <c r="Q45" i="75"/>
  <c r="Q107" i="76"/>
  <c r="Q100" i="73"/>
  <c r="Q70" i="73"/>
  <c r="Q10" i="73"/>
  <c r="Q10" i="74"/>
  <c r="K49" i="74"/>
  <c r="N148" i="74"/>
  <c r="Q179" i="74"/>
  <c r="Q21" i="76"/>
  <c r="I197" i="75"/>
  <c r="Q42" i="73"/>
  <c r="Q56" i="73"/>
  <c r="Q91" i="73"/>
  <c r="Q113" i="73"/>
  <c r="Q186" i="73"/>
  <c r="Q105" i="73"/>
  <c r="I17" i="73"/>
  <c r="Q81" i="73"/>
  <c r="Q104" i="73"/>
  <c r="Q112" i="73"/>
  <c r="Q117" i="73"/>
  <c r="Q167" i="73"/>
  <c r="O197" i="73"/>
  <c r="Q9" i="74"/>
  <c r="Q61" i="74"/>
  <c r="Q103" i="74"/>
  <c r="Q115" i="74"/>
  <c r="I128" i="73"/>
  <c r="Q5" i="74"/>
  <c r="K139" i="74"/>
  <c r="Q80" i="76"/>
  <c r="P17" i="73"/>
  <c r="Q19" i="73"/>
  <c r="K28" i="73"/>
  <c r="K128" i="73"/>
  <c r="Q162" i="73"/>
  <c r="Q9" i="73"/>
  <c r="I49" i="73"/>
  <c r="I76" i="73"/>
  <c r="Q135" i="73"/>
  <c r="Q165" i="73"/>
  <c r="Q177" i="73"/>
  <c r="Q19" i="74"/>
  <c r="Q146" i="74"/>
  <c r="I194" i="74"/>
  <c r="Q192" i="74"/>
  <c r="Q154" i="75"/>
  <c r="Q175" i="74"/>
  <c r="Q60" i="75"/>
  <c r="M148" i="75"/>
  <c r="I157" i="75"/>
  <c r="N54" i="76"/>
  <c r="Q147" i="76"/>
  <c r="Q174" i="76"/>
  <c r="K28" i="75"/>
  <c r="L54" i="75"/>
  <c r="Q85" i="75"/>
  <c r="Q6" i="76"/>
  <c r="Q97" i="75"/>
  <c r="Q162" i="75"/>
  <c r="Q8" i="76"/>
  <c r="Q13" i="76"/>
  <c r="M157" i="76"/>
  <c r="Q145" i="73"/>
  <c r="Q191" i="73"/>
  <c r="K201" i="73"/>
  <c r="I49" i="74"/>
  <c r="Q85" i="74"/>
  <c r="Q102" i="74"/>
  <c r="Q109" i="74"/>
  <c r="M197" i="74"/>
  <c r="Q24" i="75"/>
  <c r="I54" i="75"/>
  <c r="Q121" i="75"/>
  <c r="Q169" i="75"/>
  <c r="J197" i="75"/>
  <c r="Q90" i="76"/>
  <c r="Q99" i="76"/>
  <c r="Q65" i="75"/>
  <c r="Q71" i="75"/>
  <c r="Q88" i="75"/>
  <c r="Q145" i="75"/>
  <c r="Q23" i="76"/>
  <c r="K49" i="76"/>
  <c r="K76" i="76"/>
  <c r="Q172" i="76"/>
  <c r="Q41" i="75"/>
  <c r="Q44" i="75"/>
  <c r="Q90" i="75"/>
  <c r="Q39" i="76"/>
  <c r="Q62" i="76"/>
  <c r="Q82" i="76"/>
  <c r="Q104" i="76"/>
  <c r="Q116" i="76"/>
  <c r="Q141" i="76"/>
  <c r="L201" i="76"/>
  <c r="Q12" i="73"/>
  <c r="Q14" i="73"/>
  <c r="L54" i="73"/>
  <c r="Q75" i="73"/>
  <c r="Q87" i="73"/>
  <c r="Q101" i="73"/>
  <c r="Q102" i="73"/>
  <c r="Q111" i="73"/>
  <c r="Q156" i="73"/>
  <c r="Q174" i="73"/>
  <c r="Q188" i="73"/>
  <c r="Q12" i="74"/>
  <c r="Q22" i="74"/>
  <c r="Q72" i="74"/>
  <c r="Q84" i="74"/>
  <c r="Q6" i="75"/>
  <c r="Q18" i="75"/>
  <c r="Q59" i="75"/>
  <c r="Q89" i="75"/>
  <c r="Q150" i="75"/>
  <c r="Q158" i="75"/>
  <c r="Q163" i="75"/>
  <c r="Q171" i="75"/>
  <c r="Q22" i="76"/>
  <c r="Q48" i="76"/>
  <c r="L54" i="76"/>
  <c r="P63" i="76"/>
  <c r="Q102" i="76"/>
  <c r="Q114" i="76"/>
  <c r="I157" i="76"/>
  <c r="Q9" i="75"/>
  <c r="Q40" i="75"/>
  <c r="J54" i="75"/>
  <c r="Q106" i="75"/>
  <c r="Q130" i="75"/>
  <c r="Q5" i="76"/>
  <c r="N17" i="76"/>
  <c r="Q16" i="76"/>
  <c r="Q43" i="76"/>
  <c r="Q67" i="76"/>
  <c r="Q121" i="76"/>
  <c r="Q123" i="76"/>
  <c r="Q163" i="74"/>
  <c r="N28" i="75"/>
  <c r="Q105" i="75"/>
  <c r="Q131" i="75"/>
  <c r="Q151" i="75"/>
  <c r="Q174" i="75"/>
  <c r="Q187" i="75"/>
  <c r="Q190" i="75"/>
  <c r="O197" i="75"/>
  <c r="P197" i="75"/>
  <c r="Q197" i="75" s="1"/>
  <c r="Q24" i="76"/>
  <c r="Q38" i="76"/>
  <c r="Q66" i="76"/>
  <c r="Q144" i="76"/>
  <c r="M201" i="76"/>
  <c r="Q155" i="75"/>
  <c r="Q161" i="75"/>
  <c r="Q12" i="76"/>
  <c r="L28" i="76"/>
  <c r="Q36" i="76"/>
  <c r="Q71" i="76"/>
  <c r="Q73" i="76"/>
  <c r="Q119" i="76"/>
  <c r="Q152" i="76"/>
  <c r="N201" i="76"/>
  <c r="I139" i="70"/>
  <c r="K49" i="70"/>
  <c r="P128" i="70"/>
  <c r="Q38" i="70"/>
  <c r="Q143" i="70"/>
  <c r="M76" i="72"/>
  <c r="Q43" i="70"/>
  <c r="Q98" i="70"/>
  <c r="Q183" i="70"/>
  <c r="Q115" i="70"/>
  <c r="Q154" i="70"/>
  <c r="K54" i="70"/>
  <c r="Q44" i="71"/>
  <c r="P54" i="70"/>
  <c r="K28" i="70"/>
  <c r="I63" i="70"/>
  <c r="Q57" i="70"/>
  <c r="L148" i="72"/>
  <c r="Q38" i="71"/>
  <c r="Q130" i="71"/>
  <c r="Q18" i="72"/>
  <c r="K63" i="72"/>
  <c r="Q95" i="71"/>
  <c r="Q105" i="71"/>
  <c r="Q120" i="71"/>
  <c r="Q88" i="71"/>
  <c r="L148" i="70"/>
  <c r="Q20" i="71"/>
  <c r="Q67" i="71"/>
  <c r="Q133" i="71"/>
  <c r="Q136" i="71"/>
  <c r="Q189" i="71"/>
  <c r="N54" i="72"/>
  <c r="Q61" i="70"/>
  <c r="Q162" i="70"/>
  <c r="Q74" i="71"/>
  <c r="Q91" i="71"/>
  <c r="Q101" i="71"/>
  <c r="P63" i="72"/>
  <c r="Q10" i="70"/>
  <c r="Q51" i="70"/>
  <c r="Q164" i="70"/>
  <c r="I197" i="70"/>
  <c r="Q64" i="71"/>
  <c r="Q4" i="70"/>
  <c r="Q25" i="70"/>
  <c r="Q44" i="70"/>
  <c r="M54" i="70"/>
  <c r="Q97" i="70"/>
  <c r="Q133" i="70"/>
  <c r="Q42" i="71"/>
  <c r="Q45" i="71"/>
  <c r="Q61" i="71"/>
  <c r="Q104" i="71"/>
  <c r="Q135" i="71"/>
  <c r="Q137" i="71"/>
  <c r="Q193" i="71"/>
  <c r="M197" i="71"/>
  <c r="Q11" i="70"/>
  <c r="Q189" i="70"/>
  <c r="Q40" i="71"/>
  <c r="Q87" i="71"/>
  <c r="Q12" i="72"/>
  <c r="I49" i="72"/>
  <c r="Q108" i="72"/>
  <c r="Q135" i="70"/>
  <c r="Q137" i="70"/>
  <c r="Q23" i="71"/>
  <c r="Q4" i="72"/>
  <c r="P28" i="72"/>
  <c r="Q42" i="72"/>
  <c r="Q45" i="72"/>
  <c r="Q37" i="71"/>
  <c r="Q86" i="71"/>
  <c r="Q126" i="71"/>
  <c r="Q161" i="71"/>
  <c r="Q59" i="72"/>
  <c r="Q84" i="72"/>
  <c r="Q87" i="72"/>
  <c r="I76" i="70"/>
  <c r="Q119" i="70"/>
  <c r="Q6" i="70"/>
  <c r="Q69" i="70"/>
  <c r="Q91" i="70"/>
  <c r="Q112" i="70"/>
  <c r="Q132" i="70"/>
  <c r="Q134" i="70"/>
  <c r="K157" i="70"/>
  <c r="Q59" i="71"/>
  <c r="Q106" i="71"/>
  <c r="Q121" i="71"/>
  <c r="Q181" i="71"/>
  <c r="Q27" i="72"/>
  <c r="N76" i="72"/>
  <c r="Q80" i="72"/>
  <c r="Q119" i="72"/>
  <c r="L197" i="72"/>
  <c r="Q150" i="72"/>
  <c r="Q180" i="72"/>
  <c r="N157" i="72"/>
  <c r="Q153" i="72"/>
  <c r="Q52" i="72"/>
  <c r="Q60" i="72"/>
  <c r="Q67" i="72"/>
  <c r="Q104" i="72"/>
  <c r="Q177" i="72"/>
  <c r="J201" i="72"/>
  <c r="Q5" i="72"/>
  <c r="K28" i="72"/>
  <c r="Q39" i="72"/>
  <c r="Q82" i="72"/>
  <c r="Q107" i="72"/>
  <c r="Q10" i="72"/>
  <c r="Q48" i="72"/>
  <c r="Q9" i="70"/>
  <c r="Q84" i="70"/>
  <c r="Q105" i="70"/>
  <c r="Q107" i="70"/>
  <c r="K194" i="70"/>
  <c r="Q6" i="71"/>
  <c r="I28" i="71"/>
  <c r="P63" i="71"/>
  <c r="Q60" i="71"/>
  <c r="Q62" i="71"/>
  <c r="Q80" i="71"/>
  <c r="Q109" i="71"/>
  <c r="Q152" i="71"/>
  <c r="Q175" i="71"/>
  <c r="Q23" i="72"/>
  <c r="Q51" i="72"/>
  <c r="Q147" i="72"/>
  <c r="Q176" i="72"/>
  <c r="Q144" i="72"/>
  <c r="Q186" i="72"/>
  <c r="H197" i="75"/>
  <c r="H17" i="73"/>
  <c r="H201" i="71"/>
  <c r="H201" i="70"/>
  <c r="H54" i="72"/>
  <c r="H148" i="75"/>
  <c r="H157" i="76"/>
  <c r="H148" i="71"/>
  <c r="H197" i="71"/>
  <c r="H201" i="72"/>
  <c r="H54" i="73"/>
  <c r="H49" i="70"/>
  <c r="H54" i="70"/>
  <c r="H128" i="70"/>
  <c r="H63" i="71"/>
  <c r="H63" i="75"/>
  <c r="H76" i="74"/>
  <c r="H54" i="71"/>
  <c r="H76" i="71"/>
  <c r="H128" i="71"/>
  <c r="H139" i="71"/>
  <c r="H148" i="72"/>
  <c r="H63" i="73"/>
  <c r="H63" i="72"/>
  <c r="H54" i="76"/>
  <c r="H49" i="72"/>
  <c r="H157" i="75"/>
  <c r="H49" i="71"/>
  <c r="H28" i="72"/>
  <c r="H128" i="72"/>
  <c r="H139" i="76"/>
  <c r="H28" i="73"/>
  <c r="H76" i="73"/>
  <c r="H128" i="73"/>
  <c r="H139" i="73"/>
  <c r="H148" i="73"/>
  <c r="H157" i="73"/>
  <c r="H28" i="71"/>
  <c r="H148" i="74"/>
  <c r="H49" i="73"/>
  <c r="H28" i="74"/>
  <c r="H194" i="73"/>
  <c r="H157" i="74"/>
  <c r="H28" i="76"/>
  <c r="L17" i="76"/>
  <c r="Q70" i="76"/>
  <c r="L128" i="76"/>
  <c r="O76" i="76"/>
  <c r="M28" i="76"/>
  <c r="M63" i="76"/>
  <c r="Q120" i="76"/>
  <c r="Q149" i="76"/>
  <c r="J157" i="76"/>
  <c r="N76" i="76"/>
  <c r="Q97" i="76"/>
  <c r="I128" i="76"/>
  <c r="Q153" i="76"/>
  <c r="Q151" i="76"/>
  <c r="L139" i="76"/>
  <c r="Q188" i="76"/>
  <c r="Q89" i="76"/>
  <c r="Q47" i="76"/>
  <c r="Q109" i="76"/>
  <c r="Q189" i="76"/>
  <c r="Q96" i="76"/>
  <c r="Q142" i="76"/>
  <c r="L148" i="75"/>
  <c r="Q200" i="75"/>
  <c r="J201" i="75"/>
  <c r="O17" i="75"/>
  <c r="O76" i="75"/>
  <c r="J157" i="75"/>
  <c r="Q149" i="75"/>
  <c r="O28" i="75"/>
  <c r="Q122" i="75"/>
  <c r="Q123" i="75"/>
  <c r="M157" i="75"/>
  <c r="Q19" i="75"/>
  <c r="P28" i="75"/>
  <c r="N63" i="75"/>
  <c r="Q193" i="75"/>
  <c r="Q196" i="75"/>
  <c r="Q86" i="75"/>
  <c r="J194" i="75"/>
  <c r="O139" i="75"/>
  <c r="J17" i="75"/>
  <c r="P63" i="75"/>
  <c r="Q79" i="75"/>
  <c r="Q80" i="75"/>
  <c r="Q102" i="75"/>
  <c r="Q37" i="75"/>
  <c r="O54" i="75"/>
  <c r="Q51" i="75"/>
  <c r="Q101" i="75"/>
  <c r="Q138" i="75"/>
  <c r="Q159" i="75"/>
  <c r="Q74" i="75"/>
  <c r="Q78" i="75"/>
  <c r="Q142" i="75"/>
  <c r="Q115" i="75"/>
  <c r="Q73" i="75"/>
  <c r="Q152" i="75"/>
  <c r="L28" i="74"/>
  <c r="M28" i="74"/>
  <c r="N28" i="74"/>
  <c r="Q25" i="74"/>
  <c r="J49" i="74"/>
  <c r="Q16" i="74"/>
  <c r="Q71" i="74"/>
  <c r="Q7" i="74"/>
  <c r="Q44" i="74"/>
  <c r="K54" i="74"/>
  <c r="Q88" i="74"/>
  <c r="Q104" i="74"/>
  <c r="H17" i="76"/>
  <c r="N28" i="73"/>
  <c r="Q11" i="73"/>
  <c r="N17" i="73"/>
  <c r="J63" i="73"/>
  <c r="Q55" i="73"/>
  <c r="J201" i="73"/>
  <c r="Q200" i="73"/>
  <c r="N139" i="73"/>
  <c r="Q99" i="73"/>
  <c r="M17" i="73"/>
  <c r="O63" i="73"/>
  <c r="Q151" i="73"/>
  <c r="N63" i="73"/>
  <c r="Q6" i="73"/>
  <c r="O157" i="73"/>
  <c r="J49" i="73"/>
  <c r="L139" i="73"/>
  <c r="Q134" i="73"/>
  <c r="J139" i="73"/>
  <c r="Q139" i="73" s="1"/>
  <c r="Q150" i="73"/>
  <c r="Q44" i="73"/>
  <c r="K54" i="73"/>
  <c r="Q187" i="73"/>
  <c r="Q122" i="73"/>
  <c r="K148" i="73"/>
  <c r="I139" i="73"/>
  <c r="I63" i="73"/>
  <c r="I77" i="73" s="1"/>
  <c r="O28" i="73"/>
  <c r="O76" i="73"/>
  <c r="O49" i="73"/>
  <c r="M128" i="73"/>
  <c r="Q35" i="73"/>
  <c r="N128" i="73"/>
  <c r="Q80" i="73"/>
  <c r="J17" i="73"/>
  <c r="Q27" i="73"/>
  <c r="L63" i="73"/>
  <c r="O128" i="73"/>
  <c r="J54" i="73"/>
  <c r="J77" i="73" s="1"/>
  <c r="Q62" i="73"/>
  <c r="Q79" i="73"/>
  <c r="L17" i="73"/>
  <c r="Q116" i="73"/>
  <c r="J28" i="73"/>
  <c r="Q18" i="73"/>
  <c r="O17" i="73"/>
  <c r="L49" i="73"/>
  <c r="N148" i="73"/>
  <c r="Q4" i="73"/>
  <c r="L28" i="73"/>
  <c r="M49" i="73"/>
  <c r="L76" i="73"/>
  <c r="Q64" i="73"/>
  <c r="J76" i="73"/>
  <c r="M28" i="73"/>
  <c r="M76" i="73"/>
  <c r="O139" i="73"/>
  <c r="N49" i="73"/>
  <c r="Q39" i="73"/>
  <c r="O54" i="73"/>
  <c r="P54" i="73"/>
  <c r="Q3" i="73"/>
  <c r="P76" i="73"/>
  <c r="Q78" i="73"/>
  <c r="L148" i="73"/>
  <c r="P148" i="73"/>
  <c r="P194" i="73"/>
  <c r="P28" i="74"/>
  <c r="Q28" i="74" s="1"/>
  <c r="Q18" i="74"/>
  <c r="N76" i="73"/>
  <c r="Q129" i="73"/>
  <c r="Q158" i="73"/>
  <c r="N17" i="74"/>
  <c r="N54" i="73"/>
  <c r="J128" i="73"/>
  <c r="M148" i="73"/>
  <c r="P157" i="73"/>
  <c r="I194" i="73"/>
  <c r="Q171" i="73"/>
  <c r="Q173" i="73"/>
  <c r="Q175" i="73"/>
  <c r="I63" i="74"/>
  <c r="P49" i="73"/>
  <c r="Q61" i="73"/>
  <c r="I157" i="73"/>
  <c r="J194" i="73"/>
  <c r="Q55" i="74"/>
  <c r="J63" i="74"/>
  <c r="J157" i="73"/>
  <c r="K194" i="73"/>
  <c r="J28" i="74"/>
  <c r="L128" i="73"/>
  <c r="O148" i="73"/>
  <c r="L194" i="73"/>
  <c r="P28" i="73"/>
  <c r="M139" i="73"/>
  <c r="I148" i="73"/>
  <c r="Q141" i="73"/>
  <c r="L157" i="73"/>
  <c r="M194" i="73"/>
  <c r="L197" i="73"/>
  <c r="Q3" i="74"/>
  <c r="J17" i="74"/>
  <c r="Q35" i="74"/>
  <c r="Q163" i="73"/>
  <c r="M197" i="73"/>
  <c r="Q36" i="74"/>
  <c r="P49" i="74"/>
  <c r="J54" i="74"/>
  <c r="J148" i="73"/>
  <c r="M157" i="73"/>
  <c r="N194" i="73"/>
  <c r="Q161" i="73"/>
  <c r="Q183" i="73"/>
  <c r="L17" i="74"/>
  <c r="J76" i="74"/>
  <c r="P63" i="73"/>
  <c r="Q63" i="73" s="1"/>
  <c r="Q136" i="73"/>
  <c r="N157" i="73"/>
  <c r="O194" i="73"/>
  <c r="Q159" i="73"/>
  <c r="O28" i="74"/>
  <c r="J128" i="74"/>
  <c r="N139" i="74"/>
  <c r="J157" i="74"/>
  <c r="L76" i="74"/>
  <c r="K128" i="74"/>
  <c r="Q68" i="74"/>
  <c r="Q149" i="73"/>
  <c r="N197" i="73"/>
  <c r="L63" i="74"/>
  <c r="M76" i="74"/>
  <c r="P139" i="74"/>
  <c r="Q129" i="74"/>
  <c r="L157" i="74"/>
  <c r="M17" i="74"/>
  <c r="Q41" i="74"/>
  <c r="Q45" i="74"/>
  <c r="Q52" i="74"/>
  <c r="Q66" i="74"/>
  <c r="Q86" i="74"/>
  <c r="H139" i="74"/>
  <c r="L148" i="74"/>
  <c r="Q14" i="74"/>
  <c r="L49" i="74"/>
  <c r="M63" i="74"/>
  <c r="Q118" i="74"/>
  <c r="M148" i="74"/>
  <c r="M194" i="74"/>
  <c r="Q195" i="73"/>
  <c r="P201" i="73"/>
  <c r="Q199" i="73"/>
  <c r="Q50" i="74"/>
  <c r="O76" i="74"/>
  <c r="Q98" i="74"/>
  <c r="O128" i="74"/>
  <c r="Q190" i="73"/>
  <c r="O17" i="74"/>
  <c r="N49" i="74"/>
  <c r="M49" i="74"/>
  <c r="P63" i="74"/>
  <c r="Q63" i="74" s="1"/>
  <c r="P128" i="74"/>
  <c r="H17" i="74"/>
  <c r="H34" i="74" s="1"/>
  <c r="P17" i="74"/>
  <c r="O49" i="74"/>
  <c r="Q56" i="74"/>
  <c r="Q59" i="74"/>
  <c r="O194" i="74"/>
  <c r="I17" i="74"/>
  <c r="H63" i="74"/>
  <c r="Q57" i="74"/>
  <c r="I76" i="74"/>
  <c r="N128" i="74"/>
  <c r="O157" i="74"/>
  <c r="Q93" i="74"/>
  <c r="Q156" i="74"/>
  <c r="Q176" i="74"/>
  <c r="I157" i="74"/>
  <c r="Q149" i="74"/>
  <c r="H128" i="74"/>
  <c r="Q78" i="74"/>
  <c r="Q96" i="74"/>
  <c r="O148" i="74"/>
  <c r="Q152" i="74"/>
  <c r="Q154" i="74"/>
  <c r="N194" i="74"/>
  <c r="N17" i="75"/>
  <c r="I128" i="74"/>
  <c r="Q97" i="74"/>
  <c r="P148" i="74"/>
  <c r="Q140" i="74"/>
  <c r="Q20" i="75"/>
  <c r="J28" i="75"/>
  <c r="Q28" i="75" s="1"/>
  <c r="Q50" i="75"/>
  <c r="J128" i="75"/>
  <c r="L28" i="75"/>
  <c r="M28" i="75"/>
  <c r="P54" i="74"/>
  <c r="L128" i="74"/>
  <c r="Q105" i="74"/>
  <c r="I139" i="74"/>
  <c r="Q135" i="74"/>
  <c r="J148" i="74"/>
  <c r="J194" i="74"/>
  <c r="I17" i="75"/>
  <c r="P76" i="74"/>
  <c r="Q113" i="74"/>
  <c r="J139" i="74"/>
  <c r="K148" i="74"/>
  <c r="K194" i="74"/>
  <c r="Q38" i="75"/>
  <c r="K76" i="75"/>
  <c r="Q64" i="74"/>
  <c r="M128" i="74"/>
  <c r="Q117" i="74"/>
  <c r="N157" i="74"/>
  <c r="Q121" i="74"/>
  <c r="L194" i="74"/>
  <c r="P49" i="75"/>
  <c r="P197" i="74"/>
  <c r="Q197" i="74" s="1"/>
  <c r="Q195" i="74"/>
  <c r="Q200" i="74"/>
  <c r="P201" i="74"/>
  <c r="M63" i="75"/>
  <c r="L49" i="75"/>
  <c r="L76" i="75"/>
  <c r="L128" i="75"/>
  <c r="K17" i="75"/>
  <c r="M49" i="75"/>
  <c r="M76" i="75"/>
  <c r="M128" i="75"/>
  <c r="J201" i="74"/>
  <c r="Q199" i="74"/>
  <c r="L17" i="75"/>
  <c r="Q67" i="75"/>
  <c r="N49" i="75"/>
  <c r="Q42" i="75"/>
  <c r="P54" i="75"/>
  <c r="Q62" i="75"/>
  <c r="N76" i="75"/>
  <c r="H194" i="74"/>
  <c r="P194" i="74"/>
  <c r="M17" i="75"/>
  <c r="O49" i="75"/>
  <c r="Q39" i="75"/>
  <c r="Q43" i="75"/>
  <c r="N54" i="75"/>
  <c r="Q56" i="75"/>
  <c r="Q75" i="75"/>
  <c r="H49" i="75"/>
  <c r="J63" i="75"/>
  <c r="Q55" i="75"/>
  <c r="H76" i="75"/>
  <c r="Q14" i="75"/>
  <c r="Q16" i="75"/>
  <c r="J49" i="75"/>
  <c r="I76" i="75"/>
  <c r="L194" i="75"/>
  <c r="Q141" i="74"/>
  <c r="Q10" i="75"/>
  <c r="Q12" i="75"/>
  <c r="Q15" i="75"/>
  <c r="Q99" i="75"/>
  <c r="M194" i="75"/>
  <c r="O201" i="74"/>
  <c r="H17" i="75"/>
  <c r="H34" i="75" s="1"/>
  <c r="P17" i="75"/>
  <c r="Q3" i="75"/>
  <c r="Q4" i="75"/>
  <c r="Q8" i="75"/>
  <c r="Q11" i="75"/>
  <c r="L63" i="75"/>
  <c r="J76" i="75"/>
  <c r="Q98" i="75"/>
  <c r="Q129" i="75"/>
  <c r="M54" i="75"/>
  <c r="H128" i="75"/>
  <c r="L139" i="75"/>
  <c r="I128" i="75"/>
  <c r="Q182" i="75"/>
  <c r="Q111" i="75"/>
  <c r="M139" i="75"/>
  <c r="Q134" i="75"/>
  <c r="J148" i="75"/>
  <c r="H194" i="75"/>
  <c r="O17" i="76"/>
  <c r="N63" i="76"/>
  <c r="K49" i="75"/>
  <c r="K148" i="75"/>
  <c r="I194" i="75"/>
  <c r="K128" i="75"/>
  <c r="L157" i="75"/>
  <c r="N28" i="76"/>
  <c r="L49" i="76"/>
  <c r="P76" i="75"/>
  <c r="I139" i="75"/>
  <c r="Q64" i="75"/>
  <c r="O148" i="75"/>
  <c r="O201" i="75"/>
  <c r="N128" i="75"/>
  <c r="P201" i="75"/>
  <c r="Q199" i="75"/>
  <c r="O128" i="75"/>
  <c r="Q137" i="75"/>
  <c r="O194" i="75"/>
  <c r="O63" i="75"/>
  <c r="P128" i="75"/>
  <c r="Q166" i="75"/>
  <c r="Q118" i="75"/>
  <c r="P148" i="75"/>
  <c r="N49" i="76"/>
  <c r="L63" i="76"/>
  <c r="O49" i="76"/>
  <c r="P49" i="76"/>
  <c r="M54" i="76"/>
  <c r="Q103" i="76"/>
  <c r="Q141" i="75"/>
  <c r="L197" i="75"/>
  <c r="K201" i="75"/>
  <c r="Q37" i="76"/>
  <c r="Q79" i="76"/>
  <c r="J128" i="76"/>
  <c r="O139" i="76"/>
  <c r="Q131" i="76"/>
  <c r="P139" i="76"/>
  <c r="N157" i="76"/>
  <c r="Q144" i="75"/>
  <c r="M197" i="75"/>
  <c r="L201" i="75"/>
  <c r="L194" i="76"/>
  <c r="N139" i="75"/>
  <c r="K194" i="75"/>
  <c r="Q180" i="75"/>
  <c r="Q192" i="75"/>
  <c r="J17" i="76"/>
  <c r="Q3" i="76"/>
  <c r="O28" i="76"/>
  <c r="Q19" i="76"/>
  <c r="O54" i="76"/>
  <c r="Q53" i="76"/>
  <c r="N194" i="76"/>
  <c r="Q146" i="75"/>
  <c r="K17" i="76"/>
  <c r="P28" i="76"/>
  <c r="H49" i="76"/>
  <c r="O63" i="76"/>
  <c r="Q56" i="76"/>
  <c r="Q57" i="76"/>
  <c r="H76" i="76"/>
  <c r="K128" i="76"/>
  <c r="O148" i="76"/>
  <c r="J76" i="76"/>
  <c r="Q64" i="76"/>
  <c r="O194" i="76"/>
  <c r="Q126" i="75"/>
  <c r="Q176" i="75"/>
  <c r="Q188" i="75"/>
  <c r="M17" i="76"/>
  <c r="H63" i="76"/>
  <c r="J139" i="76"/>
  <c r="Q129" i="76"/>
  <c r="N148" i="75"/>
  <c r="N157" i="75"/>
  <c r="N194" i="75"/>
  <c r="I28" i="76"/>
  <c r="K28" i="76"/>
  <c r="L76" i="76"/>
  <c r="Q88" i="76"/>
  <c r="M139" i="76"/>
  <c r="I148" i="76"/>
  <c r="J139" i="75"/>
  <c r="Q139" i="75" s="1"/>
  <c r="J28" i="76"/>
  <c r="J54" i="76"/>
  <c r="Q54" i="76" s="1"/>
  <c r="K54" i="76"/>
  <c r="J63" i="76"/>
  <c r="O128" i="76"/>
  <c r="P128" i="76"/>
  <c r="Q140" i="76"/>
  <c r="J148" i="76"/>
  <c r="K139" i="75"/>
  <c r="P194" i="75"/>
  <c r="Q160" i="75"/>
  <c r="Q164" i="75"/>
  <c r="Q4" i="76"/>
  <c r="P17" i="76"/>
  <c r="Q26" i="76"/>
  <c r="M49" i="76"/>
  <c r="K63" i="76"/>
  <c r="M76" i="76"/>
  <c r="K148" i="76"/>
  <c r="L157" i="76"/>
  <c r="Q51" i="76"/>
  <c r="P76" i="76"/>
  <c r="I17" i="76"/>
  <c r="Q55" i="76"/>
  <c r="M128" i="76"/>
  <c r="Q87" i="76"/>
  <c r="J194" i="76"/>
  <c r="Q158" i="76"/>
  <c r="J201" i="76"/>
  <c r="Q199" i="76"/>
  <c r="J49" i="76"/>
  <c r="N128" i="76"/>
  <c r="K194" i="76"/>
  <c r="Q175" i="76"/>
  <c r="L197" i="76"/>
  <c r="Q18" i="76"/>
  <c r="L148" i="76"/>
  <c r="Q111" i="76"/>
  <c r="K139" i="76"/>
  <c r="Q138" i="76"/>
  <c r="Q143" i="76"/>
  <c r="M194" i="76"/>
  <c r="Q196" i="76"/>
  <c r="Q40" i="76"/>
  <c r="Q65" i="76"/>
  <c r="N148" i="76"/>
  <c r="Q183" i="76"/>
  <c r="P201" i="76"/>
  <c r="Q200" i="76"/>
  <c r="H128" i="76"/>
  <c r="Q113" i="76"/>
  <c r="Q58" i="76"/>
  <c r="Q81" i="76"/>
  <c r="Q135" i="76"/>
  <c r="O157" i="76"/>
  <c r="Q154" i="76"/>
  <c r="Q171" i="76"/>
  <c r="Q195" i="75"/>
  <c r="I49" i="76"/>
  <c r="I77" i="76" s="1"/>
  <c r="Q83" i="76"/>
  <c r="Q127" i="76"/>
  <c r="N139" i="76"/>
  <c r="Q134" i="76"/>
  <c r="H148" i="76"/>
  <c r="P157" i="76"/>
  <c r="P194" i="76"/>
  <c r="Q179" i="76"/>
  <c r="H194" i="76"/>
  <c r="I194" i="76"/>
  <c r="Q185" i="76"/>
  <c r="P148" i="76"/>
  <c r="K201" i="76"/>
  <c r="Q161" i="76"/>
  <c r="Q173" i="76"/>
  <c r="O197" i="76"/>
  <c r="Q165" i="76"/>
  <c r="Q177" i="76"/>
  <c r="P197" i="76"/>
  <c r="Q197" i="76" s="1"/>
  <c r="M148" i="76"/>
  <c r="Q145" i="76"/>
  <c r="O201" i="76"/>
  <c r="Q19" i="70"/>
  <c r="J28" i="70"/>
  <c r="Q70" i="70"/>
  <c r="P139" i="70"/>
  <c r="Q141" i="70"/>
  <c r="Q20" i="70"/>
  <c r="Q175" i="70"/>
  <c r="Q12" i="70"/>
  <c r="Q103" i="70"/>
  <c r="O17" i="70"/>
  <c r="O157" i="72"/>
  <c r="Q13" i="70"/>
  <c r="Q16" i="70"/>
  <c r="Q79" i="70"/>
  <c r="Q72" i="70"/>
  <c r="K54" i="71"/>
  <c r="Q56" i="71"/>
  <c r="Q65" i="70"/>
  <c r="Q81" i="70"/>
  <c r="I128" i="70"/>
  <c r="Q100" i="70"/>
  <c r="Q161" i="70"/>
  <c r="L54" i="71"/>
  <c r="Q112" i="71"/>
  <c r="Q71" i="70"/>
  <c r="Q82" i="70"/>
  <c r="Q116" i="70"/>
  <c r="Q82" i="71"/>
  <c r="K128" i="71"/>
  <c r="P17" i="71"/>
  <c r="O54" i="71"/>
  <c r="K63" i="71"/>
  <c r="Q100" i="71"/>
  <c r="Q102" i="70"/>
  <c r="Q104" i="70"/>
  <c r="Q162" i="71"/>
  <c r="Q163" i="71"/>
  <c r="Q190" i="71"/>
  <c r="Q192" i="71"/>
  <c r="J201" i="71"/>
  <c r="Q40" i="72"/>
  <c r="Q155" i="72"/>
  <c r="Q186" i="70"/>
  <c r="Q16" i="71"/>
  <c r="K28" i="71"/>
  <c r="Q73" i="71"/>
  <c r="Q138" i="71"/>
  <c r="Q166" i="71"/>
  <c r="Q177" i="71"/>
  <c r="Q188" i="71"/>
  <c r="O197" i="71"/>
  <c r="Q61" i="72"/>
  <c r="Q154" i="72"/>
  <c r="Q189" i="72"/>
  <c r="Q53" i="71"/>
  <c r="Q90" i="71"/>
  <c r="Q94" i="71"/>
  <c r="Q103" i="71"/>
  <c r="I148" i="71"/>
  <c r="Q155" i="71"/>
  <c r="Q169" i="71"/>
  <c r="K17" i="72"/>
  <c r="M63" i="72"/>
  <c r="Q86" i="72"/>
  <c r="Q178" i="72"/>
  <c r="Q115" i="71"/>
  <c r="Q123" i="71"/>
  <c r="Q154" i="71"/>
  <c r="Q14" i="72"/>
  <c r="O128" i="72"/>
  <c r="Q124" i="72"/>
  <c r="Q152" i="70"/>
  <c r="Q156" i="70"/>
  <c r="Q185" i="70"/>
  <c r="I17" i="71"/>
  <c r="Q14" i="71"/>
  <c r="Q48" i="71"/>
  <c r="Q79" i="71"/>
  <c r="K148" i="71"/>
  <c r="Q145" i="71"/>
  <c r="M157" i="71"/>
  <c r="Q7" i="72"/>
  <c r="Q97" i="72"/>
  <c r="Q27" i="71"/>
  <c r="Q69" i="71"/>
  <c r="Q75" i="71"/>
  <c r="Q159" i="71"/>
  <c r="Q99" i="72"/>
  <c r="Q137" i="72"/>
  <c r="K76" i="71"/>
  <c r="Q150" i="71"/>
  <c r="Q6" i="72"/>
  <c r="Q26" i="72"/>
  <c r="I54" i="72"/>
  <c r="Q70" i="71"/>
  <c r="L148" i="71"/>
  <c r="O63" i="72"/>
  <c r="M28" i="72"/>
  <c r="I139" i="72"/>
  <c r="L197" i="71"/>
  <c r="O201" i="71"/>
  <c r="L28" i="72"/>
  <c r="Q191" i="72"/>
  <c r="N197" i="72"/>
  <c r="Q111" i="72"/>
  <c r="L157" i="72"/>
  <c r="Q93" i="71"/>
  <c r="Q116" i="71"/>
  <c r="Q144" i="71"/>
  <c r="Q9" i="72"/>
  <c r="Q62" i="72"/>
  <c r="Q75" i="72"/>
  <c r="Q110" i="72"/>
  <c r="Q141" i="72"/>
  <c r="K194" i="72"/>
  <c r="Q44" i="72"/>
  <c r="Q66" i="72"/>
  <c r="Q135" i="72"/>
  <c r="L194" i="72"/>
  <c r="Q162" i="72"/>
  <c r="K76" i="72"/>
  <c r="Q70" i="72"/>
  <c r="Q195" i="72"/>
  <c r="Q109" i="72"/>
  <c r="I157" i="72"/>
  <c r="Q167" i="72"/>
  <c r="N63" i="72"/>
  <c r="J49" i="72"/>
  <c r="Q43" i="72"/>
  <c r="M49" i="72"/>
  <c r="Q22" i="72"/>
  <c r="N17" i="72"/>
  <c r="Q21" i="72"/>
  <c r="L76" i="72"/>
  <c r="N128" i="72"/>
  <c r="L54" i="72"/>
  <c r="M148" i="72"/>
  <c r="I17" i="72"/>
  <c r="Q24" i="72"/>
  <c r="P194" i="72"/>
  <c r="Q193" i="72"/>
  <c r="Q16" i="72"/>
  <c r="I28" i="72"/>
  <c r="Q71" i="72"/>
  <c r="Q140" i="72"/>
  <c r="Q74" i="72"/>
  <c r="Q192" i="72"/>
  <c r="Q91" i="72"/>
  <c r="Q175" i="72"/>
  <c r="Q105" i="72"/>
  <c r="Q152" i="72"/>
  <c r="Q188" i="72"/>
  <c r="H17" i="72"/>
  <c r="H34" i="72" s="1"/>
  <c r="J54" i="72"/>
  <c r="Q50" i="72"/>
  <c r="O17" i="72"/>
  <c r="Q15" i="72"/>
  <c r="Q3" i="72"/>
  <c r="L128" i="72"/>
  <c r="M54" i="72"/>
  <c r="J28" i="72"/>
  <c r="N49" i="72"/>
  <c r="O49" i="72"/>
  <c r="J17" i="72"/>
  <c r="Q49" i="72"/>
  <c r="L17" i="72"/>
  <c r="N28" i="72"/>
  <c r="M17" i="72"/>
  <c r="O28" i="72"/>
  <c r="Q79" i="72"/>
  <c r="J128" i="72"/>
  <c r="Q35" i="72"/>
  <c r="K139" i="72"/>
  <c r="Q19" i="72"/>
  <c r="Q47" i="72"/>
  <c r="L63" i="72"/>
  <c r="O76" i="72"/>
  <c r="L139" i="72"/>
  <c r="P157" i="72"/>
  <c r="Q149" i="72"/>
  <c r="J139" i="72"/>
  <c r="K49" i="72"/>
  <c r="P76" i="72"/>
  <c r="P128" i="72"/>
  <c r="Q78" i="72"/>
  <c r="H157" i="72"/>
  <c r="Q112" i="72"/>
  <c r="M194" i="72"/>
  <c r="L201" i="72"/>
  <c r="M128" i="72"/>
  <c r="L49" i="72"/>
  <c r="P17" i="72"/>
  <c r="I76" i="72"/>
  <c r="O139" i="72"/>
  <c r="J157" i="72"/>
  <c r="O194" i="72"/>
  <c r="N194" i="72"/>
  <c r="Q196" i="72"/>
  <c r="J63" i="72"/>
  <c r="Q63" i="72" s="1"/>
  <c r="J76" i="72"/>
  <c r="Q64" i="72"/>
  <c r="Q73" i="72"/>
  <c r="K157" i="72"/>
  <c r="K128" i="72"/>
  <c r="Q187" i="72"/>
  <c r="J197" i="72"/>
  <c r="P201" i="72"/>
  <c r="Q200" i="72"/>
  <c r="I128" i="72"/>
  <c r="O54" i="72"/>
  <c r="I63" i="72"/>
  <c r="Q56" i="72"/>
  <c r="H139" i="72"/>
  <c r="P139" i="72"/>
  <c r="Q131" i="72"/>
  <c r="O148" i="72"/>
  <c r="Q163" i="72"/>
  <c r="Q171" i="72"/>
  <c r="J194" i="72"/>
  <c r="P54" i="72"/>
  <c r="Q55" i="72"/>
  <c r="P148" i="72"/>
  <c r="Q148" i="72" s="1"/>
  <c r="Q199" i="72"/>
  <c r="Q106" i="72"/>
  <c r="N148" i="72"/>
  <c r="H76" i="72"/>
  <c r="M139" i="72"/>
  <c r="Q151" i="72"/>
  <c r="Q98" i="72"/>
  <c r="N139" i="72"/>
  <c r="M157" i="72"/>
  <c r="H194" i="72"/>
  <c r="I194" i="72"/>
  <c r="Q72" i="72"/>
  <c r="Q102" i="72"/>
  <c r="O197" i="72"/>
  <c r="O201" i="72"/>
  <c r="P197" i="72"/>
  <c r="H17" i="71"/>
  <c r="H34" i="71" s="1"/>
  <c r="L49" i="71"/>
  <c r="M148" i="71"/>
  <c r="K49" i="71"/>
  <c r="Q66" i="71"/>
  <c r="Q122" i="71"/>
  <c r="K139" i="71"/>
  <c r="I139" i="71"/>
  <c r="N197" i="71"/>
  <c r="N148" i="71"/>
  <c r="N128" i="71"/>
  <c r="Q36" i="71"/>
  <c r="K157" i="71"/>
  <c r="M128" i="71"/>
  <c r="M63" i="71"/>
  <c r="N63" i="71"/>
  <c r="Q72" i="71"/>
  <c r="P128" i="71"/>
  <c r="Q180" i="71"/>
  <c r="Q113" i="71"/>
  <c r="Q114" i="71"/>
  <c r="Q156" i="71"/>
  <c r="K17" i="71"/>
  <c r="I49" i="71"/>
  <c r="Q58" i="71"/>
  <c r="Q102" i="71"/>
  <c r="P139" i="71"/>
  <c r="J148" i="71"/>
  <c r="I194" i="71"/>
  <c r="P28" i="71"/>
  <c r="Q57" i="71"/>
  <c r="M201" i="71"/>
  <c r="Q41" i="71"/>
  <c r="Q165" i="71"/>
  <c r="J139" i="71"/>
  <c r="Q176" i="71"/>
  <c r="N49" i="71"/>
  <c r="O63" i="71"/>
  <c r="M76" i="71"/>
  <c r="M54" i="71"/>
  <c r="Q50" i="71"/>
  <c r="J54" i="71"/>
  <c r="L76" i="71"/>
  <c r="J17" i="71"/>
  <c r="Q3" i="71"/>
  <c r="J28" i="71"/>
  <c r="O49" i="71"/>
  <c r="N76" i="71"/>
  <c r="O76" i="71"/>
  <c r="O128" i="71"/>
  <c r="Q149" i="71"/>
  <c r="J157" i="71"/>
  <c r="L17" i="71"/>
  <c r="Q5" i="71"/>
  <c r="N54" i="71"/>
  <c r="M17" i="71"/>
  <c r="Q12" i="71"/>
  <c r="O139" i="71"/>
  <c r="L157" i="71"/>
  <c r="N17" i="71"/>
  <c r="Q4" i="71"/>
  <c r="L28" i="71"/>
  <c r="Q51" i="71"/>
  <c r="Q52" i="71"/>
  <c r="O194" i="71"/>
  <c r="M49" i="71"/>
  <c r="O17" i="71"/>
  <c r="M28" i="71"/>
  <c r="N157" i="71"/>
  <c r="N28" i="71"/>
  <c r="J49" i="71"/>
  <c r="Q47" i="71"/>
  <c r="Q55" i="71"/>
  <c r="J63" i="71"/>
  <c r="O157" i="71"/>
  <c r="Q9" i="71"/>
  <c r="Q71" i="71"/>
  <c r="J128" i="71"/>
  <c r="Q128" i="71" s="1"/>
  <c r="Q46" i="71"/>
  <c r="I76" i="71"/>
  <c r="Q8" i="71"/>
  <c r="O28" i="71"/>
  <c r="Q19" i="71"/>
  <c r="L63" i="71"/>
  <c r="J76" i="71"/>
  <c r="L128" i="71"/>
  <c r="O148" i="71"/>
  <c r="H157" i="71"/>
  <c r="P54" i="71"/>
  <c r="P76" i="71"/>
  <c r="I128" i="71"/>
  <c r="Q78" i="71"/>
  <c r="N194" i="71"/>
  <c r="Q179" i="71"/>
  <c r="N201" i="71"/>
  <c r="Q18" i="71"/>
  <c r="Q195" i="71"/>
  <c r="J197" i="71"/>
  <c r="Q197" i="71" s="1"/>
  <c r="Q200" i="71"/>
  <c r="M194" i="71"/>
  <c r="I63" i="71"/>
  <c r="Q146" i="71"/>
  <c r="Q158" i="71"/>
  <c r="P201" i="71"/>
  <c r="Q201" i="71" s="1"/>
  <c r="Q199" i="71"/>
  <c r="P49" i="71"/>
  <c r="P148" i="71"/>
  <c r="Q140" i="71"/>
  <c r="L139" i="71"/>
  <c r="H194" i="71"/>
  <c r="M139" i="71"/>
  <c r="Q170" i="71"/>
  <c r="Q171" i="71"/>
  <c r="Q186" i="71"/>
  <c r="Q187" i="71"/>
  <c r="N139" i="71"/>
  <c r="J194" i="71"/>
  <c r="K194" i="71"/>
  <c r="P194" i="71"/>
  <c r="Q196" i="71"/>
  <c r="P157" i="71"/>
  <c r="Q151" i="71"/>
  <c r="L194" i="71"/>
  <c r="Q167" i="71"/>
  <c r="Q183" i="71"/>
  <c r="L201" i="71"/>
  <c r="M17" i="70"/>
  <c r="Q41" i="70"/>
  <c r="M28" i="70"/>
  <c r="O63" i="70"/>
  <c r="O148" i="70"/>
  <c r="M139" i="70"/>
  <c r="P17" i="70"/>
  <c r="Q73" i="70"/>
  <c r="Q89" i="70"/>
  <c r="Q90" i="70"/>
  <c r="Q23" i="70"/>
  <c r="Q40" i="70"/>
  <c r="Q86" i="70"/>
  <c r="Q87" i="70"/>
  <c r="Q88" i="70"/>
  <c r="Q39" i="70"/>
  <c r="P49" i="70"/>
  <c r="Q22" i="70"/>
  <c r="O54" i="70"/>
  <c r="Q8" i="70"/>
  <c r="M63" i="70"/>
  <c r="K17" i="70"/>
  <c r="I49" i="70"/>
  <c r="J54" i="70"/>
  <c r="Q101" i="70"/>
  <c r="L63" i="70"/>
  <c r="N28" i="70"/>
  <c r="N63" i="70"/>
  <c r="L28" i="70"/>
  <c r="Q35" i="70"/>
  <c r="J49" i="70"/>
  <c r="J17" i="70"/>
  <c r="L49" i="70"/>
  <c r="Q21" i="70"/>
  <c r="Q7" i="70"/>
  <c r="O28" i="70"/>
  <c r="Q45" i="70"/>
  <c r="L54" i="70"/>
  <c r="Q129" i="70"/>
  <c r="J139" i="70"/>
  <c r="N49" i="70"/>
  <c r="Q66" i="70"/>
  <c r="Q15" i="70"/>
  <c r="Q74" i="70"/>
  <c r="N17" i="70"/>
  <c r="Q158" i="70"/>
  <c r="J194" i="70"/>
  <c r="K76" i="70"/>
  <c r="K128" i="70"/>
  <c r="I157" i="70"/>
  <c r="I194" i="70"/>
  <c r="Q37" i="70"/>
  <c r="H17" i="70"/>
  <c r="Q3" i="70"/>
  <c r="J63" i="70"/>
  <c r="L76" i="70"/>
  <c r="J128" i="70"/>
  <c r="I17" i="70"/>
  <c r="N54" i="70"/>
  <c r="K63" i="70"/>
  <c r="M128" i="70"/>
  <c r="Q120" i="70"/>
  <c r="Q124" i="70"/>
  <c r="M148" i="70"/>
  <c r="H157" i="70"/>
  <c r="M49" i="70"/>
  <c r="M76" i="70"/>
  <c r="J201" i="70"/>
  <c r="Q199" i="70"/>
  <c r="O201" i="70"/>
  <c r="N76" i="70"/>
  <c r="N128" i="70"/>
  <c r="Q108" i="70"/>
  <c r="L194" i="70"/>
  <c r="L139" i="70"/>
  <c r="Q50" i="70"/>
  <c r="Q52" i="70"/>
  <c r="O76" i="70"/>
  <c r="P76" i="70"/>
  <c r="H139" i="70"/>
  <c r="Q131" i="70"/>
  <c r="H63" i="70"/>
  <c r="L17" i="70"/>
  <c r="O49" i="70"/>
  <c r="O128" i="70"/>
  <c r="N157" i="70"/>
  <c r="M194" i="70"/>
  <c r="M197" i="70"/>
  <c r="H76" i="70"/>
  <c r="Q92" i="70"/>
  <c r="H148" i="70"/>
  <c r="O157" i="70"/>
  <c r="Q191" i="70"/>
  <c r="P28" i="70"/>
  <c r="Q33" i="70" s="1"/>
  <c r="Q18" i="70"/>
  <c r="H28" i="70"/>
  <c r="Q78" i="70"/>
  <c r="Q80" i="70"/>
  <c r="P194" i="70"/>
  <c r="P201" i="70"/>
  <c r="Q200" i="70"/>
  <c r="P63" i="70"/>
  <c r="Q75" i="70"/>
  <c r="N148" i="70"/>
  <c r="Q155" i="70"/>
  <c r="N197" i="70"/>
  <c r="L128" i="70"/>
  <c r="Q165" i="70"/>
  <c r="Q181" i="70"/>
  <c r="L157" i="70"/>
  <c r="P197" i="70"/>
  <c r="J76" i="70"/>
  <c r="P148" i="70"/>
  <c r="Q140" i="70"/>
  <c r="M157" i="70"/>
  <c r="N139" i="70"/>
  <c r="N194" i="70"/>
  <c r="J148" i="70"/>
  <c r="O194" i="70"/>
  <c r="K148" i="70"/>
  <c r="Q195" i="70"/>
  <c r="J197" i="70"/>
  <c r="L201" i="70"/>
  <c r="O139" i="70"/>
  <c r="P157" i="70"/>
  <c r="Q157" i="70" s="1"/>
  <c r="Q173" i="70"/>
  <c r="Q149" i="70"/>
  <c r="H194" i="70"/>
  <c r="Q160" i="66"/>
  <c r="Q12" i="66"/>
  <c r="Q44" i="66"/>
  <c r="Q127" i="66"/>
  <c r="Q24" i="66"/>
  <c r="Q98" i="66"/>
  <c r="Q27" i="66"/>
  <c r="Q151" i="66"/>
  <c r="Q176" i="66"/>
  <c r="Q149" i="66"/>
  <c r="Q80" i="66"/>
  <c r="Q53" i="66"/>
  <c r="Q57" i="66"/>
  <c r="Q64" i="66"/>
  <c r="Q70" i="66"/>
  <c r="Q92" i="66"/>
  <c r="Q116" i="66"/>
  <c r="Q56" i="66"/>
  <c r="Q65" i="66"/>
  <c r="Q91" i="66"/>
  <c r="Q115" i="66"/>
  <c r="Q51" i="66"/>
  <c r="Q132" i="66"/>
  <c r="Q69" i="66"/>
  <c r="Q79" i="66"/>
  <c r="Q21" i="66"/>
  <c r="Q40" i="66"/>
  <c r="Q4" i="66"/>
  <c r="Q186" i="66"/>
  <c r="Q188" i="66"/>
  <c r="Q199" i="66"/>
  <c r="Q110" i="66"/>
  <c r="Q104" i="66"/>
  <c r="Q86" i="66"/>
  <c r="Q112" i="66"/>
  <c r="Q125" i="66"/>
  <c r="Q42" i="66"/>
  <c r="Q141" i="66"/>
  <c r="Q113" i="66"/>
  <c r="Q97" i="66"/>
  <c r="Q173" i="66"/>
  <c r="Q187" i="66"/>
  <c r="Q172" i="66"/>
  <c r="Q161" i="66"/>
  <c r="Q55" i="66"/>
  <c r="Q62" i="66"/>
  <c r="Q196" i="66"/>
  <c r="Q133" i="66"/>
  <c r="Q184" i="66"/>
  <c r="Q200" i="66"/>
  <c r="Q7" i="66"/>
  <c r="Q15" i="66"/>
  <c r="Q18" i="66"/>
  <c r="Q26" i="66"/>
  <c r="Q37" i="66"/>
  <c r="Q101" i="66"/>
  <c r="Q120" i="66"/>
  <c r="Q122" i="66"/>
  <c r="Q124" i="66"/>
  <c r="Q126" i="66"/>
  <c r="Q167" i="66"/>
  <c r="Q48" i="66"/>
  <c r="Q89" i="66"/>
  <c r="Q138" i="66"/>
  <c r="Q143" i="66"/>
  <c r="Q174" i="66"/>
  <c r="Q103" i="66"/>
  <c r="Q73" i="66"/>
  <c r="Q175" i="66"/>
  <c r="Q107" i="66"/>
  <c r="Q162" i="66"/>
  <c r="Q164" i="66"/>
  <c r="Q137" i="66"/>
  <c r="Q78" i="66"/>
  <c r="Q94" i="66"/>
  <c r="Q191" i="66"/>
  <c r="Q8" i="66"/>
  <c r="Q10" i="66"/>
  <c r="Q14" i="66"/>
  <c r="Q16" i="66"/>
  <c r="Q19" i="66"/>
  <c r="Q119" i="66"/>
  <c r="Q106" i="66"/>
  <c r="Q181" i="66"/>
  <c r="Q3" i="66"/>
  <c r="Q5" i="66"/>
  <c r="Q88" i="66"/>
  <c r="Q90" i="66"/>
  <c r="Q105" i="66"/>
  <c r="Q118" i="66"/>
  <c r="Q130" i="66"/>
  <c r="Q134" i="66"/>
  <c r="Q136" i="66"/>
  <c r="Q166" i="66"/>
  <c r="Q58" i="66"/>
  <c r="Q60" i="66"/>
  <c r="Q109" i="66"/>
  <c r="Q20" i="66"/>
  <c r="Q111" i="66"/>
  <c r="Q61" i="66"/>
  <c r="Q22" i="66"/>
  <c r="Q35" i="66"/>
  <c r="Q71" i="66"/>
  <c r="Q75" i="66"/>
  <c r="Q96" i="66"/>
  <c r="Q145" i="66"/>
  <c r="Q147" i="66"/>
  <c r="Q170" i="66"/>
  <c r="Q11" i="66"/>
  <c r="Q168" i="66"/>
  <c r="Q39" i="66"/>
  <c r="Q41" i="66"/>
  <c r="Q43" i="66"/>
  <c r="Q45" i="66"/>
  <c r="Q47" i="66"/>
  <c r="Q81" i="66"/>
  <c r="Q83" i="66"/>
  <c r="Q85" i="66"/>
  <c r="Q100" i="66"/>
  <c r="Q117" i="66"/>
  <c r="Q129" i="66"/>
  <c r="Q150" i="66"/>
  <c r="Q154" i="66"/>
  <c r="Q156" i="66"/>
  <c r="Q159" i="66"/>
  <c r="Q163" i="66"/>
  <c r="Q178" i="66"/>
  <c r="Q180" i="66"/>
  <c r="Q182" i="66"/>
  <c r="Q190" i="66"/>
  <c r="Q192" i="66"/>
  <c r="Q13" i="66"/>
  <c r="Q6" i="66"/>
  <c r="Q87" i="66"/>
  <c r="Q102" i="66"/>
  <c r="Q131" i="66"/>
  <c r="Q165" i="66"/>
  <c r="Q195" i="66"/>
  <c r="Q50" i="66"/>
  <c r="Q52" i="66"/>
  <c r="Q108" i="66"/>
  <c r="Q135" i="66"/>
  <c r="Q93" i="66"/>
  <c r="Q140" i="66"/>
  <c r="Q142" i="66"/>
  <c r="Q169" i="66"/>
  <c r="Q59" i="66"/>
  <c r="Q123" i="66"/>
  <c r="Q66" i="66"/>
  <c r="Q68" i="66"/>
  <c r="Q23" i="66"/>
  <c r="Q25" i="66"/>
  <c r="Q36" i="66"/>
  <c r="Q38" i="66"/>
  <c r="Q72" i="66"/>
  <c r="Q74" i="66"/>
  <c r="Q95" i="66"/>
  <c r="Q114" i="66"/>
  <c r="Q144" i="66"/>
  <c r="Q146" i="66"/>
  <c r="Q121" i="66"/>
  <c r="Q67" i="66"/>
  <c r="Q9" i="66"/>
  <c r="Q46" i="66"/>
  <c r="Q82" i="66"/>
  <c r="Q84" i="66"/>
  <c r="Q99" i="66"/>
  <c r="Q153" i="66"/>
  <c r="Q155" i="66"/>
  <c r="Q158" i="66"/>
  <c r="Q171" i="66"/>
  <c r="Q177" i="66"/>
  <c r="Q179" i="66"/>
  <c r="Q183" i="66"/>
  <c r="Q185" i="66"/>
  <c r="Q189" i="66"/>
  <c r="Q193" i="66"/>
  <c r="H34" i="76" l="1"/>
  <c r="H34" i="73"/>
  <c r="L198" i="76"/>
  <c r="Q157" i="75"/>
  <c r="Q201" i="75"/>
  <c r="Q157" i="74"/>
  <c r="N77" i="74"/>
  <c r="Q128" i="73"/>
  <c r="Q17" i="73"/>
  <c r="M77" i="72"/>
  <c r="Q201" i="72"/>
  <c r="Q63" i="71"/>
  <c r="K198" i="71"/>
  <c r="H34" i="70"/>
  <c r="Q54" i="70"/>
  <c r="Q28" i="70"/>
  <c r="I77" i="70"/>
  <c r="Q128" i="70"/>
  <c r="Q139" i="70"/>
  <c r="Q194" i="70"/>
  <c r="Q63" i="75"/>
  <c r="Q148" i="75"/>
  <c r="Q54" i="75"/>
  <c r="Q139" i="74"/>
  <c r="Q194" i="75"/>
  <c r="J77" i="74"/>
  <c r="M198" i="74"/>
  <c r="Q194" i="76"/>
  <c r="I77" i="75"/>
  <c r="Q201" i="73"/>
  <c r="K77" i="73"/>
  <c r="K202" i="73" s="1"/>
  <c r="Q63" i="76"/>
  <c r="O77" i="75"/>
  <c r="K198" i="73"/>
  <c r="K77" i="74"/>
  <c r="Q49" i="70"/>
  <c r="P198" i="71"/>
  <c r="P202" i="71" s="1"/>
  <c r="L77" i="71"/>
  <c r="I198" i="70"/>
  <c r="I202" i="70" s="1"/>
  <c r="K77" i="70"/>
  <c r="Q28" i="71"/>
  <c r="Q54" i="72"/>
  <c r="Q28" i="72"/>
  <c r="Q194" i="72"/>
  <c r="K77" i="71"/>
  <c r="K202" i="71" s="1"/>
  <c r="K77" i="72"/>
  <c r="L198" i="72"/>
  <c r="O198" i="72"/>
  <c r="H77" i="71"/>
  <c r="H77" i="72"/>
  <c r="H198" i="75"/>
  <c r="H198" i="73"/>
  <c r="H77" i="73"/>
  <c r="H77" i="74"/>
  <c r="J198" i="76"/>
  <c r="N77" i="76"/>
  <c r="Q139" i="76"/>
  <c r="I198" i="76"/>
  <c r="N198" i="76"/>
  <c r="Q28" i="76"/>
  <c r="O198" i="76"/>
  <c r="Q157" i="76"/>
  <c r="M77" i="76"/>
  <c r="K77" i="76"/>
  <c r="O198" i="75"/>
  <c r="N198" i="75"/>
  <c r="K77" i="75"/>
  <c r="L198" i="74"/>
  <c r="I77" i="74"/>
  <c r="I202" i="74" s="1"/>
  <c r="M77" i="74"/>
  <c r="M202" i="74"/>
  <c r="Q148" i="74"/>
  <c r="O77" i="74"/>
  <c r="Q54" i="74"/>
  <c r="Q194" i="74"/>
  <c r="Q76" i="74"/>
  <c r="H77" i="76"/>
  <c r="I198" i="73"/>
  <c r="I202" i="73" s="1"/>
  <c r="Q54" i="73"/>
  <c r="M77" i="73"/>
  <c r="P198" i="73"/>
  <c r="J77" i="76"/>
  <c r="P198" i="74"/>
  <c r="Q128" i="74"/>
  <c r="Q28" i="73"/>
  <c r="M198" i="75"/>
  <c r="P198" i="76"/>
  <c r="Q128" i="76"/>
  <c r="M77" i="75"/>
  <c r="N198" i="74"/>
  <c r="N202" i="74" s="1"/>
  <c r="K198" i="74"/>
  <c r="K202" i="74" s="1"/>
  <c r="P77" i="73"/>
  <c r="Q77" i="73" s="1"/>
  <c r="Q49" i="73"/>
  <c r="H77" i="75"/>
  <c r="P77" i="75"/>
  <c r="Q77" i="75" s="1"/>
  <c r="Q49" i="75"/>
  <c r="J198" i="75"/>
  <c r="N77" i="73"/>
  <c r="N198" i="73"/>
  <c r="Q201" i="74"/>
  <c r="P198" i="75"/>
  <c r="Q128" i="75"/>
  <c r="Q76" i="75"/>
  <c r="L77" i="76"/>
  <c r="L202" i="76" s="1"/>
  <c r="L198" i="75"/>
  <c r="J202" i="74"/>
  <c r="L198" i="73"/>
  <c r="M198" i="73"/>
  <c r="Q17" i="74"/>
  <c r="H198" i="76"/>
  <c r="Q17" i="76"/>
  <c r="H198" i="74"/>
  <c r="J198" i="74"/>
  <c r="Q194" i="73"/>
  <c r="P77" i="74"/>
  <c r="Q77" i="74" s="1"/>
  <c r="Q49" i="74"/>
  <c r="M198" i="76"/>
  <c r="K198" i="76"/>
  <c r="N77" i="75"/>
  <c r="N202" i="75" s="1"/>
  <c r="L77" i="75"/>
  <c r="Q148" i="73"/>
  <c r="O77" i="73"/>
  <c r="O202" i="73" s="1"/>
  <c r="Q201" i="76"/>
  <c r="P77" i="76"/>
  <c r="Q49" i="76"/>
  <c r="K198" i="75"/>
  <c r="O198" i="74"/>
  <c r="L77" i="74"/>
  <c r="Q157" i="73"/>
  <c r="L77" i="73"/>
  <c r="Q148" i="76"/>
  <c r="O77" i="76"/>
  <c r="I198" i="75"/>
  <c r="Q17" i="75"/>
  <c r="J77" i="75"/>
  <c r="Q76" i="76"/>
  <c r="I198" i="74"/>
  <c r="J198" i="73"/>
  <c r="Q76" i="73"/>
  <c r="O198" i="73"/>
  <c r="I77" i="71"/>
  <c r="M198" i="71"/>
  <c r="M77" i="71"/>
  <c r="N77" i="72"/>
  <c r="Q197" i="70"/>
  <c r="Q148" i="71"/>
  <c r="N77" i="71"/>
  <c r="I77" i="72"/>
  <c r="J77" i="72"/>
  <c r="N198" i="72"/>
  <c r="H198" i="72"/>
  <c r="I198" i="72"/>
  <c r="Q128" i="72"/>
  <c r="P198" i="72"/>
  <c r="J198" i="72"/>
  <c r="P77" i="72"/>
  <c r="M198" i="72"/>
  <c r="M202" i="72" s="1"/>
  <c r="O77" i="72"/>
  <c r="Q76" i="72"/>
  <c r="K198" i="72"/>
  <c r="K202" i="72" s="1"/>
  <c r="Q197" i="72"/>
  <c r="Q17" i="72"/>
  <c r="Q139" i="72"/>
  <c r="L77" i="72"/>
  <c r="Q157" i="72"/>
  <c r="H198" i="71"/>
  <c r="N198" i="71"/>
  <c r="Q34" i="71"/>
  <c r="I198" i="71"/>
  <c r="Q139" i="71"/>
  <c r="Q76" i="71"/>
  <c r="Q17" i="71"/>
  <c r="Q54" i="71"/>
  <c r="O198" i="71"/>
  <c r="J198" i="71"/>
  <c r="Q157" i="71"/>
  <c r="L198" i="71"/>
  <c r="L202" i="71" s="1"/>
  <c r="O77" i="71"/>
  <c r="Q194" i="71"/>
  <c r="J77" i="71"/>
  <c r="P77" i="71"/>
  <c r="Q49" i="71"/>
  <c r="Q201" i="70"/>
  <c r="L198" i="70"/>
  <c r="K198" i="70"/>
  <c r="H198" i="70"/>
  <c r="H77" i="70"/>
  <c r="O198" i="70"/>
  <c r="L77" i="70"/>
  <c r="O77" i="70"/>
  <c r="N198" i="70"/>
  <c r="M198" i="70"/>
  <c r="N77" i="70"/>
  <c r="J77" i="70"/>
  <c r="Q63" i="70"/>
  <c r="Q148" i="70"/>
  <c r="P198" i="70"/>
  <c r="Q76" i="70"/>
  <c r="J198" i="70"/>
  <c r="M77" i="70"/>
  <c r="Q17" i="70"/>
  <c r="P77" i="70"/>
  <c r="I73" i="66" a="1"/>
  <c r="I73" i="66" s="1"/>
  <c r="I200" i="66"/>
  <c r="I199" i="66"/>
  <c r="I196" i="66"/>
  <c r="I195"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6" i="66"/>
  <c r="I155" i="66"/>
  <c r="I154" i="66"/>
  <c r="I153" i="66"/>
  <c r="I152" i="66"/>
  <c r="I151" i="66"/>
  <c r="I150" i="66"/>
  <c r="I149" i="66"/>
  <c r="I147" i="66"/>
  <c r="I146" i="66"/>
  <c r="I145" i="66"/>
  <c r="I144" i="66"/>
  <c r="I143" i="66"/>
  <c r="I142" i="66"/>
  <c r="I141" i="66"/>
  <c r="I140" i="66"/>
  <c r="I138" i="66"/>
  <c r="I137" i="66"/>
  <c r="I136" i="66"/>
  <c r="I135" i="66"/>
  <c r="I134" i="66"/>
  <c r="I133" i="66"/>
  <c r="I132" i="66"/>
  <c r="I131" i="66"/>
  <c r="I130" i="66"/>
  <c r="I129"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5" i="66"/>
  <c r="I74" i="66"/>
  <c r="I71" i="66"/>
  <c r="I70" i="66"/>
  <c r="I69" i="66"/>
  <c r="I68" i="66"/>
  <c r="I67" i="66"/>
  <c r="I66" i="66"/>
  <c r="I65" i="66"/>
  <c r="I64" i="66"/>
  <c r="I62" i="66"/>
  <c r="I61" i="66"/>
  <c r="I60" i="66"/>
  <c r="I59" i="66"/>
  <c r="I58" i="66"/>
  <c r="I57" i="66"/>
  <c r="I56" i="66"/>
  <c r="I55" i="66"/>
  <c r="I53" i="66"/>
  <c r="I52" i="66"/>
  <c r="I51" i="66"/>
  <c r="I50" i="66"/>
  <c r="I48" i="66"/>
  <c r="I47" i="66"/>
  <c r="I46" i="66"/>
  <c r="I45" i="66"/>
  <c r="I44" i="66"/>
  <c r="I43" i="66"/>
  <c r="I42" i="66"/>
  <c r="I41" i="66"/>
  <c r="I40" i="66"/>
  <c r="I39" i="66"/>
  <c r="I38" i="66"/>
  <c r="I37" i="66"/>
  <c r="I36" i="66"/>
  <c r="I35" i="66"/>
  <c r="I27" i="66"/>
  <c r="I26" i="66"/>
  <c r="I25" i="66"/>
  <c r="I24" i="66"/>
  <c r="I23" i="66"/>
  <c r="I22" i="66"/>
  <c r="I21" i="66"/>
  <c r="I20" i="66"/>
  <c r="I19" i="66"/>
  <c r="I18" i="66"/>
  <c r="I16" i="66"/>
  <c r="I15" i="66"/>
  <c r="I14" i="66"/>
  <c r="I13" i="66"/>
  <c r="I12" i="66"/>
  <c r="I11" i="66"/>
  <c r="I10" i="66"/>
  <c r="I9" i="66"/>
  <c r="I8" i="66"/>
  <c r="I7" i="66"/>
  <c r="I6" i="66"/>
  <c r="I5" i="66"/>
  <c r="I4" i="66"/>
  <c r="I3" i="66"/>
  <c r="J201" i="66"/>
  <c r="K201" i="66"/>
  <c r="L201" i="66"/>
  <c r="M201" i="66"/>
  <c r="N201" i="66"/>
  <c r="O201" i="66"/>
  <c r="P201" i="66"/>
  <c r="J197" i="66"/>
  <c r="K197" i="66"/>
  <c r="L197" i="66"/>
  <c r="M197" i="66"/>
  <c r="N197" i="66"/>
  <c r="O197" i="66"/>
  <c r="P197" i="66"/>
  <c r="J194" i="66"/>
  <c r="K194" i="66"/>
  <c r="L194" i="66"/>
  <c r="M194" i="66"/>
  <c r="N194" i="66"/>
  <c r="O194" i="66"/>
  <c r="P194" i="66"/>
  <c r="J157" i="66"/>
  <c r="K157" i="66"/>
  <c r="L157" i="66"/>
  <c r="M157" i="66"/>
  <c r="N157" i="66"/>
  <c r="O157" i="66"/>
  <c r="P157" i="66"/>
  <c r="J148" i="66"/>
  <c r="K148" i="66"/>
  <c r="L148" i="66"/>
  <c r="M148" i="66"/>
  <c r="N148" i="66"/>
  <c r="O148" i="66"/>
  <c r="P148" i="66"/>
  <c r="J139" i="66"/>
  <c r="K139" i="66"/>
  <c r="L139" i="66"/>
  <c r="M139" i="66"/>
  <c r="N139" i="66"/>
  <c r="O139" i="66"/>
  <c r="P139" i="66"/>
  <c r="J128" i="66"/>
  <c r="K128" i="66"/>
  <c r="L128" i="66"/>
  <c r="M128" i="66"/>
  <c r="N128" i="66"/>
  <c r="O128" i="66"/>
  <c r="P128" i="66"/>
  <c r="M76" i="66"/>
  <c r="N76" i="66"/>
  <c r="O76" i="66"/>
  <c r="P76" i="66"/>
  <c r="J63" i="66"/>
  <c r="K63" i="66"/>
  <c r="L63" i="66"/>
  <c r="M63" i="66"/>
  <c r="N63" i="66"/>
  <c r="O63" i="66"/>
  <c r="P63" i="66"/>
  <c r="J54" i="66"/>
  <c r="K54" i="66"/>
  <c r="L54" i="66"/>
  <c r="M54" i="66"/>
  <c r="N54" i="66"/>
  <c r="O54" i="66"/>
  <c r="P54" i="66"/>
  <c r="J49" i="66"/>
  <c r="K49" i="66"/>
  <c r="L49" i="66"/>
  <c r="M49" i="66"/>
  <c r="N49" i="66"/>
  <c r="O49" i="66"/>
  <c r="P49" i="66"/>
  <c r="J28" i="66"/>
  <c r="K28" i="66"/>
  <c r="L28" i="66"/>
  <c r="M28" i="66"/>
  <c r="N28" i="66"/>
  <c r="O28" i="66"/>
  <c r="P28" i="66"/>
  <c r="J17" i="66"/>
  <c r="K17" i="66"/>
  <c r="L17" i="66"/>
  <c r="M17" i="66"/>
  <c r="N17" i="66"/>
  <c r="O17" i="66"/>
  <c r="P17" i="66"/>
  <c r="J202" i="76" l="1"/>
  <c r="Q77" i="76"/>
  <c r="Q198" i="76"/>
  <c r="O202" i="75"/>
  <c r="K202" i="75"/>
  <c r="Q198" i="75"/>
  <c r="I202" i="75"/>
  <c r="L202" i="74"/>
  <c r="Q77" i="72"/>
  <c r="Q198" i="71"/>
  <c r="I202" i="71"/>
  <c r="H202" i="75"/>
  <c r="H202" i="70"/>
  <c r="M202" i="76"/>
  <c r="N202" i="76"/>
  <c r="J202" i="75"/>
  <c r="Q198" i="74"/>
  <c r="O202" i="76"/>
  <c r="Q198" i="73"/>
  <c r="N202" i="71"/>
  <c r="K202" i="70"/>
  <c r="L202" i="72"/>
  <c r="N202" i="72"/>
  <c r="H202" i="72"/>
  <c r="H202" i="74"/>
  <c r="H202" i="71"/>
  <c r="H202" i="73"/>
  <c r="I202" i="76"/>
  <c r="K202" i="76"/>
  <c r="L202" i="75"/>
  <c r="M202" i="75"/>
  <c r="O202" i="74"/>
  <c r="H202" i="76"/>
  <c r="L202" i="73"/>
  <c r="M202" i="73"/>
  <c r="J202" i="73"/>
  <c r="P202" i="73"/>
  <c r="Q202" i="73" s="1"/>
  <c r="Q34" i="73"/>
  <c r="N202" i="73"/>
  <c r="P202" i="76"/>
  <c r="Q34" i="76"/>
  <c r="P202" i="74"/>
  <c r="Q202" i="74" s="1"/>
  <c r="Q34" i="74"/>
  <c r="P202" i="75"/>
  <c r="Q34" i="75"/>
  <c r="J202" i="70"/>
  <c r="M202" i="71"/>
  <c r="O202" i="70"/>
  <c r="Q77" i="71"/>
  <c r="Q198" i="70"/>
  <c r="O202" i="72"/>
  <c r="I202" i="72"/>
  <c r="J202" i="72"/>
  <c r="Q198" i="72"/>
  <c r="P202" i="72"/>
  <c r="Q202" i="72" s="1"/>
  <c r="Q34" i="72"/>
  <c r="J202" i="71"/>
  <c r="Q202" i="71" s="1"/>
  <c r="O202" i="71"/>
  <c r="L202" i="70"/>
  <c r="N202" i="70"/>
  <c r="Q77" i="70"/>
  <c r="M202" i="70"/>
  <c r="P202" i="70"/>
  <c r="Q34" i="70"/>
  <c r="Q54" i="66"/>
  <c r="Q201" i="66"/>
  <c r="Q28" i="66"/>
  <c r="Q194" i="66"/>
  <c r="I201" i="66"/>
  <c r="Q139" i="66"/>
  <c r="Q157" i="66"/>
  <c r="Q49" i="66"/>
  <c r="Q197" i="66"/>
  <c r="Q17" i="66"/>
  <c r="Q128" i="66"/>
  <c r="Q63" i="66"/>
  <c r="Q148" i="66"/>
  <c r="P77" i="66"/>
  <c r="O77" i="66"/>
  <c r="O198" i="66"/>
  <c r="L76" i="66"/>
  <c r="L77" i="66" s="1"/>
  <c r="K76" i="66"/>
  <c r="K77" i="66" s="1"/>
  <c r="J76" i="66"/>
  <c r="J77" i="66" s="1"/>
  <c r="I197" i="66"/>
  <c r="I54" i="66"/>
  <c r="I157" i="66"/>
  <c r="I128" i="66"/>
  <c r="I194" i="66"/>
  <c r="J198" i="66"/>
  <c r="I148" i="66"/>
  <c r="N198" i="66"/>
  <c r="L198" i="66"/>
  <c r="K198" i="66"/>
  <c r="I28" i="66"/>
  <c r="I139" i="66"/>
  <c r="N77" i="66"/>
  <c r="I63" i="66"/>
  <c r="M77" i="66"/>
  <c r="M198" i="66"/>
  <c r="I49" i="66"/>
  <c r="I76" i="66"/>
  <c r="P198" i="66"/>
  <c r="I17" i="66"/>
  <c r="Q202" i="76" l="1"/>
  <c r="Q202" i="75"/>
  <c r="Q202" i="70"/>
  <c r="Q34" i="66"/>
  <c r="Q77" i="66"/>
  <c r="Q76" i="66"/>
  <c r="Q198" i="66"/>
  <c r="K202" i="66"/>
  <c r="M202" i="66"/>
  <c r="O202" i="66"/>
  <c r="P202" i="66"/>
  <c r="N202" i="66"/>
  <c r="L202" i="66"/>
  <c r="J202" i="66"/>
  <c r="I77" i="66"/>
  <c r="I198" i="66"/>
  <c r="Q202" i="66" l="1"/>
  <c r="I202" i="66"/>
  <c r="H201" i="66" l="1"/>
  <c r="H197" i="66"/>
  <c r="H148" i="66" l="1"/>
  <c r="H194" i="66"/>
  <c r="H63" i="66"/>
  <c r="H76" i="66"/>
  <c r="H49" i="66"/>
  <c r="H157" i="66"/>
  <c r="H17" i="66"/>
  <c r="H128" i="66"/>
  <c r="H28" i="66"/>
  <c r="H54" i="66"/>
  <c r="H139" i="66"/>
  <c r="H34" i="66" l="1"/>
  <c r="H198" i="66"/>
  <c r="H77" i="66"/>
  <c r="H202" i="6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<sst xmlns="http://schemas.openxmlformats.org/spreadsheetml/2006/main" count="5257" uniqueCount="339">
  <si>
    <r>
      <t xml:space="preserve">Instruction: </t>
    </r>
    <r>
      <rPr>
        <i/>
        <sz val="12"/>
        <color theme="0"/>
        <rFont val="Calibri"/>
        <family val="2"/>
        <scheme val="minor"/>
      </rPr>
      <t>Click on the required data table to move to the table worksheet.</t>
    </r>
  </si>
  <si>
    <t>Data Tables</t>
  </si>
  <si>
    <t>Table Summary</t>
  </si>
  <si>
    <t>Glossary</t>
  </si>
  <si>
    <t>App Comparative Report Summary</t>
  </si>
  <si>
    <t>Term</t>
  </si>
  <si>
    <t>Definition</t>
  </si>
  <si>
    <t>Accepted</t>
  </si>
  <si>
    <t>Applicant is Accepted or Conditionally Accepted (Paid their deposit) and can now register. It is important to note that accepted deferred applications are excluded.</t>
  </si>
  <si>
    <t>Conversion Rate</t>
  </si>
  <si>
    <t>Is the percentage of enrolled applicants in a specific program out of the total accepted applicants.</t>
  </si>
  <si>
    <t>Declined</t>
  </si>
  <si>
    <t>Applicant declined the offer of admission.</t>
  </si>
  <si>
    <t>Denied</t>
  </si>
  <si>
    <t>Application is denied by the college as the applicant did not meet requirements (Admissions usually advise applicants on requirements that offered at the College for example upgrading).</t>
  </si>
  <si>
    <t>Enrolled</t>
  </si>
  <si>
    <t>Applicant is Accepted or Conditionally Accepted (Paid their deposit) and registered in the program.</t>
  </si>
  <si>
    <t>Refers to an applicant with current legal status as a Student Visa, or Other Visa (e.g. Work Visa).</t>
  </si>
  <si>
    <t>KPI</t>
  </si>
  <si>
    <t>Key performance indicators (KPIs) is a way to track and measure performance of the institution particularly in the projections and enrolment aspect of the college business by providing meaningful data.</t>
  </si>
  <si>
    <t>Payment Pending</t>
  </si>
  <si>
    <t>Temporary status for applicant who offered full acceptance or conditional acceptance. The temporary status is used for 10 business days to pay admissions deposit.</t>
  </si>
  <si>
    <t>Pending</t>
  </si>
  <si>
    <t>Application has been entered by Admissions Clerk and to be reviewed by Admissions Representative in 1-2 weeks Or been reviewed and its pending documentation.</t>
  </si>
  <si>
    <t>Waitlisted</t>
  </si>
  <si>
    <t>Temporary status for applicants who meet requirements fully or conditionally but have not yet been selected for their program.</t>
  </si>
  <si>
    <t>* Information provided in the table are sourced from Learner and Enrolment Reporting System (LERS), Provider and Program Registry System (PAPRS), Credit Calendar, and defined  business processes.</t>
  </si>
  <si>
    <t>Applications Comparative Point in Time Reports Summary</t>
  </si>
  <si>
    <t>Unique</t>
  </si>
  <si>
    <t>School</t>
  </si>
  <si>
    <t>Program Area</t>
  </si>
  <si>
    <t xml:space="preserve">Program Name </t>
  </si>
  <si>
    <t>Year of Study</t>
  </si>
  <si>
    <t>Program Capacity</t>
  </si>
  <si>
    <t>Population Group</t>
  </si>
  <si>
    <t>Applications</t>
  </si>
  <si>
    <t>Accepted*</t>
  </si>
  <si>
    <t>Enrolled**</t>
  </si>
  <si>
    <t>Conversion Rate***: 
Accepted to Enrolled</t>
  </si>
  <si>
    <t>Power Engineering</t>
  </si>
  <si>
    <t>3rd Class Co-op</t>
  </si>
  <si>
    <t>POWCO3</t>
  </si>
  <si>
    <t>Domestic</t>
  </si>
  <si>
    <t>International</t>
  </si>
  <si>
    <t>4th Class Comprehensive</t>
  </si>
  <si>
    <t>POWCP4</t>
  </si>
  <si>
    <t>3rd Class CML</t>
  </si>
  <si>
    <t>POWCM3</t>
  </si>
  <si>
    <t>Unlimited</t>
  </si>
  <si>
    <t>4th Class CML</t>
  </si>
  <si>
    <t>POWCM4</t>
  </si>
  <si>
    <t>PAELEC</t>
  </si>
  <si>
    <t>PAHET</t>
  </si>
  <si>
    <t>Total School of Trades and Heavy Industrial</t>
  </si>
  <si>
    <t>Human Services</t>
  </si>
  <si>
    <t>Early Learning and Child Care Certificate</t>
  </si>
  <si>
    <t>ECCERT</t>
  </si>
  <si>
    <t>Early Learning and Child Care Diploma</t>
  </si>
  <si>
    <t>ECDIP</t>
  </si>
  <si>
    <t>Educational Assistant Certificate</t>
  </si>
  <si>
    <t>ECEAC</t>
  </si>
  <si>
    <t>Social Work Diploma</t>
  </si>
  <si>
    <t>SOCWKD</t>
  </si>
  <si>
    <t>Reviewed By Department</t>
  </si>
  <si>
    <t>Primary Care Paramedic</t>
  </si>
  <si>
    <t>PCPC</t>
  </si>
  <si>
    <t>Advanced Care Paramedic</t>
  </si>
  <si>
    <t>ACP</t>
  </si>
  <si>
    <t>Health Care Aide</t>
  </si>
  <si>
    <t>HCAC</t>
  </si>
  <si>
    <t>Practical Nurse</t>
  </si>
  <si>
    <t>PNR</t>
  </si>
  <si>
    <t>UT: Bachelor of Nursing</t>
  </si>
  <si>
    <t>BSCN</t>
  </si>
  <si>
    <t>Total School of Health and Human Services</t>
  </si>
  <si>
    <t>Business Administration Certificate</t>
  </si>
  <si>
    <t>BABUSC</t>
  </si>
  <si>
    <t>BAACTD</t>
  </si>
  <si>
    <t>BABUSD</t>
  </si>
  <si>
    <t>BAESPM</t>
  </si>
  <si>
    <t>Business Administration Accounting Diploma Co-op</t>
  </si>
  <si>
    <t>BAATCO</t>
  </si>
  <si>
    <t>Business Administration Management Diploma Co-op</t>
  </si>
  <si>
    <t>BABSCO</t>
  </si>
  <si>
    <t>ALO</t>
  </si>
  <si>
    <t>NAO</t>
  </si>
  <si>
    <t>Human Resources Management Certificate</t>
  </si>
  <si>
    <t>BAHRMC</t>
  </si>
  <si>
    <t>OFAC</t>
  </si>
  <si>
    <t>Total Business Administration</t>
  </si>
  <si>
    <t>Academic Foundations</t>
  </si>
  <si>
    <t>HSAFA</t>
  </si>
  <si>
    <t>Advanced High School Equivalency</t>
  </si>
  <si>
    <t>HSAD</t>
  </si>
  <si>
    <t>College Preparation</t>
  </si>
  <si>
    <t>HSNP</t>
  </si>
  <si>
    <t>General High School Equivalency</t>
  </si>
  <si>
    <t>HSGD</t>
  </si>
  <si>
    <t>English For Academic Purposes</t>
  </si>
  <si>
    <t>EAP</t>
  </si>
  <si>
    <t>UT: Bachelor of Education - Elementary Education</t>
  </si>
  <si>
    <t>UTELEM</t>
  </si>
  <si>
    <t>UT: Bachelor of Education - Secondary Education</t>
  </si>
  <si>
    <t>UTSEC</t>
  </si>
  <si>
    <t>COMSCC</t>
  </si>
  <si>
    <t>COMSCD</t>
  </si>
  <si>
    <t>Environmental Technology Diploma</t>
  </si>
  <si>
    <t>ENVTD</t>
  </si>
  <si>
    <t>General Arts Certificate</t>
  </si>
  <si>
    <t>GNARTC</t>
  </si>
  <si>
    <t>General Science Certificate</t>
  </si>
  <si>
    <t>GNSCIC</t>
  </si>
  <si>
    <t>Governance &amp; Civil Studies Diploma</t>
  </si>
  <si>
    <t>GOVNSC</t>
  </si>
  <si>
    <t>UT: Bachelor of Arts</t>
  </si>
  <si>
    <t>UTARTS</t>
  </si>
  <si>
    <t>UT: Bachelor of Commerce</t>
  </si>
  <si>
    <t>UTCOMM</t>
  </si>
  <si>
    <t>UT: Bachelor of Engineering</t>
  </si>
  <si>
    <t>UTENG</t>
  </si>
  <si>
    <t>UT: Bachelor of Science</t>
  </si>
  <si>
    <t>UTSCGS</t>
  </si>
  <si>
    <t>UT: Bachelor of Social Work</t>
  </si>
  <si>
    <t>UTSCWK</t>
  </si>
  <si>
    <t>Open Studies</t>
  </si>
  <si>
    <t>OPEN</t>
  </si>
  <si>
    <t>Language Instruction for Newcomers to Canada</t>
  </si>
  <si>
    <t>Language Instruction for Newcomers to Canada (LINC)</t>
  </si>
  <si>
    <t>LINC13</t>
  </si>
  <si>
    <t>Total Language Instruction for Newcomers to Canada</t>
  </si>
  <si>
    <t>Total School of University Studies, Career Programs and Academic Upgrading</t>
  </si>
  <si>
    <t>Keyano College Total</t>
  </si>
  <si>
    <t>***Cells with red icons represent programs that have variance more than 60% of their full/part-time projection. Cells with yellow icons represent programs that have variance between 0 % and 60% of their full/part-time projection. Cells with green icons represent programs that have greater than 0 % variance or more of their full/part-time projection.</t>
  </si>
  <si>
    <t>Applied Early Learning and Child Care Certificate</t>
  </si>
  <si>
    <t>AELCC</t>
  </si>
  <si>
    <t>BAHRMD</t>
  </si>
  <si>
    <t>HOSMNG</t>
  </si>
  <si>
    <t>School of Health &amp; Human Services</t>
  </si>
  <si>
    <t>School of University Studies, Career Programs &amp; Academic Upgrading</t>
  </si>
  <si>
    <r>
      <t xml:space="preserve">**Please note that </t>
    </r>
    <r>
      <rPr>
        <b/>
        <i/>
        <sz val="12"/>
        <rFont val="Calibri"/>
        <family val="2"/>
        <scheme val="minor"/>
      </rPr>
      <t>Enrolled</t>
    </r>
    <r>
      <rPr>
        <i/>
        <sz val="12"/>
        <rFont val="Calibri"/>
        <family val="2"/>
        <scheme val="minor"/>
      </rPr>
      <t xml:space="preserve"> number only represents application to enrolment  it does not represent overall program enrolment.</t>
    </r>
  </si>
  <si>
    <t>Work sheet includes Application Point-in-Time Summary Report</t>
  </si>
  <si>
    <t>Work sheet includes a list of Business/Data terms and their definitions</t>
  </si>
  <si>
    <t>Power and Process Technologies</t>
  </si>
  <si>
    <t>PPET</t>
  </si>
  <si>
    <t>Child and Youth Care Diploma</t>
  </si>
  <si>
    <t>CYCD</t>
  </si>
  <si>
    <t>NSPDC</t>
  </si>
  <si>
    <t>Network Security</t>
  </si>
  <si>
    <t>Total</t>
  </si>
  <si>
    <t>GSCMD</t>
  </si>
  <si>
    <t>ENVNC</t>
  </si>
  <si>
    <t>Environmental Technology Diploma Co-op</t>
  </si>
  <si>
    <t>IENCN</t>
  </si>
  <si>
    <t>Human Resources Management Diploma</t>
  </si>
  <si>
    <t>Digital Marketing Diploma</t>
  </si>
  <si>
    <t>DIGMD</t>
  </si>
  <si>
    <t>Hospitality Management Diploma</t>
  </si>
  <si>
    <t>Office Administration Certificate</t>
  </si>
  <si>
    <t>ANCPDC</t>
  </si>
  <si>
    <t>Applied IT Specialist</t>
  </si>
  <si>
    <t>Computer Systems Technology Certificate</t>
  </si>
  <si>
    <t>Computer Systems Technology Diploma</t>
  </si>
  <si>
    <t>Pre-employment Electrician</t>
  </si>
  <si>
    <t>Pre-employment Welder</t>
  </si>
  <si>
    <t>PAWELD</t>
  </si>
  <si>
    <t>Pre-employment Heavy Equipment Technician</t>
  </si>
  <si>
    <t>Pre-employment Plumber</t>
  </si>
  <si>
    <t>PAPLUM</t>
  </si>
  <si>
    <t>4th Class Co-op</t>
  </si>
  <si>
    <t>POWCO4</t>
  </si>
  <si>
    <t>*Programs highlighted in green are nearing or may have surpassed their targets. Programs highlighted in yellow have less than ten accepted applicants. Please note that some of these represent year 2 of a diploma program for which we generally have low applications.</t>
  </si>
  <si>
    <t>Business (Data) Glossary *</t>
  </si>
  <si>
    <t>Total Power Engineering</t>
  </si>
  <si>
    <t>Programs</t>
  </si>
  <si>
    <t>Power Campus Program ID</t>
  </si>
  <si>
    <t>ProgramID &amp; Year of Study</t>
  </si>
  <si>
    <t>2026/27</t>
  </si>
  <si>
    <t xml:space="preserve">Summer </t>
  </si>
  <si>
    <t>Fall</t>
  </si>
  <si>
    <t xml:space="preserve">Winter </t>
  </si>
  <si>
    <t>Spring</t>
  </si>
  <si>
    <t>Part-time</t>
  </si>
  <si>
    <t>Full-time</t>
  </si>
  <si>
    <t>Accounting</t>
  </si>
  <si>
    <t>BAACTC</t>
  </si>
  <si>
    <t>Business (Management)</t>
  </si>
  <si>
    <t>Business Administration Diploma</t>
  </si>
  <si>
    <t>Esport  (Management)</t>
  </si>
  <si>
    <t>Global Supply Chain</t>
  </si>
  <si>
    <t>Digital Marketing</t>
  </si>
  <si>
    <t>Business Administration Diploma Co-op</t>
  </si>
  <si>
    <t>Business Aviation Diploma</t>
  </si>
  <si>
    <t>Northern Aviation Operations</t>
  </si>
  <si>
    <t>Airline Operations</t>
  </si>
  <si>
    <t>Hospitality and Tourism Management Diploma</t>
  </si>
  <si>
    <t>HATM</t>
  </si>
  <si>
    <t>Office Administration</t>
  </si>
  <si>
    <t>Executive Admin Professional</t>
  </si>
  <si>
    <t>Business Studies Total</t>
  </si>
  <si>
    <t>English for Academic Purpose</t>
  </si>
  <si>
    <t>Upgrading</t>
  </si>
  <si>
    <t>Academic Upgrading Total</t>
  </si>
  <si>
    <t>Environmental Technology Coop Diploma</t>
  </si>
  <si>
    <t>Environmental Technology Co-op Diploma</t>
  </si>
  <si>
    <t>UT: Bachelor of Education</t>
  </si>
  <si>
    <t>Elementary</t>
  </si>
  <si>
    <t>Secondary</t>
  </si>
  <si>
    <t>Governance and Civil Studies</t>
  </si>
  <si>
    <t>General Arts</t>
  </si>
  <si>
    <t>General Science</t>
  </si>
  <si>
    <t>Advanced Network &amp; Cybersecurity Post Diploma</t>
  </si>
  <si>
    <t>Advanced Network &amp; Cybersecurity</t>
  </si>
  <si>
    <t>Network Security Post Diploma</t>
  </si>
  <si>
    <t>AITS</t>
  </si>
  <si>
    <t>Art &amp; Design</t>
  </si>
  <si>
    <t>Digital Design &amp; Multimedia Certificate</t>
  </si>
  <si>
    <t>University Studies &amp; Environmental Sciences Total</t>
  </si>
  <si>
    <t>School of University Studies, Career Programs &amp; Academic Upgrading Total</t>
  </si>
  <si>
    <t>Educational Assistant</t>
  </si>
  <si>
    <t>Early Learning &amp; Childcare and Human Services Total</t>
  </si>
  <si>
    <t>Primary Care Paramedic*</t>
  </si>
  <si>
    <t>Advanced Care Paramedic*</t>
  </si>
  <si>
    <t>Bachelor of Paramedicine</t>
  </si>
  <si>
    <t>Bachelor of Paramedicine*</t>
  </si>
  <si>
    <t>Health Care Aid</t>
  </si>
  <si>
    <t>Nursing</t>
  </si>
  <si>
    <t>BSCACN,BSCAFT,BSCAEE</t>
  </si>
  <si>
    <t>IEN Bridge to Canadian Nursing</t>
  </si>
  <si>
    <t>Nursing and Allied Health Total</t>
  </si>
  <si>
    <t>School of Health &amp; Human Services Total</t>
  </si>
  <si>
    <t>Apprenticeship**</t>
  </si>
  <si>
    <t>Carpenter</t>
  </si>
  <si>
    <t>ACARP</t>
  </si>
  <si>
    <t>Electrician</t>
  </si>
  <si>
    <t>AELEC</t>
  </si>
  <si>
    <t>Heavy Equipment Technician</t>
  </si>
  <si>
    <t>AHD</t>
  </si>
  <si>
    <t>Millwright</t>
  </si>
  <si>
    <t>AMILL</t>
  </si>
  <si>
    <t>Steamfitter/Pipefitter/Gasfitter</t>
  </si>
  <si>
    <t>ASTEAM</t>
  </si>
  <si>
    <t>Welder</t>
  </si>
  <si>
    <t>AWELD</t>
  </si>
  <si>
    <t>Apprenticeship Total</t>
  </si>
  <si>
    <t>Pre-Employment</t>
  </si>
  <si>
    <t>Pre-employment Carpentry</t>
  </si>
  <si>
    <t>PACARP</t>
  </si>
  <si>
    <t>Pre-employment Total</t>
  </si>
  <si>
    <t>Power CML 4th Class</t>
  </si>
  <si>
    <t>Power CML 3rd Class</t>
  </si>
  <si>
    <t>Power Engineering Comprehensive 4th Class, Full-time Class</t>
  </si>
  <si>
    <t>Power Engineering Comprehensive 4th Class, Power Lab</t>
  </si>
  <si>
    <t>Power Engineering Co-op 4th Class, Full-time Class</t>
  </si>
  <si>
    <t>Power Engineering Co-op 4th Class, Co-op</t>
  </si>
  <si>
    <t>Power Engineering Co-op 3rd Class, Full-time Class</t>
  </si>
  <si>
    <t>Power Engineering Co-op 3rd Class, Co-op</t>
  </si>
  <si>
    <t>Power &amp; Process Technologies</t>
  </si>
  <si>
    <t>Power Engineering Total</t>
  </si>
  <si>
    <t>Welding</t>
  </si>
  <si>
    <t>Welding Diploma*</t>
  </si>
  <si>
    <t>Welding Total</t>
  </si>
  <si>
    <t>Dual Credit Trades</t>
  </si>
  <si>
    <t>Dual Credit - Electrician*</t>
  </si>
  <si>
    <t>DUALEL</t>
  </si>
  <si>
    <t>Dual Credit - Heavy Equipment Technician*</t>
  </si>
  <si>
    <t>DUALHE</t>
  </si>
  <si>
    <t>Dual Credit - Welder*</t>
  </si>
  <si>
    <t>DUALWE</t>
  </si>
  <si>
    <t>Dual Credit Trades Total</t>
  </si>
  <si>
    <t>School of Trades and Heavy Industrial Total</t>
  </si>
  <si>
    <t>School of Trades and Heavy Industrial</t>
  </si>
  <si>
    <t>Pre-Employment Trades</t>
  </si>
  <si>
    <t>Pre-employment Plumber/Gasfitter</t>
  </si>
  <si>
    <t>Childhood Studies</t>
  </si>
  <si>
    <t>Allied Health</t>
  </si>
  <si>
    <t>Practical Nurse Diploma</t>
  </si>
  <si>
    <t>Total Childhood Studies</t>
  </si>
  <si>
    <t>Total Human Services</t>
  </si>
  <si>
    <t>Total Pre-Employment Trades</t>
  </si>
  <si>
    <t>Total Allied Health</t>
  </si>
  <si>
    <t>Total Nursing</t>
  </si>
  <si>
    <t>Business Studies</t>
  </si>
  <si>
    <t>Academic Upgrading</t>
  </si>
  <si>
    <t>Total Upgrading</t>
  </si>
  <si>
    <t>Total Education</t>
  </si>
  <si>
    <t>Total Environmental Studies</t>
  </si>
  <si>
    <t>Total University Studies</t>
  </si>
  <si>
    <t>Total Open Studies</t>
  </si>
  <si>
    <t>Education, Environmental Studies &amp; University Studies</t>
  </si>
  <si>
    <t>Business Administration Diploma-Accounting</t>
  </si>
  <si>
    <t>Business Administration Diploma-Management</t>
  </si>
  <si>
    <t>Business Administration Diploma-Esport Management</t>
  </si>
  <si>
    <t>Business Administration Diploma-Human Resources Management</t>
  </si>
  <si>
    <t>Global Supply Chain Management Diploma</t>
  </si>
  <si>
    <t>Business Aviation Diploma (Northern Aviation Operations)</t>
  </si>
  <si>
    <t>Business Aviation Diploma (Airline Operations)</t>
  </si>
  <si>
    <t>BSCN&amp;BSCACN,BSCAFT,BSCAEE</t>
  </si>
  <si>
    <t>2026/27 (YearA)</t>
  </si>
  <si>
    <t>2027/28 (YearB)</t>
  </si>
  <si>
    <t>CURRICULUM</t>
  </si>
  <si>
    <t>Department</t>
  </si>
  <si>
    <t>Curriculum Name</t>
  </si>
  <si>
    <t>Year</t>
  </si>
  <si>
    <t>Population</t>
  </si>
  <si>
    <t>Applicants</t>
  </si>
  <si>
    <t>ACADEMIC YEAR</t>
  </si>
  <si>
    <t>ACADEMIC TERM</t>
  </si>
  <si>
    <t>TRUE ACADEMIC YEAR</t>
  </si>
  <si>
    <t>LERS Session Number</t>
  </si>
  <si>
    <t>Target</t>
  </si>
  <si>
    <t>First Name</t>
  </si>
  <si>
    <t>Last Name</t>
  </si>
  <si>
    <t>Not Paid</t>
  </si>
  <si>
    <t>Deferred Application</t>
  </si>
  <si>
    <t>Qualified</t>
  </si>
  <si>
    <t>Enrollment</t>
  </si>
  <si>
    <t>Target Met</t>
  </si>
  <si>
    <t>Visa</t>
  </si>
  <si>
    <t>Country</t>
  </si>
  <si>
    <t>Deceased Flag</t>
  </si>
  <si>
    <t>Student Type</t>
  </si>
  <si>
    <r>
      <rPr>
        <b/>
        <sz val="11"/>
        <color rgb="FFFFFFFF"/>
        <rFont val="Tahoma"/>
      </rPr>
      <t xml:space="preserve">Offered
</t>
    </r>
  </si>
  <si>
    <t>Budgeted Projections****</t>
  </si>
  <si>
    <r>
      <t xml:space="preserve">**** Please note that the </t>
    </r>
    <r>
      <rPr>
        <b/>
        <i/>
        <sz val="12"/>
        <rFont val="Calibri"/>
        <family val="2"/>
        <scheme val="minor"/>
      </rPr>
      <t>Budgeted Projections</t>
    </r>
    <r>
      <rPr>
        <i/>
        <sz val="12"/>
        <rFont val="Calibri"/>
        <family val="2"/>
        <scheme val="minor"/>
      </rPr>
      <t xml:space="preserve"> number represents the budgeted projection headcount by academic term. For programs where budgeted projection headcount by academic term is not available, the headcount value is obtained by dividing the budgeted projection headcount for the full academic year by 4 (representative of 4 academic terms in an academic year).</t>
    </r>
  </si>
  <si>
    <t>Summer Apps By School</t>
  </si>
  <si>
    <t>Fall Apps By School</t>
  </si>
  <si>
    <t>Winter Apps By School</t>
  </si>
  <si>
    <t>Spring Apps By School</t>
  </si>
  <si>
    <t xml:space="preserve"> Applications Update (2026/27)</t>
  </si>
  <si>
    <t>Important Note: Please note All data provided as per 2026/27 unofficial to date as of {{Extraction_date}}</t>
  </si>
  <si>
    <t>placeholder welding id</t>
  </si>
  <si>
    <t>Welding Technology</t>
  </si>
  <si>
    <t>Welding Technology Diploma</t>
  </si>
  <si>
    <t>Total Welding Technology</t>
  </si>
  <si>
    <t>Work sheet includes Summer 2026 Applications by School and Program</t>
  </si>
  <si>
    <t>Work sheet includes Fall 2026 Applications by School and Program</t>
  </si>
  <si>
    <t>Work sheet includes Winter 2027 Applications by School and Program</t>
  </si>
  <si>
    <t>Work sheet includes Spring 2027 Applications by School and Program</t>
  </si>
  <si>
    <t>For any additional Inquiries please contact us at {{Email_address}} or get in touch with the team directly.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</si>
</sst>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sz val="11"/>
      <color theme="0"/>
      <name val="Calibri"/>
      <family val="2"/>
      <scheme val="minor"/>
    </font>
    <font>
      <u/>
      <sz val="26"/>
      <color theme="0"/>
      <name val="Calibri"/>
      <family val="2"/>
      <scheme val="minor"/>
    </font>
    <font>
      <b/>
      <i/>
      <sz val="12"/>
      <color theme="0"/>
      <name val="Calibri"/>
      <family val="2"/>
      <scheme val="minor"/>
    </font>
    <font>
      <i/>
      <sz val="12"/>
      <color theme="0"/>
      <name val="Calibri"/>
      <family val="2"/>
      <scheme val="minor"/>
    </font>
    <font>
      <u/>
      <sz val="11"/>
      <color theme="10"/>
      <name val="Calibri"/>
      <family val="2"/>
      <scheme val="minor"/>
    </font>
    <font>
      <i/>
      <sz val="10"/>
      <color theme="1"/>
      <name val="Calibri"/>
      <family val="2"/>
      <scheme val="minor"/>
    </font>
    <font>
      <sz val="12"/>
      <color theme="0"/>
      <name val="Calibri"/>
      <family val="2"/>
      <scheme val="minor"/>
    </font>
    <font>
      <sz val="10"/>
      <name val="Arial"/>
      <family val="2"/>
    </font>
    <font>
      <sz val="12"/>
      <color indexed="8"/>
      <name val="Calibri"/>
      <family val="2"/>
      <scheme val="minor"/>
    </font>
    <font>
      <sz val="12"/>
      <name val="Calibri"/>
      <family val="2"/>
      <scheme val="minor"/>
    </font>
    <font>
      <i/>
      <sz val="12"/>
      <color theme="1"/>
      <name val="Calibri"/>
      <family val="2"/>
      <scheme val="minor"/>
    </font>
    <font>
      <sz val="12"/>
      <color theme="1"/>
      <name val="Calibri"/>
      <family val="2"/>
      <scheme val="minor"/>
    </font>
    <font>
      <sz val="10"/>
      <name val="Arial"/>
      <family val="2"/>
    </font>
    <font>
      <b/>
      <sz val="11"/>
      <color theme="0"/>
      <name val="Calibri"/>
      <family val="2"/>
      <scheme val="minor"/>
    </font>
    <font>
      <sz val="8"/>
      <color theme="1"/>
      <name val="Calibri"/>
      <family val="2"/>
      <scheme val="minor"/>
    </font>
    <font>
      <sz val="26"/>
      <color theme="0"/>
      <name val="Calibri"/>
      <family val="2"/>
      <scheme val="minor"/>
    </font>
    <font>
      <i/>
      <sz val="12"/>
      <name val="Calibri"/>
      <family val="2"/>
      <scheme val="minor"/>
    </font>
    <font>
      <b/>
      <i/>
      <sz val="12"/>
      <name val="Calibri"/>
      <family val="2"/>
      <scheme val="minor"/>
    </font>
    <font>
      <sz val="11"/>
      <color rgb="FF000000"/>
      <name val="Calibri"/>
      <family val="2"/>
      <scheme val="minor"/>
    </font>
    <font>
      <sz val="10"/>
      <name val="Arial"/>
      <family val="2"/>
    </font>
    <font>
      <b/>
      <sz val="18"/>
      <color theme="1"/>
      <name val="Calibri"/>
      <family val="2"/>
      <scheme val="minor"/>
    </font>
    <font>
      <b/>
      <sz val="11"/>
      <color rgb="FFFFFFFF"/>
      <name val="Tahoma"/>
    </font>
  </fonts>
  <fills count="16">
    <fill>
      <patternFill patternType="none"/>
    </fill>
    <fill>
      <patternFill patternType="gray125"/>
    </fill>
    <fill>
      <patternFill patternType="solid">
        <fgColor rgb="FF041E42"/>
        <bgColor indexed="64"/>
      </patternFill>
    </fill>
    <fill>
      <patternFill patternType="solid">
        <fgColor theme="2" tint="-0.499984740745262"/>
        <bgColor indexed="64"/>
      </patternFill>
    </fill>
    <fill>
      <patternFill patternType="solid">
        <fgColor rgb="FF043158"/>
        <bgColor indexed="64"/>
      </patternFill>
    </fill>
    <fill>
      <patternFill patternType="solid">
        <fgColor theme="3" tint="0.39997558519241921"/>
        <bgColor indexed="64"/>
      </patternFill>
    </fill>
    <fill>
      <patternFill patternType="solid">
        <fgColor theme="2" tint="-0.499984740745262"/>
        <bgColor indexed="0"/>
      </patternFill>
    </fill>
    <fill>
      <patternFill patternType="solid">
        <fgColor rgb="FF041E42"/>
        <bgColor theme="4" tint="0.79998168889431442"/>
      </patternFill>
    </fill>
    <fill>
      <patternFill patternType="solid">
        <fgColor rgb="FF5F4B87"/>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153D64"/>
        <bgColor theme="4" tint="0.79998168889431442"/>
      </patternFill>
    </fill>
    <fill>
      <patternFill patternType="solid">
        <fgColor rgb="FF153D64"/>
        <bgColor indexed="64"/>
      </patternFill>
    </fill>
    <fill>
      <patternFill patternType="solid">
        <fgColor theme="0" tint="-0.499984740745262"/>
        <bgColor indexed="64"/>
      </patternFill>
    </fill>
    <fill>
      <patternFill patternType="solid">
        <fgColor rgb="FF002060"/>
        <bgColor indexed="64"/>
      </patternFill>
    </fill>
    <fill>
      <patternFill patternType="solid">
        <fgColor rgb="FF000000"/>
        <bgColor rgb="FF000000"/>
      </patternFill>
    </fill>
  </fills>
  <borders count="49">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rgb="FF000000"/>
      </top>
      <bottom/>
      <diagonal/>
    </border>
    <border>
      <left style="thin">
        <color indexed="64"/>
      </left>
      <right style="thin">
        <color rgb="FF000000"/>
      </right>
      <top style="thin">
        <color indexed="64"/>
      </top>
      <bottom/>
      <diagonal/>
    </border>
    <border>
      <left/>
      <right style="medium">
        <color indexed="64"/>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diagonal/>
    </border>
    <border>
      <left style="thin">
        <color indexed="64"/>
      </left>
      <right/>
      <top/>
      <bottom style="thin">
        <color indexed="64"/>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double">
        <color auto="1"/>
      </right>
      <top/>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right style="double">
        <color auto="1"/>
      </right>
      <top/>
      <bottom style="thin">
        <color indexed="64"/>
      </bottom>
      <diagonal/>
    </border>
    <border>
      <left style="thin">
        <color indexed="64"/>
      </left>
      <right style="double">
        <color indexed="64"/>
      </right>
      <top/>
      <bottom style="thin">
        <color indexed="64"/>
      </bottom>
      <diagonal/>
    </border>
    <border>
      <left style="thin">
        <color rgb="FF7292CC"/>
      </left>
      <right style="thin">
        <color rgb="FF7292CC"/>
      </right>
      <top style="thin">
        <color rgb="FF7292CC"/>
      </top>
      <bottom style="thin">
        <color rgb="FF7292CC"/>
      </bottom>
      <diagonal/>
    </border>
    <border>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10">
    <xf numFmtId="0" fontId="0" fillId="0" borderId="0"/>
    <xf numFmtId="9" fontId="1" fillId="0" borderId="0" applyFont="0" applyFill="0" applyBorder="0" applyAlignment="0" applyProtection="0"/>
    <xf numFmtId="0" fontId="2" fillId="0" borderId="1" applyNumberFormat="0" applyFill="0" applyAlignment="0" applyProtection="0"/>
    <xf numFmtId="0" fontId="8" fillId="0" borderId="0" applyNumberFormat="0" applyFill="0" applyBorder="0" applyAlignment="0" applyProtection="0"/>
    <xf numFmtId="0" fontId="11" fillId="0" borderId="0"/>
    <xf numFmtId="0" fontId="1" fillId="0" borderId="0"/>
    <xf numFmtId="0" fontId="11" fillId="0" borderId="0"/>
    <xf numFmtId="0" fontId="16" fillId="0" borderId="0"/>
    <xf numFmtId="0" fontId="22" fillId="0" borderId="0"/>
    <xf numFmtId="0" fontId="23" fillId="0" borderId="0"/>
  </cellStyleXfs>
  <cellXfs count="188">
    <xf numFmtId="0" fontId="0" fillId="0" borderId="0" xfId="0"/>
    <xf numFmtId="0" fontId="10" fillId="7" borderId="2" xfId="5" applyFont="1" applyFill="1" applyBorder="1" applyAlignment="1">
      <alignment horizontal="center" vertical="center" wrapText="1"/>
    </xf>
    <xf numFmtId="0" fontId="15" fillId="0" borderId="2" xfId="5" applyFont="1" applyBorder="1"/>
    <xf numFmtId="9" fontId="15" fillId="0" borderId="2" xfId="1" applyFont="1" applyBorder="1" applyAlignment="1">
      <alignment horizontal="center" vertical="center"/>
    </xf>
    <xf numFmtId="0" fontId="15" fillId="9" borderId="2" xfId="5" applyFont="1" applyFill="1" applyBorder="1" applyAlignment="1">
      <alignment horizontal="center"/>
    </xf>
    <xf numFmtId="0" fontId="10" fillId="3" borderId="2" xfId="5" applyFont="1" applyFill="1" applyBorder="1" applyAlignment="1">
      <alignment horizontal="center" vertical="center"/>
    </xf>
    <xf numFmtId="0" fontId="13" fillId="9" borderId="2" xfId="5" applyFont="1" applyFill="1" applyBorder="1" applyAlignment="1">
      <alignment horizontal="center" vertical="center"/>
    </xf>
    <xf numFmtId="0" fontId="15" fillId="9" borderId="2" xfId="5" applyFont="1" applyFill="1" applyBorder="1" applyAlignment="1">
      <alignment horizontal="center" vertical="center"/>
    </xf>
    <xf numFmtId="0" fontId="10" fillId="2" borderId="9" xfId="5" applyFont="1" applyFill="1" applyBorder="1" applyAlignment="1">
      <alignment horizontal="center" vertical="center"/>
    </xf>
    <xf numFmtId="0" fontId="0" fillId="10" borderId="0" xfId="0" applyFill="1"/>
    <xf numFmtId="0" fontId="3" fillId="10" borderId="0" xfId="0" applyFont="1" applyFill="1" applyAlignment="1">
      <alignment horizontal="left" vertical="center" wrapText="1"/>
    </xf>
    <xf numFmtId="9" fontId="10" fillId="2" borderId="2" xfId="1" applyFont="1" applyFill="1" applyBorder="1" applyAlignment="1">
      <alignment horizontal="center" vertical="center"/>
    </xf>
    <xf numFmtId="0" fontId="0" fillId="0" borderId="0" xfId="0" applyAlignment="1">
      <alignment wrapText="1"/>
    </xf>
    <xf numFmtId="0" fontId="17" fillId="2" borderId="15" xfId="0" applyFont="1" applyFill="1" applyBorder="1" applyAlignment="1">
      <alignment horizontal="left" vertical="center"/>
    </xf>
    <xf numFmtId="0" fontId="17" fillId="2" borderId="16" xfId="0" applyFont="1" applyFill="1" applyBorder="1" applyAlignment="1">
      <alignment horizontal="left" vertical="center" wrapText="1"/>
    </xf>
    <xf numFmtId="0" fontId="3" fillId="0" borderId="17" xfId="0" applyFont="1" applyBorder="1" applyAlignment="1">
      <alignment horizontal="left" vertical="center"/>
    </xf>
    <xf numFmtId="0" fontId="3" fillId="0" borderId="21" xfId="0" applyFont="1" applyBorder="1" applyAlignment="1">
      <alignment horizontal="left" vertical="center"/>
    </xf>
    <xf numFmtId="0" fontId="0" fillId="0" borderId="18" xfId="0" applyBorder="1" applyAlignment="1">
      <alignment horizontal="left" vertical="center" wrapText="1"/>
    </xf>
    <xf numFmtId="0" fontId="0" fillId="0" borderId="22" xfId="0" applyBorder="1" applyAlignment="1">
      <alignment horizontal="left" vertical="center" wrapText="1"/>
    </xf>
    <xf numFmtId="0" fontId="15" fillId="9" borderId="6" xfId="5" applyFont="1" applyFill="1" applyBorder="1" applyAlignment="1">
      <alignment horizontal="center" vertical="center"/>
    </xf>
    <xf numFmtId="0" fontId="10" fillId="3" borderId="13" xfId="5" applyFont="1" applyFill="1" applyBorder="1" applyAlignment="1">
      <alignment horizontal="center" vertical="center"/>
    </xf>
    <xf numFmtId="0" fontId="15" fillId="0" borderId="0" xfId="0" applyFont="1"/>
    <xf numFmtId="0" fontId="20" fillId="0" borderId="0" xfId="5" applyFont="1" applyAlignment="1">
      <alignment horizontal="left" vertical="top"/>
    </xf>
    <xf numFmtId="0" fontId="15" fillId="0" borderId="2" xfId="0" applyFont="1" applyBorder="1"/>
    <xf numFmtId="0" fontId="15" fillId="0" borderId="25" xfId="5" applyFont="1" applyBorder="1" applyAlignment="1">
      <alignment horizontal="center" vertical="center"/>
    </xf>
    <xf numFmtId="0" fontId="15" fillId="0" borderId="2" xfId="0" applyFont="1" applyBorder="1" applyAlignment="1">
      <alignment horizontal="left"/>
    </xf>
    <xf numFmtId="0" fontId="15" fillId="0" borderId="6" xfId="5" applyFont="1" applyBorder="1" applyAlignment="1">
      <alignment vertical="center"/>
    </xf>
    <xf numFmtId="0" fontId="15" fillId="0" borderId="2" xfId="5" applyFont="1" applyBorder="1" applyAlignment="1">
      <alignment horizontal="left" vertical="center"/>
    </xf>
    <xf numFmtId="0" fontId="8" fillId="0" borderId="2" xfId="3" quotePrefix="1" applyBorder="1"/>
    <xf numFmtId="0" fontId="15" fillId="0" borderId="2" xfId="5" applyFont="1" applyBorder="1" applyAlignment="1">
      <alignment vertical="center"/>
    </xf>
    <xf numFmtId="0" fontId="13" fillId="0" borderId="2" xfId="5" applyFont="1" applyBorder="1" applyAlignment="1">
      <alignment horizontal="left" vertical="center"/>
    </xf>
    <xf numFmtId="0" fontId="15" fillId="0" borderId="2" xfId="5" applyFont="1" applyBorder="1" applyAlignment="1">
      <alignment horizontal="center" vertical="center"/>
    </xf>
    <xf numFmtId="0" fontId="13" fillId="0" borderId="2" xfId="5" applyFont="1" applyBorder="1" applyAlignment="1">
      <alignment horizontal="center" vertical="center"/>
    </xf>
    <xf numFmtId="0" fontId="15" fillId="0" borderId="0" xfId="0" applyFont="1" applyAlignment="1">
      <alignment horizontal="center" vertical="center"/>
    </xf>
    <xf numFmtId="0" fontId="10" fillId="3" borderId="6" xfId="5" applyFont="1" applyFill="1" applyBorder="1" applyAlignment="1">
      <alignment horizontal="center" vertical="center"/>
    </xf>
    <xf numFmtId="9" fontId="15" fillId="9" borderId="2" xfId="1" applyFont="1" applyFill="1" applyBorder="1" applyAlignment="1">
      <alignment horizontal="center" vertical="center"/>
    </xf>
    <xf numFmtId="9" fontId="10" fillId="3" borderId="2" xfId="1" applyFont="1" applyFill="1" applyBorder="1" applyAlignment="1">
      <alignment horizontal="center" vertical="center"/>
    </xf>
    <xf numFmtId="0" fontId="0" fillId="10" borderId="0" xfId="0" applyFill="1" applyAlignment="1"/>
    <xf numFmtId="0" fontId="3" fillId="10" borderId="0" xfId="0" applyFont="1" applyFill="1" applyAlignment="1">
      <alignment vertical="center" wrapText="1"/>
    </xf>
    <xf numFmtId="0" fontId="8" fillId="0" borderId="2" xfId="3" applyFill="1" applyBorder="1"/>
    <xf numFmtId="0" fontId="8" fillId="0" borderId="2" xfId="3" applyBorder="1" applyAlignment="1">
      <alignment vertical="center"/>
    </xf>
    <xf numFmtId="0" fontId="10" fillId="8" borderId="8" xfId="5" applyFont="1" applyFill="1" applyBorder="1" applyAlignment="1">
      <alignment horizontal="center" vertical="center" wrapText="1"/>
    </xf>
    <xf numFmtId="0" fontId="15" fillId="0" borderId="6" xfId="5" applyFont="1" applyBorder="1" applyAlignment="1">
      <alignment horizontal="center" vertical="center"/>
    </xf>
    <xf numFmtId="0" fontId="17" fillId="12" borderId="2" xfId="0" applyFont="1" applyFill="1" applyBorder="1" applyAlignment="1">
      <alignment horizontal="center" vertical="center" wrapText="1"/>
    </xf>
    <xf numFmtId="0" fontId="17" fillId="12" borderId="9" xfId="0" applyFont="1" applyFill="1" applyBorder="1" applyAlignment="1">
      <alignment horizontal="center" vertical="center" wrapText="1"/>
    </xf>
    <xf numFmtId="0" fontId="17" fillId="12" borderId="5" xfId="0" applyFont="1" applyFill="1" applyBorder="1" applyAlignment="1">
      <alignment horizontal="center" vertical="center" wrapText="1"/>
    </xf>
    <xf numFmtId="0" fontId="3" fillId="9" borderId="0" xfId="0" applyFont="1" applyFill="1" applyAlignment="1">
      <alignment horizontal="left"/>
    </xf>
    <xf numFmtId="0" fontId="0" fillId="9" borderId="36" xfId="0" applyFill="1" applyBorder="1" applyAlignment="1">
      <alignment horizontal="center"/>
    </xf>
    <xf numFmtId="0" fontId="0" fillId="9" borderId="0" xfId="0" applyFill="1" applyAlignment="1">
      <alignment horizontal="center"/>
    </xf>
    <xf numFmtId="0" fontId="0" fillId="9" borderId="14" xfId="0" applyFill="1" applyBorder="1" applyAlignment="1">
      <alignment horizontal="center"/>
    </xf>
    <xf numFmtId="0" fontId="0" fillId="9" borderId="8" xfId="0" applyFill="1" applyBorder="1" applyAlignment="1">
      <alignment horizontal="center"/>
    </xf>
    <xf numFmtId="0" fontId="0" fillId="9" borderId="37" xfId="0" applyFill="1" applyBorder="1" applyAlignment="1">
      <alignment horizontal="center"/>
    </xf>
    <xf numFmtId="0" fontId="0" fillId="0" borderId="0" xfId="0" applyAlignment="1">
      <alignment horizontal="left"/>
    </xf>
    <xf numFmtId="0" fontId="0" fillId="0" borderId="36" xfId="0" applyBorder="1" applyAlignment="1">
      <alignment horizontal="center"/>
    </xf>
    <xf numFmtId="0" fontId="0" fillId="0" borderId="0" xfId="0" applyAlignment="1">
      <alignment horizontal="center"/>
    </xf>
    <xf numFmtId="0" fontId="0" fillId="0" borderId="14" xfId="0" applyBorder="1" applyAlignment="1">
      <alignment horizontal="center"/>
    </xf>
    <xf numFmtId="0" fontId="0" fillId="0" borderId="8" xfId="0" applyBorder="1" applyAlignment="1">
      <alignment horizontal="center"/>
    </xf>
    <xf numFmtId="0" fontId="0" fillId="0" borderId="38" xfId="0" applyBorder="1" applyAlignment="1">
      <alignment horizontal="center"/>
    </xf>
    <xf numFmtId="0" fontId="0" fillId="9" borderId="38" xfId="0" applyFill="1" applyBorder="1" applyAlignment="1">
      <alignment horizontal="center"/>
    </xf>
    <xf numFmtId="0" fontId="17" fillId="12" borderId="0" xfId="0" applyFont="1" applyFill="1" applyAlignment="1">
      <alignment horizontal="right"/>
    </xf>
    <xf numFmtId="0" fontId="17" fillId="12" borderId="14" xfId="0" applyFont="1" applyFill="1" applyBorder="1" applyAlignment="1">
      <alignment horizontal="right"/>
    </xf>
    <xf numFmtId="0" fontId="4" fillId="12" borderId="8" xfId="0" applyFont="1" applyFill="1" applyBorder="1" applyAlignment="1">
      <alignment horizontal="center"/>
    </xf>
    <xf numFmtId="0" fontId="4" fillId="12" borderId="38" xfId="0" applyFont="1" applyFill="1" applyBorder="1" applyAlignment="1">
      <alignment horizontal="center"/>
    </xf>
    <xf numFmtId="0" fontId="17" fillId="13" borderId="0" xfId="0" applyFont="1" applyFill="1" applyAlignment="1">
      <alignment horizontal="right"/>
    </xf>
    <xf numFmtId="0" fontId="17" fillId="13" borderId="14" xfId="0" applyFont="1" applyFill="1" applyBorder="1" applyAlignment="1">
      <alignment horizontal="right"/>
    </xf>
    <xf numFmtId="0" fontId="4" fillId="13" borderId="8" xfId="0" applyFont="1" applyFill="1" applyBorder="1" applyAlignment="1">
      <alignment horizontal="center"/>
    </xf>
    <xf numFmtId="0" fontId="4" fillId="13" borderId="38" xfId="0" applyFont="1" applyFill="1" applyBorder="1" applyAlignment="1">
      <alignment horizontal="center"/>
    </xf>
    <xf numFmtId="0" fontId="17" fillId="14" borderId="11" xfId="0" applyFont="1" applyFill="1" applyBorder="1" applyAlignment="1">
      <alignment horizontal="right"/>
    </xf>
    <xf numFmtId="0" fontId="17" fillId="14" borderId="13" xfId="0" applyFont="1" applyFill="1" applyBorder="1" applyAlignment="1">
      <alignment horizontal="right"/>
    </xf>
    <xf numFmtId="0" fontId="4" fillId="14" borderId="7" xfId="0" applyFont="1" applyFill="1" applyBorder="1" applyAlignment="1">
      <alignment horizontal="center"/>
    </xf>
    <xf numFmtId="0" fontId="4" fillId="14" borderId="40" xfId="0" applyFont="1" applyFill="1" applyBorder="1" applyAlignment="1">
      <alignment horizontal="center"/>
    </xf>
    <xf numFmtId="0" fontId="10" fillId="2" borderId="2" xfId="5" applyFont="1" applyFill="1" applyBorder="1" applyAlignment="1">
      <alignment horizontal="center" vertical="center"/>
    </xf>
    <xf numFmtId="0" fontId="25" fillId="15" borderId="41" xfId="0" applyFont="1" applyFill="1" applyBorder="1" applyAlignment="1">
      <alignment horizontal="left" vertical="top" wrapText="1" readingOrder="1"/>
    </xf>
    <xf numFmtId="0" fontId="15" fillId="0" borderId="2" xfId="0" applyFont="1" applyBorder="1" applyAlignment="1" applyProtection="1">
      <alignment horizontal="center" vertical="center"/>
      <protection locked="0"/>
    </xf>
    <xf numFmtId="0" fontId="15" fillId="0" borderId="2" xfId="5" applyFont="1" applyBorder="1" applyAlignment="1" applyProtection="1">
      <alignment horizontal="center" vertical="center"/>
      <protection locked="0"/>
    </xf>
    <xf numFmtId="0" fontId="10" fillId="6" borderId="4" xfId="4" applyFont="1" applyFill="1" applyBorder="1" applyAlignment="1" applyProtection="1">
      <alignment horizontal="center" vertical="top" wrapText="1" readingOrder="1"/>
      <protection locked="0"/>
    </xf>
    <xf numFmtId="0" fontId="10" fillId="6" borderId="2" xfId="4" applyFont="1" applyFill="1" applyBorder="1" applyAlignment="1" applyProtection="1">
      <alignment horizontal="center" vertical="top" wrapText="1" readingOrder="1"/>
      <protection locked="0"/>
    </xf>
    <xf numFmtId="0" fontId="10" fillId="6" borderId="3" xfId="4" applyFont="1" applyFill="1" applyBorder="1" applyAlignment="1" applyProtection="1">
      <alignment horizontal="center" vertical="top" wrapText="1" readingOrder="1"/>
      <protection locked="0"/>
    </xf>
    <xf numFmtId="0" fontId="12" fillId="0" borderId="17" xfId="4" applyFont="1" applyBorder="1" applyAlignment="1" applyProtection="1">
      <alignment horizontal="center" vertical="top" wrapText="1" readingOrder="1"/>
      <protection locked="0"/>
    </xf>
    <xf numFmtId="0" fontId="12" fillId="0" borderId="4" xfId="4" applyFont="1" applyBorder="1" applyAlignment="1" applyProtection="1">
      <alignment horizontal="center" vertical="top" wrapText="1" readingOrder="1"/>
      <protection locked="0"/>
    </xf>
    <xf numFmtId="0" fontId="12" fillId="0" borderId="2" xfId="4" applyFont="1" applyBorder="1" applyAlignment="1" applyProtection="1">
      <alignment horizontal="center" vertical="top" wrapText="1" readingOrder="1"/>
      <protection locked="0"/>
    </xf>
    <xf numFmtId="0" fontId="12" fillId="0" borderId="3" xfId="4" applyFont="1" applyBorder="1" applyAlignment="1" applyProtection="1">
      <alignment horizontal="center" vertical="top" wrapText="1" readingOrder="1"/>
      <protection locked="0"/>
    </xf>
    <xf numFmtId="0" fontId="12" fillId="0" borderId="5" xfId="4" applyFont="1" applyBorder="1" applyAlignment="1" applyProtection="1">
      <alignment horizontal="center" vertical="top" wrapText="1" readingOrder="1"/>
      <protection locked="0"/>
    </xf>
    <xf numFmtId="0" fontId="12" fillId="0" borderId="18" xfId="4" applyFont="1" applyBorder="1" applyAlignment="1" applyProtection="1">
      <alignment horizontal="center" vertical="top" wrapText="1" readingOrder="1"/>
      <protection locked="0"/>
    </xf>
    <xf numFmtId="0" fontId="0" fillId="0" borderId="0" xfId="0" applyProtection="1"/>
    <xf numFmtId="0" fontId="15" fillId="0" borderId="19" xfId="0" applyFont="1" applyBorder="1" applyProtection="1">
      <protection locked="0"/>
    </xf>
    <xf numFmtId="0" fontId="15" fillId="0" borderId="0" xfId="0" applyFont="1" applyProtection="1">
      <protection locked="0"/>
    </xf>
    <xf numFmtId="0" fontId="15" fillId="0" borderId="20" xfId="0" applyFont="1" applyBorder="1" applyProtection="1">
      <protection locked="0"/>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5" fillId="2" borderId="0" xfId="0" applyFont="1" applyFill="1" applyAlignment="1">
      <alignment horizontal="center" vertical="center" wrapText="1"/>
    </xf>
    <xf numFmtId="0" fontId="6" fillId="3" borderId="0" xfId="0" applyFont="1" applyFill="1" applyAlignment="1">
      <alignment horizontal="left" vertical="center" wrapText="1"/>
    </xf>
    <xf numFmtId="0" fontId="4" fillId="2" borderId="2" xfId="2" applyFont="1" applyFill="1" applyBorder="1" applyAlignment="1">
      <alignment horizontal="center" vertical="center"/>
    </xf>
    <xf numFmtId="0" fontId="18" fillId="0" borderId="0" xfId="0" applyFont="1" applyAlignment="1">
      <alignment horizontal="left" vertical="center" wrapText="1"/>
    </xf>
    <xf numFmtId="0" fontId="24" fillId="0" borderId="15" xfId="0" applyFont="1" applyBorder="1" applyAlignment="1">
      <alignment horizontal="center" vertical="center"/>
    </xf>
    <xf numFmtId="0" fontId="24" fillId="0" borderId="16" xfId="0" applyFont="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12" fillId="5" borderId="45" xfId="4" applyFont="1" applyFill="1" applyBorder="1" applyAlignment="1" applyProtection="1">
      <alignment horizontal="center" vertical="top" wrapText="1" readingOrder="1"/>
      <protection locked="0"/>
    </xf>
    <xf numFmtId="0" fontId="0" fillId="0" borderId="27" xfId="0" applyBorder="1" applyProtection="1">
      <protection locked="0"/>
    </xf>
    <xf numFmtId="0" fontId="12" fillId="5" borderId="46" xfId="4" applyFont="1" applyFill="1" applyBorder="1" applyAlignment="1" applyProtection="1">
      <alignment horizontal="center" vertical="top" wrapText="1" readingOrder="1"/>
      <protection locked="0"/>
    </xf>
    <xf numFmtId="0" fontId="0" fillId="0" borderId="26" xfId="0" applyBorder="1" applyProtection="1">
      <protection locked="0"/>
    </xf>
    <xf numFmtId="0" fontId="14" fillId="0" borderId="43" xfId="0" applyFont="1" applyBorder="1" applyAlignment="1" applyProtection="1">
      <alignment horizontal="left" vertical="center" wrapText="1"/>
      <protection locked="0"/>
    </xf>
    <xf numFmtId="0" fontId="0" fillId="0" borderId="12" xfId="0" applyBorder="1" applyProtection="1">
      <protection locked="0"/>
    </xf>
    <xf numFmtId="0" fontId="12" fillId="5" borderId="44" xfId="4" applyFont="1" applyFill="1" applyBorder="1" applyAlignment="1" applyProtection="1">
      <alignment horizontal="center" vertical="top" wrapText="1" readingOrder="1"/>
      <protection locked="0"/>
    </xf>
    <xf numFmtId="0" fontId="10" fillId="4" borderId="43" xfId="0" applyFont="1" applyFill="1" applyBorder="1" applyAlignment="1" applyProtection="1">
      <alignment horizontal="center" vertical="center"/>
      <protection locked="0"/>
    </xf>
    <xf numFmtId="0" fontId="0" fillId="0" borderId="10" xfId="0" applyBorder="1" applyProtection="1">
      <protection locked="0"/>
    </xf>
    <xf numFmtId="0" fontId="0" fillId="0" borderId="28" xfId="0" applyBorder="1" applyProtection="1">
      <protection locked="0"/>
    </xf>
    <xf numFmtId="0" fontId="0" fillId="0" borderId="29" xfId="0" applyBorder="1" applyProtection="1">
      <protection locked="0"/>
    </xf>
    <xf numFmtId="0" fontId="0" fillId="0" borderId="11" xfId="0" applyBorder="1" applyProtection="1">
      <protection locked="0"/>
    </xf>
    <xf numFmtId="0" fontId="0" fillId="0" borderId="30" xfId="0" applyBorder="1" applyProtection="1">
      <protection locked="0"/>
    </xf>
    <xf numFmtId="0" fontId="19" fillId="2" borderId="19" xfId="0" applyFont="1" applyFill="1" applyBorder="1" applyAlignment="1" applyProtection="1">
      <alignment horizontal="center" vertical="center" wrapText="1"/>
    </xf>
    <xf numFmtId="0" fontId="19" fillId="2" borderId="0" xfId="0" applyFont="1" applyFill="1" applyAlignment="1" applyProtection="1">
      <alignment horizontal="center" vertical="center" wrapText="1"/>
    </xf>
    <xf numFmtId="0" fontId="10" fillId="4" borderId="15" xfId="0" applyFont="1" applyFill="1" applyBorder="1" applyAlignment="1" applyProtection="1">
      <alignment horizontal="center" vertical="center"/>
      <protection locked="0"/>
    </xf>
    <xf numFmtId="0" fontId="0" fillId="0" borderId="31" xfId="0" applyBorder="1" applyProtection="1">
      <protection locked="0"/>
    </xf>
    <xf numFmtId="0" fontId="0" fillId="0" borderId="42" xfId="0" applyBorder="1" applyProtection="1">
      <protection locked="0"/>
    </xf>
    <xf numFmtId="0" fontId="0" fillId="0" borderId="13" xfId="0" applyBorder="1" applyProtection="1">
      <protection locked="0"/>
    </xf>
    <xf numFmtId="0" fontId="20" fillId="0" borderId="10" xfId="5" applyFont="1" applyBorder="1" applyAlignment="1">
      <alignment horizontal="left" vertical="top" wrapText="1"/>
    </xf>
    <xf numFmtId="0" fontId="10" fillId="2" borderId="23" xfId="5" applyFont="1" applyFill="1" applyBorder="1" applyAlignment="1">
      <alignment horizontal="center" vertical="center" wrapText="1"/>
    </xf>
    <xf numFmtId="0" fontId="10" fillId="2" borderId="14" xfId="5" applyFont="1" applyFill="1" applyBorder="1" applyAlignment="1">
      <alignment horizontal="center" vertical="center" wrapText="1"/>
    </xf>
    <xf numFmtId="0" fontId="10" fillId="2" borderId="13" xfId="5" applyFont="1" applyFill="1" applyBorder="1" applyAlignment="1">
      <alignment horizontal="center" vertical="center" wrapText="1"/>
    </xf>
    <xf numFmtId="0" fontId="10" fillId="8" borderId="6" xfId="5" applyFont="1" applyFill="1" applyBorder="1" applyAlignment="1">
      <alignment horizontal="center" vertical="center" wrapText="1"/>
    </xf>
    <xf numFmtId="0" fontId="10" fillId="8" borderId="8" xfId="5" applyFont="1" applyFill="1" applyBorder="1" applyAlignment="1">
      <alignment horizontal="center" vertical="center" wrapText="1"/>
    </xf>
    <xf numFmtId="0" fontId="10" fillId="8" borderId="7" xfId="5" applyFont="1" applyFill="1" applyBorder="1" applyAlignment="1">
      <alignment horizontal="center" vertical="center" wrapText="1"/>
    </xf>
    <xf numFmtId="0" fontId="15" fillId="0" borderId="6" xfId="5" applyFont="1" applyBorder="1" applyAlignment="1">
      <alignment horizontal="left" vertical="center"/>
    </xf>
    <xf numFmtId="0" fontId="15" fillId="0" borderId="7" xfId="5" applyFont="1" applyBorder="1" applyAlignment="1">
      <alignment horizontal="left" vertical="center"/>
    </xf>
    <xf numFmtId="0" fontId="13" fillId="0" borderId="6" xfId="5" applyFont="1" applyBorder="1" applyAlignment="1">
      <alignment horizontal="center" vertical="center"/>
    </xf>
    <xf numFmtId="0" fontId="13" fillId="0" borderId="7" xfId="5" applyFont="1" applyBorder="1" applyAlignment="1">
      <alignment horizontal="center" vertical="center"/>
    </xf>
    <xf numFmtId="0" fontId="15" fillId="9" borderId="3" xfId="5" applyFont="1" applyFill="1" applyBorder="1" applyAlignment="1">
      <alignment horizontal="right" vertical="center"/>
    </xf>
    <xf numFmtId="0" fontId="15" fillId="9" borderId="12" xfId="5" applyFont="1" applyFill="1" applyBorder="1" applyAlignment="1">
      <alignment horizontal="right" vertical="center"/>
    </xf>
    <xf numFmtId="0" fontId="15" fillId="9" borderId="9" xfId="5" applyFont="1" applyFill="1" applyBorder="1" applyAlignment="1">
      <alignment horizontal="right" vertical="center"/>
    </xf>
    <xf numFmtId="0" fontId="10" fillId="2" borderId="12" xfId="5" applyFont="1" applyFill="1" applyBorder="1" applyAlignment="1">
      <alignment horizontal="right"/>
    </xf>
    <xf numFmtId="0" fontId="13" fillId="0" borderId="6" xfId="5" applyFont="1" applyBorder="1" applyAlignment="1">
      <alignment horizontal="left" vertical="center"/>
    </xf>
    <xf numFmtId="0" fontId="13" fillId="0" borderId="7" xfId="5" applyFont="1" applyBorder="1" applyAlignment="1">
      <alignment horizontal="left" vertical="center"/>
    </xf>
    <xf numFmtId="0" fontId="15" fillId="0" borderId="6" xfId="5" applyFont="1" applyBorder="1" applyAlignment="1">
      <alignment horizontal="center" vertical="center" wrapText="1"/>
    </xf>
    <xf numFmtId="0" fontId="15" fillId="0" borderId="7" xfId="5" applyFont="1" applyBorder="1" applyAlignment="1">
      <alignment horizontal="center" vertical="center" wrapText="1"/>
    </xf>
    <xf numFmtId="0" fontId="10" fillId="3" borderId="12" xfId="5" applyFont="1" applyFill="1" applyBorder="1" applyAlignment="1">
      <alignment horizontal="right" vertical="center"/>
    </xf>
    <xf numFmtId="0" fontId="10" fillId="3" borderId="9" xfId="5" applyFont="1" applyFill="1" applyBorder="1" applyAlignment="1">
      <alignment horizontal="right" vertical="center"/>
    </xf>
    <xf numFmtId="0" fontId="15" fillId="0" borderId="8" xfId="5" applyFont="1" applyBorder="1" applyAlignment="1">
      <alignment horizontal="left" vertical="center"/>
    </xf>
    <xf numFmtId="0" fontId="15" fillId="0" borderId="6" xfId="5" applyFont="1" applyBorder="1" applyAlignment="1">
      <alignment horizontal="center" vertical="center"/>
    </xf>
    <xf numFmtId="0" fontId="15" fillId="0" borderId="7" xfId="5" applyFont="1" applyBorder="1" applyAlignment="1">
      <alignment horizontal="center" vertical="center"/>
    </xf>
    <xf numFmtId="0" fontId="15" fillId="0" borderId="8" xfId="5" applyFont="1" applyBorder="1" applyAlignment="1">
      <alignment horizontal="center" vertical="center"/>
    </xf>
    <xf numFmtId="0" fontId="15" fillId="9" borderId="3" xfId="5" applyFont="1" applyFill="1" applyBorder="1" applyAlignment="1">
      <alignment horizontal="right"/>
    </xf>
    <xf numFmtId="0" fontId="15" fillId="9" borderId="12" xfId="5" applyFont="1" applyFill="1" applyBorder="1" applyAlignment="1">
      <alignment horizontal="right"/>
    </xf>
    <xf numFmtId="0" fontId="15" fillId="9" borderId="9" xfId="5" applyFont="1" applyFill="1" applyBorder="1" applyAlignment="1">
      <alignment horizontal="right"/>
    </xf>
    <xf numFmtId="0" fontId="13" fillId="0" borderId="8" xfId="5" applyFont="1" applyBorder="1" applyAlignment="1">
      <alignment horizontal="left" vertical="center"/>
    </xf>
    <xf numFmtId="0" fontId="15" fillId="0" borderId="35" xfId="5" applyFont="1" applyBorder="1" applyAlignment="1">
      <alignment horizontal="center" vertical="center"/>
    </xf>
    <xf numFmtId="0" fontId="15" fillId="0" borderId="13" xfId="5" applyFont="1" applyBorder="1" applyAlignment="1">
      <alignment horizontal="center" vertical="center"/>
    </xf>
    <xf numFmtId="0" fontId="15" fillId="0" borderId="24" xfId="5" applyFont="1" applyBorder="1" applyAlignment="1">
      <alignment horizontal="center" vertical="center"/>
    </xf>
    <xf numFmtId="0" fontId="15" fillId="0" borderId="33" xfId="5" applyFont="1" applyBorder="1" applyAlignment="1">
      <alignment horizontal="center" vertical="center"/>
    </xf>
    <xf numFmtId="0" fontId="15" fillId="0" borderId="34" xfId="5" applyFont="1" applyBorder="1" applyAlignment="1">
      <alignment horizontal="center" vertical="center"/>
    </xf>
    <xf numFmtId="0" fontId="10" fillId="3" borderId="3" xfId="5" applyFont="1" applyFill="1" applyBorder="1" applyAlignment="1">
      <alignment horizontal="right" vertical="center"/>
    </xf>
    <xf numFmtId="0" fontId="13" fillId="9" borderId="3" xfId="5" applyFont="1" applyFill="1" applyBorder="1" applyAlignment="1">
      <alignment horizontal="right" vertical="center"/>
    </xf>
    <xf numFmtId="0" fontId="13" fillId="9" borderId="12" xfId="5" applyFont="1" applyFill="1" applyBorder="1" applyAlignment="1">
      <alignment horizontal="right" vertical="center"/>
    </xf>
    <xf numFmtId="0" fontId="13" fillId="9" borderId="9" xfId="5" applyFont="1" applyFill="1" applyBorder="1" applyAlignment="1">
      <alignment horizontal="right" vertical="center"/>
    </xf>
    <xf numFmtId="0" fontId="10" fillId="2" borderId="6" xfId="5" applyFont="1" applyFill="1" applyBorder="1" applyAlignment="1">
      <alignment horizontal="center" vertical="center" wrapText="1"/>
    </xf>
    <xf numFmtId="0" fontId="10" fillId="2" borderId="8" xfId="5" applyFont="1" applyFill="1" applyBorder="1" applyAlignment="1">
      <alignment horizontal="center" vertical="center" wrapText="1"/>
    </xf>
    <xf numFmtId="0" fontId="10" fillId="2" borderId="7" xfId="5" applyFont="1" applyFill="1" applyBorder="1" applyAlignment="1">
      <alignment horizontal="center" vertical="center" wrapText="1"/>
    </xf>
    <xf numFmtId="0" fontId="15" fillId="0" borderId="23" xfId="5" applyFont="1" applyBorder="1" applyAlignment="1">
      <alignment horizontal="center" vertical="center"/>
    </xf>
    <xf numFmtId="0" fontId="10" fillId="2" borderId="47" xfId="5" applyFont="1" applyFill="1" applyBorder="1" applyAlignment="1">
      <alignment horizontal="center" vertical="center"/>
    </xf>
    <xf numFmtId="0" fontId="10" fillId="2" borderId="48" xfId="5" applyFont="1" applyFill="1" applyBorder="1" applyAlignment="1">
      <alignment horizontal="center" vertical="center"/>
    </xf>
    <xf numFmtId="0" fontId="10" fillId="2" borderId="32" xfId="5" applyFont="1" applyFill="1" applyBorder="1" applyAlignment="1">
      <alignment horizontal="center" vertical="center"/>
    </xf>
    <xf numFmtId="0" fontId="10" fillId="7" borderId="32" xfId="5" applyFont="1" applyFill="1" applyBorder="1" applyAlignment="1">
      <alignment horizontal="center" vertical="center"/>
    </xf>
    <xf numFmtId="0" fontId="10" fillId="7" borderId="11" xfId="5" applyFont="1" applyFill="1" applyBorder="1" applyAlignment="1">
      <alignment horizontal="center" vertical="center"/>
    </xf>
    <xf numFmtId="0" fontId="10" fillId="2" borderId="6" xfId="5" applyFont="1" applyFill="1" applyBorder="1" applyAlignment="1">
      <alignment horizontal="center" vertical="center"/>
    </xf>
    <xf numFmtId="0" fontId="10" fillId="2" borderId="7" xfId="5" applyFont="1" applyFill="1" applyBorder="1" applyAlignment="1">
      <alignment horizontal="center" vertical="center"/>
    </xf>
    <xf numFmtId="0" fontId="10" fillId="7" borderId="6" xfId="5" applyFont="1" applyFill="1" applyBorder="1" applyAlignment="1">
      <alignment horizontal="center" vertical="center"/>
    </xf>
    <xf numFmtId="0" fontId="10" fillId="7" borderId="7" xfId="5" applyFont="1" applyFill="1" applyBorder="1" applyAlignment="1">
      <alignment horizontal="center" vertical="center"/>
    </xf>
    <xf numFmtId="0" fontId="10" fillId="7" borderId="8" xfId="5" applyFont="1" applyFill="1" applyBorder="1" applyAlignment="1">
      <alignment horizontal="center" vertical="center" wrapText="1"/>
    </xf>
    <xf numFmtId="0" fontId="10" fillId="7" borderId="7" xfId="5" applyFont="1" applyFill="1" applyBorder="1" applyAlignment="1">
      <alignment horizontal="center" vertical="center" wrapText="1"/>
    </xf>
    <xf numFmtId="0" fontId="10" fillId="2" borderId="8" xfId="5" applyFont="1" applyFill="1" applyBorder="1" applyAlignment="1">
      <alignment horizontal="center" vertical="center"/>
    </xf>
    <xf numFmtId="0" fontId="17" fillId="14" borderId="11" xfId="0" applyFont="1" applyFill="1" applyBorder="1" applyAlignment="1">
      <alignment horizontal="right"/>
    </xf>
    <xf numFmtId="0" fontId="17" fillId="14" borderId="39" xfId="0" applyFont="1" applyFill="1" applyBorder="1" applyAlignment="1">
      <alignment horizontal="right"/>
    </xf>
    <xf numFmtId="0" fontId="17" fillId="12" borderId="0" xfId="0" applyFont="1" applyFill="1" applyAlignment="1">
      <alignment horizontal="right"/>
    </xf>
    <xf numFmtId="0" fontId="17" fillId="12" borderId="36" xfId="0" applyFont="1" applyFill="1" applyBorder="1" applyAlignment="1">
      <alignment horizontal="right"/>
    </xf>
    <xf numFmtId="0" fontId="17" fillId="13" borderId="0" xfId="0" applyFont="1" applyFill="1" applyAlignment="1">
      <alignment horizontal="right"/>
    </xf>
    <xf numFmtId="0" fontId="17" fillId="13" borderId="36" xfId="0" applyFont="1" applyFill="1" applyBorder="1" applyAlignment="1">
      <alignment horizontal="right"/>
    </xf>
    <xf numFmtId="0" fontId="17" fillId="11" borderId="0" xfId="0" applyFont="1" applyFill="1" applyAlignment="1">
      <alignment horizontal="left" vertical="center"/>
    </xf>
    <xf numFmtId="0" fontId="17" fillId="11" borderId="11" xfId="0" applyFont="1" applyFill="1" applyBorder="1" applyAlignment="1">
      <alignment horizontal="left" vertical="center"/>
    </xf>
    <xf numFmtId="0" fontId="17" fillId="12" borderId="14" xfId="0" applyFont="1" applyFill="1" applyBorder="1" applyAlignment="1">
      <alignment horizontal="center" vertical="center" wrapText="1"/>
    </xf>
    <xf numFmtId="0" fontId="17" fillId="12" borderId="13" xfId="0" applyFont="1" applyFill="1" applyBorder="1" applyAlignment="1">
      <alignment horizontal="center" vertical="center" wrapText="1"/>
    </xf>
    <xf numFmtId="0" fontId="17" fillId="12" borderId="0" xfId="0" applyFont="1" applyFill="1" applyAlignment="1">
      <alignment horizontal="center" vertical="center" wrapText="1"/>
    </xf>
    <xf numFmtId="0" fontId="17" fillId="12" borderId="11" xfId="0" applyFont="1" applyFill="1" applyBorder="1" applyAlignment="1">
      <alignment horizontal="center" vertical="center" wrapText="1"/>
    </xf>
    <xf numFmtId="0" fontId="17" fillId="12" borderId="12" xfId="0" applyFont="1" applyFill="1" applyBorder="1" applyAlignment="1">
      <alignment horizontal="center"/>
    </xf>
    <xf numFmtId="0" fontId="17" fillId="12" borderId="27" xfId="0" applyFont="1" applyFill="1" applyBorder="1" applyAlignment="1">
      <alignment horizontal="center"/>
    </xf>
    <xf numFmtId="0" fontId="17" fillId="12" borderId="9" xfId="0" applyFont="1" applyFill="1" applyBorder="1" applyAlignment="1">
      <alignment horizontal="center" vertical="center" wrapText="1"/>
    </xf>
    <xf numFmtId="0" fontId="17" fillId="12" borderId="2" xfId="0" applyFont="1" applyFill="1" applyBorder="1" applyAlignment="1">
      <alignment horizontal="center" vertical="center" wrapText="1"/>
    </xf>
    <xf numFmtId="0" fontId="17" fillId="12" borderId="5" xfId="0" applyFont="1" applyFill="1" applyBorder="1" applyAlignment="1">
      <alignment horizontal="center" vertical="center" wrapText="1"/>
    </xf>
  </cellXfs>
  <cellStyles count="10">
    <cellStyle name="Heading 3" xfId="2" builtinId="18"/>
    <cellStyle name="Hyperlink" xfId="3" builtinId="8"/>
    <cellStyle name="Normal" xfId="0" builtinId="0"/>
    <cellStyle name="Normal 2" xfId="6" xr:uid="{00000000-0005-0000-0000-000004000000}"/>
    <cellStyle name="Normal 2 2" xfId="4" xr:uid="{00000000-0005-0000-0000-000005000000}"/>
    <cellStyle name="Normal 3" xfId="5" xr:uid="{00000000-0005-0000-0000-000006000000}"/>
    <cellStyle name="Normal 4" xfId="7" xr:uid="{00000000-0005-0000-0000-000007000000}"/>
    <cellStyle name="Normal 5" xfId="8" xr:uid="{E70F469B-6F47-4869-AFBF-B41B9F4FC007}"/>
    <cellStyle name="Normal 6" xfId="9" xr:uid="{FAE5152D-14CA-40D0-8ED1-DA02DC7B441D}"/>
    <cellStyle name="Percent" xfId="1" builtinId="5"/>
  </cellStyles>
  <dxfs count="48">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
      <fill>
        <patternFill>
          <bgColor rgb="FFFF0000"/>
        </patternFill>
      </fill>
    </dxf>
    <dxf>
      <fill>
        <patternFill>
          <bgColor rgb="FFFFC000"/>
        </patternFill>
      </fill>
    </dxf>
    <dxf>
      <fill>
        <patternFill>
          <bgColor rgb="FF009999"/>
        </patternFill>
      </fill>
    </dxf>
  </dxfs>
  <tableStyles count="0" defaultTableStyle="TableStyleMedium2" defaultPivotStyle="PivotStyleLight16"/>
  <colors>
    <mruColors>
      <color rgb="FF041E42"/>
      <color rgb="FFFF0000"/>
      <color rgb="FFBA0C2F"/>
      <color rgb="FFFFC000"/>
      <color rgb="FF009999"/>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nada_alkhaladi_keyano_ca/Documents/Desktop/KPI%20as%20of%20December%2015,%202021/FLECAMPUS%20as%20of%20December%2015,%20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LECAMPUS as of December 15, 20"/>
      <sheetName val="Sheet2"/>
      <sheetName val="OR"/>
      <sheetName val="Sheet3"/>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41FD5-3509-4512-B64B-3A1A9A427DD3}">
  <sheetPr codeName="Sheet1">
    <tabColor rgb="FFFFFF00"/>
    <pageSetUpPr fitToPage="1"/>
  </sheetPr>
  <dimension ref="A1:P32"/>
  <sheetViews>
    <sheetView showGridLines="0" tabSelected="1" zoomScaleNormal="100" workbookViewId="0">
      <selection activeCell="N18" sqref="N18"/>
    </sheetView>
  </sheetViews>
  <sheetFormatPr defaultRowHeight="15" x14ac:dyDescent="0.25"/>
  <cols>
    <col min="3" max="3" width="38.85546875" bestFit="1" customWidth="1"/>
    <col min="4" max="4" width="38.85546875" customWidth="1"/>
    <col min="16" max="16" width="10.5703125" hidden="1" customWidth="1"/>
  </cols>
  <sheetData>
    <row r="1" spans="1:14" x14ac:dyDescent="0.25">
      <c r="A1" s="37"/>
      <c r="B1" s="37"/>
      <c r="C1" s="37"/>
      <c r="D1" s="37"/>
      <c r="E1" s="37"/>
      <c r="F1" s="37"/>
      <c r="G1" s="37"/>
      <c r="H1" s="37"/>
      <c r="I1" s="37"/>
      <c r="J1" s="37"/>
      <c r="K1" s="37"/>
      <c r="L1" s="37"/>
      <c r="M1" s="37"/>
      <c r="N1" s="37"/>
    </row>
    <row r="2" spans="1:14" x14ac:dyDescent="0.25">
      <c r="A2" s="37"/>
      <c r="B2" s="37"/>
      <c r="C2" s="37"/>
      <c r="D2" s="37"/>
      <c r="E2" s="37"/>
      <c r="F2" s="37"/>
      <c r="G2" s="37"/>
      <c r="H2" s="37"/>
      <c r="I2" s="37"/>
      <c r="J2" s="37"/>
      <c r="K2" s="37"/>
      <c r="L2" s="37"/>
      <c r="M2" s="37"/>
      <c r="N2" s="37"/>
    </row>
    <row r="3" spans="1:14" x14ac:dyDescent="0.25">
      <c r="A3" s="37"/>
      <c r="B3" s="37"/>
      <c r="C3" s="37"/>
      <c r="D3" s="37"/>
      <c r="E3" s="37"/>
      <c r="F3" s="37"/>
      <c r="G3" s="37"/>
      <c r="H3" s="37"/>
      <c r="I3" s="37"/>
      <c r="J3" s="37"/>
      <c r="K3" s="37"/>
      <c r="L3" s="37"/>
      <c r="M3" s="37"/>
      <c r="N3" s="37"/>
    </row>
    <row r="4" spans="1:14" x14ac:dyDescent="0.25">
      <c r="A4" s="37"/>
      <c r="B4" s="37"/>
      <c r="C4" s="37"/>
      <c r="D4" s="37"/>
      <c r="E4" s="37"/>
      <c r="F4" s="37"/>
      <c r="G4" s="37"/>
      <c r="H4" s="37"/>
      <c r="I4" s="37"/>
      <c r="J4" s="37"/>
      <c r="K4" s="37"/>
      <c r="L4" s="37"/>
      <c r="M4" s="37"/>
      <c r="N4" s="37"/>
    </row>
    <row r="5" spans="1:14" x14ac:dyDescent="0.25">
      <c r="A5" s="37"/>
      <c r="B5" s="37"/>
      <c r="C5" s="37"/>
      <c r="D5" s="37"/>
      <c r="E5" s="37"/>
      <c r="F5" s="37"/>
      <c r="G5" s="37"/>
      <c r="H5" s="37"/>
      <c r="I5" s="37"/>
      <c r="J5" s="37"/>
      <c r="K5" s="37"/>
      <c r="L5" s="37"/>
      <c r="M5" s="37"/>
      <c r="N5" s="37"/>
    </row>
    <row r="6" spans="1:14" ht="33.75" x14ac:dyDescent="0.25">
      <c r="A6" s="37"/>
      <c r="B6" s="37"/>
      <c r="C6" s="90" t="s">
        <v>328</v>
      </c>
      <c r="D6" s="90"/>
      <c r="E6" s="90"/>
      <c r="F6" s="90"/>
      <c r="G6" s="90"/>
      <c r="H6" s="90"/>
      <c r="I6" s="90"/>
      <c r="J6" s="90"/>
      <c r="K6" s="90"/>
      <c r="L6" s="90"/>
      <c r="M6" s="37"/>
      <c r="N6" s="37"/>
    </row>
    <row r="7" spans="1:14" ht="15" customHeight="1" x14ac:dyDescent="0.25">
      <c r="A7" s="37"/>
      <c r="B7" s="37"/>
      <c r="C7" s="37"/>
      <c r="D7" s="37"/>
      <c r="E7" s="37"/>
      <c r="F7" s="37"/>
      <c r="G7" s="37"/>
      <c r="H7" s="37"/>
      <c r="I7" s="37"/>
      <c r="J7" s="37"/>
      <c r="K7" s="37"/>
      <c r="L7" s="37"/>
      <c r="M7" s="37"/>
      <c r="N7" s="37"/>
    </row>
    <row r="8" spans="1:14" x14ac:dyDescent="0.25">
      <c r="A8" s="37"/>
      <c r="B8" s="37"/>
      <c r="C8" s="37"/>
      <c r="D8" s="37"/>
      <c r="E8" s="37"/>
      <c r="F8" s="37"/>
      <c r="G8" s="37"/>
      <c r="H8" s="37"/>
      <c r="I8" s="37"/>
      <c r="J8" s="37"/>
      <c r="K8" s="37"/>
      <c r="L8" s="37"/>
      <c r="M8" s="37"/>
      <c r="N8" s="37"/>
    </row>
    <row r="9" spans="1:14" x14ac:dyDescent="0.25">
      <c r="A9" s="37"/>
      <c r="B9" s="37"/>
      <c r="C9" s="37"/>
      <c r="D9" s="37"/>
      <c r="E9" s="37"/>
      <c r="F9" s="37"/>
      <c r="G9" s="37"/>
      <c r="H9" s="37"/>
      <c r="I9" s="37"/>
      <c r="J9" s="37"/>
      <c r="K9" s="37"/>
      <c r="L9" s="37"/>
      <c r="M9" s="37"/>
      <c r="N9" s="37"/>
    </row>
    <row r="10" spans="1:14" ht="15" customHeight="1" x14ac:dyDescent="0.25">
      <c r="A10" s="37"/>
      <c r="B10" s="37"/>
      <c r="C10" s="91" t="s">
        <v>329</v>
      </c>
      <c r="D10" s="91"/>
      <c r="E10" s="91"/>
      <c r="F10" s="91"/>
      <c r="G10" s="91"/>
      <c r="H10" s="91"/>
      <c r="I10" s="91"/>
      <c r="J10" s="91"/>
      <c r="K10" s="91"/>
      <c r="L10" s="91"/>
      <c r="M10" s="37"/>
      <c r="N10" s="37"/>
    </row>
    <row r="11" spans="1:14" x14ac:dyDescent="0.25">
      <c r="A11" s="37"/>
      <c r="B11" s="37"/>
      <c r="C11" s="91"/>
      <c r="D11" s="91"/>
      <c r="E11" s="91"/>
      <c r="F11" s="91"/>
      <c r="G11" s="91"/>
      <c r="H11" s="91"/>
      <c r="I11" s="91"/>
      <c r="J11" s="91"/>
      <c r="K11" s="91"/>
      <c r="L11" s="91"/>
      <c r="M11" s="37"/>
      <c r="N11" s="37"/>
    </row>
    <row r="12" spans="1:14" x14ac:dyDescent="0.25">
      <c r="A12" s="37"/>
      <c r="B12" s="37"/>
      <c r="C12" s="37"/>
      <c r="D12" s="37"/>
      <c r="E12" s="9"/>
      <c r="F12" s="9"/>
      <c r="G12" s="9"/>
      <c r="H12" s="9"/>
      <c r="I12" s="9"/>
      <c r="J12" s="9"/>
      <c r="K12" s="9"/>
      <c r="L12" s="9"/>
      <c r="M12" s="37"/>
      <c r="N12" s="37"/>
    </row>
    <row r="13" spans="1:14" x14ac:dyDescent="0.25">
      <c r="A13" s="37"/>
      <c r="B13" s="37"/>
      <c r="C13" s="37"/>
      <c r="D13" s="37"/>
      <c r="E13" s="9"/>
      <c r="F13" s="9"/>
      <c r="G13" s="9"/>
      <c r="H13" s="9"/>
      <c r="I13" s="9"/>
      <c r="J13" s="9"/>
      <c r="K13" s="9"/>
      <c r="L13" s="9"/>
      <c r="M13" s="37"/>
      <c r="N13" s="37"/>
    </row>
    <row r="14" spans="1:14" ht="15.75" customHeight="1" x14ac:dyDescent="0.25">
      <c r="A14" s="37"/>
      <c r="B14" s="37"/>
      <c r="C14" s="91" t="s">
        <v>338</v>
      </c>
      <c r="D14" s="91"/>
      <c r="E14" s="91"/>
      <c r="F14" s="91"/>
      <c r="G14" s="91"/>
      <c r="H14" s="91"/>
      <c r="I14" s="91"/>
      <c r="J14" s="91"/>
      <c r="K14" s="91"/>
      <c r="L14" s="91"/>
      <c r="M14" s="37"/>
      <c r="N14" s="37"/>
    </row>
    <row r="15" spans="1:14" ht="15.75" customHeight="1" x14ac:dyDescent="0.25">
      <c r="A15" s="37"/>
      <c r="B15" s="37"/>
      <c r="C15" s="91"/>
      <c r="D15" s="91"/>
      <c r="E15" s="91"/>
      <c r="F15" s="91"/>
      <c r="G15" s="91"/>
      <c r="H15" s="91"/>
      <c r="I15" s="91"/>
      <c r="J15" s="91"/>
      <c r="K15" s="91"/>
      <c r="L15" s="91"/>
      <c r="M15" s="37"/>
      <c r="N15" s="37"/>
    </row>
    <row r="16" spans="1:14" x14ac:dyDescent="0.25">
      <c r="A16" s="37"/>
      <c r="B16" s="37"/>
      <c r="C16" s="37"/>
      <c r="D16" s="37"/>
      <c r="E16" s="37"/>
      <c r="F16" s="37"/>
      <c r="G16" s="37"/>
      <c r="H16" s="37"/>
      <c r="I16" s="37"/>
      <c r="J16" s="37"/>
      <c r="K16" s="37"/>
      <c r="L16" s="37"/>
      <c r="M16" s="37"/>
      <c r="N16" s="37"/>
    </row>
    <row r="17" spans="1:14" x14ac:dyDescent="0.25">
      <c r="A17" s="37"/>
      <c r="B17" s="37"/>
      <c r="C17" s="37"/>
      <c r="D17" s="37"/>
      <c r="E17" s="37"/>
      <c r="F17" s="37"/>
      <c r="G17" s="37"/>
      <c r="H17" s="37"/>
      <c r="I17" s="37"/>
      <c r="J17" s="37"/>
      <c r="K17" s="37"/>
      <c r="L17" s="37"/>
      <c r="M17" s="37"/>
      <c r="N17" s="37"/>
    </row>
    <row r="18" spans="1:14" ht="15" customHeight="1" x14ac:dyDescent="0.25">
      <c r="A18" s="37"/>
      <c r="B18" s="37"/>
      <c r="C18" s="91" t="s">
        <v>0</v>
      </c>
      <c r="D18" s="91"/>
      <c r="E18" s="91"/>
      <c r="F18" s="91"/>
      <c r="G18" s="91"/>
      <c r="H18" s="91"/>
      <c r="I18" s="91"/>
      <c r="J18" s="91"/>
      <c r="K18" s="91"/>
      <c r="L18" s="91"/>
      <c r="M18" s="37"/>
      <c r="N18" s="37"/>
    </row>
    <row r="19" spans="1:14" ht="15.6" customHeight="1" x14ac:dyDescent="0.25">
      <c r="A19" s="37"/>
      <c r="B19" s="37"/>
      <c r="C19" s="91"/>
      <c r="D19" s="91"/>
      <c r="E19" s="91"/>
      <c r="F19" s="91"/>
      <c r="G19" s="91"/>
      <c r="H19" s="91"/>
      <c r="I19" s="91"/>
      <c r="J19" s="91"/>
      <c r="K19" s="91"/>
      <c r="L19" s="91"/>
      <c r="M19" s="37"/>
      <c r="N19" s="37"/>
    </row>
    <row r="20" spans="1:14" x14ac:dyDescent="0.25">
      <c r="A20" s="37"/>
      <c r="B20" s="37"/>
      <c r="C20" s="38"/>
      <c r="D20" s="38"/>
      <c r="E20" s="10"/>
      <c r="F20" s="10"/>
      <c r="G20" s="10"/>
      <c r="H20" s="10"/>
      <c r="I20" s="10"/>
      <c r="J20" s="10"/>
      <c r="K20" s="10"/>
      <c r="L20" s="9"/>
      <c r="M20" s="37"/>
      <c r="N20" s="37"/>
    </row>
    <row r="21" spans="1:14" x14ac:dyDescent="0.25">
      <c r="A21" s="37"/>
      <c r="B21" s="37"/>
      <c r="C21" s="38"/>
      <c r="D21" s="38"/>
      <c r="E21" s="9"/>
      <c r="F21" s="9"/>
      <c r="G21" s="9"/>
      <c r="H21" s="9"/>
      <c r="I21" s="9"/>
      <c r="J21" s="9"/>
      <c r="K21" s="9"/>
      <c r="L21" s="9"/>
      <c r="M21" s="37"/>
      <c r="N21" s="37"/>
    </row>
    <row r="22" spans="1:14" x14ac:dyDescent="0.25">
      <c r="A22" s="37"/>
      <c r="B22" s="37"/>
      <c r="C22" s="92" t="s">
        <v>1</v>
      </c>
      <c r="D22" s="92" t="s">
        <v>2</v>
      </c>
      <c r="E22" s="92"/>
      <c r="F22" s="92"/>
      <c r="G22" s="92"/>
      <c r="H22" s="92"/>
      <c r="I22" s="92"/>
      <c r="J22" s="92"/>
      <c r="K22" s="92"/>
      <c r="L22" s="92"/>
      <c r="M22" s="37"/>
      <c r="N22" s="37"/>
    </row>
    <row r="23" spans="1:14" x14ac:dyDescent="0.25">
      <c r="A23" s="37"/>
      <c r="B23" s="37"/>
      <c r="C23" s="92"/>
      <c r="D23" s="92"/>
      <c r="E23" s="92"/>
      <c r="F23" s="92"/>
      <c r="G23" s="92"/>
      <c r="H23" s="92"/>
      <c r="I23" s="92"/>
      <c r="J23" s="92"/>
      <c r="K23" s="92"/>
      <c r="L23" s="92"/>
      <c r="M23" s="37"/>
      <c r="N23" s="37"/>
    </row>
    <row r="24" spans="1:14" x14ac:dyDescent="0.25">
      <c r="A24" s="37"/>
      <c r="B24" s="37"/>
      <c r="C24" s="39" t="s">
        <v>3</v>
      </c>
      <c r="D24" s="88" t="s">
        <v>141</v>
      </c>
      <c r="E24" s="88"/>
      <c r="F24" s="88"/>
      <c r="G24" s="88"/>
      <c r="H24" s="88"/>
      <c r="I24" s="88"/>
      <c r="J24" s="88"/>
      <c r="K24" s="88"/>
      <c r="L24" s="88"/>
      <c r="M24" s="37"/>
      <c r="N24" s="37"/>
    </row>
    <row r="25" spans="1:14" x14ac:dyDescent="0.25">
      <c r="A25" s="37"/>
      <c r="B25" s="37"/>
      <c r="C25" s="40" t="s">
        <v>4</v>
      </c>
      <c r="D25" s="89" t="s">
        <v>140</v>
      </c>
      <c r="E25" s="89"/>
      <c r="F25" s="89"/>
      <c r="G25" s="89"/>
      <c r="H25" s="89"/>
      <c r="I25" s="89"/>
      <c r="J25" s="89"/>
      <c r="K25" s="89"/>
      <c r="L25" s="89"/>
      <c r="M25" s="37"/>
      <c r="N25" s="37"/>
    </row>
    <row r="26" spans="1:14" x14ac:dyDescent="0.25">
      <c r="A26" s="37"/>
      <c r="B26" s="37"/>
      <c r="C26" s="28" t="s">
        <v>324</v>
      </c>
      <c r="D26" s="88" t="s">
        <v>334</v>
      </c>
      <c r="E26" s="88"/>
      <c r="F26" s="88"/>
      <c r="G26" s="88"/>
      <c r="H26" s="88"/>
      <c r="I26" s="88"/>
      <c r="J26" s="88"/>
      <c r="K26" s="88"/>
      <c r="L26" s="88"/>
      <c r="M26" s="37"/>
      <c r="N26" s="37"/>
    </row>
    <row r="27" spans="1:14" x14ac:dyDescent="0.25">
      <c r="A27" s="37"/>
      <c r="B27" s="37"/>
      <c r="C27" s="28" t="s">
        <v>325</v>
      </c>
      <c r="D27" s="88" t="s">
        <v>335</v>
      </c>
      <c r="E27" s="88"/>
      <c r="F27" s="88"/>
      <c r="G27" s="88"/>
      <c r="H27" s="88"/>
      <c r="I27" s="88"/>
      <c r="J27" s="88"/>
      <c r="K27" s="88"/>
      <c r="L27" s="88"/>
      <c r="M27" s="37"/>
      <c r="N27" s="37"/>
    </row>
    <row r="28" spans="1:14" x14ac:dyDescent="0.25">
      <c r="A28" s="37"/>
      <c r="B28" s="37"/>
      <c r="C28" s="28" t="s">
        <v>326</v>
      </c>
      <c r="D28" s="88" t="s">
        <v>336</v>
      </c>
      <c r="E28" s="88"/>
      <c r="F28" s="88"/>
      <c r="G28" s="88"/>
      <c r="H28" s="88"/>
      <c r="I28" s="88"/>
      <c r="J28" s="88"/>
      <c r="K28" s="88"/>
      <c r="L28" s="88"/>
      <c r="M28" s="37"/>
      <c r="N28" s="37"/>
    </row>
    <row r="29" spans="1:14" x14ac:dyDescent="0.25">
      <c r="A29" s="37"/>
      <c r="B29" s="37"/>
      <c r="C29" s="28" t="s">
        <v>327</v>
      </c>
      <c r="D29" s="88" t="s">
        <v>337</v>
      </c>
      <c r="E29" s="88"/>
      <c r="F29" s="88"/>
      <c r="G29" s="88"/>
      <c r="H29" s="88"/>
      <c r="I29" s="88"/>
      <c r="J29" s="88"/>
      <c r="K29" s="88"/>
      <c r="L29" s="88"/>
      <c r="M29" s="37"/>
      <c r="N29" s="37"/>
    </row>
    <row r="30" spans="1:14" x14ac:dyDescent="0.25">
      <c r="A30" s="37"/>
      <c r="B30" s="37"/>
      <c r="C30" s="37"/>
      <c r="D30" s="37"/>
      <c r="E30" s="37"/>
      <c r="F30" s="37"/>
      <c r="G30" s="37"/>
      <c r="H30" s="37"/>
      <c r="I30" s="37"/>
      <c r="J30" s="37"/>
      <c r="K30" s="37"/>
      <c r="L30" s="37"/>
      <c r="M30" s="37"/>
      <c r="N30" s="37"/>
    </row>
    <row r="31" spans="1:14" x14ac:dyDescent="0.25">
      <c r="A31" s="37"/>
      <c r="B31" s="37"/>
      <c r="C31" s="37"/>
      <c r="D31" s="37"/>
      <c r="E31" s="37"/>
      <c r="F31" s="37"/>
      <c r="G31" s="37"/>
      <c r="H31" s="37"/>
      <c r="I31" s="37"/>
      <c r="J31" s="37"/>
      <c r="K31" s="37"/>
      <c r="L31" s="37"/>
      <c r="M31" s="37"/>
      <c r="N31" s="37"/>
    </row>
    <row r="32" spans="1:14" x14ac:dyDescent="0.25">
      <c r="A32" s="37"/>
      <c r="B32" s="37"/>
      <c r="C32" s="37"/>
      <c r="D32" s="37"/>
      <c r="E32" s="37"/>
      <c r="F32" s="37"/>
      <c r="G32" s="37"/>
      <c r="H32" s="37"/>
      <c r="I32" s="37"/>
      <c r="J32" s="37"/>
      <c r="K32" s="37"/>
      <c r="L32" s="37"/>
      <c r="M32" s="37"/>
      <c r="N32" s="37"/>
    </row>
  </sheetData>
  <mergeCells count="12">
    <mergeCell ref="C6:L6"/>
    <mergeCell ref="C10:L11"/>
    <mergeCell ref="C18:L19"/>
    <mergeCell ref="C22:C23"/>
    <mergeCell ref="D22:L23"/>
    <mergeCell ref="C14:L15"/>
    <mergeCell ref="D24:L24"/>
    <mergeCell ref="D25:L25"/>
    <mergeCell ref="D26:L26"/>
    <mergeCell ref="D27:L27"/>
    <mergeCell ref="D29:L29"/>
    <mergeCell ref="D28:L28"/>
  </mergeCells>
  <hyperlinks>
    <hyperlink ref="C25" location="'App Comparative Report Summary'!A1" display="App Comparative Report Summary" xr:uid="{79F11276-4E1D-47C7-A41A-633CCA94DD00}"/>
    <hyperlink ref="C24" location="'Business (Data) Glossary'!A1" display="Glossary" xr:uid="{FBDC6DAC-4684-4763-97DF-AD51B82704CE}"/>
    <hyperlink ref="C27" location="'Fall {YrA} Apps By School'!A1" display="Fall Apps By School" xr:uid="{7B55B5FA-3B46-4948-9744-664412FD091E}"/>
    <hyperlink ref="C28" location="'Winter {YrA} Apps By School'!A1" display="Winter Apps By School" xr:uid="{B82680CF-BCB9-4555-8EAB-0930B2F09E87}"/>
    <hyperlink ref="C29" location="'Spring {YrA} Apps By School'!A1" display="Spring Apps By School" xr:uid="{97AAA58E-E7D0-491B-BEBB-334116D0ECDA}"/>
    <hyperlink ref="C26" location="'Summer {YrA} Apps By School'!A1" display="Summer Apps By School" xr:uid="{5E890F79-6477-4ACD-899B-191505DC2FD4}"/>
  </hyperlinks>
  <pageMargins left="0.25" right="0.25" top="0.75" bottom="0.75" header="0.3" footer="0.3"/>
  <pageSetup scale="79" orientation="landscape"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2367E-637E-4573-98D3-D4E2F1BF4FAA}">
  <sheetPr codeName="Sheet2">
    <tabColor rgb="FF0070C0"/>
  </sheetPr>
  <dimension ref="B2:C16"/>
  <sheetViews>
    <sheetView showGridLines="0" zoomScale="106" zoomScaleNormal="106" workbookViewId="0">
      <selection activeCell="F12" sqref="F12"/>
    </sheetView>
  </sheetViews>
  <sheetFormatPr defaultColWidth="8.5703125" defaultRowHeight="15" x14ac:dyDescent="0.25"/>
  <cols>
    <col min="2" max="2" width="25.5703125" bestFit="1" customWidth="1"/>
    <col min="3" max="3" width="67.85546875" style="12" customWidth="1"/>
  </cols>
  <sheetData>
    <row r="2" spans="2:3" ht="20.100000000000001" customHeight="1" x14ac:dyDescent="0.25">
      <c r="B2" s="94" t="s">
        <v>171</v>
      </c>
      <c r="C2" s="95"/>
    </row>
    <row r="3" spans="2:3" ht="20.100000000000001" customHeight="1" thickBot="1" x14ac:dyDescent="0.3">
      <c r="B3" s="96"/>
      <c r="C3" s="97"/>
    </row>
    <row r="4" spans="2:3" ht="15.75" thickBot="1" x14ac:dyDescent="0.3"/>
    <row r="5" spans="2:3" x14ac:dyDescent="0.25">
      <c r="B5" s="13" t="s">
        <v>5</v>
      </c>
      <c r="C5" s="14" t="s">
        <v>6</v>
      </c>
    </row>
    <row r="6" spans="2:3" ht="45" x14ac:dyDescent="0.25">
      <c r="B6" s="15" t="s">
        <v>7</v>
      </c>
      <c r="C6" s="17" t="s">
        <v>8</v>
      </c>
    </row>
    <row r="7" spans="2:3" ht="30" x14ac:dyDescent="0.25">
      <c r="B7" s="15" t="s">
        <v>9</v>
      </c>
      <c r="C7" s="17" t="s">
        <v>10</v>
      </c>
    </row>
    <row r="8" spans="2:3" x14ac:dyDescent="0.25">
      <c r="B8" s="15" t="s">
        <v>11</v>
      </c>
      <c r="C8" s="17" t="s">
        <v>12</v>
      </c>
    </row>
    <row r="9" spans="2:3" ht="45" x14ac:dyDescent="0.25">
      <c r="B9" s="15" t="s">
        <v>13</v>
      </c>
      <c r="C9" s="17" t="s">
        <v>14</v>
      </c>
    </row>
    <row r="10" spans="2:3" ht="30" x14ac:dyDescent="0.25">
      <c r="B10" s="15" t="s">
        <v>15</v>
      </c>
      <c r="C10" s="17" t="s">
        <v>16</v>
      </c>
    </row>
    <row r="11" spans="2:3" ht="30" x14ac:dyDescent="0.25">
      <c r="B11" s="15" t="s">
        <v>43</v>
      </c>
      <c r="C11" s="17" t="s">
        <v>17</v>
      </c>
    </row>
    <row r="12" spans="2:3" ht="45" x14ac:dyDescent="0.25">
      <c r="B12" s="15" t="s">
        <v>18</v>
      </c>
      <c r="C12" s="17" t="s">
        <v>19</v>
      </c>
    </row>
    <row r="13" spans="2:3" ht="45" x14ac:dyDescent="0.25">
      <c r="B13" s="15" t="s">
        <v>20</v>
      </c>
      <c r="C13" s="17" t="s">
        <v>21</v>
      </c>
    </row>
    <row r="14" spans="2:3" ht="45" x14ac:dyDescent="0.25">
      <c r="B14" s="15" t="s">
        <v>22</v>
      </c>
      <c r="C14" s="17" t="s">
        <v>23</v>
      </c>
    </row>
    <row r="15" spans="2:3" ht="30.75" thickBot="1" x14ac:dyDescent="0.3">
      <c r="B15" s="16" t="s">
        <v>24</v>
      </c>
      <c r="C15" s="18" t="s">
        <v>25</v>
      </c>
    </row>
    <row r="16" spans="2:3" ht="33" customHeight="1" x14ac:dyDescent="0.25">
      <c r="B16" s="93" t="s">
        <v>26</v>
      </c>
      <c r="C16" s="93"/>
    </row>
  </sheetData>
  <sortState xmlns:xlrd2="http://schemas.microsoft.com/office/spreadsheetml/2017/richdata2" ref="B6:C15">
    <sortCondition ref="B6:B15"/>
  </sortState>
  <mergeCells count="2">
    <mergeCell ref="B16:C16"/>
    <mergeCell ref="B2:C3"/>
  </mergeCell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70C0"/>
    <pageSetUpPr fitToPage="1"/>
  </sheetPr>
  <dimension ref="A1:U35"/>
  <sheetViews>
    <sheetView showGridLines="0" zoomScale="130" zoomScaleNormal="130" workbookViewId="0">
      <selection activeCell="K17" sqref="K17"/>
    </sheetView>
  </sheetViews>
  <sheetFormatPr defaultColWidth="10.28515625" defaultRowHeight="15" x14ac:dyDescent="0.25"/>
  <cols>
    <col min="1" max="16384" width="10.28515625" style="84"/>
  </cols>
  <sheetData>
    <row r="1" spans="1:21" ht="14.45" customHeight="1" x14ac:dyDescent="0.25">
      <c r="A1" s="111" t="s">
        <v>27</v>
      </c>
      <c r="B1" s="112"/>
      <c r="C1" s="112"/>
      <c r="D1" s="112"/>
      <c r="E1" s="112"/>
      <c r="F1" s="112"/>
      <c r="G1" s="112"/>
      <c r="H1" s="112"/>
      <c r="I1" s="112"/>
      <c r="J1" s="112"/>
      <c r="K1" s="112"/>
      <c r="L1" s="112"/>
      <c r="M1" s="112"/>
      <c r="N1" s="112"/>
      <c r="O1" s="112"/>
      <c r="P1" s="112"/>
      <c r="Q1" s="112"/>
      <c r="R1" s="112"/>
      <c r="S1" s="112"/>
      <c r="T1" s="112"/>
      <c r="U1" s="112"/>
    </row>
    <row r="2" spans="1:21" ht="14.45" customHeight="1" x14ac:dyDescent="0.25">
      <c r="A2" s="111"/>
      <c r="B2" s="112"/>
      <c r="C2" s="112"/>
      <c r="D2" s="112"/>
      <c r="E2" s="112"/>
      <c r="F2" s="112"/>
      <c r="G2" s="112"/>
      <c r="H2" s="112"/>
      <c r="I2" s="112"/>
      <c r="J2" s="112"/>
      <c r="K2" s="112"/>
      <c r="L2" s="112"/>
      <c r="M2" s="112"/>
      <c r="N2" s="112"/>
      <c r="O2" s="112"/>
      <c r="P2" s="112"/>
      <c r="Q2" s="112"/>
      <c r="R2" s="112"/>
      <c r="S2" s="112"/>
      <c r="T2" s="112"/>
      <c r="U2" s="112"/>
    </row>
    <row r="3" spans="1:21" ht="15.75" customHeight="1" thickBot="1" x14ac:dyDescent="0.3"/>
    <row r="4" spans="1:21" ht="15" customHeight="1" x14ac:dyDescent="0.25">
      <c r="B4" s="113" t="str">
        <f>'YearA-AppDetails Current Date'!$J$2&amp;"/"&amp;RIGHT(('YearA-AppDetails Current Date'!$J$2+1),2)&amp;" Academic Year"</f>
        <v>/1 Academic Year</v>
      </c>
      <c r="C4" s="114"/>
      <c r="D4" s="114"/>
      <c r="E4" s="114"/>
      <c r="F4" s="114"/>
      <c r="G4" s="114"/>
      <c r="H4" s="114"/>
      <c r="I4" s="114"/>
      <c r="J4" s="115"/>
      <c r="L4" s="113" t="str">
        <f>'YearB-AppDetails Current Date'!$J$2&amp;"/"&amp;RIGHT(('YearB-AppDetails Current Date'!$J$2+1),2)&amp;" Academic Year"</f>
        <v>/1 Academic Year</v>
      </c>
      <c r="M4" s="114"/>
      <c r="N4" s="114"/>
      <c r="O4" s="114"/>
      <c r="P4" s="114"/>
      <c r="Q4" s="114"/>
      <c r="R4" s="114"/>
      <c r="S4" s="114"/>
      <c r="T4" s="115"/>
    </row>
    <row r="5" spans="1:21" ht="15" customHeight="1" x14ac:dyDescent="0.25">
      <c r="B5" s="108"/>
      <c r="C5" s="109"/>
      <c r="D5" s="109"/>
      <c r="E5" s="109"/>
      <c r="F5" s="109"/>
      <c r="G5" s="109"/>
      <c r="H5" s="109"/>
      <c r="I5" s="109"/>
      <c r="J5" s="116"/>
      <c r="L5" s="108"/>
      <c r="M5" s="109"/>
      <c r="N5" s="109"/>
      <c r="O5" s="109"/>
      <c r="P5" s="109"/>
      <c r="Q5" s="109"/>
      <c r="R5" s="109"/>
      <c r="S5" s="109"/>
      <c r="T5" s="116"/>
    </row>
    <row r="6" spans="1:21" ht="15" customHeight="1" x14ac:dyDescent="0.25">
      <c r="B6" s="105" t="str">
        <f>'YearA-AppDetails Current Date'!$J$2&amp;"/"&amp;RIGHT(('YearA-AppDetails Current Date'!$J$2+1),2)&amp;" Overall Applications Comparative - Point in Time Report Summary"</f>
        <v>/1 Overall Applications Comparative - Point in Time Report Summary</v>
      </c>
      <c r="C6" s="106"/>
      <c r="D6" s="106"/>
      <c r="E6" s="106"/>
      <c r="F6" s="106"/>
      <c r="G6" s="106"/>
      <c r="H6" s="106"/>
      <c r="I6" s="106"/>
      <c r="J6" s="107"/>
      <c r="L6" s="105" t="str">
        <f>'YearB-AppDetails Current Date'!$J$2&amp;"/"&amp;RIGHT(('YearB-AppDetails Current Date'!$J$2+1),2)&amp;" Overall Applications Comparative - Point in Time Report Summary"</f>
        <v>/1 Overall Applications Comparative - Point in Time Report Summary</v>
      </c>
      <c r="M6" s="106"/>
      <c r="N6" s="106"/>
      <c r="O6" s="106"/>
      <c r="P6" s="106"/>
      <c r="Q6" s="106"/>
      <c r="R6" s="106"/>
      <c r="S6" s="106"/>
      <c r="T6" s="107"/>
    </row>
    <row r="7" spans="1:21" ht="15" customHeight="1" x14ac:dyDescent="0.25">
      <c r="B7" s="108"/>
      <c r="C7" s="109"/>
      <c r="D7" s="109"/>
      <c r="E7" s="109"/>
      <c r="F7" s="109"/>
      <c r="G7" s="109"/>
      <c r="H7" s="109"/>
      <c r="I7" s="109"/>
      <c r="J7" s="110"/>
      <c r="L7" s="108"/>
      <c r="M7" s="109"/>
      <c r="N7" s="109"/>
      <c r="O7" s="109"/>
      <c r="P7" s="109"/>
      <c r="Q7" s="109"/>
      <c r="R7" s="109"/>
      <c r="S7" s="109"/>
      <c r="T7" s="110"/>
    </row>
    <row r="8" spans="1:21" ht="15" customHeight="1" x14ac:dyDescent="0.25">
      <c r="B8" s="104" t="str">
        <f>'YearA-AppDetails Current Date'!$J$2&amp;"/"&amp;RIGHT(('YearA-AppDetails Current Date'!$J$2+1),2)</f>
        <v>/1</v>
      </c>
      <c r="C8" s="103"/>
      <c r="D8" s="99"/>
      <c r="E8" s="98" t="str">
        <f>'YearA-AppDetails Current Date-1'!$J$2&amp;"/"&amp;RIGHT(('YearA-AppDetails Current Date-1'!$J$2+1),2)</f>
        <v>/1</v>
      </c>
      <c r="F8" s="99"/>
      <c r="G8" s="98" t="str">
        <f>'YearA-AppDetails Current Date-2'!$J$2&amp;"/"&amp;RIGHT(('YearA-AppDetails Current Date-2'!$J$2+1),2)</f>
        <v>/1</v>
      </c>
      <c r="H8" s="99"/>
      <c r="I8" s="100" t="str">
        <f>'YearA-AppDetails Current Date-3'!$J$2&amp;"/"&amp;RIGHT(('YearA-AppDetails Current Date-3'!$J$2+1),2)</f>
        <v>/1</v>
      </c>
      <c r="J8" s="101"/>
      <c r="L8" s="104" t="str">
        <f>'YearB-AppDetails Current Date'!$J$2&amp;"/"&amp;RIGHT(('YearB-AppDetails Current Date'!$J$2+1),2)</f>
        <v>/1</v>
      </c>
      <c r="M8" s="103"/>
      <c r="N8" s="99"/>
      <c r="O8" s="98" t="str">
        <f>'YearB-AppDetails Current Date-1'!$J$2&amp;"/"&amp;RIGHT(('YearB-AppDetails Current Date-1'!$J$2+1),2)</f>
        <v>/1</v>
      </c>
      <c r="P8" s="99"/>
      <c r="Q8" s="98" t="str">
        <f>'YearB-AppDetails Current Date-2'!$J$2&amp;"/"&amp;RIGHT(('YearB-AppDetails Current Date-2'!$J$2+1),2)</f>
        <v>/1</v>
      </c>
      <c r="R8" s="99"/>
      <c r="S8" s="100" t="str">
        <f>'YearB-AppDetails Current Date-3'!$J$2&amp;"/"&amp;RIGHT(('YearB-AppDetails Current Date-3'!$J$2+1),2)</f>
        <v>/1</v>
      </c>
      <c r="T8" s="101"/>
    </row>
    <row r="9" spans="1:21" ht="15.75" x14ac:dyDescent="0.25">
      <c r="B9" s="75" t="s">
        <v>28</v>
      </c>
      <c r="C9" s="76" t="s">
        <v>148</v>
      </c>
      <c r="D9" s="77" t="s">
        <v>22</v>
      </c>
      <c r="E9" s="75" t="s">
        <v>28</v>
      </c>
      <c r="F9" s="76" t="s">
        <v>148</v>
      </c>
      <c r="G9" s="75" t="s">
        <v>28</v>
      </c>
      <c r="H9" s="76" t="s">
        <v>148</v>
      </c>
      <c r="I9" s="75" t="s">
        <v>28</v>
      </c>
      <c r="J9" s="76" t="s">
        <v>148</v>
      </c>
      <c r="L9" s="75" t="s">
        <v>28</v>
      </c>
      <c r="M9" s="76" t="s">
        <v>148</v>
      </c>
      <c r="N9" s="77" t="s">
        <v>22</v>
      </c>
      <c r="O9" s="75" t="s">
        <v>28</v>
      </c>
      <c r="P9" s="76" t="s">
        <v>148</v>
      </c>
      <c r="Q9" s="75" t="s">
        <v>28</v>
      </c>
      <c r="R9" s="76" t="s">
        <v>148</v>
      </c>
      <c r="S9" s="75" t="s">
        <v>28</v>
      </c>
      <c r="T9" s="76" t="s">
        <v>148</v>
      </c>
    </row>
    <row r="10" spans="1:21" ht="15.75" x14ac:dyDescent="0.25">
      <c r="B10" s="78">
        <f>SUM(B16,B22,B28,B34)</f>
        <v>0</v>
      </c>
      <c r="C10" s="78">
        <f t="shared" ref="C10:J10" si="0">SUM(C16,C22,C28,C34)</f>
        <v>0</v>
      </c>
      <c r="D10" s="78">
        <f t="shared" si="0"/>
        <v>0</v>
      </c>
      <c r="E10" s="79">
        <f t="shared" si="0"/>
        <v>0</v>
      </c>
      <c r="F10" s="79">
        <f t="shared" si="0"/>
        <v>0</v>
      </c>
      <c r="G10" s="79">
        <f t="shared" si="0"/>
        <v>0</v>
      </c>
      <c r="H10" s="79">
        <f t="shared" si="0"/>
        <v>0</v>
      </c>
      <c r="I10" s="79">
        <f t="shared" si="0"/>
        <v>0</v>
      </c>
      <c r="J10" s="79">
        <f t="shared" si="0"/>
        <v>0</v>
      </c>
      <c r="L10" s="78">
        <f>SUM(L16,L22,L28,L34)</f>
        <v>0</v>
      </c>
      <c r="M10" s="78">
        <f t="shared" ref="M10:T10" si="1">SUM(M16,M22,M28,M34)</f>
        <v>0</v>
      </c>
      <c r="N10" s="78">
        <f t="shared" si="1"/>
        <v>0</v>
      </c>
      <c r="O10" s="79">
        <f t="shared" si="1"/>
        <v>0</v>
      </c>
      <c r="P10" s="79">
        <f t="shared" si="1"/>
        <v>0</v>
      </c>
      <c r="Q10" s="79">
        <f t="shared" si="1"/>
        <v>0</v>
      </c>
      <c r="R10" s="79">
        <f t="shared" si="1"/>
        <v>0</v>
      </c>
      <c r="S10" s="79">
        <f t="shared" si="1"/>
        <v>0</v>
      </c>
      <c r="T10" s="79">
        <f t="shared" si="1"/>
        <v>0</v>
      </c>
    </row>
    <row r="11" spans="1:21" ht="15" customHeight="1" x14ac:dyDescent="0.25">
      <c r="B11" s="85"/>
      <c r="C11" s="86"/>
      <c r="D11" s="86"/>
      <c r="E11" s="86"/>
      <c r="F11" s="86"/>
      <c r="G11" s="86"/>
      <c r="H11" s="86"/>
      <c r="I11" s="86"/>
      <c r="J11" s="87"/>
      <c r="L11" s="85"/>
      <c r="M11" s="86"/>
      <c r="N11" s="86"/>
      <c r="O11" s="86"/>
      <c r="P11" s="86"/>
      <c r="Q11" s="86"/>
      <c r="R11" s="86"/>
      <c r="S11" s="86"/>
      <c r="T11" s="87"/>
    </row>
    <row r="12" spans="1:21" ht="15" customHeight="1" x14ac:dyDescent="0.25">
      <c r="B12" s="105" t="str">
        <f>"Summer "&amp;'YearA-AppDetails Current Date'!$J$2&amp;" Applications Comparative - Point in Time Report Summary"</f>
        <v>Summer  Applications Comparative - Point in Time Report Summary</v>
      </c>
      <c r="C12" s="106"/>
      <c r="D12" s="106"/>
      <c r="E12" s="106"/>
      <c r="F12" s="106"/>
      <c r="G12" s="106"/>
      <c r="H12" s="106"/>
      <c r="I12" s="106"/>
      <c r="J12" s="107"/>
      <c r="L12" s="105" t="str">
        <f>"Summer "&amp;'YearB-AppDetails Current Date'!$J$2&amp;" Applications Comparative - Point in Time Report Summary"</f>
        <v>Summer  Applications Comparative - Point in Time Report Summary</v>
      </c>
      <c r="M12" s="106"/>
      <c r="N12" s="106"/>
      <c r="O12" s="106"/>
      <c r="P12" s="106"/>
      <c r="Q12" s="106"/>
      <c r="R12" s="106"/>
      <c r="S12" s="106"/>
      <c r="T12" s="107"/>
    </row>
    <row r="13" spans="1:21" ht="15" customHeight="1" x14ac:dyDescent="0.25">
      <c r="B13" s="108"/>
      <c r="C13" s="109"/>
      <c r="D13" s="109"/>
      <c r="E13" s="109"/>
      <c r="F13" s="109"/>
      <c r="G13" s="109"/>
      <c r="H13" s="109"/>
      <c r="I13" s="109"/>
      <c r="J13" s="110"/>
      <c r="L13" s="108"/>
      <c r="M13" s="109"/>
      <c r="N13" s="109"/>
      <c r="O13" s="109"/>
      <c r="P13" s="109"/>
      <c r="Q13" s="109"/>
      <c r="R13" s="109"/>
      <c r="S13" s="109"/>
      <c r="T13" s="110"/>
    </row>
    <row r="14" spans="1:21" ht="15.75" customHeight="1" x14ac:dyDescent="0.25">
      <c r="B14" s="104" t="str">
        <f>"Summer "&amp;'YearA-AppDetails Current Date'!$J$2</f>
        <v xml:space="preserve">Summer </v>
      </c>
      <c r="C14" s="103"/>
      <c r="D14" s="99"/>
      <c r="E14" s="98" t="str">
        <f>"Summer "&amp;'YearA-AppDetails Current Date-1'!$J$2</f>
        <v xml:space="preserve">Summer </v>
      </c>
      <c r="F14" s="99"/>
      <c r="G14" s="98" t="str">
        <f>"Summer "&amp;'YearA-AppDetails Current Date-2'!$J$2</f>
        <v xml:space="preserve">Summer </v>
      </c>
      <c r="H14" s="99"/>
      <c r="I14" s="100" t="str">
        <f>"Summer "&amp;'YearA-AppDetails Current Date-3'!$J$2</f>
        <v xml:space="preserve">Summer </v>
      </c>
      <c r="J14" s="101"/>
      <c r="L14" s="104" t="str">
        <f>"Summer "&amp;'YearB-AppDetails Current Date'!$J$2</f>
        <v xml:space="preserve">Summer </v>
      </c>
      <c r="M14" s="103"/>
      <c r="N14" s="99"/>
      <c r="O14" s="98" t="str">
        <f>"Summer "&amp;'YearB-AppDetails Current Date-1'!$J$2</f>
        <v xml:space="preserve">Summer </v>
      </c>
      <c r="P14" s="99"/>
      <c r="Q14" s="98" t="str">
        <f>"Summer "&amp;'YearB-AppDetails Current Date-2'!$J$2</f>
        <v xml:space="preserve">Summer </v>
      </c>
      <c r="R14" s="99"/>
      <c r="S14" s="100" t="str">
        <f>"Summer "&amp;'YearB-AppDetails Current Date-3'!$J$2</f>
        <v xml:space="preserve">Summer </v>
      </c>
      <c r="T14" s="101"/>
    </row>
    <row r="15" spans="1:21" ht="15.75" x14ac:dyDescent="0.25">
      <c r="B15" s="75" t="s">
        <v>28</v>
      </c>
      <c r="C15" s="76" t="s">
        <v>148</v>
      </c>
      <c r="D15" s="77" t="s">
        <v>22</v>
      </c>
      <c r="E15" s="75" t="s">
        <v>28</v>
      </c>
      <c r="F15" s="76" t="s">
        <v>148</v>
      </c>
      <c r="G15" s="75" t="s">
        <v>28</v>
      </c>
      <c r="H15" s="76" t="s">
        <v>148</v>
      </c>
      <c r="I15" s="75" t="s">
        <v>28</v>
      </c>
      <c r="J15" s="76" t="s">
        <v>148</v>
      </c>
      <c r="L15" s="75" t="s">
        <v>28</v>
      </c>
      <c r="M15" s="76" t="s">
        <v>148</v>
      </c>
      <c r="N15" s="77" t="s">
        <v>22</v>
      </c>
      <c r="O15" s="75" t="s">
        <v>28</v>
      </c>
      <c r="P15" s="76" t="s">
        <v>148</v>
      </c>
      <c r="Q15" s="75" t="s">
        <v>28</v>
      </c>
      <c r="R15" s="76" t="s">
        <v>148</v>
      </c>
      <c r="S15" s="75" t="s">
        <v>28</v>
      </c>
      <c r="T15" s="76" t="s">
        <v>148</v>
      </c>
    </row>
    <row r="16" spans="1:21" ht="15.75" x14ac:dyDescent="0.25">
      <c r="B16" s="78" cm="1">
        <f t="array" ref="B16">SUM(--(LEN(IFERROR(
_xlfn.UNIQUE(
_xlfn._xlws.FILTER(
'YearA-AppDetails Current Date'!$G:$G,
('YearA-AppDetails Current Date'!$G:$G&lt;&gt;"")*
('YearA-AppDetails Current Date'!$G:$G&lt;&gt;"Applicants")*
('YearA-AppDetails Current Date'!$I:$I="SUMMER")
)),""))&gt;0))</f>
        <v>0</v>
      </c>
      <c r="C16" s="80">
        <f>IFERROR(1/(1/COUNTIFS(
'YearA-AppDetails Current Date'!$I:$I,"SUMMER")), 0)</f>
        <v>0</v>
      </c>
      <c r="D16" s="81" cm="1">
        <f t="array" ref="D16">IFERROR(1/(1/SUM(COUNTIFS(
'YearA-AppDetails Current Date'!$V:$V,{"APRO","NODE"},
'YearA-AppDetails Current Date'!$I:$I,"SUMMER"))), 0)</f>
        <v>0</v>
      </c>
      <c r="E16" s="79" cm="1">
        <f t="array" ref="E16">SUM(--(LEN(IFERROR(
_xlfn.UNIQUE(
_xlfn._xlws.FILTER(
'YearA-AppDetails Current Date-1'!$G:$G,
('YearA-AppDetails Current Date-1'!$G:$G&lt;&gt;"")*
('YearA-AppDetails Current Date-1'!$G:$G&lt;&gt;"Applicants")*
('YearA-AppDetails Current Date-1'!$I:$I="SUMMER")
)),""))&gt;0))</f>
        <v>0</v>
      </c>
      <c r="F16" s="82">
        <f>IFERROR(1/(1/COUNTIFS(
'YearA-AppDetails Current Date-1'!$I:$I,"SUMMER")), 0)</f>
        <v>0</v>
      </c>
      <c r="G16" s="79" cm="1">
        <f t="array" ref="G16">SUM(--(LEN(IFERROR(
_xlfn.UNIQUE(
_xlfn._xlws.FILTER(
'YearA-AppDetails Current Date-2'!$G:$G,
('YearA-AppDetails Current Date-2'!$G:$G&lt;&gt;"")*
('YearA-AppDetails Current Date-2'!$G:$G&lt;&gt;"Applicants")*
('YearA-AppDetails Current Date-2'!$I:$I="SUMMER")
)),""))&gt;0))</f>
        <v>0</v>
      </c>
      <c r="H16" s="82">
        <f>IFERROR(1/(1/COUNTIFS(
'YearA-AppDetails Current Date-2'!$I:$I,"SUMMER")), 0)</f>
        <v>0</v>
      </c>
      <c r="I16" s="79" cm="1">
        <f t="array" ref="I16">SUM(--(LEN(IFERROR(
_xlfn.UNIQUE(
_xlfn._xlws.FILTER(
'YearA-AppDetails Current Date-3'!$G:$G,
('YearA-AppDetails Current Date-3'!$G:$G&lt;&gt;"")*
('YearA-AppDetails Current Date-3'!$G:$G&lt;&gt;"Applicants")*
('YearA-AppDetails Current Date-3'!$I:$I="SUMMER")
)),""))&gt;0))</f>
        <v>0</v>
      </c>
      <c r="J16" s="83">
        <f>IFERROR(1/(1/COUNTIFS(
'YearA-AppDetails Current Date-3'!$I:$I,"SUMMER")), 0)</f>
        <v>0</v>
      </c>
      <c r="L16" s="78" cm="1">
        <f t="array" ref="L16">SUM(--(LEN(IFERROR(
_xlfn.UNIQUE(
_xlfn._xlws.FILTER(
'YearB-AppDetails Current Date'!$G:$G,
('YearB-AppDetails Current Date'!$G:$G&lt;&gt;"")*
('YearB-AppDetails Current Date'!$G:$G&lt;&gt;"Applicants")*
('YearB-AppDetails Current Date'!$I:$I="SUMMER")
)),""))&gt;0))</f>
        <v>0</v>
      </c>
      <c r="M16" s="80">
        <f>IFERROR(1/(1/COUNTIFS(
'YearB-AppDetails Current Date'!$I:$I,"SUMMER")), 0)</f>
        <v>0</v>
      </c>
      <c r="N16" s="81" cm="1">
        <f t="array" ref="N16">IFERROR(1/(1/SUM(COUNTIFS(
'YearB-AppDetails Current Date'!$V:$V,{"APRO","NODE"},
'YearB-AppDetails Current Date'!$I:$I,"SUMMER"))), 0)</f>
        <v>0</v>
      </c>
      <c r="O16" s="79" cm="1">
        <f t="array" ref="O16">SUM(--(LEN(IFERROR(
_xlfn.UNIQUE(
_xlfn._xlws.FILTER(
'YearB-AppDetails Current Date-1'!$G:$G,
('YearB-AppDetails Current Date-1'!$G:$G&lt;&gt;"")*
('YearB-AppDetails Current Date-1'!$G:$G&lt;&gt;"Applicants")*
('YearB-AppDetails Current Date-1'!$I:$I="SUMMER")
)),""))&gt;0))</f>
        <v>0</v>
      </c>
      <c r="P16" s="82">
        <f>IFERROR(1/(1/COUNTIFS(
'YearB-AppDetails Current Date-1'!$I:$I,"SUMMER")), 0)</f>
        <v>0</v>
      </c>
      <c r="Q16" s="79" cm="1">
        <f t="array" ref="Q16">SUM(--(LEN(IFERROR(
_xlfn.UNIQUE(
_xlfn._xlws.FILTER(
'YearB-AppDetails Current Date-2'!$G:$G,
('YearB-AppDetails Current Date-2'!$G:$G&lt;&gt;"")*
('YearB-AppDetails Current Date-2'!$G:$G&lt;&gt;"Applicants")*
('YearB-AppDetails Current Date-2'!$I:$I="SUMMER")
)),""))&gt;0))</f>
        <v>0</v>
      </c>
      <c r="R16" s="82">
        <f>IFERROR(1/(1/COUNTIFS(
'YearB-AppDetails Current Date-2'!$I:$I,"SUMMER")), 0)</f>
        <v>0</v>
      </c>
      <c r="S16" s="79" cm="1">
        <f t="array" ref="S16">SUM(--(LEN(IFERROR(
_xlfn.UNIQUE(
_xlfn._xlws.FILTER(
'YearB-AppDetails Current Date-3'!$G:$G,
('YearB-AppDetails Current Date-3'!$G:$G&lt;&gt;"")*
('YearB-AppDetails Current Date-3'!$G:$G&lt;&gt;"Applicants")*
('YearB-AppDetails Current Date-3'!$I:$I="SUMMER")
)),""))&gt;0))</f>
        <v>0</v>
      </c>
      <c r="T16" s="83">
        <f>IFERROR(1/(1/COUNTIFS(
'YearB-AppDetails Current Date-3'!$I:$I,"SUMMER")), 0)</f>
        <v>0</v>
      </c>
    </row>
    <row r="17" spans="2:20" ht="50.1" customHeight="1" x14ac:dyDescent="0.25">
      <c r="B17" s="102" t="str">
        <f>IFERROR("*The unique number of "&amp;B16&amp;" Summer Applicants is "&amp;TEXT(ABS((B16-E16)/E16*100),"0.0")&amp;"% "&amp;IF(ROUND((B16-E16)/E16*100,1)&lt;0,"lower","higher")&amp;" in comparison with "&amp;E14,
"*The unique number of Summer Applicants is "&amp;B16)
&amp;". The number of International applications is "&amp;IFERROR(1/(1/COUNTIFS('YearA-AppDetails Current Date'!$F:$F,"International",'YearA-AppDetails Current Date'!$I:$I,"SUMMER")), 0)&amp;" representing "&amp;TEXT(IFERROR(1/(1/(COUNTIFS('YearA-AppDetails Current Date'!$F:$F,"International",'YearA-AppDetails Current Date'!$I:$I,"SUMMER")/C16*100)), 0),"0.0")&amp;"% of total applications."</f>
        <v>*The unique number of Summer Applicants is 0. The number of International applications is 0 representing 0.0% of total applications.</v>
      </c>
      <c r="C17" s="103"/>
      <c r="D17" s="103"/>
      <c r="E17" s="103"/>
      <c r="F17" s="103"/>
      <c r="G17" s="103"/>
      <c r="H17" s="103"/>
      <c r="I17" s="103"/>
      <c r="J17" s="101"/>
      <c r="L17" s="102" t="str">
        <f>IFERROR("*The unique number of "&amp;L16&amp;" Summer Applicants is "&amp;TEXT(ABS((L16-O16)/O16*100),"0.0")&amp;"% "&amp;IF(ROUND((L16-O16)/O16*100,1)&lt;0,"lower","higher")&amp;" in comparison with "&amp;O14,
"*The unique number of Summer Applicants is "&amp;L16)
&amp;". The number of International applications is "&amp;IFERROR(1/(1/COUNTIFS('YearB-AppDetails Current Date'!$F:$F,"International",'YearB-AppDetails Current Date'!$I:$I,"SUMMER")), 0)&amp;" representing "&amp;TEXT(IFERROR(1/(1/(COUNTIFS('YearB-AppDetails Current Date'!$F:$F,"International",'YearB-AppDetails Current Date'!$I:$I,"SUMMER")/M16*100)), 0),"0.0")&amp;"% of total applications."</f>
        <v>*The unique number of Summer Applicants is 0. The number of International applications is 0 representing 0.0% of total applications.</v>
      </c>
      <c r="M17" s="103"/>
      <c r="N17" s="103"/>
      <c r="O17" s="103"/>
      <c r="P17" s="103"/>
      <c r="Q17" s="103"/>
      <c r="R17" s="103"/>
      <c r="S17" s="103"/>
      <c r="T17" s="101"/>
    </row>
    <row r="18" spans="2:20" ht="15" customHeight="1" x14ac:dyDescent="0.25">
      <c r="B18" s="105" t="str">
        <f>"Fall "&amp;'YearA-AppDetails Current Date'!$J$2&amp;" Applications Comparative - Point in Time Report Summary"</f>
        <v>Fall  Applications Comparative - Point in Time Report Summary</v>
      </c>
      <c r="C18" s="106"/>
      <c r="D18" s="106"/>
      <c r="E18" s="106"/>
      <c r="F18" s="106"/>
      <c r="G18" s="106"/>
      <c r="H18" s="106"/>
      <c r="I18" s="106"/>
      <c r="J18" s="107"/>
      <c r="L18" s="105" t="str">
        <f>"Fall "&amp;'YearB-AppDetails Current Date'!$J$2&amp;" Applications Comparative - Point in Time Report Summary"</f>
        <v>Fall  Applications Comparative - Point in Time Report Summary</v>
      </c>
      <c r="M18" s="106"/>
      <c r="N18" s="106"/>
      <c r="O18" s="106"/>
      <c r="P18" s="106"/>
      <c r="Q18" s="106"/>
      <c r="R18" s="106"/>
      <c r="S18" s="106"/>
      <c r="T18" s="107"/>
    </row>
    <row r="19" spans="2:20" ht="15" customHeight="1" x14ac:dyDescent="0.25">
      <c r="B19" s="108"/>
      <c r="C19" s="109"/>
      <c r="D19" s="109"/>
      <c r="E19" s="109"/>
      <c r="F19" s="109"/>
      <c r="G19" s="109"/>
      <c r="H19" s="109"/>
      <c r="I19" s="109"/>
      <c r="J19" s="110"/>
      <c r="L19" s="108"/>
      <c r="M19" s="109"/>
      <c r="N19" s="109"/>
      <c r="O19" s="109"/>
      <c r="P19" s="109"/>
      <c r="Q19" s="109"/>
      <c r="R19" s="109"/>
      <c r="S19" s="109"/>
      <c r="T19" s="110"/>
    </row>
    <row r="20" spans="2:20" ht="15" customHeight="1" x14ac:dyDescent="0.25">
      <c r="B20" s="104" t="str">
        <f>"Fall "&amp;'YearA-AppDetails Current Date'!$J$2</f>
        <v xml:space="preserve">Fall </v>
      </c>
      <c r="C20" s="103"/>
      <c r="D20" s="99"/>
      <c r="E20" s="98" t="str">
        <f>"Fall "&amp;'YearA-AppDetails Current Date-1'!$J$2</f>
        <v xml:space="preserve">Fall </v>
      </c>
      <c r="F20" s="99"/>
      <c r="G20" s="98" t="str">
        <f>"Fall "&amp;'YearA-AppDetails Current Date-2'!$J$2</f>
        <v xml:space="preserve">Fall </v>
      </c>
      <c r="H20" s="99"/>
      <c r="I20" s="100" t="str">
        <f>"Fall "&amp;'YearA-AppDetails Current Date-3'!$J$2</f>
        <v xml:space="preserve">Fall </v>
      </c>
      <c r="J20" s="101"/>
      <c r="L20" s="104" t="str">
        <f>"Fall "&amp;'YearB-AppDetails Current Date'!$J$2</f>
        <v xml:space="preserve">Fall </v>
      </c>
      <c r="M20" s="103"/>
      <c r="N20" s="99"/>
      <c r="O20" s="98" t="str">
        <f>"Fall "&amp;'YearB-AppDetails Current Date-1'!$J$2</f>
        <v xml:space="preserve">Fall </v>
      </c>
      <c r="P20" s="99"/>
      <c r="Q20" s="98" t="str">
        <f>"Fall "&amp;'YearB-AppDetails Current Date-2'!$J$2</f>
        <v xml:space="preserve">Fall </v>
      </c>
      <c r="R20" s="99"/>
      <c r="S20" s="100" t="str">
        <f>"Fall "&amp;'YearB-AppDetails Current Date-3'!$J$2</f>
        <v xml:space="preserve">Fall </v>
      </c>
      <c r="T20" s="101"/>
    </row>
    <row r="21" spans="2:20" ht="15.75" x14ac:dyDescent="0.25">
      <c r="B21" s="75" t="s">
        <v>28</v>
      </c>
      <c r="C21" s="76" t="s">
        <v>148</v>
      </c>
      <c r="D21" s="77" t="s">
        <v>22</v>
      </c>
      <c r="E21" s="75" t="s">
        <v>28</v>
      </c>
      <c r="F21" s="76" t="s">
        <v>148</v>
      </c>
      <c r="G21" s="75" t="s">
        <v>28</v>
      </c>
      <c r="H21" s="76" t="s">
        <v>148</v>
      </c>
      <c r="I21" s="75" t="s">
        <v>28</v>
      </c>
      <c r="J21" s="76" t="s">
        <v>148</v>
      </c>
      <c r="L21" s="75" t="s">
        <v>28</v>
      </c>
      <c r="M21" s="76" t="s">
        <v>148</v>
      </c>
      <c r="N21" s="77" t="s">
        <v>22</v>
      </c>
      <c r="O21" s="75" t="s">
        <v>28</v>
      </c>
      <c r="P21" s="76" t="s">
        <v>148</v>
      </c>
      <c r="Q21" s="75" t="s">
        <v>28</v>
      </c>
      <c r="R21" s="76" t="s">
        <v>148</v>
      </c>
      <c r="S21" s="75" t="s">
        <v>28</v>
      </c>
      <c r="T21" s="76" t="s">
        <v>148</v>
      </c>
    </row>
    <row r="22" spans="2:20" ht="15.75" x14ac:dyDescent="0.25">
      <c r="B22" s="78" cm="1">
        <f t="array" ref="B22">SUM(--(LEN(IFERROR(
_xlfn.UNIQUE(
_xlfn._xlws.FILTER(
'YearA-AppDetails Current Date'!$G:$G,
('YearA-AppDetails Current Date'!$G:$G&lt;&gt;"")*
('YearA-AppDetails Current Date'!$G:$G&lt;&gt;"Applicants")*
('YearA-AppDetails Current Date'!$I:$I="FALL")
)),""))&gt;0))</f>
        <v>0</v>
      </c>
      <c r="C22" s="80">
        <f>IFERROR(1/(1/COUNTIFS(
'YearA-AppDetails Current Date'!$I:$I,"FALL")), 0)</f>
        <v>0</v>
      </c>
      <c r="D22" s="81" cm="1">
        <f t="array" ref="D22">IFERROR(1/(1/SUM(COUNTIFS(
'YearA-AppDetails Current Date'!$V:$V,{"APRO","NODE"},
'YearA-AppDetails Current Date'!$I:$I,"FALL"))), 0)</f>
        <v>0</v>
      </c>
      <c r="E22" s="79" cm="1">
        <f t="array" ref="E22">SUM(--(LEN(IFERROR(
_xlfn.UNIQUE(
_xlfn._xlws.FILTER(
'YearA-AppDetails Current Date-1'!$G:$G,
('YearA-AppDetails Current Date-1'!$G:$G&lt;&gt;"")*
('YearA-AppDetails Current Date-1'!$G:$G&lt;&gt;"Applicants")*
('YearA-AppDetails Current Date-1'!$I:$I="FALL")
)),""))&gt;0))</f>
        <v>0</v>
      </c>
      <c r="F22" s="82">
        <f>IFERROR(1/(1/COUNTIFS(
'YearA-AppDetails Current Date-1'!$I:$I,"FALL")), 0)</f>
        <v>0</v>
      </c>
      <c r="G22" s="79" cm="1">
        <f t="array" ref="G22">SUM(--(LEN(IFERROR(
_xlfn.UNIQUE(
_xlfn._xlws.FILTER(
'YearA-AppDetails Current Date-2'!$G:$G,
('YearA-AppDetails Current Date-2'!$G:$G&lt;&gt;"")*
('YearA-AppDetails Current Date-2'!$G:$G&lt;&gt;"Applicants")*
('YearA-AppDetails Current Date-2'!$I:$I="FALL")
)),""))&gt;0))</f>
        <v>0</v>
      </c>
      <c r="H22" s="82">
        <f>IFERROR(1/(1/COUNTIFS(
'YearA-AppDetails Current Date-2'!$I:$I,"FALL")), 0)</f>
        <v>0</v>
      </c>
      <c r="I22" s="79" cm="1">
        <f t="array" ref="I22">SUM(--(LEN(IFERROR(
_xlfn.UNIQUE(
_xlfn._xlws.FILTER(
'YearA-AppDetails Current Date-3'!$G:$G,
('YearA-AppDetails Current Date-3'!$G:$G&lt;&gt;"")*
('YearA-AppDetails Current Date-3'!$G:$G&lt;&gt;"Applicants")*
('YearA-AppDetails Current Date-3'!$I:$I="FALL")
)),""))&gt;0))</f>
        <v>0</v>
      </c>
      <c r="J22" s="83">
        <f>IFERROR(1/(1/COUNTIFS(
'YearA-AppDetails Current Date-3'!$I:$I,"FALL")), 0)</f>
        <v>0</v>
      </c>
      <c r="L22" s="78" cm="1">
        <f t="array" ref="L22">SUM(--(LEN(IFERROR(
_xlfn.UNIQUE(
_xlfn._xlws.FILTER(
'YearB-AppDetails Current Date'!$G:$G,
('YearB-AppDetails Current Date'!$G:$G&lt;&gt;"")*
('YearB-AppDetails Current Date'!$G:$G&lt;&gt;"Applicants")*
('YearB-AppDetails Current Date'!$I:$I="FALL")
)),""))&gt;0))</f>
        <v>0</v>
      </c>
      <c r="M22" s="80">
        <f>IFERROR(1/(1/COUNTIFS(
'YearB-AppDetails Current Date'!$I:$I,"FALL")), 0)</f>
        <v>0</v>
      </c>
      <c r="N22" s="81" cm="1">
        <f t="array" ref="N22">IFERROR(1/(1/SUM(COUNTIFS(
'YearB-AppDetails Current Date'!$V:$V,{"APRO","NODE"},
'YearB-AppDetails Current Date'!$I:$I,"FALL"))), 0)</f>
        <v>0</v>
      </c>
      <c r="O22" s="79" cm="1">
        <f t="array" ref="O22">SUM(--(LEN(IFERROR(
_xlfn.UNIQUE(
_xlfn._xlws.FILTER(
'YearB-AppDetails Current Date-1'!$G:$G,
('YearB-AppDetails Current Date-1'!$G:$G&lt;&gt;"")*
('YearB-AppDetails Current Date-1'!$G:$G&lt;&gt;"Applicants")*
('YearB-AppDetails Current Date-1'!$I:$I="FALL")
)),""))&gt;0))</f>
        <v>0</v>
      </c>
      <c r="P22" s="82">
        <f>IFERROR(1/(1/COUNTIFS(
'YearB-AppDetails Current Date-1'!$I:$I,"FALL")), 0)</f>
        <v>0</v>
      </c>
      <c r="Q22" s="79" cm="1">
        <f t="array" ref="Q22">SUM(--(LEN(IFERROR(
_xlfn.UNIQUE(
_xlfn._xlws.FILTER(
'YearB-AppDetails Current Date-2'!$G:$G,
('YearB-AppDetails Current Date-2'!$G:$G&lt;&gt;"")*
('YearB-AppDetails Current Date-2'!$G:$G&lt;&gt;"Applicants")*
('YearB-AppDetails Current Date-2'!$I:$I="FALL")
)),""))&gt;0))</f>
        <v>0</v>
      </c>
      <c r="R22" s="82">
        <f>IFERROR(1/(1/COUNTIFS(
'YearB-AppDetails Current Date-2'!$I:$I,"FALL")), 0)</f>
        <v>0</v>
      </c>
      <c r="S22" s="79" cm="1">
        <f t="array" ref="S22">SUM(--(LEN(IFERROR(
_xlfn.UNIQUE(
_xlfn._xlws.FILTER(
'YearB-AppDetails Current Date-3'!$G:$G,
('YearB-AppDetails Current Date-3'!$G:$G&lt;&gt;"")*
('YearB-AppDetails Current Date-3'!$G:$G&lt;&gt;"Applicants")*
('YearB-AppDetails Current Date-3'!$I:$I="FALL")
)),""))&gt;0))</f>
        <v>0</v>
      </c>
      <c r="T22" s="83">
        <f>IFERROR(1/(1/COUNTIFS(
'YearB-AppDetails Current Date-3'!$I:$I,"FALL")), 0)</f>
        <v>0</v>
      </c>
    </row>
    <row r="23" spans="2:20" ht="50.1" customHeight="1" x14ac:dyDescent="0.25">
      <c r="B23" s="102" t="str">
        <f>IFERROR("*The unique number of "&amp;B22&amp;" Fall Applicants is "&amp;TEXT(ABS((B22-E22)/E22*100),"0.0")&amp;"% "&amp;IF(ROUND((B22-E22)/E22*100,1)&lt;0,"lower","higher")&amp;" in comparison with "&amp;E20,
"*The unique number of Fall Applicants is "&amp;B22)
&amp;". The number of International applications is "&amp;IFERROR(1/(1/COUNTIFS('YearA-AppDetails Current Date'!$F:$F,"International",'YearA-AppDetails Current Date'!$I:$I,"FALL")), 0)&amp;" representing "&amp;TEXT(IFERROR(1/(1/(COUNTIFS('YearA-AppDetails Current Date'!$F:$F,"International",'YearA-AppDetails Current Date'!$I:$I,"FALL")/C22*100)), 0),"0.0")&amp;"% of total applications."</f>
        <v>*The unique number of Fall Applicants is 0. The number of International applications is 0 representing 0.0% of total applications.</v>
      </c>
      <c r="C23" s="103"/>
      <c r="D23" s="103"/>
      <c r="E23" s="103"/>
      <c r="F23" s="103"/>
      <c r="G23" s="103"/>
      <c r="H23" s="103"/>
      <c r="I23" s="103"/>
      <c r="J23" s="101"/>
      <c r="L23" s="102" t="str">
        <f>IFERROR("*The unique number of "&amp;L22&amp;" Fall Applicants is "&amp;TEXT(ABS((L22-O22)/O22*100),"0.0")&amp;"% "&amp;IF(ROUND((L22-O22)/O22*100,1)&lt;0,"lower","higher")&amp;" in comparison with "&amp;O20,
"*The unique number of Fall Applicants is "&amp;L22)
&amp;". The number of International applications is "&amp;IFERROR(1/(1/COUNTIFS('YearB-AppDetails Current Date'!$F:$F,"International",'YearB-AppDetails Current Date'!$I:$I,"FALL")), 0)&amp;" representing "&amp;TEXT(IFERROR(1/(1/(COUNTIFS('YearB-AppDetails Current Date'!$F:$F,"International",'YearB-AppDetails Current Date'!$I:$I,"FALL")/M22*100)), 0),"0.0")&amp;"% of total applications."</f>
        <v>*The unique number of Fall Applicants is 0. The number of International applications is 0 representing 0.0% of total applications.</v>
      </c>
      <c r="M23" s="103"/>
      <c r="N23" s="103"/>
      <c r="O23" s="103"/>
      <c r="P23" s="103"/>
      <c r="Q23" s="103"/>
      <c r="R23" s="103"/>
      <c r="S23" s="103"/>
      <c r="T23" s="101"/>
    </row>
    <row r="24" spans="2:20" ht="15" customHeight="1" x14ac:dyDescent="0.25">
      <c r="B24" s="105" t="str">
        <f>"Winter "&amp;'YearA-AppDetails Current Date'!$J$2+1&amp;" Applications Comparative - Point in Time Report Summary"</f>
        <v>Winter 1 Applications Comparative - Point in Time Report Summary</v>
      </c>
      <c r="C24" s="106"/>
      <c r="D24" s="106"/>
      <c r="E24" s="106"/>
      <c r="F24" s="106"/>
      <c r="G24" s="106"/>
      <c r="H24" s="106"/>
      <c r="I24" s="106"/>
      <c r="J24" s="107"/>
      <c r="L24" s="105" t="str">
        <f>"Winter "&amp;'YearB-AppDetails Current Date'!$J$2+1&amp;" Applications Comparative - Point in Time Report Summary"</f>
        <v>Winter 1 Applications Comparative - Point in Time Report Summary</v>
      </c>
      <c r="M24" s="106"/>
      <c r="N24" s="106"/>
      <c r="O24" s="106"/>
      <c r="P24" s="106"/>
      <c r="Q24" s="106"/>
      <c r="R24" s="106"/>
      <c r="S24" s="106"/>
      <c r="T24" s="107"/>
    </row>
    <row r="25" spans="2:20" ht="15" customHeight="1" x14ac:dyDescent="0.25">
      <c r="B25" s="108"/>
      <c r="C25" s="109"/>
      <c r="D25" s="109"/>
      <c r="E25" s="109"/>
      <c r="F25" s="109"/>
      <c r="G25" s="109"/>
      <c r="H25" s="109"/>
      <c r="I25" s="109"/>
      <c r="J25" s="110"/>
      <c r="L25" s="108"/>
      <c r="M25" s="109"/>
      <c r="N25" s="109"/>
      <c r="O25" s="109"/>
      <c r="P25" s="109"/>
      <c r="Q25" s="109"/>
      <c r="R25" s="109"/>
      <c r="S25" s="109"/>
      <c r="T25" s="110"/>
    </row>
    <row r="26" spans="2:20" ht="15.75" customHeight="1" x14ac:dyDescent="0.25">
      <c r="B26" s="104" t="str">
        <f>"Winter "&amp;'YearA-AppDetails Current Date'!$J$2+1</f>
        <v>Winter 1</v>
      </c>
      <c r="C26" s="103"/>
      <c r="D26" s="99"/>
      <c r="E26" s="98" t="str">
        <f>"Winter "&amp;'YearA-AppDetails Current Date-1'!$J$2+1</f>
        <v>Winter 1</v>
      </c>
      <c r="F26" s="99"/>
      <c r="G26" s="98" t="str">
        <f>"Winter "&amp;'YearA-AppDetails Current Date-2'!$J$2+1</f>
        <v>Winter 1</v>
      </c>
      <c r="H26" s="99"/>
      <c r="I26" s="100" t="str">
        <f>"Winter "&amp;'YearA-AppDetails Current Date-3'!$J$2+1</f>
        <v>Winter 1</v>
      </c>
      <c r="J26" s="101"/>
      <c r="L26" s="104" t="str">
        <f>"Winter "&amp;'YearB-AppDetails Current Date'!$J$2+1</f>
        <v>Winter 1</v>
      </c>
      <c r="M26" s="103"/>
      <c r="N26" s="99"/>
      <c r="O26" s="98" t="str">
        <f>"Winter "&amp;'YearB-AppDetails Current Date-1'!$J$2+1</f>
        <v>Winter 1</v>
      </c>
      <c r="P26" s="99"/>
      <c r="Q26" s="98" t="str">
        <f>"Winter "&amp;'YearB-AppDetails Current Date-2'!$J$2+1</f>
        <v>Winter 1</v>
      </c>
      <c r="R26" s="99"/>
      <c r="S26" s="100" t="str">
        <f>"Winter "&amp;'YearB-AppDetails Current Date-3'!$J$2+1</f>
        <v>Winter 1</v>
      </c>
      <c r="T26" s="101"/>
    </row>
    <row r="27" spans="2:20" ht="15.75" x14ac:dyDescent="0.25">
      <c r="B27" s="75" t="s">
        <v>28</v>
      </c>
      <c r="C27" s="76" t="s">
        <v>148</v>
      </c>
      <c r="D27" s="77" t="s">
        <v>22</v>
      </c>
      <c r="E27" s="75" t="s">
        <v>28</v>
      </c>
      <c r="F27" s="76" t="s">
        <v>148</v>
      </c>
      <c r="G27" s="75" t="s">
        <v>28</v>
      </c>
      <c r="H27" s="76" t="s">
        <v>148</v>
      </c>
      <c r="I27" s="75" t="s">
        <v>28</v>
      </c>
      <c r="J27" s="76" t="s">
        <v>148</v>
      </c>
      <c r="L27" s="75" t="s">
        <v>28</v>
      </c>
      <c r="M27" s="76" t="s">
        <v>148</v>
      </c>
      <c r="N27" s="77" t="s">
        <v>22</v>
      </c>
      <c r="O27" s="75" t="s">
        <v>28</v>
      </c>
      <c r="P27" s="76" t="s">
        <v>148</v>
      </c>
      <c r="Q27" s="75" t="s">
        <v>28</v>
      </c>
      <c r="R27" s="76" t="s">
        <v>148</v>
      </c>
      <c r="S27" s="75" t="s">
        <v>28</v>
      </c>
      <c r="T27" s="76" t="s">
        <v>148</v>
      </c>
    </row>
    <row r="28" spans="2:20" ht="15.75" x14ac:dyDescent="0.25">
      <c r="B28" s="78" cm="1">
        <f t="array" ref="B28">SUM(--(LEN(IFERROR(
_xlfn.UNIQUE(
_xlfn._xlws.FILTER(
'YearA-AppDetails Current Date'!$G:$G,
('YearA-AppDetails Current Date'!$G:$G&lt;&gt;"")*
('YearA-AppDetails Current Date'!$G:$G&lt;&gt;"Applicants")*
('YearA-AppDetails Current Date'!$I:$I="WINTER")
)),""))&gt;0))</f>
        <v>0</v>
      </c>
      <c r="C28" s="80">
        <f>IFERROR(1/(1/COUNTIFS(
'YearA-AppDetails Current Date'!$I:$I,"WINTER")), 0)</f>
        <v>0</v>
      </c>
      <c r="D28" s="81" cm="1">
        <f t="array" ref="D28">IFERROR(1/(1/SUM(COUNTIFS(
'YearA-AppDetails Current Date'!$V:$V,{"APRO","NODE"},
'YearA-AppDetails Current Date'!$I:$I,"WINTER"))), 0)</f>
        <v>0</v>
      </c>
      <c r="E28" s="79" cm="1">
        <f t="array" ref="E28">SUM(--(LEN(IFERROR(
_xlfn.UNIQUE(
_xlfn._xlws.FILTER(
'YearA-AppDetails Current Date-1'!$G:$G,
('YearA-AppDetails Current Date-1'!$G:$G&lt;&gt;"")*
('YearA-AppDetails Current Date-1'!$G:$G&lt;&gt;"Applicants")*
('YearA-AppDetails Current Date-1'!$I:$I="WINTER")
)),""))&gt;0))</f>
        <v>0</v>
      </c>
      <c r="F28" s="82">
        <f>IFERROR(1/(1/COUNTIFS(
'YearA-AppDetails Current Date-1'!$I:$I,"WINTER")), 0)</f>
        <v>0</v>
      </c>
      <c r="G28" s="79" cm="1">
        <f t="array" ref="G28">SUM(--(LEN(IFERROR(
_xlfn.UNIQUE(
_xlfn._xlws.FILTER(
'YearA-AppDetails Current Date-2'!$G:$G,
('YearA-AppDetails Current Date-2'!$G:$G&lt;&gt;"")*
('YearA-AppDetails Current Date-2'!$G:$G&lt;&gt;"Applicants")*
('YearA-AppDetails Current Date-2'!$I:$I="WINTER")
)),""))&gt;0))</f>
        <v>0</v>
      </c>
      <c r="H28" s="82">
        <f>IFERROR(1/(1/COUNTIFS(
'YearA-AppDetails Current Date-2'!$I:$I,"WINTER")), 0)</f>
        <v>0</v>
      </c>
      <c r="I28" s="79" cm="1">
        <f t="array" ref="I28">SUM(--(LEN(IFERROR(
_xlfn.UNIQUE(
_xlfn._xlws.FILTER(
'YearA-AppDetails Current Date-3'!$G:$G,
('YearA-AppDetails Current Date-3'!$G:$G&lt;&gt;"")*
('YearA-AppDetails Current Date-3'!$G:$G&lt;&gt;"Applicants")*
('YearA-AppDetails Current Date-3'!$I:$I="WINTER")
)),""))&gt;0))</f>
        <v>0</v>
      </c>
      <c r="J28" s="83">
        <f>IFERROR(1/(1/COUNTIFS(
'YearA-AppDetails Current Date-3'!$I:$I,"WINTER")), 0)</f>
        <v>0</v>
      </c>
      <c r="L28" s="78" cm="1">
        <f t="array" ref="L28">SUM(--(LEN(IFERROR(
_xlfn.UNIQUE(
_xlfn._xlws.FILTER(
'YearB-AppDetails Current Date'!$G:$G,
('YearB-AppDetails Current Date'!$G:$G&lt;&gt;"")*
('YearB-AppDetails Current Date'!$G:$G&lt;&gt;"Applicants")*
('YearB-AppDetails Current Date'!$I:$I="WINTER")
)),""))&gt;0))</f>
        <v>0</v>
      </c>
      <c r="M28" s="80">
        <f>IFERROR(1/(1/COUNTIFS(
'YearB-AppDetails Current Date'!$I:$I,"WINTER")), 0)</f>
        <v>0</v>
      </c>
      <c r="N28" s="81" cm="1">
        <f t="array" ref="N28">IFERROR(1/(1/SUM(COUNTIFS(
'YearB-AppDetails Current Date'!$V:$V,{"APRO","NODE"},
'YearB-AppDetails Current Date'!$I:$I,"WINTER"))), 0)</f>
        <v>0</v>
      </c>
      <c r="O28" s="79" cm="1">
        <f t="array" ref="O28">SUM(--(LEN(IFERROR(
_xlfn.UNIQUE(
_xlfn._xlws.FILTER(
'YearB-AppDetails Current Date-1'!$G:$G,
('YearB-AppDetails Current Date-1'!$G:$G&lt;&gt;"")*
('YearB-AppDetails Current Date-1'!$G:$G&lt;&gt;"Applicants")*
('YearB-AppDetails Current Date-1'!$I:$I="WINTER")
)),""))&gt;0))</f>
        <v>0</v>
      </c>
      <c r="P28" s="82">
        <f>IFERROR(1/(1/COUNTIFS(
'YearB-AppDetails Current Date-1'!$I:$I,"WINTER")), 0)</f>
        <v>0</v>
      </c>
      <c r="Q28" s="79" cm="1">
        <f t="array" ref="Q28">SUM(--(LEN(IFERROR(
_xlfn.UNIQUE(
_xlfn._xlws.FILTER(
'YearB-AppDetails Current Date-2'!$G:$G,
('YearB-AppDetails Current Date-2'!$G:$G&lt;&gt;"")*
('YearB-AppDetails Current Date-2'!$G:$G&lt;&gt;"Applicants")*
('YearB-AppDetails Current Date-2'!$I:$I="WINTER")
)),""))&gt;0))</f>
        <v>0</v>
      </c>
      <c r="R28" s="82">
        <f>IFERROR(1/(1/COUNTIFS(
'YearB-AppDetails Current Date-2'!$I:$I,"WINTER")), 0)</f>
        <v>0</v>
      </c>
      <c r="S28" s="79" cm="1">
        <f t="array" ref="S28">SUM(--(LEN(IFERROR(
_xlfn.UNIQUE(
_xlfn._xlws.FILTER(
'YearB-AppDetails Current Date-3'!$G:$G,
('YearB-AppDetails Current Date-3'!$G:$G&lt;&gt;"")*
('YearB-AppDetails Current Date-3'!$G:$G&lt;&gt;"Applicants")*
('YearB-AppDetails Current Date-3'!$I:$I="WINTER")
)),""))&gt;0))</f>
        <v>0</v>
      </c>
      <c r="T28" s="83">
        <f>IFERROR(1/(1/COUNTIFS(
'YearB-AppDetails Current Date-3'!$I:$I,"WINTER")), 0)</f>
        <v>0</v>
      </c>
    </row>
    <row r="29" spans="2:20" ht="50.1" customHeight="1" x14ac:dyDescent="0.25">
      <c r="B29" s="102" t="str">
        <f>IFERROR("*The unique number of "&amp;B28&amp;" Winter Applicants is "&amp;TEXT(ABS((B28-E28)/E28*100),"0.0")&amp;"% "&amp;IF(ROUND((B28-E28)/E28*100,1)&lt;0,"lower","higher")&amp;" in comparison with "&amp;E26,
"*The unique number of Winter Applicants is "&amp;B28)
&amp;". The number of International applications is "&amp;IFERROR(1/(1/COUNTIFS('YearA-AppDetails Current Date'!$F:$F,"International",'YearA-AppDetails Current Date'!$I:$I,"WINTER")), 0)&amp;" representing "&amp;TEXT(IFERROR(1/(1/(COUNTIFS('YearA-AppDetails Current Date'!$F:$F,"International",'YearA-AppDetails Current Date'!$I:$I,"WINTER")/C28*100)), 0),"0.0")&amp;"% of total applications."</f>
        <v>*The unique number of Winter Applicants is 0. The number of International applications is 0 representing 0.0% of total applications.</v>
      </c>
      <c r="C29" s="103"/>
      <c r="D29" s="103"/>
      <c r="E29" s="103"/>
      <c r="F29" s="103"/>
      <c r="G29" s="103"/>
      <c r="H29" s="103"/>
      <c r="I29" s="103"/>
      <c r="J29" s="101"/>
      <c r="L29" s="102" t="str">
        <f>IFERROR("*The unique number of "&amp;L28&amp;" Winter Applicants is "&amp;TEXT(ABS((L28-O28)/O28*100),"0.0")&amp;"% "&amp;IF(ROUND((L28-O28)/O28*100,1)&lt;0,"lower","higher")&amp;" in comparison with "&amp;O26,
"*The unique number of Winter Applicants is "&amp;L28)
&amp;". The number of International applications is "&amp;IFERROR(1/(1/COUNTIFS('YearB-AppDetails Current Date'!$F:$F,"International",'YearB-AppDetails Current Date'!$I:$I,"WINTER")), 0)&amp;" representing "&amp;TEXT(IFERROR(1/(1/(COUNTIFS('YearB-AppDetails Current Date'!$F:$F,"International",'YearB-AppDetails Current Date'!$I:$I,"WINTER")/M28*100)), 0),"0.0")&amp;"% of total applications."</f>
        <v>*The unique number of Winter Applicants is 0. The number of International applications is 0 representing 0.0% of total applications.</v>
      </c>
      <c r="M29" s="103"/>
      <c r="N29" s="103"/>
      <c r="O29" s="103"/>
      <c r="P29" s="103"/>
      <c r="Q29" s="103"/>
      <c r="R29" s="103"/>
      <c r="S29" s="103"/>
      <c r="T29" s="101"/>
    </row>
    <row r="30" spans="2:20" ht="15" customHeight="1" x14ac:dyDescent="0.25">
      <c r="B30" s="105" t="str">
        <f>"Spring "&amp;'YearA-AppDetails Current Date'!$J$2+1&amp;" Applications Comparative - Point in Time Report Summary"</f>
        <v>Spring 1 Applications Comparative - Point in Time Report Summary</v>
      </c>
      <c r="C30" s="106"/>
      <c r="D30" s="106"/>
      <c r="E30" s="106"/>
      <c r="F30" s="106"/>
      <c r="G30" s="106"/>
      <c r="H30" s="106"/>
      <c r="I30" s="106"/>
      <c r="J30" s="107"/>
      <c r="L30" s="105" t="str">
        <f>"Spring "&amp;'YearB-AppDetails Current Date'!$J$2+1&amp;" Applications Comparative - Point in Time Report Summary"</f>
        <v>Spring 1 Applications Comparative - Point in Time Report Summary</v>
      </c>
      <c r="M30" s="106"/>
      <c r="N30" s="106"/>
      <c r="O30" s="106"/>
      <c r="P30" s="106"/>
      <c r="Q30" s="106"/>
      <c r="R30" s="106"/>
      <c r="S30" s="106"/>
      <c r="T30" s="107"/>
    </row>
    <row r="31" spans="2:20" ht="15" customHeight="1" x14ac:dyDescent="0.25">
      <c r="B31" s="108"/>
      <c r="C31" s="109"/>
      <c r="D31" s="109"/>
      <c r="E31" s="109"/>
      <c r="F31" s="109"/>
      <c r="G31" s="109"/>
      <c r="H31" s="109"/>
      <c r="I31" s="109"/>
      <c r="J31" s="110"/>
      <c r="L31" s="108"/>
      <c r="M31" s="109"/>
      <c r="N31" s="109"/>
      <c r="O31" s="109"/>
      <c r="P31" s="109"/>
      <c r="Q31" s="109"/>
      <c r="R31" s="109"/>
      <c r="S31" s="109"/>
      <c r="T31" s="110"/>
    </row>
    <row r="32" spans="2:20" ht="15.75" customHeight="1" x14ac:dyDescent="0.25">
      <c r="B32" s="104" t="str">
        <f>"Spring "&amp;'YearA-AppDetails Current Date'!$J$2+1</f>
        <v>Spring 1</v>
      </c>
      <c r="C32" s="103"/>
      <c r="D32" s="99"/>
      <c r="E32" s="98" t="str">
        <f>"Spring "&amp;'YearA-AppDetails Current Date-1'!$J$2+1</f>
        <v>Spring 1</v>
      </c>
      <c r="F32" s="99"/>
      <c r="G32" s="98" t="str">
        <f>"Spring "&amp;'YearA-AppDetails Current Date-2'!$J$2+1</f>
        <v>Spring 1</v>
      </c>
      <c r="H32" s="99"/>
      <c r="I32" s="100" t="str">
        <f>"Spring "&amp;'YearA-AppDetails Current Date-3'!$J$2+1</f>
        <v>Spring 1</v>
      </c>
      <c r="J32" s="101"/>
      <c r="L32" s="104" t="str">
        <f>"Spring "&amp;'YearB-AppDetails Current Date'!$J$2+1</f>
        <v>Spring 1</v>
      </c>
      <c r="M32" s="103"/>
      <c r="N32" s="99"/>
      <c r="O32" s="98" t="str">
        <f>"Spring "&amp;'YearB-AppDetails Current Date-1'!$J$2+1</f>
        <v>Spring 1</v>
      </c>
      <c r="P32" s="99"/>
      <c r="Q32" s="98" t="str">
        <f>"Spring "&amp;'YearB-AppDetails Current Date-2'!$J$2+1</f>
        <v>Spring 1</v>
      </c>
      <c r="R32" s="99"/>
      <c r="S32" s="100" t="str">
        <f>"Spring "&amp;'YearB-AppDetails Current Date-3'!$J$2+1</f>
        <v>Spring 1</v>
      </c>
      <c r="T32" s="101"/>
    </row>
    <row r="33" spans="2:20" ht="15.75" customHeight="1" x14ac:dyDescent="0.25">
      <c r="B33" s="75" t="s">
        <v>28</v>
      </c>
      <c r="C33" s="76" t="s">
        <v>148</v>
      </c>
      <c r="D33" s="77" t="s">
        <v>22</v>
      </c>
      <c r="E33" s="75" t="s">
        <v>28</v>
      </c>
      <c r="F33" s="76" t="s">
        <v>148</v>
      </c>
      <c r="G33" s="75" t="s">
        <v>28</v>
      </c>
      <c r="H33" s="76" t="s">
        <v>148</v>
      </c>
      <c r="I33" s="75" t="s">
        <v>28</v>
      </c>
      <c r="J33" s="76" t="s">
        <v>148</v>
      </c>
      <c r="L33" s="75" t="s">
        <v>28</v>
      </c>
      <c r="M33" s="76" t="s">
        <v>148</v>
      </c>
      <c r="N33" s="77" t="s">
        <v>22</v>
      </c>
      <c r="O33" s="75" t="s">
        <v>28</v>
      </c>
      <c r="P33" s="76" t="s">
        <v>148</v>
      </c>
      <c r="Q33" s="75" t="s">
        <v>28</v>
      </c>
      <c r="R33" s="76" t="s">
        <v>148</v>
      </c>
      <c r="S33" s="75" t="s">
        <v>28</v>
      </c>
      <c r="T33" s="76" t="s">
        <v>148</v>
      </c>
    </row>
    <row r="34" spans="2:20" ht="15.75" x14ac:dyDescent="0.25">
      <c r="B34" s="78" cm="1">
        <f t="array" ref="B34">SUM(--(LEN(IFERROR(
_xlfn.UNIQUE(
_xlfn._xlws.FILTER(
'YearA-AppDetails Current Date'!$G:$G,
('YearA-AppDetails Current Date'!$G:$G&lt;&gt;"")*
('YearA-AppDetails Current Date'!$G:$G&lt;&gt;"Applicants")*
('YearA-AppDetails Current Date'!$I:$I="SPRING")
)),""))&gt;0))</f>
        <v>0</v>
      </c>
      <c r="C34" s="80">
        <f>IFERROR(1/(1/COUNTIFS(
'YearA-AppDetails Current Date'!$I:$I,"SPRING")), 0)</f>
        <v>0</v>
      </c>
      <c r="D34" s="81" cm="1">
        <f t="array" ref="D34">IFERROR(1/(1/SUM(COUNTIFS(
'YearA-AppDetails Current Date'!$V:$V,{"APRO","NODE"},
'YearA-AppDetails Current Date'!$I:$I,"SPRING"))), 0)</f>
        <v>0</v>
      </c>
      <c r="E34" s="79" cm="1">
        <f t="array" ref="E34">SUM(--(LEN(IFERROR(
_xlfn.UNIQUE(
_xlfn._xlws.FILTER(
'YearA-AppDetails Current Date-1'!$G:$G,
('YearA-AppDetails Current Date-1'!$G:$G&lt;&gt;"")*
('YearA-AppDetails Current Date-1'!$G:$G&lt;&gt;"Applicants")*
('YearA-AppDetails Current Date-1'!$I:$I="SPRING")
)),""))&gt;0))</f>
        <v>0</v>
      </c>
      <c r="F34" s="82">
        <f>IFERROR(1/(1/COUNTIFS(
'YearA-AppDetails Current Date-1'!$I:$I,"SPRING")), 0)</f>
        <v>0</v>
      </c>
      <c r="G34" s="79" cm="1">
        <f t="array" ref="G34">SUM(--(LEN(IFERROR(
_xlfn.UNIQUE(
_xlfn._xlws.FILTER(
'YearA-AppDetails Current Date-2'!$G:$G,
('YearA-AppDetails Current Date-2'!$G:$G&lt;&gt;"")*
('YearA-AppDetails Current Date-2'!$G:$G&lt;&gt;"Applicants")*
('YearA-AppDetails Current Date-2'!$I:$I="SPRING")
)),""))&gt;0))</f>
        <v>0</v>
      </c>
      <c r="H34" s="82">
        <f>IFERROR(1/(1/COUNTIFS(
'YearA-AppDetails Current Date-2'!$I:$I,"SPRING")), 0)</f>
        <v>0</v>
      </c>
      <c r="I34" s="79" cm="1">
        <f t="array" ref="I34">SUM(--(LEN(IFERROR(
_xlfn.UNIQUE(
_xlfn._xlws.FILTER(
'YearA-AppDetails Current Date-3'!$G:$G,
('YearA-AppDetails Current Date-3'!$G:$G&lt;&gt;"")*
('YearA-AppDetails Current Date-3'!$G:$G&lt;&gt;"Applicants")*
('YearA-AppDetails Current Date-3'!$I:$I="SPRING")
)),""))&gt;0))</f>
        <v>0</v>
      </c>
      <c r="J34" s="83">
        <f>IFERROR(1/(1/COUNTIFS(
'YearA-AppDetails Current Date-3'!$I:$I,"SPRING")), 0)</f>
        <v>0</v>
      </c>
      <c r="L34" s="78" cm="1">
        <f t="array" ref="L34">SUM(--(LEN(IFERROR(
_xlfn.UNIQUE(
_xlfn._xlws.FILTER(
'YearB-AppDetails Current Date'!$G:$G,
('YearB-AppDetails Current Date'!$G:$G&lt;&gt;"")*
('YearB-AppDetails Current Date'!$G:$G&lt;&gt;"Applicants")*
('YearB-AppDetails Current Date'!$I:$I="SPRING")
)),""))&gt;0))</f>
        <v>0</v>
      </c>
      <c r="M34" s="80">
        <f>IFERROR(1/(1/COUNTIFS(
'YearB-AppDetails Current Date'!$I:$I,"SPRING")), 0)</f>
        <v>0</v>
      </c>
      <c r="N34" s="81" cm="1">
        <f t="array" ref="N34">IFERROR(1/(1/SUM(COUNTIFS(
'YearB-AppDetails Current Date'!$V:$V,{"APRO","NODE"},
'YearB-AppDetails Current Date'!$I:$I,"SPRING"))), 0)</f>
        <v>0</v>
      </c>
      <c r="O34" s="79" cm="1">
        <f t="array" ref="O34">SUM(--(LEN(IFERROR(
_xlfn.UNIQUE(
_xlfn._xlws.FILTER(
'YearB-AppDetails Current Date-1'!$G:$G,
('YearB-AppDetails Current Date-1'!$G:$G&lt;&gt;"")*
('YearB-AppDetails Current Date-1'!$G:$G&lt;&gt;"Applicants")*
('YearB-AppDetails Current Date-1'!$I:$I="SPRING")
)),""))&gt;0))</f>
        <v>0</v>
      </c>
      <c r="P34" s="82">
        <f>IFERROR(1/(1/COUNTIFS(
'YearB-AppDetails Current Date-1'!$I:$I,"SPRING")), 0)</f>
        <v>0</v>
      </c>
      <c r="Q34" s="79" cm="1">
        <f t="array" ref="Q34">SUM(--(LEN(IFERROR(
_xlfn.UNIQUE(
_xlfn._xlws.FILTER(
'YearB-AppDetails Current Date-2'!$G:$G,
('YearB-AppDetails Current Date-2'!$G:$G&lt;&gt;"")*
('YearB-AppDetails Current Date-2'!$G:$G&lt;&gt;"Applicants")*
('YearB-AppDetails Current Date-2'!$I:$I="SPRING")
)),""))&gt;0))</f>
        <v>0</v>
      </c>
      <c r="R34" s="82">
        <f>IFERROR(1/(1/COUNTIFS(
'YearB-AppDetails Current Date-2'!$I:$I,"SPRING")), 0)</f>
        <v>0</v>
      </c>
      <c r="S34" s="79" cm="1">
        <f t="array" ref="S34">SUM(--(LEN(IFERROR(
_xlfn.UNIQUE(
_xlfn._xlws.FILTER(
'YearB-AppDetails Current Date-3'!$G:$G,
('YearB-AppDetails Current Date-3'!$G:$G&lt;&gt;"")*
('YearB-AppDetails Current Date-3'!$G:$G&lt;&gt;"Applicants")*
('YearB-AppDetails Current Date-3'!$I:$I="SPRING")
)),""))&gt;0))</f>
        <v>0</v>
      </c>
      <c r="T34" s="83">
        <f>IFERROR(1/(1/COUNTIFS(
'YearB-AppDetails Current Date-3'!$I:$I,"SPRING")), 0)</f>
        <v>0</v>
      </c>
    </row>
    <row r="35" spans="2:20" ht="50.1" customHeight="1" x14ac:dyDescent="0.25">
      <c r="B35" s="102" t="str">
        <f>IFERROR("*The unique number of "&amp;B34&amp;" Spring Applicants is "&amp;TEXT(ABS((B34-E34)/E34*100),"0.0")&amp;"% "&amp;IF(ROUND((B34-E34)/E34*100,1)&lt;0,"lower","higher")&amp;" in comparison with "&amp;E32,
"*The unique number of Spring Applicants is "&amp;B34)
&amp;". The number of International applications is "&amp;IFERROR(1/(1/COUNTIFS('YearA-AppDetails Current Date'!$F:$F,"International",'YearA-AppDetails Current Date'!$I:$I,"SPRING")), 0)&amp;" representing "&amp;TEXT(IFERROR(1/(1/(COUNTIFS('YearA-AppDetails Current Date'!$F:$F,"International",'YearA-AppDetails Current Date'!$I:$I,"SPRING")/C34*100)), 0),"0.0")&amp;"% of total applications."</f>
        <v>*The unique number of Spring Applicants is 0. The number of International applications is 0 representing 0.0% of total applications.</v>
      </c>
      <c r="C35" s="103"/>
      <c r="D35" s="103"/>
      <c r="E35" s="103"/>
      <c r="F35" s="103"/>
      <c r="G35" s="103"/>
      <c r="H35" s="103"/>
      <c r="I35" s="103"/>
      <c r="J35" s="101"/>
      <c r="L35" s="102" t="str">
        <f>IFERROR("*The unique number of "&amp;L34&amp;" Spring Applicants is "&amp;TEXT(ABS((L34-O34)/O34*100),"0.0")&amp;"% "&amp;IF(ROUND((L34-O34)/O34*100,1)&lt;0,"lower","higher")&amp;" in comparison with "&amp;O32,
"*The unique number of Spring Applicants is "&amp;L34)
&amp;". The number of International applications is "&amp;IFERROR(1/(1/COUNTIFS('YearB-AppDetails Current Date'!$F:$F,"International",'YearB-AppDetails Current Date'!$I:$I,"SPRING")), 0)&amp;" representing "&amp;TEXT(IFERROR(1/(1/(COUNTIFS('YearB-AppDetails Current Date'!$F:$F,"International",'YearB-AppDetails Current Date'!$I:$I,"SPRING")/M34*100)), 0),"0.0")&amp;"% of total applications."</f>
        <v>*The unique number of Spring Applicants is 0. The number of International applications is 0 representing 0.0% of total applications.</v>
      </c>
      <c r="M35" s="103"/>
      <c r="N35" s="103"/>
      <c r="O35" s="103"/>
      <c r="P35" s="103"/>
      <c r="Q35" s="103"/>
      <c r="R35" s="103"/>
      <c r="S35" s="103"/>
      <c r="T35" s="101"/>
    </row>
  </sheetData>
  <mergeCells count="61">
    <mergeCell ref="B29:J29"/>
    <mergeCell ref="L29:T29"/>
    <mergeCell ref="B30:J31"/>
    <mergeCell ref="L30:T31"/>
    <mergeCell ref="A1:U2"/>
    <mergeCell ref="B4:J5"/>
    <mergeCell ref="L4:T5"/>
    <mergeCell ref="B6:J7"/>
    <mergeCell ref="L6:T7"/>
    <mergeCell ref="B8:D8"/>
    <mergeCell ref="E8:F8"/>
    <mergeCell ref="G8:H8"/>
    <mergeCell ref="I8:J8"/>
    <mergeCell ref="L8:N8"/>
    <mergeCell ref="O8:P8"/>
    <mergeCell ref="Q8:R8"/>
    <mergeCell ref="S8:T8"/>
    <mergeCell ref="B12:J13"/>
    <mergeCell ref="L12:T13"/>
    <mergeCell ref="B14:D14"/>
    <mergeCell ref="E14:F14"/>
    <mergeCell ref="G14:H14"/>
    <mergeCell ref="I14:J14"/>
    <mergeCell ref="L14:N14"/>
    <mergeCell ref="O14:P14"/>
    <mergeCell ref="Q14:R14"/>
    <mergeCell ref="S14:T14"/>
    <mergeCell ref="B17:J17"/>
    <mergeCell ref="L17:T17"/>
    <mergeCell ref="B18:J19"/>
    <mergeCell ref="L18:T19"/>
    <mergeCell ref="B20:D20"/>
    <mergeCell ref="E20:F20"/>
    <mergeCell ref="G20:H20"/>
    <mergeCell ref="I20:J20"/>
    <mergeCell ref="L20:N20"/>
    <mergeCell ref="O20:P20"/>
    <mergeCell ref="Q20:R20"/>
    <mergeCell ref="S20:T20"/>
    <mergeCell ref="B23:J23"/>
    <mergeCell ref="L23:T23"/>
    <mergeCell ref="B24:J25"/>
    <mergeCell ref="L24:T25"/>
    <mergeCell ref="B26:D26"/>
    <mergeCell ref="E26:F26"/>
    <mergeCell ref="G26:H26"/>
    <mergeCell ref="I26:J26"/>
    <mergeCell ref="L26:N26"/>
    <mergeCell ref="O26:P26"/>
    <mergeCell ref="Q26:R26"/>
    <mergeCell ref="S26:T26"/>
    <mergeCell ref="O32:P32"/>
    <mergeCell ref="Q32:R32"/>
    <mergeCell ref="S32:T32"/>
    <mergeCell ref="B35:J35"/>
    <mergeCell ref="L35:T35"/>
    <mergeCell ref="B32:D32"/>
    <mergeCell ref="E32:F32"/>
    <mergeCell ref="G32:H32"/>
    <mergeCell ref="I32:J32"/>
    <mergeCell ref="L32:N32"/>
  </mergeCells>
  <pageMargins left="0.7" right="0.7" top="0.75" bottom="0.75" header="0.3" footer="0.3"/>
  <pageSetup scale="67"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BA949-2183-44B4-AD83-2A545006A4C0}">
  <sheetPr codeName="Sheet4">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"Summer "&amp;'YearA-AppDetails Current Date'!$J$2</f>
        <v xml:space="preserve">Summer </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59" t="s">
        <v>270</v>
      </c>
      <c r="B3" s="121" t="s">
        <v>39</v>
      </c>
      <c r="C3" s="124" t="s">
        <v>46</v>
      </c>
      <c r="D3" s="2" t="s">
        <v>47</v>
      </c>
      <c r="E3" s="2" t="s">
        <v>42</v>
      </c>
      <c r="F3" s="42">
        <v>1</v>
      </c>
      <c r="G3" s="139" t="s">
        <v>48</v>
      </c>
      <c r="H3" s="73" t="str">
        <f>IFERROR(1/(1/(
SUM(
N(VLOOKUP(D3&amp;F3,'Budgeted Projections Dom HC'!D:T,2,FALSE)),
N(VLOOKUP(D3&amp;F3,'Budgeted Projections Dom HC'!D:T,3,FALSE))
)/4)
),"")</f>
        <v/>
      </c>
      <c r="I3" s="73" t="str">
        <f>IFERROR(1/(1/COUNTIFS(
'YearA-AppDetails Current Date'!A:A,D3,
'YearA-AppDetails Current Date'!F:F,E3,
'YearA-AppDetails Current Date'!E:E,--F3,
'YearA-AppDetails Current Date'!I:I,"SUMMER")), "")</f>
        <v/>
      </c>
      <c r="J3" s="74" t="str" cm="1">
        <f t="array" ref="J3">IFERROR(1/(1/SUM(COUNTIFS(
'YearA-AppDetails Current Date'!A:A,D3,
'YearA-AppDetails Current Date'!F:F,E3,
'YearA-AppDetails Current Date'!E:E,--F3,
'YearA-AppDetails Current Date'!O:O,{"ACLN","ACPT","COND"},
'YearA-AppDetails Current Date'!S:S,"&lt;&gt;ACLN",
'YearA-AppDetails Current Date'!S:S,"&lt;&gt;ACPT",
'YearA-AppDetails Current Date'!S:S,"&lt;&gt;COND",
'YearA-AppDetails Current Date'!I:I,"SUMMER"))), "")</f>
        <v/>
      </c>
      <c r="K3" s="73" t="str">
        <f>IFERROR(1/(1/SUM(COUNTIFS(
'YearA-AppDetails Current Date'!A:A,D3,
'YearA-AppDetails Current Date'!F:F,E3,
'YearA-AppDetails Current Date'!E:E,--F3,
'YearA-AppDetails Current Date'!R:R,"&lt;&gt;"&amp;"",
'YearA-AppDetails Current Date'!I:I,"SUMMER"))), "")</f>
        <v/>
      </c>
      <c r="L3" s="74" t="str" cm="1">
        <f t="array" ref="L3">IFERROR(1/(1/SUM(COUNTIFS(
'YearA-AppDetails Current Date'!A:A,D3,
'YearA-AppDetails Current Date'!F:F,E3,
'YearA-AppDetails Current Date'!E:E,--F3,
'YearA-AppDetails Current Date'!T:T,{"APEX","DENY","NTSL"},
'YearA-AppDetails Current Date'!I:I,"SUMMER"))), "")</f>
        <v/>
      </c>
      <c r="M3" s="74" t="str" cm="1">
        <f t="array" ref="M3">IFERROR(1/(1/SUM(COUNTIFS(
'YearA-AppDetails Current Date'!A:A,D3,
'YearA-AppDetails Current Date'!F:F,E3,
'YearA-AppDetails Current Date'!E:E,--F3,
'YearA-AppDetails Current Date'!U:U,{"CCAN","DECL"},
'YearA-AppDetails Current Date'!I:I,"SUMMER"))), "")</f>
        <v/>
      </c>
      <c r="N3" s="74" t="str" cm="1">
        <f t="array" ref="N3">IFERROR(1/(1/SUM(COUNTIFS(
'YearA-AppDetails Current Date'!A:A,D3,
'YearA-AppDetails Current Date'!F:F,E3,
'YearA-AppDetails Current Date'!E:E,--F3,
'YearA-AppDetails Current Date'!V:V,{"APRO","NODE"},
'YearA-AppDetails Current Date'!I:I,"SUMMER"))), "")</f>
        <v/>
      </c>
      <c r="O3" s="74" t="str" cm="1">
        <f t="array" ref="O3">IFERROR(1/(1/SUM(COUNTIFS(
'YearA-AppDetails Current Date'!A:A,D3,
'YearA-AppDetails Current Date'!F:F,E3,
'YearA-AppDetails Current Date'!E:E,--F3,
'YearA-AppDetails Current Date'!T:T,{"CDMT","RQMT","WAIT"},
'YearA-AppDetails Current Date'!I:I,"SUMMER"))), "")</f>
        <v/>
      </c>
      <c r="P3" s="74" t="str">
        <f>IFERROR(1/(1/COUNTIFS(
'YearA-AppDetails Current Date'!A:A,D3,
'YearA-AppDetails Current Date'!F:F,E3,
'YearA-AppDetails Current Date'!E:E,--F3,
'YearA-AppDetails Current Date'!Y:Y,"ENRO",
'YearA-AppDetails Current Date'!I:I,"SUMMER")), "")</f>
        <v/>
      </c>
      <c r="Q3" s="3" t="str">
        <f>IFERROR(P3/J3,"")</f>
        <v/>
      </c>
    </row>
    <row r="4" spans="1:17" ht="15.75" customHeight="1" x14ac:dyDescent="0.25">
      <c r="A4" s="160"/>
      <c r="B4" s="122"/>
      <c r="C4" s="125"/>
      <c r="D4" s="2" t="s">
        <v>47</v>
      </c>
      <c r="E4" s="2" t="s">
        <v>43</v>
      </c>
      <c r="F4" s="31">
        <v>1</v>
      </c>
      <c r="G4" s="140"/>
      <c r="H4" s="73" t="str">
        <f>IFERROR(1/(1/(
SUM(
N(VLOOKUP(D4&amp;F4,'Budgeted Projections Intl HC'!D:T,2,FALSE)),
N(VLOOKUP(D4&amp;F4,'Budgeted Projections Intl HC'!D:T,3,FALSE))
)/4)
),"")</f>
        <v/>
      </c>
      <c r="I4" s="73" t="str">
        <f>IFERROR(1/(1/COUNTIFS(
'YearA-AppDetails Current Date'!A:A,D4,
'YearA-AppDetails Current Date'!F:F,E4,
'YearA-AppDetails Current Date'!E:E,--F4,
'YearA-AppDetails Current Date'!I:I,"SUMMER")), "")</f>
        <v/>
      </c>
      <c r="J4" s="74" t="str" cm="1">
        <f t="array" ref="J4">IFERROR(1/(1/SUM(COUNTIFS(
'YearA-AppDetails Current Date'!A:A,D4,
'YearA-AppDetails Current Date'!F:F,E4,
'YearA-AppDetails Current Date'!E:E,--F4,
'YearA-AppDetails Current Date'!O:O,{"ACLN","ACPT","COND"},
'YearA-AppDetails Current Date'!S:S,"&lt;&gt;ACLN",
'YearA-AppDetails Current Date'!S:S,"&lt;&gt;ACPT",
'YearA-AppDetails Current Date'!S:S,"&lt;&gt;COND",
'YearA-AppDetails Current Date'!I:I,"SUMMER"))), "")</f>
        <v/>
      </c>
      <c r="K4" s="73" t="str">
        <f>IFERROR(1/(1/SUM(COUNTIFS(
'YearA-AppDetails Current Date'!A:A,D4,
'YearA-AppDetails Current Date'!F:F,E4,
'YearA-AppDetails Current Date'!E:E,--F4,
'YearA-AppDetails Current Date'!R:R,"&lt;&gt;"&amp;"",
'YearA-AppDetails Current Date'!I:I,"SUMMER"))), "")</f>
        <v/>
      </c>
      <c r="L4" s="74" t="str" cm="1">
        <f t="array" ref="L4">IFERROR(1/(1/SUM(COUNTIFS(
'YearA-AppDetails Current Date'!A:A,D4,
'YearA-AppDetails Current Date'!F:F,E4,
'YearA-AppDetails Current Date'!E:E,--F4,
'YearA-AppDetails Current Date'!T:T,{"APEX","DENY","NTSL"},
'YearA-AppDetails Current Date'!I:I,"SUMMER"))), "")</f>
        <v/>
      </c>
      <c r="M4" s="74" t="str" cm="1">
        <f t="array" ref="M4">IFERROR(1/(1/SUM(COUNTIFS(
'YearA-AppDetails Current Date'!A:A,D4,
'YearA-AppDetails Current Date'!F:F,E4,
'YearA-AppDetails Current Date'!E:E,--F4,
'YearA-AppDetails Current Date'!U:U,{"CCAN","DECL"},
'YearA-AppDetails Current Date'!I:I,"SUMMER"))), "")</f>
        <v/>
      </c>
      <c r="N4" s="74" t="str" cm="1">
        <f t="array" ref="N4">IFERROR(1/(1/SUM(COUNTIFS(
'YearA-AppDetails Current Date'!A:A,D4,
'YearA-AppDetails Current Date'!F:F,E4,
'YearA-AppDetails Current Date'!E:E,--F4,
'YearA-AppDetails Current Date'!V:V,{"APRO","NODE"},
'YearA-AppDetails Current Date'!I:I,"SUMMER"))), "")</f>
        <v/>
      </c>
      <c r="O4" s="74" t="str" cm="1">
        <f t="array" ref="O4">IFERROR(1/(1/SUM(COUNTIFS(
'YearA-AppDetails Current Date'!A:A,D4,
'YearA-AppDetails Current Date'!F:F,E4,
'YearA-AppDetails Current Date'!E:E,--F4,
'YearA-AppDetails Current Date'!T:T,{"CDMT","RQMT","WAIT"},
'YearA-AppDetails Current Date'!I:I,"SUMMER"))), "")</f>
        <v/>
      </c>
      <c r="P4" s="74" t="str">
        <f>IFERROR(1/(1/COUNTIFS(
'YearA-AppDetails Current Date'!A:A,D4,
'YearA-AppDetails Current Date'!F:F,E4,
'YearA-AppDetails Current Date'!E:E,--F4,
'YearA-AppDetails Current Date'!Y:Y,"ENRO",
'YearA-AppDetails Current Date'!I:I,"SUMMER")), "")</f>
        <v/>
      </c>
      <c r="Q4" s="3" t="str">
        <f t="shared" ref="Q4:Q72" si="0">IFERROR(P4/J4,"")</f>
        <v/>
      </c>
    </row>
    <row r="5" spans="1:17" ht="15.75" customHeight="1" x14ac:dyDescent="0.25">
      <c r="A5" s="160"/>
      <c r="B5" s="122"/>
      <c r="C5" s="124" t="s">
        <v>49</v>
      </c>
      <c r="D5" s="2" t="s">
        <v>50</v>
      </c>
      <c r="E5" s="2" t="s">
        <v>42</v>
      </c>
      <c r="F5" s="42">
        <v>1</v>
      </c>
      <c r="G5" s="139" t="s">
        <v>48</v>
      </c>
      <c r="H5" s="73" t="str">
        <f>IFERROR(1/(1/(
SUM(
N(VLOOKUP(D5&amp;F5,'Budgeted Projections Dom HC'!D:T,2,FALSE)),
N(VLOOKUP(D5&amp;F5,'Budgeted Projections Dom HC'!D:T,3,FALSE))
)/4)
),"")</f>
        <v/>
      </c>
      <c r="I5" s="73" t="str">
        <f>IFERROR(1/(1/COUNTIFS(
'YearA-AppDetails Current Date'!A:A,D5,
'YearA-AppDetails Current Date'!F:F,E5,
'YearA-AppDetails Current Date'!E:E,--F5,
'YearA-AppDetails Current Date'!I:I,"SUMMER")), "")</f>
        <v/>
      </c>
      <c r="J5" s="74" t="str" cm="1">
        <f t="array" ref="J5">IFERROR(1/(1/SUM(COUNTIFS(
'YearA-AppDetails Current Date'!A:A,D5,
'YearA-AppDetails Current Date'!F:F,E5,
'YearA-AppDetails Current Date'!E:E,--F5,
'YearA-AppDetails Current Date'!O:O,{"ACLN","ACPT","COND"},
'YearA-AppDetails Current Date'!S:S,"&lt;&gt;ACLN",
'YearA-AppDetails Current Date'!S:S,"&lt;&gt;ACPT",
'YearA-AppDetails Current Date'!S:S,"&lt;&gt;COND",
'YearA-AppDetails Current Date'!I:I,"SUMMER"))), "")</f>
        <v/>
      </c>
      <c r="K5" s="73" t="str">
        <f>IFERROR(1/(1/SUM(COUNTIFS(
'YearA-AppDetails Current Date'!A:A,D5,
'YearA-AppDetails Current Date'!F:F,E5,
'YearA-AppDetails Current Date'!E:E,--F5,
'YearA-AppDetails Current Date'!R:R,"&lt;&gt;"&amp;"",
'YearA-AppDetails Current Date'!I:I,"SUMMER"))), "")</f>
        <v/>
      </c>
      <c r="L5" s="74" t="str" cm="1">
        <f t="array" ref="L5">IFERROR(1/(1/SUM(COUNTIFS(
'YearA-AppDetails Current Date'!A:A,D5,
'YearA-AppDetails Current Date'!F:F,E5,
'YearA-AppDetails Current Date'!E:E,--F5,
'YearA-AppDetails Current Date'!T:T,{"APEX","DENY","NTSL"},
'YearA-AppDetails Current Date'!I:I,"SUMMER"))), "")</f>
        <v/>
      </c>
      <c r="M5" s="74" t="str" cm="1">
        <f t="array" ref="M5">IFERROR(1/(1/SUM(COUNTIFS(
'YearA-AppDetails Current Date'!A:A,D5,
'YearA-AppDetails Current Date'!F:F,E5,
'YearA-AppDetails Current Date'!E:E,--F5,
'YearA-AppDetails Current Date'!U:U,{"CCAN","DECL"},
'YearA-AppDetails Current Date'!I:I,"SUMMER"))), "")</f>
        <v/>
      </c>
      <c r="N5" s="74" t="str" cm="1">
        <f t="array" ref="N5">IFERROR(1/(1/SUM(COUNTIFS(
'YearA-AppDetails Current Date'!A:A,D5,
'YearA-AppDetails Current Date'!F:F,E5,
'YearA-AppDetails Current Date'!E:E,--F5,
'YearA-AppDetails Current Date'!V:V,{"APRO","NODE"},
'YearA-AppDetails Current Date'!I:I,"SUMMER"))), "")</f>
        <v/>
      </c>
      <c r="O5" s="74" t="str" cm="1">
        <f t="array" ref="O5">IFERROR(1/(1/SUM(COUNTIFS(
'YearA-AppDetails Current Date'!A:A,D5,
'YearA-AppDetails Current Date'!F:F,E5,
'YearA-AppDetails Current Date'!E:E,--F5,
'YearA-AppDetails Current Date'!T:T,{"CDMT","RQMT","WAIT"},
'YearA-AppDetails Current Date'!I:I,"SUMMER"))), "")</f>
        <v/>
      </c>
      <c r="P5" s="74" t="str">
        <f>IFERROR(1/(1/COUNTIFS(
'YearA-AppDetails Current Date'!A:A,D5,
'YearA-AppDetails Current Date'!F:F,E5,
'YearA-AppDetails Current Date'!E:E,--F5,
'YearA-AppDetails Current Date'!Y:Y,"ENRO",
'YearA-AppDetails Current Date'!I:I,"SUMMER")), "")</f>
        <v/>
      </c>
      <c r="Q5" s="3" t="str">
        <f t="shared" si="0"/>
        <v/>
      </c>
    </row>
    <row r="6" spans="1:17" ht="15.75" customHeight="1" x14ac:dyDescent="0.25">
      <c r="A6" s="160"/>
      <c r="B6" s="122"/>
      <c r="C6" s="125"/>
      <c r="D6" s="2" t="s">
        <v>50</v>
      </c>
      <c r="E6" s="2" t="s">
        <v>43</v>
      </c>
      <c r="F6" s="31">
        <v>1</v>
      </c>
      <c r="G6" s="140"/>
      <c r="H6" s="73" t="str">
        <f>IFERROR(1/(1/(
SUM(
N(VLOOKUP(D6&amp;F6,'Budgeted Projections Intl HC'!D:T,2,FALSE)),
N(VLOOKUP(D6&amp;F6,'Budgeted Projections Intl HC'!D:T,3,FALSE))
)/4)
),"")</f>
        <v/>
      </c>
      <c r="I6" s="73" t="str">
        <f>IFERROR(1/(1/COUNTIFS(
'YearA-AppDetails Current Date'!A:A,D6,
'YearA-AppDetails Current Date'!F:F,E6,
'YearA-AppDetails Current Date'!E:E,--F6,
'YearA-AppDetails Current Date'!I:I,"SUMMER")), "")</f>
        <v/>
      </c>
      <c r="J6" s="74" t="str" cm="1">
        <f t="array" ref="J6">IFERROR(1/(1/SUM(COUNTIFS(
'YearA-AppDetails Current Date'!A:A,D6,
'YearA-AppDetails Current Date'!F:F,E6,
'YearA-AppDetails Current Date'!E:E,--F6,
'YearA-AppDetails Current Date'!O:O,{"ACLN","ACPT","COND"},
'YearA-AppDetails Current Date'!S:S,"&lt;&gt;ACLN",
'YearA-AppDetails Current Date'!S:S,"&lt;&gt;ACPT",
'YearA-AppDetails Current Date'!S:S,"&lt;&gt;COND",
'YearA-AppDetails Current Date'!I:I,"SUMMER"))), "")</f>
        <v/>
      </c>
      <c r="K6" s="73" t="str">
        <f>IFERROR(1/(1/SUM(COUNTIFS(
'YearA-AppDetails Current Date'!A:A,D6,
'YearA-AppDetails Current Date'!F:F,E6,
'YearA-AppDetails Current Date'!E:E,--F6,
'YearA-AppDetails Current Date'!R:R,"&lt;&gt;"&amp;"",
'YearA-AppDetails Current Date'!I:I,"SUMMER"))), "")</f>
        <v/>
      </c>
      <c r="L6" s="74" t="str" cm="1">
        <f t="array" ref="L6">IFERROR(1/(1/SUM(COUNTIFS(
'YearA-AppDetails Current Date'!A:A,D6,
'YearA-AppDetails Current Date'!F:F,E6,
'YearA-AppDetails Current Date'!E:E,--F6,
'YearA-AppDetails Current Date'!T:T,{"APEX","DENY","NTSL"},
'YearA-AppDetails Current Date'!I:I,"SUMMER"))), "")</f>
        <v/>
      </c>
      <c r="M6" s="74" t="str" cm="1">
        <f t="array" ref="M6">IFERROR(1/(1/SUM(COUNTIFS(
'YearA-AppDetails Current Date'!A:A,D6,
'YearA-AppDetails Current Date'!F:F,E6,
'YearA-AppDetails Current Date'!E:E,--F6,
'YearA-AppDetails Current Date'!U:U,{"CCAN","DECL"},
'YearA-AppDetails Current Date'!I:I,"SUMMER"))), "")</f>
        <v/>
      </c>
      <c r="N6" s="74" t="str" cm="1">
        <f t="array" ref="N6">IFERROR(1/(1/SUM(COUNTIFS(
'YearA-AppDetails Current Date'!A:A,D6,
'YearA-AppDetails Current Date'!F:F,E6,
'YearA-AppDetails Current Date'!E:E,--F6,
'YearA-AppDetails Current Date'!V:V,{"APRO","NODE"},
'YearA-AppDetails Current Date'!I:I,"SUMMER"))), "")</f>
        <v/>
      </c>
      <c r="O6" s="74" t="str" cm="1">
        <f t="array" ref="O6">IFERROR(1/(1/SUM(COUNTIFS(
'YearA-AppDetails Current Date'!A:A,D6,
'YearA-AppDetails Current Date'!F:F,E6,
'YearA-AppDetails Current Date'!E:E,--F6,
'YearA-AppDetails Current Date'!T:T,{"CDMT","RQMT","WAIT"},
'YearA-AppDetails Current Date'!I:I,"SUMMER"))), "")</f>
        <v/>
      </c>
      <c r="P6" s="74" t="str">
        <f>IFERROR(1/(1/COUNTIFS(
'YearA-AppDetails Current Date'!A:A,D6,
'YearA-AppDetails Current Date'!F:F,E6,
'YearA-AppDetails Current Date'!E:E,--F6,
'YearA-AppDetails Current Date'!Y:Y,"ENRO",
'YearA-AppDetails Current Date'!I:I,"SUMMER")), "")</f>
        <v/>
      </c>
      <c r="Q6" s="3" t="str">
        <f t="shared" si="0"/>
        <v/>
      </c>
    </row>
    <row r="7" spans="1:17" ht="15.75" customHeight="1" x14ac:dyDescent="0.25">
      <c r="A7" s="160"/>
      <c r="B7" s="122"/>
      <c r="C7" s="124" t="s">
        <v>40</v>
      </c>
      <c r="D7" s="23" t="s">
        <v>41</v>
      </c>
      <c r="E7" s="2" t="s">
        <v>42</v>
      </c>
      <c r="F7" s="42">
        <v>1</v>
      </c>
      <c r="G7" s="139">
        <v>45</v>
      </c>
      <c r="H7" s="73" t="str">
        <f>IFERROR(1/(1/
SUM(
N(VLOOKUP(D7&amp;F7,'Budgeted Projections Dom HC'!D:T,2,FALSE)),
N(VLOOKUP(D7&amp;F7,'Budgeted Projections Dom HC'!D:T,3,FALSE))
)
),"")</f>
        <v/>
      </c>
      <c r="I7" s="73" t="str">
        <f>IFERROR(1/(1/COUNTIFS(
'YearA-AppDetails Current Date'!A:A,D7,
'YearA-AppDetails Current Date'!F:F,E7,
'YearA-AppDetails Current Date'!E:E,--F7,
'YearA-AppDetails Current Date'!I:I,"SUMMER")), "")</f>
        <v/>
      </c>
      <c r="J7" s="74" t="str" cm="1">
        <f t="array" ref="J7">IFERROR(1/(1/SUM(COUNTIFS(
'YearA-AppDetails Current Date'!A:A,D7,
'YearA-AppDetails Current Date'!F:F,E7,
'YearA-AppDetails Current Date'!E:E,--F7,
'YearA-AppDetails Current Date'!O:O,{"ACLN","ACPT","COND"},
'YearA-AppDetails Current Date'!S:S,"&lt;&gt;ACLN",
'YearA-AppDetails Current Date'!S:S,"&lt;&gt;ACPT",
'YearA-AppDetails Current Date'!S:S,"&lt;&gt;COND",
'YearA-AppDetails Current Date'!I:I,"SUMMER"))), "")</f>
        <v/>
      </c>
      <c r="K7" s="73" t="str">
        <f>IFERROR(1/(1/SUM(COUNTIFS(
'YearA-AppDetails Current Date'!A:A,D7,
'YearA-AppDetails Current Date'!F:F,E7,
'YearA-AppDetails Current Date'!E:E,--F7,
'YearA-AppDetails Current Date'!R:R,"&lt;&gt;"&amp;"",
'YearA-AppDetails Current Date'!I:I,"SUMMER"))), "")</f>
        <v/>
      </c>
      <c r="L7" s="74" t="str" cm="1">
        <f t="array" ref="L7">IFERROR(1/(1/SUM(COUNTIFS(
'YearA-AppDetails Current Date'!A:A,D7,
'YearA-AppDetails Current Date'!F:F,E7,
'YearA-AppDetails Current Date'!E:E,--F7,
'YearA-AppDetails Current Date'!T:T,{"APEX","DENY","NTSL"},
'YearA-AppDetails Current Date'!I:I,"SUMMER"))), "")</f>
        <v/>
      </c>
      <c r="M7" s="74" t="str" cm="1">
        <f t="array" ref="M7">IFERROR(1/(1/SUM(COUNTIFS(
'YearA-AppDetails Current Date'!A:A,D7,
'YearA-AppDetails Current Date'!F:F,E7,
'YearA-AppDetails Current Date'!E:E,--F7,
'YearA-AppDetails Current Date'!U:U,{"CCAN","DECL"},
'YearA-AppDetails Current Date'!I:I,"SUMMER"))), "")</f>
        <v/>
      </c>
      <c r="N7" s="74" t="str" cm="1">
        <f t="array" ref="N7">IFERROR(1/(1/SUM(COUNTIFS(
'YearA-AppDetails Current Date'!A:A,D7,
'YearA-AppDetails Current Date'!F:F,E7,
'YearA-AppDetails Current Date'!E:E,--F7,
'YearA-AppDetails Current Date'!V:V,{"APRO","NODE"},
'YearA-AppDetails Current Date'!I:I,"SUMMER"))), "")</f>
        <v/>
      </c>
      <c r="O7" s="74" t="str" cm="1">
        <f t="array" ref="O7">IFERROR(1/(1/SUM(COUNTIFS(
'YearA-AppDetails Current Date'!A:A,D7,
'YearA-AppDetails Current Date'!F:F,E7,
'YearA-AppDetails Current Date'!E:E,--F7,
'YearA-AppDetails Current Date'!T:T,{"CDMT","RQMT","WAIT"},
'YearA-AppDetails Current Date'!I:I,"SUMMER"))), "")</f>
        <v/>
      </c>
      <c r="P7" s="74" t="str">
        <f>IFERROR(1/(1/COUNTIFS(
'YearA-AppDetails Current Date'!A:A,D7,
'YearA-AppDetails Current Date'!F:F,E7,
'YearA-AppDetails Current Date'!E:E,--F7,
'YearA-AppDetails Current Date'!Y:Y,"ENRO",
'YearA-AppDetails Current Date'!I:I,"SUMMER")), "")</f>
        <v/>
      </c>
      <c r="Q7" s="3" t="str">
        <f t="shared" si="0"/>
        <v/>
      </c>
    </row>
    <row r="8" spans="1:17" ht="15.75" customHeight="1" x14ac:dyDescent="0.25">
      <c r="A8" s="160"/>
      <c r="B8" s="122"/>
      <c r="C8" s="125"/>
      <c r="D8" s="23" t="s">
        <v>41</v>
      </c>
      <c r="E8" s="2" t="s">
        <v>43</v>
      </c>
      <c r="F8" s="31">
        <v>1</v>
      </c>
      <c r="G8" s="140"/>
      <c r="H8" s="73" t="str">
        <f>IFERROR(1/(1/
SUM(
N(VLOOKUP(D8&amp;F8,'Budgeted Projections Intl HC'!D:T,2,FALSE)),
N(VLOOKUP(D8&amp;F8,'Budgeted Projections Intl HC'!D:T,3,FALSE))
)
),"")</f>
        <v/>
      </c>
      <c r="I8" s="73" t="str">
        <f>IFERROR(1/(1/COUNTIFS(
'YearA-AppDetails Current Date'!A:A,D8,
'YearA-AppDetails Current Date'!F:F,E8,
'YearA-AppDetails Current Date'!E:E,--F8,
'YearA-AppDetails Current Date'!I:I,"SUMMER")), "")</f>
        <v/>
      </c>
      <c r="J8" s="74" t="str" cm="1">
        <f t="array" ref="J8">IFERROR(1/(1/SUM(COUNTIFS(
'YearA-AppDetails Current Date'!A:A,D8,
'YearA-AppDetails Current Date'!F:F,E8,
'YearA-AppDetails Current Date'!E:E,--F8,
'YearA-AppDetails Current Date'!O:O,{"ACLN","ACPT","COND"},
'YearA-AppDetails Current Date'!S:S,"&lt;&gt;ACLN",
'YearA-AppDetails Current Date'!S:S,"&lt;&gt;ACPT",
'YearA-AppDetails Current Date'!S:S,"&lt;&gt;COND",
'YearA-AppDetails Current Date'!I:I,"SUMMER"))), "")</f>
        <v/>
      </c>
      <c r="K8" s="73" t="str">
        <f>IFERROR(1/(1/SUM(COUNTIFS(
'YearA-AppDetails Current Date'!A:A,D8,
'YearA-AppDetails Current Date'!F:F,E8,
'YearA-AppDetails Current Date'!E:E,--F8,
'YearA-AppDetails Current Date'!R:R,"&lt;&gt;"&amp;"",
'YearA-AppDetails Current Date'!I:I,"SUMMER"))), "")</f>
        <v/>
      </c>
      <c r="L8" s="74" t="str" cm="1">
        <f t="array" ref="L8">IFERROR(1/(1/SUM(COUNTIFS(
'YearA-AppDetails Current Date'!A:A,D8,
'YearA-AppDetails Current Date'!F:F,E8,
'YearA-AppDetails Current Date'!E:E,--F8,
'YearA-AppDetails Current Date'!T:T,{"APEX","DENY","NTSL"},
'YearA-AppDetails Current Date'!I:I,"SUMMER"))), "")</f>
        <v/>
      </c>
      <c r="M8" s="74" t="str" cm="1">
        <f t="array" ref="M8">IFERROR(1/(1/SUM(COUNTIFS(
'YearA-AppDetails Current Date'!A:A,D8,
'YearA-AppDetails Current Date'!F:F,E8,
'YearA-AppDetails Current Date'!E:E,--F8,
'YearA-AppDetails Current Date'!U:U,{"CCAN","DECL"},
'YearA-AppDetails Current Date'!I:I,"SUMMER"))), "")</f>
        <v/>
      </c>
      <c r="N8" s="74" t="str" cm="1">
        <f t="array" ref="N8">IFERROR(1/(1/SUM(COUNTIFS(
'YearA-AppDetails Current Date'!A:A,D8,
'YearA-AppDetails Current Date'!F:F,E8,
'YearA-AppDetails Current Date'!E:E,--F8,
'YearA-AppDetails Current Date'!V:V,{"APRO","NODE"},
'YearA-AppDetails Current Date'!I:I,"SUMMER"))), "")</f>
        <v/>
      </c>
      <c r="O8" s="74" t="str" cm="1">
        <f t="array" ref="O8">IFERROR(1/(1/SUM(COUNTIFS(
'YearA-AppDetails Current Date'!A:A,D8,
'YearA-AppDetails Current Date'!F:F,E8,
'YearA-AppDetails Current Date'!E:E,--F8,
'YearA-AppDetails Current Date'!T:T,{"CDMT","RQMT","WAIT"},
'YearA-AppDetails Current Date'!I:I,"SUMMER"))), "")</f>
        <v/>
      </c>
      <c r="P8" s="74" t="str">
        <f>IFERROR(1/(1/COUNTIFS(
'YearA-AppDetails Current Date'!A:A,D8,
'YearA-AppDetails Current Date'!F:F,E8,
'YearA-AppDetails Current Date'!E:E,--F8,
'YearA-AppDetails Current Date'!Y:Y,"ENRO",
'YearA-AppDetails Current Date'!I:I,"SUMMER")), "")</f>
        <v/>
      </c>
      <c r="Q8" s="3" t="str">
        <f t="shared" si="0"/>
        <v/>
      </c>
    </row>
    <row r="9" spans="1:17" ht="15.75" customHeight="1" x14ac:dyDescent="0.25">
      <c r="A9" s="160"/>
      <c r="B9" s="122"/>
      <c r="C9" s="124" t="s">
        <v>168</v>
      </c>
      <c r="D9" s="23" t="s">
        <v>169</v>
      </c>
      <c r="E9" s="2" t="s">
        <v>42</v>
      </c>
      <c r="F9" s="42">
        <v>1</v>
      </c>
      <c r="G9" s="139"/>
      <c r="H9" s="73" t="str">
        <f>IFERROR(1/(1/
SUM(
N(VLOOKUP(D9&amp;F9,'Budgeted Projections Dom HC'!D:T,2,FALSE)),
N(VLOOKUP(D9&amp;F9,'Budgeted Projections Dom HC'!D:T,3,FALSE))
)
),"")</f>
        <v/>
      </c>
      <c r="I9" s="73" t="str">
        <f>IFERROR(1/(1/COUNTIFS(
'YearA-AppDetails Current Date'!A:A,D9,
'YearA-AppDetails Current Date'!F:F,E9,
'YearA-AppDetails Current Date'!E:E,--F9,
'YearA-AppDetails Current Date'!I:I,"SUMMER")), "")</f>
        <v/>
      </c>
      <c r="J9" s="74" t="str" cm="1">
        <f t="array" ref="J9">IFERROR(1/(1/SUM(COUNTIFS(
'YearA-AppDetails Current Date'!A:A,D9,
'YearA-AppDetails Current Date'!F:F,E9,
'YearA-AppDetails Current Date'!E:E,--F9,
'YearA-AppDetails Current Date'!O:O,{"ACLN","ACPT","COND"},
'YearA-AppDetails Current Date'!S:S,"&lt;&gt;ACLN",
'YearA-AppDetails Current Date'!S:S,"&lt;&gt;ACPT",
'YearA-AppDetails Current Date'!S:S,"&lt;&gt;COND",
'YearA-AppDetails Current Date'!I:I,"SUMMER"))), "")</f>
        <v/>
      </c>
      <c r="K9" s="73" t="str">
        <f>IFERROR(1/(1/SUM(COUNTIFS(
'YearA-AppDetails Current Date'!A:A,D9,
'YearA-AppDetails Current Date'!F:F,E9,
'YearA-AppDetails Current Date'!E:E,--F9,
'YearA-AppDetails Current Date'!R:R,"&lt;&gt;"&amp;"",
'YearA-AppDetails Current Date'!I:I,"SUMMER"))), "")</f>
        <v/>
      </c>
      <c r="L9" s="74" t="str" cm="1">
        <f t="array" ref="L9">IFERROR(1/(1/SUM(COUNTIFS(
'YearA-AppDetails Current Date'!A:A,D9,
'YearA-AppDetails Current Date'!F:F,E9,
'YearA-AppDetails Current Date'!E:E,--F9,
'YearA-AppDetails Current Date'!T:T,{"APEX","DENY","NTSL"},
'YearA-AppDetails Current Date'!I:I,"SUMMER"))), "")</f>
        <v/>
      </c>
      <c r="M9" s="74" t="str" cm="1">
        <f t="array" ref="M9">IFERROR(1/(1/SUM(COUNTIFS(
'YearA-AppDetails Current Date'!A:A,D9,
'YearA-AppDetails Current Date'!F:F,E9,
'YearA-AppDetails Current Date'!E:E,--F9,
'YearA-AppDetails Current Date'!U:U,{"CCAN","DECL"},
'YearA-AppDetails Current Date'!I:I,"SUMMER"))), "")</f>
        <v/>
      </c>
      <c r="N9" s="74" t="str" cm="1">
        <f t="array" ref="N9">IFERROR(1/(1/SUM(COUNTIFS(
'YearA-AppDetails Current Date'!A:A,D9,
'YearA-AppDetails Current Date'!F:F,E9,
'YearA-AppDetails Current Date'!E:E,--F9,
'YearA-AppDetails Current Date'!V:V,{"APRO","NODE"},
'YearA-AppDetails Current Date'!I:I,"SUMMER"))), "")</f>
        <v/>
      </c>
      <c r="O9" s="74" t="str" cm="1">
        <f t="array" ref="O9">IFERROR(1/(1/SUM(COUNTIFS(
'YearA-AppDetails Current Date'!A:A,D9,
'YearA-AppDetails Current Date'!F:F,E9,
'YearA-AppDetails Current Date'!E:E,--F9,
'YearA-AppDetails Current Date'!T:T,{"CDMT","RQMT","WAIT"},
'YearA-AppDetails Current Date'!I:I,"SUMMER"))), "")</f>
        <v/>
      </c>
      <c r="P9" s="74" t="str">
        <f>IFERROR(1/(1/COUNTIFS(
'YearA-AppDetails Current Date'!A:A,D9,
'YearA-AppDetails Current Date'!F:F,E9,
'YearA-AppDetails Current Date'!E:E,--F9,
'YearA-AppDetails Current Date'!Y:Y,"ENRO",
'YearA-AppDetails Current Date'!I:I,"SUMMER")), "")</f>
        <v/>
      </c>
      <c r="Q9" s="3" t="str">
        <f t="shared" si="0"/>
        <v/>
      </c>
    </row>
    <row r="10" spans="1:17" ht="15.75" customHeight="1" x14ac:dyDescent="0.25">
      <c r="A10" s="160"/>
      <c r="B10" s="122"/>
      <c r="C10" s="125"/>
      <c r="D10" s="23" t="s">
        <v>169</v>
      </c>
      <c r="E10" s="2" t="s">
        <v>43</v>
      </c>
      <c r="F10" s="31">
        <v>1</v>
      </c>
      <c r="G10" s="140"/>
      <c r="H10" s="73" t="str">
        <f>IFERROR(1/(1/
SUM(
N(VLOOKUP(D10&amp;F10,'Budgeted Projections Intl HC'!D:T,2,FALSE)),
N(VLOOKUP(D10&amp;F10,'Budgeted Projections Intl HC'!D:T,3,FALSE))
)
),"")</f>
        <v/>
      </c>
      <c r="I10" s="73" t="str">
        <f>IFERROR(1/(1/COUNTIFS(
'YearA-AppDetails Current Date'!A:A,D10,
'YearA-AppDetails Current Date'!F:F,E10,
'YearA-AppDetails Current Date'!E:E,--F10,
'YearA-AppDetails Current Date'!I:I,"SUMMER")), "")</f>
        <v/>
      </c>
      <c r="J10" s="74" t="str" cm="1">
        <f t="array" ref="J10">IFERROR(1/(1/SUM(COUNTIFS(
'YearA-AppDetails Current Date'!A:A,D10,
'YearA-AppDetails Current Date'!F:F,E10,
'YearA-AppDetails Current Date'!E:E,--F10,
'YearA-AppDetails Current Date'!O:O,{"ACLN","ACPT","COND"},
'YearA-AppDetails Current Date'!S:S,"&lt;&gt;ACLN",
'YearA-AppDetails Current Date'!S:S,"&lt;&gt;ACPT",
'YearA-AppDetails Current Date'!S:S,"&lt;&gt;COND",
'YearA-AppDetails Current Date'!I:I,"SUMMER"))), "")</f>
        <v/>
      </c>
      <c r="K10" s="73" t="str">
        <f>IFERROR(1/(1/SUM(COUNTIFS(
'YearA-AppDetails Current Date'!A:A,D10,
'YearA-AppDetails Current Date'!F:F,E10,
'YearA-AppDetails Current Date'!E:E,--F10,
'YearA-AppDetails Current Date'!R:R,"&lt;&gt;"&amp;"",
'YearA-AppDetails Current Date'!I:I,"SUMMER"))), "")</f>
        <v/>
      </c>
      <c r="L10" s="74" t="str" cm="1">
        <f t="array" ref="L10">IFERROR(1/(1/SUM(COUNTIFS(
'YearA-AppDetails Current Date'!A:A,D10,
'YearA-AppDetails Current Date'!F:F,E10,
'YearA-AppDetails Current Date'!E:E,--F10,
'YearA-AppDetails Current Date'!T:T,{"APEX","DENY","NTSL"},
'YearA-AppDetails Current Date'!I:I,"SUMMER"))), "")</f>
        <v/>
      </c>
      <c r="M10" s="74" t="str" cm="1">
        <f t="array" ref="M10">IFERROR(1/(1/SUM(COUNTIFS(
'YearA-AppDetails Current Date'!A:A,D10,
'YearA-AppDetails Current Date'!F:F,E10,
'YearA-AppDetails Current Date'!E:E,--F10,
'YearA-AppDetails Current Date'!U:U,{"CCAN","DECL"},
'YearA-AppDetails Current Date'!I:I,"SUMMER"))), "")</f>
        <v/>
      </c>
      <c r="N10" s="74" t="str" cm="1">
        <f t="array" ref="N10">IFERROR(1/(1/SUM(COUNTIFS(
'YearA-AppDetails Current Date'!A:A,D10,
'YearA-AppDetails Current Date'!F:F,E10,
'YearA-AppDetails Current Date'!E:E,--F10,
'YearA-AppDetails Current Date'!V:V,{"APRO","NODE"},
'YearA-AppDetails Current Date'!I:I,"SUMMER"))), "")</f>
        <v/>
      </c>
      <c r="O10" s="74" t="str" cm="1">
        <f t="array" ref="O10">IFERROR(1/(1/SUM(COUNTIFS(
'YearA-AppDetails Current Date'!A:A,D10,
'YearA-AppDetails Current Date'!F:F,E10,
'YearA-AppDetails Current Date'!E:E,--F10,
'YearA-AppDetails Current Date'!T:T,{"CDMT","RQMT","WAIT"},
'YearA-AppDetails Current Date'!I:I,"SUMMER"))), "")</f>
        <v/>
      </c>
      <c r="P10" s="74" t="str">
        <f>IFERROR(1/(1/COUNTIFS(
'YearA-AppDetails Current Date'!A:A,D10,
'YearA-AppDetails Current Date'!F:F,E10,
'YearA-AppDetails Current Date'!E:E,--F10,
'YearA-AppDetails Current Date'!Y:Y,"ENRO",
'YearA-AppDetails Current Date'!I:I,"SUMMER")), "")</f>
        <v/>
      </c>
      <c r="Q10" s="3" t="str">
        <f t="shared" si="0"/>
        <v/>
      </c>
    </row>
    <row r="11" spans="1:17" ht="15.75" customHeight="1" x14ac:dyDescent="0.25">
      <c r="A11" s="160"/>
      <c r="B11" s="122"/>
      <c r="C11" s="124" t="s">
        <v>44</v>
      </c>
      <c r="D11" s="23" t="s">
        <v>45</v>
      </c>
      <c r="E11" s="2" t="s">
        <v>42</v>
      </c>
      <c r="F11" s="42">
        <v>1</v>
      </c>
      <c r="G11" s="139">
        <v>45</v>
      </c>
      <c r="H11" s="73" t="str">
        <f>IFERROR(1/(1/
SUM(
N(VLOOKUP(D11&amp;F11,'Budgeted Projections Dom HC'!D:T,2,FALSE)),
N(VLOOKUP(D11&amp;F11,'Budgeted Projections Dom HC'!D:T,3,FALSE))
)
),"")</f>
        <v/>
      </c>
      <c r="I11" s="73" t="str">
        <f>IFERROR(1/(1/COUNTIFS(
'YearA-AppDetails Current Date'!A:A,D11,
'YearA-AppDetails Current Date'!F:F,E11,
'YearA-AppDetails Current Date'!E:E,--F11,
'YearA-AppDetails Current Date'!I:I,"SUMMER")), "")</f>
        <v/>
      </c>
      <c r="J11" s="74" t="str" cm="1">
        <f t="array" ref="J11">IFERROR(1/(1/SUM(COUNTIFS(
'YearA-AppDetails Current Date'!A:A,D11,
'YearA-AppDetails Current Date'!F:F,E11,
'YearA-AppDetails Current Date'!E:E,--F11,
'YearA-AppDetails Current Date'!O:O,{"ACLN","ACPT","COND"},
'YearA-AppDetails Current Date'!S:S,"&lt;&gt;ACLN",
'YearA-AppDetails Current Date'!S:S,"&lt;&gt;ACPT",
'YearA-AppDetails Current Date'!S:S,"&lt;&gt;COND",
'YearA-AppDetails Current Date'!I:I,"SUMMER"))), "")</f>
        <v/>
      </c>
      <c r="K11" s="73" t="str">
        <f>IFERROR(1/(1/SUM(COUNTIFS(
'YearA-AppDetails Current Date'!A:A,D11,
'YearA-AppDetails Current Date'!F:F,E11,
'YearA-AppDetails Current Date'!E:E,--F11,
'YearA-AppDetails Current Date'!R:R,"&lt;&gt;"&amp;"",
'YearA-AppDetails Current Date'!I:I,"SUMMER"))), "")</f>
        <v/>
      </c>
      <c r="L11" s="74" t="str" cm="1">
        <f t="array" ref="L11">IFERROR(1/(1/SUM(COUNTIFS(
'YearA-AppDetails Current Date'!A:A,D11,
'YearA-AppDetails Current Date'!F:F,E11,
'YearA-AppDetails Current Date'!E:E,--F11,
'YearA-AppDetails Current Date'!T:T,{"APEX","DENY","NTSL"},
'YearA-AppDetails Current Date'!I:I,"SUMMER"))), "")</f>
        <v/>
      </c>
      <c r="M11" s="74" t="str" cm="1">
        <f t="array" ref="M11">IFERROR(1/(1/SUM(COUNTIFS(
'YearA-AppDetails Current Date'!A:A,D11,
'YearA-AppDetails Current Date'!F:F,E11,
'YearA-AppDetails Current Date'!E:E,--F11,
'YearA-AppDetails Current Date'!U:U,{"CCAN","DECL"},
'YearA-AppDetails Current Date'!I:I,"SUMMER"))), "")</f>
        <v/>
      </c>
      <c r="N11" s="74" t="str" cm="1">
        <f t="array" ref="N11">IFERROR(1/(1/SUM(COUNTIFS(
'YearA-AppDetails Current Date'!A:A,D11,
'YearA-AppDetails Current Date'!F:F,E11,
'YearA-AppDetails Current Date'!E:E,--F11,
'YearA-AppDetails Current Date'!V:V,{"APRO","NODE"},
'YearA-AppDetails Current Date'!I:I,"SUMMER"))), "")</f>
        <v/>
      </c>
      <c r="O11" s="74" t="str" cm="1">
        <f t="array" ref="O11">IFERROR(1/(1/SUM(COUNTIFS(
'YearA-AppDetails Current Date'!A:A,D11,
'YearA-AppDetails Current Date'!F:F,E11,
'YearA-AppDetails Current Date'!E:E,--F11,
'YearA-AppDetails Current Date'!T:T,{"CDMT","RQMT","WAIT"},
'YearA-AppDetails Current Date'!I:I,"SUMMER"))), "")</f>
        <v/>
      </c>
      <c r="P11" s="74" t="str">
        <f>IFERROR(1/(1/COUNTIFS(
'YearA-AppDetails Current Date'!A:A,D11,
'YearA-AppDetails Current Date'!F:F,E11,
'YearA-AppDetails Current Date'!E:E,--F11,
'YearA-AppDetails Current Date'!Y:Y,"ENRO",
'YearA-AppDetails Current Date'!I:I,"SUMMER")), "")</f>
        <v/>
      </c>
      <c r="Q11" s="3" t="str">
        <f t="shared" si="0"/>
        <v/>
      </c>
    </row>
    <row r="12" spans="1:17" ht="15.75" customHeight="1" x14ac:dyDescent="0.25">
      <c r="A12" s="160"/>
      <c r="B12" s="122"/>
      <c r="C12" s="125"/>
      <c r="D12" s="23" t="s">
        <v>45</v>
      </c>
      <c r="E12" s="2" t="s">
        <v>43</v>
      </c>
      <c r="F12" s="31">
        <v>1</v>
      </c>
      <c r="G12" s="140"/>
      <c r="H12" s="73" t="str">
        <f>IFERROR(1/(1/
SUM(
N(VLOOKUP(D12&amp;F12,'Budgeted Projections Intl HC'!D:T,2,FALSE)),
N(VLOOKUP(D12&amp;F12,'Budgeted Projections Intl HC'!D:T,3,FALSE))
)
),"")</f>
        <v/>
      </c>
      <c r="I12" s="73" t="str">
        <f>IFERROR(1/(1/COUNTIFS(
'YearA-AppDetails Current Date'!A:A,D12,
'YearA-AppDetails Current Date'!F:F,E12,
'YearA-AppDetails Current Date'!E:E,--F12,
'YearA-AppDetails Current Date'!I:I,"SUMMER")), "")</f>
        <v/>
      </c>
      <c r="J12" s="74" t="str" cm="1">
        <f t="array" ref="J12">IFERROR(1/(1/SUM(COUNTIFS(
'YearA-AppDetails Current Date'!A:A,D12,
'YearA-AppDetails Current Date'!F:F,E12,
'YearA-AppDetails Current Date'!E:E,--F12,
'YearA-AppDetails Current Date'!O:O,{"ACLN","ACPT","COND"},
'YearA-AppDetails Current Date'!S:S,"&lt;&gt;ACLN",
'YearA-AppDetails Current Date'!S:S,"&lt;&gt;ACPT",
'YearA-AppDetails Current Date'!S:S,"&lt;&gt;COND",
'YearA-AppDetails Current Date'!I:I,"SUMMER"))), "")</f>
        <v/>
      </c>
      <c r="K12" s="73" t="str">
        <f>IFERROR(1/(1/SUM(COUNTIFS(
'YearA-AppDetails Current Date'!A:A,D12,
'YearA-AppDetails Current Date'!F:F,E12,
'YearA-AppDetails Current Date'!E:E,--F12,
'YearA-AppDetails Current Date'!R:R,"&lt;&gt;"&amp;"",
'YearA-AppDetails Current Date'!I:I,"SUMMER"))), "")</f>
        <v/>
      </c>
      <c r="L12" s="74" t="str" cm="1">
        <f t="array" ref="L12">IFERROR(1/(1/SUM(COUNTIFS(
'YearA-AppDetails Current Date'!A:A,D12,
'YearA-AppDetails Current Date'!F:F,E12,
'YearA-AppDetails Current Date'!E:E,--F12,
'YearA-AppDetails Current Date'!T:T,{"APEX","DENY","NTSL"},
'YearA-AppDetails Current Date'!I:I,"SUMMER"))), "")</f>
        <v/>
      </c>
      <c r="M12" s="74" t="str" cm="1">
        <f t="array" ref="M12">IFERROR(1/(1/SUM(COUNTIFS(
'YearA-AppDetails Current Date'!A:A,D12,
'YearA-AppDetails Current Date'!F:F,E12,
'YearA-AppDetails Current Date'!E:E,--F12,
'YearA-AppDetails Current Date'!U:U,{"CCAN","DECL"},
'YearA-AppDetails Current Date'!I:I,"SUMMER"))), "")</f>
        <v/>
      </c>
      <c r="N12" s="74" t="str" cm="1">
        <f t="array" ref="N12">IFERROR(1/(1/SUM(COUNTIFS(
'YearA-AppDetails Current Date'!A:A,D12,
'YearA-AppDetails Current Date'!F:F,E12,
'YearA-AppDetails Current Date'!E:E,--F12,
'YearA-AppDetails Current Date'!V:V,{"APRO","NODE"},
'YearA-AppDetails Current Date'!I:I,"SUMMER"))), "")</f>
        <v/>
      </c>
      <c r="O12" s="74" t="str" cm="1">
        <f t="array" ref="O12">IFERROR(1/(1/SUM(COUNTIFS(
'YearA-AppDetails Current Date'!A:A,D12,
'YearA-AppDetails Current Date'!F:F,E12,
'YearA-AppDetails Current Date'!E:E,--F12,
'YearA-AppDetails Current Date'!T:T,{"CDMT","RQMT","WAIT"},
'YearA-AppDetails Current Date'!I:I,"SUMMER"))), "")</f>
        <v/>
      </c>
      <c r="P12" s="74" t="str">
        <f>IFERROR(1/(1/COUNTIFS(
'YearA-AppDetails Current Date'!A:A,D12,
'YearA-AppDetails Current Date'!F:F,E12,
'YearA-AppDetails Current Date'!E:E,--F12,
'YearA-AppDetails Current Date'!Y:Y,"ENRO",
'YearA-AppDetails Current Date'!I:I,"SUMMER")), "")</f>
        <v/>
      </c>
      <c r="Q12" s="3" t="str">
        <f t="shared" si="0"/>
        <v/>
      </c>
    </row>
    <row r="13" spans="1:17" ht="15.75" customHeight="1" x14ac:dyDescent="0.25">
      <c r="A13" s="160"/>
      <c r="B13" s="122"/>
      <c r="C13" s="124" t="s">
        <v>142</v>
      </c>
      <c r="D13" s="2" t="s">
        <v>143</v>
      </c>
      <c r="E13" s="2" t="s">
        <v>42</v>
      </c>
      <c r="F13" s="31">
        <v>1</v>
      </c>
      <c r="G13" s="139">
        <v>20</v>
      </c>
      <c r="H13" s="73" t="str">
        <f>IFERROR(1/(1/
SUM(
N(VLOOKUP(D13&amp;F13,'Budgeted Projections Dom HC'!D:T,2,FALSE)),
N(VLOOKUP(D13&amp;F13,'Budgeted Projections Dom HC'!D:T,3,FALSE))
)
),"")</f>
        <v/>
      </c>
      <c r="I13" s="73" t="str">
        <f>IFERROR(1/(1/COUNTIFS(
'YearA-AppDetails Current Date'!A:A,D13,
'YearA-AppDetails Current Date'!F:F,E13,
'YearA-AppDetails Current Date'!E:E,--F13,
'YearA-AppDetails Current Date'!I:I,"SUMMER")), "")</f>
        <v/>
      </c>
      <c r="J13" s="74" t="str" cm="1">
        <f t="array" ref="J13">IFERROR(1/(1/SUM(COUNTIFS(
'YearA-AppDetails Current Date'!A:A,D13,
'YearA-AppDetails Current Date'!F:F,E13,
'YearA-AppDetails Current Date'!E:E,--F13,
'YearA-AppDetails Current Date'!O:O,{"ACLN","ACPT","COND"},
'YearA-AppDetails Current Date'!S:S,"&lt;&gt;ACLN",
'YearA-AppDetails Current Date'!S:S,"&lt;&gt;ACPT",
'YearA-AppDetails Current Date'!S:S,"&lt;&gt;COND",
'YearA-AppDetails Current Date'!I:I,"SUMMER"))), "")</f>
        <v/>
      </c>
      <c r="K13" s="73" t="str">
        <f>IFERROR(1/(1/SUM(COUNTIFS(
'YearA-AppDetails Current Date'!A:A,D13,
'YearA-AppDetails Current Date'!F:F,E13,
'YearA-AppDetails Current Date'!E:E,--F13,
'YearA-AppDetails Current Date'!R:R,"&lt;&gt;"&amp;"",
'YearA-AppDetails Current Date'!I:I,"SUMMER"))), "")</f>
        <v/>
      </c>
      <c r="L13" s="74" t="str" cm="1">
        <f t="array" ref="L13">IFERROR(1/(1/SUM(COUNTIFS(
'YearA-AppDetails Current Date'!A:A,D13,
'YearA-AppDetails Current Date'!F:F,E13,
'YearA-AppDetails Current Date'!E:E,--F13,
'YearA-AppDetails Current Date'!T:T,{"APEX","DENY","NTSL"},
'YearA-AppDetails Current Date'!I:I,"SUMMER"))), "")</f>
        <v/>
      </c>
      <c r="M13" s="74" t="str" cm="1">
        <f t="array" ref="M13">IFERROR(1/(1/SUM(COUNTIFS(
'YearA-AppDetails Current Date'!A:A,D13,
'YearA-AppDetails Current Date'!F:F,E13,
'YearA-AppDetails Current Date'!E:E,--F13,
'YearA-AppDetails Current Date'!U:U,{"CCAN","DECL"},
'YearA-AppDetails Current Date'!I:I,"SUMMER"))), "")</f>
        <v/>
      </c>
      <c r="N13" s="74" t="str" cm="1">
        <f t="array" ref="N13">IFERROR(1/(1/SUM(COUNTIFS(
'YearA-AppDetails Current Date'!A:A,D13,
'YearA-AppDetails Current Date'!F:F,E13,
'YearA-AppDetails Current Date'!E:E,--F13,
'YearA-AppDetails Current Date'!V:V,{"APRO","NODE"},
'YearA-AppDetails Current Date'!I:I,"SUMMER"))), "")</f>
        <v/>
      </c>
      <c r="O13" s="74" t="str" cm="1">
        <f t="array" ref="O13">IFERROR(1/(1/SUM(COUNTIFS(
'YearA-AppDetails Current Date'!A:A,D13,
'YearA-AppDetails Current Date'!F:F,E13,
'YearA-AppDetails Current Date'!E:E,--F13,
'YearA-AppDetails Current Date'!T:T,{"CDMT","RQMT","WAIT"},
'YearA-AppDetails Current Date'!I:I,"SUMMER"))), "")</f>
        <v/>
      </c>
      <c r="P13" s="74" t="str">
        <f>IFERROR(1/(1/COUNTIFS(
'YearA-AppDetails Current Date'!A:A,D13,
'YearA-AppDetails Current Date'!F:F,E13,
'YearA-AppDetails Current Date'!E:E,--F13,
'YearA-AppDetails Current Date'!Y:Y,"ENRO",
'YearA-AppDetails Current Date'!I:I,"SUMMER")), "")</f>
        <v/>
      </c>
      <c r="Q13" s="3" t="str">
        <f t="shared" si="0"/>
        <v/>
      </c>
    </row>
    <row r="14" spans="1:17" ht="15.75" customHeight="1" x14ac:dyDescent="0.25">
      <c r="A14" s="160"/>
      <c r="B14" s="122"/>
      <c r="C14" s="138"/>
      <c r="D14" s="2" t="s">
        <v>143</v>
      </c>
      <c r="E14" s="2" t="s">
        <v>43</v>
      </c>
      <c r="F14" s="31">
        <v>1</v>
      </c>
      <c r="G14" s="141"/>
      <c r="H14" s="73" t="str">
        <f>IFERROR(1/(1/
SUM(
N(VLOOKUP(D14&amp;F14,'Budgeted Projections Intl HC'!D:T,2,FALSE)),
N(VLOOKUP(D14&amp;F14,'Budgeted Projections Intl HC'!D:T,3,FALSE))
)
),"")</f>
        <v/>
      </c>
      <c r="I14" s="73" t="str">
        <f>IFERROR(1/(1/COUNTIFS(
'YearA-AppDetails Current Date'!A:A,D14,
'YearA-AppDetails Current Date'!F:F,E14,
'YearA-AppDetails Current Date'!E:E,--F14,
'YearA-AppDetails Current Date'!I:I,"SUMMER")), "")</f>
        <v/>
      </c>
      <c r="J14" s="74" t="str" cm="1">
        <f t="array" ref="J14">IFERROR(1/(1/SUM(COUNTIFS(
'YearA-AppDetails Current Date'!A:A,D14,
'YearA-AppDetails Current Date'!F:F,E14,
'YearA-AppDetails Current Date'!E:E,--F14,
'YearA-AppDetails Current Date'!O:O,{"ACLN","ACPT","COND"},
'YearA-AppDetails Current Date'!S:S,"&lt;&gt;ACLN",
'YearA-AppDetails Current Date'!S:S,"&lt;&gt;ACPT",
'YearA-AppDetails Current Date'!S:S,"&lt;&gt;COND",
'YearA-AppDetails Current Date'!I:I,"SUMMER"))), "")</f>
        <v/>
      </c>
      <c r="K14" s="73" t="str">
        <f>IFERROR(1/(1/SUM(COUNTIFS(
'YearA-AppDetails Current Date'!A:A,D14,
'YearA-AppDetails Current Date'!F:F,E14,
'YearA-AppDetails Current Date'!E:E,--F14,
'YearA-AppDetails Current Date'!R:R,"&lt;&gt;"&amp;"",
'YearA-AppDetails Current Date'!I:I,"SUMMER"))), "")</f>
        <v/>
      </c>
      <c r="L14" s="74" t="str" cm="1">
        <f t="array" ref="L14">IFERROR(1/(1/SUM(COUNTIFS(
'YearA-AppDetails Current Date'!A:A,D14,
'YearA-AppDetails Current Date'!F:F,E14,
'YearA-AppDetails Current Date'!E:E,--F14,
'YearA-AppDetails Current Date'!T:T,{"APEX","DENY","NTSL"},
'YearA-AppDetails Current Date'!I:I,"SUMMER"))), "")</f>
        <v/>
      </c>
      <c r="M14" s="74" t="str" cm="1">
        <f t="array" ref="M14">IFERROR(1/(1/SUM(COUNTIFS(
'YearA-AppDetails Current Date'!A:A,D14,
'YearA-AppDetails Current Date'!F:F,E14,
'YearA-AppDetails Current Date'!E:E,--F14,
'YearA-AppDetails Current Date'!U:U,{"CCAN","DECL"},
'YearA-AppDetails Current Date'!I:I,"SUMMER"))), "")</f>
        <v/>
      </c>
      <c r="N14" s="74" t="str" cm="1">
        <f t="array" ref="N14">IFERROR(1/(1/SUM(COUNTIFS(
'YearA-AppDetails Current Date'!A:A,D14,
'YearA-AppDetails Current Date'!F:F,E14,
'YearA-AppDetails Current Date'!E:E,--F14,
'YearA-AppDetails Current Date'!V:V,{"APRO","NODE"},
'YearA-AppDetails Current Date'!I:I,"SUMMER"))), "")</f>
        <v/>
      </c>
      <c r="O14" s="74" t="str" cm="1">
        <f t="array" ref="O14">IFERROR(1/(1/SUM(COUNTIFS(
'YearA-AppDetails Current Date'!A:A,D14,
'YearA-AppDetails Current Date'!F:F,E14,
'YearA-AppDetails Current Date'!E:E,--F14,
'YearA-AppDetails Current Date'!T:T,{"CDMT","RQMT","WAIT"},
'YearA-AppDetails Current Date'!I:I,"SUMMER"))), "")</f>
        <v/>
      </c>
      <c r="P14" s="74" t="str">
        <f>IFERROR(1/(1/COUNTIFS(
'YearA-AppDetails Current Date'!A:A,D14,
'YearA-AppDetails Current Date'!F:F,E14,
'YearA-AppDetails Current Date'!E:E,--F14,
'YearA-AppDetails Current Date'!Y:Y,"ENRO",
'YearA-AppDetails Current Date'!I:I,"SUMMER")), "")</f>
        <v/>
      </c>
      <c r="Q14" s="3" t="str">
        <f t="shared" si="0"/>
        <v/>
      </c>
    </row>
    <row r="15" spans="1:17" ht="15.75" customHeight="1" x14ac:dyDescent="0.25">
      <c r="A15" s="160"/>
      <c r="B15" s="122"/>
      <c r="C15" s="138"/>
      <c r="D15" s="2" t="s">
        <v>143</v>
      </c>
      <c r="E15" s="2" t="s">
        <v>42</v>
      </c>
      <c r="F15" s="31">
        <v>2</v>
      </c>
      <c r="G15" s="139">
        <v>20</v>
      </c>
      <c r="H15" s="73" t="str">
        <f>IFERROR(1/(1/
SUM(
N(VLOOKUP(D15&amp;F15,'Budgeted Projections Dom HC'!D:T,2,FALSE)),
N(VLOOKUP(D15&amp;F15,'Budgeted Projections Dom HC'!D:T,3,FALSE))
)
),"")</f>
        <v/>
      </c>
      <c r="I15" s="73" t="str">
        <f>IFERROR(1/(1/COUNTIFS(
'YearA-AppDetails Current Date'!A:A,D15,
'YearA-AppDetails Current Date'!F:F,E15,
'YearA-AppDetails Current Date'!E:E,--F15,
'YearA-AppDetails Current Date'!I:I,"SUMMER")), "")</f>
        <v/>
      </c>
      <c r="J15" s="74" t="str" cm="1">
        <f t="array" ref="J15">IFERROR(1/(1/SUM(COUNTIFS(
'YearA-AppDetails Current Date'!A:A,D15,
'YearA-AppDetails Current Date'!F:F,E15,
'YearA-AppDetails Current Date'!E:E,--F15,
'YearA-AppDetails Current Date'!O:O,{"ACLN","ACPT","COND"},
'YearA-AppDetails Current Date'!S:S,"&lt;&gt;ACLN",
'YearA-AppDetails Current Date'!S:S,"&lt;&gt;ACPT",
'YearA-AppDetails Current Date'!S:S,"&lt;&gt;COND",
'YearA-AppDetails Current Date'!I:I,"SUMMER"))), "")</f>
        <v/>
      </c>
      <c r="K15" s="73" t="str">
        <f>IFERROR(1/(1/SUM(COUNTIFS(
'YearA-AppDetails Current Date'!A:A,D15,
'YearA-AppDetails Current Date'!F:F,E15,
'YearA-AppDetails Current Date'!E:E,--F15,
'YearA-AppDetails Current Date'!R:R,"&lt;&gt;"&amp;"",
'YearA-AppDetails Current Date'!I:I,"SUMMER"))), "")</f>
        <v/>
      </c>
      <c r="L15" s="74" t="str" cm="1">
        <f t="array" ref="L15">IFERROR(1/(1/SUM(COUNTIFS(
'YearA-AppDetails Current Date'!A:A,D15,
'YearA-AppDetails Current Date'!F:F,E15,
'YearA-AppDetails Current Date'!E:E,--F15,
'YearA-AppDetails Current Date'!T:T,{"APEX","DENY","NTSL"},
'YearA-AppDetails Current Date'!I:I,"SUMMER"))), "")</f>
        <v/>
      </c>
      <c r="M15" s="74" t="str" cm="1">
        <f t="array" ref="M15">IFERROR(1/(1/SUM(COUNTIFS(
'YearA-AppDetails Current Date'!A:A,D15,
'YearA-AppDetails Current Date'!F:F,E15,
'YearA-AppDetails Current Date'!E:E,--F15,
'YearA-AppDetails Current Date'!U:U,{"CCAN","DECL"},
'YearA-AppDetails Current Date'!I:I,"SUMMER"))), "")</f>
        <v/>
      </c>
      <c r="N15" s="74" t="str" cm="1">
        <f t="array" ref="N15">IFERROR(1/(1/SUM(COUNTIFS(
'YearA-AppDetails Current Date'!A:A,D15,
'YearA-AppDetails Current Date'!F:F,E15,
'YearA-AppDetails Current Date'!E:E,--F15,
'YearA-AppDetails Current Date'!V:V,{"APRO","NODE"},
'YearA-AppDetails Current Date'!I:I,"SUMMER"))), "")</f>
        <v/>
      </c>
      <c r="O15" s="74" t="str" cm="1">
        <f t="array" ref="O15">IFERROR(1/(1/SUM(COUNTIFS(
'YearA-AppDetails Current Date'!A:A,D15,
'YearA-AppDetails Current Date'!F:F,E15,
'YearA-AppDetails Current Date'!E:E,--F15,
'YearA-AppDetails Current Date'!T:T,{"CDMT","RQMT","WAIT"},
'YearA-AppDetails Current Date'!I:I,"SUMMER"))), "")</f>
        <v/>
      </c>
      <c r="P15" s="74" t="str">
        <f>IFERROR(1/(1/COUNTIFS(
'YearA-AppDetails Current Date'!A:A,D15,
'YearA-AppDetails Current Date'!F:F,E15,
'YearA-AppDetails Current Date'!E:E,--F15,
'YearA-AppDetails Current Date'!Y:Y,"ENRO",
'YearA-AppDetails Current Date'!I:I,"SUMMER")), "")</f>
        <v/>
      </c>
      <c r="Q15" s="3" t="str">
        <f t="shared" si="0"/>
        <v/>
      </c>
    </row>
    <row r="16" spans="1:17" ht="15.75" customHeight="1" x14ac:dyDescent="0.25">
      <c r="A16" s="160"/>
      <c r="B16" s="122"/>
      <c r="C16" s="125"/>
      <c r="D16" s="2" t="s">
        <v>143</v>
      </c>
      <c r="E16" s="2" t="s">
        <v>43</v>
      </c>
      <c r="F16" s="31">
        <v>2</v>
      </c>
      <c r="G16" s="140"/>
      <c r="H16" s="73" t="str">
        <f>IFERROR(1/(1/
SUM(
N(VLOOKUP(D16&amp;F16,'Budgeted Projections Intl HC'!D:T,2,FALSE)),
N(VLOOKUP(D16&amp;F16,'Budgeted Projections Intl HC'!D:T,3,FALSE))
)
),"")</f>
        <v/>
      </c>
      <c r="I16" s="73" t="str">
        <f>IFERROR(1/(1/COUNTIFS(
'YearA-AppDetails Current Date'!A:A,D16,
'YearA-AppDetails Current Date'!F:F,E16,
'YearA-AppDetails Current Date'!E:E,--F16,
'YearA-AppDetails Current Date'!I:I,"SUMMER")), "")</f>
        <v/>
      </c>
      <c r="J16" s="74" t="str" cm="1">
        <f t="array" ref="J16">IFERROR(1/(1/SUM(COUNTIFS(
'YearA-AppDetails Current Date'!A:A,D16,
'YearA-AppDetails Current Date'!F:F,E16,
'YearA-AppDetails Current Date'!E:E,--F16,
'YearA-AppDetails Current Date'!O:O,{"ACLN","ACPT","COND"},
'YearA-AppDetails Current Date'!S:S,"&lt;&gt;ACLN",
'YearA-AppDetails Current Date'!S:S,"&lt;&gt;ACPT",
'YearA-AppDetails Current Date'!S:S,"&lt;&gt;COND",
'YearA-AppDetails Current Date'!I:I,"SUMMER"))), "")</f>
        <v/>
      </c>
      <c r="K16" s="73" t="str">
        <f>IFERROR(1/(1/SUM(COUNTIFS(
'YearA-AppDetails Current Date'!A:A,D16,
'YearA-AppDetails Current Date'!F:F,E16,
'YearA-AppDetails Current Date'!E:E,--F16,
'YearA-AppDetails Current Date'!R:R,"&lt;&gt;"&amp;"",
'YearA-AppDetails Current Date'!I:I,"SUMMER"))), "")</f>
        <v/>
      </c>
      <c r="L16" s="74" t="str" cm="1">
        <f t="array" ref="L16">IFERROR(1/(1/SUM(COUNTIFS(
'YearA-AppDetails Current Date'!A:A,D16,
'YearA-AppDetails Current Date'!F:F,E16,
'YearA-AppDetails Current Date'!E:E,--F16,
'YearA-AppDetails Current Date'!T:T,{"APEX","DENY","NTSL"},
'YearA-AppDetails Current Date'!I:I,"SUMMER"))), "")</f>
        <v/>
      </c>
      <c r="M16" s="74" t="str" cm="1">
        <f t="array" ref="M16">IFERROR(1/(1/SUM(COUNTIFS(
'YearA-AppDetails Current Date'!A:A,D16,
'YearA-AppDetails Current Date'!F:F,E16,
'YearA-AppDetails Current Date'!E:E,--F16,
'YearA-AppDetails Current Date'!U:U,{"CCAN","DECL"},
'YearA-AppDetails Current Date'!I:I,"SUMMER"))), "")</f>
        <v/>
      </c>
      <c r="N16" s="74" t="str" cm="1">
        <f t="array" ref="N16">IFERROR(1/(1/SUM(COUNTIFS(
'YearA-AppDetails Current Date'!A:A,D16,
'YearA-AppDetails Current Date'!F:F,E16,
'YearA-AppDetails Current Date'!E:E,--F16,
'YearA-AppDetails Current Date'!V:V,{"APRO","NODE"},
'YearA-AppDetails Current Date'!I:I,"SUMMER"))), "")</f>
        <v/>
      </c>
      <c r="O16" s="74" t="str" cm="1">
        <f t="array" ref="O16">IFERROR(1/(1/SUM(COUNTIFS(
'YearA-AppDetails Current Date'!A:A,D16,
'YearA-AppDetails Current Date'!F:F,E16,
'YearA-AppDetails Current Date'!E:E,--F16,
'YearA-AppDetails Current Date'!T:T,{"CDMT","RQMT","WAIT"},
'YearA-AppDetails Current Date'!I:I,"SUMMER"))), "")</f>
        <v/>
      </c>
      <c r="P16" s="74" t="str">
        <f>IFERROR(1/(1/COUNTIFS(
'YearA-AppDetails Current Date'!A:A,D16,
'YearA-AppDetails Current Date'!F:F,E16,
'YearA-AppDetails Current Date'!E:E,--F16,
'YearA-AppDetails Current Date'!Y:Y,"ENRO",
'YearA-AppDetails Current Date'!I:I,"SUMMER")), "")</f>
        <v/>
      </c>
      <c r="Q16" s="3" t="str">
        <f t="shared" si="0"/>
        <v/>
      </c>
    </row>
    <row r="17" spans="1:17" ht="15.75" customHeight="1" x14ac:dyDescent="0.25">
      <c r="A17" s="16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60"/>
      <c r="B18" s="121" t="s">
        <v>271</v>
      </c>
      <c r="C18" s="124" t="s">
        <v>245</v>
      </c>
      <c r="D18" s="23" t="s">
        <v>246</v>
      </c>
      <c r="E18" s="2" t="s">
        <v>42</v>
      </c>
      <c r="F18" s="42">
        <v>1</v>
      </c>
      <c r="G18" s="139"/>
      <c r="H18" s="73" t="str">
        <f>IFERROR(1/(1/
SUM(
N(VLOOKUP(D18&amp;F18,'Budgeted Projections Dom HC'!D:T,2,FALSE)),
N(VLOOKUP(D18&amp;F18,'Budgeted Projections Dom HC'!D:T,3,FALSE))
)
),"")</f>
        <v/>
      </c>
      <c r="I18" s="73" t="str">
        <f>IFERROR(1/(1/COUNTIFS(
'YearA-AppDetails Current Date'!A:A,D18,
'YearA-AppDetails Current Date'!F:F,E18,
'YearA-AppDetails Current Date'!E:E,--F18,
'YearA-AppDetails Current Date'!I:I,"SUMMER")), "")</f>
        <v/>
      </c>
      <c r="J18" s="74" t="str" cm="1">
        <f t="array" ref="J18">IFERROR(1/(1/SUM(COUNTIFS(
'YearA-AppDetails Current Date'!A:A,D18,
'YearA-AppDetails Current Date'!F:F,E18,
'YearA-AppDetails Current Date'!E:E,--F18,
'YearA-AppDetails Current Date'!O:O,{"ACLN","ACPT","COND"},
'YearA-AppDetails Current Date'!S:S,"&lt;&gt;ACLN",
'YearA-AppDetails Current Date'!S:S,"&lt;&gt;ACPT",
'YearA-AppDetails Current Date'!S:S,"&lt;&gt;COND",
'YearA-AppDetails Current Date'!I:I,"SUMMER"))), "")</f>
        <v/>
      </c>
      <c r="K18" s="73" t="str">
        <f>IFERROR(1/(1/SUM(COUNTIFS(
'YearA-AppDetails Current Date'!A:A,D18,
'YearA-AppDetails Current Date'!F:F,E18,
'YearA-AppDetails Current Date'!E:E,--F18,
'YearA-AppDetails Current Date'!R:R,"&lt;&gt;"&amp;"",
'YearA-AppDetails Current Date'!I:I,"SUMMER"))), "")</f>
        <v/>
      </c>
      <c r="L18" s="74" t="str" cm="1">
        <f t="array" ref="L18">IFERROR(1/(1/SUM(COUNTIFS(
'YearA-AppDetails Current Date'!A:A,D18,
'YearA-AppDetails Current Date'!F:F,E18,
'YearA-AppDetails Current Date'!E:E,--F18,
'YearA-AppDetails Current Date'!T:T,{"APEX","DENY","NTSL"},
'YearA-AppDetails Current Date'!I:I,"SUMMER"))), "")</f>
        <v/>
      </c>
      <c r="M18" s="74" t="str" cm="1">
        <f t="array" ref="M18">IFERROR(1/(1/SUM(COUNTIFS(
'YearA-AppDetails Current Date'!A:A,D18,
'YearA-AppDetails Current Date'!F:F,E18,
'YearA-AppDetails Current Date'!E:E,--F18,
'YearA-AppDetails Current Date'!U:U,{"CCAN","DECL"},
'YearA-AppDetails Current Date'!I:I,"SUMMER"))), "")</f>
        <v/>
      </c>
      <c r="N18" s="74" t="str" cm="1">
        <f t="array" ref="N18">IFERROR(1/(1/SUM(COUNTIFS(
'YearA-AppDetails Current Date'!A:A,D18,
'YearA-AppDetails Current Date'!F:F,E18,
'YearA-AppDetails Current Date'!E:E,--F18,
'YearA-AppDetails Current Date'!V:V,{"APRO","NODE"},
'YearA-AppDetails Current Date'!I:I,"SUMMER"))), "")</f>
        <v/>
      </c>
      <c r="O18" s="74" t="str" cm="1">
        <f t="array" ref="O18">IFERROR(1/(1/SUM(COUNTIFS(
'YearA-AppDetails Current Date'!A:A,D18,
'YearA-AppDetails Current Date'!F:F,E18,
'YearA-AppDetails Current Date'!E:E,--F18,
'YearA-AppDetails Current Date'!T:T,{"CDMT","RQMT","WAIT"},
'YearA-AppDetails Current Date'!I:I,"SUMMER"))), "")</f>
        <v/>
      </c>
      <c r="P18" s="74" t="str">
        <f>IFERROR(1/(1/COUNTIFS(
'YearA-AppDetails Current Date'!A:A,D18,
'YearA-AppDetails Current Date'!F:F,E18,
'YearA-AppDetails Current Date'!E:E,--F18,
'YearA-AppDetails Current Date'!Y:Y,"ENRO",
'YearA-AppDetails Current Date'!I:I,"SUMMER")), "")</f>
        <v/>
      </c>
      <c r="Q18" s="3" t="str">
        <f t="shared" si="0"/>
        <v/>
      </c>
    </row>
    <row r="19" spans="1:17" ht="15.75" customHeight="1" x14ac:dyDescent="0.25">
      <c r="A19" s="160"/>
      <c r="B19" s="122"/>
      <c r="C19" s="125"/>
      <c r="D19" s="23" t="s">
        <v>246</v>
      </c>
      <c r="E19" s="2" t="s">
        <v>43</v>
      </c>
      <c r="F19" s="31">
        <v>1</v>
      </c>
      <c r="G19" s="140"/>
      <c r="H19" s="73" t="str">
        <f>IFERROR(1/(1/
SUM(
N(VLOOKUP(D19&amp;F19,'Budgeted Projections Intl HC'!D:T,2,FALSE)),
N(VLOOKUP(D19&amp;F19,'Budgeted Projections Intl HC'!D:T,3,FALSE))
)
),"")</f>
        <v/>
      </c>
      <c r="I19" s="73" t="str">
        <f>IFERROR(1/(1/COUNTIFS(
'YearA-AppDetails Current Date'!A:A,D19,
'YearA-AppDetails Current Date'!F:F,E19,
'YearA-AppDetails Current Date'!E:E,--F19,
'YearA-AppDetails Current Date'!I:I,"SUMMER")), "")</f>
        <v/>
      </c>
      <c r="J19" s="74" t="str" cm="1">
        <f t="array" ref="J19">IFERROR(1/(1/SUM(COUNTIFS(
'YearA-AppDetails Current Date'!A:A,D19,
'YearA-AppDetails Current Date'!F:F,E19,
'YearA-AppDetails Current Date'!E:E,--F19,
'YearA-AppDetails Current Date'!O:O,{"ACLN","ACPT","COND"},
'YearA-AppDetails Current Date'!S:S,"&lt;&gt;ACLN",
'YearA-AppDetails Current Date'!S:S,"&lt;&gt;ACPT",
'YearA-AppDetails Current Date'!S:S,"&lt;&gt;COND",
'YearA-AppDetails Current Date'!I:I,"SUMMER"))), "")</f>
        <v/>
      </c>
      <c r="K19" s="73" t="str">
        <f>IFERROR(1/(1/SUM(COUNTIFS(
'YearA-AppDetails Current Date'!A:A,D19,
'YearA-AppDetails Current Date'!F:F,E19,
'YearA-AppDetails Current Date'!E:E,--F19,
'YearA-AppDetails Current Date'!R:R,"&lt;&gt;"&amp;"",
'YearA-AppDetails Current Date'!I:I,"SUMMER"))), "")</f>
        <v/>
      </c>
      <c r="L19" s="74" t="str" cm="1">
        <f t="array" ref="L19">IFERROR(1/(1/SUM(COUNTIFS(
'YearA-AppDetails Current Date'!A:A,D19,
'YearA-AppDetails Current Date'!F:F,E19,
'YearA-AppDetails Current Date'!E:E,--F19,
'YearA-AppDetails Current Date'!T:T,{"APEX","DENY","NTSL"},
'YearA-AppDetails Current Date'!I:I,"SUMMER"))), "")</f>
        <v/>
      </c>
      <c r="M19" s="74" t="str" cm="1">
        <f t="array" ref="M19">IFERROR(1/(1/SUM(COUNTIFS(
'YearA-AppDetails Current Date'!A:A,D19,
'YearA-AppDetails Current Date'!F:F,E19,
'YearA-AppDetails Current Date'!E:E,--F19,
'YearA-AppDetails Current Date'!U:U,{"CCAN","DECL"},
'YearA-AppDetails Current Date'!I:I,"SUMMER"))), "")</f>
        <v/>
      </c>
      <c r="N19" s="74" t="str" cm="1">
        <f t="array" ref="N19">IFERROR(1/(1/SUM(COUNTIFS(
'YearA-AppDetails Current Date'!A:A,D19,
'YearA-AppDetails Current Date'!F:F,E19,
'YearA-AppDetails Current Date'!E:E,--F19,
'YearA-AppDetails Current Date'!V:V,{"APRO","NODE"},
'YearA-AppDetails Current Date'!I:I,"SUMMER"))), "")</f>
        <v/>
      </c>
      <c r="O19" s="74" t="str" cm="1">
        <f t="array" ref="O19">IFERROR(1/(1/SUM(COUNTIFS(
'YearA-AppDetails Current Date'!A:A,D19,
'YearA-AppDetails Current Date'!F:F,E19,
'YearA-AppDetails Current Date'!E:E,--F19,
'YearA-AppDetails Current Date'!T:T,{"CDMT","RQMT","WAIT"},
'YearA-AppDetails Current Date'!I:I,"SUMMER"))), "")</f>
        <v/>
      </c>
      <c r="P19" s="74" t="str">
        <f>IFERROR(1/(1/COUNTIFS(
'YearA-AppDetails Current Date'!A:A,D19,
'YearA-AppDetails Current Date'!F:F,E19,
'YearA-AppDetails Current Date'!E:E,--F19,
'YearA-AppDetails Current Date'!Y:Y,"ENRO",
'YearA-AppDetails Current Date'!I:I,"SUMMER")), "")</f>
        <v/>
      </c>
      <c r="Q19" s="3" t="str">
        <f t="shared" si="0"/>
        <v/>
      </c>
    </row>
    <row r="20" spans="1:17" ht="15.75" customHeight="1" x14ac:dyDescent="0.25">
      <c r="A20" s="160"/>
      <c r="B20" s="122"/>
      <c r="C20" s="124" t="s">
        <v>162</v>
      </c>
      <c r="D20" s="23" t="s">
        <v>51</v>
      </c>
      <c r="E20" s="2" t="s">
        <v>42</v>
      </c>
      <c r="F20" s="42">
        <v>1</v>
      </c>
      <c r="G20" s="139">
        <v>12</v>
      </c>
      <c r="H20" s="73" t="str">
        <f>IFERROR(1/(1/
SUM(
N(VLOOKUP(D20&amp;F20,'Budgeted Projections Dom HC'!D:T,2,FALSE)),
N(VLOOKUP(D20&amp;F20,'Budgeted Projections Dom HC'!D:T,3,FALSE))
)
),"")</f>
        <v/>
      </c>
      <c r="I20" s="73" t="str">
        <f>IFERROR(1/(1/COUNTIFS(
'YearA-AppDetails Current Date'!A:A,D20,
'YearA-AppDetails Current Date'!F:F,E20,
'YearA-AppDetails Current Date'!E:E,--F20,
'YearA-AppDetails Current Date'!I:I,"SUMMER")), "")</f>
        <v/>
      </c>
      <c r="J20" s="74" t="str" cm="1">
        <f t="array" ref="J20">IFERROR(1/(1/SUM(COUNTIFS(
'YearA-AppDetails Current Date'!A:A,D20,
'YearA-AppDetails Current Date'!F:F,E20,
'YearA-AppDetails Current Date'!E:E,--F20,
'YearA-AppDetails Current Date'!O:O,{"ACLN","ACPT","COND"},
'YearA-AppDetails Current Date'!S:S,"&lt;&gt;ACLN",
'YearA-AppDetails Current Date'!S:S,"&lt;&gt;ACPT",
'YearA-AppDetails Current Date'!S:S,"&lt;&gt;COND",
'YearA-AppDetails Current Date'!I:I,"SUMMER"))), "")</f>
        <v/>
      </c>
      <c r="K20" s="73" t="str">
        <f>IFERROR(1/(1/SUM(COUNTIFS(
'YearA-AppDetails Current Date'!A:A,D20,
'YearA-AppDetails Current Date'!F:F,E20,
'YearA-AppDetails Current Date'!E:E,--F20,
'YearA-AppDetails Current Date'!R:R,"&lt;&gt;"&amp;"",
'YearA-AppDetails Current Date'!I:I,"SUMMER"))), "")</f>
        <v/>
      </c>
      <c r="L20" s="74" t="str" cm="1">
        <f t="array" ref="L20">IFERROR(1/(1/SUM(COUNTIFS(
'YearA-AppDetails Current Date'!A:A,D20,
'YearA-AppDetails Current Date'!F:F,E20,
'YearA-AppDetails Current Date'!E:E,--F20,
'YearA-AppDetails Current Date'!T:T,{"APEX","DENY","NTSL"},
'YearA-AppDetails Current Date'!I:I,"SUMMER"))), "")</f>
        <v/>
      </c>
      <c r="M20" s="74" t="str" cm="1">
        <f t="array" ref="M20">IFERROR(1/(1/SUM(COUNTIFS(
'YearA-AppDetails Current Date'!A:A,D20,
'YearA-AppDetails Current Date'!F:F,E20,
'YearA-AppDetails Current Date'!E:E,--F20,
'YearA-AppDetails Current Date'!U:U,{"CCAN","DECL"},
'YearA-AppDetails Current Date'!I:I,"SUMMER"))), "")</f>
        <v/>
      </c>
      <c r="N20" s="74" t="str" cm="1">
        <f t="array" ref="N20">IFERROR(1/(1/SUM(COUNTIFS(
'YearA-AppDetails Current Date'!A:A,D20,
'YearA-AppDetails Current Date'!F:F,E20,
'YearA-AppDetails Current Date'!E:E,--F20,
'YearA-AppDetails Current Date'!V:V,{"APRO","NODE"},
'YearA-AppDetails Current Date'!I:I,"SUMMER"))), "")</f>
        <v/>
      </c>
      <c r="O20" s="74" t="str" cm="1">
        <f t="array" ref="O20">IFERROR(1/(1/SUM(COUNTIFS(
'YearA-AppDetails Current Date'!A:A,D20,
'YearA-AppDetails Current Date'!F:F,E20,
'YearA-AppDetails Current Date'!E:E,--F20,
'YearA-AppDetails Current Date'!T:T,{"CDMT","RQMT","WAIT"},
'YearA-AppDetails Current Date'!I:I,"SUMMER"))), "")</f>
        <v/>
      </c>
      <c r="P20" s="74" t="str">
        <f>IFERROR(1/(1/COUNTIFS(
'YearA-AppDetails Current Date'!A:A,D20,
'YearA-AppDetails Current Date'!F:F,E20,
'YearA-AppDetails Current Date'!E:E,--F20,
'YearA-AppDetails Current Date'!Y:Y,"ENRO",
'YearA-AppDetails Current Date'!I:I,"SUMMER")), "")</f>
        <v/>
      </c>
      <c r="Q20" s="3" t="str">
        <f t="shared" si="0"/>
        <v/>
      </c>
    </row>
    <row r="21" spans="1:17" ht="15.75" customHeight="1" x14ac:dyDescent="0.25">
      <c r="A21" s="160"/>
      <c r="B21" s="122"/>
      <c r="C21" s="125"/>
      <c r="D21" s="23" t="s">
        <v>51</v>
      </c>
      <c r="E21" s="2" t="s">
        <v>43</v>
      </c>
      <c r="F21" s="31">
        <v>1</v>
      </c>
      <c r="G21" s="140"/>
      <c r="H21" s="73" t="str">
        <f>IFERROR(1/(1/
SUM(
N(VLOOKUP(D21&amp;F21,'Budgeted Projections Intl HC'!D:T,2,FALSE)),
N(VLOOKUP(D21&amp;F21,'Budgeted Projections Intl HC'!D:T,3,FALSE))
)
),"")</f>
        <v/>
      </c>
      <c r="I21" s="73" t="str">
        <f>IFERROR(1/(1/COUNTIFS(
'YearA-AppDetails Current Date'!A:A,D21,
'YearA-AppDetails Current Date'!F:F,E21,
'YearA-AppDetails Current Date'!E:E,--F21,
'YearA-AppDetails Current Date'!I:I,"SUMMER")), "")</f>
        <v/>
      </c>
      <c r="J21" s="74" t="str" cm="1">
        <f t="array" ref="J21">IFERROR(1/(1/SUM(COUNTIFS(
'YearA-AppDetails Current Date'!A:A,D21,
'YearA-AppDetails Current Date'!F:F,E21,
'YearA-AppDetails Current Date'!E:E,--F21,
'YearA-AppDetails Current Date'!O:O,{"ACLN","ACPT","COND"},
'YearA-AppDetails Current Date'!S:S,"&lt;&gt;ACLN",
'YearA-AppDetails Current Date'!S:S,"&lt;&gt;ACPT",
'YearA-AppDetails Current Date'!S:S,"&lt;&gt;COND",
'YearA-AppDetails Current Date'!I:I,"SUMMER"))), "")</f>
        <v/>
      </c>
      <c r="K21" s="73" t="str">
        <f>IFERROR(1/(1/SUM(COUNTIFS(
'YearA-AppDetails Current Date'!A:A,D21,
'YearA-AppDetails Current Date'!F:F,E21,
'YearA-AppDetails Current Date'!E:E,--F21,
'YearA-AppDetails Current Date'!R:R,"&lt;&gt;"&amp;"",
'YearA-AppDetails Current Date'!I:I,"SUMMER"))), "")</f>
        <v/>
      </c>
      <c r="L21" s="74" t="str" cm="1">
        <f t="array" ref="L21">IFERROR(1/(1/SUM(COUNTIFS(
'YearA-AppDetails Current Date'!A:A,D21,
'YearA-AppDetails Current Date'!F:F,E21,
'YearA-AppDetails Current Date'!E:E,--F21,
'YearA-AppDetails Current Date'!T:T,{"APEX","DENY","NTSL"},
'YearA-AppDetails Current Date'!I:I,"SUMMER"))), "")</f>
        <v/>
      </c>
      <c r="M21" s="74" t="str" cm="1">
        <f t="array" ref="M21">IFERROR(1/(1/SUM(COUNTIFS(
'YearA-AppDetails Current Date'!A:A,D21,
'YearA-AppDetails Current Date'!F:F,E21,
'YearA-AppDetails Current Date'!E:E,--F21,
'YearA-AppDetails Current Date'!U:U,{"CCAN","DECL"},
'YearA-AppDetails Current Date'!I:I,"SUMMER"))), "")</f>
        <v/>
      </c>
      <c r="N21" s="74" t="str" cm="1">
        <f t="array" ref="N21">IFERROR(1/(1/SUM(COUNTIFS(
'YearA-AppDetails Current Date'!A:A,D21,
'YearA-AppDetails Current Date'!F:F,E21,
'YearA-AppDetails Current Date'!E:E,--F21,
'YearA-AppDetails Current Date'!V:V,{"APRO","NODE"},
'YearA-AppDetails Current Date'!I:I,"SUMMER"))), "")</f>
        <v/>
      </c>
      <c r="O21" s="74" t="str" cm="1">
        <f t="array" ref="O21">IFERROR(1/(1/SUM(COUNTIFS(
'YearA-AppDetails Current Date'!A:A,D21,
'YearA-AppDetails Current Date'!F:F,E21,
'YearA-AppDetails Current Date'!E:E,--F21,
'YearA-AppDetails Current Date'!T:T,{"CDMT","RQMT","WAIT"},
'YearA-AppDetails Current Date'!I:I,"SUMMER"))), "")</f>
        <v/>
      </c>
      <c r="P21" s="74" t="str">
        <f>IFERROR(1/(1/COUNTIFS(
'YearA-AppDetails Current Date'!A:A,D21,
'YearA-AppDetails Current Date'!F:F,E21,
'YearA-AppDetails Current Date'!E:E,--F21,
'YearA-AppDetails Current Date'!Y:Y,"ENRO",
'YearA-AppDetails Current Date'!I:I,"SUMMER")), "")</f>
        <v/>
      </c>
      <c r="Q21" s="3" t="str">
        <f t="shared" si="0"/>
        <v/>
      </c>
    </row>
    <row r="22" spans="1:17" ht="15.75" customHeight="1" x14ac:dyDescent="0.25">
      <c r="A22" s="160"/>
      <c r="B22" s="122"/>
      <c r="C22" s="124" t="s">
        <v>165</v>
      </c>
      <c r="D22" s="23" t="s">
        <v>52</v>
      </c>
      <c r="E22" s="2" t="s">
        <v>42</v>
      </c>
      <c r="F22" s="42">
        <v>1</v>
      </c>
      <c r="G22" s="139">
        <v>12</v>
      </c>
      <c r="H22" s="73" t="str">
        <f>IFERROR(1/(1/
SUM(
N(VLOOKUP(D22&amp;F22,'Budgeted Projections Dom HC'!D:T,2,FALSE)),
N(VLOOKUP(D22&amp;F22,'Budgeted Projections Dom HC'!D:T,3,FALSE))
)
),"")</f>
        <v/>
      </c>
      <c r="I22" s="73" t="str">
        <f>IFERROR(1/(1/COUNTIFS(
'YearA-AppDetails Current Date'!A:A,D22,
'YearA-AppDetails Current Date'!F:F,E22,
'YearA-AppDetails Current Date'!E:E,--F22,
'YearA-AppDetails Current Date'!I:I,"SUMMER")), "")</f>
        <v/>
      </c>
      <c r="J22" s="74" t="str" cm="1">
        <f t="array" ref="J22">IFERROR(1/(1/SUM(COUNTIFS(
'YearA-AppDetails Current Date'!A:A,D22,
'YearA-AppDetails Current Date'!F:F,E22,
'YearA-AppDetails Current Date'!E:E,--F22,
'YearA-AppDetails Current Date'!O:O,{"ACLN","ACPT","COND"},
'YearA-AppDetails Current Date'!S:S,"&lt;&gt;ACLN",
'YearA-AppDetails Current Date'!S:S,"&lt;&gt;ACPT",
'YearA-AppDetails Current Date'!S:S,"&lt;&gt;COND",
'YearA-AppDetails Current Date'!I:I,"SUMMER"))), "")</f>
        <v/>
      </c>
      <c r="K22" s="73" t="str">
        <f>IFERROR(1/(1/SUM(COUNTIFS(
'YearA-AppDetails Current Date'!A:A,D22,
'YearA-AppDetails Current Date'!F:F,E22,
'YearA-AppDetails Current Date'!E:E,--F22,
'YearA-AppDetails Current Date'!R:R,"&lt;&gt;"&amp;"",
'YearA-AppDetails Current Date'!I:I,"SUMMER"))), "")</f>
        <v/>
      </c>
      <c r="L22" s="74" t="str" cm="1">
        <f t="array" ref="L22">IFERROR(1/(1/SUM(COUNTIFS(
'YearA-AppDetails Current Date'!A:A,D22,
'YearA-AppDetails Current Date'!F:F,E22,
'YearA-AppDetails Current Date'!E:E,--F22,
'YearA-AppDetails Current Date'!T:T,{"APEX","DENY","NTSL"},
'YearA-AppDetails Current Date'!I:I,"SUMMER"))), "")</f>
        <v/>
      </c>
      <c r="M22" s="74" t="str" cm="1">
        <f t="array" ref="M22">IFERROR(1/(1/SUM(COUNTIFS(
'YearA-AppDetails Current Date'!A:A,D22,
'YearA-AppDetails Current Date'!F:F,E22,
'YearA-AppDetails Current Date'!E:E,--F22,
'YearA-AppDetails Current Date'!U:U,{"CCAN","DECL"},
'YearA-AppDetails Current Date'!I:I,"SUMMER"))), "")</f>
        <v/>
      </c>
      <c r="N22" s="74" t="str" cm="1">
        <f t="array" ref="N22">IFERROR(1/(1/SUM(COUNTIFS(
'YearA-AppDetails Current Date'!A:A,D22,
'YearA-AppDetails Current Date'!F:F,E22,
'YearA-AppDetails Current Date'!E:E,--F22,
'YearA-AppDetails Current Date'!V:V,{"APRO","NODE"},
'YearA-AppDetails Current Date'!I:I,"SUMMER"))), "")</f>
        <v/>
      </c>
      <c r="O22" s="74" t="str" cm="1">
        <f t="array" ref="O22">IFERROR(1/(1/SUM(COUNTIFS(
'YearA-AppDetails Current Date'!A:A,D22,
'YearA-AppDetails Current Date'!F:F,E22,
'YearA-AppDetails Current Date'!E:E,--F22,
'YearA-AppDetails Current Date'!T:T,{"CDMT","RQMT","WAIT"},
'YearA-AppDetails Current Date'!I:I,"SUMMER"))), "")</f>
        <v/>
      </c>
      <c r="P22" s="74" t="str">
        <f>IFERROR(1/(1/COUNTIFS(
'YearA-AppDetails Current Date'!A:A,D22,
'YearA-AppDetails Current Date'!F:F,E22,
'YearA-AppDetails Current Date'!E:E,--F22,
'YearA-AppDetails Current Date'!Y:Y,"ENRO",
'YearA-AppDetails Current Date'!I:I,"SUMMER")), "")</f>
        <v/>
      </c>
      <c r="Q22" s="3" t="str">
        <f t="shared" si="0"/>
        <v/>
      </c>
    </row>
    <row r="23" spans="1:17" ht="15.75" customHeight="1" x14ac:dyDescent="0.25">
      <c r="A23" s="160"/>
      <c r="B23" s="122"/>
      <c r="C23" s="125"/>
      <c r="D23" s="23" t="s">
        <v>52</v>
      </c>
      <c r="E23" s="2" t="s">
        <v>43</v>
      </c>
      <c r="F23" s="31">
        <v>1</v>
      </c>
      <c r="G23" s="140"/>
      <c r="H23" s="73" t="str">
        <f>IFERROR(1/(1/
SUM(
N(VLOOKUP(D23&amp;F23,'Budgeted Projections Intl HC'!D:T,2,FALSE)),
N(VLOOKUP(D23&amp;F23,'Budgeted Projections Intl HC'!D:T,3,FALSE))
)
),"")</f>
        <v/>
      </c>
      <c r="I23" s="73" t="str">
        <f>IFERROR(1/(1/COUNTIFS(
'YearA-AppDetails Current Date'!A:A,D23,
'YearA-AppDetails Current Date'!F:F,E23,
'YearA-AppDetails Current Date'!E:E,--F23,
'YearA-AppDetails Current Date'!I:I,"SUMMER")), "")</f>
        <v/>
      </c>
      <c r="J23" s="74" t="str" cm="1">
        <f t="array" ref="J23">IFERROR(1/(1/SUM(COUNTIFS(
'YearA-AppDetails Current Date'!A:A,D23,
'YearA-AppDetails Current Date'!F:F,E23,
'YearA-AppDetails Current Date'!E:E,--F23,
'YearA-AppDetails Current Date'!O:O,{"ACLN","ACPT","COND"},
'YearA-AppDetails Current Date'!S:S,"&lt;&gt;ACLN",
'YearA-AppDetails Current Date'!S:S,"&lt;&gt;ACPT",
'YearA-AppDetails Current Date'!S:S,"&lt;&gt;COND",
'YearA-AppDetails Current Date'!I:I,"SUMMER"))), "")</f>
        <v/>
      </c>
      <c r="K23" s="73" t="str">
        <f>IFERROR(1/(1/SUM(COUNTIFS(
'YearA-AppDetails Current Date'!A:A,D23,
'YearA-AppDetails Current Date'!F:F,E23,
'YearA-AppDetails Current Date'!E:E,--F23,
'YearA-AppDetails Current Date'!R:R,"&lt;&gt;"&amp;"",
'YearA-AppDetails Current Date'!I:I,"SUMMER"))), "")</f>
        <v/>
      </c>
      <c r="L23" s="74" t="str" cm="1">
        <f t="array" ref="L23">IFERROR(1/(1/SUM(COUNTIFS(
'YearA-AppDetails Current Date'!A:A,D23,
'YearA-AppDetails Current Date'!F:F,E23,
'YearA-AppDetails Current Date'!E:E,--F23,
'YearA-AppDetails Current Date'!T:T,{"APEX","DENY","NTSL"},
'YearA-AppDetails Current Date'!I:I,"SUMMER"))), "")</f>
        <v/>
      </c>
      <c r="M23" s="74" t="str" cm="1">
        <f t="array" ref="M23">IFERROR(1/(1/SUM(COUNTIFS(
'YearA-AppDetails Current Date'!A:A,D23,
'YearA-AppDetails Current Date'!F:F,E23,
'YearA-AppDetails Current Date'!E:E,--F23,
'YearA-AppDetails Current Date'!U:U,{"CCAN","DECL"},
'YearA-AppDetails Current Date'!I:I,"SUMMER"))), "")</f>
        <v/>
      </c>
      <c r="N23" s="74" t="str" cm="1">
        <f t="array" ref="N23">IFERROR(1/(1/SUM(COUNTIFS(
'YearA-AppDetails Current Date'!A:A,D23,
'YearA-AppDetails Current Date'!F:F,E23,
'YearA-AppDetails Current Date'!E:E,--F23,
'YearA-AppDetails Current Date'!V:V,{"APRO","NODE"},
'YearA-AppDetails Current Date'!I:I,"SUMMER"))), "")</f>
        <v/>
      </c>
      <c r="O23" s="74" t="str" cm="1">
        <f t="array" ref="O23">IFERROR(1/(1/SUM(COUNTIFS(
'YearA-AppDetails Current Date'!A:A,D23,
'YearA-AppDetails Current Date'!F:F,E23,
'YearA-AppDetails Current Date'!E:E,--F23,
'YearA-AppDetails Current Date'!T:T,{"CDMT","RQMT","WAIT"},
'YearA-AppDetails Current Date'!I:I,"SUMMER"))), "")</f>
        <v/>
      </c>
      <c r="P23" s="74" t="str">
        <f>IFERROR(1/(1/COUNTIFS(
'YearA-AppDetails Current Date'!A:A,D23,
'YearA-AppDetails Current Date'!F:F,E23,
'YearA-AppDetails Current Date'!E:E,--F23,
'YearA-AppDetails Current Date'!Y:Y,"ENRO",
'YearA-AppDetails Current Date'!I:I,"SUMMER")), "")</f>
        <v/>
      </c>
      <c r="Q23" s="3" t="str">
        <f t="shared" si="0"/>
        <v/>
      </c>
    </row>
    <row r="24" spans="1:17" ht="15.75" customHeight="1" x14ac:dyDescent="0.25">
      <c r="A24" s="160"/>
      <c r="B24" s="122"/>
      <c r="C24" s="124" t="s">
        <v>272</v>
      </c>
      <c r="D24" s="23" t="s">
        <v>167</v>
      </c>
      <c r="E24" s="2" t="s">
        <v>42</v>
      </c>
      <c r="F24" s="42">
        <v>1</v>
      </c>
      <c r="G24" s="139"/>
      <c r="H24" s="73" t="str">
        <f>IFERROR(1/(1/
SUM(
N(VLOOKUP(D24&amp;F24,'Budgeted Projections Dom HC'!D:T,2,FALSE)),
N(VLOOKUP(D24&amp;F24,'Budgeted Projections Dom HC'!D:T,3,FALSE))
)
),"")</f>
        <v/>
      </c>
      <c r="I24" s="73" t="str">
        <f>IFERROR(1/(1/COUNTIFS(
'YearA-AppDetails Current Date'!A:A,D24,
'YearA-AppDetails Current Date'!F:F,E24,
'YearA-AppDetails Current Date'!E:E,--F24,
'YearA-AppDetails Current Date'!I:I,"SUMMER")), "")</f>
        <v/>
      </c>
      <c r="J24" s="74" t="str" cm="1">
        <f t="array" ref="J24">IFERROR(1/(1/SUM(COUNTIFS(
'YearA-AppDetails Current Date'!A:A,D24,
'YearA-AppDetails Current Date'!F:F,E24,
'YearA-AppDetails Current Date'!E:E,--F24,
'YearA-AppDetails Current Date'!O:O,{"ACLN","ACPT","COND"},
'YearA-AppDetails Current Date'!S:S,"&lt;&gt;ACLN",
'YearA-AppDetails Current Date'!S:S,"&lt;&gt;ACPT",
'YearA-AppDetails Current Date'!S:S,"&lt;&gt;COND",
'YearA-AppDetails Current Date'!I:I,"SUMMER"))), "")</f>
        <v/>
      </c>
      <c r="K24" s="73" t="str">
        <f>IFERROR(1/(1/SUM(COUNTIFS(
'YearA-AppDetails Current Date'!A:A,D24,
'YearA-AppDetails Current Date'!F:F,E24,
'YearA-AppDetails Current Date'!E:E,--F24,
'YearA-AppDetails Current Date'!R:R,"&lt;&gt;"&amp;"",
'YearA-AppDetails Current Date'!I:I,"SUMMER"))), "")</f>
        <v/>
      </c>
      <c r="L24" s="74" t="str" cm="1">
        <f t="array" ref="L24">IFERROR(1/(1/SUM(COUNTIFS(
'YearA-AppDetails Current Date'!A:A,D24,
'YearA-AppDetails Current Date'!F:F,E24,
'YearA-AppDetails Current Date'!E:E,--F24,
'YearA-AppDetails Current Date'!T:T,{"APEX","DENY","NTSL"},
'YearA-AppDetails Current Date'!I:I,"SUMMER"))), "")</f>
        <v/>
      </c>
      <c r="M24" s="74" t="str" cm="1">
        <f t="array" ref="M24">IFERROR(1/(1/SUM(COUNTIFS(
'YearA-AppDetails Current Date'!A:A,D24,
'YearA-AppDetails Current Date'!F:F,E24,
'YearA-AppDetails Current Date'!E:E,--F24,
'YearA-AppDetails Current Date'!U:U,{"CCAN","DECL"},
'YearA-AppDetails Current Date'!I:I,"SUMMER"))), "")</f>
        <v/>
      </c>
      <c r="N24" s="74" t="str" cm="1">
        <f t="array" ref="N24">IFERROR(1/(1/SUM(COUNTIFS(
'YearA-AppDetails Current Date'!A:A,D24,
'YearA-AppDetails Current Date'!F:F,E24,
'YearA-AppDetails Current Date'!E:E,--F24,
'YearA-AppDetails Current Date'!V:V,{"APRO","NODE"},
'YearA-AppDetails Current Date'!I:I,"SUMMER"))), "")</f>
        <v/>
      </c>
      <c r="O24" s="74" t="str" cm="1">
        <f t="array" ref="O24">IFERROR(1/(1/SUM(COUNTIFS(
'YearA-AppDetails Current Date'!A:A,D24,
'YearA-AppDetails Current Date'!F:F,E24,
'YearA-AppDetails Current Date'!E:E,--F24,
'YearA-AppDetails Current Date'!T:T,{"CDMT","RQMT","WAIT"},
'YearA-AppDetails Current Date'!I:I,"SUMMER"))), "")</f>
        <v/>
      </c>
      <c r="P24" s="74" t="str">
        <f>IFERROR(1/(1/COUNTIFS(
'YearA-AppDetails Current Date'!A:A,D24,
'YearA-AppDetails Current Date'!F:F,E24,
'YearA-AppDetails Current Date'!E:E,--F24,
'YearA-AppDetails Current Date'!Y:Y,"ENRO",
'YearA-AppDetails Current Date'!I:I,"SUMMER")), "")</f>
        <v/>
      </c>
      <c r="Q24" s="3" t="str">
        <f t="shared" si="0"/>
        <v/>
      </c>
    </row>
    <row r="25" spans="1:17" ht="15.75" customHeight="1" x14ac:dyDescent="0.25">
      <c r="A25" s="160"/>
      <c r="B25" s="122"/>
      <c r="C25" s="125"/>
      <c r="D25" s="23" t="s">
        <v>167</v>
      </c>
      <c r="E25" s="2" t="s">
        <v>43</v>
      </c>
      <c r="F25" s="31">
        <v>1</v>
      </c>
      <c r="G25" s="140"/>
      <c r="H25" s="73" t="str">
        <f>IFERROR(1/(1/
SUM(
N(VLOOKUP(D25&amp;F25,'Budgeted Projections Intl HC'!D:T,2,FALSE)),
N(VLOOKUP(D25&amp;F25,'Budgeted Projections Intl HC'!D:T,3,FALSE))
)
),"")</f>
        <v/>
      </c>
      <c r="I25" s="73" t="str">
        <f>IFERROR(1/(1/COUNTIFS(
'YearA-AppDetails Current Date'!A:A,D25,
'YearA-AppDetails Current Date'!F:F,E25,
'YearA-AppDetails Current Date'!E:E,--F25,
'YearA-AppDetails Current Date'!I:I,"SUMMER")), "")</f>
        <v/>
      </c>
      <c r="J25" s="74" t="str" cm="1">
        <f t="array" ref="J25">IFERROR(1/(1/SUM(COUNTIFS(
'YearA-AppDetails Current Date'!A:A,D25,
'YearA-AppDetails Current Date'!F:F,E25,
'YearA-AppDetails Current Date'!E:E,--F25,
'YearA-AppDetails Current Date'!O:O,{"ACLN","ACPT","COND"},
'YearA-AppDetails Current Date'!S:S,"&lt;&gt;ACLN",
'YearA-AppDetails Current Date'!S:S,"&lt;&gt;ACPT",
'YearA-AppDetails Current Date'!S:S,"&lt;&gt;COND",
'YearA-AppDetails Current Date'!I:I,"SUMMER"))), "")</f>
        <v/>
      </c>
      <c r="K25" s="73" t="str">
        <f>IFERROR(1/(1/SUM(COUNTIFS(
'YearA-AppDetails Current Date'!A:A,D25,
'YearA-AppDetails Current Date'!F:F,E25,
'YearA-AppDetails Current Date'!E:E,--F25,
'YearA-AppDetails Current Date'!R:R,"&lt;&gt;"&amp;"",
'YearA-AppDetails Current Date'!I:I,"SUMMER"))), "")</f>
        <v/>
      </c>
      <c r="L25" s="74" t="str" cm="1">
        <f t="array" ref="L25">IFERROR(1/(1/SUM(COUNTIFS(
'YearA-AppDetails Current Date'!A:A,D25,
'YearA-AppDetails Current Date'!F:F,E25,
'YearA-AppDetails Current Date'!E:E,--F25,
'YearA-AppDetails Current Date'!T:T,{"APEX","DENY","NTSL"},
'YearA-AppDetails Current Date'!I:I,"SUMMER"))), "")</f>
        <v/>
      </c>
      <c r="M25" s="74" t="str" cm="1">
        <f t="array" ref="M25">IFERROR(1/(1/SUM(COUNTIFS(
'YearA-AppDetails Current Date'!A:A,D25,
'YearA-AppDetails Current Date'!F:F,E25,
'YearA-AppDetails Current Date'!E:E,--F25,
'YearA-AppDetails Current Date'!U:U,{"CCAN","DECL"},
'YearA-AppDetails Current Date'!I:I,"SUMMER"))), "")</f>
        <v/>
      </c>
      <c r="N25" s="74" t="str" cm="1">
        <f t="array" ref="N25">IFERROR(1/(1/SUM(COUNTIFS(
'YearA-AppDetails Current Date'!A:A,D25,
'YearA-AppDetails Current Date'!F:F,E25,
'YearA-AppDetails Current Date'!E:E,--F25,
'YearA-AppDetails Current Date'!V:V,{"APRO","NODE"},
'YearA-AppDetails Current Date'!I:I,"SUMMER"))), "")</f>
        <v/>
      </c>
      <c r="O25" s="74" t="str" cm="1">
        <f t="array" ref="O25">IFERROR(1/(1/SUM(COUNTIFS(
'YearA-AppDetails Current Date'!A:A,D25,
'YearA-AppDetails Current Date'!F:F,E25,
'YearA-AppDetails Current Date'!E:E,--F25,
'YearA-AppDetails Current Date'!T:T,{"CDMT","RQMT","WAIT"},
'YearA-AppDetails Current Date'!I:I,"SUMMER"))), "")</f>
        <v/>
      </c>
      <c r="P25" s="74" t="str">
        <f>IFERROR(1/(1/COUNTIFS(
'YearA-AppDetails Current Date'!A:A,D25,
'YearA-AppDetails Current Date'!F:F,E25,
'YearA-AppDetails Current Date'!E:E,--F25,
'YearA-AppDetails Current Date'!Y:Y,"ENRO",
'YearA-AppDetails Current Date'!I:I,"SUMMER")), "")</f>
        <v/>
      </c>
      <c r="Q25" s="3" t="str">
        <f t="shared" si="0"/>
        <v/>
      </c>
    </row>
    <row r="26" spans="1:17" ht="15.75" customHeight="1" x14ac:dyDescent="0.25">
      <c r="A26" s="160"/>
      <c r="B26" s="122"/>
      <c r="C26" s="124" t="s">
        <v>163</v>
      </c>
      <c r="D26" s="23" t="s">
        <v>164</v>
      </c>
      <c r="E26" s="2" t="s">
        <v>42</v>
      </c>
      <c r="F26" s="42">
        <v>1</v>
      </c>
      <c r="G26" s="139"/>
      <c r="H26" s="73" t="str">
        <f>IFERROR(1/(1/
SUM(
N(VLOOKUP(D26&amp;F26,'Budgeted Projections Dom HC'!D:T,2,FALSE)),
N(VLOOKUP(D26&amp;F26,'Budgeted Projections Dom HC'!D:T,3,FALSE))
)
),"")</f>
        <v/>
      </c>
      <c r="I26" s="73" t="str">
        <f>IFERROR(1/(1/COUNTIFS(
'YearA-AppDetails Current Date'!A:A,D26,
'YearA-AppDetails Current Date'!F:F,E26,
'YearA-AppDetails Current Date'!E:E,--F26,
'YearA-AppDetails Current Date'!I:I,"SUMMER")), "")</f>
        <v/>
      </c>
      <c r="J26" s="74" t="str" cm="1">
        <f t="array" ref="J26">IFERROR(1/(1/SUM(COUNTIFS(
'YearA-AppDetails Current Date'!A:A,D26,
'YearA-AppDetails Current Date'!F:F,E26,
'YearA-AppDetails Current Date'!E:E,--F26,
'YearA-AppDetails Current Date'!O:O,{"ACLN","ACPT","COND"},
'YearA-AppDetails Current Date'!S:S,"&lt;&gt;ACLN",
'YearA-AppDetails Current Date'!S:S,"&lt;&gt;ACPT",
'YearA-AppDetails Current Date'!S:S,"&lt;&gt;COND",
'YearA-AppDetails Current Date'!I:I,"SUMMER"))), "")</f>
        <v/>
      </c>
      <c r="K26" s="73" t="str">
        <f>IFERROR(1/(1/SUM(COUNTIFS(
'YearA-AppDetails Current Date'!A:A,D26,
'YearA-AppDetails Current Date'!F:F,E26,
'YearA-AppDetails Current Date'!E:E,--F26,
'YearA-AppDetails Current Date'!R:R,"&lt;&gt;"&amp;"",
'YearA-AppDetails Current Date'!I:I,"SUMMER"))), "")</f>
        <v/>
      </c>
      <c r="L26" s="74" t="str" cm="1">
        <f t="array" ref="L26">IFERROR(1/(1/SUM(COUNTIFS(
'YearA-AppDetails Current Date'!A:A,D26,
'YearA-AppDetails Current Date'!F:F,E26,
'YearA-AppDetails Current Date'!E:E,--F26,
'YearA-AppDetails Current Date'!T:T,{"APEX","DENY","NTSL"},
'YearA-AppDetails Current Date'!I:I,"SUMMER"))), "")</f>
        <v/>
      </c>
      <c r="M26" s="74" t="str" cm="1">
        <f t="array" ref="M26">IFERROR(1/(1/SUM(COUNTIFS(
'YearA-AppDetails Current Date'!A:A,D26,
'YearA-AppDetails Current Date'!F:F,E26,
'YearA-AppDetails Current Date'!E:E,--F26,
'YearA-AppDetails Current Date'!U:U,{"CCAN","DECL"},
'YearA-AppDetails Current Date'!I:I,"SUMMER"))), "")</f>
        <v/>
      </c>
      <c r="N26" s="74" t="str" cm="1">
        <f t="array" ref="N26">IFERROR(1/(1/SUM(COUNTIFS(
'YearA-AppDetails Current Date'!A:A,D26,
'YearA-AppDetails Current Date'!F:F,E26,
'YearA-AppDetails Current Date'!E:E,--F26,
'YearA-AppDetails Current Date'!V:V,{"APRO","NODE"},
'YearA-AppDetails Current Date'!I:I,"SUMMER"))), "")</f>
        <v/>
      </c>
      <c r="O26" s="74" t="str" cm="1">
        <f t="array" ref="O26">IFERROR(1/(1/SUM(COUNTIFS(
'YearA-AppDetails Current Date'!A:A,D26,
'YearA-AppDetails Current Date'!F:F,E26,
'YearA-AppDetails Current Date'!E:E,--F26,
'YearA-AppDetails Current Date'!T:T,{"CDMT","RQMT","WAIT"},
'YearA-AppDetails Current Date'!I:I,"SUMMER"))), "")</f>
        <v/>
      </c>
      <c r="P26" s="74" t="str">
        <f>IFERROR(1/(1/COUNTIFS(
'YearA-AppDetails Current Date'!A:A,D26,
'YearA-AppDetails Current Date'!F:F,E26,
'YearA-AppDetails Current Date'!E:E,--F26,
'YearA-AppDetails Current Date'!Y:Y,"ENRO",
'YearA-AppDetails Current Date'!I:I,"SUMMER")), "")</f>
        <v/>
      </c>
      <c r="Q26" s="3" t="str">
        <f t="shared" si="0"/>
        <v/>
      </c>
    </row>
    <row r="27" spans="1:17" ht="15.75" customHeight="1" x14ac:dyDescent="0.25">
      <c r="A27" s="160"/>
      <c r="B27" s="122"/>
      <c r="C27" s="125"/>
      <c r="D27" s="23" t="s">
        <v>164</v>
      </c>
      <c r="E27" s="2" t="s">
        <v>43</v>
      </c>
      <c r="F27" s="31">
        <v>1</v>
      </c>
      <c r="G27" s="140"/>
      <c r="H27" s="73" t="str">
        <f>IFERROR(1/(1/
SUM(
N(VLOOKUP(D27&amp;F27,'Budgeted Projections Intl HC'!D:T,2,FALSE)),
N(VLOOKUP(D27&amp;F27,'Budgeted Projections Intl HC'!D:T,3,FALSE))
)
),"")</f>
        <v/>
      </c>
      <c r="I27" s="73" t="str">
        <f>IFERROR(1/(1/COUNTIFS(
'YearA-AppDetails Current Date'!A:A,D27,
'YearA-AppDetails Current Date'!F:F,E27,
'YearA-AppDetails Current Date'!E:E,--F27,
'YearA-AppDetails Current Date'!I:I,"SUMMER")), "")</f>
        <v/>
      </c>
      <c r="J27" s="74" t="str" cm="1">
        <f t="array" ref="J27">IFERROR(1/(1/SUM(COUNTIFS(
'YearA-AppDetails Current Date'!A:A,D27,
'YearA-AppDetails Current Date'!F:F,E27,
'YearA-AppDetails Current Date'!E:E,--F27,
'YearA-AppDetails Current Date'!O:O,{"ACLN","ACPT","COND"},
'YearA-AppDetails Current Date'!S:S,"&lt;&gt;ACLN",
'YearA-AppDetails Current Date'!S:S,"&lt;&gt;ACPT",
'YearA-AppDetails Current Date'!S:S,"&lt;&gt;COND",
'YearA-AppDetails Current Date'!I:I,"SUMMER"))), "")</f>
        <v/>
      </c>
      <c r="K27" s="73" t="str">
        <f>IFERROR(1/(1/SUM(COUNTIFS(
'YearA-AppDetails Current Date'!A:A,D27,
'YearA-AppDetails Current Date'!F:F,E27,
'YearA-AppDetails Current Date'!E:E,--F27,
'YearA-AppDetails Current Date'!R:R,"&lt;&gt;"&amp;"",
'YearA-AppDetails Current Date'!I:I,"SUMMER"))), "")</f>
        <v/>
      </c>
      <c r="L27" s="74" t="str" cm="1">
        <f t="array" ref="L27">IFERROR(1/(1/SUM(COUNTIFS(
'YearA-AppDetails Current Date'!A:A,D27,
'YearA-AppDetails Current Date'!F:F,E27,
'YearA-AppDetails Current Date'!E:E,--F27,
'YearA-AppDetails Current Date'!T:T,{"APEX","DENY","NTSL"},
'YearA-AppDetails Current Date'!I:I,"SUMMER"))), "")</f>
        <v/>
      </c>
      <c r="M27" s="74" t="str" cm="1">
        <f t="array" ref="M27">IFERROR(1/(1/SUM(COUNTIFS(
'YearA-AppDetails Current Date'!A:A,D27,
'YearA-AppDetails Current Date'!F:F,E27,
'YearA-AppDetails Current Date'!E:E,--F27,
'YearA-AppDetails Current Date'!U:U,{"CCAN","DECL"},
'YearA-AppDetails Current Date'!I:I,"SUMMER"))), "")</f>
        <v/>
      </c>
      <c r="N27" s="74" t="str" cm="1">
        <f t="array" ref="N27">IFERROR(1/(1/SUM(COUNTIFS(
'YearA-AppDetails Current Date'!A:A,D27,
'YearA-AppDetails Current Date'!F:F,E27,
'YearA-AppDetails Current Date'!E:E,--F27,
'YearA-AppDetails Current Date'!V:V,{"APRO","NODE"},
'YearA-AppDetails Current Date'!I:I,"SUMMER"))), "")</f>
        <v/>
      </c>
      <c r="O27" s="74" t="str" cm="1">
        <f t="array" ref="O27">IFERROR(1/(1/SUM(COUNTIFS(
'YearA-AppDetails Current Date'!A:A,D27,
'YearA-AppDetails Current Date'!F:F,E27,
'YearA-AppDetails Current Date'!E:E,--F27,
'YearA-AppDetails Current Date'!T:T,{"CDMT","RQMT","WAIT"},
'YearA-AppDetails Current Date'!I:I,"SUMMER"))), "")</f>
        <v/>
      </c>
      <c r="P27" s="74" t="str">
        <f>IFERROR(1/(1/COUNTIFS(
'YearA-AppDetails Current Date'!A:A,D27,
'YearA-AppDetails Current Date'!F:F,E27,
'YearA-AppDetails Current Date'!E:E,--F27,
'YearA-AppDetails Current Date'!Y:Y,"ENRO",
'YearA-AppDetails Current Date'!I:I,"SUMMER")), "")</f>
        <v/>
      </c>
      <c r="Q27" s="3" t="str">
        <f t="shared" si="0"/>
        <v/>
      </c>
    </row>
    <row r="28" spans="1:17" ht="15.75" customHeight="1" x14ac:dyDescent="0.25">
      <c r="A28" s="160"/>
      <c r="B28" s="123"/>
      <c r="C28" s="142" t="s">
        <v>278</v>
      </c>
      <c r="D28" s="143"/>
      <c r="E28" s="143"/>
      <c r="F28" s="144"/>
      <c r="G28" s="7"/>
      <c r="H28" s="4">
        <f t="shared" ref="H28:P28" si="2">SUM(H18:H27)</f>
        <v>0</v>
      </c>
      <c r="I28" s="4">
        <f t="shared" si="2"/>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60"/>
      <c r="B29" s="121" t="s">
        <v>331</v>
      </c>
      <c r="C29" s="124" t="s">
        <v>332</v>
      </c>
      <c r="D29" s="2" t="s">
        <v>330</v>
      </c>
      <c r="E29" s="2" t="s">
        <v>42</v>
      </c>
      <c r="F29" s="31">
        <v>1</v>
      </c>
      <c r="G29" s="139"/>
      <c r="H29" s="73" t="str">
        <f>IFERROR(1/(1/
SUM(
N(VLOOKUP(D29&amp;F29,'Budgeted Projections Dom HC'!D:T,2,FALSE)),
N(VLOOKUP(D29&amp;F29,'Budgeted Projections Dom HC'!D:T,3,FALSE))
)
),"")</f>
        <v/>
      </c>
      <c r="I29" s="73" t="str">
        <f>IFERROR(1/(1/COUNTIFS(
'YearA-AppDetails Current Date'!A:A,D29,
'YearA-AppDetails Current Date'!F:F,E29,
'YearA-AppDetails Current Date'!E:E,--F29,
'YearA-AppDetails Current Date'!I:I,"SUMMER")), "")</f>
        <v/>
      </c>
      <c r="J29" s="74" t="str" cm="1">
        <f t="array" ref="J29">IFERROR(1/(1/SUM(COUNTIFS(
'YearA-AppDetails Current Date'!A:A,D29,
'YearA-AppDetails Current Date'!F:F,E29,
'YearA-AppDetails Current Date'!E:E,--F29,
'YearA-AppDetails Current Date'!O:O,{"ACLN","ACPT","COND"},
'YearA-AppDetails Current Date'!S:S,"&lt;&gt;ACLN",
'YearA-AppDetails Current Date'!S:S,"&lt;&gt;ACPT",
'YearA-AppDetails Current Date'!S:S,"&lt;&gt;COND",
'YearA-AppDetails Current Date'!I:I,"SUMMER"))), "")</f>
        <v/>
      </c>
      <c r="K29" s="73" t="str">
        <f>IFERROR(1/(1/SUM(COUNTIFS(
'YearA-AppDetails Current Date'!A:A,D29,
'YearA-AppDetails Current Date'!F:F,E29,
'YearA-AppDetails Current Date'!E:E,--F29,
'YearA-AppDetails Current Date'!R:R,"&lt;&gt;"&amp;"",
'YearA-AppDetails Current Date'!I:I,"SUMMER"))), "")</f>
        <v/>
      </c>
      <c r="L29" s="74" t="str" cm="1">
        <f t="array" ref="L29">IFERROR(1/(1/SUM(COUNTIFS(
'YearA-AppDetails Current Date'!A:A,D29,
'YearA-AppDetails Current Date'!F:F,E29,
'YearA-AppDetails Current Date'!E:E,--F29,
'YearA-AppDetails Current Date'!T:T,{"APEX","DENY","NTSL"},
'YearA-AppDetails Current Date'!I:I,"SUMMER"))), "")</f>
        <v/>
      </c>
      <c r="M29" s="74" t="str" cm="1">
        <f t="array" ref="M29">IFERROR(1/(1/SUM(COUNTIFS(
'YearA-AppDetails Current Date'!A:A,D29,
'YearA-AppDetails Current Date'!F:F,E29,
'YearA-AppDetails Current Date'!E:E,--F29,
'YearA-AppDetails Current Date'!U:U,{"CCAN","DECL"},
'YearA-AppDetails Current Date'!I:I,"SUMMER"))), "")</f>
        <v/>
      </c>
      <c r="N29" s="74" t="str" cm="1">
        <f t="array" ref="N29">IFERROR(1/(1/SUM(COUNTIFS(
'YearA-AppDetails Current Date'!A:A,D29,
'YearA-AppDetails Current Date'!F:F,E29,
'YearA-AppDetails Current Date'!E:E,--F29,
'YearA-AppDetails Current Date'!V:V,{"APRO","NODE"},
'YearA-AppDetails Current Date'!I:I,"SUMMER"))), "")</f>
        <v/>
      </c>
      <c r="O29" s="74" t="str" cm="1">
        <f t="array" ref="O29">IFERROR(1/(1/SUM(COUNTIFS(
'YearA-AppDetails Current Date'!A:A,D29,
'YearA-AppDetails Current Date'!F:F,E29,
'YearA-AppDetails Current Date'!E:E,--F29,
'YearA-AppDetails Current Date'!T:T,{"CDMT","RQMT","WAIT"},
'YearA-AppDetails Current Date'!I:I,"SUMMER"))), "")</f>
        <v/>
      </c>
      <c r="P29" s="74" t="str">
        <f>IFERROR(1/(1/COUNTIFS(
'YearA-AppDetails Current Date'!A:A,D29,
'YearA-AppDetails Current Date'!F:F,E29,
'YearA-AppDetails Current Date'!E:E,--F29,
'YearA-AppDetails Current Date'!Y:Y,"ENRO",
'YearA-AppDetails Current Date'!I:I,"SUMMER")), "")</f>
        <v/>
      </c>
      <c r="Q29" s="3" t="str">
        <f t="shared" ref="Q29:Q33" si="3">IFERROR(P29/J29,"")</f>
        <v/>
      </c>
    </row>
    <row r="30" spans="1:17" ht="15.75" customHeight="1" x14ac:dyDescent="0.25">
      <c r="A30" s="160"/>
      <c r="B30" s="122"/>
      <c r="C30" s="138"/>
      <c r="D30" s="2" t="s">
        <v>330</v>
      </c>
      <c r="E30" s="2" t="s">
        <v>43</v>
      </c>
      <c r="F30" s="31">
        <v>1</v>
      </c>
      <c r="G30" s="141"/>
      <c r="H30" s="73" t="str">
        <f>IFERROR(1/(1/
SUM(
N(VLOOKUP(D30&amp;F30,'Budgeted Projections Intl HC'!D:T,2,FALSE)),
N(VLOOKUP(D30&amp;F30,'Budgeted Projections Intl HC'!D:T,3,FALSE))
)
),"")</f>
        <v/>
      </c>
      <c r="I30" s="73" t="str">
        <f>IFERROR(1/(1/COUNTIFS(
'YearA-AppDetails Current Date'!A:A,D30,
'YearA-AppDetails Current Date'!F:F,E30,
'YearA-AppDetails Current Date'!E:E,--F30,
'YearA-AppDetails Current Date'!I:I,"SUMMER")), "")</f>
        <v/>
      </c>
      <c r="J30" s="74" t="str" cm="1">
        <f t="array" ref="J30">IFERROR(1/(1/SUM(COUNTIFS(
'YearA-AppDetails Current Date'!A:A,D30,
'YearA-AppDetails Current Date'!F:F,E30,
'YearA-AppDetails Current Date'!E:E,--F30,
'YearA-AppDetails Current Date'!O:O,{"ACLN","ACPT","COND"},
'YearA-AppDetails Current Date'!S:S,"&lt;&gt;ACLN",
'YearA-AppDetails Current Date'!S:S,"&lt;&gt;ACPT",
'YearA-AppDetails Current Date'!S:S,"&lt;&gt;COND",
'YearA-AppDetails Current Date'!I:I,"SUMMER"))), "")</f>
        <v/>
      </c>
      <c r="K30" s="73" t="str">
        <f>IFERROR(1/(1/SUM(COUNTIFS(
'YearA-AppDetails Current Date'!A:A,D30,
'YearA-AppDetails Current Date'!F:F,E30,
'YearA-AppDetails Current Date'!E:E,--F30,
'YearA-AppDetails Current Date'!R:R,"&lt;&gt;"&amp;"",
'YearA-AppDetails Current Date'!I:I,"SUMMER"))), "")</f>
        <v/>
      </c>
      <c r="L30" s="74" t="str" cm="1">
        <f t="array" ref="L30">IFERROR(1/(1/SUM(COUNTIFS(
'YearA-AppDetails Current Date'!A:A,D30,
'YearA-AppDetails Current Date'!F:F,E30,
'YearA-AppDetails Current Date'!E:E,--F30,
'YearA-AppDetails Current Date'!T:T,{"APEX","DENY","NTSL"},
'YearA-AppDetails Current Date'!I:I,"SUMMER"))), "")</f>
        <v/>
      </c>
      <c r="M30" s="74" t="str" cm="1">
        <f t="array" ref="M30">IFERROR(1/(1/SUM(COUNTIFS(
'YearA-AppDetails Current Date'!A:A,D30,
'YearA-AppDetails Current Date'!F:F,E30,
'YearA-AppDetails Current Date'!E:E,--F30,
'YearA-AppDetails Current Date'!U:U,{"CCAN","DECL"},
'YearA-AppDetails Current Date'!I:I,"SUMMER"))), "")</f>
        <v/>
      </c>
      <c r="N30" s="74" t="str" cm="1">
        <f t="array" ref="N30">IFERROR(1/(1/SUM(COUNTIFS(
'YearA-AppDetails Current Date'!A:A,D30,
'YearA-AppDetails Current Date'!F:F,E30,
'YearA-AppDetails Current Date'!E:E,--F30,
'YearA-AppDetails Current Date'!V:V,{"APRO","NODE"},
'YearA-AppDetails Current Date'!I:I,"SUMMER"))), "")</f>
        <v/>
      </c>
      <c r="O30" s="74" t="str" cm="1">
        <f t="array" ref="O30">IFERROR(1/(1/SUM(COUNTIFS(
'YearA-AppDetails Current Date'!A:A,D30,
'YearA-AppDetails Current Date'!F:F,E30,
'YearA-AppDetails Current Date'!E:E,--F30,
'YearA-AppDetails Current Date'!T:T,{"CDMT","RQMT","WAIT"},
'YearA-AppDetails Current Date'!I:I,"SUMMER"))), "")</f>
        <v/>
      </c>
      <c r="P30" s="74" t="str">
        <f>IFERROR(1/(1/COUNTIFS(
'YearA-AppDetails Current Date'!A:A,D30,
'YearA-AppDetails Current Date'!F:F,E30,
'YearA-AppDetails Current Date'!E:E,--F30,
'YearA-AppDetails Current Date'!Y:Y,"ENRO",
'YearA-AppDetails Current Date'!I:I,"SUMMER")), "")</f>
        <v/>
      </c>
      <c r="Q30" s="3" t="str">
        <f t="shared" si="3"/>
        <v/>
      </c>
    </row>
    <row r="31" spans="1:17" ht="15.75" customHeight="1" x14ac:dyDescent="0.25">
      <c r="A31" s="160"/>
      <c r="B31" s="122"/>
      <c r="C31" s="138"/>
      <c r="D31" s="2" t="s">
        <v>330</v>
      </c>
      <c r="E31" s="2" t="s">
        <v>42</v>
      </c>
      <c r="F31" s="31">
        <v>2</v>
      </c>
      <c r="G31" s="139"/>
      <c r="H31" s="73" t="str">
        <f>IFERROR(1/(1/
SUM(
N(VLOOKUP(D31&amp;F31,'Budgeted Projections Dom HC'!D:T,2,FALSE)),
N(VLOOKUP(D31&amp;F31,'Budgeted Projections Dom HC'!D:T,3,FALSE))
)
),"")</f>
        <v/>
      </c>
      <c r="I31" s="73" t="str">
        <f>IFERROR(1/(1/COUNTIFS(
'YearA-AppDetails Current Date'!A:A,D31,
'YearA-AppDetails Current Date'!F:F,E31,
'YearA-AppDetails Current Date'!E:E,--F31,
'YearA-AppDetails Current Date'!I:I,"SUMMER")), "")</f>
        <v/>
      </c>
      <c r="J31" s="74" t="str" cm="1">
        <f t="array" ref="J31">IFERROR(1/(1/SUM(COUNTIFS(
'YearA-AppDetails Current Date'!A:A,D31,
'YearA-AppDetails Current Date'!F:F,E31,
'YearA-AppDetails Current Date'!E:E,--F31,
'YearA-AppDetails Current Date'!O:O,{"ACLN","ACPT","COND"},
'YearA-AppDetails Current Date'!S:S,"&lt;&gt;ACLN",
'YearA-AppDetails Current Date'!S:S,"&lt;&gt;ACPT",
'YearA-AppDetails Current Date'!S:S,"&lt;&gt;COND",
'YearA-AppDetails Current Date'!I:I,"SUMMER"))), "")</f>
        <v/>
      </c>
      <c r="K31" s="73" t="str">
        <f>IFERROR(1/(1/SUM(COUNTIFS(
'YearA-AppDetails Current Date'!A:A,D31,
'YearA-AppDetails Current Date'!F:F,E31,
'YearA-AppDetails Current Date'!E:E,--F31,
'YearA-AppDetails Current Date'!R:R,"&lt;&gt;"&amp;"",
'YearA-AppDetails Current Date'!I:I,"SUMMER"))), "")</f>
        <v/>
      </c>
      <c r="L31" s="74" t="str" cm="1">
        <f t="array" ref="L31">IFERROR(1/(1/SUM(COUNTIFS(
'YearA-AppDetails Current Date'!A:A,D31,
'YearA-AppDetails Current Date'!F:F,E31,
'YearA-AppDetails Current Date'!E:E,--F31,
'YearA-AppDetails Current Date'!T:T,{"APEX","DENY","NTSL"},
'YearA-AppDetails Current Date'!I:I,"SUMMER"))), "")</f>
        <v/>
      </c>
      <c r="M31" s="74" t="str" cm="1">
        <f t="array" ref="M31">IFERROR(1/(1/SUM(COUNTIFS(
'YearA-AppDetails Current Date'!A:A,D31,
'YearA-AppDetails Current Date'!F:F,E31,
'YearA-AppDetails Current Date'!E:E,--F31,
'YearA-AppDetails Current Date'!U:U,{"CCAN","DECL"},
'YearA-AppDetails Current Date'!I:I,"SUMMER"))), "")</f>
        <v/>
      </c>
      <c r="N31" s="74" t="str" cm="1">
        <f t="array" ref="N31">IFERROR(1/(1/SUM(COUNTIFS(
'YearA-AppDetails Current Date'!A:A,D31,
'YearA-AppDetails Current Date'!F:F,E31,
'YearA-AppDetails Current Date'!E:E,--F31,
'YearA-AppDetails Current Date'!V:V,{"APRO","NODE"},
'YearA-AppDetails Current Date'!I:I,"SUMMER"))), "")</f>
        <v/>
      </c>
      <c r="O31" s="74" t="str" cm="1">
        <f t="array" ref="O31">IFERROR(1/(1/SUM(COUNTIFS(
'YearA-AppDetails Current Date'!A:A,D31,
'YearA-AppDetails Current Date'!F:F,E31,
'YearA-AppDetails Current Date'!E:E,--F31,
'YearA-AppDetails Current Date'!T:T,{"CDMT","RQMT","WAIT"},
'YearA-AppDetails Current Date'!I:I,"SUMMER"))), "")</f>
        <v/>
      </c>
      <c r="P31" s="74" t="str">
        <f>IFERROR(1/(1/COUNTIFS(
'YearA-AppDetails Current Date'!A:A,D31,
'YearA-AppDetails Current Date'!F:F,E31,
'YearA-AppDetails Current Date'!E:E,--F31,
'YearA-AppDetails Current Date'!Y:Y,"ENRO",
'YearA-AppDetails Current Date'!I:I,"SUMMER")), "")</f>
        <v/>
      </c>
      <c r="Q31" s="3" t="str">
        <f t="shared" si="3"/>
        <v/>
      </c>
    </row>
    <row r="32" spans="1:17" ht="15.75" customHeight="1" x14ac:dyDescent="0.25">
      <c r="A32" s="160"/>
      <c r="B32" s="122"/>
      <c r="C32" s="125"/>
      <c r="D32" s="2" t="s">
        <v>330</v>
      </c>
      <c r="E32" s="2" t="s">
        <v>43</v>
      </c>
      <c r="F32" s="31">
        <v>2</v>
      </c>
      <c r="G32" s="140"/>
      <c r="H32" s="73" t="str">
        <f>IFERROR(1/(1/
SUM(
N(VLOOKUP(D32&amp;F32,'Budgeted Projections Intl HC'!D:T,2,FALSE)),
N(VLOOKUP(D32&amp;F32,'Budgeted Projections Intl HC'!D:T,3,FALSE))
)
),"")</f>
        <v/>
      </c>
      <c r="I32" s="73" t="str">
        <f>IFERROR(1/(1/COUNTIFS(
'YearA-AppDetails Current Date'!A:A,D32,
'YearA-AppDetails Current Date'!F:F,E32,
'YearA-AppDetails Current Date'!E:E,--F32,
'YearA-AppDetails Current Date'!I:I,"SUMMER")), "")</f>
        <v/>
      </c>
      <c r="J32" s="74" t="str" cm="1">
        <f t="array" ref="J32">IFERROR(1/(1/SUM(COUNTIFS(
'YearA-AppDetails Current Date'!A:A,D32,
'YearA-AppDetails Current Date'!F:F,E32,
'YearA-AppDetails Current Date'!E:E,--F32,
'YearA-AppDetails Current Date'!O:O,{"ACLN","ACPT","COND"},
'YearA-AppDetails Current Date'!S:S,"&lt;&gt;ACLN",
'YearA-AppDetails Current Date'!S:S,"&lt;&gt;ACPT",
'YearA-AppDetails Current Date'!S:S,"&lt;&gt;COND",
'YearA-AppDetails Current Date'!I:I,"SUMMER"))), "")</f>
        <v/>
      </c>
      <c r="K32" s="73" t="str">
        <f>IFERROR(1/(1/SUM(COUNTIFS(
'YearA-AppDetails Current Date'!A:A,D32,
'YearA-AppDetails Current Date'!F:F,E32,
'YearA-AppDetails Current Date'!E:E,--F32,
'YearA-AppDetails Current Date'!R:R,"&lt;&gt;"&amp;"",
'YearA-AppDetails Current Date'!I:I,"SUMMER"))), "")</f>
        <v/>
      </c>
      <c r="L32" s="74" t="str" cm="1">
        <f t="array" ref="L32">IFERROR(1/(1/SUM(COUNTIFS(
'YearA-AppDetails Current Date'!A:A,D32,
'YearA-AppDetails Current Date'!F:F,E32,
'YearA-AppDetails Current Date'!E:E,--F32,
'YearA-AppDetails Current Date'!T:T,{"APEX","DENY","NTSL"},
'YearA-AppDetails Current Date'!I:I,"SUMMER"))), "")</f>
        <v/>
      </c>
      <c r="M32" s="74" t="str" cm="1">
        <f t="array" ref="M32">IFERROR(1/(1/SUM(COUNTIFS(
'YearA-AppDetails Current Date'!A:A,D32,
'YearA-AppDetails Current Date'!F:F,E32,
'YearA-AppDetails Current Date'!E:E,--F32,
'YearA-AppDetails Current Date'!U:U,{"CCAN","DECL"},
'YearA-AppDetails Current Date'!I:I,"SUMMER"))), "")</f>
        <v/>
      </c>
      <c r="N32" s="74" t="str" cm="1">
        <f t="array" ref="N32">IFERROR(1/(1/SUM(COUNTIFS(
'YearA-AppDetails Current Date'!A:A,D32,
'YearA-AppDetails Current Date'!F:F,E32,
'YearA-AppDetails Current Date'!E:E,--F32,
'YearA-AppDetails Current Date'!V:V,{"APRO","NODE"},
'YearA-AppDetails Current Date'!I:I,"SUMMER"))), "")</f>
        <v/>
      </c>
      <c r="O32" s="74" t="str" cm="1">
        <f t="array" ref="O32">IFERROR(1/(1/SUM(COUNTIFS(
'YearA-AppDetails Current Date'!A:A,D32,
'YearA-AppDetails Current Date'!F:F,E32,
'YearA-AppDetails Current Date'!E:E,--F32,
'YearA-AppDetails Current Date'!T:T,{"CDMT","RQMT","WAIT"},
'YearA-AppDetails Current Date'!I:I,"SUMMER"))), "")</f>
        <v/>
      </c>
      <c r="P32" s="74" t="str">
        <f>IFERROR(1/(1/COUNTIFS(
'YearA-AppDetails Current Date'!A:A,D32,
'YearA-AppDetails Current Date'!F:F,E32,
'YearA-AppDetails Current Date'!E:E,--F32,
'YearA-AppDetails Current Date'!Y:Y,"ENRO",
'YearA-AppDetails Current Date'!I:I,"SUMMER")), "")</f>
        <v/>
      </c>
      <c r="Q32" s="3" t="str">
        <f t="shared" si="3"/>
        <v/>
      </c>
    </row>
    <row r="33" spans="1:17" ht="15.75" customHeight="1" x14ac:dyDescent="0.25">
      <c r="A33" s="161"/>
      <c r="B33" s="122"/>
      <c r="C33" s="142" t="s">
        <v>333</v>
      </c>
      <c r="D33" s="143"/>
      <c r="E33" s="143"/>
      <c r="F33" s="144"/>
      <c r="G33" s="7"/>
      <c r="H33" s="4">
        <f t="shared" ref="H33:P33" si="4">SUM(H29:H32)</f>
        <v>0</v>
      </c>
      <c r="I33" s="4">
        <f t="shared" si="4"/>
        <v>0</v>
      </c>
      <c r="J33" s="4">
        <f t="shared" si="4"/>
        <v>0</v>
      </c>
      <c r="K33" s="4">
        <f t="shared" si="4"/>
        <v>0</v>
      </c>
      <c r="L33" s="4">
        <f t="shared" si="4"/>
        <v>0</v>
      </c>
      <c r="M33" s="4">
        <f t="shared" si="4"/>
        <v>0</v>
      </c>
      <c r="N33" s="4">
        <f t="shared" si="4"/>
        <v>0</v>
      </c>
      <c r="O33" s="4">
        <f t="shared" si="4"/>
        <v>0</v>
      </c>
      <c r="P33" s="4">
        <f t="shared" si="4"/>
        <v>0</v>
      </c>
      <c r="Q33" s="35" t="str">
        <f t="shared" si="3"/>
        <v/>
      </c>
    </row>
    <row r="34" spans="1:17" ht="15.75" customHeight="1" x14ac:dyDescent="0.25">
      <c r="A34" s="151" t="s">
        <v>53</v>
      </c>
      <c r="B34" s="136"/>
      <c r="C34" s="136"/>
      <c r="D34" s="136"/>
      <c r="E34" s="136"/>
      <c r="F34" s="137"/>
      <c r="G34" s="34"/>
      <c r="H34" s="5">
        <f t="shared" ref="H34:P34" si="5">SUM(H17,H28,H33)</f>
        <v>0</v>
      </c>
      <c r="I34" s="5">
        <f t="shared" si="5"/>
        <v>0</v>
      </c>
      <c r="J34" s="5">
        <f t="shared" si="5"/>
        <v>0</v>
      </c>
      <c r="K34" s="5">
        <f t="shared" si="5"/>
        <v>0</v>
      </c>
      <c r="L34" s="5">
        <f t="shared" si="5"/>
        <v>0</v>
      </c>
      <c r="M34" s="5">
        <f t="shared" si="5"/>
        <v>0</v>
      </c>
      <c r="N34" s="5">
        <f t="shared" si="5"/>
        <v>0</v>
      </c>
      <c r="O34" s="5">
        <f t="shared" si="5"/>
        <v>0</v>
      </c>
      <c r="P34" s="5">
        <f t="shared" si="5"/>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HC'!D:T,2,FALSE)),
N(VLOOKUP(D35&amp;F35,'Budgeted Projections Dom HC'!D:T,3,FALSE))
)
),"")</f>
        <v/>
      </c>
      <c r="I35" s="73" t="str">
        <f>IFERROR(1/(1/COUNTIFS(
'YearA-AppDetails Current Date'!A:A,D35,
'YearA-AppDetails Current Date'!F:F,E35,
'YearA-AppDetails Current Date'!E:E,--F35,
'YearA-AppDetails Current Date'!I:I,"SUMMER")), "")</f>
        <v/>
      </c>
      <c r="J35" s="74" t="str" cm="1">
        <f t="array" ref="J35">IFERROR(1/(1/SUM(COUNTIFS(
'YearA-AppDetails Current Date'!A:A,D35,
'YearA-AppDetails Current Date'!F:F,E35,
'YearA-AppDetails Current Date'!E:E,--F35,
'YearA-AppDetails Current Date'!O:O,{"ACLN","ACPT","COND"},
'YearA-AppDetails Current Date'!S:S,"&lt;&gt;ACLN",
'YearA-AppDetails Current Date'!S:S,"&lt;&gt;ACPT",
'YearA-AppDetails Current Date'!S:S,"&lt;&gt;COND",
'YearA-AppDetails Current Date'!I:I,"SUMMER"))), "")</f>
        <v/>
      </c>
      <c r="K35" s="73" t="str">
        <f>IFERROR(1/(1/SUM(COUNTIFS(
'YearA-AppDetails Current Date'!A:A,D35,
'YearA-AppDetails Current Date'!F:F,E35,
'YearA-AppDetails Current Date'!E:E,--F35,
'YearA-AppDetails Current Date'!R:R,"&lt;&gt;"&amp;"",
'YearA-AppDetails Current Date'!I:I,"SUMMER"))), "")</f>
        <v/>
      </c>
      <c r="L35" s="74" t="str" cm="1">
        <f t="array" ref="L35">IFERROR(1/(1/SUM(COUNTIFS(
'YearA-AppDetails Current Date'!A:A,D35,
'YearA-AppDetails Current Date'!F:F,E35,
'YearA-AppDetails Current Date'!E:E,--F35,
'YearA-AppDetails Current Date'!T:T,{"APEX","DENY","NTSL"},
'YearA-AppDetails Current Date'!I:I,"SUMMER"))), "")</f>
        <v/>
      </c>
      <c r="M35" s="74" t="str" cm="1">
        <f t="array" ref="M35">IFERROR(1/(1/SUM(COUNTIFS(
'YearA-AppDetails Current Date'!A:A,D35,
'YearA-AppDetails Current Date'!F:F,E35,
'YearA-AppDetails Current Date'!E:E,--F35,
'YearA-AppDetails Current Date'!U:U,{"CCAN","DECL"},
'YearA-AppDetails Current Date'!I:I,"SUMMER"))), "")</f>
        <v/>
      </c>
      <c r="N35" s="74" t="str" cm="1">
        <f t="array" ref="N35">IFERROR(1/(1/SUM(COUNTIFS(
'YearA-AppDetails Current Date'!A:A,D35,
'YearA-AppDetails Current Date'!F:F,E35,
'YearA-AppDetails Current Date'!E:E,--F35,
'YearA-AppDetails Current Date'!V:V,{"APRO","NODE"},
'YearA-AppDetails Current Date'!I:I,"SUMMER"))), "")</f>
        <v/>
      </c>
      <c r="O35" s="74" t="str" cm="1">
        <f t="array" ref="O35">IFERROR(1/(1/SUM(COUNTIFS(
'YearA-AppDetails Current Date'!A:A,D35,
'YearA-AppDetails Current Date'!F:F,E35,
'YearA-AppDetails Current Date'!E:E,--F35,
'YearA-AppDetails Current Date'!T:T,{"CDMT","RQMT","WAIT"},
'YearA-AppDetails Current Date'!I:I,"SUMMER"))), "")</f>
        <v/>
      </c>
      <c r="P35" s="74" t="str">
        <f>IFERROR(1/(1/COUNTIFS(
'YearA-AppDetails Current Date'!A:A,D35,
'YearA-AppDetails Current Date'!F:F,E35,
'YearA-AppDetails Current Date'!E:E,--F35,
'YearA-AppDetails Current Date'!Y:Y,"ENRO",
'YearA-AppDetails Current Date'!I:I,"SUMMER")),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HC'!D:T,2,FALSE)),
N(VLOOKUP(D36&amp;F36,'Budgeted Projections Intl HC'!D:T,3,FALSE))
)
),"")</f>
        <v/>
      </c>
      <c r="I36" s="73" t="str">
        <f>IFERROR(1/(1/COUNTIFS(
'YearA-AppDetails Current Date'!A:A,D36,
'YearA-AppDetails Current Date'!F:F,E36,
'YearA-AppDetails Current Date'!E:E,--F36,
'YearA-AppDetails Current Date'!I:I,"SUMMER")), "")</f>
        <v/>
      </c>
      <c r="J36" s="74" t="str" cm="1">
        <f t="array" ref="J36">IFERROR(1/(1/SUM(COUNTIFS(
'YearA-AppDetails Current Date'!A:A,D36,
'YearA-AppDetails Current Date'!F:F,E36,
'YearA-AppDetails Current Date'!E:E,--F36,
'YearA-AppDetails Current Date'!O:O,{"ACLN","ACPT","COND"},
'YearA-AppDetails Current Date'!S:S,"&lt;&gt;ACLN",
'YearA-AppDetails Current Date'!S:S,"&lt;&gt;ACPT",
'YearA-AppDetails Current Date'!S:S,"&lt;&gt;COND",
'YearA-AppDetails Current Date'!I:I,"SUMMER"))), "")</f>
        <v/>
      </c>
      <c r="K36" s="73" t="str">
        <f>IFERROR(1/(1/SUM(COUNTIFS(
'YearA-AppDetails Current Date'!A:A,D36,
'YearA-AppDetails Current Date'!F:F,E36,
'YearA-AppDetails Current Date'!E:E,--F36,
'YearA-AppDetails Current Date'!R:R,"&lt;&gt;"&amp;"",
'YearA-AppDetails Current Date'!I:I,"SUMMER"))), "")</f>
        <v/>
      </c>
      <c r="L36" s="74" t="str" cm="1">
        <f t="array" ref="L36">IFERROR(1/(1/SUM(COUNTIFS(
'YearA-AppDetails Current Date'!A:A,D36,
'YearA-AppDetails Current Date'!F:F,E36,
'YearA-AppDetails Current Date'!E:E,--F36,
'YearA-AppDetails Current Date'!T:T,{"APEX","DENY","NTSL"},
'YearA-AppDetails Current Date'!I:I,"SUMMER"))), "")</f>
        <v/>
      </c>
      <c r="M36" s="74" t="str" cm="1">
        <f t="array" ref="M36">IFERROR(1/(1/SUM(COUNTIFS(
'YearA-AppDetails Current Date'!A:A,D36,
'YearA-AppDetails Current Date'!F:F,E36,
'YearA-AppDetails Current Date'!E:E,--F36,
'YearA-AppDetails Current Date'!U:U,{"CCAN","DECL"},
'YearA-AppDetails Current Date'!I:I,"SUMMER"))), "")</f>
        <v/>
      </c>
      <c r="N36" s="74" t="str" cm="1">
        <f t="array" ref="N36">IFERROR(1/(1/SUM(COUNTIFS(
'YearA-AppDetails Current Date'!A:A,D36,
'YearA-AppDetails Current Date'!F:F,E36,
'YearA-AppDetails Current Date'!E:E,--F36,
'YearA-AppDetails Current Date'!V:V,{"APRO","NODE"},
'YearA-AppDetails Current Date'!I:I,"SUMMER"))), "")</f>
        <v/>
      </c>
      <c r="O36" s="74" t="str" cm="1">
        <f t="array" ref="O36">IFERROR(1/(1/SUM(COUNTIFS(
'YearA-AppDetails Current Date'!A:A,D36,
'YearA-AppDetails Current Date'!F:F,E36,
'YearA-AppDetails Current Date'!E:E,--F36,
'YearA-AppDetails Current Date'!T:T,{"CDMT","RQMT","WAIT"},
'YearA-AppDetails Current Date'!I:I,"SUMMER"))), "")</f>
        <v/>
      </c>
      <c r="P36" s="74" t="str">
        <f>IFERROR(1/(1/COUNTIFS(
'YearA-AppDetails Current Date'!A:A,D36,
'YearA-AppDetails Current Date'!F:F,E36,
'YearA-AppDetails Current Date'!E:E,--F36,
'YearA-AppDetails Current Date'!Y:Y,"ENRO",
'YearA-AppDetails Current Date'!I:I,"SUMMER")),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HC'!D:T,2,FALSE)),
N(VLOOKUP(D37&amp;F37,'Budgeted Projections Dom HC'!D:T,3,FALSE))
)
),"")</f>
        <v/>
      </c>
      <c r="I37" s="73" t="str">
        <f>IFERROR(1/(1/COUNTIFS(
'YearA-AppDetails Current Date'!A:A,D37,
'YearA-AppDetails Current Date'!F:F,E37,
'YearA-AppDetails Current Date'!E:E,--F37,
'YearA-AppDetails Current Date'!I:I,"SUMMER")), "")</f>
        <v/>
      </c>
      <c r="J37" s="74" t="str" cm="1">
        <f t="array" ref="J37">IFERROR(1/(1/SUM(COUNTIFS(
'YearA-AppDetails Current Date'!A:A,D37,
'YearA-AppDetails Current Date'!F:F,E37,
'YearA-AppDetails Current Date'!E:E,--F37,
'YearA-AppDetails Current Date'!O:O,{"ACLN","ACPT","COND"},
'YearA-AppDetails Current Date'!S:S,"&lt;&gt;ACLN",
'YearA-AppDetails Current Date'!S:S,"&lt;&gt;ACPT",
'YearA-AppDetails Current Date'!S:S,"&lt;&gt;COND",
'YearA-AppDetails Current Date'!I:I,"SUMMER"))), "")</f>
        <v/>
      </c>
      <c r="K37" s="73" t="str">
        <f>IFERROR(1/(1/SUM(COUNTIFS(
'YearA-AppDetails Current Date'!A:A,D37,
'YearA-AppDetails Current Date'!F:F,E37,
'YearA-AppDetails Current Date'!E:E,--F37,
'YearA-AppDetails Current Date'!R:R,"&lt;&gt;"&amp;"",
'YearA-AppDetails Current Date'!I:I,"SUMMER"))), "")</f>
        <v/>
      </c>
      <c r="L37" s="74" t="str" cm="1">
        <f t="array" ref="L37">IFERROR(1/(1/SUM(COUNTIFS(
'YearA-AppDetails Current Date'!A:A,D37,
'YearA-AppDetails Current Date'!F:F,E37,
'YearA-AppDetails Current Date'!E:E,--F37,
'YearA-AppDetails Current Date'!T:T,{"APEX","DENY","NTSL"},
'YearA-AppDetails Current Date'!I:I,"SUMMER"))), "")</f>
        <v/>
      </c>
      <c r="M37" s="74" t="str" cm="1">
        <f t="array" ref="M37">IFERROR(1/(1/SUM(COUNTIFS(
'YearA-AppDetails Current Date'!A:A,D37,
'YearA-AppDetails Current Date'!F:F,E37,
'YearA-AppDetails Current Date'!E:E,--F37,
'YearA-AppDetails Current Date'!U:U,{"CCAN","DECL"},
'YearA-AppDetails Current Date'!I:I,"SUMMER"))), "")</f>
        <v/>
      </c>
      <c r="N37" s="74" t="str" cm="1">
        <f t="array" ref="N37">IFERROR(1/(1/SUM(COUNTIFS(
'YearA-AppDetails Current Date'!A:A,D37,
'YearA-AppDetails Current Date'!F:F,E37,
'YearA-AppDetails Current Date'!E:E,--F37,
'YearA-AppDetails Current Date'!V:V,{"APRO","NODE"},
'YearA-AppDetails Current Date'!I:I,"SUMMER"))), "")</f>
        <v/>
      </c>
      <c r="O37" s="74" t="str" cm="1">
        <f t="array" ref="O37">IFERROR(1/(1/SUM(COUNTIFS(
'YearA-AppDetails Current Date'!A:A,D37,
'YearA-AppDetails Current Date'!F:F,E37,
'YearA-AppDetails Current Date'!E:E,--F37,
'YearA-AppDetails Current Date'!T:T,{"CDMT","RQMT","WAIT"},
'YearA-AppDetails Current Date'!I:I,"SUMMER"))), "")</f>
        <v/>
      </c>
      <c r="P37" s="74" t="str">
        <f>IFERROR(1/(1/COUNTIFS(
'YearA-AppDetails Current Date'!A:A,D37,
'YearA-AppDetails Current Date'!F:F,E37,
'YearA-AppDetails Current Date'!E:E,--F37,
'YearA-AppDetails Current Date'!Y:Y,"ENRO",
'YearA-AppDetails Current Date'!I:I,"SUMMER")),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HC'!D:T,2,FALSE)),
N(VLOOKUP(D38&amp;F38,'Budgeted Projections Intl HC'!D:T,3,FALSE))
)
),"")</f>
        <v/>
      </c>
      <c r="I38" s="73" t="str">
        <f>IFERROR(1/(1/COUNTIFS(
'YearA-AppDetails Current Date'!A:A,D38,
'YearA-AppDetails Current Date'!F:F,E38,
'YearA-AppDetails Current Date'!E:E,--F38,
'YearA-AppDetails Current Date'!I:I,"SUMMER")), "")</f>
        <v/>
      </c>
      <c r="J38" s="74" t="str" cm="1">
        <f t="array" ref="J38">IFERROR(1/(1/SUM(COUNTIFS(
'YearA-AppDetails Current Date'!A:A,D38,
'YearA-AppDetails Current Date'!F:F,E38,
'YearA-AppDetails Current Date'!E:E,--F38,
'YearA-AppDetails Current Date'!O:O,{"ACLN","ACPT","COND"},
'YearA-AppDetails Current Date'!S:S,"&lt;&gt;ACLN",
'YearA-AppDetails Current Date'!S:S,"&lt;&gt;ACPT",
'YearA-AppDetails Current Date'!S:S,"&lt;&gt;COND",
'YearA-AppDetails Current Date'!I:I,"SUMMER"))), "")</f>
        <v/>
      </c>
      <c r="K38" s="73" t="str">
        <f>IFERROR(1/(1/SUM(COUNTIFS(
'YearA-AppDetails Current Date'!A:A,D38,
'YearA-AppDetails Current Date'!F:F,E38,
'YearA-AppDetails Current Date'!E:E,--F38,
'YearA-AppDetails Current Date'!R:R,"&lt;&gt;"&amp;"",
'YearA-AppDetails Current Date'!I:I,"SUMMER"))), "")</f>
        <v/>
      </c>
      <c r="L38" s="74" t="str" cm="1">
        <f t="array" ref="L38">IFERROR(1/(1/SUM(COUNTIFS(
'YearA-AppDetails Current Date'!A:A,D38,
'YearA-AppDetails Current Date'!F:F,E38,
'YearA-AppDetails Current Date'!E:E,--F38,
'YearA-AppDetails Current Date'!T:T,{"APEX","DENY","NTSL"},
'YearA-AppDetails Current Date'!I:I,"SUMMER"))), "")</f>
        <v/>
      </c>
      <c r="M38" s="74" t="str" cm="1">
        <f t="array" ref="M38">IFERROR(1/(1/SUM(COUNTIFS(
'YearA-AppDetails Current Date'!A:A,D38,
'YearA-AppDetails Current Date'!F:F,E38,
'YearA-AppDetails Current Date'!E:E,--F38,
'YearA-AppDetails Current Date'!U:U,{"CCAN","DECL"},
'YearA-AppDetails Current Date'!I:I,"SUMMER"))), "")</f>
        <v/>
      </c>
      <c r="N38" s="74" t="str" cm="1">
        <f t="array" ref="N38">IFERROR(1/(1/SUM(COUNTIFS(
'YearA-AppDetails Current Date'!A:A,D38,
'YearA-AppDetails Current Date'!F:F,E38,
'YearA-AppDetails Current Date'!E:E,--F38,
'YearA-AppDetails Current Date'!V:V,{"APRO","NODE"},
'YearA-AppDetails Current Date'!I:I,"SUMMER"))), "")</f>
        <v/>
      </c>
      <c r="O38" s="74" t="str" cm="1">
        <f t="array" ref="O38">IFERROR(1/(1/SUM(COUNTIFS(
'YearA-AppDetails Current Date'!A:A,D38,
'YearA-AppDetails Current Date'!F:F,E38,
'YearA-AppDetails Current Date'!E:E,--F38,
'YearA-AppDetails Current Date'!T:T,{"CDMT","RQMT","WAIT"},
'YearA-AppDetails Current Date'!I:I,"SUMMER"))), "")</f>
        <v/>
      </c>
      <c r="P38" s="74" t="str">
        <f>IFERROR(1/(1/COUNTIFS(
'YearA-AppDetails Current Date'!A:A,D38,
'YearA-AppDetails Current Date'!F:F,E38,
'YearA-AppDetails Current Date'!E:E,--F38,
'YearA-AppDetails Current Date'!Y:Y,"ENRO",
'YearA-AppDetails Current Date'!I:I,"SUMMER")),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HC'!D:T,2,FALSE)),
N(VLOOKUP(D39&amp;F39,'Budgeted Projections Dom HC'!D:T,3,FALSE))
)
),"")</f>
        <v/>
      </c>
      <c r="I39" s="73" t="str">
        <f>IFERROR(1/(1/COUNTIFS(
'YearA-AppDetails Current Date'!A:A,D39,
'YearA-AppDetails Current Date'!F:F,E39,
'YearA-AppDetails Current Date'!E:E,--F39,
'YearA-AppDetails Current Date'!I:I,"SUMMER")), "")</f>
        <v/>
      </c>
      <c r="J39" s="74" t="str" cm="1">
        <f t="array" ref="J39">IFERROR(1/(1/SUM(COUNTIFS(
'YearA-AppDetails Current Date'!A:A,D39,
'YearA-AppDetails Current Date'!F:F,E39,
'YearA-AppDetails Current Date'!E:E,--F39,
'YearA-AppDetails Current Date'!O:O,{"ACLN","ACPT","COND"},
'YearA-AppDetails Current Date'!S:S,"&lt;&gt;ACLN",
'YearA-AppDetails Current Date'!S:S,"&lt;&gt;ACPT",
'YearA-AppDetails Current Date'!S:S,"&lt;&gt;COND",
'YearA-AppDetails Current Date'!I:I,"SUMMER"))), "")</f>
        <v/>
      </c>
      <c r="K39" s="73" t="str">
        <f>IFERROR(1/(1/SUM(COUNTIFS(
'YearA-AppDetails Current Date'!A:A,D39,
'YearA-AppDetails Current Date'!F:F,E39,
'YearA-AppDetails Current Date'!E:E,--F39,
'YearA-AppDetails Current Date'!R:R,"&lt;&gt;"&amp;"",
'YearA-AppDetails Current Date'!I:I,"SUMMER"))), "")</f>
        <v/>
      </c>
      <c r="L39" s="74" t="str" cm="1">
        <f t="array" ref="L39">IFERROR(1/(1/SUM(COUNTIFS(
'YearA-AppDetails Current Date'!A:A,D39,
'YearA-AppDetails Current Date'!F:F,E39,
'YearA-AppDetails Current Date'!E:E,--F39,
'YearA-AppDetails Current Date'!T:T,{"APEX","DENY","NTSL"},
'YearA-AppDetails Current Date'!I:I,"SUMMER"))), "")</f>
        <v/>
      </c>
      <c r="M39" s="74" t="str" cm="1">
        <f t="array" ref="M39">IFERROR(1/(1/SUM(COUNTIFS(
'YearA-AppDetails Current Date'!A:A,D39,
'YearA-AppDetails Current Date'!F:F,E39,
'YearA-AppDetails Current Date'!E:E,--F39,
'YearA-AppDetails Current Date'!U:U,{"CCAN","DECL"},
'YearA-AppDetails Current Date'!I:I,"SUMMER"))), "")</f>
        <v/>
      </c>
      <c r="N39" s="74" t="str" cm="1">
        <f t="array" ref="N39">IFERROR(1/(1/SUM(COUNTIFS(
'YearA-AppDetails Current Date'!A:A,D39,
'YearA-AppDetails Current Date'!F:F,E39,
'YearA-AppDetails Current Date'!E:E,--F39,
'YearA-AppDetails Current Date'!V:V,{"APRO","NODE"},
'YearA-AppDetails Current Date'!I:I,"SUMMER"))), "")</f>
        <v/>
      </c>
      <c r="O39" s="74" t="str" cm="1">
        <f t="array" ref="O39">IFERROR(1/(1/SUM(COUNTIFS(
'YearA-AppDetails Current Date'!A:A,D39,
'YearA-AppDetails Current Date'!F:F,E39,
'YearA-AppDetails Current Date'!E:E,--F39,
'YearA-AppDetails Current Date'!T:T,{"CDMT","RQMT","WAIT"},
'YearA-AppDetails Current Date'!I:I,"SUMMER"))), "")</f>
        <v/>
      </c>
      <c r="P39" s="74" t="str">
        <f>IFERROR(1/(1/COUNTIFS(
'YearA-AppDetails Current Date'!A:A,D39,
'YearA-AppDetails Current Date'!F:F,E39,
'YearA-AppDetails Current Date'!E:E,--F39,
'YearA-AppDetails Current Date'!Y:Y,"ENRO",
'YearA-AppDetails Current Date'!I:I,"SUMMER")),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HC'!D:T,2,FALSE)),
N(VLOOKUP(D40&amp;F40,'Budgeted Projections Intl HC'!D:T,3,FALSE))
)
),"")</f>
        <v/>
      </c>
      <c r="I40" s="73" t="str">
        <f>IFERROR(1/(1/COUNTIFS(
'YearA-AppDetails Current Date'!A:A,D40,
'YearA-AppDetails Current Date'!F:F,E40,
'YearA-AppDetails Current Date'!E:E,--F40,
'YearA-AppDetails Current Date'!I:I,"SUMMER")), "")</f>
        <v/>
      </c>
      <c r="J40" s="74" t="str" cm="1">
        <f t="array" ref="J40">IFERROR(1/(1/SUM(COUNTIFS(
'YearA-AppDetails Current Date'!A:A,D40,
'YearA-AppDetails Current Date'!F:F,E40,
'YearA-AppDetails Current Date'!E:E,--F40,
'YearA-AppDetails Current Date'!O:O,{"ACLN","ACPT","COND"},
'YearA-AppDetails Current Date'!S:S,"&lt;&gt;ACLN",
'YearA-AppDetails Current Date'!S:S,"&lt;&gt;ACPT",
'YearA-AppDetails Current Date'!S:S,"&lt;&gt;COND",
'YearA-AppDetails Current Date'!I:I,"SUMMER"))), "")</f>
        <v/>
      </c>
      <c r="K40" s="73" t="str">
        <f>IFERROR(1/(1/SUM(COUNTIFS(
'YearA-AppDetails Current Date'!A:A,D40,
'YearA-AppDetails Current Date'!F:F,E40,
'YearA-AppDetails Current Date'!E:E,--F40,
'YearA-AppDetails Current Date'!R:R,"&lt;&gt;"&amp;"",
'YearA-AppDetails Current Date'!I:I,"SUMMER"))), "")</f>
        <v/>
      </c>
      <c r="L40" s="74" t="str" cm="1">
        <f t="array" ref="L40">IFERROR(1/(1/SUM(COUNTIFS(
'YearA-AppDetails Current Date'!A:A,D40,
'YearA-AppDetails Current Date'!F:F,E40,
'YearA-AppDetails Current Date'!E:E,--F40,
'YearA-AppDetails Current Date'!T:T,{"APEX","DENY","NTSL"},
'YearA-AppDetails Current Date'!I:I,"SUMMER"))), "")</f>
        <v/>
      </c>
      <c r="M40" s="74" t="str" cm="1">
        <f t="array" ref="M40">IFERROR(1/(1/SUM(COUNTIFS(
'YearA-AppDetails Current Date'!A:A,D40,
'YearA-AppDetails Current Date'!F:F,E40,
'YearA-AppDetails Current Date'!E:E,--F40,
'YearA-AppDetails Current Date'!U:U,{"CCAN","DECL"},
'YearA-AppDetails Current Date'!I:I,"SUMMER"))), "")</f>
        <v/>
      </c>
      <c r="N40" s="74" t="str" cm="1">
        <f t="array" ref="N40">IFERROR(1/(1/SUM(COUNTIFS(
'YearA-AppDetails Current Date'!A:A,D40,
'YearA-AppDetails Current Date'!F:F,E40,
'YearA-AppDetails Current Date'!E:E,--F40,
'YearA-AppDetails Current Date'!V:V,{"APRO","NODE"},
'YearA-AppDetails Current Date'!I:I,"SUMMER"))), "")</f>
        <v/>
      </c>
      <c r="O40" s="74" t="str" cm="1">
        <f t="array" ref="O40">IFERROR(1/(1/SUM(COUNTIFS(
'YearA-AppDetails Current Date'!A:A,D40,
'YearA-AppDetails Current Date'!F:F,E40,
'YearA-AppDetails Current Date'!E:E,--F40,
'YearA-AppDetails Current Date'!T:T,{"CDMT","RQMT","WAIT"},
'YearA-AppDetails Current Date'!I:I,"SUMMER"))), "")</f>
        <v/>
      </c>
      <c r="P40" s="74" t="str">
        <f>IFERROR(1/(1/COUNTIFS(
'YearA-AppDetails Current Date'!A:A,D40,
'YearA-AppDetails Current Date'!F:F,E40,
'YearA-AppDetails Current Date'!E:E,--F40,
'YearA-AppDetails Current Date'!Y:Y,"ENRO",
'YearA-AppDetails Current Date'!I:I,"SUMMER")),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HC'!D:T,2,FALSE)),
N(VLOOKUP(D41&amp;F41,'Budgeted Projections Dom HC'!D:T,3,FALSE))
)
),"")</f>
        <v/>
      </c>
      <c r="I41" s="73" t="str">
        <f>IFERROR(1/(1/COUNTIFS(
'YearA-AppDetails Current Date'!A:A,D41,
'YearA-AppDetails Current Date'!F:F,E41,
'YearA-AppDetails Current Date'!E:E,--F41,
'YearA-AppDetails Current Date'!I:I,"SUMMER")), "")</f>
        <v/>
      </c>
      <c r="J41" s="74" t="str" cm="1">
        <f t="array" ref="J41">IFERROR(1/(1/SUM(COUNTIFS(
'YearA-AppDetails Current Date'!A:A,D41,
'YearA-AppDetails Current Date'!F:F,E41,
'YearA-AppDetails Current Date'!E:E,--F41,
'YearA-AppDetails Current Date'!O:O,{"ACLN","ACPT","COND"},
'YearA-AppDetails Current Date'!S:S,"&lt;&gt;ACLN",
'YearA-AppDetails Current Date'!S:S,"&lt;&gt;ACPT",
'YearA-AppDetails Current Date'!S:S,"&lt;&gt;COND",
'YearA-AppDetails Current Date'!I:I,"SUMMER"))), "")</f>
        <v/>
      </c>
      <c r="K41" s="73" t="str">
        <f>IFERROR(1/(1/SUM(COUNTIFS(
'YearA-AppDetails Current Date'!A:A,D41,
'YearA-AppDetails Current Date'!F:F,E41,
'YearA-AppDetails Current Date'!E:E,--F41,
'YearA-AppDetails Current Date'!R:R,"&lt;&gt;"&amp;"",
'YearA-AppDetails Current Date'!I:I,"SUMMER"))), "")</f>
        <v/>
      </c>
      <c r="L41" s="74" t="str" cm="1">
        <f t="array" ref="L41">IFERROR(1/(1/SUM(COUNTIFS(
'YearA-AppDetails Current Date'!A:A,D41,
'YearA-AppDetails Current Date'!F:F,E41,
'YearA-AppDetails Current Date'!E:E,--F41,
'YearA-AppDetails Current Date'!T:T,{"APEX","DENY","NTSL"},
'YearA-AppDetails Current Date'!I:I,"SUMMER"))), "")</f>
        <v/>
      </c>
      <c r="M41" s="74" t="str" cm="1">
        <f t="array" ref="M41">IFERROR(1/(1/SUM(COUNTIFS(
'YearA-AppDetails Current Date'!A:A,D41,
'YearA-AppDetails Current Date'!F:F,E41,
'YearA-AppDetails Current Date'!E:E,--F41,
'YearA-AppDetails Current Date'!U:U,{"CCAN","DECL"},
'YearA-AppDetails Current Date'!I:I,"SUMMER"))), "")</f>
        <v/>
      </c>
      <c r="N41" s="74" t="str" cm="1">
        <f t="array" ref="N41">IFERROR(1/(1/SUM(COUNTIFS(
'YearA-AppDetails Current Date'!A:A,D41,
'YearA-AppDetails Current Date'!F:F,E41,
'YearA-AppDetails Current Date'!E:E,--F41,
'YearA-AppDetails Current Date'!V:V,{"APRO","NODE"},
'YearA-AppDetails Current Date'!I:I,"SUMMER"))), "")</f>
        <v/>
      </c>
      <c r="O41" s="74" t="str" cm="1">
        <f t="array" ref="O41">IFERROR(1/(1/SUM(COUNTIFS(
'YearA-AppDetails Current Date'!A:A,D41,
'YearA-AppDetails Current Date'!F:F,E41,
'YearA-AppDetails Current Date'!E:E,--F41,
'YearA-AppDetails Current Date'!T:T,{"CDMT","RQMT","WAIT"},
'YearA-AppDetails Current Date'!I:I,"SUMMER"))), "")</f>
        <v/>
      </c>
      <c r="P41" s="74" t="str">
        <f>IFERROR(1/(1/COUNTIFS(
'YearA-AppDetails Current Date'!A:A,D41,
'YearA-AppDetails Current Date'!F:F,E41,
'YearA-AppDetails Current Date'!E:E,--F41,
'YearA-AppDetails Current Date'!Y:Y,"ENRO",
'YearA-AppDetails Current Date'!I:I,"SUMMER")),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HC'!D:T,2,FALSE)),
N(VLOOKUP(D42&amp;F42,'Budgeted Projections Intl HC'!D:T,3,FALSE))
)
),"")</f>
        <v/>
      </c>
      <c r="I42" s="73" t="str">
        <f>IFERROR(1/(1/COUNTIFS(
'YearA-AppDetails Current Date'!A:A,D42,
'YearA-AppDetails Current Date'!F:F,E42,
'YearA-AppDetails Current Date'!E:E,--F42,
'YearA-AppDetails Current Date'!I:I,"SUMMER")), "")</f>
        <v/>
      </c>
      <c r="J42" s="74" t="str" cm="1">
        <f t="array" ref="J42">IFERROR(1/(1/SUM(COUNTIFS(
'YearA-AppDetails Current Date'!A:A,D42,
'YearA-AppDetails Current Date'!F:F,E42,
'YearA-AppDetails Current Date'!E:E,--F42,
'YearA-AppDetails Current Date'!O:O,{"ACLN","ACPT","COND"},
'YearA-AppDetails Current Date'!S:S,"&lt;&gt;ACLN",
'YearA-AppDetails Current Date'!S:S,"&lt;&gt;ACPT",
'YearA-AppDetails Current Date'!S:S,"&lt;&gt;COND",
'YearA-AppDetails Current Date'!I:I,"SUMMER"))), "")</f>
        <v/>
      </c>
      <c r="K42" s="73" t="str">
        <f>IFERROR(1/(1/SUM(COUNTIFS(
'YearA-AppDetails Current Date'!A:A,D42,
'YearA-AppDetails Current Date'!F:F,E42,
'YearA-AppDetails Current Date'!E:E,--F42,
'YearA-AppDetails Current Date'!R:R,"&lt;&gt;"&amp;"",
'YearA-AppDetails Current Date'!I:I,"SUMMER"))), "")</f>
        <v/>
      </c>
      <c r="L42" s="74" t="str" cm="1">
        <f t="array" ref="L42">IFERROR(1/(1/SUM(COUNTIFS(
'YearA-AppDetails Current Date'!A:A,D42,
'YearA-AppDetails Current Date'!F:F,E42,
'YearA-AppDetails Current Date'!E:E,--F42,
'YearA-AppDetails Current Date'!T:T,{"APEX","DENY","NTSL"},
'YearA-AppDetails Current Date'!I:I,"SUMMER"))), "")</f>
        <v/>
      </c>
      <c r="M42" s="74" t="str" cm="1">
        <f t="array" ref="M42">IFERROR(1/(1/SUM(COUNTIFS(
'YearA-AppDetails Current Date'!A:A,D42,
'YearA-AppDetails Current Date'!F:F,E42,
'YearA-AppDetails Current Date'!E:E,--F42,
'YearA-AppDetails Current Date'!U:U,{"CCAN","DECL"},
'YearA-AppDetails Current Date'!I:I,"SUMMER"))), "")</f>
        <v/>
      </c>
      <c r="N42" s="74" t="str" cm="1">
        <f t="array" ref="N42">IFERROR(1/(1/SUM(COUNTIFS(
'YearA-AppDetails Current Date'!A:A,D42,
'YearA-AppDetails Current Date'!F:F,E42,
'YearA-AppDetails Current Date'!E:E,--F42,
'YearA-AppDetails Current Date'!V:V,{"APRO","NODE"},
'YearA-AppDetails Current Date'!I:I,"SUMMER"))), "")</f>
        <v/>
      </c>
      <c r="O42" s="74" t="str" cm="1">
        <f t="array" ref="O42">IFERROR(1/(1/SUM(COUNTIFS(
'YearA-AppDetails Current Date'!A:A,D42,
'YearA-AppDetails Current Date'!F:F,E42,
'YearA-AppDetails Current Date'!E:E,--F42,
'YearA-AppDetails Current Date'!T:T,{"CDMT","RQMT","WAIT"},
'YearA-AppDetails Current Date'!I:I,"SUMMER"))), "")</f>
        <v/>
      </c>
      <c r="P42" s="74" t="str">
        <f>IFERROR(1/(1/COUNTIFS(
'YearA-AppDetails Current Date'!A:A,D42,
'YearA-AppDetails Current Date'!F:F,E42,
'YearA-AppDetails Current Date'!E:E,--F42,
'YearA-AppDetails Current Date'!Y:Y,"ENRO",
'YearA-AppDetails Current Date'!I:I,"SUMMER")),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HC'!D:T,2,FALSE)),
N(VLOOKUP(D43&amp;F43,'Budgeted Projections Dom HC'!D:T,3,FALSE))
)
),"")</f>
        <v/>
      </c>
      <c r="I43" s="73" t="str">
        <f>IFERROR(1/(1/COUNTIFS(
'YearA-AppDetails Current Date'!A:A,D43,
'YearA-AppDetails Current Date'!F:F,E43,
'YearA-AppDetails Current Date'!E:E,--F43,
'YearA-AppDetails Current Date'!I:I,"SUMMER")), "")</f>
        <v/>
      </c>
      <c r="J43" s="74" t="str" cm="1">
        <f t="array" ref="J43">IFERROR(1/(1/SUM(COUNTIFS(
'YearA-AppDetails Current Date'!A:A,D43,
'YearA-AppDetails Current Date'!F:F,E43,
'YearA-AppDetails Current Date'!E:E,--F43,
'YearA-AppDetails Current Date'!O:O,{"ACLN","ACPT","COND"},
'YearA-AppDetails Current Date'!S:S,"&lt;&gt;ACLN",
'YearA-AppDetails Current Date'!S:S,"&lt;&gt;ACPT",
'YearA-AppDetails Current Date'!S:S,"&lt;&gt;COND",
'YearA-AppDetails Current Date'!I:I,"SUMMER"))), "")</f>
        <v/>
      </c>
      <c r="K43" s="73" t="str">
        <f>IFERROR(1/(1/SUM(COUNTIFS(
'YearA-AppDetails Current Date'!A:A,D43,
'YearA-AppDetails Current Date'!F:F,E43,
'YearA-AppDetails Current Date'!E:E,--F43,
'YearA-AppDetails Current Date'!R:R,"&lt;&gt;"&amp;"",
'YearA-AppDetails Current Date'!I:I,"SUMMER"))), "")</f>
        <v/>
      </c>
      <c r="L43" s="74" t="str" cm="1">
        <f t="array" ref="L43">IFERROR(1/(1/SUM(COUNTIFS(
'YearA-AppDetails Current Date'!A:A,D43,
'YearA-AppDetails Current Date'!F:F,E43,
'YearA-AppDetails Current Date'!E:E,--F43,
'YearA-AppDetails Current Date'!T:T,{"APEX","DENY","NTSL"},
'YearA-AppDetails Current Date'!I:I,"SUMMER"))), "")</f>
        <v/>
      </c>
      <c r="M43" s="74" t="str" cm="1">
        <f t="array" ref="M43">IFERROR(1/(1/SUM(COUNTIFS(
'YearA-AppDetails Current Date'!A:A,D43,
'YearA-AppDetails Current Date'!F:F,E43,
'YearA-AppDetails Current Date'!E:E,--F43,
'YearA-AppDetails Current Date'!U:U,{"CCAN","DECL"},
'YearA-AppDetails Current Date'!I:I,"SUMMER"))), "")</f>
        <v/>
      </c>
      <c r="N43" s="74" t="str" cm="1">
        <f t="array" ref="N43">IFERROR(1/(1/SUM(COUNTIFS(
'YearA-AppDetails Current Date'!A:A,D43,
'YearA-AppDetails Current Date'!F:F,E43,
'YearA-AppDetails Current Date'!E:E,--F43,
'YearA-AppDetails Current Date'!V:V,{"APRO","NODE"},
'YearA-AppDetails Current Date'!I:I,"SUMMER"))), "")</f>
        <v/>
      </c>
      <c r="O43" s="74" t="str" cm="1">
        <f t="array" ref="O43">IFERROR(1/(1/SUM(COUNTIFS(
'YearA-AppDetails Current Date'!A:A,D43,
'YearA-AppDetails Current Date'!F:F,E43,
'YearA-AppDetails Current Date'!E:E,--F43,
'YearA-AppDetails Current Date'!T:T,{"CDMT","RQMT","WAIT"},
'YearA-AppDetails Current Date'!I:I,"SUMMER"))), "")</f>
        <v/>
      </c>
      <c r="P43" s="74" t="str">
        <f>IFERROR(1/(1/COUNTIFS(
'YearA-AppDetails Current Date'!A:A,D43,
'YearA-AppDetails Current Date'!F:F,E43,
'YearA-AppDetails Current Date'!E:E,--F43,
'YearA-AppDetails Current Date'!Y:Y,"ENRO",
'YearA-AppDetails Current Date'!I:I,"SUMMER")),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HC'!D:T,2,FALSE)),
N(VLOOKUP(D44&amp;F44,'Budgeted Projections Intl HC'!D:T,3,FALSE))
)
),"")</f>
        <v/>
      </c>
      <c r="I44" s="73" t="str">
        <f>IFERROR(1/(1/COUNTIFS(
'YearA-AppDetails Current Date'!A:A,D44,
'YearA-AppDetails Current Date'!F:F,E44,
'YearA-AppDetails Current Date'!E:E,--F44,
'YearA-AppDetails Current Date'!I:I,"SUMMER")), "")</f>
        <v/>
      </c>
      <c r="J44" s="74" t="str" cm="1">
        <f t="array" ref="J44">IFERROR(1/(1/SUM(COUNTIFS(
'YearA-AppDetails Current Date'!A:A,D44,
'YearA-AppDetails Current Date'!F:F,E44,
'YearA-AppDetails Current Date'!E:E,--F44,
'YearA-AppDetails Current Date'!O:O,{"ACLN","ACPT","COND"},
'YearA-AppDetails Current Date'!S:S,"&lt;&gt;ACLN",
'YearA-AppDetails Current Date'!S:S,"&lt;&gt;ACPT",
'YearA-AppDetails Current Date'!S:S,"&lt;&gt;COND",
'YearA-AppDetails Current Date'!I:I,"SUMMER"))), "")</f>
        <v/>
      </c>
      <c r="K44" s="73" t="str">
        <f>IFERROR(1/(1/SUM(COUNTIFS(
'YearA-AppDetails Current Date'!A:A,D44,
'YearA-AppDetails Current Date'!F:F,E44,
'YearA-AppDetails Current Date'!E:E,--F44,
'YearA-AppDetails Current Date'!R:R,"&lt;&gt;"&amp;"",
'YearA-AppDetails Current Date'!I:I,"SUMMER"))), "")</f>
        <v/>
      </c>
      <c r="L44" s="74" t="str" cm="1">
        <f t="array" ref="L44">IFERROR(1/(1/SUM(COUNTIFS(
'YearA-AppDetails Current Date'!A:A,D44,
'YearA-AppDetails Current Date'!F:F,E44,
'YearA-AppDetails Current Date'!E:E,--F44,
'YearA-AppDetails Current Date'!T:T,{"APEX","DENY","NTSL"},
'YearA-AppDetails Current Date'!I:I,"SUMMER"))), "")</f>
        <v/>
      </c>
      <c r="M44" s="74" t="str" cm="1">
        <f t="array" ref="M44">IFERROR(1/(1/SUM(COUNTIFS(
'YearA-AppDetails Current Date'!A:A,D44,
'YearA-AppDetails Current Date'!F:F,E44,
'YearA-AppDetails Current Date'!E:E,--F44,
'YearA-AppDetails Current Date'!U:U,{"CCAN","DECL"},
'YearA-AppDetails Current Date'!I:I,"SUMMER"))), "")</f>
        <v/>
      </c>
      <c r="N44" s="74" t="str" cm="1">
        <f t="array" ref="N44">IFERROR(1/(1/SUM(COUNTIFS(
'YearA-AppDetails Current Date'!A:A,D44,
'YearA-AppDetails Current Date'!F:F,E44,
'YearA-AppDetails Current Date'!E:E,--F44,
'YearA-AppDetails Current Date'!V:V,{"APRO","NODE"},
'YearA-AppDetails Current Date'!I:I,"SUMMER"))), "")</f>
        <v/>
      </c>
      <c r="O44" s="74" t="str" cm="1">
        <f t="array" ref="O44">IFERROR(1/(1/SUM(COUNTIFS(
'YearA-AppDetails Current Date'!A:A,D44,
'YearA-AppDetails Current Date'!F:F,E44,
'YearA-AppDetails Current Date'!E:E,--F44,
'YearA-AppDetails Current Date'!T:T,{"CDMT","RQMT","WAIT"},
'YearA-AppDetails Current Date'!I:I,"SUMMER"))), "")</f>
        <v/>
      </c>
      <c r="P44" s="74" t="str">
        <f>IFERROR(1/(1/COUNTIFS(
'YearA-AppDetails Current Date'!A:A,D44,
'YearA-AppDetails Current Date'!F:F,E44,
'YearA-AppDetails Current Date'!E:E,--F44,
'YearA-AppDetails Current Date'!Y:Y,"ENRO",
'YearA-AppDetails Current Date'!I:I,"SUMMER")),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HC'!D:T,2,FALSE)),
N(VLOOKUP(D45&amp;F45,'Budgeted Projections Dom HC'!D:T,3,FALSE))
)
),"")</f>
        <v/>
      </c>
      <c r="I45" s="73" t="str">
        <f>IFERROR(1/(1/COUNTIFS(
'YearA-AppDetails Current Date'!A:A,D45,
'YearA-AppDetails Current Date'!F:F,E45,
'YearA-AppDetails Current Date'!E:E,--F45,
'YearA-AppDetails Current Date'!I:I,"SUMMER")), "")</f>
        <v/>
      </c>
      <c r="J45" s="74" t="str" cm="1">
        <f t="array" ref="J45">IFERROR(1/(1/SUM(COUNTIFS(
'YearA-AppDetails Current Date'!A:A,D45,
'YearA-AppDetails Current Date'!F:F,E45,
'YearA-AppDetails Current Date'!E:E,--F45,
'YearA-AppDetails Current Date'!O:O,{"ACLN","ACPT","COND"},
'YearA-AppDetails Current Date'!S:S,"&lt;&gt;ACLN",
'YearA-AppDetails Current Date'!S:S,"&lt;&gt;ACPT",
'YearA-AppDetails Current Date'!S:S,"&lt;&gt;COND",
'YearA-AppDetails Current Date'!I:I,"SUMMER"))), "")</f>
        <v/>
      </c>
      <c r="K45" s="73" t="str">
        <f>IFERROR(1/(1/SUM(COUNTIFS(
'YearA-AppDetails Current Date'!A:A,D45,
'YearA-AppDetails Current Date'!F:F,E45,
'YearA-AppDetails Current Date'!E:E,--F45,
'YearA-AppDetails Current Date'!R:R,"&lt;&gt;"&amp;"",
'YearA-AppDetails Current Date'!I:I,"SUMMER"))), "")</f>
        <v/>
      </c>
      <c r="L45" s="74" t="str" cm="1">
        <f t="array" ref="L45">IFERROR(1/(1/SUM(COUNTIFS(
'YearA-AppDetails Current Date'!A:A,D45,
'YearA-AppDetails Current Date'!F:F,E45,
'YearA-AppDetails Current Date'!E:E,--F45,
'YearA-AppDetails Current Date'!T:T,{"APEX","DENY","NTSL"},
'YearA-AppDetails Current Date'!I:I,"SUMMER"))), "")</f>
        <v/>
      </c>
      <c r="M45" s="74" t="str" cm="1">
        <f t="array" ref="M45">IFERROR(1/(1/SUM(COUNTIFS(
'YearA-AppDetails Current Date'!A:A,D45,
'YearA-AppDetails Current Date'!F:F,E45,
'YearA-AppDetails Current Date'!E:E,--F45,
'YearA-AppDetails Current Date'!U:U,{"CCAN","DECL"},
'YearA-AppDetails Current Date'!I:I,"SUMMER"))), "")</f>
        <v/>
      </c>
      <c r="N45" s="74" t="str" cm="1">
        <f t="array" ref="N45">IFERROR(1/(1/SUM(COUNTIFS(
'YearA-AppDetails Current Date'!A:A,D45,
'YearA-AppDetails Current Date'!F:F,E45,
'YearA-AppDetails Current Date'!E:E,--F45,
'YearA-AppDetails Current Date'!V:V,{"APRO","NODE"},
'YearA-AppDetails Current Date'!I:I,"SUMMER"))), "")</f>
        <v/>
      </c>
      <c r="O45" s="74" t="str" cm="1">
        <f t="array" ref="O45">IFERROR(1/(1/SUM(COUNTIFS(
'YearA-AppDetails Current Date'!A:A,D45,
'YearA-AppDetails Current Date'!F:F,E45,
'YearA-AppDetails Current Date'!E:E,--F45,
'YearA-AppDetails Current Date'!T:T,{"CDMT","RQMT","WAIT"},
'YearA-AppDetails Current Date'!I:I,"SUMMER"))), "")</f>
        <v/>
      </c>
      <c r="P45" s="74" t="str">
        <f>IFERROR(1/(1/COUNTIFS(
'YearA-AppDetails Current Date'!A:A,D45,
'YearA-AppDetails Current Date'!F:F,E45,
'YearA-AppDetails Current Date'!E:E,--F45,
'YearA-AppDetails Current Date'!Y:Y,"ENRO",
'YearA-AppDetails Current Date'!I:I,"SUMMER")),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HC'!D:T,2,FALSE)),
N(VLOOKUP(D46&amp;F46,'Budgeted Projections Intl HC'!D:T,3,FALSE))
)
),"")</f>
        <v/>
      </c>
      <c r="I46" s="73" t="str">
        <f>IFERROR(1/(1/COUNTIFS(
'YearA-AppDetails Current Date'!A:A,D46,
'YearA-AppDetails Current Date'!F:F,E46,
'YearA-AppDetails Current Date'!E:E,--F46,
'YearA-AppDetails Current Date'!I:I,"SUMMER")), "")</f>
        <v/>
      </c>
      <c r="J46" s="74" t="str" cm="1">
        <f t="array" ref="J46">IFERROR(1/(1/SUM(COUNTIFS(
'YearA-AppDetails Current Date'!A:A,D46,
'YearA-AppDetails Current Date'!F:F,E46,
'YearA-AppDetails Current Date'!E:E,--F46,
'YearA-AppDetails Current Date'!O:O,{"ACLN","ACPT","COND"},
'YearA-AppDetails Current Date'!S:S,"&lt;&gt;ACLN",
'YearA-AppDetails Current Date'!S:S,"&lt;&gt;ACPT",
'YearA-AppDetails Current Date'!S:S,"&lt;&gt;COND",
'YearA-AppDetails Current Date'!I:I,"SUMMER"))), "")</f>
        <v/>
      </c>
      <c r="K46" s="73" t="str">
        <f>IFERROR(1/(1/SUM(COUNTIFS(
'YearA-AppDetails Current Date'!A:A,D46,
'YearA-AppDetails Current Date'!F:F,E46,
'YearA-AppDetails Current Date'!E:E,--F46,
'YearA-AppDetails Current Date'!R:R,"&lt;&gt;"&amp;"",
'YearA-AppDetails Current Date'!I:I,"SUMMER"))), "")</f>
        <v/>
      </c>
      <c r="L46" s="74" t="str" cm="1">
        <f t="array" ref="L46">IFERROR(1/(1/SUM(COUNTIFS(
'YearA-AppDetails Current Date'!A:A,D46,
'YearA-AppDetails Current Date'!F:F,E46,
'YearA-AppDetails Current Date'!E:E,--F46,
'YearA-AppDetails Current Date'!T:T,{"APEX","DENY","NTSL"},
'YearA-AppDetails Current Date'!I:I,"SUMMER"))), "")</f>
        <v/>
      </c>
      <c r="M46" s="74" t="str" cm="1">
        <f t="array" ref="M46">IFERROR(1/(1/SUM(COUNTIFS(
'YearA-AppDetails Current Date'!A:A,D46,
'YearA-AppDetails Current Date'!F:F,E46,
'YearA-AppDetails Current Date'!E:E,--F46,
'YearA-AppDetails Current Date'!U:U,{"CCAN","DECL"},
'YearA-AppDetails Current Date'!I:I,"SUMMER"))), "")</f>
        <v/>
      </c>
      <c r="N46" s="74" t="str" cm="1">
        <f t="array" ref="N46">IFERROR(1/(1/SUM(COUNTIFS(
'YearA-AppDetails Current Date'!A:A,D46,
'YearA-AppDetails Current Date'!F:F,E46,
'YearA-AppDetails Current Date'!E:E,--F46,
'YearA-AppDetails Current Date'!V:V,{"APRO","NODE"},
'YearA-AppDetails Current Date'!I:I,"SUMMER"))), "")</f>
        <v/>
      </c>
      <c r="O46" s="74" t="str" cm="1">
        <f t="array" ref="O46">IFERROR(1/(1/SUM(COUNTIFS(
'YearA-AppDetails Current Date'!A:A,D46,
'YearA-AppDetails Current Date'!F:F,E46,
'YearA-AppDetails Current Date'!E:E,--F46,
'YearA-AppDetails Current Date'!T:T,{"CDMT","RQMT","WAIT"},
'YearA-AppDetails Current Date'!I:I,"SUMMER"))), "")</f>
        <v/>
      </c>
      <c r="P46" s="74" t="str">
        <f>IFERROR(1/(1/COUNTIFS(
'YearA-AppDetails Current Date'!A:A,D46,
'YearA-AppDetails Current Date'!F:F,E46,
'YearA-AppDetails Current Date'!E:E,--F46,
'YearA-AppDetails Current Date'!Y:Y,"ENRO",
'YearA-AppDetails Current Date'!I:I,"SUMMER")),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HC'!D:T,2,FALSE)),
N(VLOOKUP(D47&amp;F47,'Budgeted Projections Dom HC'!D:T,3,FALSE))
)
),"")</f>
        <v/>
      </c>
      <c r="I47" s="73" t="str">
        <f>IFERROR(1/(1/COUNTIFS(
'YearA-AppDetails Current Date'!A:A,D47,
'YearA-AppDetails Current Date'!F:F,E47,
'YearA-AppDetails Current Date'!E:E,--F47,
'YearA-AppDetails Current Date'!I:I,"SUMMER")), "")</f>
        <v/>
      </c>
      <c r="J47" s="74" t="str" cm="1">
        <f t="array" ref="J47">IFERROR(1/(1/SUM(COUNTIFS(
'YearA-AppDetails Current Date'!A:A,D47,
'YearA-AppDetails Current Date'!F:F,E47,
'YearA-AppDetails Current Date'!E:E,--F47,
'YearA-AppDetails Current Date'!O:O,{"ACLN","ACPT","COND"},
'YearA-AppDetails Current Date'!S:S,"&lt;&gt;ACLN",
'YearA-AppDetails Current Date'!S:S,"&lt;&gt;ACPT",
'YearA-AppDetails Current Date'!S:S,"&lt;&gt;COND",
'YearA-AppDetails Current Date'!I:I,"SUMMER"))), "")</f>
        <v/>
      </c>
      <c r="K47" s="73" t="str">
        <f>IFERROR(1/(1/SUM(COUNTIFS(
'YearA-AppDetails Current Date'!A:A,D47,
'YearA-AppDetails Current Date'!F:F,E47,
'YearA-AppDetails Current Date'!E:E,--F47,
'YearA-AppDetails Current Date'!R:R,"&lt;&gt;"&amp;"",
'YearA-AppDetails Current Date'!I:I,"SUMMER"))), "")</f>
        <v/>
      </c>
      <c r="L47" s="74" t="str" cm="1">
        <f t="array" ref="L47">IFERROR(1/(1/SUM(COUNTIFS(
'YearA-AppDetails Current Date'!A:A,D47,
'YearA-AppDetails Current Date'!F:F,E47,
'YearA-AppDetails Current Date'!E:E,--F47,
'YearA-AppDetails Current Date'!T:T,{"APEX","DENY","NTSL"},
'YearA-AppDetails Current Date'!I:I,"SUMMER"))), "")</f>
        <v/>
      </c>
      <c r="M47" s="74" t="str" cm="1">
        <f t="array" ref="M47">IFERROR(1/(1/SUM(COUNTIFS(
'YearA-AppDetails Current Date'!A:A,D47,
'YearA-AppDetails Current Date'!F:F,E47,
'YearA-AppDetails Current Date'!E:E,--F47,
'YearA-AppDetails Current Date'!U:U,{"CCAN","DECL"},
'YearA-AppDetails Current Date'!I:I,"SUMMER"))), "")</f>
        <v/>
      </c>
      <c r="N47" s="74" t="str" cm="1">
        <f t="array" ref="N47">IFERROR(1/(1/SUM(COUNTIFS(
'YearA-AppDetails Current Date'!A:A,D47,
'YearA-AppDetails Current Date'!F:F,E47,
'YearA-AppDetails Current Date'!E:E,--F47,
'YearA-AppDetails Current Date'!V:V,{"APRO","NODE"},
'YearA-AppDetails Current Date'!I:I,"SUMMER"))), "")</f>
        <v/>
      </c>
      <c r="O47" s="74" t="str" cm="1">
        <f t="array" ref="O47">IFERROR(1/(1/SUM(COUNTIFS(
'YearA-AppDetails Current Date'!A:A,D47,
'YearA-AppDetails Current Date'!F:F,E47,
'YearA-AppDetails Current Date'!E:E,--F47,
'YearA-AppDetails Current Date'!T:T,{"CDMT","RQMT","WAIT"},
'YearA-AppDetails Current Date'!I:I,"SUMMER"))), "")</f>
        <v/>
      </c>
      <c r="P47" s="74" t="str">
        <f>IFERROR(1/(1/COUNTIFS(
'YearA-AppDetails Current Date'!A:A,D47,
'YearA-AppDetails Current Date'!F:F,E47,
'YearA-AppDetails Current Date'!E:E,--F47,
'YearA-AppDetails Current Date'!Y:Y,"ENRO",
'YearA-AppDetails Current Date'!I:I,"SUMMER")),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HC'!D:T,2,FALSE)),
N(VLOOKUP(D48&amp;F48,'Budgeted Projections Intl HC'!D:T,3,FALSE))
)
),"")</f>
        <v/>
      </c>
      <c r="I48" s="73" t="str">
        <f>IFERROR(1/(1/COUNTIFS(
'YearA-AppDetails Current Date'!A:A,D48,
'YearA-AppDetails Current Date'!F:F,E48,
'YearA-AppDetails Current Date'!E:E,--F48,
'YearA-AppDetails Current Date'!I:I,"SUMMER")), "")</f>
        <v/>
      </c>
      <c r="J48" s="74" t="str" cm="1">
        <f t="array" ref="J48">IFERROR(1/(1/SUM(COUNTIFS(
'YearA-AppDetails Current Date'!A:A,D48,
'YearA-AppDetails Current Date'!F:F,E48,
'YearA-AppDetails Current Date'!E:E,--F48,
'YearA-AppDetails Current Date'!O:O,{"ACLN","ACPT","COND"},
'YearA-AppDetails Current Date'!S:S,"&lt;&gt;ACLN",
'YearA-AppDetails Current Date'!S:S,"&lt;&gt;ACPT",
'YearA-AppDetails Current Date'!S:S,"&lt;&gt;COND",
'YearA-AppDetails Current Date'!I:I,"SUMMER"))), "")</f>
        <v/>
      </c>
      <c r="K48" s="73" t="str">
        <f>IFERROR(1/(1/SUM(COUNTIFS(
'YearA-AppDetails Current Date'!A:A,D48,
'YearA-AppDetails Current Date'!F:F,E48,
'YearA-AppDetails Current Date'!E:E,--F48,
'YearA-AppDetails Current Date'!R:R,"&lt;&gt;"&amp;"",
'YearA-AppDetails Current Date'!I:I,"SUMMER"))), "")</f>
        <v/>
      </c>
      <c r="L48" s="74" t="str" cm="1">
        <f t="array" ref="L48">IFERROR(1/(1/SUM(COUNTIFS(
'YearA-AppDetails Current Date'!A:A,D48,
'YearA-AppDetails Current Date'!F:F,E48,
'YearA-AppDetails Current Date'!E:E,--F48,
'YearA-AppDetails Current Date'!T:T,{"APEX","DENY","NTSL"},
'YearA-AppDetails Current Date'!I:I,"SUMMER"))), "")</f>
        <v/>
      </c>
      <c r="M48" s="74" t="str" cm="1">
        <f t="array" ref="M48">IFERROR(1/(1/SUM(COUNTIFS(
'YearA-AppDetails Current Date'!A:A,D48,
'YearA-AppDetails Current Date'!F:F,E48,
'YearA-AppDetails Current Date'!E:E,--F48,
'YearA-AppDetails Current Date'!U:U,{"CCAN","DECL"},
'YearA-AppDetails Current Date'!I:I,"SUMMER"))), "")</f>
        <v/>
      </c>
      <c r="N48" s="74" t="str" cm="1">
        <f t="array" ref="N48">IFERROR(1/(1/SUM(COUNTIFS(
'YearA-AppDetails Current Date'!A:A,D48,
'YearA-AppDetails Current Date'!F:F,E48,
'YearA-AppDetails Current Date'!E:E,--F48,
'YearA-AppDetails Current Date'!V:V,{"APRO","NODE"},
'YearA-AppDetails Current Date'!I:I,"SUMMER"))), "")</f>
        <v/>
      </c>
      <c r="O48" s="74" t="str" cm="1">
        <f t="array" ref="O48">IFERROR(1/(1/SUM(COUNTIFS(
'YearA-AppDetails Current Date'!A:A,D48,
'YearA-AppDetails Current Date'!F:F,E48,
'YearA-AppDetails Current Date'!E:E,--F48,
'YearA-AppDetails Current Date'!T:T,{"CDMT","RQMT","WAIT"},
'YearA-AppDetails Current Date'!I:I,"SUMMER"))), "")</f>
        <v/>
      </c>
      <c r="P48" s="74" t="str">
        <f>IFERROR(1/(1/COUNTIFS(
'YearA-AppDetails Current Date'!A:A,D48,
'YearA-AppDetails Current Date'!F:F,E48,
'YearA-AppDetails Current Date'!E:E,--F48,
'YearA-AppDetails Current Date'!Y:Y,"ENRO",
'YearA-AppDetails Current Date'!I:I,"SUMMER")), "")</f>
        <v/>
      </c>
      <c r="Q48" s="3" t="str">
        <f t="shared" si="0"/>
        <v/>
      </c>
    </row>
    <row r="49" spans="1:17" ht="15.75" customHeight="1" x14ac:dyDescent="0.25">
      <c r="A49" s="156"/>
      <c r="B49" s="41"/>
      <c r="C49" s="152" t="s">
        <v>276</v>
      </c>
      <c r="D49" s="153"/>
      <c r="E49" s="153"/>
      <c r="F49" s="154"/>
      <c r="G49" s="6"/>
      <c r="H49" s="7">
        <f>SUM(H35:H48)</f>
        <v>0</v>
      </c>
      <c r="I49" s="7">
        <f t="shared" ref="I49:P49" si="6">SUM(I35:I48)</f>
        <v>0</v>
      </c>
      <c r="J49" s="7">
        <f t="shared" si="6"/>
        <v>0</v>
      </c>
      <c r="K49" s="7">
        <f t="shared" si="6"/>
        <v>0</v>
      </c>
      <c r="L49" s="7">
        <f t="shared" si="6"/>
        <v>0</v>
      </c>
      <c r="M49" s="7">
        <f t="shared" si="6"/>
        <v>0</v>
      </c>
      <c r="N49" s="7">
        <f t="shared" si="6"/>
        <v>0</v>
      </c>
      <c r="O49" s="7">
        <f t="shared" si="6"/>
        <v>0</v>
      </c>
      <c r="P49" s="7">
        <f t="shared" si="6"/>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HC'!D:T,2,FALSE)),
N(VLOOKUP(D50&amp;F50,'Budgeted Projections Dom HC'!D:T,3,FALSE))
)
),"")</f>
        <v/>
      </c>
      <c r="I50" s="73" t="str">
        <f>IFERROR(1/(1/COUNTIFS(
'YearA-AppDetails Current Date'!A:A,D50,
'YearA-AppDetails Current Date'!F:F,E50,
'YearA-AppDetails Current Date'!E:E,--F50,
'YearA-AppDetails Current Date'!I:I,"SUMMER")), "")</f>
        <v/>
      </c>
      <c r="J50" s="74" t="str" cm="1">
        <f t="array" ref="J50">IFERROR(1/(1/SUM(COUNTIFS(
'YearA-AppDetails Current Date'!A:A,D50,
'YearA-AppDetails Current Date'!F:F,E50,
'YearA-AppDetails Current Date'!E:E,--F50,
'YearA-AppDetails Current Date'!O:O,{"ACLN","ACPT","COND"},
'YearA-AppDetails Current Date'!S:S,"&lt;&gt;ACLN",
'YearA-AppDetails Current Date'!S:S,"&lt;&gt;ACPT",
'YearA-AppDetails Current Date'!S:S,"&lt;&gt;COND",
'YearA-AppDetails Current Date'!I:I,"SUMMER"))), "")</f>
        <v/>
      </c>
      <c r="K50" s="73" t="str">
        <f>IFERROR(1/(1/SUM(COUNTIFS(
'YearA-AppDetails Current Date'!A:A,D50,
'YearA-AppDetails Current Date'!F:F,E50,
'YearA-AppDetails Current Date'!E:E,--F50,
'YearA-AppDetails Current Date'!R:R,"&lt;&gt;"&amp;"",
'YearA-AppDetails Current Date'!I:I,"SUMMER"))), "")</f>
        <v/>
      </c>
      <c r="L50" s="74" t="str" cm="1">
        <f t="array" ref="L50">IFERROR(1/(1/SUM(COUNTIFS(
'YearA-AppDetails Current Date'!A:A,D50,
'YearA-AppDetails Current Date'!F:F,E50,
'YearA-AppDetails Current Date'!E:E,--F50,
'YearA-AppDetails Current Date'!T:T,{"APEX","DENY","NTSL"},
'YearA-AppDetails Current Date'!I:I,"SUMMER"))), "")</f>
        <v/>
      </c>
      <c r="M50" s="74" t="str" cm="1">
        <f t="array" ref="M50">IFERROR(1/(1/SUM(COUNTIFS(
'YearA-AppDetails Current Date'!A:A,D50,
'YearA-AppDetails Current Date'!F:F,E50,
'YearA-AppDetails Current Date'!E:E,--F50,
'YearA-AppDetails Current Date'!U:U,{"CCAN","DECL"},
'YearA-AppDetails Current Date'!I:I,"SUMMER"))), "")</f>
        <v/>
      </c>
      <c r="N50" s="74" t="str" cm="1">
        <f t="array" ref="N50">IFERROR(1/(1/SUM(COUNTIFS(
'YearA-AppDetails Current Date'!A:A,D50,
'YearA-AppDetails Current Date'!F:F,E50,
'YearA-AppDetails Current Date'!E:E,--F50,
'YearA-AppDetails Current Date'!V:V,{"APRO","NODE"},
'YearA-AppDetails Current Date'!I:I,"SUMMER"))), "")</f>
        <v/>
      </c>
      <c r="O50" s="74" t="str" cm="1">
        <f t="array" ref="O50">IFERROR(1/(1/SUM(COUNTIFS(
'YearA-AppDetails Current Date'!A:A,D50,
'YearA-AppDetails Current Date'!F:F,E50,
'YearA-AppDetails Current Date'!E:E,--F50,
'YearA-AppDetails Current Date'!T:T,{"CDMT","RQMT","WAIT"},
'YearA-AppDetails Current Date'!I:I,"SUMMER"))), "")</f>
        <v/>
      </c>
      <c r="P50" s="74" t="str">
        <f>IFERROR(1/(1/COUNTIFS(
'YearA-AppDetails Current Date'!A:A,D50,
'YearA-AppDetails Current Date'!F:F,E50,
'YearA-AppDetails Current Date'!E:E,--F50,
'YearA-AppDetails Current Date'!Y:Y,"ENRO",
'YearA-AppDetails Current Date'!I:I,"SUMMER")),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HC'!D:T,2,FALSE)),
N(VLOOKUP(D51&amp;F51,'Budgeted Projections Intl HC'!D:T,3,FALSE))
)
),"")</f>
        <v/>
      </c>
      <c r="I51" s="73" t="str">
        <f>IFERROR(1/(1/COUNTIFS(
'YearA-AppDetails Current Date'!A:A,D51,
'YearA-AppDetails Current Date'!F:F,E51,
'YearA-AppDetails Current Date'!E:E,--F51,
'YearA-AppDetails Current Date'!I:I,"SUMMER")), "")</f>
        <v/>
      </c>
      <c r="J51" s="74" t="str" cm="1">
        <f t="array" ref="J51">IFERROR(1/(1/SUM(COUNTIFS(
'YearA-AppDetails Current Date'!A:A,D51,
'YearA-AppDetails Current Date'!F:F,E51,
'YearA-AppDetails Current Date'!E:E,--F51,
'YearA-AppDetails Current Date'!O:O,{"ACLN","ACPT","COND"},
'YearA-AppDetails Current Date'!S:S,"&lt;&gt;ACLN",
'YearA-AppDetails Current Date'!S:S,"&lt;&gt;ACPT",
'YearA-AppDetails Current Date'!S:S,"&lt;&gt;COND",
'YearA-AppDetails Current Date'!I:I,"SUMMER"))), "")</f>
        <v/>
      </c>
      <c r="K51" s="73" t="str">
        <f>IFERROR(1/(1/SUM(COUNTIFS(
'YearA-AppDetails Current Date'!A:A,D51,
'YearA-AppDetails Current Date'!F:F,E51,
'YearA-AppDetails Current Date'!E:E,--F51,
'YearA-AppDetails Current Date'!R:R,"&lt;&gt;"&amp;"",
'YearA-AppDetails Current Date'!I:I,"SUMMER"))), "")</f>
        <v/>
      </c>
      <c r="L51" s="74" t="str" cm="1">
        <f t="array" ref="L51">IFERROR(1/(1/SUM(COUNTIFS(
'YearA-AppDetails Current Date'!A:A,D51,
'YearA-AppDetails Current Date'!F:F,E51,
'YearA-AppDetails Current Date'!E:E,--F51,
'YearA-AppDetails Current Date'!T:T,{"APEX","DENY","NTSL"},
'YearA-AppDetails Current Date'!I:I,"SUMMER"))), "")</f>
        <v/>
      </c>
      <c r="M51" s="74" t="str" cm="1">
        <f t="array" ref="M51">IFERROR(1/(1/SUM(COUNTIFS(
'YearA-AppDetails Current Date'!A:A,D51,
'YearA-AppDetails Current Date'!F:F,E51,
'YearA-AppDetails Current Date'!E:E,--F51,
'YearA-AppDetails Current Date'!U:U,{"CCAN","DECL"},
'YearA-AppDetails Current Date'!I:I,"SUMMER"))), "")</f>
        <v/>
      </c>
      <c r="N51" s="74" t="str" cm="1">
        <f t="array" ref="N51">IFERROR(1/(1/SUM(COUNTIFS(
'YearA-AppDetails Current Date'!A:A,D51,
'YearA-AppDetails Current Date'!F:F,E51,
'YearA-AppDetails Current Date'!E:E,--F51,
'YearA-AppDetails Current Date'!V:V,{"APRO","NODE"},
'YearA-AppDetails Current Date'!I:I,"SUMMER"))), "")</f>
        <v/>
      </c>
      <c r="O51" s="74" t="str" cm="1">
        <f t="array" ref="O51">IFERROR(1/(1/SUM(COUNTIFS(
'YearA-AppDetails Current Date'!A:A,D51,
'YearA-AppDetails Current Date'!F:F,E51,
'YearA-AppDetails Current Date'!E:E,--F51,
'YearA-AppDetails Current Date'!T:T,{"CDMT","RQMT","WAIT"},
'YearA-AppDetails Current Date'!I:I,"SUMMER"))), "")</f>
        <v/>
      </c>
      <c r="P51" s="74" t="str">
        <f>IFERROR(1/(1/COUNTIFS(
'YearA-AppDetails Current Date'!A:A,D51,
'YearA-AppDetails Current Date'!F:F,E51,
'YearA-AppDetails Current Date'!E:E,--F51,
'YearA-AppDetails Current Date'!Y:Y,"ENRO",
'YearA-AppDetails Current Date'!I:I,"SUMMER")),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HC'!D:T,2,FALSE)),
N(VLOOKUP(D52&amp;F52,'Budgeted Projections Dom HC'!D:T,3,FALSE))
)
),"")</f>
        <v/>
      </c>
      <c r="I52" s="73" t="str">
        <f>IFERROR(1/(1/COUNTIFS(
'YearA-AppDetails Current Date'!A:A,D52,
'YearA-AppDetails Current Date'!F:F,E52,
'YearA-AppDetails Current Date'!E:E,--F52,
'YearA-AppDetails Current Date'!I:I,"SUMMER")), "")</f>
        <v/>
      </c>
      <c r="J52" s="74" t="str" cm="1">
        <f t="array" ref="J52">IFERROR(1/(1/SUM(COUNTIFS(
'YearA-AppDetails Current Date'!A:A,D52,
'YearA-AppDetails Current Date'!F:F,E52,
'YearA-AppDetails Current Date'!E:E,--F52,
'YearA-AppDetails Current Date'!O:O,{"ACLN","ACPT","COND"},
'YearA-AppDetails Current Date'!S:S,"&lt;&gt;ACLN",
'YearA-AppDetails Current Date'!S:S,"&lt;&gt;ACPT",
'YearA-AppDetails Current Date'!S:S,"&lt;&gt;COND",
'YearA-AppDetails Current Date'!I:I,"SUMMER"))), "")</f>
        <v/>
      </c>
      <c r="K52" s="73" t="str">
        <f>IFERROR(1/(1/SUM(COUNTIFS(
'YearA-AppDetails Current Date'!A:A,D52,
'YearA-AppDetails Current Date'!F:F,E52,
'YearA-AppDetails Current Date'!E:E,--F52,
'YearA-AppDetails Current Date'!R:R,"&lt;&gt;"&amp;"",
'YearA-AppDetails Current Date'!I:I,"SUMMER"))), "")</f>
        <v/>
      </c>
      <c r="L52" s="74" t="str" cm="1">
        <f t="array" ref="L52">IFERROR(1/(1/SUM(COUNTIFS(
'YearA-AppDetails Current Date'!A:A,D52,
'YearA-AppDetails Current Date'!F:F,E52,
'YearA-AppDetails Current Date'!E:E,--F52,
'YearA-AppDetails Current Date'!T:T,{"APEX","DENY","NTSL"},
'YearA-AppDetails Current Date'!I:I,"SUMMER"))), "")</f>
        <v/>
      </c>
      <c r="M52" s="74" t="str" cm="1">
        <f t="array" ref="M52">IFERROR(1/(1/SUM(COUNTIFS(
'YearA-AppDetails Current Date'!A:A,D52,
'YearA-AppDetails Current Date'!F:F,E52,
'YearA-AppDetails Current Date'!E:E,--F52,
'YearA-AppDetails Current Date'!U:U,{"CCAN","DECL"},
'YearA-AppDetails Current Date'!I:I,"SUMMER"))), "")</f>
        <v/>
      </c>
      <c r="N52" s="74" t="str" cm="1">
        <f t="array" ref="N52">IFERROR(1/(1/SUM(COUNTIFS(
'YearA-AppDetails Current Date'!A:A,D52,
'YearA-AppDetails Current Date'!F:F,E52,
'YearA-AppDetails Current Date'!E:E,--F52,
'YearA-AppDetails Current Date'!V:V,{"APRO","NODE"},
'YearA-AppDetails Current Date'!I:I,"SUMMER"))), "")</f>
        <v/>
      </c>
      <c r="O52" s="74" t="str" cm="1">
        <f t="array" ref="O52">IFERROR(1/(1/SUM(COUNTIFS(
'YearA-AppDetails Current Date'!A:A,D52,
'YearA-AppDetails Current Date'!F:F,E52,
'YearA-AppDetails Current Date'!E:E,--F52,
'YearA-AppDetails Current Date'!T:T,{"CDMT","RQMT","WAIT"},
'YearA-AppDetails Current Date'!I:I,"SUMMER"))), "")</f>
        <v/>
      </c>
      <c r="P52" s="74" t="str">
        <f>IFERROR(1/(1/COUNTIFS(
'YearA-AppDetails Current Date'!A:A,D52,
'YearA-AppDetails Current Date'!F:F,E52,
'YearA-AppDetails Current Date'!E:E,--F52,
'YearA-AppDetails Current Date'!Y:Y,"ENRO",
'YearA-AppDetails Current Date'!I:I,"SUMMER")),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HC'!D:T,2,FALSE)),
N(VLOOKUP(D53&amp;F53,'Budgeted Projections Intl HC'!D:T,3,FALSE))
)
),"")</f>
        <v/>
      </c>
      <c r="I53" s="73" t="str">
        <f>IFERROR(1/(1/COUNTIFS(
'YearA-AppDetails Current Date'!A:A,D53,
'YearA-AppDetails Current Date'!F:F,E53,
'YearA-AppDetails Current Date'!E:E,--F53,
'YearA-AppDetails Current Date'!I:I,"SUMMER")), "")</f>
        <v/>
      </c>
      <c r="J53" s="74" t="str" cm="1">
        <f t="array" ref="J53">IFERROR(1/(1/SUM(COUNTIFS(
'YearA-AppDetails Current Date'!A:A,D53,
'YearA-AppDetails Current Date'!F:F,E53,
'YearA-AppDetails Current Date'!E:E,--F53,
'YearA-AppDetails Current Date'!O:O,{"ACLN","ACPT","COND"},
'YearA-AppDetails Current Date'!S:S,"&lt;&gt;ACLN",
'YearA-AppDetails Current Date'!S:S,"&lt;&gt;ACPT",
'YearA-AppDetails Current Date'!S:S,"&lt;&gt;COND",
'YearA-AppDetails Current Date'!I:I,"SUMMER"))), "")</f>
        <v/>
      </c>
      <c r="K53" s="73" t="str">
        <f>IFERROR(1/(1/SUM(COUNTIFS(
'YearA-AppDetails Current Date'!A:A,D53,
'YearA-AppDetails Current Date'!F:F,E53,
'YearA-AppDetails Current Date'!E:E,--F53,
'YearA-AppDetails Current Date'!R:R,"&lt;&gt;"&amp;"",
'YearA-AppDetails Current Date'!I:I,"SUMMER"))), "")</f>
        <v/>
      </c>
      <c r="L53" s="74" t="str" cm="1">
        <f t="array" ref="L53">IFERROR(1/(1/SUM(COUNTIFS(
'YearA-AppDetails Current Date'!A:A,D53,
'YearA-AppDetails Current Date'!F:F,E53,
'YearA-AppDetails Current Date'!E:E,--F53,
'YearA-AppDetails Current Date'!T:T,{"APEX","DENY","NTSL"},
'YearA-AppDetails Current Date'!I:I,"SUMMER"))), "")</f>
        <v/>
      </c>
      <c r="M53" s="74" t="str" cm="1">
        <f t="array" ref="M53">IFERROR(1/(1/SUM(COUNTIFS(
'YearA-AppDetails Current Date'!A:A,D53,
'YearA-AppDetails Current Date'!F:F,E53,
'YearA-AppDetails Current Date'!E:E,--F53,
'YearA-AppDetails Current Date'!U:U,{"CCAN","DECL"},
'YearA-AppDetails Current Date'!I:I,"SUMMER"))), "")</f>
        <v/>
      </c>
      <c r="N53" s="74" t="str" cm="1">
        <f t="array" ref="N53">IFERROR(1/(1/SUM(COUNTIFS(
'YearA-AppDetails Current Date'!A:A,D53,
'YearA-AppDetails Current Date'!F:F,E53,
'YearA-AppDetails Current Date'!E:E,--F53,
'YearA-AppDetails Current Date'!V:V,{"APRO","NODE"},
'YearA-AppDetails Current Date'!I:I,"SUMMER"))), "")</f>
        <v/>
      </c>
      <c r="O53" s="74" t="str" cm="1">
        <f t="array" ref="O53">IFERROR(1/(1/SUM(COUNTIFS(
'YearA-AppDetails Current Date'!A:A,D53,
'YearA-AppDetails Current Date'!F:F,E53,
'YearA-AppDetails Current Date'!E:E,--F53,
'YearA-AppDetails Current Date'!T:T,{"CDMT","RQMT","WAIT"},
'YearA-AppDetails Current Date'!I:I,"SUMMER"))), "")</f>
        <v/>
      </c>
      <c r="P53" s="74" t="str">
        <f>IFERROR(1/(1/COUNTIFS(
'YearA-AppDetails Current Date'!A:A,D53,
'YearA-AppDetails Current Date'!F:F,E53,
'YearA-AppDetails Current Date'!E:E,--F53,
'YearA-AppDetails Current Date'!Y:Y,"ENRO",
'YearA-AppDetails Current Date'!I:I,"SUMMER")), "")</f>
        <v/>
      </c>
      <c r="Q53" s="3" t="str">
        <f t="shared" si="0"/>
        <v/>
      </c>
    </row>
    <row r="54" spans="1:17" ht="15.75" customHeight="1" x14ac:dyDescent="0.25">
      <c r="A54" s="156"/>
      <c r="B54" s="123"/>
      <c r="C54" s="152" t="s">
        <v>277</v>
      </c>
      <c r="D54" s="153"/>
      <c r="E54" s="153"/>
      <c r="F54" s="154"/>
      <c r="G54" s="6"/>
      <c r="H54" s="7">
        <f>SUM(H50:H53)</f>
        <v>0</v>
      </c>
      <c r="I54" s="7">
        <f t="shared" ref="I54:P54" si="7">SUM(I50:I53)</f>
        <v>0</v>
      </c>
      <c r="J54" s="7">
        <f t="shared" si="7"/>
        <v>0</v>
      </c>
      <c r="K54" s="7">
        <f t="shared" si="7"/>
        <v>0</v>
      </c>
      <c r="L54" s="7">
        <f t="shared" si="7"/>
        <v>0</v>
      </c>
      <c r="M54" s="7">
        <f t="shared" si="7"/>
        <v>0</v>
      </c>
      <c r="N54" s="7">
        <f t="shared" si="7"/>
        <v>0</v>
      </c>
      <c r="O54" s="7">
        <f t="shared" si="7"/>
        <v>0</v>
      </c>
      <c r="P54" s="7">
        <f t="shared" si="7"/>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HC'!D:T,2,FALSE)),
N(VLOOKUP(D55&amp;F55,'Budgeted Projections Dom HC'!D:T,3,FALSE))
)
),"")</f>
        <v/>
      </c>
      <c r="I55" s="73" t="str">
        <f>IFERROR(1/(1/COUNTIFS(
'YearA-AppDetails Current Date'!A:A,D55,
'YearA-AppDetails Current Date'!F:F,E55,
'YearA-AppDetails Current Date'!E:E,--F55,
'YearA-AppDetails Current Date'!I:I,"SUMMER")), "")</f>
        <v/>
      </c>
      <c r="J55" s="74" t="str" cm="1">
        <f t="array" ref="J55">IFERROR(1/(1/SUM(COUNTIFS(
'YearA-AppDetails Current Date'!A:A,D55,
'YearA-AppDetails Current Date'!F:F,E55,
'YearA-AppDetails Current Date'!E:E,--F55,
'YearA-AppDetails Current Date'!O:O,{"ACLN","ACPT","COND"},
'YearA-AppDetails Current Date'!S:S,"&lt;&gt;ACLN",
'YearA-AppDetails Current Date'!S:S,"&lt;&gt;ACPT",
'YearA-AppDetails Current Date'!S:S,"&lt;&gt;COND",
'YearA-AppDetails Current Date'!I:I,"SUMMER"))), "")</f>
        <v/>
      </c>
      <c r="K55" s="73" t="str">
        <f>IFERROR(1/(1/SUM(COUNTIFS(
'YearA-AppDetails Current Date'!A:A,D55,
'YearA-AppDetails Current Date'!F:F,E55,
'YearA-AppDetails Current Date'!E:E,--F55,
'YearA-AppDetails Current Date'!R:R,"&lt;&gt;"&amp;"",
'YearA-AppDetails Current Date'!I:I,"SUMMER"))), "")</f>
        <v/>
      </c>
      <c r="L55" s="74" t="str" cm="1">
        <f t="array" ref="L55">IFERROR(1/(1/SUM(COUNTIFS(
'YearA-AppDetails Current Date'!A:A,D55,
'YearA-AppDetails Current Date'!F:F,E55,
'YearA-AppDetails Current Date'!E:E,--F55,
'YearA-AppDetails Current Date'!T:T,{"APEX","DENY","NTSL"},
'YearA-AppDetails Current Date'!I:I,"SUMMER"))), "")</f>
        <v/>
      </c>
      <c r="M55" s="74" t="str" cm="1">
        <f t="array" ref="M55">IFERROR(1/(1/SUM(COUNTIFS(
'YearA-AppDetails Current Date'!A:A,D55,
'YearA-AppDetails Current Date'!F:F,E55,
'YearA-AppDetails Current Date'!E:E,--F55,
'YearA-AppDetails Current Date'!U:U,{"CCAN","DECL"},
'YearA-AppDetails Current Date'!I:I,"SUMMER"))), "")</f>
        <v/>
      </c>
      <c r="N55" s="74" t="str" cm="1">
        <f t="array" ref="N55">IFERROR(1/(1/SUM(COUNTIFS(
'YearA-AppDetails Current Date'!A:A,D55,
'YearA-AppDetails Current Date'!F:F,E55,
'YearA-AppDetails Current Date'!E:E,--F55,
'YearA-AppDetails Current Date'!V:V,{"APRO","NODE"},
'YearA-AppDetails Current Date'!I:I,"SUMMER"))), "")</f>
        <v/>
      </c>
      <c r="O55" s="74" t="str" cm="1">
        <f t="array" ref="O55">IFERROR(1/(1/SUM(COUNTIFS(
'YearA-AppDetails Current Date'!A:A,D55,
'YearA-AppDetails Current Date'!F:F,E55,
'YearA-AppDetails Current Date'!E:E,--F55,
'YearA-AppDetails Current Date'!T:T,{"CDMT","RQMT","WAIT"},
'YearA-AppDetails Current Date'!I:I,"SUMMER"))), "")</f>
        <v/>
      </c>
      <c r="P55" s="74" t="str">
        <f>IFERROR(1/(1/COUNTIFS(
'YearA-AppDetails Current Date'!A:A,D55,
'YearA-AppDetails Current Date'!F:F,E55,
'YearA-AppDetails Current Date'!E:E,--F55,
'YearA-AppDetails Current Date'!Y:Y,"ENRO",
'YearA-AppDetails Current Date'!I:I,"SUMMER")),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HC'!D:T,2,FALSE)),
N(VLOOKUP(D56&amp;F56,'Budgeted Projections Intl HC'!D:T,3,FALSE))
)
),"")</f>
        <v/>
      </c>
      <c r="I56" s="73" t="str">
        <f>IFERROR(1/(1/COUNTIFS(
'YearA-AppDetails Current Date'!A:A,D56,
'YearA-AppDetails Current Date'!F:F,E56,
'YearA-AppDetails Current Date'!E:E,--F56,
'YearA-AppDetails Current Date'!I:I,"SUMMER")), "")</f>
        <v/>
      </c>
      <c r="J56" s="74" t="str" cm="1">
        <f t="array" ref="J56">IFERROR(1/(1/SUM(COUNTIFS(
'YearA-AppDetails Current Date'!A:A,D56,
'YearA-AppDetails Current Date'!F:F,E56,
'YearA-AppDetails Current Date'!E:E,--F56,
'YearA-AppDetails Current Date'!O:O,{"ACLN","ACPT","COND"},
'YearA-AppDetails Current Date'!S:S,"&lt;&gt;ACLN",
'YearA-AppDetails Current Date'!S:S,"&lt;&gt;ACPT",
'YearA-AppDetails Current Date'!S:S,"&lt;&gt;COND",
'YearA-AppDetails Current Date'!I:I,"SUMMER"))), "")</f>
        <v/>
      </c>
      <c r="K56" s="73" t="str">
        <f>IFERROR(1/(1/SUM(COUNTIFS(
'YearA-AppDetails Current Date'!A:A,D56,
'YearA-AppDetails Current Date'!F:F,E56,
'YearA-AppDetails Current Date'!E:E,--F56,
'YearA-AppDetails Current Date'!R:R,"&lt;&gt;"&amp;"",
'YearA-AppDetails Current Date'!I:I,"SUMMER"))), "")</f>
        <v/>
      </c>
      <c r="L56" s="74" t="str" cm="1">
        <f t="array" ref="L56">IFERROR(1/(1/SUM(COUNTIFS(
'YearA-AppDetails Current Date'!A:A,D56,
'YearA-AppDetails Current Date'!F:F,E56,
'YearA-AppDetails Current Date'!E:E,--F56,
'YearA-AppDetails Current Date'!T:T,{"APEX","DENY","NTSL"},
'YearA-AppDetails Current Date'!I:I,"SUMMER"))), "")</f>
        <v/>
      </c>
      <c r="M56" s="74" t="str" cm="1">
        <f t="array" ref="M56">IFERROR(1/(1/SUM(COUNTIFS(
'YearA-AppDetails Current Date'!A:A,D56,
'YearA-AppDetails Current Date'!F:F,E56,
'YearA-AppDetails Current Date'!E:E,--F56,
'YearA-AppDetails Current Date'!U:U,{"CCAN","DECL"},
'YearA-AppDetails Current Date'!I:I,"SUMMER"))), "")</f>
        <v/>
      </c>
      <c r="N56" s="74" t="str" cm="1">
        <f t="array" ref="N56">IFERROR(1/(1/SUM(COUNTIFS(
'YearA-AppDetails Current Date'!A:A,D56,
'YearA-AppDetails Current Date'!F:F,E56,
'YearA-AppDetails Current Date'!E:E,--F56,
'YearA-AppDetails Current Date'!V:V,{"APRO","NODE"},
'YearA-AppDetails Current Date'!I:I,"SUMMER"))), "")</f>
        <v/>
      </c>
      <c r="O56" s="74" t="str" cm="1">
        <f t="array" ref="O56">IFERROR(1/(1/SUM(COUNTIFS(
'YearA-AppDetails Current Date'!A:A,D56,
'YearA-AppDetails Current Date'!F:F,E56,
'YearA-AppDetails Current Date'!E:E,--F56,
'YearA-AppDetails Current Date'!T:T,{"CDMT","RQMT","WAIT"},
'YearA-AppDetails Current Date'!I:I,"SUMMER"))), "")</f>
        <v/>
      </c>
      <c r="P56" s="74" t="str">
        <f>IFERROR(1/(1/COUNTIFS(
'YearA-AppDetails Current Date'!A:A,D56,
'YearA-AppDetails Current Date'!F:F,E56,
'YearA-AppDetails Current Date'!E:E,--F56,
'YearA-AppDetails Current Date'!Y:Y,"ENRO",
'YearA-AppDetails Current Date'!I:I,"SUMMER")),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HC'!D:T,2,FALSE)),
N(VLOOKUP(D57&amp;F57,'Budgeted Projections Dom HC'!D:T,3,FALSE))
)
),"")</f>
        <v/>
      </c>
      <c r="I57" s="73" t="str">
        <f>IFERROR(1/(1/COUNTIFS(
'YearA-AppDetails Current Date'!A:A,D57,
'YearA-AppDetails Current Date'!F:F,E57,
'YearA-AppDetails Current Date'!E:E,--F57,
'YearA-AppDetails Current Date'!I:I,"SUMMER")), "")</f>
        <v/>
      </c>
      <c r="J57" s="74" t="str" cm="1">
        <f t="array" ref="J57">IFERROR(1/(1/SUM(COUNTIFS(
'YearA-AppDetails Current Date'!A:A,D57,
'YearA-AppDetails Current Date'!F:F,E57,
'YearA-AppDetails Current Date'!E:E,--F57,
'YearA-AppDetails Current Date'!O:O,{"ACLN","ACPT","COND"},
'YearA-AppDetails Current Date'!S:S,"&lt;&gt;ACLN",
'YearA-AppDetails Current Date'!S:S,"&lt;&gt;ACPT",
'YearA-AppDetails Current Date'!S:S,"&lt;&gt;COND",
'YearA-AppDetails Current Date'!I:I,"SUMMER"))), "")</f>
        <v/>
      </c>
      <c r="K57" s="73" t="str">
        <f>IFERROR(1/(1/SUM(COUNTIFS(
'YearA-AppDetails Current Date'!A:A,D57,
'YearA-AppDetails Current Date'!F:F,E57,
'YearA-AppDetails Current Date'!E:E,--F57,
'YearA-AppDetails Current Date'!R:R,"&lt;&gt;"&amp;"",
'YearA-AppDetails Current Date'!I:I,"SUMMER"))), "")</f>
        <v/>
      </c>
      <c r="L57" s="74" t="str" cm="1">
        <f t="array" ref="L57">IFERROR(1/(1/SUM(COUNTIFS(
'YearA-AppDetails Current Date'!A:A,D57,
'YearA-AppDetails Current Date'!F:F,E57,
'YearA-AppDetails Current Date'!E:E,--F57,
'YearA-AppDetails Current Date'!T:T,{"APEX","DENY","NTSL"},
'YearA-AppDetails Current Date'!I:I,"SUMMER"))), "")</f>
        <v/>
      </c>
      <c r="M57" s="74" t="str" cm="1">
        <f t="array" ref="M57">IFERROR(1/(1/SUM(COUNTIFS(
'YearA-AppDetails Current Date'!A:A,D57,
'YearA-AppDetails Current Date'!F:F,E57,
'YearA-AppDetails Current Date'!E:E,--F57,
'YearA-AppDetails Current Date'!U:U,{"CCAN","DECL"},
'YearA-AppDetails Current Date'!I:I,"SUMMER"))), "")</f>
        <v/>
      </c>
      <c r="N57" s="74" t="str" cm="1">
        <f t="array" ref="N57">IFERROR(1/(1/SUM(COUNTIFS(
'YearA-AppDetails Current Date'!A:A,D57,
'YearA-AppDetails Current Date'!F:F,E57,
'YearA-AppDetails Current Date'!E:E,--F57,
'YearA-AppDetails Current Date'!V:V,{"APRO","NODE"},
'YearA-AppDetails Current Date'!I:I,"SUMMER"))), "")</f>
        <v/>
      </c>
      <c r="O57" s="74" t="str" cm="1">
        <f t="array" ref="O57">IFERROR(1/(1/SUM(COUNTIFS(
'YearA-AppDetails Current Date'!A:A,D57,
'YearA-AppDetails Current Date'!F:F,E57,
'YearA-AppDetails Current Date'!E:E,--F57,
'YearA-AppDetails Current Date'!T:T,{"CDMT","RQMT","WAIT"},
'YearA-AppDetails Current Date'!I:I,"SUMMER"))), "")</f>
        <v/>
      </c>
      <c r="P57" s="74" t="str">
        <f>IFERROR(1/(1/COUNTIFS(
'YearA-AppDetails Current Date'!A:A,D57,
'YearA-AppDetails Current Date'!F:F,E57,
'YearA-AppDetails Current Date'!E:E,--F57,
'YearA-AppDetails Current Date'!Y:Y,"ENRO",
'YearA-AppDetails Current Date'!I:I,"SUMMER")),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HC'!D:T,2,FALSE)),
N(VLOOKUP(D58&amp;F58,'Budgeted Projections Intl HC'!D:T,3,FALSE))
)
),"")</f>
        <v/>
      </c>
      <c r="I58" s="73" t="str">
        <f>IFERROR(1/(1/COUNTIFS(
'YearA-AppDetails Current Date'!A:A,D58,
'YearA-AppDetails Current Date'!F:F,E58,
'YearA-AppDetails Current Date'!E:E,--F58,
'YearA-AppDetails Current Date'!I:I,"SUMMER")), "")</f>
        <v/>
      </c>
      <c r="J58" s="74" t="str" cm="1">
        <f t="array" ref="J58">IFERROR(1/(1/SUM(COUNTIFS(
'YearA-AppDetails Current Date'!A:A,D58,
'YearA-AppDetails Current Date'!F:F,E58,
'YearA-AppDetails Current Date'!E:E,--F58,
'YearA-AppDetails Current Date'!O:O,{"ACLN","ACPT","COND"},
'YearA-AppDetails Current Date'!S:S,"&lt;&gt;ACLN",
'YearA-AppDetails Current Date'!S:S,"&lt;&gt;ACPT",
'YearA-AppDetails Current Date'!S:S,"&lt;&gt;COND",
'YearA-AppDetails Current Date'!I:I,"SUMMER"))), "")</f>
        <v/>
      </c>
      <c r="K58" s="73" t="str">
        <f>IFERROR(1/(1/SUM(COUNTIFS(
'YearA-AppDetails Current Date'!A:A,D58,
'YearA-AppDetails Current Date'!F:F,E58,
'YearA-AppDetails Current Date'!E:E,--F58,
'YearA-AppDetails Current Date'!R:R,"&lt;&gt;"&amp;"",
'YearA-AppDetails Current Date'!I:I,"SUMMER"))), "")</f>
        <v/>
      </c>
      <c r="L58" s="74" t="str" cm="1">
        <f t="array" ref="L58">IFERROR(1/(1/SUM(COUNTIFS(
'YearA-AppDetails Current Date'!A:A,D58,
'YearA-AppDetails Current Date'!F:F,E58,
'YearA-AppDetails Current Date'!E:E,--F58,
'YearA-AppDetails Current Date'!T:T,{"APEX","DENY","NTSL"},
'YearA-AppDetails Current Date'!I:I,"SUMMER"))), "")</f>
        <v/>
      </c>
      <c r="M58" s="74" t="str" cm="1">
        <f t="array" ref="M58">IFERROR(1/(1/SUM(COUNTIFS(
'YearA-AppDetails Current Date'!A:A,D58,
'YearA-AppDetails Current Date'!F:F,E58,
'YearA-AppDetails Current Date'!E:E,--F58,
'YearA-AppDetails Current Date'!U:U,{"CCAN","DECL"},
'YearA-AppDetails Current Date'!I:I,"SUMMER"))), "")</f>
        <v/>
      </c>
      <c r="N58" s="74" t="str" cm="1">
        <f t="array" ref="N58">IFERROR(1/(1/SUM(COUNTIFS(
'YearA-AppDetails Current Date'!A:A,D58,
'YearA-AppDetails Current Date'!F:F,E58,
'YearA-AppDetails Current Date'!E:E,--F58,
'YearA-AppDetails Current Date'!V:V,{"APRO","NODE"},
'YearA-AppDetails Current Date'!I:I,"SUMMER"))), "")</f>
        <v/>
      </c>
      <c r="O58" s="74" t="str" cm="1">
        <f t="array" ref="O58">IFERROR(1/(1/SUM(COUNTIFS(
'YearA-AppDetails Current Date'!A:A,D58,
'YearA-AppDetails Current Date'!F:F,E58,
'YearA-AppDetails Current Date'!E:E,--F58,
'YearA-AppDetails Current Date'!T:T,{"CDMT","RQMT","WAIT"},
'YearA-AppDetails Current Date'!I:I,"SUMMER"))), "")</f>
        <v/>
      </c>
      <c r="P58" s="74" t="str">
        <f>IFERROR(1/(1/COUNTIFS(
'YearA-AppDetails Current Date'!A:A,D58,
'YearA-AppDetails Current Date'!F:F,E58,
'YearA-AppDetails Current Date'!E:E,--F58,
'YearA-AppDetails Current Date'!Y:Y,"ENRO",
'YearA-AppDetails Current Date'!I:I,"SUMMER")),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HC'!D:T,2,FALSE)),
N(VLOOKUP(D59&amp;F59,'Budgeted Projections Dom HC'!D:T,3,FALSE))
)
),"")</f>
        <v/>
      </c>
      <c r="I59" s="73" t="str">
        <f>IFERROR(1/(1/COUNTIFS(
'YearA-AppDetails Current Date'!A:A,D59,
'YearA-AppDetails Current Date'!F:F,E59,
'YearA-AppDetails Current Date'!E:E,--F59,
'YearA-AppDetails Current Date'!I:I,"SUMMER")), "")</f>
        <v/>
      </c>
      <c r="J59" s="74" t="str" cm="1">
        <f t="array" ref="J59">IFERROR(1/(1/SUM(COUNTIFS(
'YearA-AppDetails Current Date'!A:A,D59,
'YearA-AppDetails Current Date'!F:F,E59,
'YearA-AppDetails Current Date'!E:E,--F59,
'YearA-AppDetails Current Date'!O:O,{"ACLN","ACPT","COND"},
'YearA-AppDetails Current Date'!S:S,"&lt;&gt;ACLN",
'YearA-AppDetails Current Date'!S:S,"&lt;&gt;ACPT",
'YearA-AppDetails Current Date'!S:S,"&lt;&gt;COND",
'YearA-AppDetails Current Date'!I:I,"SUMMER"))), "")</f>
        <v/>
      </c>
      <c r="K59" s="73" t="str">
        <f>IFERROR(1/(1/SUM(COUNTIFS(
'YearA-AppDetails Current Date'!A:A,D59,
'YearA-AppDetails Current Date'!F:F,E59,
'YearA-AppDetails Current Date'!E:E,--F59,
'YearA-AppDetails Current Date'!R:R,"&lt;&gt;"&amp;"",
'YearA-AppDetails Current Date'!I:I,"SUMMER"))), "")</f>
        <v/>
      </c>
      <c r="L59" s="74" t="str" cm="1">
        <f t="array" ref="L59">IFERROR(1/(1/SUM(COUNTIFS(
'YearA-AppDetails Current Date'!A:A,D59,
'YearA-AppDetails Current Date'!F:F,E59,
'YearA-AppDetails Current Date'!E:E,--F59,
'YearA-AppDetails Current Date'!T:T,{"APEX","DENY","NTSL"},
'YearA-AppDetails Current Date'!I:I,"SUMMER"))), "")</f>
        <v/>
      </c>
      <c r="M59" s="74" t="str" cm="1">
        <f t="array" ref="M59">IFERROR(1/(1/SUM(COUNTIFS(
'YearA-AppDetails Current Date'!A:A,D59,
'YearA-AppDetails Current Date'!F:F,E59,
'YearA-AppDetails Current Date'!E:E,--F59,
'YearA-AppDetails Current Date'!U:U,{"CCAN","DECL"},
'YearA-AppDetails Current Date'!I:I,"SUMMER"))), "")</f>
        <v/>
      </c>
      <c r="N59" s="74" t="str" cm="1">
        <f t="array" ref="N59">IFERROR(1/(1/SUM(COUNTIFS(
'YearA-AppDetails Current Date'!A:A,D59,
'YearA-AppDetails Current Date'!F:F,E59,
'YearA-AppDetails Current Date'!E:E,--F59,
'YearA-AppDetails Current Date'!V:V,{"APRO","NODE"},
'YearA-AppDetails Current Date'!I:I,"SUMMER"))), "")</f>
        <v/>
      </c>
      <c r="O59" s="74" t="str" cm="1">
        <f t="array" ref="O59">IFERROR(1/(1/SUM(COUNTIFS(
'YearA-AppDetails Current Date'!A:A,D59,
'YearA-AppDetails Current Date'!F:F,E59,
'YearA-AppDetails Current Date'!E:E,--F59,
'YearA-AppDetails Current Date'!T:T,{"CDMT","RQMT","WAIT"},
'YearA-AppDetails Current Date'!I:I,"SUMMER"))), "")</f>
        <v/>
      </c>
      <c r="P59" s="74" t="str">
        <f>IFERROR(1/(1/COUNTIFS(
'YearA-AppDetails Current Date'!A:A,D59,
'YearA-AppDetails Current Date'!F:F,E59,
'YearA-AppDetails Current Date'!E:E,--F59,
'YearA-AppDetails Current Date'!Y:Y,"ENRO",
'YearA-AppDetails Current Date'!I:I,"SUMMER")),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HC'!D:T,2,FALSE)),
N(VLOOKUP(D60&amp;F60,'Budgeted Projections Intl HC'!D:T,3,FALSE))
)
),"")</f>
        <v/>
      </c>
      <c r="I60" s="73" t="str">
        <f>IFERROR(1/(1/COUNTIFS(
'YearA-AppDetails Current Date'!A:A,D60,
'YearA-AppDetails Current Date'!F:F,E60,
'YearA-AppDetails Current Date'!E:E,--F60,
'YearA-AppDetails Current Date'!I:I,"SUMMER")), "")</f>
        <v/>
      </c>
      <c r="J60" s="74" t="str" cm="1">
        <f t="array" ref="J60">IFERROR(1/(1/SUM(COUNTIFS(
'YearA-AppDetails Current Date'!A:A,D60,
'YearA-AppDetails Current Date'!F:F,E60,
'YearA-AppDetails Current Date'!E:E,--F60,
'YearA-AppDetails Current Date'!O:O,{"ACLN","ACPT","COND"},
'YearA-AppDetails Current Date'!S:S,"&lt;&gt;ACLN",
'YearA-AppDetails Current Date'!S:S,"&lt;&gt;ACPT",
'YearA-AppDetails Current Date'!S:S,"&lt;&gt;COND",
'YearA-AppDetails Current Date'!I:I,"SUMMER"))), "")</f>
        <v/>
      </c>
      <c r="K60" s="73" t="str">
        <f>IFERROR(1/(1/SUM(COUNTIFS(
'YearA-AppDetails Current Date'!A:A,D60,
'YearA-AppDetails Current Date'!F:F,E60,
'YearA-AppDetails Current Date'!E:E,--F60,
'YearA-AppDetails Current Date'!R:R,"&lt;&gt;"&amp;"",
'YearA-AppDetails Current Date'!I:I,"SUMMER"))), "")</f>
        <v/>
      </c>
      <c r="L60" s="74" t="str" cm="1">
        <f t="array" ref="L60">IFERROR(1/(1/SUM(COUNTIFS(
'YearA-AppDetails Current Date'!A:A,D60,
'YearA-AppDetails Current Date'!F:F,E60,
'YearA-AppDetails Current Date'!E:E,--F60,
'YearA-AppDetails Current Date'!T:T,{"APEX","DENY","NTSL"},
'YearA-AppDetails Current Date'!I:I,"SUMMER"))), "")</f>
        <v/>
      </c>
      <c r="M60" s="74" t="str" cm="1">
        <f t="array" ref="M60">IFERROR(1/(1/SUM(COUNTIFS(
'YearA-AppDetails Current Date'!A:A,D60,
'YearA-AppDetails Current Date'!F:F,E60,
'YearA-AppDetails Current Date'!E:E,--F60,
'YearA-AppDetails Current Date'!U:U,{"CCAN","DECL"},
'YearA-AppDetails Current Date'!I:I,"SUMMER"))), "")</f>
        <v/>
      </c>
      <c r="N60" s="74" t="str" cm="1">
        <f t="array" ref="N60">IFERROR(1/(1/SUM(COUNTIFS(
'YearA-AppDetails Current Date'!A:A,D60,
'YearA-AppDetails Current Date'!F:F,E60,
'YearA-AppDetails Current Date'!E:E,--F60,
'YearA-AppDetails Current Date'!V:V,{"APRO","NODE"},
'YearA-AppDetails Current Date'!I:I,"SUMMER"))), "")</f>
        <v/>
      </c>
      <c r="O60" s="74" t="str" cm="1">
        <f t="array" ref="O60">IFERROR(1/(1/SUM(COUNTIFS(
'YearA-AppDetails Current Date'!A:A,D60,
'YearA-AppDetails Current Date'!F:F,E60,
'YearA-AppDetails Current Date'!E:E,--F60,
'YearA-AppDetails Current Date'!T:T,{"CDMT","RQMT","WAIT"},
'YearA-AppDetails Current Date'!I:I,"SUMMER"))), "")</f>
        <v/>
      </c>
      <c r="P60" s="74" t="str">
        <f>IFERROR(1/(1/COUNTIFS(
'YearA-AppDetails Current Date'!A:A,D60,
'YearA-AppDetails Current Date'!F:F,E60,
'YearA-AppDetails Current Date'!E:E,--F60,
'YearA-AppDetails Current Date'!Y:Y,"ENRO",
'YearA-AppDetails Current Date'!I:I,"SUMMER")),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HC'!D:T,2,FALSE)),
N(VLOOKUP(D61&amp;F61,'Budgeted Projections Dom HC'!D:T,3,FALSE))
)
),"")</f>
        <v/>
      </c>
      <c r="I61" s="73" t="str">
        <f>IFERROR(1/(1/COUNTIFS(
'YearA-AppDetails Current Date'!A:A,D61,
'YearA-AppDetails Current Date'!F:F,E61,
'YearA-AppDetails Current Date'!E:E,--F61,
'YearA-AppDetails Current Date'!I:I,"SUMMER")), "")</f>
        <v/>
      </c>
      <c r="J61" s="74" t="str" cm="1">
        <f t="array" ref="J61">IFERROR(1/(1/SUM(COUNTIFS(
'YearA-AppDetails Current Date'!A:A,D61,
'YearA-AppDetails Current Date'!F:F,E61,
'YearA-AppDetails Current Date'!E:E,--F61,
'YearA-AppDetails Current Date'!O:O,{"ACLN","ACPT","COND"},
'YearA-AppDetails Current Date'!S:S,"&lt;&gt;ACLN",
'YearA-AppDetails Current Date'!S:S,"&lt;&gt;ACPT",
'YearA-AppDetails Current Date'!S:S,"&lt;&gt;COND",
'YearA-AppDetails Current Date'!I:I,"SUMMER"))), "")</f>
        <v/>
      </c>
      <c r="K61" s="73" t="str">
        <f>IFERROR(1/(1/SUM(COUNTIFS(
'YearA-AppDetails Current Date'!A:A,D61,
'YearA-AppDetails Current Date'!F:F,E61,
'YearA-AppDetails Current Date'!E:E,--F61,
'YearA-AppDetails Current Date'!R:R,"&lt;&gt;"&amp;"",
'YearA-AppDetails Current Date'!I:I,"SUMMER"))), "")</f>
        <v/>
      </c>
      <c r="L61" s="74" t="str" cm="1">
        <f t="array" ref="L61">IFERROR(1/(1/SUM(COUNTIFS(
'YearA-AppDetails Current Date'!A:A,D61,
'YearA-AppDetails Current Date'!F:F,E61,
'YearA-AppDetails Current Date'!E:E,--F61,
'YearA-AppDetails Current Date'!T:T,{"APEX","DENY","NTSL"},
'YearA-AppDetails Current Date'!I:I,"SUMMER"))), "")</f>
        <v/>
      </c>
      <c r="M61" s="74" t="str" cm="1">
        <f t="array" ref="M61">IFERROR(1/(1/SUM(COUNTIFS(
'YearA-AppDetails Current Date'!A:A,D61,
'YearA-AppDetails Current Date'!F:F,E61,
'YearA-AppDetails Current Date'!E:E,--F61,
'YearA-AppDetails Current Date'!U:U,{"CCAN","DECL"},
'YearA-AppDetails Current Date'!I:I,"SUMMER"))), "")</f>
        <v/>
      </c>
      <c r="N61" s="74" t="str" cm="1">
        <f t="array" ref="N61">IFERROR(1/(1/SUM(COUNTIFS(
'YearA-AppDetails Current Date'!A:A,D61,
'YearA-AppDetails Current Date'!F:F,E61,
'YearA-AppDetails Current Date'!E:E,--F61,
'YearA-AppDetails Current Date'!V:V,{"APRO","NODE"},
'YearA-AppDetails Current Date'!I:I,"SUMMER"))), "")</f>
        <v/>
      </c>
      <c r="O61" s="74" t="str" cm="1">
        <f t="array" ref="O61">IFERROR(1/(1/SUM(COUNTIFS(
'YearA-AppDetails Current Date'!A:A,D61,
'YearA-AppDetails Current Date'!F:F,E61,
'YearA-AppDetails Current Date'!E:E,--F61,
'YearA-AppDetails Current Date'!T:T,{"CDMT","RQMT","WAIT"},
'YearA-AppDetails Current Date'!I:I,"SUMMER"))), "")</f>
        <v/>
      </c>
      <c r="P61" s="74" t="str">
        <f>IFERROR(1/(1/COUNTIFS(
'YearA-AppDetails Current Date'!A:A,D61,
'YearA-AppDetails Current Date'!F:F,E61,
'YearA-AppDetails Current Date'!E:E,--F61,
'YearA-AppDetails Current Date'!Y:Y,"ENRO",
'YearA-AppDetails Current Date'!I:I,"SUMMER")),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HC'!D:T,2,FALSE)),
N(VLOOKUP(D62&amp;F62,'Budgeted Projections Intl HC'!D:T,3,FALSE))
)
),"")</f>
        <v/>
      </c>
      <c r="I62" s="73" t="str">
        <f>IFERROR(1/(1/COUNTIFS(
'YearA-AppDetails Current Date'!A:A,D62,
'YearA-AppDetails Current Date'!F:F,E62,
'YearA-AppDetails Current Date'!E:E,--F62,
'YearA-AppDetails Current Date'!I:I,"SUMMER")), "")</f>
        <v/>
      </c>
      <c r="J62" s="74" t="str" cm="1">
        <f t="array" ref="J62">IFERROR(1/(1/SUM(COUNTIFS(
'YearA-AppDetails Current Date'!A:A,D62,
'YearA-AppDetails Current Date'!F:F,E62,
'YearA-AppDetails Current Date'!E:E,--F62,
'YearA-AppDetails Current Date'!O:O,{"ACLN","ACPT","COND"},
'YearA-AppDetails Current Date'!S:S,"&lt;&gt;ACLN",
'YearA-AppDetails Current Date'!S:S,"&lt;&gt;ACPT",
'YearA-AppDetails Current Date'!S:S,"&lt;&gt;COND",
'YearA-AppDetails Current Date'!I:I,"SUMMER"))), "")</f>
        <v/>
      </c>
      <c r="K62" s="73" t="str">
        <f>IFERROR(1/(1/SUM(COUNTIFS(
'YearA-AppDetails Current Date'!A:A,D62,
'YearA-AppDetails Current Date'!F:F,E62,
'YearA-AppDetails Current Date'!E:E,--F62,
'YearA-AppDetails Current Date'!R:R,"&lt;&gt;"&amp;"",
'YearA-AppDetails Current Date'!I:I,"SUMMER"))), "")</f>
        <v/>
      </c>
      <c r="L62" s="74" t="str" cm="1">
        <f t="array" ref="L62">IFERROR(1/(1/SUM(COUNTIFS(
'YearA-AppDetails Current Date'!A:A,D62,
'YearA-AppDetails Current Date'!F:F,E62,
'YearA-AppDetails Current Date'!E:E,--F62,
'YearA-AppDetails Current Date'!T:T,{"APEX","DENY","NTSL"},
'YearA-AppDetails Current Date'!I:I,"SUMMER"))), "")</f>
        <v/>
      </c>
      <c r="M62" s="74" t="str" cm="1">
        <f t="array" ref="M62">IFERROR(1/(1/SUM(COUNTIFS(
'YearA-AppDetails Current Date'!A:A,D62,
'YearA-AppDetails Current Date'!F:F,E62,
'YearA-AppDetails Current Date'!E:E,--F62,
'YearA-AppDetails Current Date'!U:U,{"CCAN","DECL"},
'YearA-AppDetails Current Date'!I:I,"SUMMER"))), "")</f>
        <v/>
      </c>
      <c r="N62" s="74" t="str" cm="1">
        <f t="array" ref="N62">IFERROR(1/(1/SUM(COUNTIFS(
'YearA-AppDetails Current Date'!A:A,D62,
'YearA-AppDetails Current Date'!F:F,E62,
'YearA-AppDetails Current Date'!E:E,--F62,
'YearA-AppDetails Current Date'!V:V,{"APRO","NODE"},
'YearA-AppDetails Current Date'!I:I,"SUMMER"))), "")</f>
        <v/>
      </c>
      <c r="O62" s="74" t="str" cm="1">
        <f t="array" ref="O62">IFERROR(1/(1/SUM(COUNTIFS(
'YearA-AppDetails Current Date'!A:A,D62,
'YearA-AppDetails Current Date'!F:F,E62,
'YearA-AppDetails Current Date'!E:E,--F62,
'YearA-AppDetails Current Date'!T:T,{"CDMT","RQMT","WAIT"},
'YearA-AppDetails Current Date'!I:I,"SUMMER"))), "")</f>
        <v/>
      </c>
      <c r="P62" s="74" t="str">
        <f>IFERROR(1/(1/COUNTIFS(
'YearA-AppDetails Current Date'!A:A,D62,
'YearA-AppDetails Current Date'!F:F,E62,
'YearA-AppDetails Current Date'!E:E,--F62,
'YearA-AppDetails Current Date'!Y:Y,"ENRO",
'YearA-AppDetails Current Date'!I:I,"SUMMER")), "")</f>
        <v/>
      </c>
      <c r="Q62" s="3" t="str">
        <f t="shared" si="0"/>
        <v/>
      </c>
    </row>
    <row r="63" spans="1:17" ht="15.75" customHeight="1" x14ac:dyDescent="0.25">
      <c r="A63" s="156"/>
      <c r="B63" s="41"/>
      <c r="C63" s="152" t="s">
        <v>279</v>
      </c>
      <c r="D63" s="153"/>
      <c r="E63" s="153"/>
      <c r="F63" s="154"/>
      <c r="G63" s="6"/>
      <c r="H63" s="7">
        <f>SUM(H55:H62)</f>
        <v>0</v>
      </c>
      <c r="I63" s="7">
        <f t="shared" ref="I63:P63" si="8">SUM(I55:I62)</f>
        <v>0</v>
      </c>
      <c r="J63" s="7">
        <f t="shared" si="8"/>
        <v>0</v>
      </c>
      <c r="K63" s="7">
        <f t="shared" si="8"/>
        <v>0</v>
      </c>
      <c r="L63" s="7">
        <f t="shared" si="8"/>
        <v>0</v>
      </c>
      <c r="M63" s="7">
        <f t="shared" si="8"/>
        <v>0</v>
      </c>
      <c r="N63" s="7">
        <f t="shared" si="8"/>
        <v>0</v>
      </c>
      <c r="O63" s="7">
        <f t="shared" si="8"/>
        <v>0</v>
      </c>
      <c r="P63" s="7">
        <f t="shared" si="8"/>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HC'!D:T,2,FALSE)),
N(VLOOKUP(D64&amp;F64,'Budgeted Projections Dom HC'!D:T,3,FALSE))
)
),"")</f>
        <v/>
      </c>
      <c r="I64" s="73" t="str">
        <f>IFERROR(1/(1/COUNTIFS(
'YearA-AppDetails Current Date'!A:A,D64,
'YearA-AppDetails Current Date'!F:F,E64,
'YearA-AppDetails Current Date'!E:E,--F64,
'YearA-AppDetails Current Date'!I:I,"SUMMER")), "")</f>
        <v/>
      </c>
      <c r="J64" s="74" t="str" cm="1">
        <f t="array" ref="J64">IFERROR(1/(1/SUM(COUNTIFS(
'YearA-AppDetails Current Date'!A:A,D64,
'YearA-AppDetails Current Date'!F:F,E64,
'YearA-AppDetails Current Date'!E:E,--F64,
'YearA-AppDetails Current Date'!O:O,{"ACLN","ACPT","COND"},
'YearA-AppDetails Current Date'!S:S,"&lt;&gt;ACLN",
'YearA-AppDetails Current Date'!S:S,"&lt;&gt;ACPT",
'YearA-AppDetails Current Date'!S:S,"&lt;&gt;COND",
'YearA-AppDetails Current Date'!I:I,"SUMMER"))), "")</f>
        <v/>
      </c>
      <c r="K64" s="73" t="str">
        <f>IFERROR(1/(1/SUM(COUNTIFS(
'YearA-AppDetails Current Date'!A:A,D64,
'YearA-AppDetails Current Date'!F:F,E64,
'YearA-AppDetails Current Date'!E:E,--F64,
'YearA-AppDetails Current Date'!R:R,"&lt;&gt;"&amp;"",
'YearA-AppDetails Current Date'!I:I,"SUMMER"))), "")</f>
        <v/>
      </c>
      <c r="L64" s="74" t="str" cm="1">
        <f t="array" ref="L64">IFERROR(1/(1/SUM(COUNTIFS(
'YearA-AppDetails Current Date'!A:A,D64,
'YearA-AppDetails Current Date'!F:F,E64,
'YearA-AppDetails Current Date'!E:E,--F64,
'YearA-AppDetails Current Date'!T:T,{"APEX","DENY","NTSL"},
'YearA-AppDetails Current Date'!I:I,"SUMMER"))), "")</f>
        <v/>
      </c>
      <c r="M64" s="74" t="str" cm="1">
        <f t="array" ref="M64">IFERROR(1/(1/SUM(COUNTIFS(
'YearA-AppDetails Current Date'!A:A,D64,
'YearA-AppDetails Current Date'!F:F,E64,
'YearA-AppDetails Current Date'!E:E,--F64,
'YearA-AppDetails Current Date'!U:U,{"CCAN","DECL"},
'YearA-AppDetails Current Date'!I:I,"SUMMER"))), "")</f>
        <v/>
      </c>
      <c r="N64" s="74" t="str" cm="1">
        <f t="array" ref="N64">IFERROR(1/(1/SUM(COUNTIFS(
'YearA-AppDetails Current Date'!A:A,D64,
'YearA-AppDetails Current Date'!F:F,E64,
'YearA-AppDetails Current Date'!E:E,--F64,
'YearA-AppDetails Current Date'!V:V,{"APRO","NODE"},
'YearA-AppDetails Current Date'!I:I,"SUMMER"))), "")</f>
        <v/>
      </c>
      <c r="O64" s="74" t="str" cm="1">
        <f t="array" ref="O64">IFERROR(1/(1/SUM(COUNTIFS(
'YearA-AppDetails Current Date'!A:A,D64,
'YearA-AppDetails Current Date'!F:F,E64,
'YearA-AppDetails Current Date'!E:E,--F64,
'YearA-AppDetails Current Date'!T:T,{"CDMT","RQMT","WAIT"},
'YearA-AppDetails Current Date'!I:I,"SUMMER"))), "")</f>
        <v/>
      </c>
      <c r="P64" s="74" t="str">
        <f>IFERROR(1/(1/COUNTIFS(
'YearA-AppDetails Current Date'!A:A,D64,
'YearA-AppDetails Current Date'!F:F,E64,
'YearA-AppDetails Current Date'!E:E,--F64,
'YearA-AppDetails Current Date'!Y:Y,"ENRO",
'YearA-AppDetails Current Date'!I:I,"SUMMER")),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HC'!D:T,2,FALSE)),
N(VLOOKUP(D65&amp;F65,'Budgeted Projections Intl HC'!D:T,3,FALSE))
)
),"")</f>
        <v/>
      </c>
      <c r="I65" s="73" t="str">
        <f>IFERROR(1/(1/COUNTIFS(
'YearA-AppDetails Current Date'!A:A,D65,
'YearA-AppDetails Current Date'!F:F,E65,
'YearA-AppDetails Current Date'!E:E,--F65,
'YearA-AppDetails Current Date'!I:I,"SUMMER")), "")</f>
        <v/>
      </c>
      <c r="J65" s="74" t="str" cm="1">
        <f t="array" ref="J65">IFERROR(1/(1/SUM(COUNTIFS(
'YearA-AppDetails Current Date'!A:A,D65,
'YearA-AppDetails Current Date'!F:F,E65,
'YearA-AppDetails Current Date'!E:E,--F65,
'YearA-AppDetails Current Date'!O:O,{"ACLN","ACPT","COND"},
'YearA-AppDetails Current Date'!S:S,"&lt;&gt;ACLN",
'YearA-AppDetails Current Date'!S:S,"&lt;&gt;ACPT",
'YearA-AppDetails Current Date'!S:S,"&lt;&gt;COND",
'YearA-AppDetails Current Date'!I:I,"SUMMER"))), "")</f>
        <v/>
      </c>
      <c r="K65" s="73" t="str">
        <f>IFERROR(1/(1/SUM(COUNTIFS(
'YearA-AppDetails Current Date'!A:A,D65,
'YearA-AppDetails Current Date'!F:F,E65,
'YearA-AppDetails Current Date'!E:E,--F65,
'YearA-AppDetails Current Date'!R:R,"&lt;&gt;"&amp;"",
'YearA-AppDetails Current Date'!I:I,"SUMMER"))), "")</f>
        <v/>
      </c>
      <c r="L65" s="74" t="str" cm="1">
        <f t="array" ref="L65">IFERROR(1/(1/SUM(COUNTIFS(
'YearA-AppDetails Current Date'!A:A,D65,
'YearA-AppDetails Current Date'!F:F,E65,
'YearA-AppDetails Current Date'!E:E,--F65,
'YearA-AppDetails Current Date'!T:T,{"APEX","DENY","NTSL"},
'YearA-AppDetails Current Date'!I:I,"SUMMER"))), "")</f>
        <v/>
      </c>
      <c r="M65" s="74" t="str" cm="1">
        <f t="array" ref="M65">IFERROR(1/(1/SUM(COUNTIFS(
'YearA-AppDetails Current Date'!A:A,D65,
'YearA-AppDetails Current Date'!F:F,E65,
'YearA-AppDetails Current Date'!E:E,--F65,
'YearA-AppDetails Current Date'!U:U,{"CCAN","DECL"},
'YearA-AppDetails Current Date'!I:I,"SUMMER"))), "")</f>
        <v/>
      </c>
      <c r="N65" s="74" t="str" cm="1">
        <f t="array" ref="N65">IFERROR(1/(1/SUM(COUNTIFS(
'YearA-AppDetails Current Date'!A:A,D65,
'YearA-AppDetails Current Date'!F:F,E65,
'YearA-AppDetails Current Date'!E:E,--F65,
'YearA-AppDetails Current Date'!V:V,{"APRO","NODE"},
'YearA-AppDetails Current Date'!I:I,"SUMMER"))), "")</f>
        <v/>
      </c>
      <c r="O65" s="74" t="str" cm="1">
        <f t="array" ref="O65">IFERROR(1/(1/SUM(COUNTIFS(
'YearA-AppDetails Current Date'!A:A,D65,
'YearA-AppDetails Current Date'!F:F,E65,
'YearA-AppDetails Current Date'!E:E,--F65,
'YearA-AppDetails Current Date'!T:T,{"CDMT","RQMT","WAIT"},
'YearA-AppDetails Current Date'!I:I,"SUMMER"))), "")</f>
        <v/>
      </c>
      <c r="P65" s="74" t="str">
        <f>IFERROR(1/(1/COUNTIFS(
'YearA-AppDetails Current Date'!A:A,D65,
'YearA-AppDetails Current Date'!F:F,E65,
'YearA-AppDetails Current Date'!E:E,--F65,
'YearA-AppDetails Current Date'!Y:Y,"ENRO",
'YearA-AppDetails Current Date'!I:I,"SUMMER")),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HC'!D:T,2,FALSE)),
N(VLOOKUP(D66&amp;F66,'Budgeted Projections Dom HC'!D:T,3,FALSE))
)
),"")</f>
        <v/>
      </c>
      <c r="I66" s="73" t="str">
        <f>IFERROR(1/(1/COUNTIFS(
'YearA-AppDetails Current Date'!A:A,D66,
'YearA-AppDetails Current Date'!F:F,E66,
'YearA-AppDetails Current Date'!E:E,--F66,
'YearA-AppDetails Current Date'!I:I,"SUMMER")), "")</f>
        <v/>
      </c>
      <c r="J66" s="74" t="str" cm="1">
        <f t="array" ref="J66">IFERROR(1/(1/SUM(COUNTIFS(
'YearA-AppDetails Current Date'!A:A,D66,
'YearA-AppDetails Current Date'!F:F,E66,
'YearA-AppDetails Current Date'!E:E,--F66,
'YearA-AppDetails Current Date'!O:O,{"ACLN","ACPT","COND"},
'YearA-AppDetails Current Date'!S:S,"&lt;&gt;ACLN",
'YearA-AppDetails Current Date'!S:S,"&lt;&gt;ACPT",
'YearA-AppDetails Current Date'!S:S,"&lt;&gt;COND",
'YearA-AppDetails Current Date'!I:I,"SUMMER"))), "")</f>
        <v/>
      </c>
      <c r="K66" s="73" t="str">
        <f>IFERROR(1/(1/SUM(COUNTIFS(
'YearA-AppDetails Current Date'!A:A,D66,
'YearA-AppDetails Current Date'!F:F,E66,
'YearA-AppDetails Current Date'!E:E,--F66,
'YearA-AppDetails Current Date'!R:R,"&lt;&gt;"&amp;"",
'YearA-AppDetails Current Date'!I:I,"SUMMER"))), "")</f>
        <v/>
      </c>
      <c r="L66" s="74" t="str" cm="1">
        <f t="array" ref="L66">IFERROR(1/(1/SUM(COUNTIFS(
'YearA-AppDetails Current Date'!A:A,D66,
'YearA-AppDetails Current Date'!F:F,E66,
'YearA-AppDetails Current Date'!E:E,--F66,
'YearA-AppDetails Current Date'!T:T,{"APEX","DENY","NTSL"},
'YearA-AppDetails Current Date'!I:I,"SUMMER"))), "")</f>
        <v/>
      </c>
      <c r="M66" s="74" t="str" cm="1">
        <f t="array" ref="M66">IFERROR(1/(1/SUM(COUNTIFS(
'YearA-AppDetails Current Date'!A:A,D66,
'YearA-AppDetails Current Date'!F:F,E66,
'YearA-AppDetails Current Date'!E:E,--F66,
'YearA-AppDetails Current Date'!U:U,{"CCAN","DECL"},
'YearA-AppDetails Current Date'!I:I,"SUMMER"))), "")</f>
        <v/>
      </c>
      <c r="N66" s="74" t="str" cm="1">
        <f t="array" ref="N66">IFERROR(1/(1/SUM(COUNTIFS(
'YearA-AppDetails Current Date'!A:A,D66,
'YearA-AppDetails Current Date'!F:F,E66,
'YearA-AppDetails Current Date'!E:E,--F66,
'YearA-AppDetails Current Date'!V:V,{"APRO","NODE"},
'YearA-AppDetails Current Date'!I:I,"SUMMER"))), "")</f>
        <v/>
      </c>
      <c r="O66" s="74" t="str" cm="1">
        <f t="array" ref="O66">IFERROR(1/(1/SUM(COUNTIFS(
'YearA-AppDetails Current Date'!A:A,D66,
'YearA-AppDetails Current Date'!F:F,E66,
'YearA-AppDetails Current Date'!E:E,--F66,
'YearA-AppDetails Current Date'!T:T,{"CDMT","RQMT","WAIT"},
'YearA-AppDetails Current Date'!I:I,"SUMMER"))), "")</f>
        <v/>
      </c>
      <c r="P66" s="74" t="str">
        <f>IFERROR(1/(1/COUNTIFS(
'YearA-AppDetails Current Date'!A:A,D66,
'YearA-AppDetails Current Date'!F:F,E66,
'YearA-AppDetails Current Date'!E:E,--F66,
'YearA-AppDetails Current Date'!Y:Y,"ENRO",
'YearA-AppDetails Current Date'!I:I,"SUMMER")),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HC'!D:T,2,FALSE)),
N(VLOOKUP(D67&amp;F67,'Budgeted Projections Intl HC'!D:T,3,FALSE))
)
),"")</f>
        <v/>
      </c>
      <c r="I67" s="73" t="str">
        <f>IFERROR(1/(1/COUNTIFS(
'YearA-AppDetails Current Date'!A:A,D67,
'YearA-AppDetails Current Date'!F:F,E67,
'YearA-AppDetails Current Date'!E:E,--F67,
'YearA-AppDetails Current Date'!I:I,"SUMMER")), "")</f>
        <v/>
      </c>
      <c r="J67" s="74" t="str" cm="1">
        <f t="array" ref="J67">IFERROR(1/(1/SUM(COUNTIFS(
'YearA-AppDetails Current Date'!A:A,D67,
'YearA-AppDetails Current Date'!F:F,E67,
'YearA-AppDetails Current Date'!E:E,--F67,
'YearA-AppDetails Current Date'!O:O,{"ACLN","ACPT","COND"},
'YearA-AppDetails Current Date'!S:S,"&lt;&gt;ACLN",
'YearA-AppDetails Current Date'!S:S,"&lt;&gt;ACPT",
'YearA-AppDetails Current Date'!S:S,"&lt;&gt;COND",
'YearA-AppDetails Current Date'!I:I,"SUMMER"))), "")</f>
        <v/>
      </c>
      <c r="K67" s="73" t="str">
        <f>IFERROR(1/(1/SUM(COUNTIFS(
'YearA-AppDetails Current Date'!A:A,D67,
'YearA-AppDetails Current Date'!F:F,E67,
'YearA-AppDetails Current Date'!E:E,--F67,
'YearA-AppDetails Current Date'!R:R,"&lt;&gt;"&amp;"",
'YearA-AppDetails Current Date'!I:I,"SUMMER"))), "")</f>
        <v/>
      </c>
      <c r="L67" s="74" t="str" cm="1">
        <f t="array" ref="L67">IFERROR(1/(1/SUM(COUNTIFS(
'YearA-AppDetails Current Date'!A:A,D67,
'YearA-AppDetails Current Date'!F:F,E67,
'YearA-AppDetails Current Date'!E:E,--F67,
'YearA-AppDetails Current Date'!T:T,{"APEX","DENY","NTSL"},
'YearA-AppDetails Current Date'!I:I,"SUMMER"))), "")</f>
        <v/>
      </c>
      <c r="M67" s="74" t="str" cm="1">
        <f t="array" ref="M67">IFERROR(1/(1/SUM(COUNTIFS(
'YearA-AppDetails Current Date'!A:A,D67,
'YearA-AppDetails Current Date'!F:F,E67,
'YearA-AppDetails Current Date'!E:E,--F67,
'YearA-AppDetails Current Date'!U:U,{"CCAN","DECL"},
'YearA-AppDetails Current Date'!I:I,"SUMMER"))), "")</f>
        <v/>
      </c>
      <c r="N67" s="74" t="str" cm="1">
        <f t="array" ref="N67">IFERROR(1/(1/SUM(COUNTIFS(
'YearA-AppDetails Current Date'!A:A,D67,
'YearA-AppDetails Current Date'!F:F,E67,
'YearA-AppDetails Current Date'!E:E,--F67,
'YearA-AppDetails Current Date'!V:V,{"APRO","NODE"},
'YearA-AppDetails Current Date'!I:I,"SUMMER"))), "")</f>
        <v/>
      </c>
      <c r="O67" s="74" t="str" cm="1">
        <f t="array" ref="O67">IFERROR(1/(1/SUM(COUNTIFS(
'YearA-AppDetails Current Date'!A:A,D67,
'YearA-AppDetails Current Date'!F:F,E67,
'YearA-AppDetails Current Date'!E:E,--F67,
'YearA-AppDetails Current Date'!T:T,{"CDMT","RQMT","WAIT"},
'YearA-AppDetails Current Date'!I:I,"SUMMER"))), "")</f>
        <v/>
      </c>
      <c r="P67" s="74" t="str">
        <f>IFERROR(1/(1/COUNTIFS(
'YearA-AppDetails Current Date'!A:A,D67,
'YearA-AppDetails Current Date'!F:F,E67,
'YearA-AppDetails Current Date'!E:E,--F67,
'YearA-AppDetails Current Date'!Y:Y,"ENRO",
'YearA-AppDetails Current Date'!I:I,"SUMMER")),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HC'!D:T,2,FALSE)),
N(VLOOKUP(D68&amp;F68,'Budgeted Projections Dom HC'!D:T,3,FALSE))
)
),"")</f>
        <v/>
      </c>
      <c r="I68" s="73" t="str">
        <f>IFERROR(1/(1/COUNTIFS(
'YearA-AppDetails Current Date'!A:A,D68,
'YearA-AppDetails Current Date'!F:F,E68,
'YearA-AppDetails Current Date'!E:E,--F68,
'YearA-AppDetails Current Date'!I:I,"SUMMER")), "")</f>
        <v/>
      </c>
      <c r="J68" s="74" t="str" cm="1">
        <f t="array" ref="J68">IFERROR(1/(1/SUM(COUNTIFS(
'YearA-AppDetails Current Date'!A:A,D68,
'YearA-AppDetails Current Date'!F:F,E68,
'YearA-AppDetails Current Date'!E:E,--F68,
'YearA-AppDetails Current Date'!O:O,{"ACLN","ACPT","COND"},
'YearA-AppDetails Current Date'!S:S,"&lt;&gt;ACLN",
'YearA-AppDetails Current Date'!S:S,"&lt;&gt;ACPT",
'YearA-AppDetails Current Date'!S:S,"&lt;&gt;COND",
'YearA-AppDetails Current Date'!I:I,"SUMMER"))), "")</f>
        <v/>
      </c>
      <c r="K68" s="73" t="str">
        <f>IFERROR(1/(1/SUM(COUNTIFS(
'YearA-AppDetails Current Date'!A:A,D68,
'YearA-AppDetails Current Date'!F:F,E68,
'YearA-AppDetails Current Date'!E:E,--F68,
'YearA-AppDetails Current Date'!R:R,"&lt;&gt;"&amp;"",
'YearA-AppDetails Current Date'!I:I,"SUMMER"))), "")</f>
        <v/>
      </c>
      <c r="L68" s="74" t="str" cm="1">
        <f t="array" ref="L68">IFERROR(1/(1/SUM(COUNTIFS(
'YearA-AppDetails Current Date'!A:A,D68,
'YearA-AppDetails Current Date'!F:F,E68,
'YearA-AppDetails Current Date'!E:E,--F68,
'YearA-AppDetails Current Date'!T:T,{"APEX","DENY","NTSL"},
'YearA-AppDetails Current Date'!I:I,"SUMMER"))), "")</f>
        <v/>
      </c>
      <c r="M68" s="74" t="str" cm="1">
        <f t="array" ref="M68">IFERROR(1/(1/SUM(COUNTIFS(
'YearA-AppDetails Current Date'!A:A,D68,
'YearA-AppDetails Current Date'!F:F,E68,
'YearA-AppDetails Current Date'!E:E,--F68,
'YearA-AppDetails Current Date'!U:U,{"CCAN","DECL"},
'YearA-AppDetails Current Date'!I:I,"SUMMER"))), "")</f>
        <v/>
      </c>
      <c r="N68" s="74" t="str" cm="1">
        <f t="array" ref="N68">IFERROR(1/(1/SUM(COUNTIFS(
'YearA-AppDetails Current Date'!A:A,D68,
'YearA-AppDetails Current Date'!F:F,E68,
'YearA-AppDetails Current Date'!E:E,--F68,
'YearA-AppDetails Current Date'!V:V,{"APRO","NODE"},
'YearA-AppDetails Current Date'!I:I,"SUMMER"))), "")</f>
        <v/>
      </c>
      <c r="O68" s="74" t="str" cm="1">
        <f t="array" ref="O68">IFERROR(1/(1/SUM(COUNTIFS(
'YearA-AppDetails Current Date'!A:A,D68,
'YearA-AppDetails Current Date'!F:F,E68,
'YearA-AppDetails Current Date'!E:E,--F68,
'YearA-AppDetails Current Date'!T:T,{"CDMT","RQMT","WAIT"},
'YearA-AppDetails Current Date'!I:I,"SUMMER"))), "")</f>
        <v/>
      </c>
      <c r="P68" s="74" t="str">
        <f>IFERROR(1/(1/COUNTIFS(
'YearA-AppDetails Current Date'!A:A,D68,
'YearA-AppDetails Current Date'!F:F,E68,
'YearA-AppDetails Current Date'!E:E,--F68,
'YearA-AppDetails Current Date'!Y:Y,"ENRO",
'YearA-AppDetails Current Date'!I:I,"SUMMER")),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HC'!D:T,2,FALSE)),
N(VLOOKUP(D69&amp;F69,'Budgeted Projections Intl HC'!D:T,3,FALSE))
)
),"")</f>
        <v/>
      </c>
      <c r="I69" s="73" t="str">
        <f>IFERROR(1/(1/COUNTIFS(
'YearA-AppDetails Current Date'!A:A,D69,
'YearA-AppDetails Current Date'!F:F,E69,
'YearA-AppDetails Current Date'!E:E,--F69,
'YearA-AppDetails Current Date'!I:I,"SUMMER")), "")</f>
        <v/>
      </c>
      <c r="J69" s="74" t="str" cm="1">
        <f t="array" ref="J69">IFERROR(1/(1/SUM(COUNTIFS(
'YearA-AppDetails Current Date'!A:A,D69,
'YearA-AppDetails Current Date'!F:F,E69,
'YearA-AppDetails Current Date'!E:E,--F69,
'YearA-AppDetails Current Date'!O:O,{"ACLN","ACPT","COND"},
'YearA-AppDetails Current Date'!S:S,"&lt;&gt;ACLN",
'YearA-AppDetails Current Date'!S:S,"&lt;&gt;ACPT",
'YearA-AppDetails Current Date'!S:S,"&lt;&gt;COND",
'YearA-AppDetails Current Date'!I:I,"SUMMER"))), "")</f>
        <v/>
      </c>
      <c r="K69" s="73" t="str">
        <f>IFERROR(1/(1/SUM(COUNTIFS(
'YearA-AppDetails Current Date'!A:A,D69,
'YearA-AppDetails Current Date'!F:F,E69,
'YearA-AppDetails Current Date'!E:E,--F69,
'YearA-AppDetails Current Date'!R:R,"&lt;&gt;"&amp;"",
'YearA-AppDetails Current Date'!I:I,"SUMMER"))), "")</f>
        <v/>
      </c>
      <c r="L69" s="74" t="str" cm="1">
        <f t="array" ref="L69">IFERROR(1/(1/SUM(COUNTIFS(
'YearA-AppDetails Current Date'!A:A,D69,
'YearA-AppDetails Current Date'!F:F,E69,
'YearA-AppDetails Current Date'!E:E,--F69,
'YearA-AppDetails Current Date'!T:T,{"APEX","DENY","NTSL"},
'YearA-AppDetails Current Date'!I:I,"SUMMER"))), "")</f>
        <v/>
      </c>
      <c r="M69" s="74" t="str" cm="1">
        <f t="array" ref="M69">IFERROR(1/(1/SUM(COUNTIFS(
'YearA-AppDetails Current Date'!A:A,D69,
'YearA-AppDetails Current Date'!F:F,E69,
'YearA-AppDetails Current Date'!E:E,--F69,
'YearA-AppDetails Current Date'!U:U,{"CCAN","DECL"},
'YearA-AppDetails Current Date'!I:I,"SUMMER"))), "")</f>
        <v/>
      </c>
      <c r="N69" s="74" t="str" cm="1">
        <f t="array" ref="N69">IFERROR(1/(1/SUM(COUNTIFS(
'YearA-AppDetails Current Date'!A:A,D69,
'YearA-AppDetails Current Date'!F:F,E69,
'YearA-AppDetails Current Date'!E:E,--F69,
'YearA-AppDetails Current Date'!V:V,{"APRO","NODE"},
'YearA-AppDetails Current Date'!I:I,"SUMMER"))), "")</f>
        <v/>
      </c>
      <c r="O69" s="74" t="str" cm="1">
        <f t="array" ref="O69">IFERROR(1/(1/SUM(COUNTIFS(
'YearA-AppDetails Current Date'!A:A,D69,
'YearA-AppDetails Current Date'!F:F,E69,
'YearA-AppDetails Current Date'!E:E,--F69,
'YearA-AppDetails Current Date'!T:T,{"CDMT","RQMT","WAIT"},
'YearA-AppDetails Current Date'!I:I,"SUMMER"))), "")</f>
        <v/>
      </c>
      <c r="P69" s="74" t="str">
        <f>IFERROR(1/(1/COUNTIFS(
'YearA-AppDetails Current Date'!A:A,D69,
'YearA-AppDetails Current Date'!F:F,E69,
'YearA-AppDetails Current Date'!E:E,--F69,
'YearA-AppDetails Current Date'!Y:Y,"ENRO",
'YearA-AppDetails Current Date'!I:I,"SUMMER")),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HC'!D:T,2,FALSE)),
N(VLOOKUP(D70&amp;F70,'Budgeted Projections Dom HC'!D:T,3,FALSE))
)
),"")</f>
        <v/>
      </c>
      <c r="I70" s="73" t="str">
        <f>IFERROR(1/(1/COUNTIFS(
'YearA-AppDetails Current Date'!A:A,D70,
'YearA-AppDetails Current Date'!F:F,E70,
'YearA-AppDetails Current Date'!E:E,--F70,
'YearA-AppDetails Current Date'!I:I,"SUMMER")), "")</f>
        <v/>
      </c>
      <c r="J70" s="74" t="str" cm="1">
        <f t="array" ref="J70">IFERROR(1/(1/SUM(COUNTIFS(
'YearA-AppDetails Current Date'!A:A,D70,
'YearA-AppDetails Current Date'!F:F,E70,
'YearA-AppDetails Current Date'!E:E,--F70,
'YearA-AppDetails Current Date'!O:O,{"ACLN","ACPT","COND"},
'YearA-AppDetails Current Date'!S:S,"&lt;&gt;ACLN",
'YearA-AppDetails Current Date'!S:S,"&lt;&gt;ACPT",
'YearA-AppDetails Current Date'!S:S,"&lt;&gt;COND",
'YearA-AppDetails Current Date'!I:I,"SUMMER"))), "")</f>
        <v/>
      </c>
      <c r="K70" s="73" t="str">
        <f>IFERROR(1/(1/SUM(COUNTIFS(
'YearA-AppDetails Current Date'!A:A,D70,
'YearA-AppDetails Current Date'!F:F,E70,
'YearA-AppDetails Current Date'!E:E,--F70,
'YearA-AppDetails Current Date'!R:R,"&lt;&gt;"&amp;"",
'YearA-AppDetails Current Date'!I:I,"SUMMER"))), "")</f>
        <v/>
      </c>
      <c r="L70" s="74" t="str" cm="1">
        <f t="array" ref="L70">IFERROR(1/(1/SUM(COUNTIFS(
'YearA-AppDetails Current Date'!A:A,D70,
'YearA-AppDetails Current Date'!F:F,E70,
'YearA-AppDetails Current Date'!E:E,--F70,
'YearA-AppDetails Current Date'!T:T,{"APEX","DENY","NTSL"},
'YearA-AppDetails Current Date'!I:I,"SUMMER"))), "")</f>
        <v/>
      </c>
      <c r="M70" s="74" t="str" cm="1">
        <f t="array" ref="M70">IFERROR(1/(1/SUM(COUNTIFS(
'YearA-AppDetails Current Date'!A:A,D70,
'YearA-AppDetails Current Date'!F:F,E70,
'YearA-AppDetails Current Date'!E:E,--F70,
'YearA-AppDetails Current Date'!U:U,{"CCAN","DECL"},
'YearA-AppDetails Current Date'!I:I,"SUMMER"))), "")</f>
        <v/>
      </c>
      <c r="N70" s="74" t="str" cm="1">
        <f t="array" ref="N70">IFERROR(1/(1/SUM(COUNTIFS(
'YearA-AppDetails Current Date'!A:A,D70,
'YearA-AppDetails Current Date'!F:F,E70,
'YearA-AppDetails Current Date'!E:E,--F70,
'YearA-AppDetails Current Date'!V:V,{"APRO","NODE"},
'YearA-AppDetails Current Date'!I:I,"SUMMER"))), "")</f>
        <v/>
      </c>
      <c r="O70" s="74" t="str" cm="1">
        <f t="array" ref="O70">IFERROR(1/(1/SUM(COUNTIFS(
'YearA-AppDetails Current Date'!A:A,D70,
'YearA-AppDetails Current Date'!F:F,E70,
'YearA-AppDetails Current Date'!E:E,--F70,
'YearA-AppDetails Current Date'!T:T,{"CDMT","RQMT","WAIT"},
'YearA-AppDetails Current Date'!I:I,"SUMMER"))), "")</f>
        <v/>
      </c>
      <c r="P70" s="74" t="str">
        <f>IFERROR(1/(1/COUNTIFS(
'YearA-AppDetails Current Date'!A:A,D70,
'YearA-AppDetails Current Date'!F:F,E70,
'YearA-AppDetails Current Date'!E:E,--F70,
'YearA-AppDetails Current Date'!Y:Y,"ENRO",
'YearA-AppDetails Current Date'!I:I,"SUMMER")),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HC'!D:T,2,FALSE)),
N(VLOOKUP(D71&amp;F71,'Budgeted Projections Intl HC'!D:T,3,FALSE))
)
),"")</f>
        <v/>
      </c>
      <c r="I71" s="73" t="str">
        <f>IFERROR(1/(1/COUNTIFS(
'YearA-AppDetails Current Date'!A:A,D71,
'YearA-AppDetails Current Date'!F:F,E71,
'YearA-AppDetails Current Date'!E:E,--F71,
'YearA-AppDetails Current Date'!I:I,"SUMMER")), "")</f>
        <v/>
      </c>
      <c r="J71" s="74" t="str" cm="1">
        <f t="array" ref="J71">IFERROR(1/(1/SUM(COUNTIFS(
'YearA-AppDetails Current Date'!A:A,D71,
'YearA-AppDetails Current Date'!F:F,E71,
'YearA-AppDetails Current Date'!E:E,--F71,
'YearA-AppDetails Current Date'!O:O,{"ACLN","ACPT","COND"},
'YearA-AppDetails Current Date'!S:S,"&lt;&gt;ACLN",
'YearA-AppDetails Current Date'!S:S,"&lt;&gt;ACPT",
'YearA-AppDetails Current Date'!S:S,"&lt;&gt;COND",
'YearA-AppDetails Current Date'!I:I,"SUMMER"))), "")</f>
        <v/>
      </c>
      <c r="K71" s="73" t="str">
        <f>IFERROR(1/(1/SUM(COUNTIFS(
'YearA-AppDetails Current Date'!A:A,D71,
'YearA-AppDetails Current Date'!F:F,E71,
'YearA-AppDetails Current Date'!E:E,--F71,
'YearA-AppDetails Current Date'!R:R,"&lt;&gt;"&amp;"",
'YearA-AppDetails Current Date'!I:I,"SUMMER"))), "")</f>
        <v/>
      </c>
      <c r="L71" s="74" t="str" cm="1">
        <f t="array" ref="L71">IFERROR(1/(1/SUM(COUNTIFS(
'YearA-AppDetails Current Date'!A:A,D71,
'YearA-AppDetails Current Date'!F:F,E71,
'YearA-AppDetails Current Date'!E:E,--F71,
'YearA-AppDetails Current Date'!T:T,{"APEX","DENY","NTSL"},
'YearA-AppDetails Current Date'!I:I,"SUMMER"))), "")</f>
        <v/>
      </c>
      <c r="M71" s="74" t="str" cm="1">
        <f t="array" ref="M71">IFERROR(1/(1/SUM(COUNTIFS(
'YearA-AppDetails Current Date'!A:A,D71,
'YearA-AppDetails Current Date'!F:F,E71,
'YearA-AppDetails Current Date'!E:E,--F71,
'YearA-AppDetails Current Date'!U:U,{"CCAN","DECL"},
'YearA-AppDetails Current Date'!I:I,"SUMMER"))), "")</f>
        <v/>
      </c>
      <c r="N71" s="74" t="str" cm="1">
        <f t="array" ref="N71">IFERROR(1/(1/SUM(COUNTIFS(
'YearA-AppDetails Current Date'!A:A,D71,
'YearA-AppDetails Current Date'!F:F,E71,
'YearA-AppDetails Current Date'!E:E,--F71,
'YearA-AppDetails Current Date'!V:V,{"APRO","NODE"},
'YearA-AppDetails Current Date'!I:I,"SUMMER"))), "")</f>
        <v/>
      </c>
      <c r="O71" s="74" t="str" cm="1">
        <f t="array" ref="O71">IFERROR(1/(1/SUM(COUNTIFS(
'YearA-AppDetails Current Date'!A:A,D71,
'YearA-AppDetails Current Date'!F:F,E71,
'YearA-AppDetails Current Date'!E:E,--F71,
'YearA-AppDetails Current Date'!T:T,{"CDMT","RQMT","WAIT"},
'YearA-AppDetails Current Date'!I:I,"SUMMER"))), "")</f>
        <v/>
      </c>
      <c r="P71" s="74" t="str">
        <f>IFERROR(1/(1/COUNTIFS(
'YearA-AppDetails Current Date'!A:A,D71,
'YearA-AppDetails Current Date'!F:F,E71,
'YearA-AppDetails Current Date'!E:E,--F71,
'YearA-AppDetails Current Date'!Y:Y,"ENRO",
'YearA-AppDetails Current Date'!I:I,"SUMMER")),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HC'!D:T,2,FALSE)),
N(VLOOKUP("BSCACN,BSCAFT,BSCAEE3",'Budgeted Projections Dom HC'!D:T,3,FALSE))
)
),"")</f>
        <v/>
      </c>
      <c r="I72" s="73" t="str" cm="1">
        <f t="array" ref="I72">IFERROR(1/(1/SUM(COUNTIFS(
'YearA-AppDetails Current Date'!A:A,TRIM(_xlfn.TEXTSPLIT(D72,{"&amp;",","})),
'YearA-AppDetails Current Date'!F:F,E72,
'YearA-AppDetails Current Date'!E:E,--F72,
'YearA-AppDetails Current Date'!I:I,"SUMMER"))), "")</f>
        <v/>
      </c>
      <c r="J72" s="74" t="str" cm="1">
        <f t="array" ref="J72">IFERROR(1/(1/SUM(
COUNTIFS(
'YearA-AppDetails Current Date'!A:A,"BSCN",
'YearA-AppDetails Current Date'!F:F,E72,
'YearA-AppDetails Current Date'!E:E,--F72,
'YearA-AppDetails Current Date'!O:O,{"ACLN","ACPT","COND"},
'YearA-AppDetails Current Date'!S:S,"&lt;&gt;ACLN",
'YearA-AppDetails Current Date'!S:S,"&lt;&gt;ACPT",
'YearA-AppDetails Current Date'!S:S,"&lt;&gt;COND",
'YearA-AppDetails Current Date'!I:I,"SUMMER")
+
COUNTIFS(
'YearA-AppDetails Current Date'!A:A,"BSCACN",
'YearA-AppDetails Current Date'!F:F,E72,
'YearA-AppDetails Current Date'!E:E,--F72,
'YearA-AppDetails Current Date'!O:O,{"ACLN","ACPT","COND"},
'YearA-AppDetails Current Date'!S:S,"&lt;&gt;ACLN",
'YearA-AppDetails Current Date'!S:S,"&lt;&gt;ACPT",
'YearA-AppDetails Current Date'!S:S,"&lt;&gt;COND",
'YearA-AppDetails Current Date'!I:I,"SUMMER")
+
COUNTIFS(
'YearA-AppDetails Current Date'!A:A,"BSCAFT",
'YearA-AppDetails Current Date'!F:F,E72,
'YearA-AppDetails Current Date'!E:E,--F72,
'YearA-AppDetails Current Date'!O:O,{"ACLN","ACPT","COND"},
'YearA-AppDetails Current Date'!S:S,"&lt;&gt;ACLN",
'YearA-AppDetails Current Date'!S:S,"&lt;&gt;ACPT",
'YearA-AppDetails Current Date'!S:S,"&lt;&gt;COND",
'YearA-AppDetails Current Date'!I:I,"SUMMER")
+
COUNTIFS(
'YearA-AppDetails Current Date'!A:A,"BSCAEE",
'YearA-AppDetails Current Date'!F:F,E72,
'YearA-AppDetails Current Date'!E:E,--F72,
'YearA-AppDetails Current Date'!O:O,{"ACLN","ACPT","COND"},
'YearA-AppDetails Current Date'!S:S,"&lt;&gt;ACLN",
'YearA-AppDetails Current Date'!S:S,"&lt;&gt;ACPT",
'YearA-AppDetails Current Date'!S:S,"&lt;&gt;COND",
'YearA-AppDetails Current Date'!I:I,"SUMMER")
)), "")</f>
        <v/>
      </c>
      <c r="K72" s="73" t="str">
        <f>IFERROR(1/(1/SUM(
COUNTIFS(
'YearA-AppDetails Current Date'!A:A,"BSCN",
'YearA-AppDetails Current Date'!F:F,E72,
'YearA-AppDetails Current Date'!E:E,--F72,
'YearA-AppDetails Current Date'!R:R,"&lt;&gt;"&amp;"",
'YearA-AppDetails Current Date'!I:I,"SUMMER")
+
COUNTIFS(
'YearA-AppDetails Current Date'!A:A,"BSCACN",
'YearA-AppDetails Current Date'!F:F,E72,
'YearA-AppDetails Current Date'!E:E,--F72,
'YearA-AppDetails Current Date'!R:R,"&lt;&gt;"&amp;"",
'YearA-AppDetails Current Date'!I:I,"SUMMER")
+
COUNTIFS(
'YearA-AppDetails Current Date'!A:A,"BSCAFT",
'YearA-AppDetails Current Date'!F:F,E72,
'YearA-AppDetails Current Date'!E:E,--F72,
'YearA-AppDetails Current Date'!R:R,"&lt;&gt;"&amp;"",
'YearA-AppDetails Current Date'!I:I,"SUMMER")
+
COUNTIFS(
'YearA-AppDetails Current Date'!A:A,"BSCAEE",
'YearA-AppDetails Current Date'!F:F,E72,
'YearA-AppDetails Current Date'!E:E,--F72,
'YearA-AppDetails Current Date'!R:R,"&lt;&gt;"&amp;"",
'YearA-AppDetails Current Date'!I:I,"SUMMER")
)), "")</f>
        <v/>
      </c>
      <c r="L72" s="74" t="str" cm="1">
        <f t="array" ref="L72">IFERROR(1/(1/SUM(
COUNTIFS(
'YearA-AppDetails Current Date'!A:A,"BSCN",
'YearA-AppDetails Current Date'!F:F,E72,
'YearA-AppDetails Current Date'!E:E,--F72,
'YearA-AppDetails Current Date'!T:T,{"APEX","DENY","NTSL"},
'YearA-AppDetails Current Date'!I:I,"SUMMER")
+
COUNTIFS(
'YearA-AppDetails Current Date'!A:A,"BSCACN",
'YearA-AppDetails Current Date'!F:F,E72,
'YearA-AppDetails Current Date'!E:E,--F72,
'YearA-AppDetails Current Date'!T:T,{"APEX","DENY","NTSL"},
'YearA-AppDetails Current Date'!I:I,"SUMMER")
+
COUNTIFS(
'YearA-AppDetails Current Date'!A:A,"BSCAFT",
'YearA-AppDetails Current Date'!F:F,E72,
'YearA-AppDetails Current Date'!E:E,--F72,
'YearA-AppDetails Current Date'!T:T,{"APEX","DENY","NTSL"},
'YearA-AppDetails Current Date'!I:I,"SUMMER")
+
COUNTIFS(
'YearA-AppDetails Current Date'!A:A,"BSCAEE",
'YearA-AppDetails Current Date'!F:F,E72,
'YearA-AppDetails Current Date'!E:E,--F72,
'YearA-AppDetails Current Date'!T:T,{"APEX","DENY","NTSL"},
'YearA-AppDetails Current Date'!I:I,"SUMMER")
)), "")</f>
        <v/>
      </c>
      <c r="M72" s="74" t="str" cm="1">
        <f t="array" ref="M72">IFERROR(1/(1/SUM(
COUNTIFS(
'YearA-AppDetails Current Date'!A:A,"BSCN",
'YearA-AppDetails Current Date'!F:F,E72,
'YearA-AppDetails Current Date'!E:E,--F72,
'YearA-AppDetails Current Date'!U:U,{"CCAN","DECL"},
'YearA-AppDetails Current Date'!I:I,"SUMMER")
+
COUNTIFS(
'YearA-AppDetails Current Date'!A:A,"BSCACN",
'YearA-AppDetails Current Date'!F:F,E72,
'YearA-AppDetails Current Date'!E:E,--F72,
'YearA-AppDetails Current Date'!U:U,{"CCAN","DECL"},
'YearA-AppDetails Current Date'!I:I,"SUMMER")
+
COUNTIFS(
'YearA-AppDetails Current Date'!A:A,"BSCAFT",
'YearA-AppDetails Current Date'!F:F,E72,
'YearA-AppDetails Current Date'!E:E,--F72,
'YearA-AppDetails Current Date'!U:U,{"CCAN","DECL"},
'YearA-AppDetails Current Date'!I:I,"SUMMER")
+
COUNTIFS(
'YearA-AppDetails Current Date'!A:A,"BSCAEE",
'YearA-AppDetails Current Date'!F:F,E72,
'YearA-AppDetails Current Date'!E:E,--F72,
'YearA-AppDetails Current Date'!U:U,{"CCAN","DECL"},
'YearA-AppDetails Current Date'!I:I,"SUMMER")
)), "")</f>
        <v/>
      </c>
      <c r="N72" s="74" t="str" cm="1">
        <f t="array" ref="N72">IFERROR(1/(1/SUM(
COUNTIFS(
'YearA-AppDetails Current Date'!A:A,"BSCN",
'YearA-AppDetails Current Date'!F:F,E72,
'YearA-AppDetails Current Date'!E:E,--F72,
'YearA-AppDetails Current Date'!V:V,{"APRO","NODE"},
'YearA-AppDetails Current Date'!I:I,"SUMMER")
+
COUNTIFS(
'YearA-AppDetails Current Date'!A:A,"BSCACN",
'YearA-AppDetails Current Date'!F:F,E72,
'YearA-AppDetails Current Date'!E:E,--F72,
'YearA-AppDetails Current Date'!V:V,{"APRO","NODE"},
'YearA-AppDetails Current Date'!I:I,"SUMMER")
+
COUNTIFS(
'YearA-AppDetails Current Date'!A:A,"BSCAFT",
'YearA-AppDetails Current Date'!F:F,E72,
'YearA-AppDetails Current Date'!E:E,--F72,
'YearA-AppDetails Current Date'!V:V,{"APRO","NODE"},
'YearA-AppDetails Current Date'!I:I,"SUMMER")
+
COUNTIFS(
'YearA-AppDetails Current Date'!A:A,"BSCAEE",
'YearA-AppDetails Current Date'!F:F,E72,
'YearA-AppDetails Current Date'!E:E,--F72,
'YearA-AppDetails Current Date'!V:V,{"APRO","NODE"},
'YearA-AppDetails Current Date'!I:I,"SUMMER")
)), "")</f>
        <v/>
      </c>
      <c r="O72" s="74" t="str" cm="1">
        <f t="array" ref="O72">IFERROR(1/(1/SUM(
COUNTIFS(
'YearA-AppDetails Current Date'!A:A,"BSCN",
'YearA-AppDetails Current Date'!F:F,E72,
'YearA-AppDetails Current Date'!E:E,--F72,
'YearA-AppDetails Current Date'!T:T,{"CDMT","RQMT","WAIT"},
'YearA-AppDetails Current Date'!I:I,"SUMMER")
+
COUNTIFS(
'YearA-AppDetails Current Date'!A:A,"BSCACN",
'YearA-AppDetails Current Date'!F:F,E72,
'YearA-AppDetails Current Date'!E:E,--F72,
'YearA-AppDetails Current Date'!T:T,{"CDMT","RQMT","WAIT"},
'YearA-AppDetails Current Date'!I:I,"SUMMER")
+
COUNTIFS(
'YearA-AppDetails Current Date'!A:A,"BSCAFT",
'YearA-AppDetails Current Date'!F:F,E72,
'YearA-AppDetails Current Date'!E:E,--F72,
'YearA-AppDetails Current Date'!T:T,{"CDMT","RQMT","WAIT"},
'YearA-AppDetails Current Date'!I:I,"SUMMER")
+
COUNTIFS(
'YearA-AppDetails Current Date'!A:A,"BSCAEE",
'YearA-AppDetails Current Date'!F:F,E72,
'YearA-AppDetails Current Date'!E:E,--F72,
'YearA-AppDetails Current Date'!T:T,{"CDMT","RQMT","WAIT"},
'YearA-AppDetails Current Date'!I:I,"SUMMER")
)), "")</f>
        <v/>
      </c>
      <c r="P72" s="74" t="str" cm="1">
        <f t="array" ref="P72">IFERROR(1/(1/SUM(COUNTIFS(
'YearA-AppDetails Current Date'!A:A,TRIM(_xlfn.TEXTSPLIT(D72,{"&amp;",","})),
'YearA-AppDetails Current Date'!F:F,E72,
'YearA-AppDetails Current Date'!E:E,--F72,
'YearA-AppDetails Current Date'!Y:Y,"ENRO",
'YearA-AppDetails Current Date'!I:I,"SUMMER"))),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HC'!D:T,2,FALSE)),
N(VLOOKUP("BSCACN,BSCAFT,BSCAEE3",'Budgeted Projections Intl HC'!D:T,3,FALSE))
)
),"")</f>
        <v/>
      </c>
      <c r="I73" s="73" t="str" cm="1">
        <f t="array" ref="I73">IFERROR(1/(1/SUM(COUNTIFS(
'YearA-AppDetails Current Date'!A:A,TRIM(_xlfn.TEXTSPLIT(D73,{"&amp;",","})),
'YearA-AppDetails Current Date'!F:F,E73,
'YearA-AppDetails Current Date'!E:E,--F73,
'YearA-AppDetails Current Date'!I:I,"SUMMER"))), "")</f>
        <v/>
      </c>
      <c r="J73" s="74" t="str" cm="1">
        <f t="array" ref="J73">IFERROR(1/(1/SUM(
COUNTIFS(
'YearA-AppDetails Current Date'!A:A,"BSCN",
'YearA-AppDetails Current Date'!F:F,E73,
'YearA-AppDetails Current Date'!E:E,--F73,
'YearA-AppDetails Current Date'!O:O,{"ACLN","ACPT","COND"},
'YearA-AppDetails Current Date'!S:S,"&lt;&gt;ACLN",
'YearA-AppDetails Current Date'!S:S,"&lt;&gt;ACPT",
'YearA-AppDetails Current Date'!S:S,"&lt;&gt;COND",
'YearA-AppDetails Current Date'!I:I,"SUMMER")
+
COUNTIFS(
'YearA-AppDetails Current Date'!A:A,"BSCACN",
'YearA-AppDetails Current Date'!F:F,E73,
'YearA-AppDetails Current Date'!E:E,--F73,
'YearA-AppDetails Current Date'!O:O,{"ACLN","ACPT","COND"},
'YearA-AppDetails Current Date'!S:S,"&lt;&gt;ACLN",
'YearA-AppDetails Current Date'!S:S,"&lt;&gt;ACPT",
'YearA-AppDetails Current Date'!S:S,"&lt;&gt;COND",
'YearA-AppDetails Current Date'!I:I,"SUMMER")
+
COUNTIFS(
'YearA-AppDetails Current Date'!A:A,"BSCAFT",
'YearA-AppDetails Current Date'!F:F,E73,
'YearA-AppDetails Current Date'!E:E,--F73,
'YearA-AppDetails Current Date'!O:O,{"ACLN","ACPT","COND"},
'YearA-AppDetails Current Date'!S:S,"&lt;&gt;ACLN",
'YearA-AppDetails Current Date'!S:S,"&lt;&gt;ACPT",
'YearA-AppDetails Current Date'!S:S,"&lt;&gt;COND",
'YearA-AppDetails Current Date'!I:I,"SUMMER")
+
COUNTIFS(
'YearA-AppDetails Current Date'!A:A,"BSCAEE",
'YearA-AppDetails Current Date'!F:F,E73,
'YearA-AppDetails Current Date'!E:E,--F73,
'YearA-AppDetails Current Date'!O:O,{"ACLN","ACPT","COND"},
'YearA-AppDetails Current Date'!S:S,"&lt;&gt;ACLN",
'YearA-AppDetails Current Date'!S:S,"&lt;&gt;ACPT",
'YearA-AppDetails Current Date'!S:S,"&lt;&gt;COND",
'YearA-AppDetails Current Date'!I:I,"SUMMER")
)), "")</f>
        <v/>
      </c>
      <c r="K73" s="73" t="str">
        <f>IFERROR(1/(1/SUM(
COUNTIFS(
'YearA-AppDetails Current Date'!A:A,"BSCN",
'YearA-AppDetails Current Date'!F:F,E73,
'YearA-AppDetails Current Date'!E:E,--F73,
'YearA-AppDetails Current Date'!R:R,"&lt;&gt;"&amp;"",
'YearA-AppDetails Current Date'!I:I,"SUMMER")
+
COUNTIFS(
'YearA-AppDetails Current Date'!A:A,"BSCACN",
'YearA-AppDetails Current Date'!F:F,E73,
'YearA-AppDetails Current Date'!E:E,--F73,
'YearA-AppDetails Current Date'!R:R,"&lt;&gt;"&amp;"",
'YearA-AppDetails Current Date'!I:I,"SUMMER")
+
COUNTIFS(
'YearA-AppDetails Current Date'!A:A,"BSCAFT",
'YearA-AppDetails Current Date'!F:F,E73,
'YearA-AppDetails Current Date'!E:E,--F73,
'YearA-AppDetails Current Date'!R:R,"&lt;&gt;"&amp;"",
'YearA-AppDetails Current Date'!I:I,"SUMMER")
+
COUNTIFS(
'YearA-AppDetails Current Date'!A:A,"BSCAEE",
'YearA-AppDetails Current Date'!F:F,E73,
'YearA-AppDetails Current Date'!E:E,--F73,
'YearA-AppDetails Current Date'!R:R,"&lt;&gt;"&amp;"",
'YearA-AppDetails Current Date'!I:I,"SUMMER")
)), "")</f>
        <v/>
      </c>
      <c r="L73" s="74" t="str" cm="1">
        <f t="array" ref="L73">IFERROR(1/(1/SUM(
COUNTIFS(
'YearA-AppDetails Current Date'!A:A,"BSCN",
'YearA-AppDetails Current Date'!F:F,E73,
'YearA-AppDetails Current Date'!E:E,--F73,
'YearA-AppDetails Current Date'!T:T,{"APEX","DENY","NTSL"},
'YearA-AppDetails Current Date'!I:I,"SUMMER")
+
COUNTIFS(
'YearA-AppDetails Current Date'!A:A,"BSCACN",
'YearA-AppDetails Current Date'!F:F,E73,
'YearA-AppDetails Current Date'!E:E,--F73,
'YearA-AppDetails Current Date'!T:T,{"APEX","DENY","NTSL"},
'YearA-AppDetails Current Date'!I:I,"SUMMER")
+
COUNTIFS(
'YearA-AppDetails Current Date'!A:A,"BSCAFT",
'YearA-AppDetails Current Date'!F:F,E73,
'YearA-AppDetails Current Date'!E:E,--F73,
'YearA-AppDetails Current Date'!T:T,{"APEX","DENY","NTSL"},
'YearA-AppDetails Current Date'!I:I,"SUMMER")
+
COUNTIFS(
'YearA-AppDetails Current Date'!A:A,"BSCAEE",
'YearA-AppDetails Current Date'!F:F,E73,
'YearA-AppDetails Current Date'!E:E,--F73,
'YearA-AppDetails Current Date'!T:T,{"APEX","DENY","NTSL"},
'YearA-AppDetails Current Date'!I:I,"SUMMER")
)), "")</f>
        <v/>
      </c>
      <c r="M73" s="74" t="str" cm="1">
        <f t="array" ref="M73">IFERROR(1/(1/SUM(
COUNTIFS(
'YearA-AppDetails Current Date'!A:A,"BSCN",
'YearA-AppDetails Current Date'!F:F,E73,
'YearA-AppDetails Current Date'!E:E,--F73,
'YearA-AppDetails Current Date'!U:U,{"CCAN","DECL"},
'YearA-AppDetails Current Date'!I:I,"SUMMER")
+
COUNTIFS(
'YearA-AppDetails Current Date'!A:A,"BSCACN",
'YearA-AppDetails Current Date'!F:F,E73,
'YearA-AppDetails Current Date'!E:E,--F73,
'YearA-AppDetails Current Date'!U:U,{"CCAN","DECL"},
'YearA-AppDetails Current Date'!I:I,"SUMMER")
+
COUNTIFS(
'YearA-AppDetails Current Date'!A:A,"BSCAFT",
'YearA-AppDetails Current Date'!F:F,E73,
'YearA-AppDetails Current Date'!E:E,--F73,
'YearA-AppDetails Current Date'!U:U,{"CCAN","DECL"},
'YearA-AppDetails Current Date'!I:I,"SUMMER")
+
COUNTIFS(
'YearA-AppDetails Current Date'!A:A,"BSCAEE",
'YearA-AppDetails Current Date'!F:F,E73,
'YearA-AppDetails Current Date'!E:E,--F73,
'YearA-AppDetails Current Date'!U:U,{"CCAN","DECL"},
'YearA-AppDetails Current Date'!I:I,"SUMMER")
)), "")</f>
        <v/>
      </c>
      <c r="N73" s="74" t="str" cm="1">
        <f t="array" ref="N73">IFERROR(1/(1/SUM(
COUNTIFS(
'YearA-AppDetails Current Date'!A:A,"BSCN",
'YearA-AppDetails Current Date'!F:F,E73,
'YearA-AppDetails Current Date'!E:E,--F73,
'YearA-AppDetails Current Date'!V:V,{"APRO","NODE"},
'YearA-AppDetails Current Date'!I:I,"SUMMER")
+
COUNTIFS(
'YearA-AppDetails Current Date'!A:A,"BSCACN",
'YearA-AppDetails Current Date'!F:F,E73,
'YearA-AppDetails Current Date'!E:E,--F73,
'YearA-AppDetails Current Date'!V:V,{"APRO","NODE"},
'YearA-AppDetails Current Date'!I:I,"SUMMER")
+
COUNTIFS(
'YearA-AppDetails Current Date'!A:A,"BSCAFT",
'YearA-AppDetails Current Date'!F:F,E73,
'YearA-AppDetails Current Date'!E:E,--F73,
'YearA-AppDetails Current Date'!V:V,{"APRO","NODE"},
'YearA-AppDetails Current Date'!I:I,"SUMMER")
+
COUNTIFS(
'YearA-AppDetails Current Date'!A:A,"BSCAEE",
'YearA-AppDetails Current Date'!F:F,E73,
'YearA-AppDetails Current Date'!E:E,--F73,
'YearA-AppDetails Current Date'!V:V,{"APRO","NODE"},
'YearA-AppDetails Current Date'!I:I,"SUMMER")
)), "")</f>
        <v/>
      </c>
      <c r="O73" s="74" t="str" cm="1">
        <f t="array" ref="O73">IFERROR(1/(1/SUM(
COUNTIFS(
'YearA-AppDetails Current Date'!A:A,"BSCN",
'YearA-AppDetails Current Date'!F:F,E73,
'YearA-AppDetails Current Date'!E:E,--F73,
'YearA-AppDetails Current Date'!T:T,{"CDMT","RQMT","WAIT"},
'YearA-AppDetails Current Date'!I:I,"SUMMER")
+
COUNTIFS(
'YearA-AppDetails Current Date'!A:A,"BSCACN",
'YearA-AppDetails Current Date'!F:F,E73,
'YearA-AppDetails Current Date'!E:E,--F73,
'YearA-AppDetails Current Date'!T:T,{"CDMT","RQMT","WAIT"},
'YearA-AppDetails Current Date'!I:I,"SUMMER")
+
COUNTIFS(
'YearA-AppDetails Current Date'!A:A,"BSCAFT",
'YearA-AppDetails Current Date'!F:F,E73,
'YearA-AppDetails Current Date'!E:E,--F73,
'YearA-AppDetails Current Date'!T:T,{"CDMT","RQMT","WAIT"},
'YearA-AppDetails Current Date'!I:I,"SUMMER")
+
COUNTIFS(
'YearA-AppDetails Current Date'!A:A,"BSCAEE",
'YearA-AppDetails Current Date'!F:F,E73,
'YearA-AppDetails Current Date'!E:E,--F73,
'YearA-AppDetails Current Date'!T:T,{"CDMT","RQMT","WAIT"},
'YearA-AppDetails Current Date'!I:I,"SUMMER")
)), "")</f>
        <v/>
      </c>
      <c r="P73" s="74" t="str" cm="1">
        <f t="array" ref="P73">IFERROR(1/(1/SUM(COUNTIFS(
'YearA-AppDetails Current Date'!A:A,TRIM(_xlfn.TEXTSPLIT(D73,{"&amp;",","})),
'YearA-AppDetails Current Date'!F:F,E73,
'YearA-AppDetails Current Date'!E:E,--F73,
'YearA-AppDetails Current Date'!Y:Y,"ENRO",
'YearA-AppDetails Current Date'!I:I,"SUMMER"))), "")</f>
        <v/>
      </c>
      <c r="Q73" s="3" t="str">
        <f t="shared" ref="Q73:Q136" si="9">IFERROR(P73/J73,"")</f>
        <v/>
      </c>
    </row>
    <row r="74" spans="1:17" ht="15.75" customHeight="1" x14ac:dyDescent="0.25">
      <c r="A74" s="156"/>
      <c r="B74" s="122"/>
      <c r="C74" s="124" t="s">
        <v>227</v>
      </c>
      <c r="D74" s="23" t="s">
        <v>152</v>
      </c>
      <c r="E74" s="2" t="s">
        <v>42</v>
      </c>
      <c r="F74" s="42">
        <v>1</v>
      </c>
      <c r="G74" s="139"/>
      <c r="H74" s="73" t="str">
        <f>IFERROR(1/(1/
SUM(
N(VLOOKUP(D74&amp;F74,'Budgeted Projections Dom HC'!D:T,2,FALSE)),
N(VLOOKUP(D74&amp;F74,'Budgeted Projections Dom HC'!D:T,3,FALSE))
)
),"")</f>
        <v/>
      </c>
      <c r="I74" s="73" t="str">
        <f>IFERROR(1/(1/COUNTIFS(
'YearA-AppDetails Current Date'!A:A,D74,
'YearA-AppDetails Current Date'!F:F,E74,
'YearA-AppDetails Current Date'!E:E,--F74,
'YearA-AppDetails Current Date'!I:I,"SUMMER")), "")</f>
        <v/>
      </c>
      <c r="J74" s="74" t="str" cm="1">
        <f t="array" ref="J74">IFERROR(1/(1/SUM(COUNTIFS(
'YearA-AppDetails Current Date'!A:A,D74,
'YearA-AppDetails Current Date'!F:F,E74,
'YearA-AppDetails Current Date'!E:E,--F74,
'YearA-AppDetails Current Date'!O:O,{"ACLN","ACPT","COND"},
'YearA-AppDetails Current Date'!S:S,"&lt;&gt;ACLN",
'YearA-AppDetails Current Date'!S:S,"&lt;&gt;ACPT",
'YearA-AppDetails Current Date'!S:S,"&lt;&gt;COND",
'YearA-AppDetails Current Date'!I:I,"SUMMER"))), "")</f>
        <v/>
      </c>
      <c r="K74" s="73" t="str">
        <f>IFERROR(1/(1/SUM(COUNTIFS(
'YearA-AppDetails Current Date'!A:A,D74,
'YearA-AppDetails Current Date'!F:F,E74,
'YearA-AppDetails Current Date'!E:E,--F74,
'YearA-AppDetails Current Date'!R:R,"&lt;&gt;"&amp;"",
'YearA-AppDetails Current Date'!I:I,"SUMMER"))), "")</f>
        <v/>
      </c>
      <c r="L74" s="74" t="str" cm="1">
        <f t="array" ref="L74">IFERROR(1/(1/SUM(COUNTIFS(
'YearA-AppDetails Current Date'!A:A,D74,
'YearA-AppDetails Current Date'!F:F,E74,
'YearA-AppDetails Current Date'!E:E,--F74,
'YearA-AppDetails Current Date'!T:T,{"APEX","DENY","NTSL"},
'YearA-AppDetails Current Date'!I:I,"SUMMER"))), "")</f>
        <v/>
      </c>
      <c r="M74" s="74" t="str" cm="1">
        <f t="array" ref="M74">IFERROR(1/(1/SUM(COUNTIFS(
'YearA-AppDetails Current Date'!A:A,D74,
'YearA-AppDetails Current Date'!F:F,E74,
'YearA-AppDetails Current Date'!E:E,--F74,
'YearA-AppDetails Current Date'!U:U,{"CCAN","DECL"},
'YearA-AppDetails Current Date'!I:I,"SUMMER"))), "")</f>
        <v/>
      </c>
      <c r="N74" s="74" t="str" cm="1">
        <f t="array" ref="N74">IFERROR(1/(1/SUM(COUNTIFS(
'YearA-AppDetails Current Date'!A:A,D74,
'YearA-AppDetails Current Date'!F:F,E74,
'YearA-AppDetails Current Date'!E:E,--F74,
'YearA-AppDetails Current Date'!V:V,{"APRO","NODE"},
'YearA-AppDetails Current Date'!I:I,"SUMMER"))), "")</f>
        <v/>
      </c>
      <c r="O74" s="74" t="str" cm="1">
        <f t="array" ref="O74">IFERROR(1/(1/SUM(COUNTIFS(
'YearA-AppDetails Current Date'!A:A,D74,
'YearA-AppDetails Current Date'!F:F,E74,
'YearA-AppDetails Current Date'!E:E,--F74,
'YearA-AppDetails Current Date'!T:T,{"CDMT","RQMT","WAIT"},
'YearA-AppDetails Current Date'!I:I,"SUMMER"))), "")</f>
        <v/>
      </c>
      <c r="P74" s="74" t="str">
        <f>IFERROR(1/(1/COUNTIFS(
'YearA-AppDetails Current Date'!A:A,D74,
'YearA-AppDetails Current Date'!F:F,E74,
'YearA-AppDetails Current Date'!E:E,--F74,
'YearA-AppDetails Current Date'!Y:Y,"ENRO",
'YearA-AppDetails Current Date'!I:I,"SUMMER")), "")</f>
        <v/>
      </c>
      <c r="Q74" s="3" t="str">
        <f t="shared" si="9"/>
        <v/>
      </c>
    </row>
    <row r="75" spans="1:17" ht="15.75" customHeight="1" x14ac:dyDescent="0.25">
      <c r="A75" s="156"/>
      <c r="B75" s="122"/>
      <c r="C75" s="125"/>
      <c r="D75" s="23" t="s">
        <v>152</v>
      </c>
      <c r="E75" s="2" t="s">
        <v>43</v>
      </c>
      <c r="F75" s="42">
        <v>1</v>
      </c>
      <c r="G75" s="140"/>
      <c r="H75" s="73" t="str">
        <f>IFERROR(1/(1/
SUM(
N(VLOOKUP(D75&amp;F75,'Budgeted Projections Intl HC'!D:T,2,FALSE)),
N(VLOOKUP(D75&amp;F75,'Budgeted Projections Intl HC'!D:T,3,FALSE))
)
),"")</f>
        <v/>
      </c>
      <c r="I75" s="73" t="str">
        <f>IFERROR(1/(1/COUNTIFS(
'YearA-AppDetails Current Date'!A:A,D75,
'YearA-AppDetails Current Date'!F:F,E75,
'YearA-AppDetails Current Date'!E:E,--F75,
'YearA-AppDetails Current Date'!I:I,"SUMMER")), "")</f>
        <v/>
      </c>
      <c r="J75" s="74" t="str" cm="1">
        <f t="array" ref="J75">IFERROR(1/(1/SUM(COUNTIFS(
'YearA-AppDetails Current Date'!A:A,D75,
'YearA-AppDetails Current Date'!F:F,E75,
'YearA-AppDetails Current Date'!E:E,--F75,
'YearA-AppDetails Current Date'!O:O,{"ACLN","ACPT","COND"},
'YearA-AppDetails Current Date'!S:S,"&lt;&gt;ACLN",
'YearA-AppDetails Current Date'!S:S,"&lt;&gt;ACPT",
'YearA-AppDetails Current Date'!S:S,"&lt;&gt;COND",
'YearA-AppDetails Current Date'!I:I,"SUMMER"))), "")</f>
        <v/>
      </c>
      <c r="K75" s="73" t="str">
        <f>IFERROR(1/(1/SUM(COUNTIFS(
'YearA-AppDetails Current Date'!A:A,D75,
'YearA-AppDetails Current Date'!F:F,E75,
'YearA-AppDetails Current Date'!E:E,--F75,
'YearA-AppDetails Current Date'!R:R,"&lt;&gt;"&amp;"",
'YearA-AppDetails Current Date'!I:I,"SUMMER"))), "")</f>
        <v/>
      </c>
      <c r="L75" s="74" t="str" cm="1">
        <f t="array" ref="L75">IFERROR(1/(1/SUM(COUNTIFS(
'YearA-AppDetails Current Date'!A:A,D75,
'YearA-AppDetails Current Date'!F:F,E75,
'YearA-AppDetails Current Date'!E:E,--F75,
'YearA-AppDetails Current Date'!T:T,{"APEX","DENY","NTSL"},
'YearA-AppDetails Current Date'!I:I,"SUMMER"))), "")</f>
        <v/>
      </c>
      <c r="M75" s="74" t="str" cm="1">
        <f t="array" ref="M75">IFERROR(1/(1/SUM(COUNTIFS(
'YearA-AppDetails Current Date'!A:A,D75,
'YearA-AppDetails Current Date'!F:F,E75,
'YearA-AppDetails Current Date'!E:E,--F75,
'YearA-AppDetails Current Date'!U:U,{"CCAN","DECL"},
'YearA-AppDetails Current Date'!I:I,"SUMMER"))), "")</f>
        <v/>
      </c>
      <c r="N75" s="74" t="str" cm="1">
        <f t="array" ref="N75">IFERROR(1/(1/SUM(COUNTIFS(
'YearA-AppDetails Current Date'!A:A,D75,
'YearA-AppDetails Current Date'!F:F,E75,
'YearA-AppDetails Current Date'!E:E,--F75,
'YearA-AppDetails Current Date'!V:V,{"APRO","NODE"},
'YearA-AppDetails Current Date'!I:I,"SUMMER"))), "")</f>
        <v/>
      </c>
      <c r="O75" s="74" t="str" cm="1">
        <f t="array" ref="O75">IFERROR(1/(1/SUM(COUNTIFS(
'YearA-AppDetails Current Date'!A:A,D75,
'YearA-AppDetails Current Date'!F:F,E75,
'YearA-AppDetails Current Date'!E:E,--F75,
'YearA-AppDetails Current Date'!T:T,{"CDMT","RQMT","WAIT"},
'YearA-AppDetails Current Date'!I:I,"SUMMER"))), "")</f>
        <v/>
      </c>
      <c r="P75" s="74" t="str">
        <f>IFERROR(1/(1/COUNTIFS(
'YearA-AppDetails Current Date'!A:A,D75,
'YearA-AppDetails Current Date'!F:F,E75,
'YearA-AppDetails Current Date'!E:E,--F75,
'YearA-AppDetails Current Date'!Y:Y,"ENRO",
'YearA-AppDetails Current Date'!I:I,"SUMMER")), "")</f>
        <v/>
      </c>
      <c r="Q75" s="3" t="str">
        <f t="shared" si="9"/>
        <v/>
      </c>
    </row>
    <row r="76" spans="1:17" ht="15.75" customHeight="1" x14ac:dyDescent="0.25">
      <c r="A76" s="157"/>
      <c r="B76" s="123"/>
      <c r="C76" s="142" t="s">
        <v>280</v>
      </c>
      <c r="D76" s="143"/>
      <c r="E76" s="143"/>
      <c r="F76" s="144"/>
      <c r="G76" s="7"/>
      <c r="H76" s="7">
        <f>SUM(H64:H75)</f>
        <v>0</v>
      </c>
      <c r="I76" s="7">
        <f t="shared" ref="I76:P76" si="10">SUM(I64:I75)</f>
        <v>0</v>
      </c>
      <c r="J76" s="7">
        <f t="shared" si="10"/>
        <v>0</v>
      </c>
      <c r="K76" s="7">
        <f t="shared" si="10"/>
        <v>0</v>
      </c>
      <c r="L76" s="7">
        <f t="shared" si="10"/>
        <v>0</v>
      </c>
      <c r="M76" s="7">
        <f t="shared" si="10"/>
        <v>0</v>
      </c>
      <c r="N76" s="7">
        <f t="shared" si="10"/>
        <v>0</v>
      </c>
      <c r="O76" s="7">
        <f t="shared" si="10"/>
        <v>0</v>
      </c>
      <c r="P76" s="7">
        <f t="shared" si="10"/>
        <v>0</v>
      </c>
      <c r="Q76" s="35" t="str">
        <f t="shared" si="9"/>
        <v/>
      </c>
    </row>
    <row r="77" spans="1:17" ht="15.75" customHeight="1" x14ac:dyDescent="0.25">
      <c r="A77" s="151" t="s">
        <v>74</v>
      </c>
      <c r="B77" s="136"/>
      <c r="C77" s="136"/>
      <c r="D77" s="136"/>
      <c r="E77" s="136"/>
      <c r="F77" s="137"/>
      <c r="G77" s="5"/>
      <c r="H77" s="5">
        <f>SUM(H49,H54,H63,H76)</f>
        <v>0</v>
      </c>
      <c r="I77" s="5">
        <f t="shared" ref="I77:P77" si="11">SUM(I49,I54,I63,I76)</f>
        <v>0</v>
      </c>
      <c r="J77" s="5">
        <f t="shared" si="11"/>
        <v>0</v>
      </c>
      <c r="K77" s="5">
        <f t="shared" si="11"/>
        <v>0</v>
      </c>
      <c r="L77" s="5">
        <f t="shared" si="11"/>
        <v>0</v>
      </c>
      <c r="M77" s="5">
        <f t="shared" si="11"/>
        <v>0</v>
      </c>
      <c r="N77" s="5">
        <f t="shared" si="11"/>
        <v>0</v>
      </c>
      <c r="O77" s="5">
        <f t="shared" si="11"/>
        <v>0</v>
      </c>
      <c r="P77" s="5">
        <f t="shared" si="11"/>
        <v>0</v>
      </c>
      <c r="Q77" s="36" t="str">
        <f t="shared" si="9"/>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HC'!D:T,2,FALSE)),
N(VLOOKUP(D78&amp;F78,'Budgeted Projections Dom HC'!D:T,3,FALSE))
)
),"")</f>
        <v/>
      </c>
      <c r="I78" s="73" t="str">
        <f>IFERROR(1/(1/COUNTIFS(
'YearA-AppDetails Current Date'!A:A,D78,
'YearA-AppDetails Current Date'!F:F,E78,
'YearA-AppDetails Current Date'!E:E,--F78,
'YearA-AppDetails Current Date'!I:I,"SUMMER")), "")</f>
        <v/>
      </c>
      <c r="J78" s="74" t="str" cm="1">
        <f t="array" ref="J78">IFERROR(1/(1/SUM(COUNTIFS(
'YearA-AppDetails Current Date'!A:A,D78,
'YearA-AppDetails Current Date'!F:F,E78,
'YearA-AppDetails Current Date'!E:E,--F78,
'YearA-AppDetails Current Date'!O:O,{"ACLN","ACPT","COND"},
'YearA-AppDetails Current Date'!S:S,"&lt;&gt;ACLN",
'YearA-AppDetails Current Date'!S:S,"&lt;&gt;ACPT",
'YearA-AppDetails Current Date'!S:S,"&lt;&gt;COND",
'YearA-AppDetails Current Date'!I:I,"SUMMER"))), "")</f>
        <v/>
      </c>
      <c r="K78" s="73" t="str">
        <f>IFERROR(1/(1/SUM(COUNTIFS(
'YearA-AppDetails Current Date'!A:A,D78,
'YearA-AppDetails Current Date'!F:F,E78,
'YearA-AppDetails Current Date'!E:E,--F78,
'YearA-AppDetails Current Date'!R:R,"&lt;&gt;"&amp;"",
'YearA-AppDetails Current Date'!I:I,"SUMMER"))), "")</f>
        <v/>
      </c>
      <c r="L78" s="74" t="str" cm="1">
        <f t="array" ref="L78">IFERROR(1/(1/SUM(COUNTIFS(
'YearA-AppDetails Current Date'!A:A,D78,
'YearA-AppDetails Current Date'!F:F,E78,
'YearA-AppDetails Current Date'!E:E,--F78,
'YearA-AppDetails Current Date'!T:T,{"APEX","DENY","NTSL"},
'YearA-AppDetails Current Date'!I:I,"SUMMER"))), "")</f>
        <v/>
      </c>
      <c r="M78" s="74" t="str" cm="1">
        <f t="array" ref="M78">IFERROR(1/(1/SUM(COUNTIFS(
'YearA-AppDetails Current Date'!A:A,D78,
'YearA-AppDetails Current Date'!F:F,E78,
'YearA-AppDetails Current Date'!E:E,--F78,
'YearA-AppDetails Current Date'!U:U,{"CCAN","DECL"},
'YearA-AppDetails Current Date'!I:I,"SUMMER"))), "")</f>
        <v/>
      </c>
      <c r="N78" s="74" t="str" cm="1">
        <f t="array" ref="N78">IFERROR(1/(1/SUM(COUNTIFS(
'YearA-AppDetails Current Date'!A:A,D78,
'YearA-AppDetails Current Date'!F:F,E78,
'YearA-AppDetails Current Date'!E:E,--F78,
'YearA-AppDetails Current Date'!V:V,{"APRO","NODE"},
'YearA-AppDetails Current Date'!I:I,"SUMMER"))), "")</f>
        <v/>
      </c>
      <c r="O78" s="74" t="str" cm="1">
        <f t="array" ref="O78">IFERROR(1/(1/SUM(COUNTIFS(
'YearA-AppDetails Current Date'!A:A,D78,
'YearA-AppDetails Current Date'!F:F,E78,
'YearA-AppDetails Current Date'!E:E,--F78,
'YearA-AppDetails Current Date'!T:T,{"CDMT","RQMT","WAIT"},
'YearA-AppDetails Current Date'!I:I,"SUMMER"))), "")</f>
        <v/>
      </c>
      <c r="P78" s="74" t="str">
        <f>IFERROR(1/(1/COUNTIFS(
'YearA-AppDetails Current Date'!A:A,D78,
'YearA-AppDetails Current Date'!F:F,E78,
'YearA-AppDetails Current Date'!E:E,--F78,
'YearA-AppDetails Current Date'!Y:Y,"ENRO",
'YearA-AppDetails Current Date'!I:I,"SUMMER")), "")</f>
        <v/>
      </c>
      <c r="Q78" s="3" t="str">
        <f t="shared" si="9"/>
        <v/>
      </c>
    </row>
    <row r="79" spans="1:17" ht="15.75" customHeight="1" x14ac:dyDescent="0.25">
      <c r="A79" s="119"/>
      <c r="B79" s="122"/>
      <c r="C79" s="125"/>
      <c r="D79" s="23" t="s">
        <v>76</v>
      </c>
      <c r="E79" s="2" t="s">
        <v>43</v>
      </c>
      <c r="F79" s="31">
        <v>1</v>
      </c>
      <c r="G79" s="140"/>
      <c r="H79" s="73" t="str">
        <f>IFERROR(1/(1/
SUM(
N(VLOOKUP(D79&amp;F79,'Budgeted Projections Intl HC'!D:T,2,FALSE)),
N(VLOOKUP(D79&amp;F79,'Budgeted Projections Intl HC'!D:T,3,FALSE))
)
),"")</f>
        <v/>
      </c>
      <c r="I79" s="73" t="str">
        <f>IFERROR(1/(1/COUNTIFS(
'YearA-AppDetails Current Date'!A:A,D79,
'YearA-AppDetails Current Date'!F:F,E79,
'YearA-AppDetails Current Date'!E:E,--F79,
'YearA-AppDetails Current Date'!I:I,"SUMMER")), "")</f>
        <v/>
      </c>
      <c r="J79" s="74" t="str" cm="1">
        <f t="array" ref="J79">IFERROR(1/(1/SUM(COUNTIFS(
'YearA-AppDetails Current Date'!A:A,D79,
'YearA-AppDetails Current Date'!F:F,E79,
'YearA-AppDetails Current Date'!E:E,--F79,
'YearA-AppDetails Current Date'!O:O,{"ACLN","ACPT","COND"},
'YearA-AppDetails Current Date'!S:S,"&lt;&gt;ACLN",
'YearA-AppDetails Current Date'!S:S,"&lt;&gt;ACPT",
'YearA-AppDetails Current Date'!S:S,"&lt;&gt;COND",
'YearA-AppDetails Current Date'!I:I,"SUMMER"))), "")</f>
        <v/>
      </c>
      <c r="K79" s="73" t="str">
        <f>IFERROR(1/(1/SUM(COUNTIFS(
'YearA-AppDetails Current Date'!A:A,D79,
'YearA-AppDetails Current Date'!F:F,E79,
'YearA-AppDetails Current Date'!E:E,--F79,
'YearA-AppDetails Current Date'!R:R,"&lt;&gt;"&amp;"",
'YearA-AppDetails Current Date'!I:I,"SUMMER"))), "")</f>
        <v/>
      </c>
      <c r="L79" s="74" t="str" cm="1">
        <f t="array" ref="L79">IFERROR(1/(1/SUM(COUNTIFS(
'YearA-AppDetails Current Date'!A:A,D79,
'YearA-AppDetails Current Date'!F:F,E79,
'YearA-AppDetails Current Date'!E:E,--F79,
'YearA-AppDetails Current Date'!T:T,{"APEX","DENY","NTSL"},
'YearA-AppDetails Current Date'!I:I,"SUMMER"))), "")</f>
        <v/>
      </c>
      <c r="M79" s="74" t="str" cm="1">
        <f t="array" ref="M79">IFERROR(1/(1/SUM(COUNTIFS(
'YearA-AppDetails Current Date'!A:A,D79,
'YearA-AppDetails Current Date'!F:F,E79,
'YearA-AppDetails Current Date'!E:E,--F79,
'YearA-AppDetails Current Date'!U:U,{"CCAN","DECL"},
'YearA-AppDetails Current Date'!I:I,"SUMMER"))), "")</f>
        <v/>
      </c>
      <c r="N79" s="74" t="str" cm="1">
        <f t="array" ref="N79">IFERROR(1/(1/SUM(COUNTIFS(
'YearA-AppDetails Current Date'!A:A,D79,
'YearA-AppDetails Current Date'!F:F,E79,
'YearA-AppDetails Current Date'!E:E,--F79,
'YearA-AppDetails Current Date'!V:V,{"APRO","NODE"},
'YearA-AppDetails Current Date'!I:I,"SUMMER"))), "")</f>
        <v/>
      </c>
      <c r="O79" s="74" t="str" cm="1">
        <f t="array" ref="O79">IFERROR(1/(1/SUM(COUNTIFS(
'YearA-AppDetails Current Date'!A:A,D79,
'YearA-AppDetails Current Date'!F:F,E79,
'YearA-AppDetails Current Date'!E:E,--F79,
'YearA-AppDetails Current Date'!T:T,{"CDMT","RQMT","WAIT"},
'YearA-AppDetails Current Date'!I:I,"SUMMER"))), "")</f>
        <v/>
      </c>
      <c r="P79" s="74" t="str">
        <f>IFERROR(1/(1/COUNTIFS(
'YearA-AppDetails Current Date'!A:A,D79,
'YearA-AppDetails Current Date'!F:F,E79,
'YearA-AppDetails Current Date'!E:E,--F79,
'YearA-AppDetails Current Date'!Y:Y,"ENRO",
'YearA-AppDetails Current Date'!I:I,"SUMMER")), "")</f>
        <v/>
      </c>
      <c r="Q79" s="3" t="str">
        <f t="shared" si="9"/>
        <v/>
      </c>
    </row>
    <row r="80" spans="1:17" ht="15.75" customHeight="1" x14ac:dyDescent="0.25">
      <c r="A80" s="119"/>
      <c r="B80" s="122"/>
      <c r="C80" s="124" t="s">
        <v>289</v>
      </c>
      <c r="D80" s="23" t="s">
        <v>77</v>
      </c>
      <c r="E80" s="2" t="s">
        <v>42</v>
      </c>
      <c r="F80" s="42">
        <v>1</v>
      </c>
      <c r="G80" s="139" t="s">
        <v>48</v>
      </c>
      <c r="H80" s="73" t="str">
        <f>IFERROR(1/(1/
SUM(
N(VLOOKUP(D80&amp;F80,'Budgeted Projections Dom HC'!D:T,2,FALSE)),
N(VLOOKUP(D80&amp;F80,'Budgeted Projections Dom HC'!D:T,3,FALSE))
)
),"")</f>
        <v/>
      </c>
      <c r="I80" s="73" t="str">
        <f>IFERROR(1/(1/COUNTIFS(
'YearA-AppDetails Current Date'!A:A,D80,
'YearA-AppDetails Current Date'!F:F,E80,
'YearA-AppDetails Current Date'!E:E,--F80,
'YearA-AppDetails Current Date'!I:I,"SUMMER")), "")</f>
        <v/>
      </c>
      <c r="J80" s="74" t="str" cm="1">
        <f t="array" ref="J80">IFERROR(1/(1/SUM(COUNTIFS(
'YearA-AppDetails Current Date'!A:A,D80,
'YearA-AppDetails Current Date'!F:F,E80,
'YearA-AppDetails Current Date'!E:E,--F80,
'YearA-AppDetails Current Date'!O:O,{"ACLN","ACPT","COND"},
'YearA-AppDetails Current Date'!S:S,"&lt;&gt;ACLN",
'YearA-AppDetails Current Date'!S:S,"&lt;&gt;ACPT",
'YearA-AppDetails Current Date'!S:S,"&lt;&gt;COND",
'YearA-AppDetails Current Date'!I:I,"SUMMER"))), "")</f>
        <v/>
      </c>
      <c r="K80" s="73" t="str">
        <f>IFERROR(1/(1/SUM(COUNTIFS(
'YearA-AppDetails Current Date'!A:A,D80,
'YearA-AppDetails Current Date'!F:F,E80,
'YearA-AppDetails Current Date'!E:E,--F80,
'YearA-AppDetails Current Date'!R:R,"&lt;&gt;"&amp;"",
'YearA-AppDetails Current Date'!I:I,"SUMMER"))), "")</f>
        <v/>
      </c>
      <c r="L80" s="74" t="str" cm="1">
        <f t="array" ref="L80">IFERROR(1/(1/SUM(COUNTIFS(
'YearA-AppDetails Current Date'!A:A,D80,
'YearA-AppDetails Current Date'!F:F,E80,
'YearA-AppDetails Current Date'!E:E,--F80,
'YearA-AppDetails Current Date'!T:T,{"APEX","DENY","NTSL"},
'YearA-AppDetails Current Date'!I:I,"SUMMER"))), "")</f>
        <v/>
      </c>
      <c r="M80" s="74" t="str" cm="1">
        <f t="array" ref="M80">IFERROR(1/(1/SUM(COUNTIFS(
'YearA-AppDetails Current Date'!A:A,D80,
'YearA-AppDetails Current Date'!F:F,E80,
'YearA-AppDetails Current Date'!E:E,--F80,
'YearA-AppDetails Current Date'!U:U,{"CCAN","DECL"},
'YearA-AppDetails Current Date'!I:I,"SUMMER"))), "")</f>
        <v/>
      </c>
      <c r="N80" s="74" t="str" cm="1">
        <f t="array" ref="N80">IFERROR(1/(1/SUM(COUNTIFS(
'YearA-AppDetails Current Date'!A:A,D80,
'YearA-AppDetails Current Date'!F:F,E80,
'YearA-AppDetails Current Date'!E:E,--F80,
'YearA-AppDetails Current Date'!V:V,{"APRO","NODE"},
'YearA-AppDetails Current Date'!I:I,"SUMMER"))), "")</f>
        <v/>
      </c>
      <c r="O80" s="74" t="str" cm="1">
        <f t="array" ref="O80">IFERROR(1/(1/SUM(COUNTIFS(
'YearA-AppDetails Current Date'!A:A,D80,
'YearA-AppDetails Current Date'!F:F,E80,
'YearA-AppDetails Current Date'!E:E,--F80,
'YearA-AppDetails Current Date'!T:T,{"CDMT","RQMT","WAIT"},
'YearA-AppDetails Current Date'!I:I,"SUMMER"))), "")</f>
        <v/>
      </c>
      <c r="P80" s="74" t="str">
        <f>IFERROR(1/(1/COUNTIFS(
'YearA-AppDetails Current Date'!A:A,D80,
'YearA-AppDetails Current Date'!F:F,E80,
'YearA-AppDetails Current Date'!E:E,--F80,
'YearA-AppDetails Current Date'!Y:Y,"ENRO",
'YearA-AppDetails Current Date'!I:I,"SUMMER")), "")</f>
        <v/>
      </c>
      <c r="Q80" s="3" t="str">
        <f t="shared" si="9"/>
        <v/>
      </c>
    </row>
    <row r="81" spans="1:17" ht="15.75" customHeight="1" x14ac:dyDescent="0.25">
      <c r="A81" s="119"/>
      <c r="B81" s="122"/>
      <c r="C81" s="138"/>
      <c r="D81" s="23" t="s">
        <v>77</v>
      </c>
      <c r="E81" s="2" t="s">
        <v>43</v>
      </c>
      <c r="F81" s="31">
        <v>1</v>
      </c>
      <c r="G81" s="140"/>
      <c r="H81" s="73" t="str">
        <f>IFERROR(1/(1/
SUM(
N(VLOOKUP(D81&amp;F81,'Budgeted Projections Intl HC'!D:T,2,FALSE)),
N(VLOOKUP(D81&amp;F81,'Budgeted Projections Intl HC'!D:T,3,FALSE))
)
),"")</f>
        <v/>
      </c>
      <c r="I81" s="73" t="str">
        <f>IFERROR(1/(1/COUNTIFS(
'YearA-AppDetails Current Date'!A:A,D81,
'YearA-AppDetails Current Date'!F:F,E81,
'YearA-AppDetails Current Date'!E:E,--F81,
'YearA-AppDetails Current Date'!I:I,"SUMMER")), "")</f>
        <v/>
      </c>
      <c r="J81" s="74" t="str" cm="1">
        <f t="array" ref="J81">IFERROR(1/(1/SUM(COUNTIFS(
'YearA-AppDetails Current Date'!A:A,D81,
'YearA-AppDetails Current Date'!F:F,E81,
'YearA-AppDetails Current Date'!E:E,--F81,
'YearA-AppDetails Current Date'!O:O,{"ACLN","ACPT","COND"},
'YearA-AppDetails Current Date'!S:S,"&lt;&gt;ACLN",
'YearA-AppDetails Current Date'!S:S,"&lt;&gt;ACPT",
'YearA-AppDetails Current Date'!S:S,"&lt;&gt;COND",
'YearA-AppDetails Current Date'!I:I,"SUMMER"))), "")</f>
        <v/>
      </c>
      <c r="K81" s="73" t="str">
        <f>IFERROR(1/(1/SUM(COUNTIFS(
'YearA-AppDetails Current Date'!A:A,D81,
'YearA-AppDetails Current Date'!F:F,E81,
'YearA-AppDetails Current Date'!E:E,--F81,
'YearA-AppDetails Current Date'!R:R,"&lt;&gt;"&amp;"",
'YearA-AppDetails Current Date'!I:I,"SUMMER"))), "")</f>
        <v/>
      </c>
      <c r="L81" s="74" t="str" cm="1">
        <f t="array" ref="L81">IFERROR(1/(1/SUM(COUNTIFS(
'YearA-AppDetails Current Date'!A:A,D81,
'YearA-AppDetails Current Date'!F:F,E81,
'YearA-AppDetails Current Date'!E:E,--F81,
'YearA-AppDetails Current Date'!T:T,{"APEX","DENY","NTSL"},
'YearA-AppDetails Current Date'!I:I,"SUMMER"))), "")</f>
        <v/>
      </c>
      <c r="M81" s="74" t="str" cm="1">
        <f t="array" ref="M81">IFERROR(1/(1/SUM(COUNTIFS(
'YearA-AppDetails Current Date'!A:A,D81,
'YearA-AppDetails Current Date'!F:F,E81,
'YearA-AppDetails Current Date'!E:E,--F81,
'YearA-AppDetails Current Date'!U:U,{"CCAN","DECL"},
'YearA-AppDetails Current Date'!I:I,"SUMMER"))), "")</f>
        <v/>
      </c>
      <c r="N81" s="74" t="str" cm="1">
        <f t="array" ref="N81">IFERROR(1/(1/SUM(COUNTIFS(
'YearA-AppDetails Current Date'!A:A,D81,
'YearA-AppDetails Current Date'!F:F,E81,
'YearA-AppDetails Current Date'!E:E,--F81,
'YearA-AppDetails Current Date'!V:V,{"APRO","NODE"},
'YearA-AppDetails Current Date'!I:I,"SUMMER"))), "")</f>
        <v/>
      </c>
      <c r="O81" s="74" t="str" cm="1">
        <f t="array" ref="O81">IFERROR(1/(1/SUM(COUNTIFS(
'YearA-AppDetails Current Date'!A:A,D81,
'YearA-AppDetails Current Date'!F:F,E81,
'YearA-AppDetails Current Date'!E:E,--F81,
'YearA-AppDetails Current Date'!T:T,{"CDMT","RQMT","WAIT"},
'YearA-AppDetails Current Date'!I:I,"SUMMER"))), "")</f>
        <v/>
      </c>
      <c r="P81" s="74" t="str">
        <f>IFERROR(1/(1/COUNTIFS(
'YearA-AppDetails Current Date'!A:A,D81,
'YearA-AppDetails Current Date'!F:F,E81,
'YearA-AppDetails Current Date'!E:E,--F81,
'YearA-AppDetails Current Date'!Y:Y,"ENRO",
'YearA-AppDetails Current Date'!I:I,"SUMMER")), "")</f>
        <v/>
      </c>
      <c r="Q81" s="3" t="str">
        <f t="shared" si="9"/>
        <v/>
      </c>
    </row>
    <row r="82" spans="1:17" ht="15.75" customHeight="1" x14ac:dyDescent="0.25">
      <c r="A82" s="119"/>
      <c r="B82" s="122"/>
      <c r="C82" s="138"/>
      <c r="D82" s="23" t="s">
        <v>77</v>
      </c>
      <c r="E82" s="2" t="s">
        <v>42</v>
      </c>
      <c r="F82" s="42">
        <v>2</v>
      </c>
      <c r="G82" s="139" t="s">
        <v>48</v>
      </c>
      <c r="H82" s="73" t="str">
        <f>IFERROR(1/(1/
SUM(
N(VLOOKUP(D82&amp;F82,'Budgeted Projections Dom HC'!D:T,2,FALSE)),
N(VLOOKUP(D82&amp;F82,'Budgeted Projections Dom HC'!D:T,3,FALSE))
)
),"")</f>
        <v/>
      </c>
      <c r="I82" s="73" t="str">
        <f>IFERROR(1/(1/COUNTIFS(
'YearA-AppDetails Current Date'!A:A,D82,
'YearA-AppDetails Current Date'!F:F,E82,
'YearA-AppDetails Current Date'!E:E,--F82,
'YearA-AppDetails Current Date'!I:I,"SUMMER")), "")</f>
        <v/>
      </c>
      <c r="J82" s="74" t="str" cm="1">
        <f t="array" ref="J82">IFERROR(1/(1/SUM(COUNTIFS(
'YearA-AppDetails Current Date'!A:A,D82,
'YearA-AppDetails Current Date'!F:F,E82,
'YearA-AppDetails Current Date'!E:E,--F82,
'YearA-AppDetails Current Date'!O:O,{"ACLN","ACPT","COND"},
'YearA-AppDetails Current Date'!S:S,"&lt;&gt;ACLN",
'YearA-AppDetails Current Date'!S:S,"&lt;&gt;ACPT",
'YearA-AppDetails Current Date'!S:S,"&lt;&gt;COND",
'YearA-AppDetails Current Date'!I:I,"SUMMER"))), "")</f>
        <v/>
      </c>
      <c r="K82" s="73" t="str">
        <f>IFERROR(1/(1/SUM(COUNTIFS(
'YearA-AppDetails Current Date'!A:A,D82,
'YearA-AppDetails Current Date'!F:F,E82,
'YearA-AppDetails Current Date'!E:E,--F82,
'YearA-AppDetails Current Date'!R:R,"&lt;&gt;"&amp;"",
'YearA-AppDetails Current Date'!I:I,"SUMMER"))), "")</f>
        <v/>
      </c>
      <c r="L82" s="74" t="str" cm="1">
        <f t="array" ref="L82">IFERROR(1/(1/SUM(COUNTIFS(
'YearA-AppDetails Current Date'!A:A,D82,
'YearA-AppDetails Current Date'!F:F,E82,
'YearA-AppDetails Current Date'!E:E,--F82,
'YearA-AppDetails Current Date'!T:T,{"APEX","DENY","NTSL"},
'YearA-AppDetails Current Date'!I:I,"SUMMER"))), "")</f>
        <v/>
      </c>
      <c r="M82" s="74" t="str" cm="1">
        <f t="array" ref="M82">IFERROR(1/(1/SUM(COUNTIFS(
'YearA-AppDetails Current Date'!A:A,D82,
'YearA-AppDetails Current Date'!F:F,E82,
'YearA-AppDetails Current Date'!E:E,--F82,
'YearA-AppDetails Current Date'!U:U,{"CCAN","DECL"},
'YearA-AppDetails Current Date'!I:I,"SUMMER"))), "")</f>
        <v/>
      </c>
      <c r="N82" s="74" t="str" cm="1">
        <f t="array" ref="N82">IFERROR(1/(1/SUM(COUNTIFS(
'YearA-AppDetails Current Date'!A:A,D82,
'YearA-AppDetails Current Date'!F:F,E82,
'YearA-AppDetails Current Date'!E:E,--F82,
'YearA-AppDetails Current Date'!V:V,{"APRO","NODE"},
'YearA-AppDetails Current Date'!I:I,"SUMMER"))), "")</f>
        <v/>
      </c>
      <c r="O82" s="74" t="str" cm="1">
        <f t="array" ref="O82">IFERROR(1/(1/SUM(COUNTIFS(
'YearA-AppDetails Current Date'!A:A,D82,
'YearA-AppDetails Current Date'!F:F,E82,
'YearA-AppDetails Current Date'!E:E,--F82,
'YearA-AppDetails Current Date'!T:T,{"CDMT","RQMT","WAIT"},
'YearA-AppDetails Current Date'!I:I,"SUMMER"))), "")</f>
        <v/>
      </c>
      <c r="P82" s="74" t="str">
        <f>IFERROR(1/(1/COUNTIFS(
'YearA-AppDetails Current Date'!A:A,D82,
'YearA-AppDetails Current Date'!F:F,E82,
'YearA-AppDetails Current Date'!E:E,--F82,
'YearA-AppDetails Current Date'!Y:Y,"ENRO",
'YearA-AppDetails Current Date'!I:I,"SUMMER")), "")</f>
        <v/>
      </c>
      <c r="Q82" s="3" t="str">
        <f t="shared" si="9"/>
        <v/>
      </c>
    </row>
    <row r="83" spans="1:17" ht="15.75" customHeight="1" x14ac:dyDescent="0.25">
      <c r="A83" s="119"/>
      <c r="B83" s="122"/>
      <c r="C83" s="125"/>
      <c r="D83" s="23" t="s">
        <v>77</v>
      </c>
      <c r="E83" s="2" t="s">
        <v>43</v>
      </c>
      <c r="F83" s="31">
        <v>2</v>
      </c>
      <c r="G83" s="140"/>
      <c r="H83" s="73" t="str">
        <f>IFERROR(1/(1/
SUM(
N(VLOOKUP(D83&amp;F83,'Budgeted Projections Intl HC'!D:T,2,FALSE)),
N(VLOOKUP(D83&amp;F83,'Budgeted Projections Intl HC'!D:T,3,FALSE))
)
),"")</f>
        <v/>
      </c>
      <c r="I83" s="73" t="str">
        <f>IFERROR(1/(1/COUNTIFS(
'YearA-AppDetails Current Date'!A:A,D83,
'YearA-AppDetails Current Date'!F:F,E83,
'YearA-AppDetails Current Date'!E:E,--F83,
'YearA-AppDetails Current Date'!I:I,"SUMMER")), "")</f>
        <v/>
      </c>
      <c r="J83" s="74" t="str" cm="1">
        <f t="array" ref="J83">IFERROR(1/(1/SUM(COUNTIFS(
'YearA-AppDetails Current Date'!A:A,D83,
'YearA-AppDetails Current Date'!F:F,E83,
'YearA-AppDetails Current Date'!E:E,--F83,
'YearA-AppDetails Current Date'!O:O,{"ACLN","ACPT","COND"},
'YearA-AppDetails Current Date'!S:S,"&lt;&gt;ACLN",
'YearA-AppDetails Current Date'!S:S,"&lt;&gt;ACPT",
'YearA-AppDetails Current Date'!S:S,"&lt;&gt;COND",
'YearA-AppDetails Current Date'!I:I,"SUMMER"))), "")</f>
        <v/>
      </c>
      <c r="K83" s="73" t="str">
        <f>IFERROR(1/(1/SUM(COUNTIFS(
'YearA-AppDetails Current Date'!A:A,D83,
'YearA-AppDetails Current Date'!F:F,E83,
'YearA-AppDetails Current Date'!E:E,--F83,
'YearA-AppDetails Current Date'!R:R,"&lt;&gt;"&amp;"",
'YearA-AppDetails Current Date'!I:I,"SUMMER"))), "")</f>
        <v/>
      </c>
      <c r="L83" s="74" t="str" cm="1">
        <f t="array" ref="L83">IFERROR(1/(1/SUM(COUNTIFS(
'YearA-AppDetails Current Date'!A:A,D83,
'YearA-AppDetails Current Date'!F:F,E83,
'YearA-AppDetails Current Date'!E:E,--F83,
'YearA-AppDetails Current Date'!T:T,{"APEX","DENY","NTSL"},
'YearA-AppDetails Current Date'!I:I,"SUMMER"))), "")</f>
        <v/>
      </c>
      <c r="M83" s="74" t="str" cm="1">
        <f t="array" ref="M83">IFERROR(1/(1/SUM(COUNTIFS(
'YearA-AppDetails Current Date'!A:A,D83,
'YearA-AppDetails Current Date'!F:F,E83,
'YearA-AppDetails Current Date'!E:E,--F83,
'YearA-AppDetails Current Date'!U:U,{"CCAN","DECL"},
'YearA-AppDetails Current Date'!I:I,"SUMMER"))), "")</f>
        <v/>
      </c>
      <c r="N83" s="74" t="str" cm="1">
        <f t="array" ref="N83">IFERROR(1/(1/SUM(COUNTIFS(
'YearA-AppDetails Current Date'!A:A,D83,
'YearA-AppDetails Current Date'!F:F,E83,
'YearA-AppDetails Current Date'!E:E,--F83,
'YearA-AppDetails Current Date'!V:V,{"APRO","NODE"},
'YearA-AppDetails Current Date'!I:I,"SUMMER"))), "")</f>
        <v/>
      </c>
      <c r="O83" s="74" t="str" cm="1">
        <f t="array" ref="O83">IFERROR(1/(1/SUM(COUNTIFS(
'YearA-AppDetails Current Date'!A:A,D83,
'YearA-AppDetails Current Date'!F:F,E83,
'YearA-AppDetails Current Date'!E:E,--F83,
'YearA-AppDetails Current Date'!T:T,{"CDMT","RQMT","WAIT"},
'YearA-AppDetails Current Date'!I:I,"SUMMER"))), "")</f>
        <v/>
      </c>
      <c r="P83" s="74" t="str">
        <f>IFERROR(1/(1/COUNTIFS(
'YearA-AppDetails Current Date'!A:A,D83,
'YearA-AppDetails Current Date'!F:F,E83,
'YearA-AppDetails Current Date'!E:E,--F83,
'YearA-AppDetails Current Date'!Y:Y,"ENRO",
'YearA-AppDetails Current Date'!I:I,"SUMMER")), "")</f>
        <v/>
      </c>
      <c r="Q83" s="3" t="str">
        <f t="shared" si="9"/>
        <v/>
      </c>
    </row>
    <row r="84" spans="1:17" ht="15.75" customHeight="1" x14ac:dyDescent="0.25">
      <c r="A84" s="119"/>
      <c r="B84" s="122"/>
      <c r="C84" s="124" t="s">
        <v>290</v>
      </c>
      <c r="D84" s="26" t="s">
        <v>78</v>
      </c>
      <c r="E84" s="2" t="s">
        <v>42</v>
      </c>
      <c r="F84" s="42">
        <v>1</v>
      </c>
      <c r="G84" s="139" t="s">
        <v>48</v>
      </c>
      <c r="H84" s="73" t="str">
        <f>IFERROR(1/(1/
SUM(
N(VLOOKUP(D84&amp;F84,'Budgeted Projections Dom HC'!D:T,2,FALSE)),
N(VLOOKUP(D84&amp;F84,'Budgeted Projections Dom HC'!D:T,3,FALSE))
)
),"")</f>
        <v/>
      </c>
      <c r="I84" s="73" t="str">
        <f>IFERROR(1/(1/COUNTIFS(
'YearA-AppDetails Current Date'!A:A,D84,
'YearA-AppDetails Current Date'!F:F,E84,
'YearA-AppDetails Current Date'!E:E,--F84,
'YearA-AppDetails Current Date'!I:I,"SUMMER")), "")</f>
        <v/>
      </c>
      <c r="J84" s="74" t="str" cm="1">
        <f t="array" ref="J84">IFERROR(1/(1/SUM(COUNTIFS(
'YearA-AppDetails Current Date'!A:A,D84,
'YearA-AppDetails Current Date'!F:F,E84,
'YearA-AppDetails Current Date'!E:E,--F84,
'YearA-AppDetails Current Date'!O:O,{"ACLN","ACPT","COND"},
'YearA-AppDetails Current Date'!S:S,"&lt;&gt;ACLN",
'YearA-AppDetails Current Date'!S:S,"&lt;&gt;ACPT",
'YearA-AppDetails Current Date'!S:S,"&lt;&gt;COND",
'YearA-AppDetails Current Date'!I:I,"SUMMER"))), "")</f>
        <v/>
      </c>
      <c r="K84" s="73" t="str">
        <f>IFERROR(1/(1/SUM(COUNTIFS(
'YearA-AppDetails Current Date'!A:A,D84,
'YearA-AppDetails Current Date'!F:F,E84,
'YearA-AppDetails Current Date'!E:E,--F84,
'YearA-AppDetails Current Date'!R:R,"&lt;&gt;"&amp;"",
'YearA-AppDetails Current Date'!I:I,"SUMMER"))), "")</f>
        <v/>
      </c>
      <c r="L84" s="74" t="str" cm="1">
        <f t="array" ref="L84">IFERROR(1/(1/SUM(COUNTIFS(
'YearA-AppDetails Current Date'!A:A,D84,
'YearA-AppDetails Current Date'!F:F,E84,
'YearA-AppDetails Current Date'!E:E,--F84,
'YearA-AppDetails Current Date'!T:T,{"APEX","DENY","NTSL"},
'YearA-AppDetails Current Date'!I:I,"SUMMER"))), "")</f>
        <v/>
      </c>
      <c r="M84" s="74" t="str" cm="1">
        <f t="array" ref="M84">IFERROR(1/(1/SUM(COUNTIFS(
'YearA-AppDetails Current Date'!A:A,D84,
'YearA-AppDetails Current Date'!F:F,E84,
'YearA-AppDetails Current Date'!E:E,--F84,
'YearA-AppDetails Current Date'!U:U,{"CCAN","DECL"},
'YearA-AppDetails Current Date'!I:I,"SUMMER"))), "")</f>
        <v/>
      </c>
      <c r="N84" s="74" t="str" cm="1">
        <f t="array" ref="N84">IFERROR(1/(1/SUM(COUNTIFS(
'YearA-AppDetails Current Date'!A:A,D84,
'YearA-AppDetails Current Date'!F:F,E84,
'YearA-AppDetails Current Date'!E:E,--F84,
'YearA-AppDetails Current Date'!V:V,{"APRO","NODE"},
'YearA-AppDetails Current Date'!I:I,"SUMMER"))), "")</f>
        <v/>
      </c>
      <c r="O84" s="74" t="str" cm="1">
        <f t="array" ref="O84">IFERROR(1/(1/SUM(COUNTIFS(
'YearA-AppDetails Current Date'!A:A,D84,
'YearA-AppDetails Current Date'!F:F,E84,
'YearA-AppDetails Current Date'!E:E,--F84,
'YearA-AppDetails Current Date'!T:T,{"CDMT","RQMT","WAIT"},
'YearA-AppDetails Current Date'!I:I,"SUMMER"))), "")</f>
        <v/>
      </c>
      <c r="P84" s="74" t="str">
        <f>IFERROR(1/(1/COUNTIFS(
'YearA-AppDetails Current Date'!A:A,D84,
'YearA-AppDetails Current Date'!F:F,E84,
'YearA-AppDetails Current Date'!E:E,--F84,
'YearA-AppDetails Current Date'!Y:Y,"ENRO",
'YearA-AppDetails Current Date'!I:I,"SUMMER")), "")</f>
        <v/>
      </c>
      <c r="Q84" s="3" t="str">
        <f t="shared" si="9"/>
        <v/>
      </c>
    </row>
    <row r="85" spans="1:17" ht="15.75" customHeight="1" x14ac:dyDescent="0.25">
      <c r="A85" s="119"/>
      <c r="B85" s="122"/>
      <c r="C85" s="138"/>
      <c r="D85" s="26" t="s">
        <v>78</v>
      </c>
      <c r="E85" s="2" t="s">
        <v>43</v>
      </c>
      <c r="F85" s="31">
        <v>1</v>
      </c>
      <c r="G85" s="140"/>
      <c r="H85" s="73" t="str">
        <f>IFERROR(1/(1/
SUM(
N(VLOOKUP(D85&amp;F85,'Budgeted Projections Intl HC'!D:T,2,FALSE)),
N(VLOOKUP(D85&amp;F85,'Budgeted Projections Intl HC'!D:T,3,FALSE))
)
),"")</f>
        <v/>
      </c>
      <c r="I85" s="73" t="str">
        <f>IFERROR(1/(1/COUNTIFS(
'YearA-AppDetails Current Date'!A:A,D85,
'YearA-AppDetails Current Date'!F:F,E85,
'YearA-AppDetails Current Date'!E:E,--F85,
'YearA-AppDetails Current Date'!I:I,"SUMMER")), "")</f>
        <v/>
      </c>
      <c r="J85" s="74" t="str" cm="1">
        <f t="array" ref="J85">IFERROR(1/(1/SUM(COUNTIFS(
'YearA-AppDetails Current Date'!A:A,D85,
'YearA-AppDetails Current Date'!F:F,E85,
'YearA-AppDetails Current Date'!E:E,--F85,
'YearA-AppDetails Current Date'!O:O,{"ACLN","ACPT","COND"},
'YearA-AppDetails Current Date'!S:S,"&lt;&gt;ACLN",
'YearA-AppDetails Current Date'!S:S,"&lt;&gt;ACPT",
'YearA-AppDetails Current Date'!S:S,"&lt;&gt;COND",
'YearA-AppDetails Current Date'!I:I,"SUMMER"))), "")</f>
        <v/>
      </c>
      <c r="K85" s="73" t="str">
        <f>IFERROR(1/(1/SUM(COUNTIFS(
'YearA-AppDetails Current Date'!A:A,D85,
'YearA-AppDetails Current Date'!F:F,E85,
'YearA-AppDetails Current Date'!E:E,--F85,
'YearA-AppDetails Current Date'!R:R,"&lt;&gt;"&amp;"",
'YearA-AppDetails Current Date'!I:I,"SUMMER"))), "")</f>
        <v/>
      </c>
      <c r="L85" s="74" t="str" cm="1">
        <f t="array" ref="L85">IFERROR(1/(1/SUM(COUNTIFS(
'YearA-AppDetails Current Date'!A:A,D85,
'YearA-AppDetails Current Date'!F:F,E85,
'YearA-AppDetails Current Date'!E:E,--F85,
'YearA-AppDetails Current Date'!T:T,{"APEX","DENY","NTSL"},
'YearA-AppDetails Current Date'!I:I,"SUMMER"))), "")</f>
        <v/>
      </c>
      <c r="M85" s="74" t="str" cm="1">
        <f t="array" ref="M85">IFERROR(1/(1/SUM(COUNTIFS(
'YearA-AppDetails Current Date'!A:A,D85,
'YearA-AppDetails Current Date'!F:F,E85,
'YearA-AppDetails Current Date'!E:E,--F85,
'YearA-AppDetails Current Date'!U:U,{"CCAN","DECL"},
'YearA-AppDetails Current Date'!I:I,"SUMMER"))), "")</f>
        <v/>
      </c>
      <c r="N85" s="74" t="str" cm="1">
        <f t="array" ref="N85">IFERROR(1/(1/SUM(COUNTIFS(
'YearA-AppDetails Current Date'!A:A,D85,
'YearA-AppDetails Current Date'!F:F,E85,
'YearA-AppDetails Current Date'!E:E,--F85,
'YearA-AppDetails Current Date'!V:V,{"APRO","NODE"},
'YearA-AppDetails Current Date'!I:I,"SUMMER"))), "")</f>
        <v/>
      </c>
      <c r="O85" s="74" t="str" cm="1">
        <f t="array" ref="O85">IFERROR(1/(1/SUM(COUNTIFS(
'YearA-AppDetails Current Date'!A:A,D85,
'YearA-AppDetails Current Date'!F:F,E85,
'YearA-AppDetails Current Date'!E:E,--F85,
'YearA-AppDetails Current Date'!T:T,{"CDMT","RQMT","WAIT"},
'YearA-AppDetails Current Date'!I:I,"SUMMER"))), "")</f>
        <v/>
      </c>
      <c r="P85" s="74" t="str">
        <f>IFERROR(1/(1/COUNTIFS(
'YearA-AppDetails Current Date'!A:A,D85,
'YearA-AppDetails Current Date'!F:F,E85,
'YearA-AppDetails Current Date'!E:E,--F85,
'YearA-AppDetails Current Date'!Y:Y,"ENRO",
'YearA-AppDetails Current Date'!I:I,"SUMMER")), "")</f>
        <v/>
      </c>
      <c r="Q85" s="3" t="str">
        <f t="shared" si="9"/>
        <v/>
      </c>
    </row>
    <row r="86" spans="1:17" ht="15.75" customHeight="1" x14ac:dyDescent="0.25">
      <c r="A86" s="119"/>
      <c r="B86" s="122"/>
      <c r="C86" s="138"/>
      <c r="D86" s="26" t="s">
        <v>78</v>
      </c>
      <c r="E86" s="2" t="s">
        <v>42</v>
      </c>
      <c r="F86" s="42">
        <v>2</v>
      </c>
      <c r="G86" s="139" t="s">
        <v>48</v>
      </c>
      <c r="H86" s="73" t="str">
        <f>IFERROR(1/(1/
SUM(
N(VLOOKUP(D86&amp;F86,'Budgeted Projections Dom HC'!D:T,2,FALSE)),
N(VLOOKUP(D86&amp;F86,'Budgeted Projections Dom HC'!D:T,3,FALSE))
)
),"")</f>
        <v/>
      </c>
      <c r="I86" s="73" t="str">
        <f>IFERROR(1/(1/COUNTIFS(
'YearA-AppDetails Current Date'!A:A,D86,
'YearA-AppDetails Current Date'!F:F,E86,
'YearA-AppDetails Current Date'!E:E,--F86,
'YearA-AppDetails Current Date'!I:I,"SUMMER")), "")</f>
        <v/>
      </c>
      <c r="J86" s="74" t="str" cm="1">
        <f t="array" ref="J86">IFERROR(1/(1/SUM(COUNTIFS(
'YearA-AppDetails Current Date'!A:A,D86,
'YearA-AppDetails Current Date'!F:F,E86,
'YearA-AppDetails Current Date'!E:E,--F86,
'YearA-AppDetails Current Date'!O:O,{"ACLN","ACPT","COND"},
'YearA-AppDetails Current Date'!S:S,"&lt;&gt;ACLN",
'YearA-AppDetails Current Date'!S:S,"&lt;&gt;ACPT",
'YearA-AppDetails Current Date'!S:S,"&lt;&gt;COND",
'YearA-AppDetails Current Date'!I:I,"SUMMER"))), "")</f>
        <v/>
      </c>
      <c r="K86" s="73" t="str">
        <f>IFERROR(1/(1/SUM(COUNTIFS(
'YearA-AppDetails Current Date'!A:A,D86,
'YearA-AppDetails Current Date'!F:F,E86,
'YearA-AppDetails Current Date'!E:E,--F86,
'YearA-AppDetails Current Date'!R:R,"&lt;&gt;"&amp;"",
'YearA-AppDetails Current Date'!I:I,"SUMMER"))), "")</f>
        <v/>
      </c>
      <c r="L86" s="74" t="str" cm="1">
        <f t="array" ref="L86">IFERROR(1/(1/SUM(COUNTIFS(
'YearA-AppDetails Current Date'!A:A,D86,
'YearA-AppDetails Current Date'!F:F,E86,
'YearA-AppDetails Current Date'!E:E,--F86,
'YearA-AppDetails Current Date'!T:T,{"APEX","DENY","NTSL"},
'YearA-AppDetails Current Date'!I:I,"SUMMER"))), "")</f>
        <v/>
      </c>
      <c r="M86" s="74" t="str" cm="1">
        <f t="array" ref="M86">IFERROR(1/(1/SUM(COUNTIFS(
'YearA-AppDetails Current Date'!A:A,D86,
'YearA-AppDetails Current Date'!F:F,E86,
'YearA-AppDetails Current Date'!E:E,--F86,
'YearA-AppDetails Current Date'!U:U,{"CCAN","DECL"},
'YearA-AppDetails Current Date'!I:I,"SUMMER"))), "")</f>
        <v/>
      </c>
      <c r="N86" s="74" t="str" cm="1">
        <f t="array" ref="N86">IFERROR(1/(1/SUM(COUNTIFS(
'YearA-AppDetails Current Date'!A:A,D86,
'YearA-AppDetails Current Date'!F:F,E86,
'YearA-AppDetails Current Date'!E:E,--F86,
'YearA-AppDetails Current Date'!V:V,{"APRO","NODE"},
'YearA-AppDetails Current Date'!I:I,"SUMMER"))), "")</f>
        <v/>
      </c>
      <c r="O86" s="74" t="str" cm="1">
        <f t="array" ref="O86">IFERROR(1/(1/SUM(COUNTIFS(
'YearA-AppDetails Current Date'!A:A,D86,
'YearA-AppDetails Current Date'!F:F,E86,
'YearA-AppDetails Current Date'!E:E,--F86,
'YearA-AppDetails Current Date'!T:T,{"CDMT","RQMT","WAIT"},
'YearA-AppDetails Current Date'!I:I,"SUMMER"))), "")</f>
        <v/>
      </c>
      <c r="P86" s="74" t="str">
        <f>IFERROR(1/(1/COUNTIFS(
'YearA-AppDetails Current Date'!A:A,D86,
'YearA-AppDetails Current Date'!F:F,E86,
'YearA-AppDetails Current Date'!E:E,--F86,
'YearA-AppDetails Current Date'!Y:Y,"ENRO",
'YearA-AppDetails Current Date'!I:I,"SUMMER")), "")</f>
        <v/>
      </c>
      <c r="Q86" s="3" t="str">
        <f t="shared" si="9"/>
        <v/>
      </c>
    </row>
    <row r="87" spans="1:17" ht="15.75" customHeight="1" x14ac:dyDescent="0.25">
      <c r="A87" s="119"/>
      <c r="B87" s="122"/>
      <c r="C87" s="125"/>
      <c r="D87" s="26" t="s">
        <v>78</v>
      </c>
      <c r="E87" s="2" t="s">
        <v>43</v>
      </c>
      <c r="F87" s="31">
        <v>2</v>
      </c>
      <c r="G87" s="146"/>
      <c r="H87" s="73" t="str">
        <f>IFERROR(1/(1/
SUM(
N(VLOOKUP(D87&amp;F87,'Budgeted Projections Intl HC'!D:T,2,FALSE)),
N(VLOOKUP(D87&amp;F87,'Budgeted Projections Intl HC'!D:T,3,FALSE))
)
),"")</f>
        <v/>
      </c>
      <c r="I87" s="73" t="str">
        <f>IFERROR(1/(1/COUNTIFS(
'YearA-AppDetails Current Date'!A:A,D87,
'YearA-AppDetails Current Date'!F:F,E87,
'YearA-AppDetails Current Date'!E:E,--F87,
'YearA-AppDetails Current Date'!I:I,"SUMMER")), "")</f>
        <v/>
      </c>
      <c r="J87" s="74" t="str" cm="1">
        <f t="array" ref="J87">IFERROR(1/(1/SUM(COUNTIFS(
'YearA-AppDetails Current Date'!A:A,D87,
'YearA-AppDetails Current Date'!F:F,E87,
'YearA-AppDetails Current Date'!E:E,--F87,
'YearA-AppDetails Current Date'!O:O,{"ACLN","ACPT","COND"},
'YearA-AppDetails Current Date'!S:S,"&lt;&gt;ACLN",
'YearA-AppDetails Current Date'!S:S,"&lt;&gt;ACPT",
'YearA-AppDetails Current Date'!S:S,"&lt;&gt;COND",
'YearA-AppDetails Current Date'!I:I,"SUMMER"))), "")</f>
        <v/>
      </c>
      <c r="K87" s="73" t="str">
        <f>IFERROR(1/(1/SUM(COUNTIFS(
'YearA-AppDetails Current Date'!A:A,D87,
'YearA-AppDetails Current Date'!F:F,E87,
'YearA-AppDetails Current Date'!E:E,--F87,
'YearA-AppDetails Current Date'!R:R,"&lt;&gt;"&amp;"",
'YearA-AppDetails Current Date'!I:I,"SUMMER"))), "")</f>
        <v/>
      </c>
      <c r="L87" s="74" t="str" cm="1">
        <f t="array" ref="L87">IFERROR(1/(1/SUM(COUNTIFS(
'YearA-AppDetails Current Date'!A:A,D87,
'YearA-AppDetails Current Date'!F:F,E87,
'YearA-AppDetails Current Date'!E:E,--F87,
'YearA-AppDetails Current Date'!T:T,{"APEX","DENY","NTSL"},
'YearA-AppDetails Current Date'!I:I,"SUMMER"))), "")</f>
        <v/>
      </c>
      <c r="M87" s="74" t="str" cm="1">
        <f t="array" ref="M87">IFERROR(1/(1/SUM(COUNTIFS(
'YearA-AppDetails Current Date'!A:A,D87,
'YearA-AppDetails Current Date'!F:F,E87,
'YearA-AppDetails Current Date'!E:E,--F87,
'YearA-AppDetails Current Date'!U:U,{"CCAN","DECL"},
'YearA-AppDetails Current Date'!I:I,"SUMMER"))), "")</f>
        <v/>
      </c>
      <c r="N87" s="74" t="str" cm="1">
        <f t="array" ref="N87">IFERROR(1/(1/SUM(COUNTIFS(
'YearA-AppDetails Current Date'!A:A,D87,
'YearA-AppDetails Current Date'!F:F,E87,
'YearA-AppDetails Current Date'!E:E,--F87,
'YearA-AppDetails Current Date'!V:V,{"APRO","NODE"},
'YearA-AppDetails Current Date'!I:I,"SUMMER"))), "")</f>
        <v/>
      </c>
      <c r="O87" s="74" t="str" cm="1">
        <f t="array" ref="O87">IFERROR(1/(1/SUM(COUNTIFS(
'YearA-AppDetails Current Date'!A:A,D87,
'YearA-AppDetails Current Date'!F:F,E87,
'YearA-AppDetails Current Date'!E:E,--F87,
'YearA-AppDetails Current Date'!T:T,{"CDMT","RQMT","WAIT"},
'YearA-AppDetails Current Date'!I:I,"SUMMER"))), "")</f>
        <v/>
      </c>
      <c r="P87" s="74" t="str">
        <f>IFERROR(1/(1/COUNTIFS(
'YearA-AppDetails Current Date'!A:A,D87,
'YearA-AppDetails Current Date'!F:F,E87,
'YearA-AppDetails Current Date'!E:E,--F87,
'YearA-AppDetails Current Date'!Y:Y,"ENRO",
'YearA-AppDetails Current Date'!I:I,"SUMMER")), "")</f>
        <v/>
      </c>
      <c r="Q87" s="3" t="str">
        <f t="shared" si="9"/>
        <v/>
      </c>
    </row>
    <row r="88" spans="1:17" ht="15.75" customHeight="1" x14ac:dyDescent="0.25">
      <c r="A88" s="119"/>
      <c r="B88" s="122"/>
      <c r="C88" s="132" t="s">
        <v>291</v>
      </c>
      <c r="D88" s="23" t="s">
        <v>79</v>
      </c>
      <c r="E88" s="2" t="s">
        <v>42</v>
      </c>
      <c r="F88" s="24">
        <v>1</v>
      </c>
      <c r="G88" s="149" t="s">
        <v>48</v>
      </c>
      <c r="H88" s="73" t="str">
        <f>IFERROR(1/(1/
SUM(
N(VLOOKUP(D88&amp;F88,'Budgeted Projections Dom HC'!D:T,2,FALSE)),
N(VLOOKUP(D88&amp;F88,'Budgeted Projections Dom HC'!D:T,3,FALSE))
)
),"")</f>
        <v/>
      </c>
      <c r="I88" s="73" t="str">
        <f>IFERROR(1/(1/COUNTIFS(
'YearA-AppDetails Current Date'!A:A,D88,
'YearA-AppDetails Current Date'!F:F,E88,
'YearA-AppDetails Current Date'!E:E,--F88,
'YearA-AppDetails Current Date'!I:I,"SUMMER")), "")</f>
        <v/>
      </c>
      <c r="J88" s="74" t="str" cm="1">
        <f t="array" ref="J88">IFERROR(1/(1/SUM(COUNTIFS(
'YearA-AppDetails Current Date'!A:A,D88,
'YearA-AppDetails Current Date'!F:F,E88,
'YearA-AppDetails Current Date'!E:E,--F88,
'YearA-AppDetails Current Date'!O:O,{"ACLN","ACPT","COND"},
'YearA-AppDetails Current Date'!S:S,"&lt;&gt;ACLN",
'YearA-AppDetails Current Date'!S:S,"&lt;&gt;ACPT",
'YearA-AppDetails Current Date'!S:S,"&lt;&gt;COND",
'YearA-AppDetails Current Date'!I:I,"SUMMER"))), "")</f>
        <v/>
      </c>
      <c r="K88" s="73" t="str">
        <f>IFERROR(1/(1/SUM(COUNTIFS(
'YearA-AppDetails Current Date'!A:A,D88,
'YearA-AppDetails Current Date'!F:F,E88,
'YearA-AppDetails Current Date'!E:E,--F88,
'YearA-AppDetails Current Date'!R:R,"&lt;&gt;"&amp;"",
'YearA-AppDetails Current Date'!I:I,"SUMMER"))), "")</f>
        <v/>
      </c>
      <c r="L88" s="74" t="str" cm="1">
        <f t="array" ref="L88">IFERROR(1/(1/SUM(COUNTIFS(
'YearA-AppDetails Current Date'!A:A,D88,
'YearA-AppDetails Current Date'!F:F,E88,
'YearA-AppDetails Current Date'!E:E,--F88,
'YearA-AppDetails Current Date'!T:T,{"APEX","DENY","NTSL"},
'YearA-AppDetails Current Date'!I:I,"SUMMER"))), "")</f>
        <v/>
      </c>
      <c r="M88" s="74" t="str" cm="1">
        <f t="array" ref="M88">IFERROR(1/(1/SUM(COUNTIFS(
'YearA-AppDetails Current Date'!A:A,D88,
'YearA-AppDetails Current Date'!F:F,E88,
'YearA-AppDetails Current Date'!E:E,--F88,
'YearA-AppDetails Current Date'!U:U,{"CCAN","DECL"},
'YearA-AppDetails Current Date'!I:I,"SUMMER"))), "")</f>
        <v/>
      </c>
      <c r="N88" s="74" t="str" cm="1">
        <f t="array" ref="N88">IFERROR(1/(1/SUM(COUNTIFS(
'YearA-AppDetails Current Date'!A:A,D88,
'YearA-AppDetails Current Date'!F:F,E88,
'YearA-AppDetails Current Date'!E:E,--F88,
'YearA-AppDetails Current Date'!V:V,{"APRO","NODE"},
'YearA-AppDetails Current Date'!I:I,"SUMMER"))), "")</f>
        <v/>
      </c>
      <c r="O88" s="74" t="str" cm="1">
        <f t="array" ref="O88">IFERROR(1/(1/SUM(COUNTIFS(
'YearA-AppDetails Current Date'!A:A,D88,
'YearA-AppDetails Current Date'!F:F,E88,
'YearA-AppDetails Current Date'!E:E,--F88,
'YearA-AppDetails Current Date'!T:T,{"CDMT","RQMT","WAIT"},
'YearA-AppDetails Current Date'!I:I,"SUMMER"))), "")</f>
        <v/>
      </c>
      <c r="P88" s="74" t="str">
        <f>IFERROR(1/(1/COUNTIFS(
'YearA-AppDetails Current Date'!A:A,D88,
'YearA-AppDetails Current Date'!F:F,E88,
'YearA-AppDetails Current Date'!E:E,--F88,
'YearA-AppDetails Current Date'!Y:Y,"ENRO",
'YearA-AppDetails Current Date'!I:I,"SUMMER")), "")</f>
        <v/>
      </c>
      <c r="Q88" s="3" t="str">
        <f t="shared" si="9"/>
        <v/>
      </c>
    </row>
    <row r="89" spans="1:17" ht="15.75" customHeight="1" x14ac:dyDescent="0.25">
      <c r="A89" s="119"/>
      <c r="B89" s="122"/>
      <c r="C89" s="145"/>
      <c r="D89" s="23" t="s">
        <v>79</v>
      </c>
      <c r="E89" s="2" t="s">
        <v>43</v>
      </c>
      <c r="F89" s="31">
        <v>1</v>
      </c>
      <c r="G89" s="150"/>
      <c r="H89" s="73" t="str">
        <f>IFERROR(1/(1/
SUM(
N(VLOOKUP(D89&amp;F89,'Budgeted Projections Intl HC'!D:T,2,FALSE)),
N(VLOOKUP(D89&amp;F89,'Budgeted Projections Intl HC'!D:T,3,FALSE))
)
),"")</f>
        <v/>
      </c>
      <c r="I89" s="73" t="str">
        <f>IFERROR(1/(1/COUNTIFS(
'YearA-AppDetails Current Date'!A:A,D89,
'YearA-AppDetails Current Date'!F:F,E89,
'YearA-AppDetails Current Date'!E:E,--F89,
'YearA-AppDetails Current Date'!I:I,"SUMMER")), "")</f>
        <v/>
      </c>
      <c r="J89" s="74" t="str" cm="1">
        <f t="array" ref="J89">IFERROR(1/(1/SUM(COUNTIFS(
'YearA-AppDetails Current Date'!A:A,D89,
'YearA-AppDetails Current Date'!F:F,E89,
'YearA-AppDetails Current Date'!E:E,--F89,
'YearA-AppDetails Current Date'!O:O,{"ACLN","ACPT","COND"},
'YearA-AppDetails Current Date'!S:S,"&lt;&gt;ACLN",
'YearA-AppDetails Current Date'!S:S,"&lt;&gt;ACPT",
'YearA-AppDetails Current Date'!S:S,"&lt;&gt;COND",
'YearA-AppDetails Current Date'!I:I,"SUMMER"))), "")</f>
        <v/>
      </c>
      <c r="K89" s="73" t="str">
        <f>IFERROR(1/(1/SUM(COUNTIFS(
'YearA-AppDetails Current Date'!A:A,D89,
'YearA-AppDetails Current Date'!F:F,E89,
'YearA-AppDetails Current Date'!E:E,--F89,
'YearA-AppDetails Current Date'!R:R,"&lt;&gt;"&amp;"",
'YearA-AppDetails Current Date'!I:I,"SUMMER"))), "")</f>
        <v/>
      </c>
      <c r="L89" s="74" t="str" cm="1">
        <f t="array" ref="L89">IFERROR(1/(1/SUM(COUNTIFS(
'YearA-AppDetails Current Date'!A:A,D89,
'YearA-AppDetails Current Date'!F:F,E89,
'YearA-AppDetails Current Date'!E:E,--F89,
'YearA-AppDetails Current Date'!T:T,{"APEX","DENY","NTSL"},
'YearA-AppDetails Current Date'!I:I,"SUMMER"))), "")</f>
        <v/>
      </c>
      <c r="M89" s="74" t="str" cm="1">
        <f t="array" ref="M89">IFERROR(1/(1/SUM(COUNTIFS(
'YearA-AppDetails Current Date'!A:A,D89,
'YearA-AppDetails Current Date'!F:F,E89,
'YearA-AppDetails Current Date'!E:E,--F89,
'YearA-AppDetails Current Date'!U:U,{"CCAN","DECL"},
'YearA-AppDetails Current Date'!I:I,"SUMMER"))), "")</f>
        <v/>
      </c>
      <c r="N89" s="74" t="str" cm="1">
        <f t="array" ref="N89">IFERROR(1/(1/SUM(COUNTIFS(
'YearA-AppDetails Current Date'!A:A,D89,
'YearA-AppDetails Current Date'!F:F,E89,
'YearA-AppDetails Current Date'!E:E,--F89,
'YearA-AppDetails Current Date'!V:V,{"APRO","NODE"},
'YearA-AppDetails Current Date'!I:I,"SUMMER"))), "")</f>
        <v/>
      </c>
      <c r="O89" s="74" t="str" cm="1">
        <f t="array" ref="O89">IFERROR(1/(1/SUM(COUNTIFS(
'YearA-AppDetails Current Date'!A:A,D89,
'YearA-AppDetails Current Date'!F:F,E89,
'YearA-AppDetails Current Date'!E:E,--F89,
'YearA-AppDetails Current Date'!T:T,{"CDMT","RQMT","WAIT"},
'YearA-AppDetails Current Date'!I:I,"SUMMER"))), "")</f>
        <v/>
      </c>
      <c r="P89" s="74" t="str">
        <f>IFERROR(1/(1/COUNTIFS(
'YearA-AppDetails Current Date'!A:A,D89,
'YearA-AppDetails Current Date'!F:F,E89,
'YearA-AppDetails Current Date'!E:E,--F89,
'YearA-AppDetails Current Date'!Y:Y,"ENRO",
'YearA-AppDetails Current Date'!I:I,"SUMMER")), "")</f>
        <v/>
      </c>
      <c r="Q89" s="3" t="str">
        <f t="shared" si="9"/>
        <v/>
      </c>
    </row>
    <row r="90" spans="1:17" ht="15.75" customHeight="1" x14ac:dyDescent="0.25">
      <c r="A90" s="119"/>
      <c r="B90" s="122"/>
      <c r="C90" s="145"/>
      <c r="D90" s="23" t="s">
        <v>79</v>
      </c>
      <c r="E90" s="2" t="s">
        <v>42</v>
      </c>
      <c r="F90" s="24">
        <v>2</v>
      </c>
      <c r="G90" s="149" t="s">
        <v>48</v>
      </c>
      <c r="H90" s="73" t="str">
        <f>IFERROR(1/(1/
SUM(
N(VLOOKUP(D90&amp;F90,'Budgeted Projections Dom HC'!D:T,2,FALSE)),
N(VLOOKUP(D90&amp;F90,'Budgeted Projections Dom HC'!D:T,3,FALSE))
)
),"")</f>
        <v/>
      </c>
      <c r="I90" s="73" t="str">
        <f>IFERROR(1/(1/COUNTIFS(
'YearA-AppDetails Current Date'!A:A,D90,
'YearA-AppDetails Current Date'!F:F,E90,
'YearA-AppDetails Current Date'!E:E,--F90,
'YearA-AppDetails Current Date'!I:I,"SUMMER")), "")</f>
        <v/>
      </c>
      <c r="J90" s="74" t="str" cm="1">
        <f t="array" ref="J90">IFERROR(1/(1/SUM(COUNTIFS(
'YearA-AppDetails Current Date'!A:A,D90,
'YearA-AppDetails Current Date'!F:F,E90,
'YearA-AppDetails Current Date'!E:E,--F90,
'YearA-AppDetails Current Date'!O:O,{"ACLN","ACPT","COND"},
'YearA-AppDetails Current Date'!S:S,"&lt;&gt;ACLN",
'YearA-AppDetails Current Date'!S:S,"&lt;&gt;ACPT",
'YearA-AppDetails Current Date'!S:S,"&lt;&gt;COND",
'YearA-AppDetails Current Date'!I:I,"SUMMER"))), "")</f>
        <v/>
      </c>
      <c r="K90" s="73" t="str">
        <f>IFERROR(1/(1/SUM(COUNTIFS(
'YearA-AppDetails Current Date'!A:A,D90,
'YearA-AppDetails Current Date'!F:F,E90,
'YearA-AppDetails Current Date'!E:E,--F90,
'YearA-AppDetails Current Date'!R:R,"&lt;&gt;"&amp;"",
'YearA-AppDetails Current Date'!I:I,"SUMMER"))), "")</f>
        <v/>
      </c>
      <c r="L90" s="74" t="str" cm="1">
        <f t="array" ref="L90">IFERROR(1/(1/SUM(COUNTIFS(
'YearA-AppDetails Current Date'!A:A,D90,
'YearA-AppDetails Current Date'!F:F,E90,
'YearA-AppDetails Current Date'!E:E,--F90,
'YearA-AppDetails Current Date'!T:T,{"APEX","DENY","NTSL"},
'YearA-AppDetails Current Date'!I:I,"SUMMER"))), "")</f>
        <v/>
      </c>
      <c r="M90" s="74" t="str" cm="1">
        <f t="array" ref="M90">IFERROR(1/(1/SUM(COUNTIFS(
'YearA-AppDetails Current Date'!A:A,D90,
'YearA-AppDetails Current Date'!F:F,E90,
'YearA-AppDetails Current Date'!E:E,--F90,
'YearA-AppDetails Current Date'!U:U,{"CCAN","DECL"},
'YearA-AppDetails Current Date'!I:I,"SUMMER"))), "")</f>
        <v/>
      </c>
      <c r="N90" s="74" t="str" cm="1">
        <f t="array" ref="N90">IFERROR(1/(1/SUM(COUNTIFS(
'YearA-AppDetails Current Date'!A:A,D90,
'YearA-AppDetails Current Date'!F:F,E90,
'YearA-AppDetails Current Date'!E:E,--F90,
'YearA-AppDetails Current Date'!V:V,{"APRO","NODE"},
'YearA-AppDetails Current Date'!I:I,"SUMMER"))), "")</f>
        <v/>
      </c>
      <c r="O90" s="74" t="str" cm="1">
        <f t="array" ref="O90">IFERROR(1/(1/SUM(COUNTIFS(
'YearA-AppDetails Current Date'!A:A,D90,
'YearA-AppDetails Current Date'!F:F,E90,
'YearA-AppDetails Current Date'!E:E,--F90,
'YearA-AppDetails Current Date'!T:T,{"CDMT","RQMT","WAIT"},
'YearA-AppDetails Current Date'!I:I,"SUMMER"))), "")</f>
        <v/>
      </c>
      <c r="P90" s="74" t="str">
        <f>IFERROR(1/(1/COUNTIFS(
'YearA-AppDetails Current Date'!A:A,D90,
'YearA-AppDetails Current Date'!F:F,E90,
'YearA-AppDetails Current Date'!E:E,--F90,
'YearA-AppDetails Current Date'!Y:Y,"ENRO",
'YearA-AppDetails Current Date'!I:I,"SUMMER")), "")</f>
        <v/>
      </c>
      <c r="Q90" s="3" t="str">
        <f t="shared" si="9"/>
        <v/>
      </c>
    </row>
    <row r="91" spans="1:17" ht="15.75" customHeight="1" x14ac:dyDescent="0.25">
      <c r="A91" s="119"/>
      <c r="B91" s="122"/>
      <c r="C91" s="133"/>
      <c r="D91" s="23" t="s">
        <v>79</v>
      </c>
      <c r="E91" s="2" t="s">
        <v>43</v>
      </c>
      <c r="F91" s="31">
        <v>2</v>
      </c>
      <c r="G91" s="150"/>
      <c r="H91" s="73" t="str">
        <f>IFERROR(1/(1/
SUM(
N(VLOOKUP(D91&amp;F91,'Budgeted Projections Intl HC'!D:T,2,FALSE)),
N(VLOOKUP(D91&amp;F91,'Budgeted Projections Intl HC'!D:T,3,FALSE))
)
),"")</f>
        <v/>
      </c>
      <c r="I91" s="73" t="str">
        <f>IFERROR(1/(1/COUNTIFS(
'YearA-AppDetails Current Date'!A:A,D91,
'YearA-AppDetails Current Date'!F:F,E91,
'YearA-AppDetails Current Date'!E:E,--F91,
'YearA-AppDetails Current Date'!I:I,"SUMMER")), "")</f>
        <v/>
      </c>
      <c r="J91" s="74" t="str" cm="1">
        <f t="array" ref="J91">IFERROR(1/(1/SUM(COUNTIFS(
'YearA-AppDetails Current Date'!A:A,D91,
'YearA-AppDetails Current Date'!F:F,E91,
'YearA-AppDetails Current Date'!E:E,--F91,
'YearA-AppDetails Current Date'!O:O,{"ACLN","ACPT","COND"},
'YearA-AppDetails Current Date'!S:S,"&lt;&gt;ACLN",
'YearA-AppDetails Current Date'!S:S,"&lt;&gt;ACPT",
'YearA-AppDetails Current Date'!S:S,"&lt;&gt;COND",
'YearA-AppDetails Current Date'!I:I,"SUMMER"))), "")</f>
        <v/>
      </c>
      <c r="K91" s="73" t="str">
        <f>IFERROR(1/(1/SUM(COUNTIFS(
'YearA-AppDetails Current Date'!A:A,D91,
'YearA-AppDetails Current Date'!F:F,E91,
'YearA-AppDetails Current Date'!E:E,--F91,
'YearA-AppDetails Current Date'!R:R,"&lt;&gt;"&amp;"",
'YearA-AppDetails Current Date'!I:I,"SUMMER"))), "")</f>
        <v/>
      </c>
      <c r="L91" s="74" t="str" cm="1">
        <f t="array" ref="L91">IFERROR(1/(1/SUM(COUNTIFS(
'YearA-AppDetails Current Date'!A:A,D91,
'YearA-AppDetails Current Date'!F:F,E91,
'YearA-AppDetails Current Date'!E:E,--F91,
'YearA-AppDetails Current Date'!T:T,{"APEX","DENY","NTSL"},
'YearA-AppDetails Current Date'!I:I,"SUMMER"))), "")</f>
        <v/>
      </c>
      <c r="M91" s="74" t="str" cm="1">
        <f t="array" ref="M91">IFERROR(1/(1/SUM(COUNTIFS(
'YearA-AppDetails Current Date'!A:A,D91,
'YearA-AppDetails Current Date'!F:F,E91,
'YearA-AppDetails Current Date'!E:E,--F91,
'YearA-AppDetails Current Date'!U:U,{"CCAN","DECL"},
'YearA-AppDetails Current Date'!I:I,"SUMMER"))), "")</f>
        <v/>
      </c>
      <c r="N91" s="74" t="str" cm="1">
        <f t="array" ref="N91">IFERROR(1/(1/SUM(COUNTIFS(
'YearA-AppDetails Current Date'!A:A,D91,
'YearA-AppDetails Current Date'!F:F,E91,
'YearA-AppDetails Current Date'!E:E,--F91,
'YearA-AppDetails Current Date'!V:V,{"APRO","NODE"},
'YearA-AppDetails Current Date'!I:I,"SUMMER"))), "")</f>
        <v/>
      </c>
      <c r="O91" s="74" t="str" cm="1">
        <f t="array" ref="O91">IFERROR(1/(1/SUM(COUNTIFS(
'YearA-AppDetails Current Date'!A:A,D91,
'YearA-AppDetails Current Date'!F:F,E91,
'YearA-AppDetails Current Date'!E:E,--F91,
'YearA-AppDetails Current Date'!T:T,{"CDMT","RQMT","WAIT"},
'YearA-AppDetails Current Date'!I:I,"SUMMER"))), "")</f>
        <v/>
      </c>
      <c r="P91" s="74" t="str">
        <f>IFERROR(1/(1/COUNTIFS(
'YearA-AppDetails Current Date'!A:A,D91,
'YearA-AppDetails Current Date'!F:F,E91,
'YearA-AppDetails Current Date'!E:E,--F91,
'YearA-AppDetails Current Date'!Y:Y,"ENRO",
'YearA-AppDetails Current Date'!I:I,"SUMMER")), "")</f>
        <v/>
      </c>
      <c r="Q91" s="3" t="str">
        <f t="shared" si="9"/>
        <v/>
      </c>
    </row>
    <row r="92" spans="1:17" ht="15.75" customHeight="1" x14ac:dyDescent="0.25">
      <c r="A92" s="119"/>
      <c r="B92" s="122"/>
      <c r="C92" s="124" t="s">
        <v>292</v>
      </c>
      <c r="D92" s="23" t="s">
        <v>135</v>
      </c>
      <c r="E92" s="2" t="s">
        <v>42</v>
      </c>
      <c r="F92" s="42">
        <v>1</v>
      </c>
      <c r="G92" s="148" t="s">
        <v>48</v>
      </c>
      <c r="H92" s="73" t="str">
        <f>IFERROR(1/(1/
SUM(
N(VLOOKUP(D92&amp;F92,'Budgeted Projections Dom HC'!D:T,2,FALSE)),
N(VLOOKUP(D92&amp;F92,'Budgeted Projections Dom HC'!D:T,3,FALSE))
)
),"")</f>
        <v/>
      </c>
      <c r="I92" s="73" t="str">
        <f>IFERROR(1/(1/COUNTIFS(
'YearA-AppDetails Current Date'!A:A,D92,
'YearA-AppDetails Current Date'!F:F,E92,
'YearA-AppDetails Current Date'!E:E,--F92,
'YearA-AppDetails Current Date'!I:I,"SUMMER")), "")</f>
        <v/>
      </c>
      <c r="J92" s="74" t="str" cm="1">
        <f t="array" ref="J92">IFERROR(1/(1/SUM(COUNTIFS(
'YearA-AppDetails Current Date'!A:A,D92,
'YearA-AppDetails Current Date'!F:F,E92,
'YearA-AppDetails Current Date'!E:E,--F92,
'YearA-AppDetails Current Date'!O:O,{"ACLN","ACPT","COND"},
'YearA-AppDetails Current Date'!S:S,"&lt;&gt;ACLN",
'YearA-AppDetails Current Date'!S:S,"&lt;&gt;ACPT",
'YearA-AppDetails Current Date'!S:S,"&lt;&gt;COND",
'YearA-AppDetails Current Date'!I:I,"SUMMER"))), "")</f>
        <v/>
      </c>
      <c r="K92" s="73" t="str">
        <f>IFERROR(1/(1/SUM(COUNTIFS(
'YearA-AppDetails Current Date'!A:A,D92,
'YearA-AppDetails Current Date'!F:F,E92,
'YearA-AppDetails Current Date'!E:E,--F92,
'YearA-AppDetails Current Date'!R:R,"&lt;&gt;"&amp;"",
'YearA-AppDetails Current Date'!I:I,"SUMMER"))), "")</f>
        <v/>
      </c>
      <c r="L92" s="74" t="str" cm="1">
        <f t="array" ref="L92">IFERROR(1/(1/SUM(COUNTIFS(
'YearA-AppDetails Current Date'!A:A,D92,
'YearA-AppDetails Current Date'!F:F,E92,
'YearA-AppDetails Current Date'!E:E,--F92,
'YearA-AppDetails Current Date'!T:T,{"APEX","DENY","NTSL"},
'YearA-AppDetails Current Date'!I:I,"SUMMER"))), "")</f>
        <v/>
      </c>
      <c r="M92" s="74" t="str" cm="1">
        <f t="array" ref="M92">IFERROR(1/(1/SUM(COUNTIFS(
'YearA-AppDetails Current Date'!A:A,D92,
'YearA-AppDetails Current Date'!F:F,E92,
'YearA-AppDetails Current Date'!E:E,--F92,
'YearA-AppDetails Current Date'!U:U,{"CCAN","DECL"},
'YearA-AppDetails Current Date'!I:I,"SUMMER"))), "")</f>
        <v/>
      </c>
      <c r="N92" s="74" t="str" cm="1">
        <f t="array" ref="N92">IFERROR(1/(1/SUM(COUNTIFS(
'YearA-AppDetails Current Date'!A:A,D92,
'YearA-AppDetails Current Date'!F:F,E92,
'YearA-AppDetails Current Date'!E:E,--F92,
'YearA-AppDetails Current Date'!V:V,{"APRO","NODE"},
'YearA-AppDetails Current Date'!I:I,"SUMMER"))), "")</f>
        <v/>
      </c>
      <c r="O92" s="74" t="str" cm="1">
        <f t="array" ref="O92">IFERROR(1/(1/SUM(COUNTIFS(
'YearA-AppDetails Current Date'!A:A,D92,
'YearA-AppDetails Current Date'!F:F,E92,
'YearA-AppDetails Current Date'!E:E,--F92,
'YearA-AppDetails Current Date'!T:T,{"CDMT","RQMT","WAIT"},
'YearA-AppDetails Current Date'!I:I,"SUMMER"))), "")</f>
        <v/>
      </c>
      <c r="P92" s="74" t="str">
        <f>IFERROR(1/(1/COUNTIFS(
'YearA-AppDetails Current Date'!A:A,D92,
'YearA-AppDetails Current Date'!F:F,E92,
'YearA-AppDetails Current Date'!E:E,--F92,
'YearA-AppDetails Current Date'!Y:Y,"ENRO",
'YearA-AppDetails Current Date'!I:I,"SUMMER")), "")</f>
        <v/>
      </c>
      <c r="Q92" s="3" t="str">
        <f t="shared" si="9"/>
        <v/>
      </c>
    </row>
    <row r="93" spans="1:17" ht="15.75" customHeight="1" x14ac:dyDescent="0.25">
      <c r="A93" s="119"/>
      <c r="B93" s="122"/>
      <c r="C93" s="138"/>
      <c r="D93" s="23" t="s">
        <v>135</v>
      </c>
      <c r="E93" s="2" t="s">
        <v>43</v>
      </c>
      <c r="F93" s="42">
        <v>1</v>
      </c>
      <c r="G93" s="141"/>
      <c r="H93" s="73" t="str">
        <f>IFERROR(1/(1/
SUM(
N(VLOOKUP(D93&amp;F93,'Budgeted Projections Intl HC'!D:T,2,FALSE)),
N(VLOOKUP(D93&amp;F93,'Budgeted Projections Intl HC'!D:T,3,FALSE))
)
),"")</f>
        <v/>
      </c>
      <c r="I93" s="73" t="str">
        <f>IFERROR(1/(1/COUNTIFS(
'YearA-AppDetails Current Date'!A:A,D93,
'YearA-AppDetails Current Date'!F:F,E93,
'YearA-AppDetails Current Date'!E:E,--F93,
'YearA-AppDetails Current Date'!I:I,"SUMMER")), "")</f>
        <v/>
      </c>
      <c r="J93" s="74" t="str" cm="1">
        <f t="array" ref="J93">IFERROR(1/(1/SUM(COUNTIFS(
'YearA-AppDetails Current Date'!A:A,D93,
'YearA-AppDetails Current Date'!F:F,E93,
'YearA-AppDetails Current Date'!E:E,--F93,
'YearA-AppDetails Current Date'!O:O,{"ACLN","ACPT","COND"},
'YearA-AppDetails Current Date'!S:S,"&lt;&gt;ACLN",
'YearA-AppDetails Current Date'!S:S,"&lt;&gt;ACPT",
'YearA-AppDetails Current Date'!S:S,"&lt;&gt;COND",
'YearA-AppDetails Current Date'!I:I,"SUMMER"))), "")</f>
        <v/>
      </c>
      <c r="K93" s="73" t="str">
        <f>IFERROR(1/(1/SUM(COUNTIFS(
'YearA-AppDetails Current Date'!A:A,D93,
'YearA-AppDetails Current Date'!F:F,E93,
'YearA-AppDetails Current Date'!E:E,--F93,
'YearA-AppDetails Current Date'!R:R,"&lt;&gt;"&amp;"",
'YearA-AppDetails Current Date'!I:I,"SUMMER"))), "")</f>
        <v/>
      </c>
      <c r="L93" s="74" t="str" cm="1">
        <f t="array" ref="L93">IFERROR(1/(1/SUM(COUNTIFS(
'YearA-AppDetails Current Date'!A:A,D93,
'YearA-AppDetails Current Date'!F:F,E93,
'YearA-AppDetails Current Date'!E:E,--F93,
'YearA-AppDetails Current Date'!T:T,{"APEX","DENY","NTSL"},
'YearA-AppDetails Current Date'!I:I,"SUMMER"))), "")</f>
        <v/>
      </c>
      <c r="M93" s="74" t="str" cm="1">
        <f t="array" ref="M93">IFERROR(1/(1/SUM(COUNTIFS(
'YearA-AppDetails Current Date'!A:A,D93,
'YearA-AppDetails Current Date'!F:F,E93,
'YearA-AppDetails Current Date'!E:E,--F93,
'YearA-AppDetails Current Date'!U:U,{"CCAN","DECL"},
'YearA-AppDetails Current Date'!I:I,"SUMMER"))), "")</f>
        <v/>
      </c>
      <c r="N93" s="74" t="str" cm="1">
        <f t="array" ref="N93">IFERROR(1/(1/SUM(COUNTIFS(
'YearA-AppDetails Current Date'!A:A,D93,
'YearA-AppDetails Current Date'!F:F,E93,
'YearA-AppDetails Current Date'!E:E,--F93,
'YearA-AppDetails Current Date'!V:V,{"APRO","NODE"},
'YearA-AppDetails Current Date'!I:I,"SUMMER"))), "")</f>
        <v/>
      </c>
      <c r="O93" s="74" t="str" cm="1">
        <f t="array" ref="O93">IFERROR(1/(1/SUM(COUNTIFS(
'YearA-AppDetails Current Date'!A:A,D93,
'YearA-AppDetails Current Date'!F:F,E93,
'YearA-AppDetails Current Date'!E:E,--F93,
'YearA-AppDetails Current Date'!T:T,{"CDMT","RQMT","WAIT"},
'YearA-AppDetails Current Date'!I:I,"SUMMER"))), "")</f>
        <v/>
      </c>
      <c r="P93" s="74" t="str">
        <f>IFERROR(1/(1/COUNTIFS(
'YearA-AppDetails Current Date'!A:A,D93,
'YearA-AppDetails Current Date'!F:F,E93,
'YearA-AppDetails Current Date'!E:E,--F93,
'YearA-AppDetails Current Date'!Y:Y,"ENRO",
'YearA-AppDetails Current Date'!I:I,"SUMMER")), "")</f>
        <v/>
      </c>
      <c r="Q93" s="3" t="str">
        <f t="shared" si="9"/>
        <v/>
      </c>
    </row>
    <row r="94" spans="1:17" ht="15.75" customHeight="1" x14ac:dyDescent="0.25">
      <c r="A94" s="119"/>
      <c r="B94" s="122"/>
      <c r="C94" s="138"/>
      <c r="D94" s="23" t="s">
        <v>135</v>
      </c>
      <c r="E94" s="2" t="s">
        <v>42</v>
      </c>
      <c r="F94" s="42">
        <v>2</v>
      </c>
      <c r="G94" s="148" t="s">
        <v>48</v>
      </c>
      <c r="H94" s="73" t="str">
        <f>IFERROR(1/(1/
SUM(
N(VLOOKUP(D94&amp;F94,'Budgeted Projections Dom HC'!D:T,2,FALSE)),
N(VLOOKUP(D94&amp;F94,'Budgeted Projections Dom HC'!D:T,3,FALSE))
)
),"")</f>
        <v/>
      </c>
      <c r="I94" s="73" t="str">
        <f>IFERROR(1/(1/COUNTIFS(
'YearA-AppDetails Current Date'!A:A,D94,
'YearA-AppDetails Current Date'!F:F,E94,
'YearA-AppDetails Current Date'!E:E,--F94,
'YearA-AppDetails Current Date'!I:I,"SUMMER")), "")</f>
        <v/>
      </c>
      <c r="J94" s="74" t="str" cm="1">
        <f t="array" ref="J94">IFERROR(1/(1/SUM(COUNTIFS(
'YearA-AppDetails Current Date'!A:A,D94,
'YearA-AppDetails Current Date'!F:F,E94,
'YearA-AppDetails Current Date'!E:E,--F94,
'YearA-AppDetails Current Date'!O:O,{"ACLN","ACPT","COND"},
'YearA-AppDetails Current Date'!S:S,"&lt;&gt;ACLN",
'YearA-AppDetails Current Date'!S:S,"&lt;&gt;ACPT",
'YearA-AppDetails Current Date'!S:S,"&lt;&gt;COND",
'YearA-AppDetails Current Date'!I:I,"SUMMER"))), "")</f>
        <v/>
      </c>
      <c r="K94" s="73" t="str">
        <f>IFERROR(1/(1/SUM(COUNTIFS(
'YearA-AppDetails Current Date'!A:A,D94,
'YearA-AppDetails Current Date'!F:F,E94,
'YearA-AppDetails Current Date'!E:E,--F94,
'YearA-AppDetails Current Date'!R:R,"&lt;&gt;"&amp;"",
'YearA-AppDetails Current Date'!I:I,"SUMMER"))), "")</f>
        <v/>
      </c>
      <c r="L94" s="74" t="str" cm="1">
        <f t="array" ref="L94">IFERROR(1/(1/SUM(COUNTIFS(
'YearA-AppDetails Current Date'!A:A,D94,
'YearA-AppDetails Current Date'!F:F,E94,
'YearA-AppDetails Current Date'!E:E,--F94,
'YearA-AppDetails Current Date'!T:T,{"APEX","DENY","NTSL"},
'YearA-AppDetails Current Date'!I:I,"SUMMER"))), "")</f>
        <v/>
      </c>
      <c r="M94" s="74" t="str" cm="1">
        <f t="array" ref="M94">IFERROR(1/(1/SUM(COUNTIFS(
'YearA-AppDetails Current Date'!A:A,D94,
'YearA-AppDetails Current Date'!F:F,E94,
'YearA-AppDetails Current Date'!E:E,--F94,
'YearA-AppDetails Current Date'!U:U,{"CCAN","DECL"},
'YearA-AppDetails Current Date'!I:I,"SUMMER"))), "")</f>
        <v/>
      </c>
      <c r="N94" s="74" t="str" cm="1">
        <f t="array" ref="N94">IFERROR(1/(1/SUM(COUNTIFS(
'YearA-AppDetails Current Date'!A:A,D94,
'YearA-AppDetails Current Date'!F:F,E94,
'YearA-AppDetails Current Date'!E:E,--F94,
'YearA-AppDetails Current Date'!V:V,{"APRO","NODE"},
'YearA-AppDetails Current Date'!I:I,"SUMMER"))), "")</f>
        <v/>
      </c>
      <c r="O94" s="74" t="str" cm="1">
        <f t="array" ref="O94">IFERROR(1/(1/SUM(COUNTIFS(
'YearA-AppDetails Current Date'!A:A,D94,
'YearA-AppDetails Current Date'!F:F,E94,
'YearA-AppDetails Current Date'!E:E,--F94,
'YearA-AppDetails Current Date'!T:T,{"CDMT","RQMT","WAIT"},
'YearA-AppDetails Current Date'!I:I,"SUMMER"))), "")</f>
        <v/>
      </c>
      <c r="P94" s="74" t="str">
        <f>IFERROR(1/(1/COUNTIFS(
'YearA-AppDetails Current Date'!A:A,D94,
'YearA-AppDetails Current Date'!F:F,E94,
'YearA-AppDetails Current Date'!E:E,--F94,
'YearA-AppDetails Current Date'!Y:Y,"ENRO",
'YearA-AppDetails Current Date'!I:I,"SUMMER")), "")</f>
        <v/>
      </c>
      <c r="Q94" s="3" t="str">
        <f t="shared" si="9"/>
        <v/>
      </c>
    </row>
    <row r="95" spans="1:17" ht="15.75" customHeight="1" x14ac:dyDescent="0.25">
      <c r="A95" s="119"/>
      <c r="B95" s="122"/>
      <c r="C95" s="125"/>
      <c r="D95" s="23" t="s">
        <v>135</v>
      </c>
      <c r="E95" s="2" t="s">
        <v>43</v>
      </c>
      <c r="F95" s="42">
        <v>2</v>
      </c>
      <c r="G95" s="141"/>
      <c r="H95" s="73" t="str">
        <f>IFERROR(1/(1/
SUM(
N(VLOOKUP(D95&amp;F95,'Budgeted Projections Intl HC'!D:T,2,FALSE)),
N(VLOOKUP(D95&amp;F95,'Budgeted Projections Intl HC'!D:T,3,FALSE))
)
),"")</f>
        <v/>
      </c>
      <c r="I95" s="73" t="str">
        <f>IFERROR(1/(1/COUNTIFS(
'YearA-AppDetails Current Date'!A:A,D95,
'YearA-AppDetails Current Date'!F:F,E95,
'YearA-AppDetails Current Date'!E:E,--F95,
'YearA-AppDetails Current Date'!I:I,"SUMMER")), "")</f>
        <v/>
      </c>
      <c r="J95" s="74" t="str" cm="1">
        <f t="array" ref="J95">IFERROR(1/(1/SUM(COUNTIFS(
'YearA-AppDetails Current Date'!A:A,D95,
'YearA-AppDetails Current Date'!F:F,E95,
'YearA-AppDetails Current Date'!E:E,--F95,
'YearA-AppDetails Current Date'!O:O,{"ACLN","ACPT","COND"},
'YearA-AppDetails Current Date'!S:S,"&lt;&gt;ACLN",
'YearA-AppDetails Current Date'!S:S,"&lt;&gt;ACPT",
'YearA-AppDetails Current Date'!S:S,"&lt;&gt;COND",
'YearA-AppDetails Current Date'!I:I,"SUMMER"))), "")</f>
        <v/>
      </c>
      <c r="K95" s="73" t="str">
        <f>IFERROR(1/(1/SUM(COUNTIFS(
'YearA-AppDetails Current Date'!A:A,D95,
'YearA-AppDetails Current Date'!F:F,E95,
'YearA-AppDetails Current Date'!E:E,--F95,
'YearA-AppDetails Current Date'!R:R,"&lt;&gt;"&amp;"",
'YearA-AppDetails Current Date'!I:I,"SUMMER"))), "")</f>
        <v/>
      </c>
      <c r="L95" s="74" t="str" cm="1">
        <f t="array" ref="L95">IFERROR(1/(1/SUM(COUNTIFS(
'YearA-AppDetails Current Date'!A:A,D95,
'YearA-AppDetails Current Date'!F:F,E95,
'YearA-AppDetails Current Date'!E:E,--F95,
'YearA-AppDetails Current Date'!T:T,{"APEX","DENY","NTSL"},
'YearA-AppDetails Current Date'!I:I,"SUMMER"))), "")</f>
        <v/>
      </c>
      <c r="M95" s="74" t="str" cm="1">
        <f t="array" ref="M95">IFERROR(1/(1/SUM(COUNTIFS(
'YearA-AppDetails Current Date'!A:A,D95,
'YearA-AppDetails Current Date'!F:F,E95,
'YearA-AppDetails Current Date'!E:E,--F95,
'YearA-AppDetails Current Date'!U:U,{"CCAN","DECL"},
'YearA-AppDetails Current Date'!I:I,"SUMMER"))), "")</f>
        <v/>
      </c>
      <c r="N95" s="74" t="str" cm="1">
        <f t="array" ref="N95">IFERROR(1/(1/SUM(COUNTIFS(
'YearA-AppDetails Current Date'!A:A,D95,
'YearA-AppDetails Current Date'!F:F,E95,
'YearA-AppDetails Current Date'!E:E,--F95,
'YearA-AppDetails Current Date'!V:V,{"APRO","NODE"},
'YearA-AppDetails Current Date'!I:I,"SUMMER"))), "")</f>
        <v/>
      </c>
      <c r="O95" s="74" t="str" cm="1">
        <f t="array" ref="O95">IFERROR(1/(1/SUM(COUNTIFS(
'YearA-AppDetails Current Date'!A:A,D95,
'YearA-AppDetails Current Date'!F:F,E95,
'YearA-AppDetails Current Date'!E:E,--F95,
'YearA-AppDetails Current Date'!T:T,{"CDMT","RQMT","WAIT"},
'YearA-AppDetails Current Date'!I:I,"SUMMER"))), "")</f>
        <v/>
      </c>
      <c r="P95" s="74" t="str">
        <f>IFERROR(1/(1/COUNTIFS(
'YearA-AppDetails Current Date'!A:A,D95,
'YearA-AppDetails Current Date'!F:F,E95,
'YearA-AppDetails Current Date'!E:E,--F95,
'YearA-AppDetails Current Date'!Y:Y,"ENRO",
'YearA-AppDetails Current Date'!I:I,"SUMMER")), "")</f>
        <v/>
      </c>
      <c r="Q95" s="3" t="str">
        <f t="shared" si="9"/>
        <v/>
      </c>
    </row>
    <row r="96" spans="1:17" ht="15.75" customHeight="1" x14ac:dyDescent="0.25">
      <c r="A96" s="119"/>
      <c r="B96" s="122"/>
      <c r="C96" s="132" t="s">
        <v>293</v>
      </c>
      <c r="D96" s="23" t="s">
        <v>149</v>
      </c>
      <c r="E96" s="2" t="s">
        <v>42</v>
      </c>
      <c r="F96" s="42">
        <v>1</v>
      </c>
      <c r="G96" s="148" t="s">
        <v>48</v>
      </c>
      <c r="H96" s="73" t="str">
        <f>IFERROR(1/(1/
SUM(
N(VLOOKUP(D96&amp;F96,'Budgeted Projections Dom HC'!D:T,2,FALSE)),
N(VLOOKUP(D96&amp;F96,'Budgeted Projections Dom HC'!D:T,3,FALSE))
)
),"")</f>
        <v/>
      </c>
      <c r="I96" s="73" t="str">
        <f>IFERROR(1/(1/COUNTIFS(
'YearA-AppDetails Current Date'!A:A,D96,
'YearA-AppDetails Current Date'!F:F,E96,
'YearA-AppDetails Current Date'!E:E,--F96,
'YearA-AppDetails Current Date'!I:I,"SUMMER")), "")</f>
        <v/>
      </c>
      <c r="J96" s="74" t="str" cm="1">
        <f t="array" ref="J96">IFERROR(1/(1/SUM(COUNTIFS(
'YearA-AppDetails Current Date'!A:A,D96,
'YearA-AppDetails Current Date'!F:F,E96,
'YearA-AppDetails Current Date'!E:E,--F96,
'YearA-AppDetails Current Date'!O:O,{"ACLN","ACPT","COND"},
'YearA-AppDetails Current Date'!S:S,"&lt;&gt;ACLN",
'YearA-AppDetails Current Date'!S:S,"&lt;&gt;ACPT",
'YearA-AppDetails Current Date'!S:S,"&lt;&gt;COND",
'YearA-AppDetails Current Date'!I:I,"SUMMER"))), "")</f>
        <v/>
      </c>
      <c r="K96" s="73" t="str">
        <f>IFERROR(1/(1/SUM(COUNTIFS(
'YearA-AppDetails Current Date'!A:A,D96,
'YearA-AppDetails Current Date'!F:F,E96,
'YearA-AppDetails Current Date'!E:E,--F96,
'YearA-AppDetails Current Date'!R:R,"&lt;&gt;"&amp;"",
'YearA-AppDetails Current Date'!I:I,"SUMMER"))), "")</f>
        <v/>
      </c>
      <c r="L96" s="74" t="str" cm="1">
        <f t="array" ref="L96">IFERROR(1/(1/SUM(COUNTIFS(
'YearA-AppDetails Current Date'!A:A,D96,
'YearA-AppDetails Current Date'!F:F,E96,
'YearA-AppDetails Current Date'!E:E,--F96,
'YearA-AppDetails Current Date'!T:T,{"APEX","DENY","NTSL"},
'YearA-AppDetails Current Date'!I:I,"SUMMER"))), "")</f>
        <v/>
      </c>
      <c r="M96" s="74" t="str" cm="1">
        <f t="array" ref="M96">IFERROR(1/(1/SUM(COUNTIFS(
'YearA-AppDetails Current Date'!A:A,D96,
'YearA-AppDetails Current Date'!F:F,E96,
'YearA-AppDetails Current Date'!E:E,--F96,
'YearA-AppDetails Current Date'!U:U,{"CCAN","DECL"},
'YearA-AppDetails Current Date'!I:I,"SUMMER"))), "")</f>
        <v/>
      </c>
      <c r="N96" s="74" t="str" cm="1">
        <f t="array" ref="N96">IFERROR(1/(1/SUM(COUNTIFS(
'YearA-AppDetails Current Date'!A:A,D96,
'YearA-AppDetails Current Date'!F:F,E96,
'YearA-AppDetails Current Date'!E:E,--F96,
'YearA-AppDetails Current Date'!V:V,{"APRO","NODE"},
'YearA-AppDetails Current Date'!I:I,"SUMMER"))), "")</f>
        <v/>
      </c>
      <c r="O96" s="74" t="str" cm="1">
        <f t="array" ref="O96">IFERROR(1/(1/SUM(COUNTIFS(
'YearA-AppDetails Current Date'!A:A,D96,
'YearA-AppDetails Current Date'!F:F,E96,
'YearA-AppDetails Current Date'!E:E,--F96,
'YearA-AppDetails Current Date'!T:T,{"CDMT","RQMT","WAIT"},
'YearA-AppDetails Current Date'!I:I,"SUMMER"))), "")</f>
        <v/>
      </c>
      <c r="P96" s="74" t="str">
        <f>IFERROR(1/(1/COUNTIFS(
'YearA-AppDetails Current Date'!A:A,D96,
'YearA-AppDetails Current Date'!F:F,E96,
'YearA-AppDetails Current Date'!E:E,--F96,
'YearA-AppDetails Current Date'!Y:Y,"ENRO",
'YearA-AppDetails Current Date'!I:I,"SUMMER")), "")</f>
        <v/>
      </c>
      <c r="Q96" s="3" t="str">
        <f t="shared" si="9"/>
        <v/>
      </c>
    </row>
    <row r="97" spans="1:17" ht="15.75" customHeight="1" x14ac:dyDescent="0.25">
      <c r="A97" s="119"/>
      <c r="B97" s="122"/>
      <c r="C97" s="145"/>
      <c r="D97" s="23" t="s">
        <v>149</v>
      </c>
      <c r="E97" s="2" t="s">
        <v>43</v>
      </c>
      <c r="F97" s="42">
        <v>1</v>
      </c>
      <c r="G97" s="141"/>
      <c r="H97" s="73" t="str">
        <f>IFERROR(1/(1/
SUM(
N(VLOOKUP(D97&amp;F97,'Budgeted Projections Intl HC'!D:T,2,FALSE)),
N(VLOOKUP(D97&amp;F97,'Budgeted Projections Intl HC'!D:T,3,FALSE))
)
),"")</f>
        <v/>
      </c>
      <c r="I97" s="73" t="str">
        <f>IFERROR(1/(1/COUNTIFS(
'YearA-AppDetails Current Date'!A:A,D97,
'YearA-AppDetails Current Date'!F:F,E97,
'YearA-AppDetails Current Date'!E:E,--F97,
'YearA-AppDetails Current Date'!I:I,"SUMMER")), "")</f>
        <v/>
      </c>
      <c r="J97" s="74" t="str" cm="1">
        <f t="array" ref="J97">IFERROR(1/(1/SUM(COUNTIFS(
'YearA-AppDetails Current Date'!A:A,D97,
'YearA-AppDetails Current Date'!F:F,E97,
'YearA-AppDetails Current Date'!E:E,--F97,
'YearA-AppDetails Current Date'!O:O,{"ACLN","ACPT","COND"},
'YearA-AppDetails Current Date'!S:S,"&lt;&gt;ACLN",
'YearA-AppDetails Current Date'!S:S,"&lt;&gt;ACPT",
'YearA-AppDetails Current Date'!S:S,"&lt;&gt;COND",
'YearA-AppDetails Current Date'!I:I,"SUMMER"))), "")</f>
        <v/>
      </c>
      <c r="K97" s="73" t="str">
        <f>IFERROR(1/(1/SUM(COUNTIFS(
'YearA-AppDetails Current Date'!A:A,D97,
'YearA-AppDetails Current Date'!F:F,E97,
'YearA-AppDetails Current Date'!E:E,--F97,
'YearA-AppDetails Current Date'!R:R,"&lt;&gt;"&amp;"",
'YearA-AppDetails Current Date'!I:I,"SUMMER"))), "")</f>
        <v/>
      </c>
      <c r="L97" s="74" t="str" cm="1">
        <f t="array" ref="L97">IFERROR(1/(1/SUM(COUNTIFS(
'YearA-AppDetails Current Date'!A:A,D97,
'YearA-AppDetails Current Date'!F:F,E97,
'YearA-AppDetails Current Date'!E:E,--F97,
'YearA-AppDetails Current Date'!T:T,{"APEX","DENY","NTSL"},
'YearA-AppDetails Current Date'!I:I,"SUMMER"))), "")</f>
        <v/>
      </c>
      <c r="M97" s="74" t="str" cm="1">
        <f t="array" ref="M97">IFERROR(1/(1/SUM(COUNTIFS(
'YearA-AppDetails Current Date'!A:A,D97,
'YearA-AppDetails Current Date'!F:F,E97,
'YearA-AppDetails Current Date'!E:E,--F97,
'YearA-AppDetails Current Date'!U:U,{"CCAN","DECL"},
'YearA-AppDetails Current Date'!I:I,"SUMMER"))), "")</f>
        <v/>
      </c>
      <c r="N97" s="74" t="str" cm="1">
        <f t="array" ref="N97">IFERROR(1/(1/SUM(COUNTIFS(
'YearA-AppDetails Current Date'!A:A,D97,
'YearA-AppDetails Current Date'!F:F,E97,
'YearA-AppDetails Current Date'!E:E,--F97,
'YearA-AppDetails Current Date'!V:V,{"APRO","NODE"},
'YearA-AppDetails Current Date'!I:I,"SUMMER"))), "")</f>
        <v/>
      </c>
      <c r="O97" s="74" t="str" cm="1">
        <f t="array" ref="O97">IFERROR(1/(1/SUM(COUNTIFS(
'YearA-AppDetails Current Date'!A:A,D97,
'YearA-AppDetails Current Date'!F:F,E97,
'YearA-AppDetails Current Date'!E:E,--F97,
'YearA-AppDetails Current Date'!T:T,{"CDMT","RQMT","WAIT"},
'YearA-AppDetails Current Date'!I:I,"SUMMER"))), "")</f>
        <v/>
      </c>
      <c r="P97" s="74" t="str">
        <f>IFERROR(1/(1/COUNTIFS(
'YearA-AppDetails Current Date'!A:A,D97,
'YearA-AppDetails Current Date'!F:F,E97,
'YearA-AppDetails Current Date'!E:E,--F97,
'YearA-AppDetails Current Date'!Y:Y,"ENRO",
'YearA-AppDetails Current Date'!I:I,"SUMMER")), "")</f>
        <v/>
      </c>
      <c r="Q97" s="3" t="str">
        <f t="shared" si="9"/>
        <v/>
      </c>
    </row>
    <row r="98" spans="1:17" ht="15.75" customHeight="1" x14ac:dyDescent="0.25">
      <c r="A98" s="119"/>
      <c r="B98" s="122"/>
      <c r="C98" s="145"/>
      <c r="D98" s="23" t="s">
        <v>149</v>
      </c>
      <c r="E98" s="2" t="s">
        <v>42</v>
      </c>
      <c r="F98" s="42">
        <v>2</v>
      </c>
      <c r="G98" s="148" t="s">
        <v>48</v>
      </c>
      <c r="H98" s="73" t="str">
        <f>IFERROR(1/(1/
SUM(
N(VLOOKUP(D98&amp;F98,'Budgeted Projections Dom HC'!D:T,2,FALSE)),
N(VLOOKUP(D98&amp;F98,'Budgeted Projections Dom HC'!D:T,3,FALSE))
)
),"")</f>
        <v/>
      </c>
      <c r="I98" s="73" t="str">
        <f>IFERROR(1/(1/COUNTIFS(
'YearA-AppDetails Current Date'!A:A,D98,
'YearA-AppDetails Current Date'!F:F,E98,
'YearA-AppDetails Current Date'!E:E,--F98,
'YearA-AppDetails Current Date'!I:I,"SUMMER")), "")</f>
        <v/>
      </c>
      <c r="J98" s="74" t="str" cm="1">
        <f t="array" ref="J98">IFERROR(1/(1/SUM(COUNTIFS(
'YearA-AppDetails Current Date'!A:A,D98,
'YearA-AppDetails Current Date'!F:F,E98,
'YearA-AppDetails Current Date'!E:E,--F98,
'YearA-AppDetails Current Date'!O:O,{"ACLN","ACPT","COND"},
'YearA-AppDetails Current Date'!S:S,"&lt;&gt;ACLN",
'YearA-AppDetails Current Date'!S:S,"&lt;&gt;ACPT",
'YearA-AppDetails Current Date'!S:S,"&lt;&gt;COND",
'YearA-AppDetails Current Date'!I:I,"SUMMER"))), "")</f>
        <v/>
      </c>
      <c r="K98" s="73" t="str">
        <f>IFERROR(1/(1/SUM(COUNTIFS(
'YearA-AppDetails Current Date'!A:A,D98,
'YearA-AppDetails Current Date'!F:F,E98,
'YearA-AppDetails Current Date'!E:E,--F98,
'YearA-AppDetails Current Date'!R:R,"&lt;&gt;"&amp;"",
'YearA-AppDetails Current Date'!I:I,"SUMMER"))), "")</f>
        <v/>
      </c>
      <c r="L98" s="74" t="str" cm="1">
        <f t="array" ref="L98">IFERROR(1/(1/SUM(COUNTIFS(
'YearA-AppDetails Current Date'!A:A,D98,
'YearA-AppDetails Current Date'!F:F,E98,
'YearA-AppDetails Current Date'!E:E,--F98,
'YearA-AppDetails Current Date'!T:T,{"APEX","DENY","NTSL"},
'YearA-AppDetails Current Date'!I:I,"SUMMER"))), "")</f>
        <v/>
      </c>
      <c r="M98" s="74" t="str" cm="1">
        <f t="array" ref="M98">IFERROR(1/(1/SUM(COUNTIFS(
'YearA-AppDetails Current Date'!A:A,D98,
'YearA-AppDetails Current Date'!F:F,E98,
'YearA-AppDetails Current Date'!E:E,--F98,
'YearA-AppDetails Current Date'!U:U,{"CCAN","DECL"},
'YearA-AppDetails Current Date'!I:I,"SUMMER"))), "")</f>
        <v/>
      </c>
      <c r="N98" s="74" t="str" cm="1">
        <f t="array" ref="N98">IFERROR(1/(1/SUM(COUNTIFS(
'YearA-AppDetails Current Date'!A:A,D98,
'YearA-AppDetails Current Date'!F:F,E98,
'YearA-AppDetails Current Date'!E:E,--F98,
'YearA-AppDetails Current Date'!V:V,{"APRO","NODE"},
'YearA-AppDetails Current Date'!I:I,"SUMMER"))), "")</f>
        <v/>
      </c>
      <c r="O98" s="74" t="str" cm="1">
        <f t="array" ref="O98">IFERROR(1/(1/SUM(COUNTIFS(
'YearA-AppDetails Current Date'!A:A,D98,
'YearA-AppDetails Current Date'!F:F,E98,
'YearA-AppDetails Current Date'!E:E,--F98,
'YearA-AppDetails Current Date'!T:T,{"CDMT","RQMT","WAIT"},
'YearA-AppDetails Current Date'!I:I,"SUMMER"))), "")</f>
        <v/>
      </c>
      <c r="P98" s="74" t="str">
        <f>IFERROR(1/(1/COUNTIFS(
'YearA-AppDetails Current Date'!A:A,D98,
'YearA-AppDetails Current Date'!F:F,E98,
'YearA-AppDetails Current Date'!E:E,--F98,
'YearA-AppDetails Current Date'!Y:Y,"ENRO",
'YearA-AppDetails Current Date'!I:I,"SUMMER")), "")</f>
        <v/>
      </c>
      <c r="Q98" s="3" t="str">
        <f t="shared" si="9"/>
        <v/>
      </c>
    </row>
    <row r="99" spans="1:17" ht="15.75" customHeight="1" x14ac:dyDescent="0.25">
      <c r="A99" s="119"/>
      <c r="B99" s="122"/>
      <c r="C99" s="133"/>
      <c r="D99" s="23" t="s">
        <v>149</v>
      </c>
      <c r="E99" s="2" t="s">
        <v>43</v>
      </c>
      <c r="F99" s="42">
        <v>2</v>
      </c>
      <c r="G99" s="141"/>
      <c r="H99" s="73" t="str">
        <f>IFERROR(1/(1/
SUM(
N(VLOOKUP(D99&amp;F99,'Budgeted Projections Intl HC'!D:T,2,FALSE)),
N(VLOOKUP(D99&amp;F99,'Budgeted Projections Intl HC'!D:T,3,FALSE))
)
),"")</f>
        <v/>
      </c>
      <c r="I99" s="73" t="str">
        <f>IFERROR(1/(1/COUNTIFS(
'YearA-AppDetails Current Date'!A:A,D99,
'YearA-AppDetails Current Date'!F:F,E99,
'YearA-AppDetails Current Date'!E:E,--F99,
'YearA-AppDetails Current Date'!I:I,"SUMMER")), "")</f>
        <v/>
      </c>
      <c r="J99" s="74" t="str" cm="1">
        <f t="array" ref="J99">IFERROR(1/(1/SUM(COUNTIFS(
'YearA-AppDetails Current Date'!A:A,D99,
'YearA-AppDetails Current Date'!F:F,E99,
'YearA-AppDetails Current Date'!E:E,--F99,
'YearA-AppDetails Current Date'!O:O,{"ACLN","ACPT","COND"},
'YearA-AppDetails Current Date'!S:S,"&lt;&gt;ACLN",
'YearA-AppDetails Current Date'!S:S,"&lt;&gt;ACPT",
'YearA-AppDetails Current Date'!S:S,"&lt;&gt;COND",
'YearA-AppDetails Current Date'!I:I,"SUMMER"))), "")</f>
        <v/>
      </c>
      <c r="K99" s="73" t="str">
        <f>IFERROR(1/(1/SUM(COUNTIFS(
'YearA-AppDetails Current Date'!A:A,D99,
'YearA-AppDetails Current Date'!F:F,E99,
'YearA-AppDetails Current Date'!E:E,--F99,
'YearA-AppDetails Current Date'!R:R,"&lt;&gt;"&amp;"",
'YearA-AppDetails Current Date'!I:I,"SUMMER"))), "")</f>
        <v/>
      </c>
      <c r="L99" s="74" t="str" cm="1">
        <f t="array" ref="L99">IFERROR(1/(1/SUM(COUNTIFS(
'YearA-AppDetails Current Date'!A:A,D99,
'YearA-AppDetails Current Date'!F:F,E99,
'YearA-AppDetails Current Date'!E:E,--F99,
'YearA-AppDetails Current Date'!T:T,{"APEX","DENY","NTSL"},
'YearA-AppDetails Current Date'!I:I,"SUMMER"))), "")</f>
        <v/>
      </c>
      <c r="M99" s="74" t="str" cm="1">
        <f t="array" ref="M99">IFERROR(1/(1/SUM(COUNTIFS(
'YearA-AppDetails Current Date'!A:A,D99,
'YearA-AppDetails Current Date'!F:F,E99,
'YearA-AppDetails Current Date'!E:E,--F99,
'YearA-AppDetails Current Date'!U:U,{"CCAN","DECL"},
'YearA-AppDetails Current Date'!I:I,"SUMMER"))), "")</f>
        <v/>
      </c>
      <c r="N99" s="74" t="str" cm="1">
        <f t="array" ref="N99">IFERROR(1/(1/SUM(COUNTIFS(
'YearA-AppDetails Current Date'!A:A,D99,
'YearA-AppDetails Current Date'!F:F,E99,
'YearA-AppDetails Current Date'!E:E,--F99,
'YearA-AppDetails Current Date'!V:V,{"APRO","NODE"},
'YearA-AppDetails Current Date'!I:I,"SUMMER"))), "")</f>
        <v/>
      </c>
      <c r="O99" s="74" t="str" cm="1">
        <f t="array" ref="O99">IFERROR(1/(1/SUM(COUNTIFS(
'YearA-AppDetails Current Date'!A:A,D99,
'YearA-AppDetails Current Date'!F:F,E99,
'YearA-AppDetails Current Date'!E:E,--F99,
'YearA-AppDetails Current Date'!T:T,{"CDMT","RQMT","WAIT"},
'YearA-AppDetails Current Date'!I:I,"SUMMER"))), "")</f>
        <v/>
      </c>
      <c r="P99" s="74" t="str">
        <f>IFERROR(1/(1/COUNTIFS(
'YearA-AppDetails Current Date'!A:A,D99,
'YearA-AppDetails Current Date'!F:F,E99,
'YearA-AppDetails Current Date'!E:E,--F99,
'YearA-AppDetails Current Date'!Y:Y,"ENRO",
'YearA-AppDetails Current Date'!I:I,"SUMMER")), "")</f>
        <v/>
      </c>
      <c r="Q99" s="3" t="str">
        <f t="shared" si="9"/>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HC'!D:T,2,FALSE)),
N(VLOOKUP(D100&amp;F100,'Budgeted Projections Dom HC'!D:T,3,FALSE))
)
),"")</f>
        <v/>
      </c>
      <c r="I100" s="73" t="str">
        <f>IFERROR(1/(1/COUNTIFS(
'YearA-AppDetails Current Date'!A:A,D100,
'YearA-AppDetails Current Date'!F:F,E100,
'YearA-AppDetails Current Date'!E:E,--F100,
'YearA-AppDetails Current Date'!I:I,"SUMMER")), "")</f>
        <v/>
      </c>
      <c r="J100" s="74" t="str" cm="1">
        <f t="array" ref="J100">IFERROR(1/(1/SUM(COUNTIFS(
'YearA-AppDetails Current Date'!A:A,D100,
'YearA-AppDetails Current Date'!F:F,E100,
'YearA-AppDetails Current Date'!E:E,--F100,
'YearA-AppDetails Current Date'!O:O,{"ACLN","ACPT","COND"},
'YearA-AppDetails Current Date'!S:S,"&lt;&gt;ACLN",
'YearA-AppDetails Current Date'!S:S,"&lt;&gt;ACPT",
'YearA-AppDetails Current Date'!S:S,"&lt;&gt;COND",
'YearA-AppDetails Current Date'!I:I,"SUMMER"))), "")</f>
        <v/>
      </c>
      <c r="K100" s="73" t="str">
        <f>IFERROR(1/(1/SUM(COUNTIFS(
'YearA-AppDetails Current Date'!A:A,D100,
'YearA-AppDetails Current Date'!F:F,E100,
'YearA-AppDetails Current Date'!E:E,--F100,
'YearA-AppDetails Current Date'!R:R,"&lt;&gt;"&amp;"",
'YearA-AppDetails Current Date'!I:I,"SUMMER"))), "")</f>
        <v/>
      </c>
      <c r="L100" s="74" t="str" cm="1">
        <f t="array" ref="L100">IFERROR(1/(1/SUM(COUNTIFS(
'YearA-AppDetails Current Date'!A:A,D100,
'YearA-AppDetails Current Date'!F:F,E100,
'YearA-AppDetails Current Date'!E:E,--F100,
'YearA-AppDetails Current Date'!T:T,{"APEX","DENY","NTSL"},
'YearA-AppDetails Current Date'!I:I,"SUMMER"))), "")</f>
        <v/>
      </c>
      <c r="M100" s="74" t="str" cm="1">
        <f t="array" ref="M100">IFERROR(1/(1/SUM(COUNTIFS(
'YearA-AppDetails Current Date'!A:A,D100,
'YearA-AppDetails Current Date'!F:F,E100,
'YearA-AppDetails Current Date'!E:E,--F100,
'YearA-AppDetails Current Date'!U:U,{"CCAN","DECL"},
'YearA-AppDetails Current Date'!I:I,"SUMMER"))), "")</f>
        <v/>
      </c>
      <c r="N100" s="74" t="str" cm="1">
        <f t="array" ref="N100">IFERROR(1/(1/SUM(COUNTIFS(
'YearA-AppDetails Current Date'!A:A,D100,
'YearA-AppDetails Current Date'!F:F,E100,
'YearA-AppDetails Current Date'!E:E,--F100,
'YearA-AppDetails Current Date'!V:V,{"APRO","NODE"},
'YearA-AppDetails Current Date'!I:I,"SUMMER"))), "")</f>
        <v/>
      </c>
      <c r="O100" s="74" t="str" cm="1">
        <f t="array" ref="O100">IFERROR(1/(1/SUM(COUNTIFS(
'YearA-AppDetails Current Date'!A:A,D100,
'YearA-AppDetails Current Date'!F:F,E100,
'YearA-AppDetails Current Date'!E:E,--F100,
'YearA-AppDetails Current Date'!T:T,{"CDMT","RQMT","WAIT"},
'YearA-AppDetails Current Date'!I:I,"SUMMER"))), "")</f>
        <v/>
      </c>
      <c r="P100" s="74" t="str">
        <f>IFERROR(1/(1/COUNTIFS(
'YearA-AppDetails Current Date'!A:A,D100,
'YearA-AppDetails Current Date'!F:F,E100,
'YearA-AppDetails Current Date'!E:E,--F100,
'YearA-AppDetails Current Date'!Y:Y,"ENRO",
'YearA-AppDetails Current Date'!I:I,"SUMMER")), "")</f>
        <v/>
      </c>
      <c r="Q100" s="3" t="str">
        <f t="shared" si="9"/>
        <v/>
      </c>
    </row>
    <row r="101" spans="1:17" ht="15.75" customHeight="1" x14ac:dyDescent="0.25">
      <c r="A101" s="119"/>
      <c r="B101" s="122"/>
      <c r="C101" s="145"/>
      <c r="D101" s="23" t="s">
        <v>155</v>
      </c>
      <c r="E101" s="2" t="s">
        <v>43</v>
      </c>
      <c r="F101" s="42">
        <v>1</v>
      </c>
      <c r="G101" s="141"/>
      <c r="H101" s="73" t="str">
        <f>IFERROR(1/(1/
SUM(
N(VLOOKUP(D101&amp;F101,'Budgeted Projections Intl HC'!D:T,2,FALSE)),
N(VLOOKUP(D101&amp;F101,'Budgeted Projections Intl HC'!D:T,3,FALSE))
)
),"")</f>
        <v/>
      </c>
      <c r="I101" s="73" t="str">
        <f>IFERROR(1/(1/COUNTIFS(
'YearA-AppDetails Current Date'!A:A,D101,
'YearA-AppDetails Current Date'!F:F,E101,
'YearA-AppDetails Current Date'!E:E,--F101,
'YearA-AppDetails Current Date'!I:I,"SUMMER")), "")</f>
        <v/>
      </c>
      <c r="J101" s="74" t="str" cm="1">
        <f t="array" ref="J101">IFERROR(1/(1/SUM(COUNTIFS(
'YearA-AppDetails Current Date'!A:A,D101,
'YearA-AppDetails Current Date'!F:F,E101,
'YearA-AppDetails Current Date'!E:E,--F101,
'YearA-AppDetails Current Date'!O:O,{"ACLN","ACPT","COND"},
'YearA-AppDetails Current Date'!S:S,"&lt;&gt;ACLN",
'YearA-AppDetails Current Date'!S:S,"&lt;&gt;ACPT",
'YearA-AppDetails Current Date'!S:S,"&lt;&gt;COND",
'YearA-AppDetails Current Date'!I:I,"SUMMER"))), "")</f>
        <v/>
      </c>
      <c r="K101" s="73" t="str">
        <f>IFERROR(1/(1/SUM(COUNTIFS(
'YearA-AppDetails Current Date'!A:A,D101,
'YearA-AppDetails Current Date'!F:F,E101,
'YearA-AppDetails Current Date'!E:E,--F101,
'YearA-AppDetails Current Date'!R:R,"&lt;&gt;"&amp;"",
'YearA-AppDetails Current Date'!I:I,"SUMMER"))), "")</f>
        <v/>
      </c>
      <c r="L101" s="74" t="str" cm="1">
        <f t="array" ref="L101">IFERROR(1/(1/SUM(COUNTIFS(
'YearA-AppDetails Current Date'!A:A,D101,
'YearA-AppDetails Current Date'!F:F,E101,
'YearA-AppDetails Current Date'!E:E,--F101,
'YearA-AppDetails Current Date'!T:T,{"APEX","DENY","NTSL"},
'YearA-AppDetails Current Date'!I:I,"SUMMER"))), "")</f>
        <v/>
      </c>
      <c r="M101" s="74" t="str" cm="1">
        <f t="array" ref="M101">IFERROR(1/(1/SUM(COUNTIFS(
'YearA-AppDetails Current Date'!A:A,D101,
'YearA-AppDetails Current Date'!F:F,E101,
'YearA-AppDetails Current Date'!E:E,--F101,
'YearA-AppDetails Current Date'!U:U,{"CCAN","DECL"},
'YearA-AppDetails Current Date'!I:I,"SUMMER"))), "")</f>
        <v/>
      </c>
      <c r="N101" s="74" t="str" cm="1">
        <f t="array" ref="N101">IFERROR(1/(1/SUM(COUNTIFS(
'YearA-AppDetails Current Date'!A:A,D101,
'YearA-AppDetails Current Date'!F:F,E101,
'YearA-AppDetails Current Date'!E:E,--F101,
'YearA-AppDetails Current Date'!V:V,{"APRO","NODE"},
'YearA-AppDetails Current Date'!I:I,"SUMMER"))), "")</f>
        <v/>
      </c>
      <c r="O101" s="74" t="str" cm="1">
        <f t="array" ref="O101">IFERROR(1/(1/SUM(COUNTIFS(
'YearA-AppDetails Current Date'!A:A,D101,
'YearA-AppDetails Current Date'!F:F,E101,
'YearA-AppDetails Current Date'!E:E,--F101,
'YearA-AppDetails Current Date'!T:T,{"CDMT","RQMT","WAIT"},
'YearA-AppDetails Current Date'!I:I,"SUMMER"))), "")</f>
        <v/>
      </c>
      <c r="P101" s="74" t="str">
        <f>IFERROR(1/(1/COUNTIFS(
'YearA-AppDetails Current Date'!A:A,D101,
'YearA-AppDetails Current Date'!F:F,E101,
'YearA-AppDetails Current Date'!E:E,--F101,
'YearA-AppDetails Current Date'!Y:Y,"ENRO",
'YearA-AppDetails Current Date'!I:I,"SUMMER")), "")</f>
        <v/>
      </c>
      <c r="Q101" s="3" t="str">
        <f t="shared" si="9"/>
        <v/>
      </c>
    </row>
    <row r="102" spans="1:17" ht="15.75" customHeight="1" x14ac:dyDescent="0.25">
      <c r="A102" s="119"/>
      <c r="B102" s="122"/>
      <c r="C102" s="145"/>
      <c r="D102" s="23" t="s">
        <v>155</v>
      </c>
      <c r="E102" s="2" t="s">
        <v>42</v>
      </c>
      <c r="F102" s="42">
        <v>2</v>
      </c>
      <c r="G102" s="148" t="s">
        <v>48</v>
      </c>
      <c r="H102" s="73" t="str">
        <f>IFERROR(1/(1/
SUM(
N(VLOOKUP(D102&amp;F102,'Budgeted Projections Dom HC'!D:T,2,FALSE)),
N(VLOOKUP(D102&amp;F102,'Budgeted Projections Dom HC'!D:T,3,FALSE))
)
),"")</f>
        <v/>
      </c>
      <c r="I102" s="73" t="str">
        <f>IFERROR(1/(1/COUNTIFS(
'YearA-AppDetails Current Date'!A:A,D102,
'YearA-AppDetails Current Date'!F:F,E102,
'YearA-AppDetails Current Date'!E:E,--F102,
'YearA-AppDetails Current Date'!I:I,"SUMMER")), "")</f>
        <v/>
      </c>
      <c r="J102" s="74" t="str" cm="1">
        <f t="array" ref="J102">IFERROR(1/(1/SUM(COUNTIFS(
'YearA-AppDetails Current Date'!A:A,D102,
'YearA-AppDetails Current Date'!F:F,E102,
'YearA-AppDetails Current Date'!E:E,--F102,
'YearA-AppDetails Current Date'!O:O,{"ACLN","ACPT","COND"},
'YearA-AppDetails Current Date'!S:S,"&lt;&gt;ACLN",
'YearA-AppDetails Current Date'!S:S,"&lt;&gt;ACPT",
'YearA-AppDetails Current Date'!S:S,"&lt;&gt;COND",
'YearA-AppDetails Current Date'!I:I,"SUMMER"))), "")</f>
        <v/>
      </c>
      <c r="K102" s="73" t="str">
        <f>IFERROR(1/(1/SUM(COUNTIFS(
'YearA-AppDetails Current Date'!A:A,D102,
'YearA-AppDetails Current Date'!F:F,E102,
'YearA-AppDetails Current Date'!E:E,--F102,
'YearA-AppDetails Current Date'!R:R,"&lt;&gt;"&amp;"",
'YearA-AppDetails Current Date'!I:I,"SUMMER"))), "")</f>
        <v/>
      </c>
      <c r="L102" s="74" t="str" cm="1">
        <f t="array" ref="L102">IFERROR(1/(1/SUM(COUNTIFS(
'YearA-AppDetails Current Date'!A:A,D102,
'YearA-AppDetails Current Date'!F:F,E102,
'YearA-AppDetails Current Date'!E:E,--F102,
'YearA-AppDetails Current Date'!T:T,{"APEX","DENY","NTSL"},
'YearA-AppDetails Current Date'!I:I,"SUMMER"))), "")</f>
        <v/>
      </c>
      <c r="M102" s="74" t="str" cm="1">
        <f t="array" ref="M102">IFERROR(1/(1/SUM(COUNTIFS(
'YearA-AppDetails Current Date'!A:A,D102,
'YearA-AppDetails Current Date'!F:F,E102,
'YearA-AppDetails Current Date'!E:E,--F102,
'YearA-AppDetails Current Date'!U:U,{"CCAN","DECL"},
'YearA-AppDetails Current Date'!I:I,"SUMMER"))), "")</f>
        <v/>
      </c>
      <c r="N102" s="74" t="str" cm="1">
        <f t="array" ref="N102">IFERROR(1/(1/SUM(COUNTIFS(
'YearA-AppDetails Current Date'!A:A,D102,
'YearA-AppDetails Current Date'!F:F,E102,
'YearA-AppDetails Current Date'!E:E,--F102,
'YearA-AppDetails Current Date'!V:V,{"APRO","NODE"},
'YearA-AppDetails Current Date'!I:I,"SUMMER"))), "")</f>
        <v/>
      </c>
      <c r="O102" s="74" t="str" cm="1">
        <f t="array" ref="O102">IFERROR(1/(1/SUM(COUNTIFS(
'YearA-AppDetails Current Date'!A:A,D102,
'YearA-AppDetails Current Date'!F:F,E102,
'YearA-AppDetails Current Date'!E:E,--F102,
'YearA-AppDetails Current Date'!T:T,{"CDMT","RQMT","WAIT"},
'YearA-AppDetails Current Date'!I:I,"SUMMER"))), "")</f>
        <v/>
      </c>
      <c r="P102" s="74" t="str">
        <f>IFERROR(1/(1/COUNTIFS(
'YearA-AppDetails Current Date'!A:A,D102,
'YearA-AppDetails Current Date'!F:F,E102,
'YearA-AppDetails Current Date'!E:E,--F102,
'YearA-AppDetails Current Date'!Y:Y,"ENRO",
'YearA-AppDetails Current Date'!I:I,"SUMMER")), "")</f>
        <v/>
      </c>
      <c r="Q102" s="3" t="str">
        <f t="shared" si="9"/>
        <v/>
      </c>
    </row>
    <row r="103" spans="1:17" ht="15.75" customHeight="1" x14ac:dyDescent="0.25">
      <c r="A103" s="119"/>
      <c r="B103" s="122"/>
      <c r="C103" s="133"/>
      <c r="D103" s="23" t="s">
        <v>155</v>
      </c>
      <c r="E103" s="2" t="s">
        <v>43</v>
      </c>
      <c r="F103" s="42">
        <v>2</v>
      </c>
      <c r="G103" s="141"/>
      <c r="H103" s="73" t="str">
        <f>IFERROR(1/(1/
SUM(
N(VLOOKUP(D103&amp;F103,'Budgeted Projections Intl HC'!D:T,2,FALSE)),
N(VLOOKUP(D103&amp;F103,'Budgeted Projections Intl HC'!D:T,3,FALSE))
)
),"")</f>
        <v/>
      </c>
      <c r="I103" s="73" t="str">
        <f>IFERROR(1/(1/COUNTIFS(
'YearA-AppDetails Current Date'!A:A,D103,
'YearA-AppDetails Current Date'!F:F,E103,
'YearA-AppDetails Current Date'!E:E,--F103,
'YearA-AppDetails Current Date'!I:I,"SUMMER")), "")</f>
        <v/>
      </c>
      <c r="J103" s="74" t="str" cm="1">
        <f t="array" ref="J103">IFERROR(1/(1/SUM(COUNTIFS(
'YearA-AppDetails Current Date'!A:A,D103,
'YearA-AppDetails Current Date'!F:F,E103,
'YearA-AppDetails Current Date'!E:E,--F103,
'YearA-AppDetails Current Date'!O:O,{"ACLN","ACPT","COND"},
'YearA-AppDetails Current Date'!S:S,"&lt;&gt;ACLN",
'YearA-AppDetails Current Date'!S:S,"&lt;&gt;ACPT",
'YearA-AppDetails Current Date'!S:S,"&lt;&gt;COND",
'YearA-AppDetails Current Date'!I:I,"SUMMER"))), "")</f>
        <v/>
      </c>
      <c r="K103" s="73" t="str">
        <f>IFERROR(1/(1/SUM(COUNTIFS(
'YearA-AppDetails Current Date'!A:A,D103,
'YearA-AppDetails Current Date'!F:F,E103,
'YearA-AppDetails Current Date'!E:E,--F103,
'YearA-AppDetails Current Date'!R:R,"&lt;&gt;"&amp;"",
'YearA-AppDetails Current Date'!I:I,"SUMMER"))), "")</f>
        <v/>
      </c>
      <c r="L103" s="74" t="str" cm="1">
        <f t="array" ref="L103">IFERROR(1/(1/SUM(COUNTIFS(
'YearA-AppDetails Current Date'!A:A,D103,
'YearA-AppDetails Current Date'!F:F,E103,
'YearA-AppDetails Current Date'!E:E,--F103,
'YearA-AppDetails Current Date'!T:T,{"APEX","DENY","NTSL"},
'YearA-AppDetails Current Date'!I:I,"SUMMER"))), "")</f>
        <v/>
      </c>
      <c r="M103" s="74" t="str" cm="1">
        <f t="array" ref="M103">IFERROR(1/(1/SUM(COUNTIFS(
'YearA-AppDetails Current Date'!A:A,D103,
'YearA-AppDetails Current Date'!F:F,E103,
'YearA-AppDetails Current Date'!E:E,--F103,
'YearA-AppDetails Current Date'!U:U,{"CCAN","DECL"},
'YearA-AppDetails Current Date'!I:I,"SUMMER"))), "")</f>
        <v/>
      </c>
      <c r="N103" s="74" t="str" cm="1">
        <f t="array" ref="N103">IFERROR(1/(1/SUM(COUNTIFS(
'YearA-AppDetails Current Date'!A:A,D103,
'YearA-AppDetails Current Date'!F:F,E103,
'YearA-AppDetails Current Date'!E:E,--F103,
'YearA-AppDetails Current Date'!V:V,{"APRO","NODE"},
'YearA-AppDetails Current Date'!I:I,"SUMMER"))), "")</f>
        <v/>
      </c>
      <c r="O103" s="74" t="str" cm="1">
        <f t="array" ref="O103">IFERROR(1/(1/SUM(COUNTIFS(
'YearA-AppDetails Current Date'!A:A,D103,
'YearA-AppDetails Current Date'!F:F,E103,
'YearA-AppDetails Current Date'!E:E,--F103,
'YearA-AppDetails Current Date'!T:T,{"CDMT","RQMT","WAIT"},
'YearA-AppDetails Current Date'!I:I,"SUMMER"))), "")</f>
        <v/>
      </c>
      <c r="P103" s="74" t="str">
        <f>IFERROR(1/(1/COUNTIFS(
'YearA-AppDetails Current Date'!A:A,D103,
'YearA-AppDetails Current Date'!F:F,E103,
'YearA-AppDetails Current Date'!E:E,--F103,
'YearA-AppDetails Current Date'!Y:Y,"ENRO",
'YearA-AppDetails Current Date'!I:I,"SUMMER")), "")</f>
        <v/>
      </c>
      <c r="Q103" s="3" t="str">
        <f t="shared" si="9"/>
        <v/>
      </c>
    </row>
    <row r="104" spans="1:17" ht="15.75" customHeight="1" x14ac:dyDescent="0.25">
      <c r="A104" s="119"/>
      <c r="B104" s="122"/>
      <c r="C104" s="132" t="s">
        <v>80</v>
      </c>
      <c r="D104" s="23" t="s">
        <v>81</v>
      </c>
      <c r="E104" s="2" t="s">
        <v>42</v>
      </c>
      <c r="F104" s="42">
        <v>1</v>
      </c>
      <c r="G104" s="139" t="s">
        <v>48</v>
      </c>
      <c r="H104" s="73" t="str">
        <f>IFERROR(1/(1/
SUM(
N(VLOOKUP(D104&amp;F104,'Budgeted Projections Dom HC'!D:T,2,FALSE)),
N(VLOOKUP(D104&amp;F104,'Budgeted Projections Dom HC'!D:T,3,FALSE))
)
),"")</f>
        <v/>
      </c>
      <c r="I104" s="73" t="str">
        <f>IFERROR(1/(1/COUNTIFS(
'YearA-AppDetails Current Date'!A:A,D104,
'YearA-AppDetails Current Date'!F:F,E104,
'YearA-AppDetails Current Date'!E:E,--F104,
'YearA-AppDetails Current Date'!I:I,"SUMMER")), "")</f>
        <v/>
      </c>
      <c r="J104" s="74" t="str" cm="1">
        <f t="array" ref="J104">IFERROR(1/(1/SUM(COUNTIFS(
'YearA-AppDetails Current Date'!A:A,D104,
'YearA-AppDetails Current Date'!F:F,E104,
'YearA-AppDetails Current Date'!E:E,--F104,
'YearA-AppDetails Current Date'!O:O,{"ACLN","ACPT","COND"},
'YearA-AppDetails Current Date'!S:S,"&lt;&gt;ACLN",
'YearA-AppDetails Current Date'!S:S,"&lt;&gt;ACPT",
'YearA-AppDetails Current Date'!S:S,"&lt;&gt;COND",
'YearA-AppDetails Current Date'!I:I,"SUMMER"))), "")</f>
        <v/>
      </c>
      <c r="K104" s="73" t="str">
        <f>IFERROR(1/(1/SUM(COUNTIFS(
'YearA-AppDetails Current Date'!A:A,D104,
'YearA-AppDetails Current Date'!F:F,E104,
'YearA-AppDetails Current Date'!E:E,--F104,
'YearA-AppDetails Current Date'!R:R,"&lt;&gt;"&amp;"",
'YearA-AppDetails Current Date'!I:I,"SUMMER"))), "")</f>
        <v/>
      </c>
      <c r="L104" s="74" t="str" cm="1">
        <f t="array" ref="L104">IFERROR(1/(1/SUM(COUNTIFS(
'YearA-AppDetails Current Date'!A:A,D104,
'YearA-AppDetails Current Date'!F:F,E104,
'YearA-AppDetails Current Date'!E:E,--F104,
'YearA-AppDetails Current Date'!T:T,{"APEX","DENY","NTSL"},
'YearA-AppDetails Current Date'!I:I,"SUMMER"))), "")</f>
        <v/>
      </c>
      <c r="M104" s="74" t="str" cm="1">
        <f t="array" ref="M104">IFERROR(1/(1/SUM(COUNTIFS(
'YearA-AppDetails Current Date'!A:A,D104,
'YearA-AppDetails Current Date'!F:F,E104,
'YearA-AppDetails Current Date'!E:E,--F104,
'YearA-AppDetails Current Date'!U:U,{"CCAN","DECL"},
'YearA-AppDetails Current Date'!I:I,"SUMMER"))), "")</f>
        <v/>
      </c>
      <c r="N104" s="74" t="str" cm="1">
        <f t="array" ref="N104">IFERROR(1/(1/SUM(COUNTIFS(
'YearA-AppDetails Current Date'!A:A,D104,
'YearA-AppDetails Current Date'!F:F,E104,
'YearA-AppDetails Current Date'!E:E,--F104,
'YearA-AppDetails Current Date'!V:V,{"APRO","NODE"},
'YearA-AppDetails Current Date'!I:I,"SUMMER"))), "")</f>
        <v/>
      </c>
      <c r="O104" s="74" t="str" cm="1">
        <f t="array" ref="O104">IFERROR(1/(1/SUM(COUNTIFS(
'YearA-AppDetails Current Date'!A:A,D104,
'YearA-AppDetails Current Date'!F:F,E104,
'YearA-AppDetails Current Date'!E:E,--F104,
'YearA-AppDetails Current Date'!T:T,{"CDMT","RQMT","WAIT"},
'YearA-AppDetails Current Date'!I:I,"SUMMER"))), "")</f>
        <v/>
      </c>
      <c r="P104" s="74" t="str">
        <f>IFERROR(1/(1/COUNTIFS(
'YearA-AppDetails Current Date'!A:A,D104,
'YearA-AppDetails Current Date'!F:F,E104,
'YearA-AppDetails Current Date'!E:E,--F104,
'YearA-AppDetails Current Date'!Y:Y,"ENRO",
'YearA-AppDetails Current Date'!I:I,"SUMMER")), "")</f>
        <v/>
      </c>
      <c r="Q104" s="3" t="str">
        <f t="shared" si="9"/>
        <v/>
      </c>
    </row>
    <row r="105" spans="1:17" ht="15.75" customHeight="1" x14ac:dyDescent="0.25">
      <c r="A105" s="119"/>
      <c r="B105" s="122"/>
      <c r="C105" s="145"/>
      <c r="D105" s="23" t="s">
        <v>81</v>
      </c>
      <c r="E105" s="2" t="s">
        <v>43</v>
      </c>
      <c r="F105" s="31">
        <v>1</v>
      </c>
      <c r="G105" s="140"/>
      <c r="H105" s="73" t="str">
        <f>IFERROR(1/(1/
SUM(
N(VLOOKUP(D105&amp;F105,'Budgeted Projections Intl HC'!D:T,2,FALSE)),
N(VLOOKUP(D105&amp;F105,'Budgeted Projections Intl HC'!D:T,3,FALSE))
)
),"")</f>
        <v/>
      </c>
      <c r="I105" s="73" t="str">
        <f>IFERROR(1/(1/COUNTIFS(
'YearA-AppDetails Current Date'!A:A,D105,
'YearA-AppDetails Current Date'!F:F,E105,
'YearA-AppDetails Current Date'!E:E,--F105,
'YearA-AppDetails Current Date'!I:I,"SUMMER")), "")</f>
        <v/>
      </c>
      <c r="J105" s="74" t="str" cm="1">
        <f t="array" ref="J105">IFERROR(1/(1/SUM(COUNTIFS(
'YearA-AppDetails Current Date'!A:A,D105,
'YearA-AppDetails Current Date'!F:F,E105,
'YearA-AppDetails Current Date'!E:E,--F105,
'YearA-AppDetails Current Date'!O:O,{"ACLN","ACPT","COND"},
'YearA-AppDetails Current Date'!S:S,"&lt;&gt;ACLN",
'YearA-AppDetails Current Date'!S:S,"&lt;&gt;ACPT",
'YearA-AppDetails Current Date'!S:S,"&lt;&gt;COND",
'YearA-AppDetails Current Date'!I:I,"SUMMER"))), "")</f>
        <v/>
      </c>
      <c r="K105" s="73" t="str">
        <f>IFERROR(1/(1/SUM(COUNTIFS(
'YearA-AppDetails Current Date'!A:A,D105,
'YearA-AppDetails Current Date'!F:F,E105,
'YearA-AppDetails Current Date'!E:E,--F105,
'YearA-AppDetails Current Date'!R:R,"&lt;&gt;"&amp;"",
'YearA-AppDetails Current Date'!I:I,"SUMMER"))), "")</f>
        <v/>
      </c>
      <c r="L105" s="74" t="str" cm="1">
        <f t="array" ref="L105">IFERROR(1/(1/SUM(COUNTIFS(
'YearA-AppDetails Current Date'!A:A,D105,
'YearA-AppDetails Current Date'!F:F,E105,
'YearA-AppDetails Current Date'!E:E,--F105,
'YearA-AppDetails Current Date'!T:T,{"APEX","DENY","NTSL"},
'YearA-AppDetails Current Date'!I:I,"SUMMER"))), "")</f>
        <v/>
      </c>
      <c r="M105" s="74" t="str" cm="1">
        <f t="array" ref="M105">IFERROR(1/(1/SUM(COUNTIFS(
'YearA-AppDetails Current Date'!A:A,D105,
'YearA-AppDetails Current Date'!F:F,E105,
'YearA-AppDetails Current Date'!E:E,--F105,
'YearA-AppDetails Current Date'!U:U,{"CCAN","DECL"},
'YearA-AppDetails Current Date'!I:I,"SUMMER"))), "")</f>
        <v/>
      </c>
      <c r="N105" s="74" t="str" cm="1">
        <f t="array" ref="N105">IFERROR(1/(1/SUM(COUNTIFS(
'YearA-AppDetails Current Date'!A:A,D105,
'YearA-AppDetails Current Date'!F:F,E105,
'YearA-AppDetails Current Date'!E:E,--F105,
'YearA-AppDetails Current Date'!V:V,{"APRO","NODE"},
'YearA-AppDetails Current Date'!I:I,"SUMMER"))), "")</f>
        <v/>
      </c>
      <c r="O105" s="74" t="str" cm="1">
        <f t="array" ref="O105">IFERROR(1/(1/SUM(COUNTIFS(
'YearA-AppDetails Current Date'!A:A,D105,
'YearA-AppDetails Current Date'!F:F,E105,
'YearA-AppDetails Current Date'!E:E,--F105,
'YearA-AppDetails Current Date'!T:T,{"CDMT","RQMT","WAIT"},
'YearA-AppDetails Current Date'!I:I,"SUMMER"))), "")</f>
        <v/>
      </c>
      <c r="P105" s="74" t="str">
        <f>IFERROR(1/(1/COUNTIFS(
'YearA-AppDetails Current Date'!A:A,D105,
'YearA-AppDetails Current Date'!F:F,E105,
'YearA-AppDetails Current Date'!E:E,--F105,
'YearA-AppDetails Current Date'!Y:Y,"ENRO",
'YearA-AppDetails Current Date'!I:I,"SUMMER")), "")</f>
        <v/>
      </c>
      <c r="Q105" s="3" t="str">
        <f t="shared" si="9"/>
        <v/>
      </c>
    </row>
    <row r="106" spans="1:17" ht="15.75" customHeight="1" x14ac:dyDescent="0.25">
      <c r="A106" s="119"/>
      <c r="B106" s="122"/>
      <c r="C106" s="145"/>
      <c r="D106" s="23" t="s">
        <v>81</v>
      </c>
      <c r="E106" s="2" t="s">
        <v>42</v>
      </c>
      <c r="F106" s="42">
        <v>2</v>
      </c>
      <c r="G106" s="139" t="s">
        <v>48</v>
      </c>
      <c r="H106" s="73" t="str">
        <f>IFERROR(1/(1/
SUM(
N(VLOOKUP(D106&amp;F106,'Budgeted Projections Dom HC'!D:T,2,FALSE)),
N(VLOOKUP(D106&amp;F106,'Budgeted Projections Dom HC'!D:T,3,FALSE))
)
),"")</f>
        <v/>
      </c>
      <c r="I106" s="73" t="str">
        <f>IFERROR(1/(1/COUNTIFS(
'YearA-AppDetails Current Date'!A:A,D106,
'YearA-AppDetails Current Date'!F:F,E106,
'YearA-AppDetails Current Date'!E:E,--F106,
'YearA-AppDetails Current Date'!I:I,"SUMMER")), "")</f>
        <v/>
      </c>
      <c r="J106" s="74" t="str" cm="1">
        <f t="array" ref="J106">IFERROR(1/(1/SUM(COUNTIFS(
'YearA-AppDetails Current Date'!A:A,D106,
'YearA-AppDetails Current Date'!F:F,E106,
'YearA-AppDetails Current Date'!E:E,--F106,
'YearA-AppDetails Current Date'!O:O,{"ACLN","ACPT","COND"},
'YearA-AppDetails Current Date'!S:S,"&lt;&gt;ACLN",
'YearA-AppDetails Current Date'!S:S,"&lt;&gt;ACPT",
'YearA-AppDetails Current Date'!S:S,"&lt;&gt;COND",
'YearA-AppDetails Current Date'!I:I,"SUMMER"))), "")</f>
        <v/>
      </c>
      <c r="K106" s="73" t="str">
        <f>IFERROR(1/(1/SUM(COUNTIFS(
'YearA-AppDetails Current Date'!A:A,D106,
'YearA-AppDetails Current Date'!F:F,E106,
'YearA-AppDetails Current Date'!E:E,--F106,
'YearA-AppDetails Current Date'!R:R,"&lt;&gt;"&amp;"",
'YearA-AppDetails Current Date'!I:I,"SUMMER"))), "")</f>
        <v/>
      </c>
      <c r="L106" s="74" t="str" cm="1">
        <f t="array" ref="L106">IFERROR(1/(1/SUM(COUNTIFS(
'YearA-AppDetails Current Date'!A:A,D106,
'YearA-AppDetails Current Date'!F:F,E106,
'YearA-AppDetails Current Date'!E:E,--F106,
'YearA-AppDetails Current Date'!T:T,{"APEX","DENY","NTSL"},
'YearA-AppDetails Current Date'!I:I,"SUMMER"))), "")</f>
        <v/>
      </c>
      <c r="M106" s="74" t="str" cm="1">
        <f t="array" ref="M106">IFERROR(1/(1/SUM(COUNTIFS(
'YearA-AppDetails Current Date'!A:A,D106,
'YearA-AppDetails Current Date'!F:F,E106,
'YearA-AppDetails Current Date'!E:E,--F106,
'YearA-AppDetails Current Date'!U:U,{"CCAN","DECL"},
'YearA-AppDetails Current Date'!I:I,"SUMMER"))), "")</f>
        <v/>
      </c>
      <c r="N106" s="74" t="str" cm="1">
        <f t="array" ref="N106">IFERROR(1/(1/SUM(COUNTIFS(
'YearA-AppDetails Current Date'!A:A,D106,
'YearA-AppDetails Current Date'!F:F,E106,
'YearA-AppDetails Current Date'!E:E,--F106,
'YearA-AppDetails Current Date'!V:V,{"APRO","NODE"},
'YearA-AppDetails Current Date'!I:I,"SUMMER"))), "")</f>
        <v/>
      </c>
      <c r="O106" s="74" t="str" cm="1">
        <f t="array" ref="O106">IFERROR(1/(1/SUM(COUNTIFS(
'YearA-AppDetails Current Date'!A:A,D106,
'YearA-AppDetails Current Date'!F:F,E106,
'YearA-AppDetails Current Date'!E:E,--F106,
'YearA-AppDetails Current Date'!T:T,{"CDMT","RQMT","WAIT"},
'YearA-AppDetails Current Date'!I:I,"SUMMER"))), "")</f>
        <v/>
      </c>
      <c r="P106" s="74" t="str">
        <f>IFERROR(1/(1/COUNTIFS(
'YearA-AppDetails Current Date'!A:A,D106,
'YearA-AppDetails Current Date'!F:F,E106,
'YearA-AppDetails Current Date'!E:E,--F106,
'YearA-AppDetails Current Date'!Y:Y,"ENRO",
'YearA-AppDetails Current Date'!I:I,"SUMMER")), "")</f>
        <v/>
      </c>
      <c r="Q106" s="3" t="str">
        <f t="shared" si="9"/>
        <v/>
      </c>
    </row>
    <row r="107" spans="1:17" ht="15.75" customHeight="1" x14ac:dyDescent="0.25">
      <c r="A107" s="119"/>
      <c r="B107" s="122"/>
      <c r="C107" s="133"/>
      <c r="D107" s="23" t="s">
        <v>81</v>
      </c>
      <c r="E107" s="2" t="s">
        <v>43</v>
      </c>
      <c r="F107" s="31">
        <v>2</v>
      </c>
      <c r="G107" s="140"/>
      <c r="H107" s="73" t="str">
        <f>IFERROR(1/(1/
SUM(
N(VLOOKUP(D107&amp;F107,'Budgeted Projections Intl HC'!D:T,2,FALSE)),
N(VLOOKUP(D107&amp;F107,'Budgeted Projections Intl HC'!D:T,3,FALSE))
)
),"")</f>
        <v/>
      </c>
      <c r="I107" s="73" t="str">
        <f>IFERROR(1/(1/COUNTIFS(
'YearA-AppDetails Current Date'!A:A,D107,
'YearA-AppDetails Current Date'!F:F,E107,
'YearA-AppDetails Current Date'!E:E,--F107,
'YearA-AppDetails Current Date'!I:I,"SUMMER")), "")</f>
        <v/>
      </c>
      <c r="J107" s="74" t="str" cm="1">
        <f t="array" ref="J107">IFERROR(1/(1/SUM(COUNTIFS(
'YearA-AppDetails Current Date'!A:A,D107,
'YearA-AppDetails Current Date'!F:F,E107,
'YearA-AppDetails Current Date'!E:E,--F107,
'YearA-AppDetails Current Date'!O:O,{"ACLN","ACPT","COND"},
'YearA-AppDetails Current Date'!S:S,"&lt;&gt;ACLN",
'YearA-AppDetails Current Date'!S:S,"&lt;&gt;ACPT",
'YearA-AppDetails Current Date'!S:S,"&lt;&gt;COND",
'YearA-AppDetails Current Date'!I:I,"SUMMER"))), "")</f>
        <v/>
      </c>
      <c r="K107" s="73" t="str">
        <f>IFERROR(1/(1/SUM(COUNTIFS(
'YearA-AppDetails Current Date'!A:A,D107,
'YearA-AppDetails Current Date'!F:F,E107,
'YearA-AppDetails Current Date'!E:E,--F107,
'YearA-AppDetails Current Date'!R:R,"&lt;&gt;"&amp;"",
'YearA-AppDetails Current Date'!I:I,"SUMMER"))), "")</f>
        <v/>
      </c>
      <c r="L107" s="74" t="str" cm="1">
        <f t="array" ref="L107">IFERROR(1/(1/SUM(COUNTIFS(
'YearA-AppDetails Current Date'!A:A,D107,
'YearA-AppDetails Current Date'!F:F,E107,
'YearA-AppDetails Current Date'!E:E,--F107,
'YearA-AppDetails Current Date'!T:T,{"APEX","DENY","NTSL"},
'YearA-AppDetails Current Date'!I:I,"SUMMER"))), "")</f>
        <v/>
      </c>
      <c r="M107" s="74" t="str" cm="1">
        <f t="array" ref="M107">IFERROR(1/(1/SUM(COUNTIFS(
'YearA-AppDetails Current Date'!A:A,D107,
'YearA-AppDetails Current Date'!F:F,E107,
'YearA-AppDetails Current Date'!E:E,--F107,
'YearA-AppDetails Current Date'!U:U,{"CCAN","DECL"},
'YearA-AppDetails Current Date'!I:I,"SUMMER"))), "")</f>
        <v/>
      </c>
      <c r="N107" s="74" t="str" cm="1">
        <f t="array" ref="N107">IFERROR(1/(1/SUM(COUNTIFS(
'YearA-AppDetails Current Date'!A:A,D107,
'YearA-AppDetails Current Date'!F:F,E107,
'YearA-AppDetails Current Date'!E:E,--F107,
'YearA-AppDetails Current Date'!V:V,{"APRO","NODE"},
'YearA-AppDetails Current Date'!I:I,"SUMMER"))), "")</f>
        <v/>
      </c>
      <c r="O107" s="74" t="str" cm="1">
        <f t="array" ref="O107">IFERROR(1/(1/SUM(COUNTIFS(
'YearA-AppDetails Current Date'!A:A,D107,
'YearA-AppDetails Current Date'!F:F,E107,
'YearA-AppDetails Current Date'!E:E,--F107,
'YearA-AppDetails Current Date'!T:T,{"CDMT","RQMT","WAIT"},
'YearA-AppDetails Current Date'!I:I,"SUMMER"))), "")</f>
        <v/>
      </c>
      <c r="P107" s="74" t="str">
        <f>IFERROR(1/(1/COUNTIFS(
'YearA-AppDetails Current Date'!A:A,D107,
'YearA-AppDetails Current Date'!F:F,E107,
'YearA-AppDetails Current Date'!E:E,--F107,
'YearA-AppDetails Current Date'!Y:Y,"ENRO",
'YearA-AppDetails Current Date'!I:I,"SUMMER")), "")</f>
        <v/>
      </c>
      <c r="Q107" s="3" t="str">
        <f t="shared" si="9"/>
        <v/>
      </c>
    </row>
    <row r="108" spans="1:17" ht="15.75" customHeight="1" x14ac:dyDescent="0.25">
      <c r="A108" s="119"/>
      <c r="B108" s="122"/>
      <c r="C108" s="132" t="s">
        <v>82</v>
      </c>
      <c r="D108" s="23" t="s">
        <v>83</v>
      </c>
      <c r="E108" s="2" t="s">
        <v>42</v>
      </c>
      <c r="F108" s="42">
        <v>1</v>
      </c>
      <c r="G108" s="139" t="s">
        <v>48</v>
      </c>
      <c r="H108" s="73" t="str">
        <f>IFERROR(1/(1/
SUM(
N(VLOOKUP(D108&amp;F108,'Budgeted Projections Dom HC'!D:T,2,FALSE)),
N(VLOOKUP(D108&amp;F108,'Budgeted Projections Dom HC'!D:T,3,FALSE))
)
),"")</f>
        <v/>
      </c>
      <c r="I108" s="73" t="str">
        <f>IFERROR(1/(1/COUNTIFS(
'YearA-AppDetails Current Date'!A:A,D108,
'YearA-AppDetails Current Date'!F:F,E108,
'YearA-AppDetails Current Date'!E:E,--F108,
'YearA-AppDetails Current Date'!I:I,"SUMMER")), "")</f>
        <v/>
      </c>
      <c r="J108" s="74" t="str" cm="1">
        <f t="array" ref="J108">IFERROR(1/(1/SUM(COUNTIFS(
'YearA-AppDetails Current Date'!A:A,D108,
'YearA-AppDetails Current Date'!F:F,E108,
'YearA-AppDetails Current Date'!E:E,--F108,
'YearA-AppDetails Current Date'!O:O,{"ACLN","ACPT","COND"},
'YearA-AppDetails Current Date'!S:S,"&lt;&gt;ACLN",
'YearA-AppDetails Current Date'!S:S,"&lt;&gt;ACPT",
'YearA-AppDetails Current Date'!S:S,"&lt;&gt;COND",
'YearA-AppDetails Current Date'!I:I,"SUMMER"))), "")</f>
        <v/>
      </c>
      <c r="K108" s="73" t="str">
        <f>IFERROR(1/(1/SUM(COUNTIFS(
'YearA-AppDetails Current Date'!A:A,D108,
'YearA-AppDetails Current Date'!F:F,E108,
'YearA-AppDetails Current Date'!E:E,--F108,
'YearA-AppDetails Current Date'!R:R,"&lt;&gt;"&amp;"",
'YearA-AppDetails Current Date'!I:I,"SUMMER"))), "")</f>
        <v/>
      </c>
      <c r="L108" s="74" t="str" cm="1">
        <f t="array" ref="L108">IFERROR(1/(1/SUM(COUNTIFS(
'YearA-AppDetails Current Date'!A:A,D108,
'YearA-AppDetails Current Date'!F:F,E108,
'YearA-AppDetails Current Date'!E:E,--F108,
'YearA-AppDetails Current Date'!T:T,{"APEX","DENY","NTSL"},
'YearA-AppDetails Current Date'!I:I,"SUMMER"))), "")</f>
        <v/>
      </c>
      <c r="M108" s="74" t="str" cm="1">
        <f t="array" ref="M108">IFERROR(1/(1/SUM(COUNTIFS(
'YearA-AppDetails Current Date'!A:A,D108,
'YearA-AppDetails Current Date'!F:F,E108,
'YearA-AppDetails Current Date'!E:E,--F108,
'YearA-AppDetails Current Date'!U:U,{"CCAN","DECL"},
'YearA-AppDetails Current Date'!I:I,"SUMMER"))), "")</f>
        <v/>
      </c>
      <c r="N108" s="74" t="str" cm="1">
        <f t="array" ref="N108">IFERROR(1/(1/SUM(COUNTIFS(
'YearA-AppDetails Current Date'!A:A,D108,
'YearA-AppDetails Current Date'!F:F,E108,
'YearA-AppDetails Current Date'!E:E,--F108,
'YearA-AppDetails Current Date'!V:V,{"APRO","NODE"},
'YearA-AppDetails Current Date'!I:I,"SUMMER"))), "")</f>
        <v/>
      </c>
      <c r="O108" s="74" t="str" cm="1">
        <f t="array" ref="O108">IFERROR(1/(1/SUM(COUNTIFS(
'YearA-AppDetails Current Date'!A:A,D108,
'YearA-AppDetails Current Date'!F:F,E108,
'YearA-AppDetails Current Date'!E:E,--F108,
'YearA-AppDetails Current Date'!T:T,{"CDMT","RQMT","WAIT"},
'YearA-AppDetails Current Date'!I:I,"SUMMER"))), "")</f>
        <v/>
      </c>
      <c r="P108" s="74" t="str">
        <f>IFERROR(1/(1/COUNTIFS(
'YearA-AppDetails Current Date'!A:A,D108,
'YearA-AppDetails Current Date'!F:F,E108,
'YearA-AppDetails Current Date'!E:E,--F108,
'YearA-AppDetails Current Date'!Y:Y,"ENRO",
'YearA-AppDetails Current Date'!I:I,"SUMMER")), "")</f>
        <v/>
      </c>
      <c r="Q108" s="3" t="str">
        <f t="shared" si="9"/>
        <v/>
      </c>
    </row>
    <row r="109" spans="1:17" ht="15.75" customHeight="1" x14ac:dyDescent="0.25">
      <c r="A109" s="119"/>
      <c r="B109" s="122"/>
      <c r="C109" s="145"/>
      <c r="D109" s="23" t="s">
        <v>83</v>
      </c>
      <c r="E109" s="2" t="s">
        <v>43</v>
      </c>
      <c r="F109" s="31">
        <v>1</v>
      </c>
      <c r="G109" s="140"/>
      <c r="H109" s="73" t="str">
        <f>IFERROR(1/(1/
SUM(
N(VLOOKUP(D109&amp;F109,'Budgeted Projections Intl HC'!D:T,2,FALSE)),
N(VLOOKUP(D109&amp;F109,'Budgeted Projections Intl HC'!D:T,3,FALSE))
)
),"")</f>
        <v/>
      </c>
      <c r="I109" s="73" t="str">
        <f>IFERROR(1/(1/COUNTIFS(
'YearA-AppDetails Current Date'!A:A,D109,
'YearA-AppDetails Current Date'!F:F,E109,
'YearA-AppDetails Current Date'!E:E,--F109,
'YearA-AppDetails Current Date'!I:I,"SUMMER")), "")</f>
        <v/>
      </c>
      <c r="J109" s="74" t="str" cm="1">
        <f t="array" ref="J109">IFERROR(1/(1/SUM(COUNTIFS(
'YearA-AppDetails Current Date'!A:A,D109,
'YearA-AppDetails Current Date'!F:F,E109,
'YearA-AppDetails Current Date'!E:E,--F109,
'YearA-AppDetails Current Date'!O:O,{"ACLN","ACPT","COND"},
'YearA-AppDetails Current Date'!S:S,"&lt;&gt;ACLN",
'YearA-AppDetails Current Date'!S:S,"&lt;&gt;ACPT",
'YearA-AppDetails Current Date'!S:S,"&lt;&gt;COND",
'YearA-AppDetails Current Date'!I:I,"SUMMER"))), "")</f>
        <v/>
      </c>
      <c r="K109" s="73" t="str">
        <f>IFERROR(1/(1/SUM(COUNTIFS(
'YearA-AppDetails Current Date'!A:A,D109,
'YearA-AppDetails Current Date'!F:F,E109,
'YearA-AppDetails Current Date'!E:E,--F109,
'YearA-AppDetails Current Date'!R:R,"&lt;&gt;"&amp;"",
'YearA-AppDetails Current Date'!I:I,"SUMMER"))), "")</f>
        <v/>
      </c>
      <c r="L109" s="74" t="str" cm="1">
        <f t="array" ref="L109">IFERROR(1/(1/SUM(COUNTIFS(
'YearA-AppDetails Current Date'!A:A,D109,
'YearA-AppDetails Current Date'!F:F,E109,
'YearA-AppDetails Current Date'!E:E,--F109,
'YearA-AppDetails Current Date'!T:T,{"APEX","DENY","NTSL"},
'YearA-AppDetails Current Date'!I:I,"SUMMER"))), "")</f>
        <v/>
      </c>
      <c r="M109" s="74" t="str" cm="1">
        <f t="array" ref="M109">IFERROR(1/(1/SUM(COUNTIFS(
'YearA-AppDetails Current Date'!A:A,D109,
'YearA-AppDetails Current Date'!F:F,E109,
'YearA-AppDetails Current Date'!E:E,--F109,
'YearA-AppDetails Current Date'!U:U,{"CCAN","DECL"},
'YearA-AppDetails Current Date'!I:I,"SUMMER"))), "")</f>
        <v/>
      </c>
      <c r="N109" s="74" t="str" cm="1">
        <f t="array" ref="N109">IFERROR(1/(1/SUM(COUNTIFS(
'YearA-AppDetails Current Date'!A:A,D109,
'YearA-AppDetails Current Date'!F:F,E109,
'YearA-AppDetails Current Date'!E:E,--F109,
'YearA-AppDetails Current Date'!V:V,{"APRO","NODE"},
'YearA-AppDetails Current Date'!I:I,"SUMMER"))), "")</f>
        <v/>
      </c>
      <c r="O109" s="74" t="str" cm="1">
        <f t="array" ref="O109">IFERROR(1/(1/SUM(COUNTIFS(
'YearA-AppDetails Current Date'!A:A,D109,
'YearA-AppDetails Current Date'!F:F,E109,
'YearA-AppDetails Current Date'!E:E,--F109,
'YearA-AppDetails Current Date'!T:T,{"CDMT","RQMT","WAIT"},
'YearA-AppDetails Current Date'!I:I,"SUMMER"))), "")</f>
        <v/>
      </c>
      <c r="P109" s="74" t="str">
        <f>IFERROR(1/(1/COUNTIFS(
'YearA-AppDetails Current Date'!A:A,D109,
'YearA-AppDetails Current Date'!F:F,E109,
'YearA-AppDetails Current Date'!E:E,--F109,
'YearA-AppDetails Current Date'!Y:Y,"ENRO",
'YearA-AppDetails Current Date'!I:I,"SUMMER")), "")</f>
        <v/>
      </c>
      <c r="Q109" s="3" t="str">
        <f t="shared" si="9"/>
        <v/>
      </c>
    </row>
    <row r="110" spans="1:17" ht="15.75" customHeight="1" x14ac:dyDescent="0.25">
      <c r="A110" s="119"/>
      <c r="B110" s="122"/>
      <c r="C110" s="145"/>
      <c r="D110" s="23" t="s">
        <v>83</v>
      </c>
      <c r="E110" s="2" t="s">
        <v>42</v>
      </c>
      <c r="F110" s="42">
        <v>2</v>
      </c>
      <c r="G110" s="139" t="s">
        <v>48</v>
      </c>
      <c r="H110" s="73" t="str">
        <f>IFERROR(1/(1/
SUM(
N(VLOOKUP(D110&amp;F110,'Budgeted Projections Dom HC'!D:T,2,FALSE)),
N(VLOOKUP(D110&amp;F110,'Budgeted Projections Dom HC'!D:T,3,FALSE))
)
),"")</f>
        <v/>
      </c>
      <c r="I110" s="73" t="str">
        <f>IFERROR(1/(1/COUNTIFS(
'YearA-AppDetails Current Date'!A:A,D110,
'YearA-AppDetails Current Date'!F:F,E110,
'YearA-AppDetails Current Date'!E:E,--F110,
'YearA-AppDetails Current Date'!I:I,"SUMMER")), "")</f>
        <v/>
      </c>
      <c r="J110" s="74" t="str" cm="1">
        <f t="array" ref="J110">IFERROR(1/(1/SUM(COUNTIFS(
'YearA-AppDetails Current Date'!A:A,D110,
'YearA-AppDetails Current Date'!F:F,E110,
'YearA-AppDetails Current Date'!E:E,--F110,
'YearA-AppDetails Current Date'!O:O,{"ACLN","ACPT","COND"},
'YearA-AppDetails Current Date'!S:S,"&lt;&gt;ACLN",
'YearA-AppDetails Current Date'!S:S,"&lt;&gt;ACPT",
'YearA-AppDetails Current Date'!S:S,"&lt;&gt;COND",
'YearA-AppDetails Current Date'!I:I,"SUMMER"))), "")</f>
        <v/>
      </c>
      <c r="K110" s="73" t="str">
        <f>IFERROR(1/(1/SUM(COUNTIFS(
'YearA-AppDetails Current Date'!A:A,D110,
'YearA-AppDetails Current Date'!F:F,E110,
'YearA-AppDetails Current Date'!E:E,--F110,
'YearA-AppDetails Current Date'!R:R,"&lt;&gt;"&amp;"",
'YearA-AppDetails Current Date'!I:I,"SUMMER"))), "")</f>
        <v/>
      </c>
      <c r="L110" s="74" t="str" cm="1">
        <f t="array" ref="L110">IFERROR(1/(1/SUM(COUNTIFS(
'YearA-AppDetails Current Date'!A:A,D110,
'YearA-AppDetails Current Date'!F:F,E110,
'YearA-AppDetails Current Date'!E:E,--F110,
'YearA-AppDetails Current Date'!T:T,{"APEX","DENY","NTSL"},
'YearA-AppDetails Current Date'!I:I,"SUMMER"))), "")</f>
        <v/>
      </c>
      <c r="M110" s="74" t="str" cm="1">
        <f t="array" ref="M110">IFERROR(1/(1/SUM(COUNTIFS(
'YearA-AppDetails Current Date'!A:A,D110,
'YearA-AppDetails Current Date'!F:F,E110,
'YearA-AppDetails Current Date'!E:E,--F110,
'YearA-AppDetails Current Date'!U:U,{"CCAN","DECL"},
'YearA-AppDetails Current Date'!I:I,"SUMMER"))), "")</f>
        <v/>
      </c>
      <c r="N110" s="74" t="str" cm="1">
        <f t="array" ref="N110">IFERROR(1/(1/SUM(COUNTIFS(
'YearA-AppDetails Current Date'!A:A,D110,
'YearA-AppDetails Current Date'!F:F,E110,
'YearA-AppDetails Current Date'!E:E,--F110,
'YearA-AppDetails Current Date'!V:V,{"APRO","NODE"},
'YearA-AppDetails Current Date'!I:I,"SUMMER"))), "")</f>
        <v/>
      </c>
      <c r="O110" s="74" t="str" cm="1">
        <f t="array" ref="O110">IFERROR(1/(1/SUM(COUNTIFS(
'YearA-AppDetails Current Date'!A:A,D110,
'YearA-AppDetails Current Date'!F:F,E110,
'YearA-AppDetails Current Date'!E:E,--F110,
'YearA-AppDetails Current Date'!T:T,{"CDMT","RQMT","WAIT"},
'YearA-AppDetails Current Date'!I:I,"SUMMER"))), "")</f>
        <v/>
      </c>
      <c r="P110" s="74" t="str">
        <f>IFERROR(1/(1/COUNTIFS(
'YearA-AppDetails Current Date'!A:A,D110,
'YearA-AppDetails Current Date'!F:F,E110,
'YearA-AppDetails Current Date'!E:E,--F110,
'YearA-AppDetails Current Date'!Y:Y,"ENRO",
'YearA-AppDetails Current Date'!I:I,"SUMMER")), "")</f>
        <v/>
      </c>
      <c r="Q110" s="3" t="str">
        <f t="shared" si="9"/>
        <v/>
      </c>
    </row>
    <row r="111" spans="1:17" ht="15.75" customHeight="1" x14ac:dyDescent="0.25">
      <c r="A111" s="119"/>
      <c r="B111" s="122"/>
      <c r="C111" s="133"/>
      <c r="D111" s="23" t="s">
        <v>83</v>
      </c>
      <c r="E111" s="2" t="s">
        <v>43</v>
      </c>
      <c r="F111" s="31">
        <v>2</v>
      </c>
      <c r="G111" s="146"/>
      <c r="H111" s="73" t="str">
        <f>IFERROR(1/(1/
SUM(
N(VLOOKUP(D111&amp;F111,'Budgeted Projections Intl HC'!D:T,2,FALSE)),
N(VLOOKUP(D111&amp;F111,'Budgeted Projections Intl HC'!D:T,3,FALSE))
)
),"")</f>
        <v/>
      </c>
      <c r="I111" s="73" t="str">
        <f>IFERROR(1/(1/COUNTIFS(
'YearA-AppDetails Current Date'!A:A,D111,
'YearA-AppDetails Current Date'!F:F,E111,
'YearA-AppDetails Current Date'!E:E,--F111,
'YearA-AppDetails Current Date'!I:I,"SUMMER")), "")</f>
        <v/>
      </c>
      <c r="J111" s="74" t="str" cm="1">
        <f t="array" ref="J111">IFERROR(1/(1/SUM(COUNTIFS(
'YearA-AppDetails Current Date'!A:A,D111,
'YearA-AppDetails Current Date'!F:F,E111,
'YearA-AppDetails Current Date'!E:E,--F111,
'YearA-AppDetails Current Date'!O:O,{"ACLN","ACPT","COND"},
'YearA-AppDetails Current Date'!S:S,"&lt;&gt;ACLN",
'YearA-AppDetails Current Date'!S:S,"&lt;&gt;ACPT",
'YearA-AppDetails Current Date'!S:S,"&lt;&gt;COND",
'YearA-AppDetails Current Date'!I:I,"SUMMER"))), "")</f>
        <v/>
      </c>
      <c r="K111" s="73" t="str">
        <f>IFERROR(1/(1/SUM(COUNTIFS(
'YearA-AppDetails Current Date'!A:A,D111,
'YearA-AppDetails Current Date'!F:F,E111,
'YearA-AppDetails Current Date'!E:E,--F111,
'YearA-AppDetails Current Date'!R:R,"&lt;&gt;"&amp;"",
'YearA-AppDetails Current Date'!I:I,"SUMMER"))), "")</f>
        <v/>
      </c>
      <c r="L111" s="74" t="str" cm="1">
        <f t="array" ref="L111">IFERROR(1/(1/SUM(COUNTIFS(
'YearA-AppDetails Current Date'!A:A,D111,
'YearA-AppDetails Current Date'!F:F,E111,
'YearA-AppDetails Current Date'!E:E,--F111,
'YearA-AppDetails Current Date'!T:T,{"APEX","DENY","NTSL"},
'YearA-AppDetails Current Date'!I:I,"SUMMER"))), "")</f>
        <v/>
      </c>
      <c r="M111" s="74" t="str" cm="1">
        <f t="array" ref="M111">IFERROR(1/(1/SUM(COUNTIFS(
'YearA-AppDetails Current Date'!A:A,D111,
'YearA-AppDetails Current Date'!F:F,E111,
'YearA-AppDetails Current Date'!E:E,--F111,
'YearA-AppDetails Current Date'!U:U,{"CCAN","DECL"},
'YearA-AppDetails Current Date'!I:I,"SUMMER"))), "")</f>
        <v/>
      </c>
      <c r="N111" s="74" t="str" cm="1">
        <f t="array" ref="N111">IFERROR(1/(1/SUM(COUNTIFS(
'YearA-AppDetails Current Date'!A:A,D111,
'YearA-AppDetails Current Date'!F:F,E111,
'YearA-AppDetails Current Date'!E:E,--F111,
'YearA-AppDetails Current Date'!V:V,{"APRO","NODE"},
'YearA-AppDetails Current Date'!I:I,"SUMMER"))), "")</f>
        <v/>
      </c>
      <c r="O111" s="74" t="str" cm="1">
        <f t="array" ref="O111">IFERROR(1/(1/SUM(COUNTIFS(
'YearA-AppDetails Current Date'!A:A,D111,
'YearA-AppDetails Current Date'!F:F,E111,
'YearA-AppDetails Current Date'!E:E,--F111,
'YearA-AppDetails Current Date'!T:T,{"CDMT","RQMT","WAIT"},
'YearA-AppDetails Current Date'!I:I,"SUMMER"))), "")</f>
        <v/>
      </c>
      <c r="P111" s="74" t="str">
        <f>IFERROR(1/(1/COUNTIFS(
'YearA-AppDetails Current Date'!A:A,D111,
'YearA-AppDetails Current Date'!F:F,E111,
'YearA-AppDetails Current Date'!E:E,--F111,
'YearA-AppDetails Current Date'!Y:Y,"ENRO",
'YearA-AppDetails Current Date'!I:I,"SUMMER")), "")</f>
        <v/>
      </c>
      <c r="Q111" s="3" t="str">
        <f t="shared" si="9"/>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HC'!D:T,2,FALSE)),
N(VLOOKUP(D112&amp;F112,'Budgeted Projections Dom HC'!D:T,3,FALSE))
)
),"")</f>
        <v/>
      </c>
      <c r="I112" s="73" t="str">
        <f>IFERROR(1/(1/COUNTIFS(
'YearA-AppDetails Current Date'!A:A,D112,
'YearA-AppDetails Current Date'!F:F,E112,
'YearA-AppDetails Current Date'!E:E,--F112,
'YearA-AppDetails Current Date'!I:I,"SUMMER")), "")</f>
        <v/>
      </c>
      <c r="J112" s="74" t="str" cm="1">
        <f t="array" ref="J112">IFERROR(1/(1/SUM(COUNTIFS(
'YearA-AppDetails Current Date'!A:A,D112,
'YearA-AppDetails Current Date'!F:F,E112,
'YearA-AppDetails Current Date'!E:E,--F112,
'YearA-AppDetails Current Date'!O:O,{"ACLN","ACPT","COND"},
'YearA-AppDetails Current Date'!S:S,"&lt;&gt;ACLN",
'YearA-AppDetails Current Date'!S:S,"&lt;&gt;ACPT",
'YearA-AppDetails Current Date'!S:S,"&lt;&gt;COND",
'YearA-AppDetails Current Date'!I:I,"SUMMER"))), "")</f>
        <v/>
      </c>
      <c r="K112" s="73" t="str">
        <f>IFERROR(1/(1/SUM(COUNTIFS(
'YearA-AppDetails Current Date'!A:A,D112,
'YearA-AppDetails Current Date'!F:F,E112,
'YearA-AppDetails Current Date'!E:E,--F112,
'YearA-AppDetails Current Date'!R:R,"&lt;&gt;"&amp;"",
'YearA-AppDetails Current Date'!I:I,"SUMMER"))), "")</f>
        <v/>
      </c>
      <c r="L112" s="74" t="str" cm="1">
        <f t="array" ref="L112">IFERROR(1/(1/SUM(COUNTIFS(
'YearA-AppDetails Current Date'!A:A,D112,
'YearA-AppDetails Current Date'!F:F,E112,
'YearA-AppDetails Current Date'!E:E,--F112,
'YearA-AppDetails Current Date'!T:T,{"APEX","DENY","NTSL"},
'YearA-AppDetails Current Date'!I:I,"SUMMER"))), "")</f>
        <v/>
      </c>
      <c r="M112" s="74" t="str" cm="1">
        <f t="array" ref="M112">IFERROR(1/(1/SUM(COUNTIFS(
'YearA-AppDetails Current Date'!A:A,D112,
'YearA-AppDetails Current Date'!F:F,E112,
'YearA-AppDetails Current Date'!E:E,--F112,
'YearA-AppDetails Current Date'!U:U,{"CCAN","DECL"},
'YearA-AppDetails Current Date'!I:I,"SUMMER"))), "")</f>
        <v/>
      </c>
      <c r="N112" s="74" t="str" cm="1">
        <f t="array" ref="N112">IFERROR(1/(1/SUM(COUNTIFS(
'YearA-AppDetails Current Date'!A:A,D112,
'YearA-AppDetails Current Date'!F:F,E112,
'YearA-AppDetails Current Date'!E:E,--F112,
'YearA-AppDetails Current Date'!V:V,{"APRO","NODE"},
'YearA-AppDetails Current Date'!I:I,"SUMMER"))), "")</f>
        <v/>
      </c>
      <c r="O112" s="74" t="str" cm="1">
        <f t="array" ref="O112">IFERROR(1/(1/SUM(COUNTIFS(
'YearA-AppDetails Current Date'!A:A,D112,
'YearA-AppDetails Current Date'!F:F,E112,
'YearA-AppDetails Current Date'!E:E,--F112,
'YearA-AppDetails Current Date'!T:T,{"CDMT","RQMT","WAIT"},
'YearA-AppDetails Current Date'!I:I,"SUMMER"))), "")</f>
        <v/>
      </c>
      <c r="P112" s="74" t="str">
        <f>IFERROR(1/(1/COUNTIFS(
'YearA-AppDetails Current Date'!A:A,D112,
'YearA-AppDetails Current Date'!F:F,E112,
'YearA-AppDetails Current Date'!E:E,--F112,
'YearA-AppDetails Current Date'!Y:Y,"ENRO",
'YearA-AppDetails Current Date'!I:I,"SUMMER")), "")</f>
        <v/>
      </c>
      <c r="Q112" s="3" t="str">
        <f t="shared" si="9"/>
        <v/>
      </c>
    </row>
    <row r="113" spans="1:17" ht="15.75" customHeight="1" x14ac:dyDescent="0.25">
      <c r="A113" s="119"/>
      <c r="B113" s="122"/>
      <c r="C113" s="145"/>
      <c r="D113" s="23" t="s">
        <v>136</v>
      </c>
      <c r="E113" s="2" t="s">
        <v>43</v>
      </c>
      <c r="F113" s="42">
        <v>1</v>
      </c>
      <c r="G113" s="140"/>
      <c r="H113" s="73" t="str">
        <f>IFERROR(1/(1/
SUM(
N(VLOOKUP(D113&amp;F113,'Budgeted Projections Intl HC'!D:T,2,FALSE)),
N(VLOOKUP(D113&amp;F113,'Budgeted Projections Intl HC'!D:T,3,FALSE))
)
),"")</f>
        <v/>
      </c>
      <c r="I113" s="73" t="str">
        <f>IFERROR(1/(1/COUNTIFS(
'YearA-AppDetails Current Date'!A:A,D113,
'YearA-AppDetails Current Date'!F:F,E113,
'YearA-AppDetails Current Date'!E:E,--F113,
'YearA-AppDetails Current Date'!I:I,"SUMMER")), "")</f>
        <v/>
      </c>
      <c r="J113" s="74" t="str" cm="1">
        <f t="array" ref="J113">IFERROR(1/(1/SUM(COUNTIFS(
'YearA-AppDetails Current Date'!A:A,D113,
'YearA-AppDetails Current Date'!F:F,E113,
'YearA-AppDetails Current Date'!E:E,--F113,
'YearA-AppDetails Current Date'!O:O,{"ACLN","ACPT","COND"},
'YearA-AppDetails Current Date'!S:S,"&lt;&gt;ACLN",
'YearA-AppDetails Current Date'!S:S,"&lt;&gt;ACPT",
'YearA-AppDetails Current Date'!S:S,"&lt;&gt;COND",
'YearA-AppDetails Current Date'!I:I,"SUMMER"))), "")</f>
        <v/>
      </c>
      <c r="K113" s="73" t="str">
        <f>IFERROR(1/(1/SUM(COUNTIFS(
'YearA-AppDetails Current Date'!A:A,D113,
'YearA-AppDetails Current Date'!F:F,E113,
'YearA-AppDetails Current Date'!E:E,--F113,
'YearA-AppDetails Current Date'!R:R,"&lt;&gt;"&amp;"",
'YearA-AppDetails Current Date'!I:I,"SUMMER"))), "")</f>
        <v/>
      </c>
      <c r="L113" s="74" t="str" cm="1">
        <f t="array" ref="L113">IFERROR(1/(1/SUM(COUNTIFS(
'YearA-AppDetails Current Date'!A:A,D113,
'YearA-AppDetails Current Date'!F:F,E113,
'YearA-AppDetails Current Date'!E:E,--F113,
'YearA-AppDetails Current Date'!T:T,{"APEX","DENY","NTSL"},
'YearA-AppDetails Current Date'!I:I,"SUMMER"))), "")</f>
        <v/>
      </c>
      <c r="M113" s="74" t="str" cm="1">
        <f t="array" ref="M113">IFERROR(1/(1/SUM(COUNTIFS(
'YearA-AppDetails Current Date'!A:A,D113,
'YearA-AppDetails Current Date'!F:F,E113,
'YearA-AppDetails Current Date'!E:E,--F113,
'YearA-AppDetails Current Date'!U:U,{"CCAN","DECL"},
'YearA-AppDetails Current Date'!I:I,"SUMMER"))), "")</f>
        <v/>
      </c>
      <c r="N113" s="74" t="str" cm="1">
        <f t="array" ref="N113">IFERROR(1/(1/SUM(COUNTIFS(
'YearA-AppDetails Current Date'!A:A,D113,
'YearA-AppDetails Current Date'!F:F,E113,
'YearA-AppDetails Current Date'!E:E,--F113,
'YearA-AppDetails Current Date'!V:V,{"APRO","NODE"},
'YearA-AppDetails Current Date'!I:I,"SUMMER"))), "")</f>
        <v/>
      </c>
      <c r="O113" s="74" t="str" cm="1">
        <f t="array" ref="O113">IFERROR(1/(1/SUM(COUNTIFS(
'YearA-AppDetails Current Date'!A:A,D113,
'YearA-AppDetails Current Date'!F:F,E113,
'YearA-AppDetails Current Date'!E:E,--F113,
'YearA-AppDetails Current Date'!T:T,{"CDMT","RQMT","WAIT"},
'YearA-AppDetails Current Date'!I:I,"SUMMER"))), "")</f>
        <v/>
      </c>
      <c r="P113" s="74" t="str">
        <f>IFERROR(1/(1/COUNTIFS(
'YearA-AppDetails Current Date'!A:A,D113,
'YearA-AppDetails Current Date'!F:F,E113,
'YearA-AppDetails Current Date'!E:E,--F113,
'YearA-AppDetails Current Date'!Y:Y,"ENRO",
'YearA-AppDetails Current Date'!I:I,"SUMMER")), "")</f>
        <v/>
      </c>
      <c r="Q113" s="3" t="str">
        <f t="shared" si="9"/>
        <v/>
      </c>
    </row>
    <row r="114" spans="1:17" ht="15.75" customHeight="1" x14ac:dyDescent="0.25">
      <c r="A114" s="119"/>
      <c r="B114" s="122"/>
      <c r="C114" s="145"/>
      <c r="D114" s="23" t="s">
        <v>136</v>
      </c>
      <c r="E114" s="2" t="s">
        <v>42</v>
      </c>
      <c r="F114" s="42">
        <v>2</v>
      </c>
      <c r="G114" s="139" t="s">
        <v>48</v>
      </c>
      <c r="H114" s="73" t="str">
        <f>IFERROR(1/(1/
SUM(
N(VLOOKUP(D114&amp;F114,'Budgeted Projections Dom HC'!D:T,2,FALSE)),
N(VLOOKUP(D114&amp;F114,'Budgeted Projections Dom HC'!D:T,3,FALSE))
)
),"")</f>
        <v/>
      </c>
      <c r="I114" s="73" t="str">
        <f>IFERROR(1/(1/COUNTIFS(
'YearA-AppDetails Current Date'!A:A,D114,
'YearA-AppDetails Current Date'!F:F,E114,
'YearA-AppDetails Current Date'!E:E,--F114,
'YearA-AppDetails Current Date'!I:I,"SUMMER")), "")</f>
        <v/>
      </c>
      <c r="J114" s="74" t="str" cm="1">
        <f t="array" ref="J114">IFERROR(1/(1/SUM(COUNTIFS(
'YearA-AppDetails Current Date'!A:A,D114,
'YearA-AppDetails Current Date'!F:F,E114,
'YearA-AppDetails Current Date'!E:E,--F114,
'YearA-AppDetails Current Date'!O:O,{"ACLN","ACPT","COND"},
'YearA-AppDetails Current Date'!S:S,"&lt;&gt;ACLN",
'YearA-AppDetails Current Date'!S:S,"&lt;&gt;ACPT",
'YearA-AppDetails Current Date'!S:S,"&lt;&gt;COND",
'YearA-AppDetails Current Date'!I:I,"SUMMER"))), "")</f>
        <v/>
      </c>
      <c r="K114" s="73" t="str">
        <f>IFERROR(1/(1/SUM(COUNTIFS(
'YearA-AppDetails Current Date'!A:A,D114,
'YearA-AppDetails Current Date'!F:F,E114,
'YearA-AppDetails Current Date'!E:E,--F114,
'YearA-AppDetails Current Date'!R:R,"&lt;&gt;"&amp;"",
'YearA-AppDetails Current Date'!I:I,"SUMMER"))), "")</f>
        <v/>
      </c>
      <c r="L114" s="74" t="str" cm="1">
        <f t="array" ref="L114">IFERROR(1/(1/SUM(COUNTIFS(
'YearA-AppDetails Current Date'!A:A,D114,
'YearA-AppDetails Current Date'!F:F,E114,
'YearA-AppDetails Current Date'!E:E,--F114,
'YearA-AppDetails Current Date'!T:T,{"APEX","DENY","NTSL"},
'YearA-AppDetails Current Date'!I:I,"SUMMER"))), "")</f>
        <v/>
      </c>
      <c r="M114" s="74" t="str" cm="1">
        <f t="array" ref="M114">IFERROR(1/(1/SUM(COUNTIFS(
'YearA-AppDetails Current Date'!A:A,D114,
'YearA-AppDetails Current Date'!F:F,E114,
'YearA-AppDetails Current Date'!E:E,--F114,
'YearA-AppDetails Current Date'!U:U,{"CCAN","DECL"},
'YearA-AppDetails Current Date'!I:I,"SUMMER"))), "")</f>
        <v/>
      </c>
      <c r="N114" s="74" t="str" cm="1">
        <f t="array" ref="N114">IFERROR(1/(1/SUM(COUNTIFS(
'YearA-AppDetails Current Date'!A:A,D114,
'YearA-AppDetails Current Date'!F:F,E114,
'YearA-AppDetails Current Date'!E:E,--F114,
'YearA-AppDetails Current Date'!V:V,{"APRO","NODE"},
'YearA-AppDetails Current Date'!I:I,"SUMMER"))), "")</f>
        <v/>
      </c>
      <c r="O114" s="74" t="str" cm="1">
        <f t="array" ref="O114">IFERROR(1/(1/SUM(COUNTIFS(
'YearA-AppDetails Current Date'!A:A,D114,
'YearA-AppDetails Current Date'!F:F,E114,
'YearA-AppDetails Current Date'!E:E,--F114,
'YearA-AppDetails Current Date'!T:T,{"CDMT","RQMT","WAIT"},
'YearA-AppDetails Current Date'!I:I,"SUMMER"))), "")</f>
        <v/>
      </c>
      <c r="P114" s="74" t="str">
        <f>IFERROR(1/(1/COUNTIFS(
'YearA-AppDetails Current Date'!A:A,D114,
'YearA-AppDetails Current Date'!F:F,E114,
'YearA-AppDetails Current Date'!E:E,--F114,
'YearA-AppDetails Current Date'!Y:Y,"ENRO",
'YearA-AppDetails Current Date'!I:I,"SUMMER")), "")</f>
        <v/>
      </c>
      <c r="Q114" s="3" t="str">
        <f t="shared" si="9"/>
        <v/>
      </c>
    </row>
    <row r="115" spans="1:17" ht="15.75" customHeight="1" x14ac:dyDescent="0.25">
      <c r="A115" s="119"/>
      <c r="B115" s="122"/>
      <c r="C115" s="133"/>
      <c r="D115" s="23" t="s">
        <v>136</v>
      </c>
      <c r="E115" s="2" t="s">
        <v>43</v>
      </c>
      <c r="F115" s="42">
        <v>2</v>
      </c>
      <c r="G115" s="140"/>
      <c r="H115" s="73" t="str">
        <f>IFERROR(1/(1/
SUM(
N(VLOOKUP(D115&amp;F115,'Budgeted Projections Intl HC'!D:T,2,FALSE)),
N(VLOOKUP(D115&amp;F115,'Budgeted Projections Intl HC'!D:T,3,FALSE))
)
),"")</f>
        <v/>
      </c>
      <c r="I115" s="73" t="str">
        <f>IFERROR(1/(1/COUNTIFS(
'YearA-AppDetails Current Date'!A:A,D115,
'YearA-AppDetails Current Date'!F:F,E115,
'YearA-AppDetails Current Date'!E:E,--F115,
'YearA-AppDetails Current Date'!I:I,"SUMMER")), "")</f>
        <v/>
      </c>
      <c r="J115" s="74" t="str" cm="1">
        <f t="array" ref="J115">IFERROR(1/(1/SUM(COUNTIFS(
'YearA-AppDetails Current Date'!A:A,D115,
'YearA-AppDetails Current Date'!F:F,E115,
'YearA-AppDetails Current Date'!E:E,--F115,
'YearA-AppDetails Current Date'!O:O,{"ACLN","ACPT","COND"},
'YearA-AppDetails Current Date'!S:S,"&lt;&gt;ACLN",
'YearA-AppDetails Current Date'!S:S,"&lt;&gt;ACPT",
'YearA-AppDetails Current Date'!S:S,"&lt;&gt;COND",
'YearA-AppDetails Current Date'!I:I,"SUMMER"))), "")</f>
        <v/>
      </c>
      <c r="K115" s="73" t="str">
        <f>IFERROR(1/(1/SUM(COUNTIFS(
'YearA-AppDetails Current Date'!A:A,D115,
'YearA-AppDetails Current Date'!F:F,E115,
'YearA-AppDetails Current Date'!E:E,--F115,
'YearA-AppDetails Current Date'!R:R,"&lt;&gt;"&amp;"",
'YearA-AppDetails Current Date'!I:I,"SUMMER"))), "")</f>
        <v/>
      </c>
      <c r="L115" s="74" t="str" cm="1">
        <f t="array" ref="L115">IFERROR(1/(1/SUM(COUNTIFS(
'YearA-AppDetails Current Date'!A:A,D115,
'YearA-AppDetails Current Date'!F:F,E115,
'YearA-AppDetails Current Date'!E:E,--F115,
'YearA-AppDetails Current Date'!T:T,{"APEX","DENY","NTSL"},
'YearA-AppDetails Current Date'!I:I,"SUMMER"))), "")</f>
        <v/>
      </c>
      <c r="M115" s="74" t="str" cm="1">
        <f t="array" ref="M115">IFERROR(1/(1/SUM(COUNTIFS(
'YearA-AppDetails Current Date'!A:A,D115,
'YearA-AppDetails Current Date'!F:F,E115,
'YearA-AppDetails Current Date'!E:E,--F115,
'YearA-AppDetails Current Date'!U:U,{"CCAN","DECL"},
'YearA-AppDetails Current Date'!I:I,"SUMMER"))), "")</f>
        <v/>
      </c>
      <c r="N115" s="74" t="str" cm="1">
        <f t="array" ref="N115">IFERROR(1/(1/SUM(COUNTIFS(
'YearA-AppDetails Current Date'!A:A,D115,
'YearA-AppDetails Current Date'!F:F,E115,
'YearA-AppDetails Current Date'!E:E,--F115,
'YearA-AppDetails Current Date'!V:V,{"APRO","NODE"},
'YearA-AppDetails Current Date'!I:I,"SUMMER"))), "")</f>
        <v/>
      </c>
      <c r="O115" s="74" t="str" cm="1">
        <f t="array" ref="O115">IFERROR(1/(1/SUM(COUNTIFS(
'YearA-AppDetails Current Date'!A:A,D115,
'YearA-AppDetails Current Date'!F:F,E115,
'YearA-AppDetails Current Date'!E:E,--F115,
'YearA-AppDetails Current Date'!T:T,{"CDMT","RQMT","WAIT"},
'YearA-AppDetails Current Date'!I:I,"SUMMER"))), "")</f>
        <v/>
      </c>
      <c r="P115" s="74" t="str">
        <f>IFERROR(1/(1/COUNTIFS(
'YearA-AppDetails Current Date'!A:A,D115,
'YearA-AppDetails Current Date'!F:F,E115,
'YearA-AppDetails Current Date'!E:E,--F115,
'YearA-AppDetails Current Date'!Y:Y,"ENRO",
'YearA-AppDetails Current Date'!I:I,"SUMMER")), "")</f>
        <v/>
      </c>
      <c r="Q115" s="3" t="str">
        <f t="shared" si="9"/>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HC'!D:T,2,FALSE)),
N(VLOOKUP(D116&amp;F116,'Budgeted Projections Dom HC'!D:T,3,FALSE))
)
),"")</f>
        <v/>
      </c>
      <c r="I116" s="73" t="str">
        <f>IFERROR(1/(1/COUNTIFS(
'YearA-AppDetails Current Date'!A:A,D116,
'YearA-AppDetails Current Date'!F:F,E116,
'YearA-AppDetails Current Date'!E:E,--F116,
'YearA-AppDetails Current Date'!I:I,"SUMMER")), "")</f>
        <v/>
      </c>
      <c r="J116" s="74" t="str" cm="1">
        <f t="array" ref="J116">IFERROR(1/(1/SUM(COUNTIFS(
'YearA-AppDetails Current Date'!A:A,D116,
'YearA-AppDetails Current Date'!F:F,E116,
'YearA-AppDetails Current Date'!E:E,--F116,
'YearA-AppDetails Current Date'!O:O,{"ACLN","ACPT","COND"},
'YearA-AppDetails Current Date'!S:S,"&lt;&gt;ACLN",
'YearA-AppDetails Current Date'!S:S,"&lt;&gt;ACPT",
'YearA-AppDetails Current Date'!S:S,"&lt;&gt;COND",
'YearA-AppDetails Current Date'!I:I,"SUMMER"))), "")</f>
        <v/>
      </c>
      <c r="K116" s="73" t="str">
        <f>IFERROR(1/(1/SUM(COUNTIFS(
'YearA-AppDetails Current Date'!A:A,D116,
'YearA-AppDetails Current Date'!F:F,E116,
'YearA-AppDetails Current Date'!E:E,--F116,
'YearA-AppDetails Current Date'!R:R,"&lt;&gt;"&amp;"",
'YearA-AppDetails Current Date'!I:I,"SUMMER"))), "")</f>
        <v/>
      </c>
      <c r="L116" s="74" t="str" cm="1">
        <f t="array" ref="L116">IFERROR(1/(1/SUM(COUNTIFS(
'YearA-AppDetails Current Date'!A:A,D116,
'YearA-AppDetails Current Date'!F:F,E116,
'YearA-AppDetails Current Date'!E:E,--F116,
'YearA-AppDetails Current Date'!T:T,{"APEX","DENY","NTSL"},
'YearA-AppDetails Current Date'!I:I,"SUMMER"))), "")</f>
        <v/>
      </c>
      <c r="M116" s="74" t="str" cm="1">
        <f t="array" ref="M116">IFERROR(1/(1/SUM(COUNTIFS(
'YearA-AppDetails Current Date'!A:A,D116,
'YearA-AppDetails Current Date'!F:F,E116,
'YearA-AppDetails Current Date'!E:E,--F116,
'YearA-AppDetails Current Date'!U:U,{"CCAN","DECL"},
'YearA-AppDetails Current Date'!I:I,"SUMMER"))), "")</f>
        <v/>
      </c>
      <c r="N116" s="74" t="str" cm="1">
        <f t="array" ref="N116">IFERROR(1/(1/SUM(COUNTIFS(
'YearA-AppDetails Current Date'!A:A,D116,
'YearA-AppDetails Current Date'!F:F,E116,
'YearA-AppDetails Current Date'!E:E,--F116,
'YearA-AppDetails Current Date'!V:V,{"APRO","NODE"},
'YearA-AppDetails Current Date'!I:I,"SUMMER"))), "")</f>
        <v/>
      </c>
      <c r="O116" s="74" t="str" cm="1">
        <f t="array" ref="O116">IFERROR(1/(1/SUM(COUNTIFS(
'YearA-AppDetails Current Date'!A:A,D116,
'YearA-AppDetails Current Date'!F:F,E116,
'YearA-AppDetails Current Date'!E:E,--F116,
'YearA-AppDetails Current Date'!T:T,{"CDMT","RQMT","WAIT"},
'YearA-AppDetails Current Date'!I:I,"SUMMER"))), "")</f>
        <v/>
      </c>
      <c r="P116" s="74" t="str">
        <f>IFERROR(1/(1/COUNTIFS(
'YearA-AppDetails Current Date'!A:A,D116,
'YearA-AppDetails Current Date'!F:F,E116,
'YearA-AppDetails Current Date'!E:E,--F116,
'YearA-AppDetails Current Date'!Y:Y,"ENRO",
'YearA-AppDetails Current Date'!I:I,"SUMMER")), "")</f>
        <v/>
      </c>
      <c r="Q116" s="3" t="str">
        <f t="shared" si="9"/>
        <v/>
      </c>
    </row>
    <row r="117" spans="1:17" ht="15.75" customHeight="1" x14ac:dyDescent="0.25">
      <c r="A117" s="119"/>
      <c r="B117" s="122"/>
      <c r="C117" s="145"/>
      <c r="D117" s="23" t="s">
        <v>85</v>
      </c>
      <c r="E117" s="2" t="s">
        <v>43</v>
      </c>
      <c r="F117" s="31">
        <v>1</v>
      </c>
      <c r="G117" s="140"/>
      <c r="H117" s="73" t="str">
        <f>IFERROR(1/(1/
SUM(
N(VLOOKUP(D117&amp;F117,'Budgeted Projections Intl HC'!D:T,2,FALSE)),
N(VLOOKUP(D117&amp;F117,'Budgeted Projections Intl HC'!D:T,3,FALSE))
)
),"")</f>
        <v/>
      </c>
      <c r="I117" s="73" t="str">
        <f>IFERROR(1/(1/COUNTIFS(
'YearA-AppDetails Current Date'!A:A,D117,
'YearA-AppDetails Current Date'!F:F,E117,
'YearA-AppDetails Current Date'!E:E,--F117,
'YearA-AppDetails Current Date'!I:I,"SUMMER")), "")</f>
        <v/>
      </c>
      <c r="J117" s="74" t="str" cm="1">
        <f t="array" ref="J117">IFERROR(1/(1/SUM(COUNTIFS(
'YearA-AppDetails Current Date'!A:A,D117,
'YearA-AppDetails Current Date'!F:F,E117,
'YearA-AppDetails Current Date'!E:E,--F117,
'YearA-AppDetails Current Date'!O:O,{"ACLN","ACPT","COND"},
'YearA-AppDetails Current Date'!S:S,"&lt;&gt;ACLN",
'YearA-AppDetails Current Date'!S:S,"&lt;&gt;ACPT",
'YearA-AppDetails Current Date'!S:S,"&lt;&gt;COND",
'YearA-AppDetails Current Date'!I:I,"SUMMER"))), "")</f>
        <v/>
      </c>
      <c r="K117" s="73" t="str">
        <f>IFERROR(1/(1/SUM(COUNTIFS(
'YearA-AppDetails Current Date'!A:A,D117,
'YearA-AppDetails Current Date'!F:F,E117,
'YearA-AppDetails Current Date'!E:E,--F117,
'YearA-AppDetails Current Date'!R:R,"&lt;&gt;"&amp;"",
'YearA-AppDetails Current Date'!I:I,"SUMMER"))), "")</f>
        <v/>
      </c>
      <c r="L117" s="74" t="str" cm="1">
        <f t="array" ref="L117">IFERROR(1/(1/SUM(COUNTIFS(
'YearA-AppDetails Current Date'!A:A,D117,
'YearA-AppDetails Current Date'!F:F,E117,
'YearA-AppDetails Current Date'!E:E,--F117,
'YearA-AppDetails Current Date'!T:T,{"APEX","DENY","NTSL"},
'YearA-AppDetails Current Date'!I:I,"SUMMER"))), "")</f>
        <v/>
      </c>
      <c r="M117" s="74" t="str" cm="1">
        <f t="array" ref="M117">IFERROR(1/(1/SUM(COUNTIFS(
'YearA-AppDetails Current Date'!A:A,D117,
'YearA-AppDetails Current Date'!F:F,E117,
'YearA-AppDetails Current Date'!E:E,--F117,
'YearA-AppDetails Current Date'!U:U,{"CCAN","DECL"},
'YearA-AppDetails Current Date'!I:I,"SUMMER"))), "")</f>
        <v/>
      </c>
      <c r="N117" s="74" t="str" cm="1">
        <f t="array" ref="N117">IFERROR(1/(1/SUM(COUNTIFS(
'YearA-AppDetails Current Date'!A:A,D117,
'YearA-AppDetails Current Date'!F:F,E117,
'YearA-AppDetails Current Date'!E:E,--F117,
'YearA-AppDetails Current Date'!V:V,{"APRO","NODE"},
'YearA-AppDetails Current Date'!I:I,"SUMMER"))), "")</f>
        <v/>
      </c>
      <c r="O117" s="74" t="str" cm="1">
        <f t="array" ref="O117">IFERROR(1/(1/SUM(COUNTIFS(
'YearA-AppDetails Current Date'!A:A,D117,
'YearA-AppDetails Current Date'!F:F,E117,
'YearA-AppDetails Current Date'!E:E,--F117,
'YearA-AppDetails Current Date'!T:T,{"CDMT","RQMT","WAIT"},
'YearA-AppDetails Current Date'!I:I,"SUMMER"))), "")</f>
        <v/>
      </c>
      <c r="P117" s="74" t="str">
        <f>IFERROR(1/(1/COUNTIFS(
'YearA-AppDetails Current Date'!A:A,D117,
'YearA-AppDetails Current Date'!F:F,E117,
'YearA-AppDetails Current Date'!E:E,--F117,
'YearA-AppDetails Current Date'!Y:Y,"ENRO",
'YearA-AppDetails Current Date'!I:I,"SUMMER")), "")</f>
        <v/>
      </c>
      <c r="Q117" s="3" t="str">
        <f t="shared" si="9"/>
        <v/>
      </c>
    </row>
    <row r="118" spans="1:17" ht="15.75" customHeight="1" x14ac:dyDescent="0.25">
      <c r="A118" s="119"/>
      <c r="B118" s="122"/>
      <c r="C118" s="145"/>
      <c r="D118" s="23" t="s">
        <v>85</v>
      </c>
      <c r="E118" s="2" t="s">
        <v>42</v>
      </c>
      <c r="F118" s="42">
        <v>2</v>
      </c>
      <c r="G118" s="139" t="s">
        <v>48</v>
      </c>
      <c r="H118" s="73" t="str">
        <f>IFERROR(1/(1/
SUM(
N(VLOOKUP(D118&amp;F118,'Budgeted Projections Dom HC'!D:T,2,FALSE)),
N(VLOOKUP(D118&amp;F118,'Budgeted Projections Dom HC'!D:T,3,FALSE))
)
),"")</f>
        <v/>
      </c>
      <c r="I118" s="73" t="str">
        <f>IFERROR(1/(1/COUNTIFS(
'YearA-AppDetails Current Date'!A:A,D118,
'YearA-AppDetails Current Date'!F:F,E118,
'YearA-AppDetails Current Date'!E:E,--F118,
'YearA-AppDetails Current Date'!I:I,"SUMMER")), "")</f>
        <v/>
      </c>
      <c r="J118" s="74" t="str" cm="1">
        <f t="array" ref="J118">IFERROR(1/(1/SUM(COUNTIFS(
'YearA-AppDetails Current Date'!A:A,D118,
'YearA-AppDetails Current Date'!F:F,E118,
'YearA-AppDetails Current Date'!E:E,--F118,
'YearA-AppDetails Current Date'!O:O,{"ACLN","ACPT","COND"},
'YearA-AppDetails Current Date'!S:S,"&lt;&gt;ACLN",
'YearA-AppDetails Current Date'!S:S,"&lt;&gt;ACPT",
'YearA-AppDetails Current Date'!S:S,"&lt;&gt;COND",
'YearA-AppDetails Current Date'!I:I,"SUMMER"))), "")</f>
        <v/>
      </c>
      <c r="K118" s="73" t="str">
        <f>IFERROR(1/(1/SUM(COUNTIFS(
'YearA-AppDetails Current Date'!A:A,D118,
'YearA-AppDetails Current Date'!F:F,E118,
'YearA-AppDetails Current Date'!E:E,--F118,
'YearA-AppDetails Current Date'!R:R,"&lt;&gt;"&amp;"",
'YearA-AppDetails Current Date'!I:I,"SUMMER"))), "")</f>
        <v/>
      </c>
      <c r="L118" s="74" t="str" cm="1">
        <f t="array" ref="L118">IFERROR(1/(1/SUM(COUNTIFS(
'YearA-AppDetails Current Date'!A:A,D118,
'YearA-AppDetails Current Date'!F:F,E118,
'YearA-AppDetails Current Date'!E:E,--F118,
'YearA-AppDetails Current Date'!T:T,{"APEX","DENY","NTSL"},
'YearA-AppDetails Current Date'!I:I,"SUMMER"))), "")</f>
        <v/>
      </c>
      <c r="M118" s="74" t="str" cm="1">
        <f t="array" ref="M118">IFERROR(1/(1/SUM(COUNTIFS(
'YearA-AppDetails Current Date'!A:A,D118,
'YearA-AppDetails Current Date'!F:F,E118,
'YearA-AppDetails Current Date'!E:E,--F118,
'YearA-AppDetails Current Date'!U:U,{"CCAN","DECL"},
'YearA-AppDetails Current Date'!I:I,"SUMMER"))), "")</f>
        <v/>
      </c>
      <c r="N118" s="74" t="str" cm="1">
        <f t="array" ref="N118">IFERROR(1/(1/SUM(COUNTIFS(
'YearA-AppDetails Current Date'!A:A,D118,
'YearA-AppDetails Current Date'!F:F,E118,
'YearA-AppDetails Current Date'!E:E,--F118,
'YearA-AppDetails Current Date'!V:V,{"APRO","NODE"},
'YearA-AppDetails Current Date'!I:I,"SUMMER"))), "")</f>
        <v/>
      </c>
      <c r="O118" s="74" t="str" cm="1">
        <f t="array" ref="O118">IFERROR(1/(1/SUM(COUNTIFS(
'YearA-AppDetails Current Date'!A:A,D118,
'YearA-AppDetails Current Date'!F:F,E118,
'YearA-AppDetails Current Date'!E:E,--F118,
'YearA-AppDetails Current Date'!T:T,{"CDMT","RQMT","WAIT"},
'YearA-AppDetails Current Date'!I:I,"SUMMER"))), "")</f>
        <v/>
      </c>
      <c r="P118" s="74" t="str">
        <f>IFERROR(1/(1/COUNTIFS(
'YearA-AppDetails Current Date'!A:A,D118,
'YearA-AppDetails Current Date'!F:F,E118,
'YearA-AppDetails Current Date'!E:E,--F118,
'YearA-AppDetails Current Date'!Y:Y,"ENRO",
'YearA-AppDetails Current Date'!I:I,"SUMMER")), "")</f>
        <v/>
      </c>
      <c r="Q118" s="3" t="str">
        <f t="shared" si="9"/>
        <v/>
      </c>
    </row>
    <row r="119" spans="1:17" ht="15.75" customHeight="1" x14ac:dyDescent="0.25">
      <c r="A119" s="119"/>
      <c r="B119" s="122"/>
      <c r="C119" s="133"/>
      <c r="D119" s="23" t="s">
        <v>85</v>
      </c>
      <c r="E119" s="2" t="s">
        <v>43</v>
      </c>
      <c r="F119" s="31">
        <v>2</v>
      </c>
      <c r="G119" s="140"/>
      <c r="H119" s="73" t="str">
        <f>IFERROR(1/(1/
SUM(
N(VLOOKUP(D119&amp;F119,'Budgeted Projections Intl HC'!D:T,2,FALSE)),
N(VLOOKUP(D119&amp;F119,'Budgeted Projections Intl HC'!D:T,3,FALSE))
)
),"")</f>
        <v/>
      </c>
      <c r="I119" s="73" t="str">
        <f>IFERROR(1/(1/COUNTIFS(
'YearA-AppDetails Current Date'!A:A,D119,
'YearA-AppDetails Current Date'!F:F,E119,
'YearA-AppDetails Current Date'!E:E,--F119,
'YearA-AppDetails Current Date'!I:I,"SUMMER")), "")</f>
        <v/>
      </c>
      <c r="J119" s="74" t="str" cm="1">
        <f t="array" ref="J119">IFERROR(1/(1/SUM(COUNTIFS(
'YearA-AppDetails Current Date'!A:A,D119,
'YearA-AppDetails Current Date'!F:F,E119,
'YearA-AppDetails Current Date'!E:E,--F119,
'YearA-AppDetails Current Date'!O:O,{"ACLN","ACPT","COND"},
'YearA-AppDetails Current Date'!S:S,"&lt;&gt;ACLN",
'YearA-AppDetails Current Date'!S:S,"&lt;&gt;ACPT",
'YearA-AppDetails Current Date'!S:S,"&lt;&gt;COND",
'YearA-AppDetails Current Date'!I:I,"SUMMER"))), "")</f>
        <v/>
      </c>
      <c r="K119" s="73" t="str">
        <f>IFERROR(1/(1/SUM(COUNTIFS(
'YearA-AppDetails Current Date'!A:A,D119,
'YearA-AppDetails Current Date'!F:F,E119,
'YearA-AppDetails Current Date'!E:E,--F119,
'YearA-AppDetails Current Date'!R:R,"&lt;&gt;"&amp;"",
'YearA-AppDetails Current Date'!I:I,"SUMMER"))), "")</f>
        <v/>
      </c>
      <c r="L119" s="74" t="str" cm="1">
        <f t="array" ref="L119">IFERROR(1/(1/SUM(COUNTIFS(
'YearA-AppDetails Current Date'!A:A,D119,
'YearA-AppDetails Current Date'!F:F,E119,
'YearA-AppDetails Current Date'!E:E,--F119,
'YearA-AppDetails Current Date'!T:T,{"APEX","DENY","NTSL"},
'YearA-AppDetails Current Date'!I:I,"SUMMER"))), "")</f>
        <v/>
      </c>
      <c r="M119" s="74" t="str" cm="1">
        <f t="array" ref="M119">IFERROR(1/(1/SUM(COUNTIFS(
'YearA-AppDetails Current Date'!A:A,D119,
'YearA-AppDetails Current Date'!F:F,E119,
'YearA-AppDetails Current Date'!E:E,--F119,
'YearA-AppDetails Current Date'!U:U,{"CCAN","DECL"},
'YearA-AppDetails Current Date'!I:I,"SUMMER"))), "")</f>
        <v/>
      </c>
      <c r="N119" s="74" t="str" cm="1">
        <f t="array" ref="N119">IFERROR(1/(1/SUM(COUNTIFS(
'YearA-AppDetails Current Date'!A:A,D119,
'YearA-AppDetails Current Date'!F:F,E119,
'YearA-AppDetails Current Date'!E:E,--F119,
'YearA-AppDetails Current Date'!V:V,{"APRO","NODE"},
'YearA-AppDetails Current Date'!I:I,"SUMMER"))), "")</f>
        <v/>
      </c>
      <c r="O119" s="74" t="str" cm="1">
        <f t="array" ref="O119">IFERROR(1/(1/SUM(COUNTIFS(
'YearA-AppDetails Current Date'!A:A,D119,
'YearA-AppDetails Current Date'!F:F,E119,
'YearA-AppDetails Current Date'!E:E,--F119,
'YearA-AppDetails Current Date'!T:T,{"CDMT","RQMT","WAIT"},
'YearA-AppDetails Current Date'!I:I,"SUMMER"))), "")</f>
        <v/>
      </c>
      <c r="P119" s="74" t="str">
        <f>IFERROR(1/(1/COUNTIFS(
'YearA-AppDetails Current Date'!A:A,D119,
'YearA-AppDetails Current Date'!F:F,E119,
'YearA-AppDetails Current Date'!E:E,--F119,
'YearA-AppDetails Current Date'!Y:Y,"ENRO",
'YearA-AppDetails Current Date'!I:I,"SUMMER")), "")</f>
        <v/>
      </c>
      <c r="Q119" s="3" t="str">
        <f t="shared" si="9"/>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HC'!D:T,2,FALSE)),
N(VLOOKUP(D120&amp;F120,'Budgeted Projections Dom HC'!D:T,3,FALSE))
)
),"")</f>
        <v/>
      </c>
      <c r="I120" s="73" t="str">
        <f>IFERROR(1/(1/COUNTIFS(
'YearA-AppDetails Current Date'!A:A,D120,
'YearA-AppDetails Current Date'!F:F,E120,
'YearA-AppDetails Current Date'!E:E,--F120,
'YearA-AppDetails Current Date'!I:I,"SUMMER")), "")</f>
        <v/>
      </c>
      <c r="J120" s="74" t="str" cm="1">
        <f t="array" ref="J120">IFERROR(1/(1/SUM(COUNTIFS(
'YearA-AppDetails Current Date'!A:A,D120,
'YearA-AppDetails Current Date'!F:F,E120,
'YearA-AppDetails Current Date'!E:E,--F120,
'YearA-AppDetails Current Date'!O:O,{"ACLN","ACPT","COND"},
'YearA-AppDetails Current Date'!S:S,"&lt;&gt;ACLN",
'YearA-AppDetails Current Date'!S:S,"&lt;&gt;ACPT",
'YearA-AppDetails Current Date'!S:S,"&lt;&gt;COND",
'YearA-AppDetails Current Date'!I:I,"SUMMER"))), "")</f>
        <v/>
      </c>
      <c r="K120" s="73" t="str">
        <f>IFERROR(1/(1/SUM(COUNTIFS(
'YearA-AppDetails Current Date'!A:A,D120,
'YearA-AppDetails Current Date'!F:F,E120,
'YearA-AppDetails Current Date'!E:E,--F120,
'YearA-AppDetails Current Date'!R:R,"&lt;&gt;"&amp;"",
'YearA-AppDetails Current Date'!I:I,"SUMMER"))), "")</f>
        <v/>
      </c>
      <c r="L120" s="74" t="str" cm="1">
        <f t="array" ref="L120">IFERROR(1/(1/SUM(COUNTIFS(
'YearA-AppDetails Current Date'!A:A,D120,
'YearA-AppDetails Current Date'!F:F,E120,
'YearA-AppDetails Current Date'!E:E,--F120,
'YearA-AppDetails Current Date'!T:T,{"APEX","DENY","NTSL"},
'YearA-AppDetails Current Date'!I:I,"SUMMER"))), "")</f>
        <v/>
      </c>
      <c r="M120" s="74" t="str" cm="1">
        <f t="array" ref="M120">IFERROR(1/(1/SUM(COUNTIFS(
'YearA-AppDetails Current Date'!A:A,D120,
'YearA-AppDetails Current Date'!F:F,E120,
'YearA-AppDetails Current Date'!E:E,--F120,
'YearA-AppDetails Current Date'!U:U,{"CCAN","DECL"},
'YearA-AppDetails Current Date'!I:I,"SUMMER"))), "")</f>
        <v/>
      </c>
      <c r="N120" s="74" t="str" cm="1">
        <f t="array" ref="N120">IFERROR(1/(1/SUM(COUNTIFS(
'YearA-AppDetails Current Date'!A:A,D120,
'YearA-AppDetails Current Date'!F:F,E120,
'YearA-AppDetails Current Date'!E:E,--F120,
'YearA-AppDetails Current Date'!V:V,{"APRO","NODE"},
'YearA-AppDetails Current Date'!I:I,"SUMMER"))), "")</f>
        <v/>
      </c>
      <c r="O120" s="74" t="str" cm="1">
        <f t="array" ref="O120">IFERROR(1/(1/SUM(COUNTIFS(
'YearA-AppDetails Current Date'!A:A,D120,
'YearA-AppDetails Current Date'!F:F,E120,
'YearA-AppDetails Current Date'!E:E,--F120,
'YearA-AppDetails Current Date'!T:T,{"CDMT","RQMT","WAIT"},
'YearA-AppDetails Current Date'!I:I,"SUMMER"))), "")</f>
        <v/>
      </c>
      <c r="P120" s="74" t="str">
        <f>IFERROR(1/(1/COUNTIFS(
'YearA-AppDetails Current Date'!A:A,D120,
'YearA-AppDetails Current Date'!F:F,E120,
'YearA-AppDetails Current Date'!E:E,--F120,
'YearA-AppDetails Current Date'!Y:Y,"ENRO",
'YearA-AppDetails Current Date'!I:I,"SUMMER")), "")</f>
        <v/>
      </c>
      <c r="Q120" s="3" t="str">
        <f t="shared" si="9"/>
        <v/>
      </c>
    </row>
    <row r="121" spans="1:17" ht="15.75" customHeight="1" x14ac:dyDescent="0.25">
      <c r="A121" s="119"/>
      <c r="B121" s="122"/>
      <c r="C121" s="145"/>
      <c r="D121" s="23" t="s">
        <v>84</v>
      </c>
      <c r="E121" s="2" t="s">
        <v>43</v>
      </c>
      <c r="F121" s="31">
        <v>1</v>
      </c>
      <c r="G121" s="140"/>
      <c r="H121" s="73" t="str">
        <f>IFERROR(1/(1/
SUM(
N(VLOOKUP(D121&amp;F121,'Budgeted Projections Intl HC'!D:T,2,FALSE)),
N(VLOOKUP(D121&amp;F121,'Budgeted Projections Intl HC'!D:T,3,FALSE))
)
),"")</f>
        <v/>
      </c>
      <c r="I121" s="73" t="str">
        <f>IFERROR(1/(1/COUNTIFS(
'YearA-AppDetails Current Date'!A:A,D121,
'YearA-AppDetails Current Date'!F:F,E121,
'YearA-AppDetails Current Date'!E:E,--F121,
'YearA-AppDetails Current Date'!I:I,"SUMMER")), "")</f>
        <v/>
      </c>
      <c r="J121" s="74" t="str" cm="1">
        <f t="array" ref="J121">IFERROR(1/(1/SUM(COUNTIFS(
'YearA-AppDetails Current Date'!A:A,D121,
'YearA-AppDetails Current Date'!F:F,E121,
'YearA-AppDetails Current Date'!E:E,--F121,
'YearA-AppDetails Current Date'!O:O,{"ACLN","ACPT","COND"},
'YearA-AppDetails Current Date'!S:S,"&lt;&gt;ACLN",
'YearA-AppDetails Current Date'!S:S,"&lt;&gt;ACPT",
'YearA-AppDetails Current Date'!S:S,"&lt;&gt;COND",
'YearA-AppDetails Current Date'!I:I,"SUMMER"))), "")</f>
        <v/>
      </c>
      <c r="K121" s="73" t="str">
        <f>IFERROR(1/(1/SUM(COUNTIFS(
'YearA-AppDetails Current Date'!A:A,D121,
'YearA-AppDetails Current Date'!F:F,E121,
'YearA-AppDetails Current Date'!E:E,--F121,
'YearA-AppDetails Current Date'!R:R,"&lt;&gt;"&amp;"",
'YearA-AppDetails Current Date'!I:I,"SUMMER"))), "")</f>
        <v/>
      </c>
      <c r="L121" s="74" t="str" cm="1">
        <f t="array" ref="L121">IFERROR(1/(1/SUM(COUNTIFS(
'YearA-AppDetails Current Date'!A:A,D121,
'YearA-AppDetails Current Date'!F:F,E121,
'YearA-AppDetails Current Date'!E:E,--F121,
'YearA-AppDetails Current Date'!T:T,{"APEX","DENY","NTSL"},
'YearA-AppDetails Current Date'!I:I,"SUMMER"))), "")</f>
        <v/>
      </c>
      <c r="M121" s="74" t="str" cm="1">
        <f t="array" ref="M121">IFERROR(1/(1/SUM(COUNTIFS(
'YearA-AppDetails Current Date'!A:A,D121,
'YearA-AppDetails Current Date'!F:F,E121,
'YearA-AppDetails Current Date'!E:E,--F121,
'YearA-AppDetails Current Date'!U:U,{"CCAN","DECL"},
'YearA-AppDetails Current Date'!I:I,"SUMMER"))), "")</f>
        <v/>
      </c>
      <c r="N121" s="74" t="str" cm="1">
        <f t="array" ref="N121">IFERROR(1/(1/SUM(COUNTIFS(
'YearA-AppDetails Current Date'!A:A,D121,
'YearA-AppDetails Current Date'!F:F,E121,
'YearA-AppDetails Current Date'!E:E,--F121,
'YearA-AppDetails Current Date'!V:V,{"APRO","NODE"},
'YearA-AppDetails Current Date'!I:I,"SUMMER"))), "")</f>
        <v/>
      </c>
      <c r="O121" s="74" t="str" cm="1">
        <f t="array" ref="O121">IFERROR(1/(1/SUM(COUNTIFS(
'YearA-AppDetails Current Date'!A:A,D121,
'YearA-AppDetails Current Date'!F:F,E121,
'YearA-AppDetails Current Date'!E:E,--F121,
'YearA-AppDetails Current Date'!T:T,{"CDMT","RQMT","WAIT"},
'YearA-AppDetails Current Date'!I:I,"SUMMER"))), "")</f>
        <v/>
      </c>
      <c r="P121" s="74" t="str">
        <f>IFERROR(1/(1/COUNTIFS(
'YearA-AppDetails Current Date'!A:A,D121,
'YearA-AppDetails Current Date'!F:F,E121,
'YearA-AppDetails Current Date'!E:E,--F121,
'YearA-AppDetails Current Date'!Y:Y,"ENRO",
'YearA-AppDetails Current Date'!I:I,"SUMMER")), "")</f>
        <v/>
      </c>
      <c r="Q121" s="3" t="str">
        <f t="shared" si="9"/>
        <v/>
      </c>
    </row>
    <row r="122" spans="1:17" ht="15.75" customHeight="1" x14ac:dyDescent="0.25">
      <c r="A122" s="119"/>
      <c r="B122" s="122"/>
      <c r="C122" s="145"/>
      <c r="D122" s="23" t="s">
        <v>84</v>
      </c>
      <c r="E122" s="2" t="s">
        <v>42</v>
      </c>
      <c r="F122" s="42">
        <v>2</v>
      </c>
      <c r="G122" s="139" t="s">
        <v>48</v>
      </c>
      <c r="H122" s="73" t="str">
        <f>IFERROR(1/(1/
SUM(
N(VLOOKUP(D122&amp;F122,'Budgeted Projections Dom HC'!D:T,2,FALSE)),
N(VLOOKUP(D122&amp;F122,'Budgeted Projections Dom HC'!D:T,3,FALSE))
)
),"")</f>
        <v/>
      </c>
      <c r="I122" s="73" t="str">
        <f>IFERROR(1/(1/COUNTIFS(
'YearA-AppDetails Current Date'!A:A,D122,
'YearA-AppDetails Current Date'!F:F,E122,
'YearA-AppDetails Current Date'!E:E,--F122,
'YearA-AppDetails Current Date'!I:I,"SUMMER")), "")</f>
        <v/>
      </c>
      <c r="J122" s="74" t="str" cm="1">
        <f t="array" ref="J122">IFERROR(1/(1/SUM(COUNTIFS(
'YearA-AppDetails Current Date'!A:A,D122,
'YearA-AppDetails Current Date'!F:F,E122,
'YearA-AppDetails Current Date'!E:E,--F122,
'YearA-AppDetails Current Date'!O:O,{"ACLN","ACPT","COND"},
'YearA-AppDetails Current Date'!S:S,"&lt;&gt;ACLN",
'YearA-AppDetails Current Date'!S:S,"&lt;&gt;ACPT",
'YearA-AppDetails Current Date'!S:S,"&lt;&gt;COND",
'YearA-AppDetails Current Date'!I:I,"SUMMER"))), "")</f>
        <v/>
      </c>
      <c r="K122" s="73" t="str">
        <f>IFERROR(1/(1/SUM(COUNTIFS(
'YearA-AppDetails Current Date'!A:A,D122,
'YearA-AppDetails Current Date'!F:F,E122,
'YearA-AppDetails Current Date'!E:E,--F122,
'YearA-AppDetails Current Date'!R:R,"&lt;&gt;"&amp;"",
'YearA-AppDetails Current Date'!I:I,"SUMMER"))), "")</f>
        <v/>
      </c>
      <c r="L122" s="74" t="str" cm="1">
        <f t="array" ref="L122">IFERROR(1/(1/SUM(COUNTIFS(
'YearA-AppDetails Current Date'!A:A,D122,
'YearA-AppDetails Current Date'!F:F,E122,
'YearA-AppDetails Current Date'!E:E,--F122,
'YearA-AppDetails Current Date'!T:T,{"APEX","DENY","NTSL"},
'YearA-AppDetails Current Date'!I:I,"SUMMER"))), "")</f>
        <v/>
      </c>
      <c r="M122" s="74" t="str" cm="1">
        <f t="array" ref="M122">IFERROR(1/(1/SUM(COUNTIFS(
'YearA-AppDetails Current Date'!A:A,D122,
'YearA-AppDetails Current Date'!F:F,E122,
'YearA-AppDetails Current Date'!E:E,--F122,
'YearA-AppDetails Current Date'!U:U,{"CCAN","DECL"},
'YearA-AppDetails Current Date'!I:I,"SUMMER"))), "")</f>
        <v/>
      </c>
      <c r="N122" s="74" t="str" cm="1">
        <f t="array" ref="N122">IFERROR(1/(1/SUM(COUNTIFS(
'YearA-AppDetails Current Date'!A:A,D122,
'YearA-AppDetails Current Date'!F:F,E122,
'YearA-AppDetails Current Date'!E:E,--F122,
'YearA-AppDetails Current Date'!V:V,{"APRO","NODE"},
'YearA-AppDetails Current Date'!I:I,"SUMMER"))), "")</f>
        <v/>
      </c>
      <c r="O122" s="74" t="str" cm="1">
        <f t="array" ref="O122">IFERROR(1/(1/SUM(COUNTIFS(
'YearA-AppDetails Current Date'!A:A,D122,
'YearA-AppDetails Current Date'!F:F,E122,
'YearA-AppDetails Current Date'!E:E,--F122,
'YearA-AppDetails Current Date'!T:T,{"CDMT","RQMT","WAIT"},
'YearA-AppDetails Current Date'!I:I,"SUMMER"))), "")</f>
        <v/>
      </c>
      <c r="P122" s="74" t="str">
        <f>IFERROR(1/(1/COUNTIFS(
'YearA-AppDetails Current Date'!A:A,D122,
'YearA-AppDetails Current Date'!F:F,E122,
'YearA-AppDetails Current Date'!E:E,--F122,
'YearA-AppDetails Current Date'!Y:Y,"ENRO",
'YearA-AppDetails Current Date'!I:I,"SUMMER")), "")</f>
        <v/>
      </c>
      <c r="Q122" s="3" t="str">
        <f t="shared" si="9"/>
        <v/>
      </c>
    </row>
    <row r="123" spans="1:17" ht="15.75" customHeight="1" x14ac:dyDescent="0.25">
      <c r="A123" s="119"/>
      <c r="B123" s="122"/>
      <c r="C123" s="133"/>
      <c r="D123" s="23" t="s">
        <v>84</v>
      </c>
      <c r="E123" s="2" t="s">
        <v>43</v>
      </c>
      <c r="F123" s="31">
        <v>2</v>
      </c>
      <c r="G123" s="146"/>
      <c r="H123" s="73" t="str">
        <f>IFERROR(1/(1/
SUM(
N(VLOOKUP(D123&amp;F123,'Budgeted Projections Intl HC'!D:T,2,FALSE)),
N(VLOOKUP(D123&amp;F123,'Budgeted Projections Intl HC'!D:T,3,FALSE))
)
),"")</f>
        <v/>
      </c>
      <c r="I123" s="73" t="str">
        <f>IFERROR(1/(1/COUNTIFS(
'YearA-AppDetails Current Date'!A:A,D123,
'YearA-AppDetails Current Date'!F:F,E123,
'YearA-AppDetails Current Date'!E:E,--F123,
'YearA-AppDetails Current Date'!I:I,"SUMMER")), "")</f>
        <v/>
      </c>
      <c r="J123" s="74" t="str" cm="1">
        <f t="array" ref="J123">IFERROR(1/(1/SUM(COUNTIFS(
'YearA-AppDetails Current Date'!A:A,D123,
'YearA-AppDetails Current Date'!F:F,E123,
'YearA-AppDetails Current Date'!E:E,--F123,
'YearA-AppDetails Current Date'!O:O,{"ACLN","ACPT","COND"},
'YearA-AppDetails Current Date'!S:S,"&lt;&gt;ACLN",
'YearA-AppDetails Current Date'!S:S,"&lt;&gt;ACPT",
'YearA-AppDetails Current Date'!S:S,"&lt;&gt;COND",
'YearA-AppDetails Current Date'!I:I,"SUMMER"))), "")</f>
        <v/>
      </c>
      <c r="K123" s="73" t="str">
        <f>IFERROR(1/(1/SUM(COUNTIFS(
'YearA-AppDetails Current Date'!A:A,D123,
'YearA-AppDetails Current Date'!F:F,E123,
'YearA-AppDetails Current Date'!E:E,--F123,
'YearA-AppDetails Current Date'!R:R,"&lt;&gt;"&amp;"",
'YearA-AppDetails Current Date'!I:I,"SUMMER"))), "")</f>
        <v/>
      </c>
      <c r="L123" s="74" t="str" cm="1">
        <f t="array" ref="L123">IFERROR(1/(1/SUM(COUNTIFS(
'YearA-AppDetails Current Date'!A:A,D123,
'YearA-AppDetails Current Date'!F:F,E123,
'YearA-AppDetails Current Date'!E:E,--F123,
'YearA-AppDetails Current Date'!T:T,{"APEX","DENY","NTSL"},
'YearA-AppDetails Current Date'!I:I,"SUMMER"))), "")</f>
        <v/>
      </c>
      <c r="M123" s="74" t="str" cm="1">
        <f t="array" ref="M123">IFERROR(1/(1/SUM(COUNTIFS(
'YearA-AppDetails Current Date'!A:A,D123,
'YearA-AppDetails Current Date'!F:F,E123,
'YearA-AppDetails Current Date'!E:E,--F123,
'YearA-AppDetails Current Date'!U:U,{"CCAN","DECL"},
'YearA-AppDetails Current Date'!I:I,"SUMMER"))), "")</f>
        <v/>
      </c>
      <c r="N123" s="74" t="str" cm="1">
        <f t="array" ref="N123">IFERROR(1/(1/SUM(COUNTIFS(
'YearA-AppDetails Current Date'!A:A,D123,
'YearA-AppDetails Current Date'!F:F,E123,
'YearA-AppDetails Current Date'!E:E,--F123,
'YearA-AppDetails Current Date'!V:V,{"APRO","NODE"},
'YearA-AppDetails Current Date'!I:I,"SUMMER"))), "")</f>
        <v/>
      </c>
      <c r="O123" s="74" t="str" cm="1">
        <f t="array" ref="O123">IFERROR(1/(1/SUM(COUNTIFS(
'YearA-AppDetails Current Date'!A:A,D123,
'YearA-AppDetails Current Date'!F:F,E123,
'YearA-AppDetails Current Date'!E:E,--F123,
'YearA-AppDetails Current Date'!T:T,{"CDMT","RQMT","WAIT"},
'YearA-AppDetails Current Date'!I:I,"SUMMER"))), "")</f>
        <v/>
      </c>
      <c r="P123" s="74" t="str">
        <f>IFERROR(1/(1/COUNTIFS(
'YearA-AppDetails Current Date'!A:A,D123,
'YearA-AppDetails Current Date'!F:F,E123,
'YearA-AppDetails Current Date'!E:E,--F123,
'YearA-AppDetails Current Date'!Y:Y,"ENRO",
'YearA-AppDetails Current Date'!I:I,"SUMMER")), "")</f>
        <v/>
      </c>
      <c r="Q123" s="3" t="str">
        <f t="shared" si="9"/>
        <v/>
      </c>
    </row>
    <row r="124" spans="1:17" ht="15.75" customHeight="1" x14ac:dyDescent="0.25">
      <c r="A124" s="119"/>
      <c r="B124" s="122"/>
      <c r="C124" s="124" t="s">
        <v>86</v>
      </c>
      <c r="D124" s="23" t="s">
        <v>87</v>
      </c>
      <c r="E124" s="2" t="s">
        <v>42</v>
      </c>
      <c r="F124" s="42">
        <v>1</v>
      </c>
      <c r="G124" s="139" t="s">
        <v>48</v>
      </c>
      <c r="H124" s="73" t="str">
        <f>IFERROR(1/(1/
SUM(
N(VLOOKUP(D124&amp;F124,'Budgeted Projections Dom HC'!D:T,2,FALSE)),
N(VLOOKUP(D124&amp;F124,'Budgeted Projections Dom HC'!D:T,3,FALSE))
)
),"")</f>
        <v/>
      </c>
      <c r="I124" s="73" t="str">
        <f>IFERROR(1/(1/COUNTIFS(
'YearA-AppDetails Current Date'!A:A,D124,
'YearA-AppDetails Current Date'!F:F,E124,
'YearA-AppDetails Current Date'!E:E,--F124,
'YearA-AppDetails Current Date'!I:I,"SUMMER")), "")</f>
        <v/>
      </c>
      <c r="J124" s="74" t="str" cm="1">
        <f t="array" ref="J124">IFERROR(1/(1/SUM(COUNTIFS(
'YearA-AppDetails Current Date'!A:A,D124,
'YearA-AppDetails Current Date'!F:F,E124,
'YearA-AppDetails Current Date'!E:E,--F124,
'YearA-AppDetails Current Date'!O:O,{"ACLN","ACPT","COND"},
'YearA-AppDetails Current Date'!S:S,"&lt;&gt;ACLN",
'YearA-AppDetails Current Date'!S:S,"&lt;&gt;ACPT",
'YearA-AppDetails Current Date'!S:S,"&lt;&gt;COND",
'YearA-AppDetails Current Date'!I:I,"SUMMER"))), "")</f>
        <v/>
      </c>
      <c r="K124" s="73" t="str">
        <f>IFERROR(1/(1/SUM(COUNTIFS(
'YearA-AppDetails Current Date'!A:A,D124,
'YearA-AppDetails Current Date'!F:F,E124,
'YearA-AppDetails Current Date'!E:E,--F124,
'YearA-AppDetails Current Date'!R:R,"&lt;&gt;"&amp;"",
'YearA-AppDetails Current Date'!I:I,"SUMMER"))), "")</f>
        <v/>
      </c>
      <c r="L124" s="74" t="str" cm="1">
        <f t="array" ref="L124">IFERROR(1/(1/SUM(COUNTIFS(
'YearA-AppDetails Current Date'!A:A,D124,
'YearA-AppDetails Current Date'!F:F,E124,
'YearA-AppDetails Current Date'!E:E,--F124,
'YearA-AppDetails Current Date'!T:T,{"APEX","DENY","NTSL"},
'YearA-AppDetails Current Date'!I:I,"SUMMER"))), "")</f>
        <v/>
      </c>
      <c r="M124" s="74" t="str" cm="1">
        <f t="array" ref="M124">IFERROR(1/(1/SUM(COUNTIFS(
'YearA-AppDetails Current Date'!A:A,D124,
'YearA-AppDetails Current Date'!F:F,E124,
'YearA-AppDetails Current Date'!E:E,--F124,
'YearA-AppDetails Current Date'!U:U,{"CCAN","DECL"},
'YearA-AppDetails Current Date'!I:I,"SUMMER"))), "")</f>
        <v/>
      </c>
      <c r="N124" s="74" t="str" cm="1">
        <f t="array" ref="N124">IFERROR(1/(1/SUM(COUNTIFS(
'YearA-AppDetails Current Date'!A:A,D124,
'YearA-AppDetails Current Date'!F:F,E124,
'YearA-AppDetails Current Date'!E:E,--F124,
'YearA-AppDetails Current Date'!V:V,{"APRO","NODE"},
'YearA-AppDetails Current Date'!I:I,"SUMMER"))), "")</f>
        <v/>
      </c>
      <c r="O124" s="74" t="str" cm="1">
        <f t="array" ref="O124">IFERROR(1/(1/SUM(COUNTIFS(
'YearA-AppDetails Current Date'!A:A,D124,
'YearA-AppDetails Current Date'!F:F,E124,
'YearA-AppDetails Current Date'!E:E,--F124,
'YearA-AppDetails Current Date'!T:T,{"CDMT","RQMT","WAIT"},
'YearA-AppDetails Current Date'!I:I,"SUMMER"))), "")</f>
        <v/>
      </c>
      <c r="P124" s="74" t="str">
        <f>IFERROR(1/(1/COUNTIFS(
'YearA-AppDetails Current Date'!A:A,D124,
'YearA-AppDetails Current Date'!F:F,E124,
'YearA-AppDetails Current Date'!E:E,--F124,
'YearA-AppDetails Current Date'!Y:Y,"ENRO",
'YearA-AppDetails Current Date'!I:I,"SUMMER")), "")</f>
        <v/>
      </c>
      <c r="Q124" s="3" t="str">
        <f t="shared" si="9"/>
        <v/>
      </c>
    </row>
    <row r="125" spans="1:17" ht="15.75" customHeight="1" x14ac:dyDescent="0.25">
      <c r="A125" s="119"/>
      <c r="B125" s="122"/>
      <c r="C125" s="125"/>
      <c r="D125" s="23" t="s">
        <v>87</v>
      </c>
      <c r="E125" s="2" t="s">
        <v>43</v>
      </c>
      <c r="F125" s="31">
        <v>1</v>
      </c>
      <c r="G125" s="140"/>
      <c r="H125" s="73" t="str">
        <f>IFERROR(1/(1/
SUM(
N(VLOOKUP(D125&amp;F125,'Budgeted Projections Intl HC'!D:T,2,FALSE)),
N(VLOOKUP(D125&amp;F125,'Budgeted Projections Intl HC'!D:T,3,FALSE))
)
),"")</f>
        <v/>
      </c>
      <c r="I125" s="73" t="str">
        <f>IFERROR(1/(1/COUNTIFS(
'YearA-AppDetails Current Date'!A:A,D125,
'YearA-AppDetails Current Date'!F:F,E125,
'YearA-AppDetails Current Date'!E:E,--F125,
'YearA-AppDetails Current Date'!I:I,"SUMMER")), "")</f>
        <v/>
      </c>
      <c r="J125" s="74" t="str" cm="1">
        <f t="array" ref="J125">IFERROR(1/(1/SUM(COUNTIFS(
'YearA-AppDetails Current Date'!A:A,D125,
'YearA-AppDetails Current Date'!F:F,E125,
'YearA-AppDetails Current Date'!E:E,--F125,
'YearA-AppDetails Current Date'!O:O,{"ACLN","ACPT","COND"},
'YearA-AppDetails Current Date'!S:S,"&lt;&gt;ACLN",
'YearA-AppDetails Current Date'!S:S,"&lt;&gt;ACPT",
'YearA-AppDetails Current Date'!S:S,"&lt;&gt;COND",
'YearA-AppDetails Current Date'!I:I,"SUMMER"))), "")</f>
        <v/>
      </c>
      <c r="K125" s="73" t="str">
        <f>IFERROR(1/(1/SUM(COUNTIFS(
'YearA-AppDetails Current Date'!A:A,D125,
'YearA-AppDetails Current Date'!F:F,E125,
'YearA-AppDetails Current Date'!E:E,--F125,
'YearA-AppDetails Current Date'!R:R,"&lt;&gt;"&amp;"",
'YearA-AppDetails Current Date'!I:I,"SUMMER"))), "")</f>
        <v/>
      </c>
      <c r="L125" s="74" t="str" cm="1">
        <f t="array" ref="L125">IFERROR(1/(1/SUM(COUNTIFS(
'YearA-AppDetails Current Date'!A:A,D125,
'YearA-AppDetails Current Date'!F:F,E125,
'YearA-AppDetails Current Date'!E:E,--F125,
'YearA-AppDetails Current Date'!T:T,{"APEX","DENY","NTSL"},
'YearA-AppDetails Current Date'!I:I,"SUMMER"))), "")</f>
        <v/>
      </c>
      <c r="M125" s="74" t="str" cm="1">
        <f t="array" ref="M125">IFERROR(1/(1/SUM(COUNTIFS(
'YearA-AppDetails Current Date'!A:A,D125,
'YearA-AppDetails Current Date'!F:F,E125,
'YearA-AppDetails Current Date'!E:E,--F125,
'YearA-AppDetails Current Date'!U:U,{"CCAN","DECL"},
'YearA-AppDetails Current Date'!I:I,"SUMMER"))), "")</f>
        <v/>
      </c>
      <c r="N125" s="74" t="str" cm="1">
        <f t="array" ref="N125">IFERROR(1/(1/SUM(COUNTIFS(
'YearA-AppDetails Current Date'!A:A,D125,
'YearA-AppDetails Current Date'!F:F,E125,
'YearA-AppDetails Current Date'!E:E,--F125,
'YearA-AppDetails Current Date'!V:V,{"APRO","NODE"},
'YearA-AppDetails Current Date'!I:I,"SUMMER"))), "")</f>
        <v/>
      </c>
      <c r="O125" s="74" t="str" cm="1">
        <f t="array" ref="O125">IFERROR(1/(1/SUM(COUNTIFS(
'YearA-AppDetails Current Date'!A:A,D125,
'YearA-AppDetails Current Date'!F:F,E125,
'YearA-AppDetails Current Date'!E:E,--F125,
'YearA-AppDetails Current Date'!T:T,{"CDMT","RQMT","WAIT"},
'YearA-AppDetails Current Date'!I:I,"SUMMER"))), "")</f>
        <v/>
      </c>
      <c r="P125" s="74" t="str">
        <f>IFERROR(1/(1/COUNTIFS(
'YearA-AppDetails Current Date'!A:A,D125,
'YearA-AppDetails Current Date'!F:F,E125,
'YearA-AppDetails Current Date'!E:E,--F125,
'YearA-AppDetails Current Date'!Y:Y,"ENRO",
'YearA-AppDetails Current Date'!I:I,"SUMMER")), "")</f>
        <v/>
      </c>
      <c r="Q125" s="3" t="str">
        <f t="shared" si="9"/>
        <v/>
      </c>
    </row>
    <row r="126" spans="1:17" ht="15.75" customHeight="1" x14ac:dyDescent="0.25">
      <c r="A126" s="119"/>
      <c r="B126" s="122"/>
      <c r="C126" s="124" t="s">
        <v>157</v>
      </c>
      <c r="D126" s="23" t="s">
        <v>88</v>
      </c>
      <c r="E126" s="2" t="s">
        <v>42</v>
      </c>
      <c r="F126" s="42">
        <v>1</v>
      </c>
      <c r="G126" s="139">
        <v>30</v>
      </c>
      <c r="H126" s="73" t="str">
        <f>IFERROR(1/(1/
SUM(
N(VLOOKUP(D126&amp;F126,'Budgeted Projections Dom HC'!D:T,2,FALSE)),
N(VLOOKUP(D126&amp;F126,'Budgeted Projections Dom HC'!D:T,3,FALSE))
)
),"")</f>
        <v/>
      </c>
      <c r="I126" s="73" t="str">
        <f>IFERROR(1/(1/COUNTIFS(
'YearA-AppDetails Current Date'!A:A,D126,
'YearA-AppDetails Current Date'!F:F,E126,
'YearA-AppDetails Current Date'!E:E,--F126,
'YearA-AppDetails Current Date'!I:I,"SUMMER")), "")</f>
        <v/>
      </c>
      <c r="J126" s="74" t="str" cm="1">
        <f t="array" ref="J126">IFERROR(1/(1/SUM(COUNTIFS(
'YearA-AppDetails Current Date'!A:A,D126,
'YearA-AppDetails Current Date'!F:F,E126,
'YearA-AppDetails Current Date'!E:E,--F126,
'YearA-AppDetails Current Date'!O:O,{"ACLN","ACPT","COND"},
'YearA-AppDetails Current Date'!S:S,"&lt;&gt;ACLN",
'YearA-AppDetails Current Date'!S:S,"&lt;&gt;ACPT",
'YearA-AppDetails Current Date'!S:S,"&lt;&gt;COND",
'YearA-AppDetails Current Date'!I:I,"SUMMER"))), "")</f>
        <v/>
      </c>
      <c r="K126" s="73" t="str">
        <f>IFERROR(1/(1/SUM(COUNTIFS(
'YearA-AppDetails Current Date'!A:A,D126,
'YearA-AppDetails Current Date'!F:F,E126,
'YearA-AppDetails Current Date'!E:E,--F126,
'YearA-AppDetails Current Date'!R:R,"&lt;&gt;"&amp;"",
'YearA-AppDetails Current Date'!I:I,"SUMMER"))), "")</f>
        <v/>
      </c>
      <c r="L126" s="74" t="str" cm="1">
        <f t="array" ref="L126">IFERROR(1/(1/SUM(COUNTIFS(
'YearA-AppDetails Current Date'!A:A,D126,
'YearA-AppDetails Current Date'!F:F,E126,
'YearA-AppDetails Current Date'!E:E,--F126,
'YearA-AppDetails Current Date'!T:T,{"APEX","DENY","NTSL"},
'YearA-AppDetails Current Date'!I:I,"SUMMER"))), "")</f>
        <v/>
      </c>
      <c r="M126" s="74" t="str" cm="1">
        <f t="array" ref="M126">IFERROR(1/(1/SUM(COUNTIFS(
'YearA-AppDetails Current Date'!A:A,D126,
'YearA-AppDetails Current Date'!F:F,E126,
'YearA-AppDetails Current Date'!E:E,--F126,
'YearA-AppDetails Current Date'!U:U,{"CCAN","DECL"},
'YearA-AppDetails Current Date'!I:I,"SUMMER"))), "")</f>
        <v/>
      </c>
      <c r="N126" s="74" t="str" cm="1">
        <f t="array" ref="N126">IFERROR(1/(1/SUM(COUNTIFS(
'YearA-AppDetails Current Date'!A:A,D126,
'YearA-AppDetails Current Date'!F:F,E126,
'YearA-AppDetails Current Date'!E:E,--F126,
'YearA-AppDetails Current Date'!V:V,{"APRO","NODE"},
'YearA-AppDetails Current Date'!I:I,"SUMMER"))), "")</f>
        <v/>
      </c>
      <c r="O126" s="74" t="str" cm="1">
        <f t="array" ref="O126">IFERROR(1/(1/SUM(COUNTIFS(
'YearA-AppDetails Current Date'!A:A,D126,
'YearA-AppDetails Current Date'!F:F,E126,
'YearA-AppDetails Current Date'!E:E,--F126,
'YearA-AppDetails Current Date'!T:T,{"CDMT","RQMT","WAIT"},
'YearA-AppDetails Current Date'!I:I,"SUMMER"))), "")</f>
        <v/>
      </c>
      <c r="P126" s="74" t="str">
        <f>IFERROR(1/(1/COUNTIFS(
'YearA-AppDetails Current Date'!A:A,D126,
'YearA-AppDetails Current Date'!F:F,E126,
'YearA-AppDetails Current Date'!E:E,--F126,
'YearA-AppDetails Current Date'!Y:Y,"ENRO",
'YearA-AppDetails Current Date'!I:I,"SUMMER")), "")</f>
        <v/>
      </c>
      <c r="Q126" s="3" t="str">
        <f t="shared" si="9"/>
        <v/>
      </c>
    </row>
    <row r="127" spans="1:17" ht="15.75" customHeight="1" x14ac:dyDescent="0.25">
      <c r="A127" s="119"/>
      <c r="B127" s="122"/>
      <c r="C127" s="125"/>
      <c r="D127" s="23" t="s">
        <v>88</v>
      </c>
      <c r="E127" s="2" t="s">
        <v>43</v>
      </c>
      <c r="F127" s="31">
        <v>1</v>
      </c>
      <c r="G127" s="140"/>
      <c r="H127" s="73" t="str">
        <f>IFERROR(1/(1/
SUM(
N(VLOOKUP(D127&amp;F127,'Budgeted Projections Intl HC'!D:T,2,FALSE)),
N(VLOOKUP(D127&amp;F127,'Budgeted Projections Intl HC'!D:T,3,FALSE))
)
),"")</f>
        <v/>
      </c>
      <c r="I127" s="73" t="str">
        <f>IFERROR(1/(1/COUNTIFS(
'YearA-AppDetails Current Date'!A:A,D127,
'YearA-AppDetails Current Date'!F:F,E127,
'YearA-AppDetails Current Date'!E:E,--F127,
'YearA-AppDetails Current Date'!I:I,"SUMMER")), "")</f>
        <v/>
      </c>
      <c r="J127" s="74" t="str" cm="1">
        <f t="array" ref="J127">IFERROR(1/(1/SUM(COUNTIFS(
'YearA-AppDetails Current Date'!A:A,D127,
'YearA-AppDetails Current Date'!F:F,E127,
'YearA-AppDetails Current Date'!E:E,--F127,
'YearA-AppDetails Current Date'!O:O,{"ACLN","ACPT","COND"},
'YearA-AppDetails Current Date'!S:S,"&lt;&gt;ACLN",
'YearA-AppDetails Current Date'!S:S,"&lt;&gt;ACPT",
'YearA-AppDetails Current Date'!S:S,"&lt;&gt;COND",
'YearA-AppDetails Current Date'!I:I,"SUMMER"))), "")</f>
        <v/>
      </c>
      <c r="K127" s="73" t="str">
        <f>IFERROR(1/(1/SUM(COUNTIFS(
'YearA-AppDetails Current Date'!A:A,D127,
'YearA-AppDetails Current Date'!F:F,E127,
'YearA-AppDetails Current Date'!E:E,--F127,
'YearA-AppDetails Current Date'!R:R,"&lt;&gt;"&amp;"",
'YearA-AppDetails Current Date'!I:I,"SUMMER"))), "")</f>
        <v/>
      </c>
      <c r="L127" s="74" t="str" cm="1">
        <f t="array" ref="L127">IFERROR(1/(1/SUM(COUNTIFS(
'YearA-AppDetails Current Date'!A:A,D127,
'YearA-AppDetails Current Date'!F:F,E127,
'YearA-AppDetails Current Date'!E:E,--F127,
'YearA-AppDetails Current Date'!T:T,{"APEX","DENY","NTSL"},
'YearA-AppDetails Current Date'!I:I,"SUMMER"))), "")</f>
        <v/>
      </c>
      <c r="M127" s="74" t="str" cm="1">
        <f t="array" ref="M127">IFERROR(1/(1/SUM(COUNTIFS(
'YearA-AppDetails Current Date'!A:A,D127,
'YearA-AppDetails Current Date'!F:F,E127,
'YearA-AppDetails Current Date'!E:E,--F127,
'YearA-AppDetails Current Date'!U:U,{"CCAN","DECL"},
'YearA-AppDetails Current Date'!I:I,"SUMMER"))), "")</f>
        <v/>
      </c>
      <c r="N127" s="74" t="str" cm="1">
        <f t="array" ref="N127">IFERROR(1/(1/SUM(COUNTIFS(
'YearA-AppDetails Current Date'!A:A,D127,
'YearA-AppDetails Current Date'!F:F,E127,
'YearA-AppDetails Current Date'!E:E,--F127,
'YearA-AppDetails Current Date'!V:V,{"APRO","NODE"},
'YearA-AppDetails Current Date'!I:I,"SUMMER"))), "")</f>
        <v/>
      </c>
      <c r="O127" s="74" t="str" cm="1">
        <f t="array" ref="O127">IFERROR(1/(1/SUM(COUNTIFS(
'YearA-AppDetails Current Date'!A:A,D127,
'YearA-AppDetails Current Date'!F:F,E127,
'YearA-AppDetails Current Date'!E:E,--F127,
'YearA-AppDetails Current Date'!T:T,{"CDMT","RQMT","WAIT"},
'YearA-AppDetails Current Date'!I:I,"SUMMER"))), "")</f>
        <v/>
      </c>
      <c r="P127" s="74" t="str">
        <f>IFERROR(1/(1/COUNTIFS(
'YearA-AppDetails Current Date'!A:A,D127,
'YearA-AppDetails Current Date'!F:F,E127,
'YearA-AppDetails Current Date'!E:E,--F127,
'YearA-AppDetails Current Date'!Y:Y,"ENRO",
'YearA-AppDetails Current Date'!I:I,"SUMMER")), "")</f>
        <v/>
      </c>
      <c r="Q127" s="3" t="str">
        <f t="shared" si="9"/>
        <v/>
      </c>
    </row>
    <row r="128" spans="1:17" ht="15.75" customHeight="1" x14ac:dyDescent="0.25">
      <c r="A128" s="119"/>
      <c r="B128" s="123"/>
      <c r="C128" s="142" t="s">
        <v>89</v>
      </c>
      <c r="D128" s="143"/>
      <c r="E128" s="143"/>
      <c r="F128" s="144"/>
      <c r="G128" s="7"/>
      <c r="H128" s="7">
        <f>SUM(H78:H127)</f>
        <v>0</v>
      </c>
      <c r="I128" s="7">
        <f t="shared" ref="I128:P128" si="12">SUM(I78:I127)</f>
        <v>0</v>
      </c>
      <c r="J128" s="7">
        <f t="shared" si="12"/>
        <v>0</v>
      </c>
      <c r="K128" s="7">
        <f t="shared" si="12"/>
        <v>0</v>
      </c>
      <c r="L128" s="7">
        <f t="shared" si="12"/>
        <v>0</v>
      </c>
      <c r="M128" s="7">
        <f t="shared" si="12"/>
        <v>0</v>
      </c>
      <c r="N128" s="7">
        <f t="shared" si="12"/>
        <v>0</v>
      </c>
      <c r="O128" s="7">
        <f t="shared" si="12"/>
        <v>0</v>
      </c>
      <c r="P128" s="7">
        <f t="shared" si="12"/>
        <v>0</v>
      </c>
      <c r="Q128" s="35" t="str">
        <f t="shared" si="9"/>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HC'!D:T,2,FALSE)),
N(VLOOKUP(D129&amp;F129,'Budgeted Projections Dom HC'!D:T,3,FALSE))
)
),"")</f>
        <v/>
      </c>
      <c r="I129" s="73" t="str">
        <f>IFERROR(1/(1/COUNTIFS(
'YearA-AppDetails Current Date'!A:A,D129,
'YearA-AppDetails Current Date'!F:F,E129,
'YearA-AppDetails Current Date'!E:E,--F129,
'YearA-AppDetails Current Date'!I:I,"SUMMER")), "")</f>
        <v/>
      </c>
      <c r="J129" s="74" t="str" cm="1">
        <f t="array" ref="J129">IFERROR(1/(1/SUM(COUNTIFS(
'YearA-AppDetails Current Date'!A:A,D129,
'YearA-AppDetails Current Date'!F:F,E129,
'YearA-AppDetails Current Date'!E:E,--F129,
'YearA-AppDetails Current Date'!O:O,{"ACLN","ACPT","COND"},
'YearA-AppDetails Current Date'!S:S,"&lt;&gt;ACLN",
'YearA-AppDetails Current Date'!S:S,"&lt;&gt;ACPT",
'YearA-AppDetails Current Date'!S:S,"&lt;&gt;COND",
'YearA-AppDetails Current Date'!I:I,"SUMMER"))), "")</f>
        <v/>
      </c>
      <c r="K129" s="73" t="str">
        <f>IFERROR(1/(1/SUM(COUNTIFS(
'YearA-AppDetails Current Date'!A:A,D129,
'YearA-AppDetails Current Date'!F:F,E129,
'YearA-AppDetails Current Date'!E:E,--F129,
'YearA-AppDetails Current Date'!R:R,"&lt;&gt;"&amp;"",
'YearA-AppDetails Current Date'!I:I,"SUMMER"))), "")</f>
        <v/>
      </c>
      <c r="L129" s="74" t="str" cm="1">
        <f t="array" ref="L129">IFERROR(1/(1/SUM(COUNTIFS(
'YearA-AppDetails Current Date'!A:A,D129,
'YearA-AppDetails Current Date'!F:F,E129,
'YearA-AppDetails Current Date'!E:E,--F129,
'YearA-AppDetails Current Date'!T:T,{"APEX","DENY","NTSL"},
'YearA-AppDetails Current Date'!I:I,"SUMMER"))), "")</f>
        <v/>
      </c>
      <c r="M129" s="74" t="str" cm="1">
        <f t="array" ref="M129">IFERROR(1/(1/SUM(COUNTIFS(
'YearA-AppDetails Current Date'!A:A,D129,
'YearA-AppDetails Current Date'!F:F,E129,
'YearA-AppDetails Current Date'!E:E,--F129,
'YearA-AppDetails Current Date'!U:U,{"CCAN","DECL"},
'YearA-AppDetails Current Date'!I:I,"SUMMER"))), "")</f>
        <v/>
      </c>
      <c r="N129" s="74" t="str" cm="1">
        <f t="array" ref="N129">IFERROR(1/(1/SUM(COUNTIFS(
'YearA-AppDetails Current Date'!A:A,D129,
'YearA-AppDetails Current Date'!F:F,E129,
'YearA-AppDetails Current Date'!E:E,--F129,
'YearA-AppDetails Current Date'!V:V,{"APRO","NODE"},
'YearA-AppDetails Current Date'!I:I,"SUMMER"))), "")</f>
        <v/>
      </c>
      <c r="O129" s="74" t="str" cm="1">
        <f t="array" ref="O129">IFERROR(1/(1/SUM(COUNTIFS(
'YearA-AppDetails Current Date'!A:A,D129,
'YearA-AppDetails Current Date'!F:F,E129,
'YearA-AppDetails Current Date'!E:E,--F129,
'YearA-AppDetails Current Date'!T:T,{"CDMT","RQMT","WAIT"},
'YearA-AppDetails Current Date'!I:I,"SUMMER"))), "")</f>
        <v/>
      </c>
      <c r="P129" s="74" t="str">
        <f>IFERROR(1/(1/COUNTIFS(
'YearA-AppDetails Current Date'!A:A,D129,
'YearA-AppDetails Current Date'!F:F,E129,
'YearA-AppDetails Current Date'!E:E,--F129,
'YearA-AppDetails Current Date'!Y:Y,"ENRO",
'YearA-AppDetails Current Date'!I:I,"SUMMER")), "")</f>
        <v/>
      </c>
      <c r="Q129" s="3" t="str">
        <f t="shared" si="9"/>
        <v/>
      </c>
    </row>
    <row r="130" spans="1:17" ht="15.75" customHeight="1" x14ac:dyDescent="0.25">
      <c r="A130" s="119"/>
      <c r="B130" s="122"/>
      <c r="C130" s="125"/>
      <c r="D130" s="25" t="s">
        <v>91</v>
      </c>
      <c r="E130" s="2" t="s">
        <v>43</v>
      </c>
      <c r="F130" s="31">
        <v>1</v>
      </c>
      <c r="G130" s="147"/>
      <c r="H130" s="73" t="str">
        <f>IFERROR(1/(1/
SUM(
N(VLOOKUP(D130&amp;F130,'Budgeted Projections Intl HC'!D:T,2,FALSE)),
N(VLOOKUP(D130&amp;F130,'Budgeted Projections Intl HC'!D:T,3,FALSE))
)
),"")</f>
        <v/>
      </c>
      <c r="I130" s="73" t="str">
        <f>IFERROR(1/(1/COUNTIFS(
'YearA-AppDetails Current Date'!A:A,D130,
'YearA-AppDetails Current Date'!F:F,E130,
'YearA-AppDetails Current Date'!E:E,--F130,
'YearA-AppDetails Current Date'!I:I,"SUMMER")), "")</f>
        <v/>
      </c>
      <c r="J130" s="74" t="str" cm="1">
        <f t="array" ref="J130">IFERROR(1/(1/SUM(COUNTIFS(
'YearA-AppDetails Current Date'!A:A,D130,
'YearA-AppDetails Current Date'!F:F,E130,
'YearA-AppDetails Current Date'!E:E,--F130,
'YearA-AppDetails Current Date'!O:O,{"ACLN","ACPT","COND"},
'YearA-AppDetails Current Date'!S:S,"&lt;&gt;ACLN",
'YearA-AppDetails Current Date'!S:S,"&lt;&gt;ACPT",
'YearA-AppDetails Current Date'!S:S,"&lt;&gt;COND",
'YearA-AppDetails Current Date'!I:I,"SUMMER"))), "")</f>
        <v/>
      </c>
      <c r="K130" s="73" t="str">
        <f>IFERROR(1/(1/SUM(COUNTIFS(
'YearA-AppDetails Current Date'!A:A,D130,
'YearA-AppDetails Current Date'!F:F,E130,
'YearA-AppDetails Current Date'!E:E,--F130,
'YearA-AppDetails Current Date'!R:R,"&lt;&gt;"&amp;"",
'YearA-AppDetails Current Date'!I:I,"SUMMER"))), "")</f>
        <v/>
      </c>
      <c r="L130" s="74" t="str" cm="1">
        <f t="array" ref="L130">IFERROR(1/(1/SUM(COUNTIFS(
'YearA-AppDetails Current Date'!A:A,D130,
'YearA-AppDetails Current Date'!F:F,E130,
'YearA-AppDetails Current Date'!E:E,--F130,
'YearA-AppDetails Current Date'!T:T,{"APEX","DENY","NTSL"},
'YearA-AppDetails Current Date'!I:I,"SUMMER"))), "")</f>
        <v/>
      </c>
      <c r="M130" s="74" t="str" cm="1">
        <f t="array" ref="M130">IFERROR(1/(1/SUM(COUNTIFS(
'YearA-AppDetails Current Date'!A:A,D130,
'YearA-AppDetails Current Date'!F:F,E130,
'YearA-AppDetails Current Date'!E:E,--F130,
'YearA-AppDetails Current Date'!U:U,{"CCAN","DECL"},
'YearA-AppDetails Current Date'!I:I,"SUMMER"))), "")</f>
        <v/>
      </c>
      <c r="N130" s="74" t="str" cm="1">
        <f t="array" ref="N130">IFERROR(1/(1/SUM(COUNTIFS(
'YearA-AppDetails Current Date'!A:A,D130,
'YearA-AppDetails Current Date'!F:F,E130,
'YearA-AppDetails Current Date'!E:E,--F130,
'YearA-AppDetails Current Date'!V:V,{"APRO","NODE"},
'YearA-AppDetails Current Date'!I:I,"SUMMER"))), "")</f>
        <v/>
      </c>
      <c r="O130" s="74" t="str" cm="1">
        <f t="array" ref="O130">IFERROR(1/(1/SUM(COUNTIFS(
'YearA-AppDetails Current Date'!A:A,D130,
'YearA-AppDetails Current Date'!F:F,E130,
'YearA-AppDetails Current Date'!E:E,--F130,
'YearA-AppDetails Current Date'!T:T,{"CDMT","RQMT","WAIT"},
'YearA-AppDetails Current Date'!I:I,"SUMMER"))), "")</f>
        <v/>
      </c>
      <c r="P130" s="74" t="str">
        <f>IFERROR(1/(1/COUNTIFS(
'YearA-AppDetails Current Date'!A:A,D130,
'YearA-AppDetails Current Date'!F:F,E130,
'YearA-AppDetails Current Date'!E:E,--F130,
'YearA-AppDetails Current Date'!Y:Y,"ENRO",
'YearA-AppDetails Current Date'!I:I,"SUMMER")), "")</f>
        <v/>
      </c>
      <c r="Q130" s="3" t="str">
        <f t="shared" si="9"/>
        <v/>
      </c>
    </row>
    <row r="131" spans="1:17" ht="15.75" customHeight="1" x14ac:dyDescent="0.25">
      <c r="A131" s="119"/>
      <c r="B131" s="122"/>
      <c r="C131" s="124" t="s">
        <v>92</v>
      </c>
      <c r="D131" s="25" t="s">
        <v>93</v>
      </c>
      <c r="E131" s="2" t="s">
        <v>42</v>
      </c>
      <c r="F131" s="42">
        <v>1</v>
      </c>
      <c r="G131" s="139" t="s">
        <v>48</v>
      </c>
      <c r="H131" s="73" t="str">
        <f>IFERROR(1/(1/
SUM(
N(VLOOKUP(D131&amp;F131,'Budgeted Projections Dom HC'!D:T,2,FALSE)),
N(VLOOKUP(D131&amp;F131,'Budgeted Projections Dom HC'!D:T,3,FALSE))
)
),"")</f>
        <v/>
      </c>
      <c r="I131" s="73" t="str">
        <f>IFERROR(1/(1/COUNTIFS(
'YearA-AppDetails Current Date'!A:A,D131,
'YearA-AppDetails Current Date'!F:F,E131,
'YearA-AppDetails Current Date'!E:E,--F131,
'YearA-AppDetails Current Date'!I:I,"SUMMER")), "")</f>
        <v/>
      </c>
      <c r="J131" s="74" t="str" cm="1">
        <f t="array" ref="J131">IFERROR(1/(1/SUM(COUNTIFS(
'YearA-AppDetails Current Date'!A:A,D131,
'YearA-AppDetails Current Date'!F:F,E131,
'YearA-AppDetails Current Date'!E:E,--F131,
'YearA-AppDetails Current Date'!O:O,{"ACLN","ACPT","COND"},
'YearA-AppDetails Current Date'!S:S,"&lt;&gt;ACLN",
'YearA-AppDetails Current Date'!S:S,"&lt;&gt;ACPT",
'YearA-AppDetails Current Date'!S:S,"&lt;&gt;COND",
'YearA-AppDetails Current Date'!I:I,"SUMMER"))), "")</f>
        <v/>
      </c>
      <c r="K131" s="73" t="str">
        <f>IFERROR(1/(1/SUM(COUNTIFS(
'YearA-AppDetails Current Date'!A:A,D131,
'YearA-AppDetails Current Date'!F:F,E131,
'YearA-AppDetails Current Date'!E:E,--F131,
'YearA-AppDetails Current Date'!R:R,"&lt;&gt;"&amp;"",
'YearA-AppDetails Current Date'!I:I,"SUMMER"))), "")</f>
        <v/>
      </c>
      <c r="L131" s="74" t="str" cm="1">
        <f t="array" ref="L131">IFERROR(1/(1/SUM(COUNTIFS(
'YearA-AppDetails Current Date'!A:A,D131,
'YearA-AppDetails Current Date'!F:F,E131,
'YearA-AppDetails Current Date'!E:E,--F131,
'YearA-AppDetails Current Date'!T:T,{"APEX","DENY","NTSL"},
'YearA-AppDetails Current Date'!I:I,"SUMMER"))), "")</f>
        <v/>
      </c>
      <c r="M131" s="74" t="str" cm="1">
        <f t="array" ref="M131">IFERROR(1/(1/SUM(COUNTIFS(
'YearA-AppDetails Current Date'!A:A,D131,
'YearA-AppDetails Current Date'!F:F,E131,
'YearA-AppDetails Current Date'!E:E,--F131,
'YearA-AppDetails Current Date'!U:U,{"CCAN","DECL"},
'YearA-AppDetails Current Date'!I:I,"SUMMER"))), "")</f>
        <v/>
      </c>
      <c r="N131" s="74" t="str" cm="1">
        <f t="array" ref="N131">IFERROR(1/(1/SUM(COUNTIFS(
'YearA-AppDetails Current Date'!A:A,D131,
'YearA-AppDetails Current Date'!F:F,E131,
'YearA-AppDetails Current Date'!E:E,--F131,
'YearA-AppDetails Current Date'!V:V,{"APRO","NODE"},
'YearA-AppDetails Current Date'!I:I,"SUMMER"))), "")</f>
        <v/>
      </c>
      <c r="O131" s="74" t="str" cm="1">
        <f t="array" ref="O131">IFERROR(1/(1/SUM(COUNTIFS(
'YearA-AppDetails Current Date'!A:A,D131,
'YearA-AppDetails Current Date'!F:F,E131,
'YearA-AppDetails Current Date'!E:E,--F131,
'YearA-AppDetails Current Date'!T:T,{"CDMT","RQMT","WAIT"},
'YearA-AppDetails Current Date'!I:I,"SUMMER"))), "")</f>
        <v/>
      </c>
      <c r="P131" s="74" t="str">
        <f>IFERROR(1/(1/COUNTIFS(
'YearA-AppDetails Current Date'!A:A,D131,
'YearA-AppDetails Current Date'!F:F,E131,
'YearA-AppDetails Current Date'!E:E,--F131,
'YearA-AppDetails Current Date'!Y:Y,"ENRO",
'YearA-AppDetails Current Date'!I:I,"SUMMER")), "")</f>
        <v/>
      </c>
      <c r="Q131" s="3" t="str">
        <f t="shared" si="9"/>
        <v/>
      </c>
    </row>
    <row r="132" spans="1:17" ht="15.75" customHeight="1" x14ac:dyDescent="0.25">
      <c r="A132" s="119"/>
      <c r="B132" s="122"/>
      <c r="C132" s="125"/>
      <c r="D132" s="25" t="s">
        <v>93</v>
      </c>
      <c r="E132" s="2" t="s">
        <v>43</v>
      </c>
      <c r="F132" s="31">
        <v>1</v>
      </c>
      <c r="G132" s="140"/>
      <c r="H132" s="73" t="str">
        <f>IFERROR(1/(1/
SUM(
N(VLOOKUP(D132&amp;F132,'Budgeted Projections Intl HC'!D:T,2,FALSE)),
N(VLOOKUP(D132&amp;F132,'Budgeted Projections Intl HC'!D:T,3,FALSE))
)
),"")</f>
        <v/>
      </c>
      <c r="I132" s="73" t="str">
        <f>IFERROR(1/(1/COUNTIFS(
'YearA-AppDetails Current Date'!A:A,D132,
'YearA-AppDetails Current Date'!F:F,E132,
'YearA-AppDetails Current Date'!E:E,--F132,
'YearA-AppDetails Current Date'!I:I,"SUMMER")), "")</f>
        <v/>
      </c>
      <c r="J132" s="74" t="str" cm="1">
        <f t="array" ref="J132">IFERROR(1/(1/SUM(COUNTIFS(
'YearA-AppDetails Current Date'!A:A,D132,
'YearA-AppDetails Current Date'!F:F,E132,
'YearA-AppDetails Current Date'!E:E,--F132,
'YearA-AppDetails Current Date'!O:O,{"ACLN","ACPT","COND"},
'YearA-AppDetails Current Date'!S:S,"&lt;&gt;ACLN",
'YearA-AppDetails Current Date'!S:S,"&lt;&gt;ACPT",
'YearA-AppDetails Current Date'!S:S,"&lt;&gt;COND",
'YearA-AppDetails Current Date'!I:I,"SUMMER"))), "")</f>
        <v/>
      </c>
      <c r="K132" s="73" t="str">
        <f>IFERROR(1/(1/SUM(COUNTIFS(
'YearA-AppDetails Current Date'!A:A,D132,
'YearA-AppDetails Current Date'!F:F,E132,
'YearA-AppDetails Current Date'!E:E,--F132,
'YearA-AppDetails Current Date'!R:R,"&lt;&gt;"&amp;"",
'YearA-AppDetails Current Date'!I:I,"SUMMER"))), "")</f>
        <v/>
      </c>
      <c r="L132" s="74" t="str" cm="1">
        <f t="array" ref="L132">IFERROR(1/(1/SUM(COUNTIFS(
'YearA-AppDetails Current Date'!A:A,D132,
'YearA-AppDetails Current Date'!F:F,E132,
'YearA-AppDetails Current Date'!E:E,--F132,
'YearA-AppDetails Current Date'!T:T,{"APEX","DENY","NTSL"},
'YearA-AppDetails Current Date'!I:I,"SUMMER"))), "")</f>
        <v/>
      </c>
      <c r="M132" s="74" t="str" cm="1">
        <f t="array" ref="M132">IFERROR(1/(1/SUM(COUNTIFS(
'YearA-AppDetails Current Date'!A:A,D132,
'YearA-AppDetails Current Date'!F:F,E132,
'YearA-AppDetails Current Date'!E:E,--F132,
'YearA-AppDetails Current Date'!U:U,{"CCAN","DECL"},
'YearA-AppDetails Current Date'!I:I,"SUMMER"))), "")</f>
        <v/>
      </c>
      <c r="N132" s="74" t="str" cm="1">
        <f t="array" ref="N132">IFERROR(1/(1/SUM(COUNTIFS(
'YearA-AppDetails Current Date'!A:A,D132,
'YearA-AppDetails Current Date'!F:F,E132,
'YearA-AppDetails Current Date'!E:E,--F132,
'YearA-AppDetails Current Date'!V:V,{"APRO","NODE"},
'YearA-AppDetails Current Date'!I:I,"SUMMER"))), "")</f>
        <v/>
      </c>
      <c r="O132" s="74" t="str" cm="1">
        <f t="array" ref="O132">IFERROR(1/(1/SUM(COUNTIFS(
'YearA-AppDetails Current Date'!A:A,D132,
'YearA-AppDetails Current Date'!F:F,E132,
'YearA-AppDetails Current Date'!E:E,--F132,
'YearA-AppDetails Current Date'!T:T,{"CDMT","RQMT","WAIT"},
'YearA-AppDetails Current Date'!I:I,"SUMMER"))), "")</f>
        <v/>
      </c>
      <c r="P132" s="74" t="str">
        <f>IFERROR(1/(1/COUNTIFS(
'YearA-AppDetails Current Date'!A:A,D132,
'YearA-AppDetails Current Date'!F:F,E132,
'YearA-AppDetails Current Date'!E:E,--F132,
'YearA-AppDetails Current Date'!Y:Y,"ENRO",
'YearA-AppDetails Current Date'!I:I,"SUMMER")), "")</f>
        <v/>
      </c>
      <c r="Q132" s="3" t="str">
        <f t="shared" si="9"/>
        <v/>
      </c>
    </row>
    <row r="133" spans="1:17" ht="15.75" customHeight="1" x14ac:dyDescent="0.25">
      <c r="A133" s="119"/>
      <c r="B133" s="122"/>
      <c r="C133" s="124" t="s">
        <v>94</v>
      </c>
      <c r="D133" s="25" t="s">
        <v>95</v>
      </c>
      <c r="E133" s="2" t="s">
        <v>42</v>
      </c>
      <c r="F133" s="42">
        <v>1</v>
      </c>
      <c r="G133" s="139" t="s">
        <v>48</v>
      </c>
      <c r="H133" s="73" t="str">
        <f>IFERROR(1/(1/
SUM(
N(VLOOKUP(D133&amp;F133,'Budgeted Projections Dom HC'!D:T,2,FALSE)),
N(VLOOKUP(D133&amp;F133,'Budgeted Projections Dom HC'!D:T,3,FALSE))
)
),"")</f>
        <v/>
      </c>
      <c r="I133" s="73" t="str">
        <f>IFERROR(1/(1/COUNTIFS(
'YearA-AppDetails Current Date'!A:A,D133,
'YearA-AppDetails Current Date'!F:F,E133,
'YearA-AppDetails Current Date'!E:E,--F133,
'YearA-AppDetails Current Date'!I:I,"SUMMER")), "")</f>
        <v/>
      </c>
      <c r="J133" s="74" t="str" cm="1">
        <f t="array" ref="J133">IFERROR(1/(1/SUM(COUNTIFS(
'YearA-AppDetails Current Date'!A:A,D133,
'YearA-AppDetails Current Date'!F:F,E133,
'YearA-AppDetails Current Date'!E:E,--F133,
'YearA-AppDetails Current Date'!O:O,{"ACLN","ACPT","COND"},
'YearA-AppDetails Current Date'!S:S,"&lt;&gt;ACLN",
'YearA-AppDetails Current Date'!S:S,"&lt;&gt;ACPT",
'YearA-AppDetails Current Date'!S:S,"&lt;&gt;COND",
'YearA-AppDetails Current Date'!I:I,"SUMMER"))), "")</f>
        <v/>
      </c>
      <c r="K133" s="73" t="str">
        <f>IFERROR(1/(1/SUM(COUNTIFS(
'YearA-AppDetails Current Date'!A:A,D133,
'YearA-AppDetails Current Date'!F:F,E133,
'YearA-AppDetails Current Date'!E:E,--F133,
'YearA-AppDetails Current Date'!R:R,"&lt;&gt;"&amp;"",
'YearA-AppDetails Current Date'!I:I,"SUMMER"))), "")</f>
        <v/>
      </c>
      <c r="L133" s="74" t="str" cm="1">
        <f t="array" ref="L133">IFERROR(1/(1/SUM(COUNTIFS(
'YearA-AppDetails Current Date'!A:A,D133,
'YearA-AppDetails Current Date'!F:F,E133,
'YearA-AppDetails Current Date'!E:E,--F133,
'YearA-AppDetails Current Date'!T:T,{"APEX","DENY","NTSL"},
'YearA-AppDetails Current Date'!I:I,"SUMMER"))), "")</f>
        <v/>
      </c>
      <c r="M133" s="74" t="str" cm="1">
        <f t="array" ref="M133">IFERROR(1/(1/SUM(COUNTIFS(
'YearA-AppDetails Current Date'!A:A,D133,
'YearA-AppDetails Current Date'!F:F,E133,
'YearA-AppDetails Current Date'!E:E,--F133,
'YearA-AppDetails Current Date'!U:U,{"CCAN","DECL"},
'YearA-AppDetails Current Date'!I:I,"SUMMER"))), "")</f>
        <v/>
      </c>
      <c r="N133" s="74" t="str" cm="1">
        <f t="array" ref="N133">IFERROR(1/(1/SUM(COUNTIFS(
'YearA-AppDetails Current Date'!A:A,D133,
'YearA-AppDetails Current Date'!F:F,E133,
'YearA-AppDetails Current Date'!E:E,--F133,
'YearA-AppDetails Current Date'!V:V,{"APRO","NODE"},
'YearA-AppDetails Current Date'!I:I,"SUMMER"))), "")</f>
        <v/>
      </c>
      <c r="O133" s="74" t="str" cm="1">
        <f t="array" ref="O133">IFERROR(1/(1/SUM(COUNTIFS(
'YearA-AppDetails Current Date'!A:A,D133,
'YearA-AppDetails Current Date'!F:F,E133,
'YearA-AppDetails Current Date'!E:E,--F133,
'YearA-AppDetails Current Date'!T:T,{"CDMT","RQMT","WAIT"},
'YearA-AppDetails Current Date'!I:I,"SUMMER"))), "")</f>
        <v/>
      </c>
      <c r="P133" s="74" t="str">
        <f>IFERROR(1/(1/COUNTIFS(
'YearA-AppDetails Current Date'!A:A,D133,
'YearA-AppDetails Current Date'!F:F,E133,
'YearA-AppDetails Current Date'!E:E,--F133,
'YearA-AppDetails Current Date'!Y:Y,"ENRO",
'YearA-AppDetails Current Date'!I:I,"SUMMER")), "")</f>
        <v/>
      </c>
      <c r="Q133" s="3" t="str">
        <f t="shared" si="9"/>
        <v/>
      </c>
    </row>
    <row r="134" spans="1:17" ht="15.75" customHeight="1" x14ac:dyDescent="0.25">
      <c r="A134" s="119"/>
      <c r="B134" s="122"/>
      <c r="C134" s="125"/>
      <c r="D134" s="25" t="s">
        <v>95</v>
      </c>
      <c r="E134" s="2" t="s">
        <v>43</v>
      </c>
      <c r="F134" s="31">
        <v>1</v>
      </c>
      <c r="G134" s="140"/>
      <c r="H134" s="73" t="str">
        <f>IFERROR(1/(1/
SUM(
N(VLOOKUP(D134&amp;F134,'Budgeted Projections Intl HC'!D:T,2,FALSE)),
N(VLOOKUP(D134&amp;F134,'Budgeted Projections Intl HC'!D:T,3,FALSE))
)
),"")</f>
        <v/>
      </c>
      <c r="I134" s="73" t="str">
        <f>IFERROR(1/(1/COUNTIFS(
'YearA-AppDetails Current Date'!A:A,D134,
'YearA-AppDetails Current Date'!F:F,E134,
'YearA-AppDetails Current Date'!E:E,--F134,
'YearA-AppDetails Current Date'!I:I,"SUMMER")), "")</f>
        <v/>
      </c>
      <c r="J134" s="74" t="str" cm="1">
        <f t="array" ref="J134">IFERROR(1/(1/SUM(COUNTIFS(
'YearA-AppDetails Current Date'!A:A,D134,
'YearA-AppDetails Current Date'!F:F,E134,
'YearA-AppDetails Current Date'!E:E,--F134,
'YearA-AppDetails Current Date'!O:O,{"ACLN","ACPT","COND"},
'YearA-AppDetails Current Date'!S:S,"&lt;&gt;ACLN",
'YearA-AppDetails Current Date'!S:S,"&lt;&gt;ACPT",
'YearA-AppDetails Current Date'!S:S,"&lt;&gt;COND",
'YearA-AppDetails Current Date'!I:I,"SUMMER"))), "")</f>
        <v/>
      </c>
      <c r="K134" s="73" t="str">
        <f>IFERROR(1/(1/SUM(COUNTIFS(
'YearA-AppDetails Current Date'!A:A,D134,
'YearA-AppDetails Current Date'!F:F,E134,
'YearA-AppDetails Current Date'!E:E,--F134,
'YearA-AppDetails Current Date'!R:R,"&lt;&gt;"&amp;"",
'YearA-AppDetails Current Date'!I:I,"SUMMER"))), "")</f>
        <v/>
      </c>
      <c r="L134" s="74" t="str" cm="1">
        <f t="array" ref="L134">IFERROR(1/(1/SUM(COUNTIFS(
'YearA-AppDetails Current Date'!A:A,D134,
'YearA-AppDetails Current Date'!F:F,E134,
'YearA-AppDetails Current Date'!E:E,--F134,
'YearA-AppDetails Current Date'!T:T,{"APEX","DENY","NTSL"},
'YearA-AppDetails Current Date'!I:I,"SUMMER"))), "")</f>
        <v/>
      </c>
      <c r="M134" s="74" t="str" cm="1">
        <f t="array" ref="M134">IFERROR(1/(1/SUM(COUNTIFS(
'YearA-AppDetails Current Date'!A:A,D134,
'YearA-AppDetails Current Date'!F:F,E134,
'YearA-AppDetails Current Date'!E:E,--F134,
'YearA-AppDetails Current Date'!U:U,{"CCAN","DECL"},
'YearA-AppDetails Current Date'!I:I,"SUMMER"))), "")</f>
        <v/>
      </c>
      <c r="N134" s="74" t="str" cm="1">
        <f t="array" ref="N134">IFERROR(1/(1/SUM(COUNTIFS(
'YearA-AppDetails Current Date'!A:A,D134,
'YearA-AppDetails Current Date'!F:F,E134,
'YearA-AppDetails Current Date'!E:E,--F134,
'YearA-AppDetails Current Date'!V:V,{"APRO","NODE"},
'YearA-AppDetails Current Date'!I:I,"SUMMER"))), "")</f>
        <v/>
      </c>
      <c r="O134" s="74" t="str" cm="1">
        <f t="array" ref="O134">IFERROR(1/(1/SUM(COUNTIFS(
'YearA-AppDetails Current Date'!A:A,D134,
'YearA-AppDetails Current Date'!F:F,E134,
'YearA-AppDetails Current Date'!E:E,--F134,
'YearA-AppDetails Current Date'!T:T,{"CDMT","RQMT","WAIT"},
'YearA-AppDetails Current Date'!I:I,"SUMMER"))), "")</f>
        <v/>
      </c>
      <c r="P134" s="74" t="str">
        <f>IFERROR(1/(1/COUNTIFS(
'YearA-AppDetails Current Date'!A:A,D134,
'YearA-AppDetails Current Date'!F:F,E134,
'YearA-AppDetails Current Date'!E:E,--F134,
'YearA-AppDetails Current Date'!Y:Y,"ENRO",
'YearA-AppDetails Current Date'!I:I,"SUMMER")), "")</f>
        <v/>
      </c>
      <c r="Q134" s="3" t="str">
        <f t="shared" si="9"/>
        <v/>
      </c>
    </row>
    <row r="135" spans="1:17" ht="15.75" customHeight="1" x14ac:dyDescent="0.25">
      <c r="A135" s="119"/>
      <c r="B135" s="122"/>
      <c r="C135" s="124" t="s">
        <v>98</v>
      </c>
      <c r="D135" s="23" t="s">
        <v>99</v>
      </c>
      <c r="E135" s="2" t="s">
        <v>42</v>
      </c>
      <c r="F135" s="42">
        <v>1</v>
      </c>
      <c r="G135" s="139">
        <v>20</v>
      </c>
      <c r="H135" s="73" t="str">
        <f>IFERROR(1/(1/
SUM(
N(VLOOKUP(D135&amp;F135,'Budgeted Projections Dom HC'!D:T,2,FALSE)),
N(VLOOKUP(D135&amp;F135,'Budgeted Projections Dom HC'!D:T,3,FALSE))
)
),"")</f>
        <v/>
      </c>
      <c r="I135" s="73" t="str">
        <f>IFERROR(1/(1/COUNTIFS(
'YearA-AppDetails Current Date'!A:A,D135,
'YearA-AppDetails Current Date'!F:F,E135,
'YearA-AppDetails Current Date'!E:E,--F135,
'YearA-AppDetails Current Date'!I:I,"SUMMER")), "")</f>
        <v/>
      </c>
      <c r="J135" s="74" t="str" cm="1">
        <f t="array" ref="J135">IFERROR(1/(1/SUM(COUNTIFS(
'YearA-AppDetails Current Date'!A:A,D135,
'YearA-AppDetails Current Date'!F:F,E135,
'YearA-AppDetails Current Date'!E:E,--F135,
'YearA-AppDetails Current Date'!O:O,{"ACLN","ACPT","COND"},
'YearA-AppDetails Current Date'!S:S,"&lt;&gt;ACLN",
'YearA-AppDetails Current Date'!S:S,"&lt;&gt;ACPT",
'YearA-AppDetails Current Date'!S:S,"&lt;&gt;COND",
'YearA-AppDetails Current Date'!I:I,"SUMMER"))), "")</f>
        <v/>
      </c>
      <c r="K135" s="73" t="str">
        <f>IFERROR(1/(1/SUM(COUNTIFS(
'YearA-AppDetails Current Date'!A:A,D135,
'YearA-AppDetails Current Date'!F:F,E135,
'YearA-AppDetails Current Date'!E:E,--F135,
'YearA-AppDetails Current Date'!R:R,"&lt;&gt;"&amp;"",
'YearA-AppDetails Current Date'!I:I,"SUMMER"))), "")</f>
        <v/>
      </c>
      <c r="L135" s="74" t="str" cm="1">
        <f t="array" ref="L135">IFERROR(1/(1/SUM(COUNTIFS(
'YearA-AppDetails Current Date'!A:A,D135,
'YearA-AppDetails Current Date'!F:F,E135,
'YearA-AppDetails Current Date'!E:E,--F135,
'YearA-AppDetails Current Date'!T:T,{"APEX","DENY","NTSL"},
'YearA-AppDetails Current Date'!I:I,"SUMMER"))), "")</f>
        <v/>
      </c>
      <c r="M135" s="74" t="str" cm="1">
        <f t="array" ref="M135">IFERROR(1/(1/SUM(COUNTIFS(
'YearA-AppDetails Current Date'!A:A,D135,
'YearA-AppDetails Current Date'!F:F,E135,
'YearA-AppDetails Current Date'!E:E,--F135,
'YearA-AppDetails Current Date'!U:U,{"CCAN","DECL"},
'YearA-AppDetails Current Date'!I:I,"SUMMER"))), "")</f>
        <v/>
      </c>
      <c r="N135" s="74" t="str" cm="1">
        <f t="array" ref="N135">IFERROR(1/(1/SUM(COUNTIFS(
'YearA-AppDetails Current Date'!A:A,D135,
'YearA-AppDetails Current Date'!F:F,E135,
'YearA-AppDetails Current Date'!E:E,--F135,
'YearA-AppDetails Current Date'!V:V,{"APRO","NODE"},
'YearA-AppDetails Current Date'!I:I,"SUMMER"))), "")</f>
        <v/>
      </c>
      <c r="O135" s="74" t="str" cm="1">
        <f t="array" ref="O135">IFERROR(1/(1/SUM(COUNTIFS(
'YearA-AppDetails Current Date'!A:A,D135,
'YearA-AppDetails Current Date'!F:F,E135,
'YearA-AppDetails Current Date'!E:E,--F135,
'YearA-AppDetails Current Date'!T:T,{"CDMT","RQMT","WAIT"},
'YearA-AppDetails Current Date'!I:I,"SUMMER"))), "")</f>
        <v/>
      </c>
      <c r="P135" s="74" t="str">
        <f>IFERROR(1/(1/COUNTIFS(
'YearA-AppDetails Current Date'!A:A,D135,
'YearA-AppDetails Current Date'!F:F,E135,
'YearA-AppDetails Current Date'!E:E,--F135,
'YearA-AppDetails Current Date'!Y:Y,"ENRO",
'YearA-AppDetails Current Date'!I:I,"SUMMER")), "")</f>
        <v/>
      </c>
      <c r="Q135" s="3" t="str">
        <f t="shared" si="9"/>
        <v/>
      </c>
    </row>
    <row r="136" spans="1:17" ht="15.75" customHeight="1" x14ac:dyDescent="0.25">
      <c r="A136" s="119"/>
      <c r="B136" s="122"/>
      <c r="C136" s="125"/>
      <c r="D136" s="23" t="s">
        <v>99</v>
      </c>
      <c r="E136" s="2" t="s">
        <v>43</v>
      </c>
      <c r="F136" s="31">
        <v>1</v>
      </c>
      <c r="G136" s="140"/>
      <c r="H136" s="73" t="str">
        <f>IFERROR(1/(1/
SUM(
N(VLOOKUP(D136&amp;F136,'Budgeted Projections Intl HC'!D:T,2,FALSE)),
N(VLOOKUP(D136&amp;F136,'Budgeted Projections Intl HC'!D:T,3,FALSE))
)
),"")</f>
        <v/>
      </c>
      <c r="I136" s="73" t="str">
        <f>IFERROR(1/(1/COUNTIFS(
'YearA-AppDetails Current Date'!A:A,D136,
'YearA-AppDetails Current Date'!F:F,E136,
'YearA-AppDetails Current Date'!E:E,--F136,
'YearA-AppDetails Current Date'!I:I,"SUMMER")), "")</f>
        <v/>
      </c>
      <c r="J136" s="74" t="str" cm="1">
        <f t="array" ref="J136">IFERROR(1/(1/SUM(COUNTIFS(
'YearA-AppDetails Current Date'!A:A,D136,
'YearA-AppDetails Current Date'!F:F,E136,
'YearA-AppDetails Current Date'!E:E,--F136,
'YearA-AppDetails Current Date'!O:O,{"ACLN","ACPT","COND"},
'YearA-AppDetails Current Date'!S:S,"&lt;&gt;ACLN",
'YearA-AppDetails Current Date'!S:S,"&lt;&gt;ACPT",
'YearA-AppDetails Current Date'!S:S,"&lt;&gt;COND",
'YearA-AppDetails Current Date'!I:I,"SUMMER"))), "")</f>
        <v/>
      </c>
      <c r="K136" s="73" t="str">
        <f>IFERROR(1/(1/SUM(COUNTIFS(
'YearA-AppDetails Current Date'!A:A,D136,
'YearA-AppDetails Current Date'!F:F,E136,
'YearA-AppDetails Current Date'!E:E,--F136,
'YearA-AppDetails Current Date'!R:R,"&lt;&gt;"&amp;"",
'YearA-AppDetails Current Date'!I:I,"SUMMER"))), "")</f>
        <v/>
      </c>
      <c r="L136" s="74" t="str" cm="1">
        <f t="array" ref="L136">IFERROR(1/(1/SUM(COUNTIFS(
'YearA-AppDetails Current Date'!A:A,D136,
'YearA-AppDetails Current Date'!F:F,E136,
'YearA-AppDetails Current Date'!E:E,--F136,
'YearA-AppDetails Current Date'!T:T,{"APEX","DENY","NTSL"},
'YearA-AppDetails Current Date'!I:I,"SUMMER"))), "")</f>
        <v/>
      </c>
      <c r="M136" s="74" t="str" cm="1">
        <f t="array" ref="M136">IFERROR(1/(1/SUM(COUNTIFS(
'YearA-AppDetails Current Date'!A:A,D136,
'YearA-AppDetails Current Date'!F:F,E136,
'YearA-AppDetails Current Date'!E:E,--F136,
'YearA-AppDetails Current Date'!U:U,{"CCAN","DECL"},
'YearA-AppDetails Current Date'!I:I,"SUMMER"))), "")</f>
        <v/>
      </c>
      <c r="N136" s="74" t="str" cm="1">
        <f t="array" ref="N136">IFERROR(1/(1/SUM(COUNTIFS(
'YearA-AppDetails Current Date'!A:A,D136,
'YearA-AppDetails Current Date'!F:F,E136,
'YearA-AppDetails Current Date'!E:E,--F136,
'YearA-AppDetails Current Date'!V:V,{"APRO","NODE"},
'YearA-AppDetails Current Date'!I:I,"SUMMER"))), "")</f>
        <v/>
      </c>
      <c r="O136" s="74" t="str" cm="1">
        <f t="array" ref="O136">IFERROR(1/(1/SUM(COUNTIFS(
'YearA-AppDetails Current Date'!A:A,D136,
'YearA-AppDetails Current Date'!F:F,E136,
'YearA-AppDetails Current Date'!E:E,--F136,
'YearA-AppDetails Current Date'!T:T,{"CDMT","RQMT","WAIT"},
'YearA-AppDetails Current Date'!I:I,"SUMMER"))), "")</f>
        <v/>
      </c>
      <c r="P136" s="74" t="str">
        <f>IFERROR(1/(1/COUNTIFS(
'YearA-AppDetails Current Date'!A:A,D136,
'YearA-AppDetails Current Date'!F:F,E136,
'YearA-AppDetails Current Date'!E:E,--F136,
'YearA-AppDetails Current Date'!Y:Y,"ENRO",
'YearA-AppDetails Current Date'!I:I,"SUMMER")), "")</f>
        <v/>
      </c>
      <c r="Q136" s="3" t="str">
        <f t="shared" si="9"/>
        <v/>
      </c>
    </row>
    <row r="137" spans="1:17" ht="15.75" customHeight="1" x14ac:dyDescent="0.25">
      <c r="A137" s="119"/>
      <c r="B137" s="122"/>
      <c r="C137" s="124" t="s">
        <v>96</v>
      </c>
      <c r="D137" s="23" t="s">
        <v>97</v>
      </c>
      <c r="E137" s="2" t="s">
        <v>42</v>
      </c>
      <c r="F137" s="42">
        <v>1</v>
      </c>
      <c r="G137" s="139" t="s">
        <v>48</v>
      </c>
      <c r="H137" s="73" t="str">
        <f>IFERROR(1/(1/
SUM(
N(VLOOKUP(D137&amp;F137,'Budgeted Projections Dom HC'!D:T,2,FALSE)),
N(VLOOKUP(D137&amp;F137,'Budgeted Projections Dom HC'!D:T,3,FALSE))
)
),"")</f>
        <v/>
      </c>
      <c r="I137" s="73" t="str">
        <f>IFERROR(1/(1/COUNTIFS(
'YearA-AppDetails Current Date'!A:A,D137,
'YearA-AppDetails Current Date'!F:F,E137,
'YearA-AppDetails Current Date'!E:E,--F137,
'YearA-AppDetails Current Date'!I:I,"SUMMER")), "")</f>
        <v/>
      </c>
      <c r="J137" s="74" t="str" cm="1">
        <f t="array" ref="J137">IFERROR(1/(1/SUM(COUNTIFS(
'YearA-AppDetails Current Date'!A:A,D137,
'YearA-AppDetails Current Date'!F:F,E137,
'YearA-AppDetails Current Date'!E:E,--F137,
'YearA-AppDetails Current Date'!O:O,{"ACLN","ACPT","COND"},
'YearA-AppDetails Current Date'!S:S,"&lt;&gt;ACLN",
'YearA-AppDetails Current Date'!S:S,"&lt;&gt;ACPT",
'YearA-AppDetails Current Date'!S:S,"&lt;&gt;COND",
'YearA-AppDetails Current Date'!I:I,"SUMMER"))), "")</f>
        <v/>
      </c>
      <c r="K137" s="73" t="str">
        <f>IFERROR(1/(1/SUM(COUNTIFS(
'YearA-AppDetails Current Date'!A:A,D137,
'YearA-AppDetails Current Date'!F:F,E137,
'YearA-AppDetails Current Date'!E:E,--F137,
'YearA-AppDetails Current Date'!R:R,"&lt;&gt;"&amp;"",
'YearA-AppDetails Current Date'!I:I,"SUMMER"))), "")</f>
        <v/>
      </c>
      <c r="L137" s="74" t="str" cm="1">
        <f t="array" ref="L137">IFERROR(1/(1/SUM(COUNTIFS(
'YearA-AppDetails Current Date'!A:A,D137,
'YearA-AppDetails Current Date'!F:F,E137,
'YearA-AppDetails Current Date'!E:E,--F137,
'YearA-AppDetails Current Date'!T:T,{"APEX","DENY","NTSL"},
'YearA-AppDetails Current Date'!I:I,"SUMMER"))), "")</f>
        <v/>
      </c>
      <c r="M137" s="74" t="str" cm="1">
        <f t="array" ref="M137">IFERROR(1/(1/SUM(COUNTIFS(
'YearA-AppDetails Current Date'!A:A,D137,
'YearA-AppDetails Current Date'!F:F,E137,
'YearA-AppDetails Current Date'!E:E,--F137,
'YearA-AppDetails Current Date'!U:U,{"CCAN","DECL"},
'YearA-AppDetails Current Date'!I:I,"SUMMER"))), "")</f>
        <v/>
      </c>
      <c r="N137" s="74" t="str" cm="1">
        <f t="array" ref="N137">IFERROR(1/(1/SUM(COUNTIFS(
'YearA-AppDetails Current Date'!A:A,D137,
'YearA-AppDetails Current Date'!F:F,E137,
'YearA-AppDetails Current Date'!E:E,--F137,
'YearA-AppDetails Current Date'!V:V,{"APRO","NODE"},
'YearA-AppDetails Current Date'!I:I,"SUMMER"))), "")</f>
        <v/>
      </c>
      <c r="O137" s="74" t="str" cm="1">
        <f t="array" ref="O137">IFERROR(1/(1/SUM(COUNTIFS(
'YearA-AppDetails Current Date'!A:A,D137,
'YearA-AppDetails Current Date'!F:F,E137,
'YearA-AppDetails Current Date'!E:E,--F137,
'YearA-AppDetails Current Date'!T:T,{"CDMT","RQMT","WAIT"},
'YearA-AppDetails Current Date'!I:I,"SUMMER"))), "")</f>
        <v/>
      </c>
      <c r="P137" s="74" t="str">
        <f>IFERROR(1/(1/COUNTIFS(
'YearA-AppDetails Current Date'!A:A,D137,
'YearA-AppDetails Current Date'!F:F,E137,
'YearA-AppDetails Current Date'!E:E,--F137,
'YearA-AppDetails Current Date'!Y:Y,"ENRO",
'YearA-AppDetails Current Date'!I:I,"SUMMER")), "")</f>
        <v/>
      </c>
      <c r="Q137" s="3" t="str">
        <f t="shared" ref="Q137:Q200" si="13">IFERROR(P137/J137,"")</f>
        <v/>
      </c>
    </row>
    <row r="138" spans="1:17" ht="15.75" customHeight="1" x14ac:dyDescent="0.25">
      <c r="A138" s="119"/>
      <c r="B138" s="122"/>
      <c r="C138" s="125"/>
      <c r="D138" s="23" t="s">
        <v>97</v>
      </c>
      <c r="E138" s="2" t="s">
        <v>43</v>
      </c>
      <c r="F138" s="31">
        <v>1</v>
      </c>
      <c r="G138" s="140"/>
      <c r="H138" s="73" t="str">
        <f>IFERROR(1/(1/
SUM(
N(VLOOKUP(D138&amp;F138,'Budgeted Projections Intl HC'!D:T,2,FALSE)),
N(VLOOKUP(D138&amp;F138,'Budgeted Projections Intl HC'!D:T,3,FALSE))
)
),"")</f>
        <v/>
      </c>
      <c r="I138" s="73" t="str">
        <f>IFERROR(1/(1/COUNTIFS(
'YearA-AppDetails Current Date'!A:A,D138,
'YearA-AppDetails Current Date'!F:F,E138,
'YearA-AppDetails Current Date'!E:E,--F138,
'YearA-AppDetails Current Date'!I:I,"SUMMER")), "")</f>
        <v/>
      </c>
      <c r="J138" s="74" t="str" cm="1">
        <f t="array" ref="J138">IFERROR(1/(1/SUM(COUNTIFS(
'YearA-AppDetails Current Date'!A:A,D138,
'YearA-AppDetails Current Date'!F:F,E138,
'YearA-AppDetails Current Date'!E:E,--F138,
'YearA-AppDetails Current Date'!O:O,{"ACLN","ACPT","COND"},
'YearA-AppDetails Current Date'!S:S,"&lt;&gt;ACLN",
'YearA-AppDetails Current Date'!S:S,"&lt;&gt;ACPT",
'YearA-AppDetails Current Date'!S:S,"&lt;&gt;COND",
'YearA-AppDetails Current Date'!I:I,"SUMMER"))), "")</f>
        <v/>
      </c>
      <c r="K138" s="73" t="str">
        <f>IFERROR(1/(1/SUM(COUNTIFS(
'YearA-AppDetails Current Date'!A:A,D138,
'YearA-AppDetails Current Date'!F:F,E138,
'YearA-AppDetails Current Date'!E:E,--F138,
'YearA-AppDetails Current Date'!R:R,"&lt;&gt;"&amp;"",
'YearA-AppDetails Current Date'!I:I,"SUMMER"))), "")</f>
        <v/>
      </c>
      <c r="L138" s="74" t="str" cm="1">
        <f t="array" ref="L138">IFERROR(1/(1/SUM(COUNTIFS(
'YearA-AppDetails Current Date'!A:A,D138,
'YearA-AppDetails Current Date'!F:F,E138,
'YearA-AppDetails Current Date'!E:E,--F138,
'YearA-AppDetails Current Date'!T:T,{"APEX","DENY","NTSL"},
'YearA-AppDetails Current Date'!I:I,"SUMMER"))), "")</f>
        <v/>
      </c>
      <c r="M138" s="74" t="str" cm="1">
        <f t="array" ref="M138">IFERROR(1/(1/SUM(COUNTIFS(
'YearA-AppDetails Current Date'!A:A,D138,
'YearA-AppDetails Current Date'!F:F,E138,
'YearA-AppDetails Current Date'!E:E,--F138,
'YearA-AppDetails Current Date'!U:U,{"CCAN","DECL"},
'YearA-AppDetails Current Date'!I:I,"SUMMER"))), "")</f>
        <v/>
      </c>
      <c r="N138" s="74" t="str" cm="1">
        <f t="array" ref="N138">IFERROR(1/(1/SUM(COUNTIFS(
'YearA-AppDetails Current Date'!A:A,D138,
'YearA-AppDetails Current Date'!F:F,E138,
'YearA-AppDetails Current Date'!E:E,--F138,
'YearA-AppDetails Current Date'!V:V,{"APRO","NODE"},
'YearA-AppDetails Current Date'!I:I,"SUMMER"))), "")</f>
        <v/>
      </c>
      <c r="O138" s="74" t="str" cm="1">
        <f t="array" ref="O138">IFERROR(1/(1/SUM(COUNTIFS(
'YearA-AppDetails Current Date'!A:A,D138,
'YearA-AppDetails Current Date'!F:F,E138,
'YearA-AppDetails Current Date'!E:E,--F138,
'YearA-AppDetails Current Date'!T:T,{"CDMT","RQMT","WAIT"},
'YearA-AppDetails Current Date'!I:I,"SUMMER"))), "")</f>
        <v/>
      </c>
      <c r="P138" s="74" t="str">
        <f>IFERROR(1/(1/COUNTIFS(
'YearA-AppDetails Current Date'!A:A,D138,
'YearA-AppDetails Current Date'!F:F,E138,
'YearA-AppDetails Current Date'!E:E,--F138,
'YearA-AppDetails Current Date'!Y:Y,"ENRO",
'YearA-AppDetails Current Date'!I:I,"SUMMER")), "")</f>
        <v/>
      </c>
      <c r="Q138" s="3" t="str">
        <f t="shared" si="13"/>
        <v/>
      </c>
    </row>
    <row r="139" spans="1:17" ht="15.75" customHeight="1" x14ac:dyDescent="0.25">
      <c r="A139" s="119"/>
      <c r="B139" s="122"/>
      <c r="C139" s="142" t="s">
        <v>283</v>
      </c>
      <c r="D139" s="143"/>
      <c r="E139" s="143"/>
      <c r="F139" s="144"/>
      <c r="G139" s="19"/>
      <c r="H139" s="19">
        <f>SUM(H129:H138)</f>
        <v>0</v>
      </c>
      <c r="I139" s="19">
        <f t="shared" ref="I139:P139" si="14">SUM(I129:I138)</f>
        <v>0</v>
      </c>
      <c r="J139" s="19">
        <f t="shared" si="14"/>
        <v>0</v>
      </c>
      <c r="K139" s="19">
        <f t="shared" si="14"/>
        <v>0</v>
      </c>
      <c r="L139" s="19">
        <f t="shared" si="14"/>
        <v>0</v>
      </c>
      <c r="M139" s="19">
        <f t="shared" si="14"/>
        <v>0</v>
      </c>
      <c r="N139" s="19">
        <f t="shared" si="14"/>
        <v>0</v>
      </c>
      <c r="O139" s="19">
        <f t="shared" si="14"/>
        <v>0</v>
      </c>
      <c r="P139" s="19">
        <f t="shared" si="14"/>
        <v>0</v>
      </c>
      <c r="Q139" s="35" t="str">
        <f t="shared" si="13"/>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HC'!D:T,2,FALSE)),
N(VLOOKUP(D140&amp;F140,'Budgeted Projections Dom HC'!D:T,3,FALSE))
)
),"")</f>
        <v/>
      </c>
      <c r="I140" s="73" t="str">
        <f>IFERROR(1/(1/COUNTIFS(
'YearA-AppDetails Current Date'!A:A,D140,
'YearA-AppDetails Current Date'!F:F,E140,
'YearA-AppDetails Current Date'!E:E,--F140,
'YearA-AppDetails Current Date'!I:I,"SUMMER")), "")</f>
        <v/>
      </c>
      <c r="J140" s="74" t="str" cm="1">
        <f t="array" ref="J140">IFERROR(1/(1/SUM(COUNTIFS(
'YearA-AppDetails Current Date'!A:A,D140,
'YearA-AppDetails Current Date'!F:F,E140,
'YearA-AppDetails Current Date'!E:E,--F140,
'YearA-AppDetails Current Date'!O:O,{"ACLN","ACPT","COND"},
'YearA-AppDetails Current Date'!S:S,"&lt;&gt;ACLN",
'YearA-AppDetails Current Date'!S:S,"&lt;&gt;ACPT",
'YearA-AppDetails Current Date'!S:S,"&lt;&gt;COND",
'YearA-AppDetails Current Date'!I:I,"SUMMER"))), "")</f>
        <v/>
      </c>
      <c r="K140" s="73" t="str">
        <f>IFERROR(1/(1/SUM(COUNTIFS(
'YearA-AppDetails Current Date'!A:A,D140,
'YearA-AppDetails Current Date'!F:F,E140,
'YearA-AppDetails Current Date'!E:E,--F140,
'YearA-AppDetails Current Date'!R:R,"&lt;&gt;"&amp;"",
'YearA-AppDetails Current Date'!I:I,"SUMMER"))), "")</f>
        <v/>
      </c>
      <c r="L140" s="74" t="str" cm="1">
        <f t="array" ref="L140">IFERROR(1/(1/SUM(COUNTIFS(
'YearA-AppDetails Current Date'!A:A,D140,
'YearA-AppDetails Current Date'!F:F,E140,
'YearA-AppDetails Current Date'!E:E,--F140,
'YearA-AppDetails Current Date'!T:T,{"APEX","DENY","NTSL"},
'YearA-AppDetails Current Date'!I:I,"SUMMER"))), "")</f>
        <v/>
      </c>
      <c r="M140" s="74" t="str" cm="1">
        <f t="array" ref="M140">IFERROR(1/(1/SUM(COUNTIFS(
'YearA-AppDetails Current Date'!A:A,D140,
'YearA-AppDetails Current Date'!F:F,E140,
'YearA-AppDetails Current Date'!E:E,--F140,
'YearA-AppDetails Current Date'!U:U,{"CCAN","DECL"},
'YearA-AppDetails Current Date'!I:I,"SUMMER"))), "")</f>
        <v/>
      </c>
      <c r="N140" s="74" t="str" cm="1">
        <f t="array" ref="N140">IFERROR(1/(1/SUM(COUNTIFS(
'YearA-AppDetails Current Date'!A:A,D140,
'YearA-AppDetails Current Date'!F:F,E140,
'YearA-AppDetails Current Date'!E:E,--F140,
'YearA-AppDetails Current Date'!V:V,{"APRO","NODE"},
'YearA-AppDetails Current Date'!I:I,"SUMMER"))), "")</f>
        <v/>
      </c>
      <c r="O140" s="74" t="str" cm="1">
        <f t="array" ref="O140">IFERROR(1/(1/SUM(COUNTIFS(
'YearA-AppDetails Current Date'!A:A,D140,
'YearA-AppDetails Current Date'!F:F,E140,
'YearA-AppDetails Current Date'!E:E,--F140,
'YearA-AppDetails Current Date'!T:T,{"CDMT","RQMT","WAIT"},
'YearA-AppDetails Current Date'!I:I,"SUMMER"))), "")</f>
        <v/>
      </c>
      <c r="P140" s="74" t="str">
        <f>IFERROR(1/(1/COUNTIFS(
'YearA-AppDetails Current Date'!A:A,D140,
'YearA-AppDetails Current Date'!F:F,E140,
'YearA-AppDetails Current Date'!E:E,--F140,
'YearA-AppDetails Current Date'!Y:Y,"ENRO",
'YearA-AppDetails Current Date'!I:I,"SUMMER")), "")</f>
        <v/>
      </c>
      <c r="Q140" s="3" t="str">
        <f t="shared" si="13"/>
        <v/>
      </c>
    </row>
    <row r="141" spans="1:17" ht="15.75" customHeight="1" x14ac:dyDescent="0.25">
      <c r="A141" s="119"/>
      <c r="B141" s="122"/>
      <c r="C141" s="145"/>
      <c r="D141" s="23" t="s">
        <v>101</v>
      </c>
      <c r="E141" s="2" t="s">
        <v>43</v>
      </c>
      <c r="F141" s="31">
        <v>1</v>
      </c>
      <c r="G141" s="140"/>
      <c r="H141" s="73" t="str">
        <f>IFERROR(1/(1/
SUM(
N(VLOOKUP(D141&amp;F141,'Budgeted Projections Intl HC'!D:T,2,FALSE)),
N(VLOOKUP(D141&amp;F141,'Budgeted Projections Intl HC'!D:T,3,FALSE))
)
),"")</f>
        <v/>
      </c>
      <c r="I141" s="73" t="str">
        <f>IFERROR(1/(1/COUNTIFS(
'YearA-AppDetails Current Date'!A:A,D141,
'YearA-AppDetails Current Date'!F:F,E141,
'YearA-AppDetails Current Date'!E:E,--F141,
'YearA-AppDetails Current Date'!I:I,"SUMMER")), "")</f>
        <v/>
      </c>
      <c r="J141" s="74" t="str" cm="1">
        <f t="array" ref="J141">IFERROR(1/(1/SUM(COUNTIFS(
'YearA-AppDetails Current Date'!A:A,D141,
'YearA-AppDetails Current Date'!F:F,E141,
'YearA-AppDetails Current Date'!E:E,--F141,
'YearA-AppDetails Current Date'!O:O,{"ACLN","ACPT","COND"},
'YearA-AppDetails Current Date'!S:S,"&lt;&gt;ACLN",
'YearA-AppDetails Current Date'!S:S,"&lt;&gt;ACPT",
'YearA-AppDetails Current Date'!S:S,"&lt;&gt;COND",
'YearA-AppDetails Current Date'!I:I,"SUMMER"))), "")</f>
        <v/>
      </c>
      <c r="K141" s="73" t="str">
        <f>IFERROR(1/(1/SUM(COUNTIFS(
'YearA-AppDetails Current Date'!A:A,D141,
'YearA-AppDetails Current Date'!F:F,E141,
'YearA-AppDetails Current Date'!E:E,--F141,
'YearA-AppDetails Current Date'!R:R,"&lt;&gt;"&amp;"",
'YearA-AppDetails Current Date'!I:I,"SUMMER"))), "")</f>
        <v/>
      </c>
      <c r="L141" s="74" t="str" cm="1">
        <f t="array" ref="L141">IFERROR(1/(1/SUM(COUNTIFS(
'YearA-AppDetails Current Date'!A:A,D141,
'YearA-AppDetails Current Date'!F:F,E141,
'YearA-AppDetails Current Date'!E:E,--F141,
'YearA-AppDetails Current Date'!T:T,{"APEX","DENY","NTSL"},
'YearA-AppDetails Current Date'!I:I,"SUMMER"))), "")</f>
        <v/>
      </c>
      <c r="M141" s="74" t="str" cm="1">
        <f t="array" ref="M141">IFERROR(1/(1/SUM(COUNTIFS(
'YearA-AppDetails Current Date'!A:A,D141,
'YearA-AppDetails Current Date'!F:F,E141,
'YearA-AppDetails Current Date'!E:E,--F141,
'YearA-AppDetails Current Date'!U:U,{"CCAN","DECL"},
'YearA-AppDetails Current Date'!I:I,"SUMMER"))), "")</f>
        <v/>
      </c>
      <c r="N141" s="74" t="str" cm="1">
        <f t="array" ref="N141">IFERROR(1/(1/SUM(COUNTIFS(
'YearA-AppDetails Current Date'!A:A,D141,
'YearA-AppDetails Current Date'!F:F,E141,
'YearA-AppDetails Current Date'!E:E,--F141,
'YearA-AppDetails Current Date'!V:V,{"APRO","NODE"},
'YearA-AppDetails Current Date'!I:I,"SUMMER"))), "")</f>
        <v/>
      </c>
      <c r="O141" s="74" t="str" cm="1">
        <f t="array" ref="O141">IFERROR(1/(1/SUM(COUNTIFS(
'YearA-AppDetails Current Date'!A:A,D141,
'YearA-AppDetails Current Date'!F:F,E141,
'YearA-AppDetails Current Date'!E:E,--F141,
'YearA-AppDetails Current Date'!T:T,{"CDMT","RQMT","WAIT"},
'YearA-AppDetails Current Date'!I:I,"SUMMER"))), "")</f>
        <v/>
      </c>
      <c r="P141" s="74" t="str">
        <f>IFERROR(1/(1/COUNTIFS(
'YearA-AppDetails Current Date'!A:A,D141,
'YearA-AppDetails Current Date'!F:F,E141,
'YearA-AppDetails Current Date'!E:E,--F141,
'YearA-AppDetails Current Date'!Y:Y,"ENRO",
'YearA-AppDetails Current Date'!I:I,"SUMMER")), "")</f>
        <v/>
      </c>
      <c r="Q141" s="3" t="str">
        <f t="shared" si="13"/>
        <v/>
      </c>
    </row>
    <row r="142" spans="1:17" ht="15.75" customHeight="1" x14ac:dyDescent="0.25">
      <c r="A142" s="119"/>
      <c r="B142" s="122"/>
      <c r="C142" s="145"/>
      <c r="D142" s="23" t="s">
        <v>101</v>
      </c>
      <c r="E142" s="2" t="s">
        <v>42</v>
      </c>
      <c r="F142" s="42">
        <v>2</v>
      </c>
      <c r="G142" s="139" t="s">
        <v>48</v>
      </c>
      <c r="H142" s="73" t="str">
        <f>IFERROR(1/(1/
SUM(
N(VLOOKUP(D142&amp;F142,'Budgeted Projections Dom HC'!D:T,2,FALSE)),
N(VLOOKUP(D142&amp;F142,'Budgeted Projections Dom HC'!D:T,3,FALSE))
)
),"")</f>
        <v/>
      </c>
      <c r="I142" s="73" t="str">
        <f>IFERROR(1/(1/COUNTIFS(
'YearA-AppDetails Current Date'!A:A,D142,
'YearA-AppDetails Current Date'!F:F,E142,
'YearA-AppDetails Current Date'!E:E,--F142,
'YearA-AppDetails Current Date'!I:I,"SUMMER")), "")</f>
        <v/>
      </c>
      <c r="J142" s="74" t="str" cm="1">
        <f t="array" ref="J142">IFERROR(1/(1/SUM(COUNTIFS(
'YearA-AppDetails Current Date'!A:A,D142,
'YearA-AppDetails Current Date'!F:F,E142,
'YearA-AppDetails Current Date'!E:E,--F142,
'YearA-AppDetails Current Date'!O:O,{"ACLN","ACPT","COND"},
'YearA-AppDetails Current Date'!S:S,"&lt;&gt;ACLN",
'YearA-AppDetails Current Date'!S:S,"&lt;&gt;ACPT",
'YearA-AppDetails Current Date'!S:S,"&lt;&gt;COND",
'YearA-AppDetails Current Date'!I:I,"SUMMER"))), "")</f>
        <v/>
      </c>
      <c r="K142" s="73" t="str">
        <f>IFERROR(1/(1/SUM(COUNTIFS(
'YearA-AppDetails Current Date'!A:A,D142,
'YearA-AppDetails Current Date'!F:F,E142,
'YearA-AppDetails Current Date'!E:E,--F142,
'YearA-AppDetails Current Date'!R:R,"&lt;&gt;"&amp;"",
'YearA-AppDetails Current Date'!I:I,"SUMMER"))), "")</f>
        <v/>
      </c>
      <c r="L142" s="74" t="str" cm="1">
        <f t="array" ref="L142">IFERROR(1/(1/SUM(COUNTIFS(
'YearA-AppDetails Current Date'!A:A,D142,
'YearA-AppDetails Current Date'!F:F,E142,
'YearA-AppDetails Current Date'!E:E,--F142,
'YearA-AppDetails Current Date'!T:T,{"APEX","DENY","NTSL"},
'YearA-AppDetails Current Date'!I:I,"SUMMER"))), "")</f>
        <v/>
      </c>
      <c r="M142" s="74" t="str" cm="1">
        <f t="array" ref="M142">IFERROR(1/(1/SUM(COUNTIFS(
'YearA-AppDetails Current Date'!A:A,D142,
'YearA-AppDetails Current Date'!F:F,E142,
'YearA-AppDetails Current Date'!E:E,--F142,
'YearA-AppDetails Current Date'!U:U,{"CCAN","DECL"},
'YearA-AppDetails Current Date'!I:I,"SUMMER"))), "")</f>
        <v/>
      </c>
      <c r="N142" s="74" t="str" cm="1">
        <f t="array" ref="N142">IFERROR(1/(1/SUM(COUNTIFS(
'YearA-AppDetails Current Date'!A:A,D142,
'YearA-AppDetails Current Date'!F:F,E142,
'YearA-AppDetails Current Date'!E:E,--F142,
'YearA-AppDetails Current Date'!V:V,{"APRO","NODE"},
'YearA-AppDetails Current Date'!I:I,"SUMMER"))), "")</f>
        <v/>
      </c>
      <c r="O142" s="74" t="str" cm="1">
        <f t="array" ref="O142">IFERROR(1/(1/SUM(COUNTIFS(
'YearA-AppDetails Current Date'!A:A,D142,
'YearA-AppDetails Current Date'!F:F,E142,
'YearA-AppDetails Current Date'!E:E,--F142,
'YearA-AppDetails Current Date'!T:T,{"CDMT","RQMT","WAIT"},
'YearA-AppDetails Current Date'!I:I,"SUMMER"))), "")</f>
        <v/>
      </c>
      <c r="P142" s="74" t="str">
        <f>IFERROR(1/(1/COUNTIFS(
'YearA-AppDetails Current Date'!A:A,D142,
'YearA-AppDetails Current Date'!F:F,E142,
'YearA-AppDetails Current Date'!E:E,--F142,
'YearA-AppDetails Current Date'!Y:Y,"ENRO",
'YearA-AppDetails Current Date'!I:I,"SUMMER")), "")</f>
        <v/>
      </c>
      <c r="Q142" s="3" t="str">
        <f t="shared" si="13"/>
        <v/>
      </c>
    </row>
    <row r="143" spans="1:17" ht="15.75" customHeight="1" x14ac:dyDescent="0.25">
      <c r="A143" s="119"/>
      <c r="B143" s="122"/>
      <c r="C143" s="133"/>
      <c r="D143" s="23" t="s">
        <v>101</v>
      </c>
      <c r="E143" s="2" t="s">
        <v>43</v>
      </c>
      <c r="F143" s="31">
        <v>2</v>
      </c>
      <c r="G143" s="140"/>
      <c r="H143" s="73" t="str">
        <f>IFERROR(1/(1/
SUM(
N(VLOOKUP(D143&amp;F143,'Budgeted Projections Intl HC'!D:T,2,FALSE)),
N(VLOOKUP(D143&amp;F143,'Budgeted Projections Intl HC'!D:T,3,FALSE))
)
),"")</f>
        <v/>
      </c>
      <c r="I143" s="73" t="str">
        <f>IFERROR(1/(1/COUNTIFS(
'YearA-AppDetails Current Date'!A:A,D143,
'YearA-AppDetails Current Date'!F:F,E143,
'YearA-AppDetails Current Date'!E:E,--F143,
'YearA-AppDetails Current Date'!I:I,"SUMMER")), "")</f>
        <v/>
      </c>
      <c r="J143" s="74" t="str" cm="1">
        <f t="array" ref="J143">IFERROR(1/(1/SUM(COUNTIFS(
'YearA-AppDetails Current Date'!A:A,D143,
'YearA-AppDetails Current Date'!F:F,E143,
'YearA-AppDetails Current Date'!E:E,--F143,
'YearA-AppDetails Current Date'!O:O,{"ACLN","ACPT","COND"},
'YearA-AppDetails Current Date'!S:S,"&lt;&gt;ACLN",
'YearA-AppDetails Current Date'!S:S,"&lt;&gt;ACPT",
'YearA-AppDetails Current Date'!S:S,"&lt;&gt;COND",
'YearA-AppDetails Current Date'!I:I,"SUMMER"))), "")</f>
        <v/>
      </c>
      <c r="K143" s="73" t="str">
        <f>IFERROR(1/(1/SUM(COUNTIFS(
'YearA-AppDetails Current Date'!A:A,D143,
'YearA-AppDetails Current Date'!F:F,E143,
'YearA-AppDetails Current Date'!E:E,--F143,
'YearA-AppDetails Current Date'!R:R,"&lt;&gt;"&amp;"",
'YearA-AppDetails Current Date'!I:I,"SUMMER"))), "")</f>
        <v/>
      </c>
      <c r="L143" s="74" t="str" cm="1">
        <f t="array" ref="L143">IFERROR(1/(1/SUM(COUNTIFS(
'YearA-AppDetails Current Date'!A:A,D143,
'YearA-AppDetails Current Date'!F:F,E143,
'YearA-AppDetails Current Date'!E:E,--F143,
'YearA-AppDetails Current Date'!T:T,{"APEX","DENY","NTSL"},
'YearA-AppDetails Current Date'!I:I,"SUMMER"))), "")</f>
        <v/>
      </c>
      <c r="M143" s="74" t="str" cm="1">
        <f t="array" ref="M143">IFERROR(1/(1/SUM(COUNTIFS(
'YearA-AppDetails Current Date'!A:A,D143,
'YearA-AppDetails Current Date'!F:F,E143,
'YearA-AppDetails Current Date'!E:E,--F143,
'YearA-AppDetails Current Date'!U:U,{"CCAN","DECL"},
'YearA-AppDetails Current Date'!I:I,"SUMMER"))), "")</f>
        <v/>
      </c>
      <c r="N143" s="74" t="str" cm="1">
        <f t="array" ref="N143">IFERROR(1/(1/SUM(COUNTIFS(
'YearA-AppDetails Current Date'!A:A,D143,
'YearA-AppDetails Current Date'!F:F,E143,
'YearA-AppDetails Current Date'!E:E,--F143,
'YearA-AppDetails Current Date'!V:V,{"APRO","NODE"},
'YearA-AppDetails Current Date'!I:I,"SUMMER"))), "")</f>
        <v/>
      </c>
      <c r="O143" s="74" t="str" cm="1">
        <f t="array" ref="O143">IFERROR(1/(1/SUM(COUNTIFS(
'YearA-AppDetails Current Date'!A:A,D143,
'YearA-AppDetails Current Date'!F:F,E143,
'YearA-AppDetails Current Date'!E:E,--F143,
'YearA-AppDetails Current Date'!T:T,{"CDMT","RQMT","WAIT"},
'YearA-AppDetails Current Date'!I:I,"SUMMER"))), "")</f>
        <v/>
      </c>
      <c r="P143" s="74" t="str">
        <f>IFERROR(1/(1/COUNTIFS(
'YearA-AppDetails Current Date'!A:A,D143,
'YearA-AppDetails Current Date'!F:F,E143,
'YearA-AppDetails Current Date'!E:E,--F143,
'YearA-AppDetails Current Date'!Y:Y,"ENRO",
'YearA-AppDetails Current Date'!I:I,"SUMMER")), "")</f>
        <v/>
      </c>
      <c r="Q143" s="3" t="str">
        <f t="shared" si="13"/>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HC'!D:T,2,FALSE)),
N(VLOOKUP(D144&amp;F144,'Budgeted Projections Dom HC'!D:T,3,FALSE))
)
),"")</f>
        <v/>
      </c>
      <c r="I144" s="73" t="str">
        <f>IFERROR(1/(1/COUNTIFS(
'YearA-AppDetails Current Date'!A:A,D144,
'YearA-AppDetails Current Date'!F:F,E144,
'YearA-AppDetails Current Date'!E:E,--F144,
'YearA-AppDetails Current Date'!I:I,"SUMMER")), "")</f>
        <v/>
      </c>
      <c r="J144" s="74" t="str" cm="1">
        <f t="array" ref="J144">IFERROR(1/(1/SUM(COUNTIFS(
'YearA-AppDetails Current Date'!A:A,D144,
'YearA-AppDetails Current Date'!F:F,E144,
'YearA-AppDetails Current Date'!E:E,--F144,
'YearA-AppDetails Current Date'!O:O,{"ACLN","ACPT","COND"},
'YearA-AppDetails Current Date'!S:S,"&lt;&gt;ACLN",
'YearA-AppDetails Current Date'!S:S,"&lt;&gt;ACPT",
'YearA-AppDetails Current Date'!S:S,"&lt;&gt;COND",
'YearA-AppDetails Current Date'!I:I,"SUMMER"))), "")</f>
        <v/>
      </c>
      <c r="K144" s="73" t="str">
        <f>IFERROR(1/(1/SUM(COUNTIFS(
'YearA-AppDetails Current Date'!A:A,D144,
'YearA-AppDetails Current Date'!F:F,E144,
'YearA-AppDetails Current Date'!E:E,--F144,
'YearA-AppDetails Current Date'!R:R,"&lt;&gt;"&amp;"",
'YearA-AppDetails Current Date'!I:I,"SUMMER"))), "")</f>
        <v/>
      </c>
      <c r="L144" s="74" t="str" cm="1">
        <f t="array" ref="L144">IFERROR(1/(1/SUM(COUNTIFS(
'YearA-AppDetails Current Date'!A:A,D144,
'YearA-AppDetails Current Date'!F:F,E144,
'YearA-AppDetails Current Date'!E:E,--F144,
'YearA-AppDetails Current Date'!T:T,{"APEX","DENY","NTSL"},
'YearA-AppDetails Current Date'!I:I,"SUMMER"))), "")</f>
        <v/>
      </c>
      <c r="M144" s="74" t="str" cm="1">
        <f t="array" ref="M144">IFERROR(1/(1/SUM(COUNTIFS(
'YearA-AppDetails Current Date'!A:A,D144,
'YearA-AppDetails Current Date'!F:F,E144,
'YearA-AppDetails Current Date'!E:E,--F144,
'YearA-AppDetails Current Date'!U:U,{"CCAN","DECL"},
'YearA-AppDetails Current Date'!I:I,"SUMMER"))), "")</f>
        <v/>
      </c>
      <c r="N144" s="74" t="str" cm="1">
        <f t="array" ref="N144">IFERROR(1/(1/SUM(COUNTIFS(
'YearA-AppDetails Current Date'!A:A,D144,
'YearA-AppDetails Current Date'!F:F,E144,
'YearA-AppDetails Current Date'!E:E,--F144,
'YearA-AppDetails Current Date'!V:V,{"APRO","NODE"},
'YearA-AppDetails Current Date'!I:I,"SUMMER"))), "")</f>
        <v/>
      </c>
      <c r="O144" s="74" t="str" cm="1">
        <f t="array" ref="O144">IFERROR(1/(1/SUM(COUNTIFS(
'YearA-AppDetails Current Date'!A:A,D144,
'YearA-AppDetails Current Date'!F:F,E144,
'YearA-AppDetails Current Date'!E:E,--F144,
'YearA-AppDetails Current Date'!T:T,{"CDMT","RQMT","WAIT"},
'YearA-AppDetails Current Date'!I:I,"SUMMER"))), "")</f>
        <v/>
      </c>
      <c r="P144" s="74" t="str">
        <f>IFERROR(1/(1/COUNTIFS(
'YearA-AppDetails Current Date'!A:A,D144,
'YearA-AppDetails Current Date'!F:F,E144,
'YearA-AppDetails Current Date'!E:E,--F144,
'YearA-AppDetails Current Date'!Y:Y,"ENRO",
'YearA-AppDetails Current Date'!I:I,"SUMMER")), "")</f>
        <v/>
      </c>
      <c r="Q144" s="3" t="str">
        <f t="shared" si="13"/>
        <v/>
      </c>
    </row>
    <row r="145" spans="1:17" ht="15.75" customHeight="1" x14ac:dyDescent="0.25">
      <c r="A145" s="119"/>
      <c r="B145" s="122"/>
      <c r="C145" s="145"/>
      <c r="D145" s="23" t="s">
        <v>103</v>
      </c>
      <c r="E145" s="2" t="s">
        <v>43</v>
      </c>
      <c r="F145" s="31">
        <v>1</v>
      </c>
      <c r="G145" s="140"/>
      <c r="H145" s="73" t="str">
        <f>IFERROR(1/(1/
SUM(
N(VLOOKUP(D145&amp;F145,'Budgeted Projections Intl HC'!D:T,2,FALSE)),
N(VLOOKUP(D145&amp;F145,'Budgeted Projections Intl HC'!D:T,3,FALSE))
)
),"")</f>
        <v/>
      </c>
      <c r="I145" s="73" t="str">
        <f>IFERROR(1/(1/COUNTIFS(
'YearA-AppDetails Current Date'!A:A,D145,
'YearA-AppDetails Current Date'!F:F,E145,
'YearA-AppDetails Current Date'!E:E,--F145,
'YearA-AppDetails Current Date'!I:I,"SUMMER")), "")</f>
        <v/>
      </c>
      <c r="J145" s="74" t="str" cm="1">
        <f t="array" ref="J145">IFERROR(1/(1/SUM(COUNTIFS(
'YearA-AppDetails Current Date'!A:A,D145,
'YearA-AppDetails Current Date'!F:F,E145,
'YearA-AppDetails Current Date'!E:E,--F145,
'YearA-AppDetails Current Date'!O:O,{"ACLN","ACPT","COND"},
'YearA-AppDetails Current Date'!S:S,"&lt;&gt;ACLN",
'YearA-AppDetails Current Date'!S:S,"&lt;&gt;ACPT",
'YearA-AppDetails Current Date'!S:S,"&lt;&gt;COND",
'YearA-AppDetails Current Date'!I:I,"SUMMER"))), "")</f>
        <v/>
      </c>
      <c r="K145" s="73" t="str">
        <f>IFERROR(1/(1/SUM(COUNTIFS(
'YearA-AppDetails Current Date'!A:A,D145,
'YearA-AppDetails Current Date'!F:F,E145,
'YearA-AppDetails Current Date'!E:E,--F145,
'YearA-AppDetails Current Date'!R:R,"&lt;&gt;"&amp;"",
'YearA-AppDetails Current Date'!I:I,"SUMMER"))), "")</f>
        <v/>
      </c>
      <c r="L145" s="74" t="str" cm="1">
        <f t="array" ref="L145">IFERROR(1/(1/SUM(COUNTIFS(
'YearA-AppDetails Current Date'!A:A,D145,
'YearA-AppDetails Current Date'!F:F,E145,
'YearA-AppDetails Current Date'!E:E,--F145,
'YearA-AppDetails Current Date'!T:T,{"APEX","DENY","NTSL"},
'YearA-AppDetails Current Date'!I:I,"SUMMER"))), "")</f>
        <v/>
      </c>
      <c r="M145" s="74" t="str" cm="1">
        <f t="array" ref="M145">IFERROR(1/(1/SUM(COUNTIFS(
'YearA-AppDetails Current Date'!A:A,D145,
'YearA-AppDetails Current Date'!F:F,E145,
'YearA-AppDetails Current Date'!E:E,--F145,
'YearA-AppDetails Current Date'!U:U,{"CCAN","DECL"},
'YearA-AppDetails Current Date'!I:I,"SUMMER"))), "")</f>
        <v/>
      </c>
      <c r="N145" s="74" t="str" cm="1">
        <f t="array" ref="N145">IFERROR(1/(1/SUM(COUNTIFS(
'YearA-AppDetails Current Date'!A:A,D145,
'YearA-AppDetails Current Date'!F:F,E145,
'YearA-AppDetails Current Date'!E:E,--F145,
'YearA-AppDetails Current Date'!V:V,{"APRO","NODE"},
'YearA-AppDetails Current Date'!I:I,"SUMMER"))), "")</f>
        <v/>
      </c>
      <c r="O145" s="74" t="str" cm="1">
        <f t="array" ref="O145">IFERROR(1/(1/SUM(COUNTIFS(
'YearA-AppDetails Current Date'!A:A,D145,
'YearA-AppDetails Current Date'!F:F,E145,
'YearA-AppDetails Current Date'!E:E,--F145,
'YearA-AppDetails Current Date'!T:T,{"CDMT","RQMT","WAIT"},
'YearA-AppDetails Current Date'!I:I,"SUMMER"))), "")</f>
        <v/>
      </c>
      <c r="P145" s="74" t="str">
        <f>IFERROR(1/(1/COUNTIFS(
'YearA-AppDetails Current Date'!A:A,D145,
'YearA-AppDetails Current Date'!F:F,E145,
'YearA-AppDetails Current Date'!E:E,--F145,
'YearA-AppDetails Current Date'!Y:Y,"ENRO",
'YearA-AppDetails Current Date'!I:I,"SUMMER")), "")</f>
        <v/>
      </c>
      <c r="Q145" s="3" t="str">
        <f t="shared" si="13"/>
        <v/>
      </c>
    </row>
    <row r="146" spans="1:17" ht="15.75" customHeight="1" x14ac:dyDescent="0.25">
      <c r="A146" s="119"/>
      <c r="B146" s="122"/>
      <c r="C146" s="145"/>
      <c r="D146" s="23" t="s">
        <v>103</v>
      </c>
      <c r="E146" s="2" t="s">
        <v>42</v>
      </c>
      <c r="F146" s="42">
        <v>2</v>
      </c>
      <c r="G146" s="139" t="s">
        <v>48</v>
      </c>
      <c r="H146" s="73" t="str">
        <f>IFERROR(1/(1/
SUM(
N(VLOOKUP(D146&amp;F146,'Budgeted Projections Dom HC'!D:T,2,FALSE)),
N(VLOOKUP(D146&amp;F146,'Budgeted Projections Dom HC'!D:T,3,FALSE))
)
),"")</f>
        <v/>
      </c>
      <c r="I146" s="73" t="str">
        <f>IFERROR(1/(1/COUNTIFS(
'YearA-AppDetails Current Date'!A:A,D146,
'YearA-AppDetails Current Date'!F:F,E146,
'YearA-AppDetails Current Date'!E:E,--F146,
'YearA-AppDetails Current Date'!I:I,"SUMMER")), "")</f>
        <v/>
      </c>
      <c r="J146" s="74" t="str" cm="1">
        <f t="array" ref="J146">IFERROR(1/(1/SUM(COUNTIFS(
'YearA-AppDetails Current Date'!A:A,D146,
'YearA-AppDetails Current Date'!F:F,E146,
'YearA-AppDetails Current Date'!E:E,--F146,
'YearA-AppDetails Current Date'!O:O,{"ACLN","ACPT","COND"},
'YearA-AppDetails Current Date'!S:S,"&lt;&gt;ACLN",
'YearA-AppDetails Current Date'!S:S,"&lt;&gt;ACPT",
'YearA-AppDetails Current Date'!S:S,"&lt;&gt;COND",
'YearA-AppDetails Current Date'!I:I,"SUMMER"))), "")</f>
        <v/>
      </c>
      <c r="K146" s="73" t="str">
        <f>IFERROR(1/(1/SUM(COUNTIFS(
'YearA-AppDetails Current Date'!A:A,D146,
'YearA-AppDetails Current Date'!F:F,E146,
'YearA-AppDetails Current Date'!E:E,--F146,
'YearA-AppDetails Current Date'!R:R,"&lt;&gt;"&amp;"",
'YearA-AppDetails Current Date'!I:I,"SUMMER"))), "")</f>
        <v/>
      </c>
      <c r="L146" s="74" t="str" cm="1">
        <f t="array" ref="L146">IFERROR(1/(1/SUM(COUNTIFS(
'YearA-AppDetails Current Date'!A:A,D146,
'YearA-AppDetails Current Date'!F:F,E146,
'YearA-AppDetails Current Date'!E:E,--F146,
'YearA-AppDetails Current Date'!T:T,{"APEX","DENY","NTSL"},
'YearA-AppDetails Current Date'!I:I,"SUMMER"))), "")</f>
        <v/>
      </c>
      <c r="M146" s="74" t="str" cm="1">
        <f t="array" ref="M146">IFERROR(1/(1/SUM(COUNTIFS(
'YearA-AppDetails Current Date'!A:A,D146,
'YearA-AppDetails Current Date'!F:F,E146,
'YearA-AppDetails Current Date'!E:E,--F146,
'YearA-AppDetails Current Date'!U:U,{"CCAN","DECL"},
'YearA-AppDetails Current Date'!I:I,"SUMMER"))), "")</f>
        <v/>
      </c>
      <c r="N146" s="74" t="str" cm="1">
        <f t="array" ref="N146">IFERROR(1/(1/SUM(COUNTIFS(
'YearA-AppDetails Current Date'!A:A,D146,
'YearA-AppDetails Current Date'!F:F,E146,
'YearA-AppDetails Current Date'!E:E,--F146,
'YearA-AppDetails Current Date'!V:V,{"APRO","NODE"},
'YearA-AppDetails Current Date'!I:I,"SUMMER"))), "")</f>
        <v/>
      </c>
      <c r="O146" s="74" t="str" cm="1">
        <f t="array" ref="O146">IFERROR(1/(1/SUM(COUNTIFS(
'YearA-AppDetails Current Date'!A:A,D146,
'YearA-AppDetails Current Date'!F:F,E146,
'YearA-AppDetails Current Date'!E:E,--F146,
'YearA-AppDetails Current Date'!T:T,{"CDMT","RQMT","WAIT"},
'YearA-AppDetails Current Date'!I:I,"SUMMER"))), "")</f>
        <v/>
      </c>
      <c r="P146" s="74" t="str">
        <f>IFERROR(1/(1/COUNTIFS(
'YearA-AppDetails Current Date'!A:A,D146,
'YearA-AppDetails Current Date'!F:F,E146,
'YearA-AppDetails Current Date'!E:E,--F146,
'YearA-AppDetails Current Date'!Y:Y,"ENRO",
'YearA-AppDetails Current Date'!I:I,"SUMMER")), "")</f>
        <v/>
      </c>
      <c r="Q146" s="3" t="str">
        <f t="shared" si="13"/>
        <v/>
      </c>
    </row>
    <row r="147" spans="1:17" ht="15.75" customHeight="1" x14ac:dyDescent="0.25">
      <c r="A147" s="119"/>
      <c r="B147" s="122"/>
      <c r="C147" s="133"/>
      <c r="D147" s="23" t="s">
        <v>103</v>
      </c>
      <c r="E147" s="2" t="s">
        <v>43</v>
      </c>
      <c r="F147" s="31">
        <v>2</v>
      </c>
      <c r="G147" s="146"/>
      <c r="H147" s="73" t="str">
        <f>IFERROR(1/(1/
SUM(
N(VLOOKUP(D147&amp;F147,'Budgeted Projections Intl HC'!D:T,2,FALSE)),
N(VLOOKUP(D147&amp;F147,'Budgeted Projections Intl HC'!D:T,3,FALSE))
)
),"")</f>
        <v/>
      </c>
      <c r="I147" s="73" t="str">
        <f>IFERROR(1/(1/COUNTIFS(
'YearA-AppDetails Current Date'!A:A,D147,
'YearA-AppDetails Current Date'!F:F,E147,
'YearA-AppDetails Current Date'!E:E,--F147,
'YearA-AppDetails Current Date'!I:I,"SUMMER")), "")</f>
        <v/>
      </c>
      <c r="J147" s="74" t="str" cm="1">
        <f t="array" ref="J147">IFERROR(1/(1/SUM(COUNTIFS(
'YearA-AppDetails Current Date'!A:A,D147,
'YearA-AppDetails Current Date'!F:F,E147,
'YearA-AppDetails Current Date'!E:E,--F147,
'YearA-AppDetails Current Date'!O:O,{"ACLN","ACPT","COND"},
'YearA-AppDetails Current Date'!S:S,"&lt;&gt;ACLN",
'YearA-AppDetails Current Date'!S:S,"&lt;&gt;ACPT",
'YearA-AppDetails Current Date'!S:S,"&lt;&gt;COND",
'YearA-AppDetails Current Date'!I:I,"SUMMER"))), "")</f>
        <v/>
      </c>
      <c r="K147" s="73" t="str">
        <f>IFERROR(1/(1/SUM(COUNTIFS(
'YearA-AppDetails Current Date'!A:A,D147,
'YearA-AppDetails Current Date'!F:F,E147,
'YearA-AppDetails Current Date'!E:E,--F147,
'YearA-AppDetails Current Date'!R:R,"&lt;&gt;"&amp;"",
'YearA-AppDetails Current Date'!I:I,"SUMMER"))), "")</f>
        <v/>
      </c>
      <c r="L147" s="74" t="str" cm="1">
        <f t="array" ref="L147">IFERROR(1/(1/SUM(COUNTIFS(
'YearA-AppDetails Current Date'!A:A,D147,
'YearA-AppDetails Current Date'!F:F,E147,
'YearA-AppDetails Current Date'!E:E,--F147,
'YearA-AppDetails Current Date'!T:T,{"APEX","DENY","NTSL"},
'YearA-AppDetails Current Date'!I:I,"SUMMER"))), "")</f>
        <v/>
      </c>
      <c r="M147" s="74" t="str" cm="1">
        <f t="array" ref="M147">IFERROR(1/(1/SUM(COUNTIFS(
'YearA-AppDetails Current Date'!A:A,D147,
'YearA-AppDetails Current Date'!F:F,E147,
'YearA-AppDetails Current Date'!E:E,--F147,
'YearA-AppDetails Current Date'!U:U,{"CCAN","DECL"},
'YearA-AppDetails Current Date'!I:I,"SUMMER"))), "")</f>
        <v/>
      </c>
      <c r="N147" s="74" t="str" cm="1">
        <f t="array" ref="N147">IFERROR(1/(1/SUM(COUNTIFS(
'YearA-AppDetails Current Date'!A:A,D147,
'YearA-AppDetails Current Date'!F:F,E147,
'YearA-AppDetails Current Date'!E:E,--F147,
'YearA-AppDetails Current Date'!V:V,{"APRO","NODE"},
'YearA-AppDetails Current Date'!I:I,"SUMMER"))), "")</f>
        <v/>
      </c>
      <c r="O147" s="74" t="str" cm="1">
        <f t="array" ref="O147">IFERROR(1/(1/SUM(COUNTIFS(
'YearA-AppDetails Current Date'!A:A,D147,
'YearA-AppDetails Current Date'!F:F,E147,
'YearA-AppDetails Current Date'!E:E,--F147,
'YearA-AppDetails Current Date'!T:T,{"CDMT","RQMT","WAIT"},
'YearA-AppDetails Current Date'!I:I,"SUMMER"))), "")</f>
        <v/>
      </c>
      <c r="P147" s="74" t="str">
        <f>IFERROR(1/(1/COUNTIFS(
'YearA-AppDetails Current Date'!A:A,D147,
'YearA-AppDetails Current Date'!F:F,E147,
'YearA-AppDetails Current Date'!E:E,--F147,
'YearA-AppDetails Current Date'!Y:Y,"ENRO",
'YearA-AppDetails Current Date'!I:I,"SUMMER")), "")</f>
        <v/>
      </c>
      <c r="Q147" s="3" t="str">
        <f t="shared" si="13"/>
        <v/>
      </c>
    </row>
    <row r="148" spans="1:17" ht="15.75" customHeight="1" x14ac:dyDescent="0.25">
      <c r="A148" s="119"/>
      <c r="B148" s="122"/>
      <c r="C148" s="142" t="s">
        <v>284</v>
      </c>
      <c r="D148" s="143"/>
      <c r="E148" s="143"/>
      <c r="F148" s="144"/>
      <c r="G148" s="19"/>
      <c r="H148" s="19">
        <f>SUM(H140:H147)</f>
        <v>0</v>
      </c>
      <c r="I148" s="19">
        <f t="shared" ref="I148:P148" si="15">SUM(I140:I147)</f>
        <v>0</v>
      </c>
      <c r="J148" s="19">
        <f t="shared" si="15"/>
        <v>0</v>
      </c>
      <c r="K148" s="19">
        <f t="shared" si="15"/>
        <v>0</v>
      </c>
      <c r="L148" s="19">
        <f t="shared" si="15"/>
        <v>0</v>
      </c>
      <c r="M148" s="19">
        <f t="shared" si="15"/>
        <v>0</v>
      </c>
      <c r="N148" s="19">
        <f t="shared" si="15"/>
        <v>0</v>
      </c>
      <c r="O148" s="19">
        <f t="shared" si="15"/>
        <v>0</v>
      </c>
      <c r="P148" s="19">
        <f t="shared" si="15"/>
        <v>0</v>
      </c>
      <c r="Q148" s="35" t="str">
        <f t="shared" si="13"/>
        <v/>
      </c>
    </row>
    <row r="149" spans="1:17" ht="15.75" customHeight="1" x14ac:dyDescent="0.25">
      <c r="A149" s="119"/>
      <c r="B149" s="122"/>
      <c r="C149" s="124" t="s">
        <v>151</v>
      </c>
      <c r="D149" s="29" t="s">
        <v>107</v>
      </c>
      <c r="E149" s="2" t="s">
        <v>42</v>
      </c>
      <c r="F149" s="31">
        <v>1</v>
      </c>
      <c r="G149" s="139">
        <v>30</v>
      </c>
      <c r="H149" s="73" t="str">
        <f>IFERROR(1/(1/
SUM(
N(VLOOKUP(D149&amp;F149,'Budgeted Projections Dom HC'!D:T,2,FALSE)),
N(VLOOKUP(D149&amp;F149,'Budgeted Projections Dom HC'!D:T,3,FALSE))
)
),"")</f>
        <v/>
      </c>
      <c r="I149" s="73" t="str">
        <f>IFERROR(1/(1/COUNTIFS(
'YearA-AppDetails Current Date'!A:A,D149,
'YearA-AppDetails Current Date'!F:F,E149,
'YearA-AppDetails Current Date'!E:E,--F149,
'YearA-AppDetails Current Date'!I:I,"SUMMER")), "")</f>
        <v/>
      </c>
      <c r="J149" s="74" t="str" cm="1">
        <f t="array" ref="J149">IFERROR(1/(1/SUM(COUNTIFS(
'YearA-AppDetails Current Date'!A:A,D149,
'YearA-AppDetails Current Date'!F:F,E149,
'YearA-AppDetails Current Date'!E:E,--F149,
'YearA-AppDetails Current Date'!O:O,{"ACLN","ACPT","COND"},
'YearA-AppDetails Current Date'!S:S,"&lt;&gt;ACLN",
'YearA-AppDetails Current Date'!S:S,"&lt;&gt;ACPT",
'YearA-AppDetails Current Date'!S:S,"&lt;&gt;COND",
'YearA-AppDetails Current Date'!I:I,"SUMMER"))), "")</f>
        <v/>
      </c>
      <c r="K149" s="73" t="str">
        <f>IFERROR(1/(1/SUM(COUNTIFS(
'YearA-AppDetails Current Date'!A:A,D149,
'YearA-AppDetails Current Date'!F:F,E149,
'YearA-AppDetails Current Date'!E:E,--F149,
'YearA-AppDetails Current Date'!R:R,"&lt;&gt;"&amp;"",
'YearA-AppDetails Current Date'!I:I,"SUMMER"))), "")</f>
        <v/>
      </c>
      <c r="L149" s="74" t="str" cm="1">
        <f t="array" ref="L149">IFERROR(1/(1/SUM(COUNTIFS(
'YearA-AppDetails Current Date'!A:A,D149,
'YearA-AppDetails Current Date'!F:F,E149,
'YearA-AppDetails Current Date'!E:E,--F149,
'YearA-AppDetails Current Date'!T:T,{"APEX","DENY","NTSL"},
'YearA-AppDetails Current Date'!I:I,"SUMMER"))), "")</f>
        <v/>
      </c>
      <c r="M149" s="74" t="str" cm="1">
        <f t="array" ref="M149">IFERROR(1/(1/SUM(COUNTIFS(
'YearA-AppDetails Current Date'!A:A,D149,
'YearA-AppDetails Current Date'!F:F,E149,
'YearA-AppDetails Current Date'!E:E,--F149,
'YearA-AppDetails Current Date'!U:U,{"CCAN","DECL"},
'YearA-AppDetails Current Date'!I:I,"SUMMER"))), "")</f>
        <v/>
      </c>
      <c r="N149" s="74" t="str" cm="1">
        <f t="array" ref="N149">IFERROR(1/(1/SUM(COUNTIFS(
'YearA-AppDetails Current Date'!A:A,D149,
'YearA-AppDetails Current Date'!F:F,E149,
'YearA-AppDetails Current Date'!E:E,--F149,
'YearA-AppDetails Current Date'!V:V,{"APRO","NODE"},
'YearA-AppDetails Current Date'!I:I,"SUMMER"))), "")</f>
        <v/>
      </c>
      <c r="O149" s="74" t="str" cm="1">
        <f t="array" ref="O149">IFERROR(1/(1/SUM(COUNTIFS(
'YearA-AppDetails Current Date'!A:A,D149,
'YearA-AppDetails Current Date'!F:F,E149,
'YearA-AppDetails Current Date'!E:E,--F149,
'YearA-AppDetails Current Date'!T:T,{"CDMT","RQMT","WAIT"},
'YearA-AppDetails Current Date'!I:I,"SUMMER"))), "")</f>
        <v/>
      </c>
      <c r="P149" s="74" t="str">
        <f>IFERROR(1/(1/COUNTIFS(
'YearA-AppDetails Current Date'!A:A,D149,
'YearA-AppDetails Current Date'!F:F,E149,
'YearA-AppDetails Current Date'!E:E,--F149,
'YearA-AppDetails Current Date'!Y:Y,"ENRO",
'YearA-AppDetails Current Date'!I:I,"SUMMER")), "")</f>
        <v/>
      </c>
      <c r="Q149" s="3" t="str">
        <f t="shared" si="13"/>
        <v/>
      </c>
    </row>
    <row r="150" spans="1:17" ht="15.75" customHeight="1" x14ac:dyDescent="0.25">
      <c r="A150" s="119"/>
      <c r="B150" s="122"/>
      <c r="C150" s="138"/>
      <c r="D150" s="29" t="s">
        <v>107</v>
      </c>
      <c r="E150" s="2" t="s">
        <v>43</v>
      </c>
      <c r="F150" s="31">
        <v>1</v>
      </c>
      <c r="G150" s="141"/>
      <c r="H150" s="73" t="str">
        <f>IFERROR(1/(1/
SUM(
N(VLOOKUP(D150&amp;F150,'Budgeted Projections Intl HC'!D:T,2,FALSE)),
N(VLOOKUP(D150&amp;F150,'Budgeted Projections Intl HC'!D:T,3,FALSE))
)
),"")</f>
        <v/>
      </c>
      <c r="I150" s="73" t="str">
        <f>IFERROR(1/(1/COUNTIFS(
'YearA-AppDetails Current Date'!A:A,D150,
'YearA-AppDetails Current Date'!F:F,E150,
'YearA-AppDetails Current Date'!E:E,--F150,
'YearA-AppDetails Current Date'!I:I,"SUMMER")), "")</f>
        <v/>
      </c>
      <c r="J150" s="74" t="str" cm="1">
        <f t="array" ref="J150">IFERROR(1/(1/SUM(COUNTIFS(
'YearA-AppDetails Current Date'!A:A,D150,
'YearA-AppDetails Current Date'!F:F,E150,
'YearA-AppDetails Current Date'!E:E,--F150,
'YearA-AppDetails Current Date'!O:O,{"ACLN","ACPT","COND"},
'YearA-AppDetails Current Date'!S:S,"&lt;&gt;ACLN",
'YearA-AppDetails Current Date'!S:S,"&lt;&gt;ACPT",
'YearA-AppDetails Current Date'!S:S,"&lt;&gt;COND",
'YearA-AppDetails Current Date'!I:I,"SUMMER"))), "")</f>
        <v/>
      </c>
      <c r="K150" s="73" t="str">
        <f>IFERROR(1/(1/SUM(COUNTIFS(
'YearA-AppDetails Current Date'!A:A,D150,
'YearA-AppDetails Current Date'!F:F,E150,
'YearA-AppDetails Current Date'!E:E,--F150,
'YearA-AppDetails Current Date'!R:R,"&lt;&gt;"&amp;"",
'YearA-AppDetails Current Date'!I:I,"SUMMER"))), "")</f>
        <v/>
      </c>
      <c r="L150" s="74" t="str" cm="1">
        <f t="array" ref="L150">IFERROR(1/(1/SUM(COUNTIFS(
'YearA-AppDetails Current Date'!A:A,D150,
'YearA-AppDetails Current Date'!F:F,E150,
'YearA-AppDetails Current Date'!E:E,--F150,
'YearA-AppDetails Current Date'!T:T,{"APEX","DENY","NTSL"},
'YearA-AppDetails Current Date'!I:I,"SUMMER"))), "")</f>
        <v/>
      </c>
      <c r="M150" s="74" t="str" cm="1">
        <f t="array" ref="M150">IFERROR(1/(1/SUM(COUNTIFS(
'YearA-AppDetails Current Date'!A:A,D150,
'YearA-AppDetails Current Date'!F:F,E150,
'YearA-AppDetails Current Date'!E:E,--F150,
'YearA-AppDetails Current Date'!U:U,{"CCAN","DECL"},
'YearA-AppDetails Current Date'!I:I,"SUMMER"))), "")</f>
        <v/>
      </c>
      <c r="N150" s="74" t="str" cm="1">
        <f t="array" ref="N150">IFERROR(1/(1/SUM(COUNTIFS(
'YearA-AppDetails Current Date'!A:A,D150,
'YearA-AppDetails Current Date'!F:F,E150,
'YearA-AppDetails Current Date'!E:E,--F150,
'YearA-AppDetails Current Date'!V:V,{"APRO","NODE"},
'YearA-AppDetails Current Date'!I:I,"SUMMER"))), "")</f>
        <v/>
      </c>
      <c r="O150" s="74" t="str" cm="1">
        <f t="array" ref="O150">IFERROR(1/(1/SUM(COUNTIFS(
'YearA-AppDetails Current Date'!A:A,D150,
'YearA-AppDetails Current Date'!F:F,E150,
'YearA-AppDetails Current Date'!E:E,--F150,
'YearA-AppDetails Current Date'!T:T,{"CDMT","RQMT","WAIT"},
'YearA-AppDetails Current Date'!I:I,"SUMMER"))), "")</f>
        <v/>
      </c>
      <c r="P150" s="74" t="str">
        <f>IFERROR(1/(1/COUNTIFS(
'YearA-AppDetails Current Date'!A:A,D150,
'YearA-AppDetails Current Date'!F:F,E150,
'YearA-AppDetails Current Date'!E:E,--F150,
'YearA-AppDetails Current Date'!Y:Y,"ENRO",
'YearA-AppDetails Current Date'!I:I,"SUMMER")), "")</f>
        <v/>
      </c>
      <c r="Q150" s="3" t="str">
        <f t="shared" si="13"/>
        <v/>
      </c>
    </row>
    <row r="151" spans="1:17" ht="15.75" customHeight="1" x14ac:dyDescent="0.25">
      <c r="A151" s="119"/>
      <c r="B151" s="122"/>
      <c r="C151" s="138"/>
      <c r="D151" s="29" t="s">
        <v>107</v>
      </c>
      <c r="E151" s="2" t="s">
        <v>42</v>
      </c>
      <c r="F151" s="31">
        <v>2</v>
      </c>
      <c r="G151" s="139">
        <v>30</v>
      </c>
      <c r="H151" s="73" t="str">
        <f>IFERROR(1/(1/
SUM(
N(VLOOKUP(D151&amp;F151,'Budgeted Projections Dom HC'!D:T,2,FALSE)),
N(VLOOKUP(D151&amp;F151,'Budgeted Projections Dom HC'!D:T,3,FALSE))
)
),"")</f>
        <v/>
      </c>
      <c r="I151" s="73" t="str">
        <f>IFERROR(1/(1/COUNTIFS(
'YearA-AppDetails Current Date'!A:A,D151,
'YearA-AppDetails Current Date'!F:F,E151,
'YearA-AppDetails Current Date'!E:E,--F151,
'YearA-AppDetails Current Date'!I:I,"SUMMER")), "")</f>
        <v/>
      </c>
      <c r="J151" s="74" t="str" cm="1">
        <f t="array" ref="J151">IFERROR(1/(1/SUM(COUNTIFS(
'YearA-AppDetails Current Date'!A:A,D151,
'YearA-AppDetails Current Date'!F:F,E151,
'YearA-AppDetails Current Date'!E:E,--F151,
'YearA-AppDetails Current Date'!O:O,{"ACLN","ACPT","COND"},
'YearA-AppDetails Current Date'!S:S,"&lt;&gt;ACLN",
'YearA-AppDetails Current Date'!S:S,"&lt;&gt;ACPT",
'YearA-AppDetails Current Date'!S:S,"&lt;&gt;COND",
'YearA-AppDetails Current Date'!I:I,"SUMMER"))), "")</f>
        <v/>
      </c>
      <c r="K151" s="73" t="str">
        <f>IFERROR(1/(1/SUM(COUNTIFS(
'YearA-AppDetails Current Date'!A:A,D151,
'YearA-AppDetails Current Date'!F:F,E151,
'YearA-AppDetails Current Date'!E:E,--F151,
'YearA-AppDetails Current Date'!R:R,"&lt;&gt;"&amp;"",
'YearA-AppDetails Current Date'!I:I,"SUMMER"))), "")</f>
        <v/>
      </c>
      <c r="L151" s="74" t="str" cm="1">
        <f t="array" ref="L151">IFERROR(1/(1/SUM(COUNTIFS(
'YearA-AppDetails Current Date'!A:A,D151,
'YearA-AppDetails Current Date'!F:F,E151,
'YearA-AppDetails Current Date'!E:E,--F151,
'YearA-AppDetails Current Date'!T:T,{"APEX","DENY","NTSL"},
'YearA-AppDetails Current Date'!I:I,"SUMMER"))), "")</f>
        <v/>
      </c>
      <c r="M151" s="74" t="str" cm="1">
        <f t="array" ref="M151">IFERROR(1/(1/SUM(COUNTIFS(
'YearA-AppDetails Current Date'!A:A,D151,
'YearA-AppDetails Current Date'!F:F,E151,
'YearA-AppDetails Current Date'!E:E,--F151,
'YearA-AppDetails Current Date'!U:U,{"CCAN","DECL"},
'YearA-AppDetails Current Date'!I:I,"SUMMER"))), "")</f>
        <v/>
      </c>
      <c r="N151" s="74" t="str" cm="1">
        <f t="array" ref="N151">IFERROR(1/(1/SUM(COUNTIFS(
'YearA-AppDetails Current Date'!A:A,D151,
'YearA-AppDetails Current Date'!F:F,E151,
'YearA-AppDetails Current Date'!E:E,--F151,
'YearA-AppDetails Current Date'!V:V,{"APRO","NODE"},
'YearA-AppDetails Current Date'!I:I,"SUMMER"))), "")</f>
        <v/>
      </c>
      <c r="O151" s="74" t="str" cm="1">
        <f t="array" ref="O151">IFERROR(1/(1/SUM(COUNTIFS(
'YearA-AppDetails Current Date'!A:A,D151,
'YearA-AppDetails Current Date'!F:F,E151,
'YearA-AppDetails Current Date'!E:E,--F151,
'YearA-AppDetails Current Date'!T:T,{"CDMT","RQMT","WAIT"},
'YearA-AppDetails Current Date'!I:I,"SUMMER"))), "")</f>
        <v/>
      </c>
      <c r="P151" s="74" t="str">
        <f>IFERROR(1/(1/COUNTIFS(
'YearA-AppDetails Current Date'!A:A,D151,
'YearA-AppDetails Current Date'!F:F,E151,
'YearA-AppDetails Current Date'!E:E,--F151,
'YearA-AppDetails Current Date'!Y:Y,"ENRO",
'YearA-AppDetails Current Date'!I:I,"SUMMER")), "")</f>
        <v/>
      </c>
      <c r="Q151" s="3" t="str">
        <f t="shared" si="13"/>
        <v/>
      </c>
    </row>
    <row r="152" spans="1:17" ht="15.75" customHeight="1" x14ac:dyDescent="0.25">
      <c r="A152" s="119"/>
      <c r="B152" s="122"/>
      <c r="C152" s="125"/>
      <c r="D152" s="29" t="s">
        <v>107</v>
      </c>
      <c r="E152" s="2" t="s">
        <v>43</v>
      </c>
      <c r="F152" s="31">
        <v>2</v>
      </c>
      <c r="G152" s="140"/>
      <c r="H152" s="73" t="str">
        <f>IFERROR(1/(1/
SUM(
N(VLOOKUP(D152&amp;F152,'Budgeted Projections Intl HC'!D:T,2,FALSE)),
N(VLOOKUP(D152&amp;F152,'Budgeted Projections Intl HC'!D:T,3,FALSE))
)
),"")</f>
        <v/>
      </c>
      <c r="I152" s="73" t="str">
        <f>IFERROR(1/(1/COUNTIFS(
'YearA-AppDetails Current Date'!A:A,D152,
'YearA-AppDetails Current Date'!F:F,E152,
'YearA-AppDetails Current Date'!E:E,--F152,
'YearA-AppDetails Current Date'!I:I,"SUMMER")), "")</f>
        <v/>
      </c>
      <c r="J152" s="74" t="str" cm="1">
        <f t="array" ref="J152">IFERROR(1/(1/SUM(COUNTIFS(
'YearA-AppDetails Current Date'!A:A,D152,
'YearA-AppDetails Current Date'!F:F,E152,
'YearA-AppDetails Current Date'!E:E,--F152,
'YearA-AppDetails Current Date'!O:O,{"ACLN","ACPT","COND"},
'YearA-AppDetails Current Date'!S:S,"&lt;&gt;ACLN",
'YearA-AppDetails Current Date'!S:S,"&lt;&gt;ACPT",
'YearA-AppDetails Current Date'!S:S,"&lt;&gt;COND",
'YearA-AppDetails Current Date'!I:I,"SUMMER"))), "")</f>
        <v/>
      </c>
      <c r="K152" s="73" t="str">
        <f>IFERROR(1/(1/SUM(COUNTIFS(
'YearA-AppDetails Current Date'!A:A,D152,
'YearA-AppDetails Current Date'!F:F,E152,
'YearA-AppDetails Current Date'!E:E,--F152,
'YearA-AppDetails Current Date'!R:R,"&lt;&gt;"&amp;"",
'YearA-AppDetails Current Date'!I:I,"SUMMER"))), "")</f>
        <v/>
      </c>
      <c r="L152" s="74" t="str" cm="1">
        <f t="array" ref="L152">IFERROR(1/(1/SUM(COUNTIFS(
'YearA-AppDetails Current Date'!A:A,D152,
'YearA-AppDetails Current Date'!F:F,E152,
'YearA-AppDetails Current Date'!E:E,--F152,
'YearA-AppDetails Current Date'!T:T,{"APEX","DENY","NTSL"},
'YearA-AppDetails Current Date'!I:I,"SUMMER"))), "")</f>
        <v/>
      </c>
      <c r="M152" s="74" t="str" cm="1">
        <f t="array" ref="M152">IFERROR(1/(1/SUM(COUNTIFS(
'YearA-AppDetails Current Date'!A:A,D152,
'YearA-AppDetails Current Date'!F:F,E152,
'YearA-AppDetails Current Date'!E:E,--F152,
'YearA-AppDetails Current Date'!U:U,{"CCAN","DECL"},
'YearA-AppDetails Current Date'!I:I,"SUMMER"))), "")</f>
        <v/>
      </c>
      <c r="N152" s="74" t="str" cm="1">
        <f t="array" ref="N152">IFERROR(1/(1/SUM(COUNTIFS(
'YearA-AppDetails Current Date'!A:A,D152,
'YearA-AppDetails Current Date'!F:F,E152,
'YearA-AppDetails Current Date'!E:E,--F152,
'YearA-AppDetails Current Date'!V:V,{"APRO","NODE"},
'YearA-AppDetails Current Date'!I:I,"SUMMER"))), "")</f>
        <v/>
      </c>
      <c r="O152" s="74" t="str" cm="1">
        <f t="array" ref="O152">IFERROR(1/(1/SUM(COUNTIFS(
'YearA-AppDetails Current Date'!A:A,D152,
'YearA-AppDetails Current Date'!F:F,E152,
'YearA-AppDetails Current Date'!E:E,--F152,
'YearA-AppDetails Current Date'!T:T,{"CDMT","RQMT","WAIT"},
'YearA-AppDetails Current Date'!I:I,"SUMMER"))), "")</f>
        <v/>
      </c>
      <c r="P152" s="74" t="str">
        <f>IFERROR(1/(1/COUNTIFS(
'YearA-AppDetails Current Date'!A:A,D152,
'YearA-AppDetails Current Date'!F:F,E152,
'YearA-AppDetails Current Date'!E:E,--F152,
'YearA-AppDetails Current Date'!Y:Y,"ENRO",
'YearA-AppDetails Current Date'!I:I,"SUMMER")), "")</f>
        <v/>
      </c>
      <c r="Q152" s="3" t="str">
        <f t="shared" si="13"/>
        <v/>
      </c>
    </row>
    <row r="153" spans="1:17" ht="15.75" customHeight="1" x14ac:dyDescent="0.25">
      <c r="A153" s="119"/>
      <c r="B153" s="122"/>
      <c r="C153" s="124" t="s">
        <v>106</v>
      </c>
      <c r="D153" s="29" t="s">
        <v>150</v>
      </c>
      <c r="E153" s="2" t="s">
        <v>42</v>
      </c>
      <c r="F153" s="31">
        <v>1</v>
      </c>
      <c r="G153" s="139">
        <v>30</v>
      </c>
      <c r="H153" s="73" t="str">
        <f>IFERROR(1/(1/
SUM(
N(VLOOKUP(D153&amp;F153,'Budgeted Projections Dom HC'!D:T,2,FALSE)),
N(VLOOKUP(D153&amp;F153,'Budgeted Projections Dom HC'!D:T,3,FALSE))
)
),"")</f>
        <v/>
      </c>
      <c r="I153" s="73" t="str">
        <f>IFERROR(1/(1/COUNTIFS(
'YearA-AppDetails Current Date'!A:A,D153,
'YearA-AppDetails Current Date'!F:F,E153,
'YearA-AppDetails Current Date'!E:E,--F153,
'YearA-AppDetails Current Date'!I:I,"SUMMER")), "")</f>
        <v/>
      </c>
      <c r="J153" s="74" t="str" cm="1">
        <f t="array" ref="J153">IFERROR(1/(1/SUM(COUNTIFS(
'YearA-AppDetails Current Date'!A:A,D153,
'YearA-AppDetails Current Date'!F:F,E153,
'YearA-AppDetails Current Date'!E:E,--F153,
'YearA-AppDetails Current Date'!O:O,{"ACLN","ACPT","COND"},
'YearA-AppDetails Current Date'!S:S,"&lt;&gt;ACLN",
'YearA-AppDetails Current Date'!S:S,"&lt;&gt;ACPT",
'YearA-AppDetails Current Date'!S:S,"&lt;&gt;COND",
'YearA-AppDetails Current Date'!I:I,"SUMMER"))), "")</f>
        <v/>
      </c>
      <c r="K153" s="73" t="str">
        <f>IFERROR(1/(1/SUM(COUNTIFS(
'YearA-AppDetails Current Date'!A:A,D153,
'YearA-AppDetails Current Date'!F:F,E153,
'YearA-AppDetails Current Date'!E:E,--F153,
'YearA-AppDetails Current Date'!R:R,"&lt;&gt;"&amp;"",
'YearA-AppDetails Current Date'!I:I,"SUMMER"))), "")</f>
        <v/>
      </c>
      <c r="L153" s="74" t="str" cm="1">
        <f t="array" ref="L153">IFERROR(1/(1/SUM(COUNTIFS(
'YearA-AppDetails Current Date'!A:A,D153,
'YearA-AppDetails Current Date'!F:F,E153,
'YearA-AppDetails Current Date'!E:E,--F153,
'YearA-AppDetails Current Date'!T:T,{"APEX","DENY","NTSL"},
'YearA-AppDetails Current Date'!I:I,"SUMMER"))), "")</f>
        <v/>
      </c>
      <c r="M153" s="74" t="str" cm="1">
        <f t="array" ref="M153">IFERROR(1/(1/SUM(COUNTIFS(
'YearA-AppDetails Current Date'!A:A,D153,
'YearA-AppDetails Current Date'!F:F,E153,
'YearA-AppDetails Current Date'!E:E,--F153,
'YearA-AppDetails Current Date'!U:U,{"CCAN","DECL"},
'YearA-AppDetails Current Date'!I:I,"SUMMER"))), "")</f>
        <v/>
      </c>
      <c r="N153" s="74" t="str" cm="1">
        <f t="array" ref="N153">IFERROR(1/(1/SUM(COUNTIFS(
'YearA-AppDetails Current Date'!A:A,D153,
'YearA-AppDetails Current Date'!F:F,E153,
'YearA-AppDetails Current Date'!E:E,--F153,
'YearA-AppDetails Current Date'!V:V,{"APRO","NODE"},
'YearA-AppDetails Current Date'!I:I,"SUMMER"))), "")</f>
        <v/>
      </c>
      <c r="O153" s="74" t="str" cm="1">
        <f t="array" ref="O153">IFERROR(1/(1/SUM(COUNTIFS(
'YearA-AppDetails Current Date'!A:A,D153,
'YearA-AppDetails Current Date'!F:F,E153,
'YearA-AppDetails Current Date'!E:E,--F153,
'YearA-AppDetails Current Date'!T:T,{"CDMT","RQMT","WAIT"},
'YearA-AppDetails Current Date'!I:I,"SUMMER"))), "")</f>
        <v/>
      </c>
      <c r="P153" s="74" t="str">
        <f>IFERROR(1/(1/COUNTIFS(
'YearA-AppDetails Current Date'!A:A,D153,
'YearA-AppDetails Current Date'!F:F,E153,
'YearA-AppDetails Current Date'!E:E,--F153,
'YearA-AppDetails Current Date'!Y:Y,"ENRO",
'YearA-AppDetails Current Date'!I:I,"SUMMER")), "")</f>
        <v/>
      </c>
      <c r="Q153" s="3" t="str">
        <f t="shared" si="13"/>
        <v/>
      </c>
    </row>
    <row r="154" spans="1:17" ht="15.75" customHeight="1" x14ac:dyDescent="0.25">
      <c r="A154" s="119"/>
      <c r="B154" s="122"/>
      <c r="C154" s="138"/>
      <c r="D154" s="29" t="s">
        <v>150</v>
      </c>
      <c r="E154" s="2" t="s">
        <v>43</v>
      </c>
      <c r="F154" s="31">
        <v>1</v>
      </c>
      <c r="G154" s="141"/>
      <c r="H154" s="73" t="str">
        <f>IFERROR(1/(1/
SUM(
N(VLOOKUP(D154&amp;F154,'Budgeted Projections Intl HC'!D:T,2,FALSE)),
N(VLOOKUP(D154&amp;F154,'Budgeted Projections Intl HC'!D:T,3,FALSE))
)
),"")</f>
        <v/>
      </c>
      <c r="I154" s="73" t="str">
        <f>IFERROR(1/(1/COUNTIFS(
'YearA-AppDetails Current Date'!A:A,D154,
'YearA-AppDetails Current Date'!F:F,E154,
'YearA-AppDetails Current Date'!E:E,--F154,
'YearA-AppDetails Current Date'!I:I,"SUMMER")), "")</f>
        <v/>
      </c>
      <c r="J154" s="74" t="str" cm="1">
        <f t="array" ref="J154">IFERROR(1/(1/SUM(COUNTIFS(
'YearA-AppDetails Current Date'!A:A,D154,
'YearA-AppDetails Current Date'!F:F,E154,
'YearA-AppDetails Current Date'!E:E,--F154,
'YearA-AppDetails Current Date'!O:O,{"ACLN","ACPT","COND"},
'YearA-AppDetails Current Date'!S:S,"&lt;&gt;ACLN",
'YearA-AppDetails Current Date'!S:S,"&lt;&gt;ACPT",
'YearA-AppDetails Current Date'!S:S,"&lt;&gt;COND",
'YearA-AppDetails Current Date'!I:I,"SUMMER"))), "")</f>
        <v/>
      </c>
      <c r="K154" s="73" t="str">
        <f>IFERROR(1/(1/SUM(COUNTIFS(
'YearA-AppDetails Current Date'!A:A,D154,
'YearA-AppDetails Current Date'!F:F,E154,
'YearA-AppDetails Current Date'!E:E,--F154,
'YearA-AppDetails Current Date'!R:R,"&lt;&gt;"&amp;"",
'YearA-AppDetails Current Date'!I:I,"SUMMER"))), "")</f>
        <v/>
      </c>
      <c r="L154" s="74" t="str" cm="1">
        <f t="array" ref="L154">IFERROR(1/(1/SUM(COUNTIFS(
'YearA-AppDetails Current Date'!A:A,D154,
'YearA-AppDetails Current Date'!F:F,E154,
'YearA-AppDetails Current Date'!E:E,--F154,
'YearA-AppDetails Current Date'!T:T,{"APEX","DENY","NTSL"},
'YearA-AppDetails Current Date'!I:I,"SUMMER"))), "")</f>
        <v/>
      </c>
      <c r="M154" s="74" t="str" cm="1">
        <f t="array" ref="M154">IFERROR(1/(1/SUM(COUNTIFS(
'YearA-AppDetails Current Date'!A:A,D154,
'YearA-AppDetails Current Date'!F:F,E154,
'YearA-AppDetails Current Date'!E:E,--F154,
'YearA-AppDetails Current Date'!U:U,{"CCAN","DECL"},
'YearA-AppDetails Current Date'!I:I,"SUMMER"))), "")</f>
        <v/>
      </c>
      <c r="N154" s="74" t="str" cm="1">
        <f t="array" ref="N154">IFERROR(1/(1/SUM(COUNTIFS(
'YearA-AppDetails Current Date'!A:A,D154,
'YearA-AppDetails Current Date'!F:F,E154,
'YearA-AppDetails Current Date'!E:E,--F154,
'YearA-AppDetails Current Date'!V:V,{"APRO","NODE"},
'YearA-AppDetails Current Date'!I:I,"SUMMER"))), "")</f>
        <v/>
      </c>
      <c r="O154" s="74" t="str" cm="1">
        <f t="array" ref="O154">IFERROR(1/(1/SUM(COUNTIFS(
'YearA-AppDetails Current Date'!A:A,D154,
'YearA-AppDetails Current Date'!F:F,E154,
'YearA-AppDetails Current Date'!E:E,--F154,
'YearA-AppDetails Current Date'!T:T,{"CDMT","RQMT","WAIT"},
'YearA-AppDetails Current Date'!I:I,"SUMMER"))), "")</f>
        <v/>
      </c>
      <c r="P154" s="74" t="str">
        <f>IFERROR(1/(1/COUNTIFS(
'YearA-AppDetails Current Date'!A:A,D154,
'YearA-AppDetails Current Date'!F:F,E154,
'YearA-AppDetails Current Date'!E:E,--F154,
'YearA-AppDetails Current Date'!Y:Y,"ENRO",
'YearA-AppDetails Current Date'!I:I,"SUMMER")), "")</f>
        <v/>
      </c>
      <c r="Q154" s="3" t="str">
        <f t="shared" si="13"/>
        <v/>
      </c>
    </row>
    <row r="155" spans="1:17" ht="15.75" customHeight="1" x14ac:dyDescent="0.25">
      <c r="A155" s="119"/>
      <c r="B155" s="122"/>
      <c r="C155" s="138"/>
      <c r="D155" s="29" t="s">
        <v>150</v>
      </c>
      <c r="E155" s="2" t="s">
        <v>42</v>
      </c>
      <c r="F155" s="31">
        <v>2</v>
      </c>
      <c r="G155" s="139">
        <v>30</v>
      </c>
      <c r="H155" s="73" t="str">
        <f>IFERROR(1/(1/
SUM(
N(VLOOKUP(D155&amp;F155,'Budgeted Projections Dom HC'!D:T,2,FALSE)),
N(VLOOKUP(D155&amp;F155,'Budgeted Projections Dom HC'!D:T,3,FALSE))
)
),"")</f>
        <v/>
      </c>
      <c r="I155" s="73" t="str">
        <f>IFERROR(1/(1/COUNTIFS(
'YearA-AppDetails Current Date'!A:A,D155,
'YearA-AppDetails Current Date'!F:F,E155,
'YearA-AppDetails Current Date'!E:E,--F155,
'YearA-AppDetails Current Date'!I:I,"SUMMER")), "")</f>
        <v/>
      </c>
      <c r="J155" s="74" t="str" cm="1">
        <f t="array" ref="J155">IFERROR(1/(1/SUM(COUNTIFS(
'YearA-AppDetails Current Date'!A:A,D155,
'YearA-AppDetails Current Date'!F:F,E155,
'YearA-AppDetails Current Date'!E:E,--F155,
'YearA-AppDetails Current Date'!O:O,{"ACLN","ACPT","COND"},
'YearA-AppDetails Current Date'!S:S,"&lt;&gt;ACLN",
'YearA-AppDetails Current Date'!S:S,"&lt;&gt;ACPT",
'YearA-AppDetails Current Date'!S:S,"&lt;&gt;COND",
'YearA-AppDetails Current Date'!I:I,"SUMMER"))), "")</f>
        <v/>
      </c>
      <c r="K155" s="73" t="str">
        <f>IFERROR(1/(1/SUM(COUNTIFS(
'YearA-AppDetails Current Date'!A:A,D155,
'YearA-AppDetails Current Date'!F:F,E155,
'YearA-AppDetails Current Date'!E:E,--F155,
'YearA-AppDetails Current Date'!R:R,"&lt;&gt;"&amp;"",
'YearA-AppDetails Current Date'!I:I,"SUMMER"))), "")</f>
        <v/>
      </c>
      <c r="L155" s="74" t="str" cm="1">
        <f t="array" ref="L155">IFERROR(1/(1/SUM(COUNTIFS(
'YearA-AppDetails Current Date'!A:A,D155,
'YearA-AppDetails Current Date'!F:F,E155,
'YearA-AppDetails Current Date'!E:E,--F155,
'YearA-AppDetails Current Date'!T:T,{"APEX","DENY","NTSL"},
'YearA-AppDetails Current Date'!I:I,"SUMMER"))), "")</f>
        <v/>
      </c>
      <c r="M155" s="74" t="str" cm="1">
        <f t="array" ref="M155">IFERROR(1/(1/SUM(COUNTIFS(
'YearA-AppDetails Current Date'!A:A,D155,
'YearA-AppDetails Current Date'!F:F,E155,
'YearA-AppDetails Current Date'!E:E,--F155,
'YearA-AppDetails Current Date'!U:U,{"CCAN","DECL"},
'YearA-AppDetails Current Date'!I:I,"SUMMER"))), "")</f>
        <v/>
      </c>
      <c r="N155" s="74" t="str" cm="1">
        <f t="array" ref="N155">IFERROR(1/(1/SUM(COUNTIFS(
'YearA-AppDetails Current Date'!A:A,D155,
'YearA-AppDetails Current Date'!F:F,E155,
'YearA-AppDetails Current Date'!E:E,--F155,
'YearA-AppDetails Current Date'!V:V,{"APRO","NODE"},
'YearA-AppDetails Current Date'!I:I,"SUMMER"))), "")</f>
        <v/>
      </c>
      <c r="O155" s="74" t="str" cm="1">
        <f t="array" ref="O155">IFERROR(1/(1/SUM(COUNTIFS(
'YearA-AppDetails Current Date'!A:A,D155,
'YearA-AppDetails Current Date'!F:F,E155,
'YearA-AppDetails Current Date'!E:E,--F155,
'YearA-AppDetails Current Date'!T:T,{"CDMT","RQMT","WAIT"},
'YearA-AppDetails Current Date'!I:I,"SUMMER"))), "")</f>
        <v/>
      </c>
      <c r="P155" s="74" t="str">
        <f>IFERROR(1/(1/COUNTIFS(
'YearA-AppDetails Current Date'!A:A,D155,
'YearA-AppDetails Current Date'!F:F,E155,
'YearA-AppDetails Current Date'!E:E,--F155,
'YearA-AppDetails Current Date'!Y:Y,"ENRO",
'YearA-AppDetails Current Date'!I:I,"SUMMER")), "")</f>
        <v/>
      </c>
      <c r="Q155" s="3" t="str">
        <f t="shared" si="13"/>
        <v/>
      </c>
    </row>
    <row r="156" spans="1:17" ht="15.75" customHeight="1" x14ac:dyDescent="0.25">
      <c r="A156" s="119"/>
      <c r="B156" s="122"/>
      <c r="C156" s="125"/>
      <c r="D156" s="29" t="s">
        <v>150</v>
      </c>
      <c r="E156" s="2" t="s">
        <v>43</v>
      </c>
      <c r="F156" s="31">
        <v>2</v>
      </c>
      <c r="G156" s="140"/>
      <c r="H156" s="73" t="str">
        <f>IFERROR(1/(1/
SUM(
N(VLOOKUP(D156&amp;F156,'Budgeted Projections Intl HC'!D:T,2,FALSE)),
N(VLOOKUP(D156&amp;F156,'Budgeted Projections Intl HC'!D:T,3,FALSE))
)
),"")</f>
        <v/>
      </c>
      <c r="I156" s="73" t="str">
        <f>IFERROR(1/(1/COUNTIFS(
'YearA-AppDetails Current Date'!A:A,D156,
'YearA-AppDetails Current Date'!F:F,E156,
'YearA-AppDetails Current Date'!E:E,--F156,
'YearA-AppDetails Current Date'!I:I,"SUMMER")), "")</f>
        <v/>
      </c>
      <c r="J156" s="74" t="str" cm="1">
        <f t="array" ref="J156">IFERROR(1/(1/SUM(COUNTIFS(
'YearA-AppDetails Current Date'!A:A,D156,
'YearA-AppDetails Current Date'!F:F,E156,
'YearA-AppDetails Current Date'!E:E,--F156,
'YearA-AppDetails Current Date'!O:O,{"ACLN","ACPT","COND"},
'YearA-AppDetails Current Date'!S:S,"&lt;&gt;ACLN",
'YearA-AppDetails Current Date'!S:S,"&lt;&gt;ACPT",
'YearA-AppDetails Current Date'!S:S,"&lt;&gt;COND",
'YearA-AppDetails Current Date'!I:I,"SUMMER"))), "")</f>
        <v/>
      </c>
      <c r="K156" s="73" t="str">
        <f>IFERROR(1/(1/SUM(COUNTIFS(
'YearA-AppDetails Current Date'!A:A,D156,
'YearA-AppDetails Current Date'!F:F,E156,
'YearA-AppDetails Current Date'!E:E,--F156,
'YearA-AppDetails Current Date'!R:R,"&lt;&gt;"&amp;"",
'YearA-AppDetails Current Date'!I:I,"SUMMER"))), "")</f>
        <v/>
      </c>
      <c r="L156" s="74" t="str" cm="1">
        <f t="array" ref="L156">IFERROR(1/(1/SUM(COUNTIFS(
'YearA-AppDetails Current Date'!A:A,D156,
'YearA-AppDetails Current Date'!F:F,E156,
'YearA-AppDetails Current Date'!E:E,--F156,
'YearA-AppDetails Current Date'!T:T,{"APEX","DENY","NTSL"},
'YearA-AppDetails Current Date'!I:I,"SUMMER"))), "")</f>
        <v/>
      </c>
      <c r="M156" s="74" t="str" cm="1">
        <f t="array" ref="M156">IFERROR(1/(1/SUM(COUNTIFS(
'YearA-AppDetails Current Date'!A:A,D156,
'YearA-AppDetails Current Date'!F:F,E156,
'YearA-AppDetails Current Date'!E:E,--F156,
'YearA-AppDetails Current Date'!U:U,{"CCAN","DECL"},
'YearA-AppDetails Current Date'!I:I,"SUMMER"))), "")</f>
        <v/>
      </c>
      <c r="N156" s="74" t="str" cm="1">
        <f t="array" ref="N156">IFERROR(1/(1/SUM(COUNTIFS(
'YearA-AppDetails Current Date'!A:A,D156,
'YearA-AppDetails Current Date'!F:F,E156,
'YearA-AppDetails Current Date'!E:E,--F156,
'YearA-AppDetails Current Date'!V:V,{"APRO","NODE"},
'YearA-AppDetails Current Date'!I:I,"SUMMER"))), "")</f>
        <v/>
      </c>
      <c r="O156" s="74" t="str" cm="1">
        <f t="array" ref="O156">IFERROR(1/(1/SUM(COUNTIFS(
'YearA-AppDetails Current Date'!A:A,D156,
'YearA-AppDetails Current Date'!F:F,E156,
'YearA-AppDetails Current Date'!E:E,--F156,
'YearA-AppDetails Current Date'!T:T,{"CDMT","RQMT","WAIT"},
'YearA-AppDetails Current Date'!I:I,"SUMMER"))), "")</f>
        <v/>
      </c>
      <c r="P156" s="74" t="str">
        <f>IFERROR(1/(1/COUNTIFS(
'YearA-AppDetails Current Date'!A:A,D156,
'YearA-AppDetails Current Date'!F:F,E156,
'YearA-AppDetails Current Date'!E:E,--F156,
'YearA-AppDetails Current Date'!Y:Y,"ENRO",
'YearA-AppDetails Current Date'!I:I,"SUMMER")), "")</f>
        <v/>
      </c>
      <c r="Q156" s="3" t="str">
        <f t="shared" si="13"/>
        <v/>
      </c>
    </row>
    <row r="157" spans="1:17" ht="15.75" customHeight="1" x14ac:dyDescent="0.25">
      <c r="A157" s="119"/>
      <c r="B157" s="122"/>
      <c r="C157" s="142" t="s">
        <v>285</v>
      </c>
      <c r="D157" s="143"/>
      <c r="E157" s="143"/>
      <c r="F157" s="144"/>
      <c r="G157" s="19"/>
      <c r="H157" s="19">
        <f>SUM(H149:H156)</f>
        <v>0</v>
      </c>
      <c r="I157" s="19">
        <f t="shared" ref="I157:P157" si="16">SUM(I149:I156)</f>
        <v>0</v>
      </c>
      <c r="J157" s="19">
        <f t="shared" si="16"/>
        <v>0</v>
      </c>
      <c r="K157" s="19">
        <f t="shared" si="16"/>
        <v>0</v>
      </c>
      <c r="L157" s="19">
        <f t="shared" si="16"/>
        <v>0</v>
      </c>
      <c r="M157" s="19">
        <f t="shared" si="16"/>
        <v>0</v>
      </c>
      <c r="N157" s="19">
        <f t="shared" si="16"/>
        <v>0</v>
      </c>
      <c r="O157" s="19">
        <f t="shared" si="16"/>
        <v>0</v>
      </c>
      <c r="P157" s="19">
        <f t="shared" si="16"/>
        <v>0</v>
      </c>
      <c r="Q157" s="35" t="str">
        <f t="shared" si="13"/>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HC'!D:T,2,FALSE)),
N(VLOOKUP(D158&amp;F158,'Budgeted Projections Dom HC'!D:T,3,FALSE))
)
),"")</f>
        <v/>
      </c>
      <c r="I158" s="73" t="str">
        <f>IFERROR(1/(1/COUNTIFS(
'YearA-AppDetails Current Date'!A:A,D158,
'YearA-AppDetails Current Date'!F:F,E158,
'YearA-AppDetails Current Date'!E:E,--F158,
'YearA-AppDetails Current Date'!I:I,"SUMMER")), "")</f>
        <v/>
      </c>
      <c r="J158" s="74" t="str" cm="1">
        <f t="array" ref="J158">IFERROR(1/(1/SUM(COUNTIFS(
'YearA-AppDetails Current Date'!A:A,D158,
'YearA-AppDetails Current Date'!F:F,E158,
'YearA-AppDetails Current Date'!E:E,--F158,
'YearA-AppDetails Current Date'!O:O,{"ACLN","ACPT","COND"},
'YearA-AppDetails Current Date'!S:S,"&lt;&gt;ACLN",
'YearA-AppDetails Current Date'!S:S,"&lt;&gt;ACPT",
'YearA-AppDetails Current Date'!S:S,"&lt;&gt;COND",
'YearA-AppDetails Current Date'!I:I,"SUMMER"))), "")</f>
        <v/>
      </c>
      <c r="K158" s="73" t="str">
        <f>IFERROR(1/(1/SUM(COUNTIFS(
'YearA-AppDetails Current Date'!A:A,D158,
'YearA-AppDetails Current Date'!F:F,E158,
'YearA-AppDetails Current Date'!E:E,--F158,
'YearA-AppDetails Current Date'!R:R,"&lt;&gt;"&amp;"",
'YearA-AppDetails Current Date'!I:I,"SUMMER"))), "")</f>
        <v/>
      </c>
      <c r="L158" s="74" t="str" cm="1">
        <f t="array" ref="L158">IFERROR(1/(1/SUM(COUNTIFS(
'YearA-AppDetails Current Date'!A:A,D158,
'YearA-AppDetails Current Date'!F:F,E158,
'YearA-AppDetails Current Date'!E:E,--F158,
'YearA-AppDetails Current Date'!T:T,{"APEX","DENY","NTSL"},
'YearA-AppDetails Current Date'!I:I,"SUMMER"))), "")</f>
        <v/>
      </c>
      <c r="M158" s="74" t="str" cm="1">
        <f t="array" ref="M158">IFERROR(1/(1/SUM(COUNTIFS(
'YearA-AppDetails Current Date'!A:A,D158,
'YearA-AppDetails Current Date'!F:F,E158,
'YearA-AppDetails Current Date'!E:E,--F158,
'YearA-AppDetails Current Date'!U:U,{"CCAN","DECL"},
'YearA-AppDetails Current Date'!I:I,"SUMMER"))), "")</f>
        <v/>
      </c>
      <c r="N158" s="74" t="str" cm="1">
        <f t="array" ref="N158">IFERROR(1/(1/SUM(COUNTIFS(
'YearA-AppDetails Current Date'!A:A,D158,
'YearA-AppDetails Current Date'!F:F,E158,
'YearA-AppDetails Current Date'!E:E,--F158,
'YearA-AppDetails Current Date'!V:V,{"APRO","NODE"},
'YearA-AppDetails Current Date'!I:I,"SUMMER"))), "")</f>
        <v/>
      </c>
      <c r="O158" s="74" t="str" cm="1">
        <f t="array" ref="O158">IFERROR(1/(1/SUM(COUNTIFS(
'YearA-AppDetails Current Date'!A:A,D158,
'YearA-AppDetails Current Date'!F:F,E158,
'YearA-AppDetails Current Date'!E:E,--F158,
'YearA-AppDetails Current Date'!T:T,{"CDMT","RQMT","WAIT"},
'YearA-AppDetails Current Date'!I:I,"SUMMER"))), "")</f>
        <v/>
      </c>
      <c r="P158" s="74" t="str">
        <f>IFERROR(1/(1/COUNTIFS(
'YearA-AppDetails Current Date'!A:A,D158,
'YearA-AppDetails Current Date'!F:F,E158,
'YearA-AppDetails Current Date'!E:E,--F158,
'YearA-AppDetails Current Date'!Y:Y,"ENRO",
'YearA-AppDetails Current Date'!I:I,"SUMMER")), "")</f>
        <v/>
      </c>
      <c r="Q158" s="3" t="str">
        <f t="shared" si="13"/>
        <v/>
      </c>
    </row>
    <row r="159" spans="1:17" ht="15.75" customHeight="1" x14ac:dyDescent="0.25">
      <c r="A159" s="119"/>
      <c r="B159" s="122"/>
      <c r="C159" s="125"/>
      <c r="D159" s="23" t="s">
        <v>104</v>
      </c>
      <c r="E159" s="2" t="s">
        <v>43</v>
      </c>
      <c r="F159" s="31">
        <v>1</v>
      </c>
      <c r="G159" s="140"/>
      <c r="H159" s="73" t="str">
        <f>IFERROR(1/(1/
SUM(
N(VLOOKUP(D159&amp;F159,'Budgeted Projections Intl HC'!D:T,2,FALSE)),
N(VLOOKUP(D159&amp;F159,'Budgeted Projections Intl HC'!D:T,3,FALSE))
)
),"")</f>
        <v/>
      </c>
      <c r="I159" s="73" t="str">
        <f>IFERROR(1/(1/COUNTIFS(
'YearA-AppDetails Current Date'!A:A,D159,
'YearA-AppDetails Current Date'!F:F,E159,
'YearA-AppDetails Current Date'!E:E,--F159,
'YearA-AppDetails Current Date'!I:I,"SUMMER")), "")</f>
        <v/>
      </c>
      <c r="J159" s="74" t="str" cm="1">
        <f t="array" ref="J159">IFERROR(1/(1/SUM(COUNTIFS(
'YearA-AppDetails Current Date'!A:A,D159,
'YearA-AppDetails Current Date'!F:F,E159,
'YearA-AppDetails Current Date'!E:E,--F159,
'YearA-AppDetails Current Date'!O:O,{"ACLN","ACPT","COND"},
'YearA-AppDetails Current Date'!S:S,"&lt;&gt;ACLN",
'YearA-AppDetails Current Date'!S:S,"&lt;&gt;ACPT",
'YearA-AppDetails Current Date'!S:S,"&lt;&gt;COND",
'YearA-AppDetails Current Date'!I:I,"SUMMER"))), "")</f>
        <v/>
      </c>
      <c r="K159" s="73" t="str">
        <f>IFERROR(1/(1/SUM(COUNTIFS(
'YearA-AppDetails Current Date'!A:A,D159,
'YearA-AppDetails Current Date'!F:F,E159,
'YearA-AppDetails Current Date'!E:E,--F159,
'YearA-AppDetails Current Date'!R:R,"&lt;&gt;"&amp;"",
'YearA-AppDetails Current Date'!I:I,"SUMMER"))), "")</f>
        <v/>
      </c>
      <c r="L159" s="74" t="str" cm="1">
        <f t="array" ref="L159">IFERROR(1/(1/SUM(COUNTIFS(
'YearA-AppDetails Current Date'!A:A,D159,
'YearA-AppDetails Current Date'!F:F,E159,
'YearA-AppDetails Current Date'!E:E,--F159,
'YearA-AppDetails Current Date'!T:T,{"APEX","DENY","NTSL"},
'YearA-AppDetails Current Date'!I:I,"SUMMER"))), "")</f>
        <v/>
      </c>
      <c r="M159" s="74" t="str" cm="1">
        <f t="array" ref="M159">IFERROR(1/(1/SUM(COUNTIFS(
'YearA-AppDetails Current Date'!A:A,D159,
'YearA-AppDetails Current Date'!F:F,E159,
'YearA-AppDetails Current Date'!E:E,--F159,
'YearA-AppDetails Current Date'!U:U,{"CCAN","DECL"},
'YearA-AppDetails Current Date'!I:I,"SUMMER"))), "")</f>
        <v/>
      </c>
      <c r="N159" s="74" t="str" cm="1">
        <f t="array" ref="N159">IFERROR(1/(1/SUM(COUNTIFS(
'YearA-AppDetails Current Date'!A:A,D159,
'YearA-AppDetails Current Date'!F:F,E159,
'YearA-AppDetails Current Date'!E:E,--F159,
'YearA-AppDetails Current Date'!V:V,{"APRO","NODE"},
'YearA-AppDetails Current Date'!I:I,"SUMMER"))), "")</f>
        <v/>
      </c>
      <c r="O159" s="74" t="str" cm="1">
        <f t="array" ref="O159">IFERROR(1/(1/SUM(COUNTIFS(
'YearA-AppDetails Current Date'!A:A,D159,
'YearA-AppDetails Current Date'!F:F,E159,
'YearA-AppDetails Current Date'!E:E,--F159,
'YearA-AppDetails Current Date'!T:T,{"CDMT","RQMT","WAIT"},
'YearA-AppDetails Current Date'!I:I,"SUMMER"))), "")</f>
        <v/>
      </c>
      <c r="P159" s="74" t="str">
        <f>IFERROR(1/(1/COUNTIFS(
'YearA-AppDetails Current Date'!A:A,D159,
'YearA-AppDetails Current Date'!F:F,E159,
'YearA-AppDetails Current Date'!E:E,--F159,
'YearA-AppDetails Current Date'!Y:Y,"ENRO",
'YearA-AppDetails Current Date'!I:I,"SUMMER")), "")</f>
        <v/>
      </c>
      <c r="Q159" s="3" t="str">
        <f t="shared" si="13"/>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HC'!D:T,2,FALSE)),
N(VLOOKUP(D160&amp;F160,'Budgeted Projections Dom HC'!D:T,3,FALSE))
)
),"")</f>
        <v/>
      </c>
      <c r="I160" s="73" t="str">
        <f>IFERROR(1/(1/COUNTIFS(
'YearA-AppDetails Current Date'!A:A,D160,
'YearA-AppDetails Current Date'!F:F,E160,
'YearA-AppDetails Current Date'!E:E,--F160,
'YearA-AppDetails Current Date'!I:I,"SUMMER")), "")</f>
        <v/>
      </c>
      <c r="J160" s="74" t="str" cm="1">
        <f t="array" ref="J160">IFERROR(1/(1/SUM(COUNTIFS(
'YearA-AppDetails Current Date'!A:A,D160,
'YearA-AppDetails Current Date'!F:F,E160,
'YearA-AppDetails Current Date'!E:E,--F160,
'YearA-AppDetails Current Date'!O:O,{"ACLN","ACPT","COND"},
'YearA-AppDetails Current Date'!S:S,"&lt;&gt;ACLN",
'YearA-AppDetails Current Date'!S:S,"&lt;&gt;ACPT",
'YearA-AppDetails Current Date'!S:S,"&lt;&gt;COND",
'YearA-AppDetails Current Date'!I:I,"SUMMER"))), "")</f>
        <v/>
      </c>
      <c r="K160" s="73" t="str">
        <f>IFERROR(1/(1/SUM(COUNTIFS(
'YearA-AppDetails Current Date'!A:A,D160,
'YearA-AppDetails Current Date'!F:F,E160,
'YearA-AppDetails Current Date'!E:E,--F160,
'YearA-AppDetails Current Date'!R:R,"&lt;&gt;"&amp;"",
'YearA-AppDetails Current Date'!I:I,"SUMMER"))), "")</f>
        <v/>
      </c>
      <c r="L160" s="74" t="str" cm="1">
        <f t="array" ref="L160">IFERROR(1/(1/SUM(COUNTIFS(
'YearA-AppDetails Current Date'!A:A,D160,
'YearA-AppDetails Current Date'!F:F,E160,
'YearA-AppDetails Current Date'!E:E,--F160,
'YearA-AppDetails Current Date'!T:T,{"APEX","DENY","NTSL"},
'YearA-AppDetails Current Date'!I:I,"SUMMER"))), "")</f>
        <v/>
      </c>
      <c r="M160" s="74" t="str" cm="1">
        <f t="array" ref="M160">IFERROR(1/(1/SUM(COUNTIFS(
'YearA-AppDetails Current Date'!A:A,D160,
'YearA-AppDetails Current Date'!F:F,E160,
'YearA-AppDetails Current Date'!E:E,--F160,
'YearA-AppDetails Current Date'!U:U,{"CCAN","DECL"},
'YearA-AppDetails Current Date'!I:I,"SUMMER"))), "")</f>
        <v/>
      </c>
      <c r="N160" s="74" t="str" cm="1">
        <f t="array" ref="N160">IFERROR(1/(1/SUM(COUNTIFS(
'YearA-AppDetails Current Date'!A:A,D160,
'YearA-AppDetails Current Date'!F:F,E160,
'YearA-AppDetails Current Date'!E:E,--F160,
'YearA-AppDetails Current Date'!V:V,{"APRO","NODE"},
'YearA-AppDetails Current Date'!I:I,"SUMMER"))), "")</f>
        <v/>
      </c>
      <c r="O160" s="74" t="str" cm="1">
        <f t="array" ref="O160">IFERROR(1/(1/SUM(COUNTIFS(
'YearA-AppDetails Current Date'!A:A,D160,
'YearA-AppDetails Current Date'!F:F,E160,
'YearA-AppDetails Current Date'!E:E,--F160,
'YearA-AppDetails Current Date'!T:T,{"CDMT","RQMT","WAIT"},
'YearA-AppDetails Current Date'!I:I,"SUMMER"))), "")</f>
        <v/>
      </c>
      <c r="P160" s="74" t="str">
        <f>IFERROR(1/(1/COUNTIFS(
'YearA-AppDetails Current Date'!A:A,D160,
'YearA-AppDetails Current Date'!F:F,E160,
'YearA-AppDetails Current Date'!E:E,--F160,
'YearA-AppDetails Current Date'!Y:Y,"ENRO",
'YearA-AppDetails Current Date'!I:I,"SUMMER")), "")</f>
        <v/>
      </c>
      <c r="Q160" s="3" t="str">
        <f t="shared" si="13"/>
        <v/>
      </c>
    </row>
    <row r="161" spans="1:17" ht="15.75" customHeight="1" x14ac:dyDescent="0.25">
      <c r="A161" s="119"/>
      <c r="B161" s="122"/>
      <c r="C161" s="138"/>
      <c r="D161" s="23" t="s">
        <v>105</v>
      </c>
      <c r="E161" s="2" t="s">
        <v>43</v>
      </c>
      <c r="F161" s="31">
        <v>1</v>
      </c>
      <c r="G161" s="140"/>
      <c r="H161" s="73" t="str">
        <f>IFERROR(1/(1/
SUM(
N(VLOOKUP(D161&amp;F161,'Budgeted Projections Intl HC'!D:T,2,FALSE)),
N(VLOOKUP(D161&amp;F161,'Budgeted Projections Intl HC'!D:T,3,FALSE))
)
),"")</f>
        <v/>
      </c>
      <c r="I161" s="73" t="str">
        <f>IFERROR(1/(1/COUNTIFS(
'YearA-AppDetails Current Date'!A:A,D161,
'YearA-AppDetails Current Date'!F:F,E161,
'YearA-AppDetails Current Date'!E:E,--F161,
'YearA-AppDetails Current Date'!I:I,"SUMMER")), "")</f>
        <v/>
      </c>
      <c r="J161" s="74" t="str" cm="1">
        <f t="array" ref="J161">IFERROR(1/(1/SUM(COUNTIFS(
'YearA-AppDetails Current Date'!A:A,D161,
'YearA-AppDetails Current Date'!F:F,E161,
'YearA-AppDetails Current Date'!E:E,--F161,
'YearA-AppDetails Current Date'!O:O,{"ACLN","ACPT","COND"},
'YearA-AppDetails Current Date'!S:S,"&lt;&gt;ACLN",
'YearA-AppDetails Current Date'!S:S,"&lt;&gt;ACPT",
'YearA-AppDetails Current Date'!S:S,"&lt;&gt;COND",
'YearA-AppDetails Current Date'!I:I,"SUMMER"))), "")</f>
        <v/>
      </c>
      <c r="K161" s="73" t="str">
        <f>IFERROR(1/(1/SUM(COUNTIFS(
'YearA-AppDetails Current Date'!A:A,D161,
'YearA-AppDetails Current Date'!F:F,E161,
'YearA-AppDetails Current Date'!E:E,--F161,
'YearA-AppDetails Current Date'!R:R,"&lt;&gt;"&amp;"",
'YearA-AppDetails Current Date'!I:I,"SUMMER"))), "")</f>
        <v/>
      </c>
      <c r="L161" s="74" t="str" cm="1">
        <f t="array" ref="L161">IFERROR(1/(1/SUM(COUNTIFS(
'YearA-AppDetails Current Date'!A:A,D161,
'YearA-AppDetails Current Date'!F:F,E161,
'YearA-AppDetails Current Date'!E:E,--F161,
'YearA-AppDetails Current Date'!T:T,{"APEX","DENY","NTSL"},
'YearA-AppDetails Current Date'!I:I,"SUMMER"))), "")</f>
        <v/>
      </c>
      <c r="M161" s="74" t="str" cm="1">
        <f t="array" ref="M161">IFERROR(1/(1/SUM(COUNTIFS(
'YearA-AppDetails Current Date'!A:A,D161,
'YearA-AppDetails Current Date'!F:F,E161,
'YearA-AppDetails Current Date'!E:E,--F161,
'YearA-AppDetails Current Date'!U:U,{"CCAN","DECL"},
'YearA-AppDetails Current Date'!I:I,"SUMMER"))), "")</f>
        <v/>
      </c>
      <c r="N161" s="74" t="str" cm="1">
        <f t="array" ref="N161">IFERROR(1/(1/SUM(COUNTIFS(
'YearA-AppDetails Current Date'!A:A,D161,
'YearA-AppDetails Current Date'!F:F,E161,
'YearA-AppDetails Current Date'!E:E,--F161,
'YearA-AppDetails Current Date'!V:V,{"APRO","NODE"},
'YearA-AppDetails Current Date'!I:I,"SUMMER"))), "")</f>
        <v/>
      </c>
      <c r="O161" s="74" t="str" cm="1">
        <f t="array" ref="O161">IFERROR(1/(1/SUM(COUNTIFS(
'YearA-AppDetails Current Date'!A:A,D161,
'YearA-AppDetails Current Date'!F:F,E161,
'YearA-AppDetails Current Date'!E:E,--F161,
'YearA-AppDetails Current Date'!T:T,{"CDMT","RQMT","WAIT"},
'YearA-AppDetails Current Date'!I:I,"SUMMER"))), "")</f>
        <v/>
      </c>
      <c r="P161" s="74" t="str">
        <f>IFERROR(1/(1/COUNTIFS(
'YearA-AppDetails Current Date'!A:A,D161,
'YearA-AppDetails Current Date'!F:F,E161,
'YearA-AppDetails Current Date'!E:E,--F161,
'YearA-AppDetails Current Date'!Y:Y,"ENRO",
'YearA-AppDetails Current Date'!I:I,"SUMMER")), "")</f>
        <v/>
      </c>
      <c r="Q161" s="3" t="str">
        <f t="shared" si="13"/>
        <v/>
      </c>
    </row>
    <row r="162" spans="1:17" ht="15.75" customHeight="1" x14ac:dyDescent="0.25">
      <c r="A162" s="119"/>
      <c r="B162" s="122"/>
      <c r="C162" s="138"/>
      <c r="D162" s="23" t="s">
        <v>105</v>
      </c>
      <c r="E162" s="2" t="s">
        <v>42</v>
      </c>
      <c r="F162" s="31">
        <v>2</v>
      </c>
      <c r="G162" s="139" t="s">
        <v>48</v>
      </c>
      <c r="H162" s="73" t="str">
        <f>IFERROR(1/(1/
SUM(
N(VLOOKUP(D162&amp;F162,'Budgeted Projections Dom HC'!D:T,2,FALSE)),
N(VLOOKUP(D162&amp;F162,'Budgeted Projections Dom HC'!D:T,3,FALSE))
)
),"")</f>
        <v/>
      </c>
      <c r="I162" s="73" t="str">
        <f>IFERROR(1/(1/COUNTIFS(
'YearA-AppDetails Current Date'!A:A,D162,
'YearA-AppDetails Current Date'!F:F,E162,
'YearA-AppDetails Current Date'!E:E,--F162,
'YearA-AppDetails Current Date'!I:I,"SUMMER")), "")</f>
        <v/>
      </c>
      <c r="J162" s="74" t="str" cm="1">
        <f t="array" ref="J162">IFERROR(1/(1/SUM(COUNTIFS(
'YearA-AppDetails Current Date'!A:A,D162,
'YearA-AppDetails Current Date'!F:F,E162,
'YearA-AppDetails Current Date'!E:E,--F162,
'YearA-AppDetails Current Date'!O:O,{"ACLN","ACPT","COND"},
'YearA-AppDetails Current Date'!S:S,"&lt;&gt;ACLN",
'YearA-AppDetails Current Date'!S:S,"&lt;&gt;ACPT",
'YearA-AppDetails Current Date'!S:S,"&lt;&gt;COND",
'YearA-AppDetails Current Date'!I:I,"SUMMER"))), "")</f>
        <v/>
      </c>
      <c r="K162" s="73" t="str">
        <f>IFERROR(1/(1/SUM(COUNTIFS(
'YearA-AppDetails Current Date'!A:A,D162,
'YearA-AppDetails Current Date'!F:F,E162,
'YearA-AppDetails Current Date'!E:E,--F162,
'YearA-AppDetails Current Date'!R:R,"&lt;&gt;"&amp;"",
'YearA-AppDetails Current Date'!I:I,"SUMMER"))), "")</f>
        <v/>
      </c>
      <c r="L162" s="74" t="str" cm="1">
        <f t="array" ref="L162">IFERROR(1/(1/SUM(COUNTIFS(
'YearA-AppDetails Current Date'!A:A,D162,
'YearA-AppDetails Current Date'!F:F,E162,
'YearA-AppDetails Current Date'!E:E,--F162,
'YearA-AppDetails Current Date'!T:T,{"APEX","DENY","NTSL"},
'YearA-AppDetails Current Date'!I:I,"SUMMER"))), "")</f>
        <v/>
      </c>
      <c r="M162" s="74" t="str" cm="1">
        <f t="array" ref="M162">IFERROR(1/(1/SUM(COUNTIFS(
'YearA-AppDetails Current Date'!A:A,D162,
'YearA-AppDetails Current Date'!F:F,E162,
'YearA-AppDetails Current Date'!E:E,--F162,
'YearA-AppDetails Current Date'!U:U,{"CCAN","DECL"},
'YearA-AppDetails Current Date'!I:I,"SUMMER"))), "")</f>
        <v/>
      </c>
      <c r="N162" s="74" t="str" cm="1">
        <f t="array" ref="N162">IFERROR(1/(1/SUM(COUNTIFS(
'YearA-AppDetails Current Date'!A:A,D162,
'YearA-AppDetails Current Date'!F:F,E162,
'YearA-AppDetails Current Date'!E:E,--F162,
'YearA-AppDetails Current Date'!V:V,{"APRO","NODE"},
'YearA-AppDetails Current Date'!I:I,"SUMMER"))), "")</f>
        <v/>
      </c>
      <c r="O162" s="74" t="str" cm="1">
        <f t="array" ref="O162">IFERROR(1/(1/SUM(COUNTIFS(
'YearA-AppDetails Current Date'!A:A,D162,
'YearA-AppDetails Current Date'!F:F,E162,
'YearA-AppDetails Current Date'!E:E,--F162,
'YearA-AppDetails Current Date'!T:T,{"CDMT","RQMT","WAIT"},
'YearA-AppDetails Current Date'!I:I,"SUMMER"))), "")</f>
        <v/>
      </c>
      <c r="P162" s="74" t="str">
        <f>IFERROR(1/(1/COUNTIFS(
'YearA-AppDetails Current Date'!A:A,D162,
'YearA-AppDetails Current Date'!F:F,E162,
'YearA-AppDetails Current Date'!E:E,--F162,
'YearA-AppDetails Current Date'!Y:Y,"ENRO",
'YearA-AppDetails Current Date'!I:I,"SUMMER")), "")</f>
        <v/>
      </c>
      <c r="Q162" s="3" t="str">
        <f t="shared" si="13"/>
        <v/>
      </c>
    </row>
    <row r="163" spans="1:17" ht="15.75" customHeight="1" x14ac:dyDescent="0.25">
      <c r="A163" s="119"/>
      <c r="B163" s="122"/>
      <c r="C163" s="125"/>
      <c r="D163" s="23" t="s">
        <v>105</v>
      </c>
      <c r="E163" s="2" t="s">
        <v>43</v>
      </c>
      <c r="F163" s="31">
        <v>2</v>
      </c>
      <c r="G163" s="140"/>
      <c r="H163" s="73" t="str">
        <f>IFERROR(1/(1/
SUM(
N(VLOOKUP(D163&amp;F163,'Budgeted Projections Intl HC'!D:T,2,FALSE)),
N(VLOOKUP(D163&amp;F163,'Budgeted Projections Intl HC'!D:T,3,FALSE))
)
),"")</f>
        <v/>
      </c>
      <c r="I163" s="73" t="str">
        <f>IFERROR(1/(1/COUNTIFS(
'YearA-AppDetails Current Date'!A:A,D163,
'YearA-AppDetails Current Date'!F:F,E163,
'YearA-AppDetails Current Date'!E:E,--F163,
'YearA-AppDetails Current Date'!I:I,"SUMMER")), "")</f>
        <v/>
      </c>
      <c r="J163" s="74" t="str" cm="1">
        <f t="array" ref="J163">IFERROR(1/(1/SUM(COUNTIFS(
'YearA-AppDetails Current Date'!A:A,D163,
'YearA-AppDetails Current Date'!F:F,E163,
'YearA-AppDetails Current Date'!E:E,--F163,
'YearA-AppDetails Current Date'!O:O,{"ACLN","ACPT","COND"},
'YearA-AppDetails Current Date'!S:S,"&lt;&gt;ACLN",
'YearA-AppDetails Current Date'!S:S,"&lt;&gt;ACPT",
'YearA-AppDetails Current Date'!S:S,"&lt;&gt;COND",
'YearA-AppDetails Current Date'!I:I,"SUMMER"))), "")</f>
        <v/>
      </c>
      <c r="K163" s="73" t="str">
        <f>IFERROR(1/(1/SUM(COUNTIFS(
'YearA-AppDetails Current Date'!A:A,D163,
'YearA-AppDetails Current Date'!F:F,E163,
'YearA-AppDetails Current Date'!E:E,--F163,
'YearA-AppDetails Current Date'!R:R,"&lt;&gt;"&amp;"",
'YearA-AppDetails Current Date'!I:I,"SUMMER"))), "")</f>
        <v/>
      </c>
      <c r="L163" s="74" t="str" cm="1">
        <f t="array" ref="L163">IFERROR(1/(1/SUM(COUNTIFS(
'YearA-AppDetails Current Date'!A:A,D163,
'YearA-AppDetails Current Date'!F:F,E163,
'YearA-AppDetails Current Date'!E:E,--F163,
'YearA-AppDetails Current Date'!T:T,{"APEX","DENY","NTSL"},
'YearA-AppDetails Current Date'!I:I,"SUMMER"))), "")</f>
        <v/>
      </c>
      <c r="M163" s="74" t="str" cm="1">
        <f t="array" ref="M163">IFERROR(1/(1/SUM(COUNTIFS(
'YearA-AppDetails Current Date'!A:A,D163,
'YearA-AppDetails Current Date'!F:F,E163,
'YearA-AppDetails Current Date'!E:E,--F163,
'YearA-AppDetails Current Date'!U:U,{"CCAN","DECL"},
'YearA-AppDetails Current Date'!I:I,"SUMMER"))), "")</f>
        <v/>
      </c>
      <c r="N163" s="74" t="str" cm="1">
        <f t="array" ref="N163">IFERROR(1/(1/SUM(COUNTIFS(
'YearA-AppDetails Current Date'!A:A,D163,
'YearA-AppDetails Current Date'!F:F,E163,
'YearA-AppDetails Current Date'!E:E,--F163,
'YearA-AppDetails Current Date'!V:V,{"APRO","NODE"},
'YearA-AppDetails Current Date'!I:I,"SUMMER"))), "")</f>
        <v/>
      </c>
      <c r="O163" s="74" t="str" cm="1">
        <f t="array" ref="O163">IFERROR(1/(1/SUM(COUNTIFS(
'YearA-AppDetails Current Date'!A:A,D163,
'YearA-AppDetails Current Date'!F:F,E163,
'YearA-AppDetails Current Date'!E:E,--F163,
'YearA-AppDetails Current Date'!T:T,{"CDMT","RQMT","WAIT"},
'YearA-AppDetails Current Date'!I:I,"SUMMER"))), "")</f>
        <v/>
      </c>
      <c r="P163" s="74" t="str">
        <f>IFERROR(1/(1/COUNTIFS(
'YearA-AppDetails Current Date'!A:A,D163,
'YearA-AppDetails Current Date'!F:F,E163,
'YearA-AppDetails Current Date'!E:E,--F163,
'YearA-AppDetails Current Date'!Y:Y,"ENRO",
'YearA-AppDetails Current Date'!I:I,"SUMMER")), "")</f>
        <v/>
      </c>
      <c r="Q163" s="3" t="str">
        <f t="shared" si="13"/>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HC'!D:T,2,FALSE)),
N(VLOOKUP(D164&amp;F164,'Budgeted Projections Dom HC'!D:T,3,FALSE))
)
),"")</f>
        <v/>
      </c>
      <c r="I164" s="73" t="str">
        <f>IFERROR(1/(1/COUNTIFS(
'YearA-AppDetails Current Date'!A:A,D164,
'YearA-AppDetails Current Date'!F:F,E164,
'YearA-AppDetails Current Date'!E:E,--F164,
'YearA-AppDetails Current Date'!I:I,"SUMMER")), "")</f>
        <v/>
      </c>
      <c r="J164" s="74" t="str" cm="1">
        <f t="array" ref="J164">IFERROR(1/(1/SUM(COUNTIFS(
'YearA-AppDetails Current Date'!A:A,D164,
'YearA-AppDetails Current Date'!F:F,E164,
'YearA-AppDetails Current Date'!E:E,--F164,
'YearA-AppDetails Current Date'!O:O,{"ACLN","ACPT","COND"},
'YearA-AppDetails Current Date'!S:S,"&lt;&gt;ACLN",
'YearA-AppDetails Current Date'!S:S,"&lt;&gt;ACPT",
'YearA-AppDetails Current Date'!S:S,"&lt;&gt;COND",
'YearA-AppDetails Current Date'!I:I,"SUMMER"))), "")</f>
        <v/>
      </c>
      <c r="K164" s="73" t="str">
        <f>IFERROR(1/(1/SUM(COUNTIFS(
'YearA-AppDetails Current Date'!A:A,D164,
'YearA-AppDetails Current Date'!F:F,E164,
'YearA-AppDetails Current Date'!E:E,--F164,
'YearA-AppDetails Current Date'!R:R,"&lt;&gt;"&amp;"",
'YearA-AppDetails Current Date'!I:I,"SUMMER"))), "")</f>
        <v/>
      </c>
      <c r="L164" s="74" t="str" cm="1">
        <f t="array" ref="L164">IFERROR(1/(1/SUM(COUNTIFS(
'YearA-AppDetails Current Date'!A:A,D164,
'YearA-AppDetails Current Date'!F:F,E164,
'YearA-AppDetails Current Date'!E:E,--F164,
'YearA-AppDetails Current Date'!T:T,{"APEX","DENY","NTSL"},
'YearA-AppDetails Current Date'!I:I,"SUMMER"))), "")</f>
        <v/>
      </c>
      <c r="M164" s="74" t="str" cm="1">
        <f t="array" ref="M164">IFERROR(1/(1/SUM(COUNTIFS(
'YearA-AppDetails Current Date'!A:A,D164,
'YearA-AppDetails Current Date'!F:F,E164,
'YearA-AppDetails Current Date'!E:E,--F164,
'YearA-AppDetails Current Date'!U:U,{"CCAN","DECL"},
'YearA-AppDetails Current Date'!I:I,"SUMMER"))), "")</f>
        <v/>
      </c>
      <c r="N164" s="74" t="str" cm="1">
        <f t="array" ref="N164">IFERROR(1/(1/SUM(COUNTIFS(
'YearA-AppDetails Current Date'!A:A,D164,
'YearA-AppDetails Current Date'!F:F,E164,
'YearA-AppDetails Current Date'!E:E,--F164,
'YearA-AppDetails Current Date'!V:V,{"APRO","NODE"},
'YearA-AppDetails Current Date'!I:I,"SUMMER"))), "")</f>
        <v/>
      </c>
      <c r="O164" s="74" t="str" cm="1">
        <f t="array" ref="O164">IFERROR(1/(1/SUM(COUNTIFS(
'YearA-AppDetails Current Date'!A:A,D164,
'YearA-AppDetails Current Date'!F:F,E164,
'YearA-AppDetails Current Date'!E:E,--F164,
'YearA-AppDetails Current Date'!T:T,{"CDMT","RQMT","WAIT"},
'YearA-AppDetails Current Date'!I:I,"SUMMER"))), "")</f>
        <v/>
      </c>
      <c r="P164" s="74" t="str">
        <f>IFERROR(1/(1/COUNTIFS(
'YearA-AppDetails Current Date'!A:A,D164,
'YearA-AppDetails Current Date'!F:F,E164,
'YearA-AppDetails Current Date'!E:E,--F164,
'YearA-AppDetails Current Date'!Y:Y,"ENRO",
'YearA-AppDetails Current Date'!I:I,"SUMMER")), "")</f>
        <v/>
      </c>
      <c r="Q164" s="3" t="str">
        <f t="shared" si="13"/>
        <v/>
      </c>
    </row>
    <row r="165" spans="1:17" ht="15.75" customHeight="1" x14ac:dyDescent="0.25">
      <c r="A165" s="119"/>
      <c r="B165" s="122"/>
      <c r="C165" s="125"/>
      <c r="D165" s="23" t="s">
        <v>109</v>
      </c>
      <c r="E165" s="2" t="s">
        <v>43</v>
      </c>
      <c r="F165" s="31">
        <v>1</v>
      </c>
      <c r="G165" s="140"/>
      <c r="H165" s="73" t="str">
        <f>IFERROR(1/(1/
SUM(
N(VLOOKUP(D165&amp;F165,'Budgeted Projections Intl HC'!D:T,2,FALSE)),
N(VLOOKUP(D165&amp;F165,'Budgeted Projections Intl HC'!D:T,3,FALSE))
)
),"")</f>
        <v/>
      </c>
      <c r="I165" s="73" t="str">
        <f>IFERROR(1/(1/COUNTIFS(
'YearA-AppDetails Current Date'!A:A,D165,
'YearA-AppDetails Current Date'!F:F,E165,
'YearA-AppDetails Current Date'!E:E,--F165,
'YearA-AppDetails Current Date'!I:I,"SUMMER")), "")</f>
        <v/>
      </c>
      <c r="J165" s="74" t="str" cm="1">
        <f t="array" ref="J165">IFERROR(1/(1/SUM(COUNTIFS(
'YearA-AppDetails Current Date'!A:A,D165,
'YearA-AppDetails Current Date'!F:F,E165,
'YearA-AppDetails Current Date'!E:E,--F165,
'YearA-AppDetails Current Date'!O:O,{"ACLN","ACPT","COND"},
'YearA-AppDetails Current Date'!S:S,"&lt;&gt;ACLN",
'YearA-AppDetails Current Date'!S:S,"&lt;&gt;ACPT",
'YearA-AppDetails Current Date'!S:S,"&lt;&gt;COND",
'YearA-AppDetails Current Date'!I:I,"SUMMER"))), "")</f>
        <v/>
      </c>
      <c r="K165" s="73" t="str">
        <f>IFERROR(1/(1/SUM(COUNTIFS(
'YearA-AppDetails Current Date'!A:A,D165,
'YearA-AppDetails Current Date'!F:F,E165,
'YearA-AppDetails Current Date'!E:E,--F165,
'YearA-AppDetails Current Date'!R:R,"&lt;&gt;"&amp;"",
'YearA-AppDetails Current Date'!I:I,"SUMMER"))), "")</f>
        <v/>
      </c>
      <c r="L165" s="74" t="str" cm="1">
        <f t="array" ref="L165">IFERROR(1/(1/SUM(COUNTIFS(
'YearA-AppDetails Current Date'!A:A,D165,
'YearA-AppDetails Current Date'!F:F,E165,
'YearA-AppDetails Current Date'!E:E,--F165,
'YearA-AppDetails Current Date'!T:T,{"APEX","DENY","NTSL"},
'YearA-AppDetails Current Date'!I:I,"SUMMER"))), "")</f>
        <v/>
      </c>
      <c r="M165" s="74" t="str" cm="1">
        <f t="array" ref="M165">IFERROR(1/(1/SUM(COUNTIFS(
'YearA-AppDetails Current Date'!A:A,D165,
'YearA-AppDetails Current Date'!F:F,E165,
'YearA-AppDetails Current Date'!E:E,--F165,
'YearA-AppDetails Current Date'!U:U,{"CCAN","DECL"},
'YearA-AppDetails Current Date'!I:I,"SUMMER"))), "")</f>
        <v/>
      </c>
      <c r="N165" s="74" t="str" cm="1">
        <f t="array" ref="N165">IFERROR(1/(1/SUM(COUNTIFS(
'YearA-AppDetails Current Date'!A:A,D165,
'YearA-AppDetails Current Date'!F:F,E165,
'YearA-AppDetails Current Date'!E:E,--F165,
'YearA-AppDetails Current Date'!V:V,{"APRO","NODE"},
'YearA-AppDetails Current Date'!I:I,"SUMMER"))), "")</f>
        <v/>
      </c>
      <c r="O165" s="74" t="str" cm="1">
        <f t="array" ref="O165">IFERROR(1/(1/SUM(COUNTIFS(
'YearA-AppDetails Current Date'!A:A,D165,
'YearA-AppDetails Current Date'!F:F,E165,
'YearA-AppDetails Current Date'!E:E,--F165,
'YearA-AppDetails Current Date'!T:T,{"CDMT","RQMT","WAIT"},
'YearA-AppDetails Current Date'!I:I,"SUMMER"))), "")</f>
        <v/>
      </c>
      <c r="P165" s="74" t="str">
        <f>IFERROR(1/(1/COUNTIFS(
'YearA-AppDetails Current Date'!A:A,D165,
'YearA-AppDetails Current Date'!F:F,E165,
'YearA-AppDetails Current Date'!E:E,--F165,
'YearA-AppDetails Current Date'!Y:Y,"ENRO",
'YearA-AppDetails Current Date'!I:I,"SUMMER")), "")</f>
        <v/>
      </c>
      <c r="Q165" s="3" t="str">
        <f t="shared" si="13"/>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HC'!D:T,2,FALSE)),
N(VLOOKUP(D166&amp;F166,'Budgeted Projections Dom HC'!D:T,3,FALSE))
)
),"")</f>
        <v/>
      </c>
      <c r="I166" s="73" t="str">
        <f>IFERROR(1/(1/COUNTIFS(
'YearA-AppDetails Current Date'!A:A,D166,
'YearA-AppDetails Current Date'!F:F,E166,
'YearA-AppDetails Current Date'!E:E,--F166,
'YearA-AppDetails Current Date'!I:I,"SUMMER")), "")</f>
        <v/>
      </c>
      <c r="J166" s="74" t="str" cm="1">
        <f t="array" ref="J166">IFERROR(1/(1/SUM(COUNTIFS(
'YearA-AppDetails Current Date'!A:A,D166,
'YearA-AppDetails Current Date'!F:F,E166,
'YearA-AppDetails Current Date'!E:E,--F166,
'YearA-AppDetails Current Date'!O:O,{"ACLN","ACPT","COND"},
'YearA-AppDetails Current Date'!S:S,"&lt;&gt;ACLN",
'YearA-AppDetails Current Date'!S:S,"&lt;&gt;ACPT",
'YearA-AppDetails Current Date'!S:S,"&lt;&gt;COND",
'YearA-AppDetails Current Date'!I:I,"SUMMER"))), "")</f>
        <v/>
      </c>
      <c r="K166" s="73" t="str">
        <f>IFERROR(1/(1/SUM(COUNTIFS(
'YearA-AppDetails Current Date'!A:A,D166,
'YearA-AppDetails Current Date'!F:F,E166,
'YearA-AppDetails Current Date'!E:E,--F166,
'YearA-AppDetails Current Date'!R:R,"&lt;&gt;"&amp;"",
'YearA-AppDetails Current Date'!I:I,"SUMMER"))), "")</f>
        <v/>
      </c>
      <c r="L166" s="74" t="str" cm="1">
        <f t="array" ref="L166">IFERROR(1/(1/SUM(COUNTIFS(
'YearA-AppDetails Current Date'!A:A,D166,
'YearA-AppDetails Current Date'!F:F,E166,
'YearA-AppDetails Current Date'!E:E,--F166,
'YearA-AppDetails Current Date'!T:T,{"APEX","DENY","NTSL"},
'YearA-AppDetails Current Date'!I:I,"SUMMER"))), "")</f>
        <v/>
      </c>
      <c r="M166" s="74" t="str" cm="1">
        <f t="array" ref="M166">IFERROR(1/(1/SUM(COUNTIFS(
'YearA-AppDetails Current Date'!A:A,D166,
'YearA-AppDetails Current Date'!F:F,E166,
'YearA-AppDetails Current Date'!E:E,--F166,
'YearA-AppDetails Current Date'!U:U,{"CCAN","DECL"},
'YearA-AppDetails Current Date'!I:I,"SUMMER"))), "")</f>
        <v/>
      </c>
      <c r="N166" s="74" t="str" cm="1">
        <f t="array" ref="N166">IFERROR(1/(1/SUM(COUNTIFS(
'YearA-AppDetails Current Date'!A:A,D166,
'YearA-AppDetails Current Date'!F:F,E166,
'YearA-AppDetails Current Date'!E:E,--F166,
'YearA-AppDetails Current Date'!V:V,{"APRO","NODE"},
'YearA-AppDetails Current Date'!I:I,"SUMMER"))), "")</f>
        <v/>
      </c>
      <c r="O166" s="74" t="str" cm="1">
        <f t="array" ref="O166">IFERROR(1/(1/SUM(COUNTIFS(
'YearA-AppDetails Current Date'!A:A,D166,
'YearA-AppDetails Current Date'!F:F,E166,
'YearA-AppDetails Current Date'!E:E,--F166,
'YearA-AppDetails Current Date'!T:T,{"CDMT","RQMT","WAIT"},
'YearA-AppDetails Current Date'!I:I,"SUMMER"))), "")</f>
        <v/>
      </c>
      <c r="P166" s="74" t="str">
        <f>IFERROR(1/(1/COUNTIFS(
'YearA-AppDetails Current Date'!A:A,D166,
'YearA-AppDetails Current Date'!F:F,E166,
'YearA-AppDetails Current Date'!E:E,--F166,
'YearA-AppDetails Current Date'!Y:Y,"ENRO",
'YearA-AppDetails Current Date'!I:I,"SUMMER")), "")</f>
        <v/>
      </c>
      <c r="Q166" s="3" t="str">
        <f t="shared" si="13"/>
        <v/>
      </c>
    </row>
    <row r="167" spans="1:17" ht="15.75" customHeight="1" x14ac:dyDescent="0.25">
      <c r="A167" s="119"/>
      <c r="B167" s="122"/>
      <c r="C167" s="125"/>
      <c r="D167" s="23" t="s">
        <v>111</v>
      </c>
      <c r="E167" s="2" t="s">
        <v>43</v>
      </c>
      <c r="F167" s="31">
        <v>1</v>
      </c>
      <c r="G167" s="140"/>
      <c r="H167" s="73" t="str">
        <f>IFERROR(1/(1/
SUM(
N(VLOOKUP(D167&amp;F167,'Budgeted Projections Intl HC'!D:T,2,FALSE)),
N(VLOOKUP(D167&amp;F167,'Budgeted Projections Intl HC'!D:T,3,FALSE))
)
),"")</f>
        <v/>
      </c>
      <c r="I167" s="73" t="str">
        <f>IFERROR(1/(1/COUNTIFS(
'YearA-AppDetails Current Date'!A:A,D167,
'YearA-AppDetails Current Date'!F:F,E167,
'YearA-AppDetails Current Date'!E:E,--F167,
'YearA-AppDetails Current Date'!I:I,"SUMMER")), "")</f>
        <v/>
      </c>
      <c r="J167" s="74" t="str" cm="1">
        <f t="array" ref="J167">IFERROR(1/(1/SUM(COUNTIFS(
'YearA-AppDetails Current Date'!A:A,D167,
'YearA-AppDetails Current Date'!F:F,E167,
'YearA-AppDetails Current Date'!E:E,--F167,
'YearA-AppDetails Current Date'!O:O,{"ACLN","ACPT","COND"},
'YearA-AppDetails Current Date'!S:S,"&lt;&gt;ACLN",
'YearA-AppDetails Current Date'!S:S,"&lt;&gt;ACPT",
'YearA-AppDetails Current Date'!S:S,"&lt;&gt;COND",
'YearA-AppDetails Current Date'!I:I,"SUMMER"))), "")</f>
        <v/>
      </c>
      <c r="K167" s="73" t="str">
        <f>IFERROR(1/(1/SUM(COUNTIFS(
'YearA-AppDetails Current Date'!A:A,D167,
'YearA-AppDetails Current Date'!F:F,E167,
'YearA-AppDetails Current Date'!E:E,--F167,
'YearA-AppDetails Current Date'!R:R,"&lt;&gt;"&amp;"",
'YearA-AppDetails Current Date'!I:I,"SUMMER"))), "")</f>
        <v/>
      </c>
      <c r="L167" s="74" t="str" cm="1">
        <f t="array" ref="L167">IFERROR(1/(1/SUM(COUNTIFS(
'YearA-AppDetails Current Date'!A:A,D167,
'YearA-AppDetails Current Date'!F:F,E167,
'YearA-AppDetails Current Date'!E:E,--F167,
'YearA-AppDetails Current Date'!T:T,{"APEX","DENY","NTSL"},
'YearA-AppDetails Current Date'!I:I,"SUMMER"))), "")</f>
        <v/>
      </c>
      <c r="M167" s="74" t="str" cm="1">
        <f t="array" ref="M167">IFERROR(1/(1/SUM(COUNTIFS(
'YearA-AppDetails Current Date'!A:A,D167,
'YearA-AppDetails Current Date'!F:F,E167,
'YearA-AppDetails Current Date'!E:E,--F167,
'YearA-AppDetails Current Date'!U:U,{"CCAN","DECL"},
'YearA-AppDetails Current Date'!I:I,"SUMMER"))), "")</f>
        <v/>
      </c>
      <c r="N167" s="74" t="str" cm="1">
        <f t="array" ref="N167">IFERROR(1/(1/SUM(COUNTIFS(
'YearA-AppDetails Current Date'!A:A,D167,
'YearA-AppDetails Current Date'!F:F,E167,
'YearA-AppDetails Current Date'!E:E,--F167,
'YearA-AppDetails Current Date'!V:V,{"APRO","NODE"},
'YearA-AppDetails Current Date'!I:I,"SUMMER"))), "")</f>
        <v/>
      </c>
      <c r="O167" s="74" t="str" cm="1">
        <f t="array" ref="O167">IFERROR(1/(1/SUM(COUNTIFS(
'YearA-AppDetails Current Date'!A:A,D167,
'YearA-AppDetails Current Date'!F:F,E167,
'YearA-AppDetails Current Date'!E:E,--F167,
'YearA-AppDetails Current Date'!T:T,{"CDMT","RQMT","WAIT"},
'YearA-AppDetails Current Date'!I:I,"SUMMER"))), "")</f>
        <v/>
      </c>
      <c r="P167" s="74" t="str">
        <f>IFERROR(1/(1/COUNTIFS(
'YearA-AppDetails Current Date'!A:A,D167,
'YearA-AppDetails Current Date'!F:F,E167,
'YearA-AppDetails Current Date'!E:E,--F167,
'YearA-AppDetails Current Date'!Y:Y,"ENRO",
'YearA-AppDetails Current Date'!I:I,"SUMMER")), "")</f>
        <v/>
      </c>
      <c r="Q167" s="3" t="str">
        <f t="shared" si="13"/>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HC'!D:T,2,FALSE)),
N(VLOOKUP(D168&amp;F168,'Budgeted Projections Dom HC'!D:T,3,FALSE))
)
),"")</f>
        <v/>
      </c>
      <c r="I168" s="73" t="str">
        <f>IFERROR(1/(1/COUNTIFS(
'YearA-AppDetails Current Date'!A:A,D168,
'YearA-AppDetails Current Date'!F:F,E168,
'YearA-AppDetails Current Date'!E:E,--F168,
'YearA-AppDetails Current Date'!I:I,"SUMMER")), "")</f>
        <v/>
      </c>
      <c r="J168" s="74" t="str" cm="1">
        <f t="array" ref="J168">IFERROR(1/(1/SUM(COUNTIFS(
'YearA-AppDetails Current Date'!A:A,D168,
'YearA-AppDetails Current Date'!F:F,E168,
'YearA-AppDetails Current Date'!E:E,--F168,
'YearA-AppDetails Current Date'!O:O,{"ACLN","ACPT","COND"},
'YearA-AppDetails Current Date'!S:S,"&lt;&gt;ACLN",
'YearA-AppDetails Current Date'!S:S,"&lt;&gt;ACPT",
'YearA-AppDetails Current Date'!S:S,"&lt;&gt;COND",
'YearA-AppDetails Current Date'!I:I,"SUMMER"))), "")</f>
        <v/>
      </c>
      <c r="K168" s="73" t="str">
        <f>IFERROR(1/(1/SUM(COUNTIFS(
'YearA-AppDetails Current Date'!A:A,D168,
'YearA-AppDetails Current Date'!F:F,E168,
'YearA-AppDetails Current Date'!E:E,--F168,
'YearA-AppDetails Current Date'!R:R,"&lt;&gt;"&amp;"",
'YearA-AppDetails Current Date'!I:I,"SUMMER"))), "")</f>
        <v/>
      </c>
      <c r="L168" s="74" t="str" cm="1">
        <f t="array" ref="L168">IFERROR(1/(1/SUM(COUNTIFS(
'YearA-AppDetails Current Date'!A:A,D168,
'YearA-AppDetails Current Date'!F:F,E168,
'YearA-AppDetails Current Date'!E:E,--F168,
'YearA-AppDetails Current Date'!T:T,{"APEX","DENY","NTSL"},
'YearA-AppDetails Current Date'!I:I,"SUMMER"))), "")</f>
        <v/>
      </c>
      <c r="M168" s="74" t="str" cm="1">
        <f t="array" ref="M168">IFERROR(1/(1/SUM(COUNTIFS(
'YearA-AppDetails Current Date'!A:A,D168,
'YearA-AppDetails Current Date'!F:F,E168,
'YearA-AppDetails Current Date'!E:E,--F168,
'YearA-AppDetails Current Date'!U:U,{"CCAN","DECL"},
'YearA-AppDetails Current Date'!I:I,"SUMMER"))), "")</f>
        <v/>
      </c>
      <c r="N168" s="74" t="str" cm="1">
        <f t="array" ref="N168">IFERROR(1/(1/SUM(COUNTIFS(
'YearA-AppDetails Current Date'!A:A,D168,
'YearA-AppDetails Current Date'!F:F,E168,
'YearA-AppDetails Current Date'!E:E,--F168,
'YearA-AppDetails Current Date'!V:V,{"APRO","NODE"},
'YearA-AppDetails Current Date'!I:I,"SUMMER"))), "")</f>
        <v/>
      </c>
      <c r="O168" s="74" t="str" cm="1">
        <f t="array" ref="O168">IFERROR(1/(1/SUM(COUNTIFS(
'YearA-AppDetails Current Date'!A:A,D168,
'YearA-AppDetails Current Date'!F:F,E168,
'YearA-AppDetails Current Date'!E:E,--F168,
'YearA-AppDetails Current Date'!T:T,{"CDMT","RQMT","WAIT"},
'YearA-AppDetails Current Date'!I:I,"SUMMER"))), "")</f>
        <v/>
      </c>
      <c r="P168" s="74" t="str">
        <f>IFERROR(1/(1/COUNTIFS(
'YearA-AppDetails Current Date'!A:A,D168,
'YearA-AppDetails Current Date'!F:F,E168,
'YearA-AppDetails Current Date'!E:E,--F168,
'YearA-AppDetails Current Date'!Y:Y,"ENRO",
'YearA-AppDetails Current Date'!I:I,"SUMMER")), "")</f>
        <v/>
      </c>
      <c r="Q168" s="3" t="str">
        <f t="shared" si="13"/>
        <v/>
      </c>
    </row>
    <row r="169" spans="1:17" ht="15.75" customHeight="1" x14ac:dyDescent="0.25">
      <c r="A169" s="119"/>
      <c r="B169" s="122"/>
      <c r="C169" s="138"/>
      <c r="D169" s="23" t="s">
        <v>113</v>
      </c>
      <c r="E169" s="2" t="s">
        <v>43</v>
      </c>
      <c r="F169" s="31">
        <v>1</v>
      </c>
      <c r="G169" s="140"/>
      <c r="H169" s="73" t="str">
        <f>IFERROR(1/(1/
SUM(
N(VLOOKUP(D169&amp;F169,'Budgeted Projections Intl HC'!D:T,2,FALSE)),
N(VLOOKUP(D169&amp;F169,'Budgeted Projections Intl HC'!D:T,3,FALSE))
)
),"")</f>
        <v/>
      </c>
      <c r="I169" s="73" t="str">
        <f>IFERROR(1/(1/COUNTIFS(
'YearA-AppDetails Current Date'!A:A,D169,
'YearA-AppDetails Current Date'!F:F,E169,
'YearA-AppDetails Current Date'!E:E,--F169,
'YearA-AppDetails Current Date'!I:I,"SUMMER")), "")</f>
        <v/>
      </c>
      <c r="J169" s="74" t="str" cm="1">
        <f t="array" ref="J169">IFERROR(1/(1/SUM(COUNTIFS(
'YearA-AppDetails Current Date'!A:A,D169,
'YearA-AppDetails Current Date'!F:F,E169,
'YearA-AppDetails Current Date'!E:E,--F169,
'YearA-AppDetails Current Date'!O:O,{"ACLN","ACPT","COND"},
'YearA-AppDetails Current Date'!S:S,"&lt;&gt;ACLN",
'YearA-AppDetails Current Date'!S:S,"&lt;&gt;ACPT",
'YearA-AppDetails Current Date'!S:S,"&lt;&gt;COND",
'YearA-AppDetails Current Date'!I:I,"SUMMER"))), "")</f>
        <v/>
      </c>
      <c r="K169" s="73" t="str">
        <f>IFERROR(1/(1/SUM(COUNTIFS(
'YearA-AppDetails Current Date'!A:A,D169,
'YearA-AppDetails Current Date'!F:F,E169,
'YearA-AppDetails Current Date'!E:E,--F169,
'YearA-AppDetails Current Date'!R:R,"&lt;&gt;"&amp;"",
'YearA-AppDetails Current Date'!I:I,"SUMMER"))), "")</f>
        <v/>
      </c>
      <c r="L169" s="74" t="str" cm="1">
        <f t="array" ref="L169">IFERROR(1/(1/SUM(COUNTIFS(
'YearA-AppDetails Current Date'!A:A,D169,
'YearA-AppDetails Current Date'!F:F,E169,
'YearA-AppDetails Current Date'!E:E,--F169,
'YearA-AppDetails Current Date'!T:T,{"APEX","DENY","NTSL"},
'YearA-AppDetails Current Date'!I:I,"SUMMER"))), "")</f>
        <v/>
      </c>
      <c r="M169" s="74" t="str" cm="1">
        <f t="array" ref="M169">IFERROR(1/(1/SUM(COUNTIFS(
'YearA-AppDetails Current Date'!A:A,D169,
'YearA-AppDetails Current Date'!F:F,E169,
'YearA-AppDetails Current Date'!E:E,--F169,
'YearA-AppDetails Current Date'!U:U,{"CCAN","DECL"},
'YearA-AppDetails Current Date'!I:I,"SUMMER"))), "")</f>
        <v/>
      </c>
      <c r="N169" s="74" t="str" cm="1">
        <f t="array" ref="N169">IFERROR(1/(1/SUM(COUNTIFS(
'YearA-AppDetails Current Date'!A:A,D169,
'YearA-AppDetails Current Date'!F:F,E169,
'YearA-AppDetails Current Date'!E:E,--F169,
'YearA-AppDetails Current Date'!V:V,{"APRO","NODE"},
'YearA-AppDetails Current Date'!I:I,"SUMMER"))), "")</f>
        <v/>
      </c>
      <c r="O169" s="74" t="str" cm="1">
        <f t="array" ref="O169">IFERROR(1/(1/SUM(COUNTIFS(
'YearA-AppDetails Current Date'!A:A,D169,
'YearA-AppDetails Current Date'!F:F,E169,
'YearA-AppDetails Current Date'!E:E,--F169,
'YearA-AppDetails Current Date'!T:T,{"CDMT","RQMT","WAIT"},
'YearA-AppDetails Current Date'!I:I,"SUMMER"))), "")</f>
        <v/>
      </c>
      <c r="P169" s="74" t="str">
        <f>IFERROR(1/(1/COUNTIFS(
'YearA-AppDetails Current Date'!A:A,D169,
'YearA-AppDetails Current Date'!F:F,E169,
'YearA-AppDetails Current Date'!E:E,--F169,
'YearA-AppDetails Current Date'!Y:Y,"ENRO",
'YearA-AppDetails Current Date'!I:I,"SUMMER")), "")</f>
        <v/>
      </c>
      <c r="Q169" s="3" t="str">
        <f t="shared" si="13"/>
        <v/>
      </c>
    </row>
    <row r="170" spans="1:17" ht="15.75" customHeight="1" x14ac:dyDescent="0.25">
      <c r="A170" s="119"/>
      <c r="B170" s="122"/>
      <c r="C170" s="138"/>
      <c r="D170" s="23" t="s">
        <v>113</v>
      </c>
      <c r="E170" s="2" t="s">
        <v>42</v>
      </c>
      <c r="F170" s="31">
        <v>2</v>
      </c>
      <c r="G170" s="139" t="s">
        <v>48</v>
      </c>
      <c r="H170" s="73" t="str">
        <f>IFERROR(1/(1/
SUM(
N(VLOOKUP(D170&amp;F170,'Budgeted Projections Dom HC'!D:T,2,FALSE)),
N(VLOOKUP(D170&amp;F170,'Budgeted Projections Dom HC'!D:T,3,FALSE))
)
),"")</f>
        <v/>
      </c>
      <c r="I170" s="73" t="str">
        <f>IFERROR(1/(1/COUNTIFS(
'YearA-AppDetails Current Date'!A:A,D170,
'YearA-AppDetails Current Date'!F:F,E170,
'YearA-AppDetails Current Date'!E:E,--F170,
'YearA-AppDetails Current Date'!I:I,"SUMMER")), "")</f>
        <v/>
      </c>
      <c r="J170" s="74" t="str" cm="1">
        <f t="array" ref="J170">IFERROR(1/(1/SUM(COUNTIFS(
'YearA-AppDetails Current Date'!A:A,D170,
'YearA-AppDetails Current Date'!F:F,E170,
'YearA-AppDetails Current Date'!E:E,--F170,
'YearA-AppDetails Current Date'!O:O,{"ACLN","ACPT","COND"},
'YearA-AppDetails Current Date'!S:S,"&lt;&gt;ACLN",
'YearA-AppDetails Current Date'!S:S,"&lt;&gt;ACPT",
'YearA-AppDetails Current Date'!S:S,"&lt;&gt;COND",
'YearA-AppDetails Current Date'!I:I,"SUMMER"))), "")</f>
        <v/>
      </c>
      <c r="K170" s="73" t="str">
        <f>IFERROR(1/(1/SUM(COUNTIFS(
'YearA-AppDetails Current Date'!A:A,D170,
'YearA-AppDetails Current Date'!F:F,E170,
'YearA-AppDetails Current Date'!E:E,--F170,
'YearA-AppDetails Current Date'!R:R,"&lt;&gt;"&amp;"",
'YearA-AppDetails Current Date'!I:I,"SUMMER"))), "")</f>
        <v/>
      </c>
      <c r="L170" s="74" t="str" cm="1">
        <f t="array" ref="L170">IFERROR(1/(1/SUM(COUNTIFS(
'YearA-AppDetails Current Date'!A:A,D170,
'YearA-AppDetails Current Date'!F:F,E170,
'YearA-AppDetails Current Date'!E:E,--F170,
'YearA-AppDetails Current Date'!T:T,{"APEX","DENY","NTSL"},
'YearA-AppDetails Current Date'!I:I,"SUMMER"))), "")</f>
        <v/>
      </c>
      <c r="M170" s="74" t="str" cm="1">
        <f t="array" ref="M170">IFERROR(1/(1/SUM(COUNTIFS(
'YearA-AppDetails Current Date'!A:A,D170,
'YearA-AppDetails Current Date'!F:F,E170,
'YearA-AppDetails Current Date'!E:E,--F170,
'YearA-AppDetails Current Date'!U:U,{"CCAN","DECL"},
'YearA-AppDetails Current Date'!I:I,"SUMMER"))), "")</f>
        <v/>
      </c>
      <c r="N170" s="74" t="str" cm="1">
        <f t="array" ref="N170">IFERROR(1/(1/SUM(COUNTIFS(
'YearA-AppDetails Current Date'!A:A,D170,
'YearA-AppDetails Current Date'!F:F,E170,
'YearA-AppDetails Current Date'!E:E,--F170,
'YearA-AppDetails Current Date'!V:V,{"APRO","NODE"},
'YearA-AppDetails Current Date'!I:I,"SUMMER"))), "")</f>
        <v/>
      </c>
      <c r="O170" s="74" t="str" cm="1">
        <f t="array" ref="O170">IFERROR(1/(1/SUM(COUNTIFS(
'YearA-AppDetails Current Date'!A:A,D170,
'YearA-AppDetails Current Date'!F:F,E170,
'YearA-AppDetails Current Date'!E:E,--F170,
'YearA-AppDetails Current Date'!T:T,{"CDMT","RQMT","WAIT"},
'YearA-AppDetails Current Date'!I:I,"SUMMER"))), "")</f>
        <v/>
      </c>
      <c r="P170" s="74" t="str">
        <f>IFERROR(1/(1/COUNTIFS(
'YearA-AppDetails Current Date'!A:A,D170,
'YearA-AppDetails Current Date'!F:F,E170,
'YearA-AppDetails Current Date'!E:E,--F170,
'YearA-AppDetails Current Date'!Y:Y,"ENRO",
'YearA-AppDetails Current Date'!I:I,"SUMMER")), "")</f>
        <v/>
      </c>
      <c r="Q170" s="3" t="str">
        <f t="shared" si="13"/>
        <v/>
      </c>
    </row>
    <row r="171" spans="1:17" ht="15.75" customHeight="1" x14ac:dyDescent="0.25">
      <c r="A171" s="119"/>
      <c r="B171" s="122"/>
      <c r="C171" s="125"/>
      <c r="D171" s="23" t="s">
        <v>113</v>
      </c>
      <c r="E171" s="2" t="s">
        <v>43</v>
      </c>
      <c r="F171" s="31">
        <v>2</v>
      </c>
      <c r="G171" s="140"/>
      <c r="H171" s="73" t="str">
        <f>IFERROR(1/(1/
SUM(
N(VLOOKUP(D171&amp;F171,'Budgeted Projections Intl HC'!D:T,2,FALSE)),
N(VLOOKUP(D171&amp;F171,'Budgeted Projections Intl HC'!D:T,3,FALSE))
)
),"")</f>
        <v/>
      </c>
      <c r="I171" s="73" t="str">
        <f>IFERROR(1/(1/COUNTIFS(
'YearA-AppDetails Current Date'!A:A,D171,
'YearA-AppDetails Current Date'!F:F,E171,
'YearA-AppDetails Current Date'!E:E,--F171,
'YearA-AppDetails Current Date'!I:I,"SUMMER")), "")</f>
        <v/>
      </c>
      <c r="J171" s="74" t="str" cm="1">
        <f t="array" ref="J171">IFERROR(1/(1/SUM(COUNTIFS(
'YearA-AppDetails Current Date'!A:A,D171,
'YearA-AppDetails Current Date'!F:F,E171,
'YearA-AppDetails Current Date'!E:E,--F171,
'YearA-AppDetails Current Date'!O:O,{"ACLN","ACPT","COND"},
'YearA-AppDetails Current Date'!S:S,"&lt;&gt;ACLN",
'YearA-AppDetails Current Date'!S:S,"&lt;&gt;ACPT",
'YearA-AppDetails Current Date'!S:S,"&lt;&gt;COND",
'YearA-AppDetails Current Date'!I:I,"SUMMER"))), "")</f>
        <v/>
      </c>
      <c r="K171" s="73" t="str">
        <f>IFERROR(1/(1/SUM(COUNTIFS(
'YearA-AppDetails Current Date'!A:A,D171,
'YearA-AppDetails Current Date'!F:F,E171,
'YearA-AppDetails Current Date'!E:E,--F171,
'YearA-AppDetails Current Date'!R:R,"&lt;&gt;"&amp;"",
'YearA-AppDetails Current Date'!I:I,"SUMMER"))), "")</f>
        <v/>
      </c>
      <c r="L171" s="74" t="str" cm="1">
        <f t="array" ref="L171">IFERROR(1/(1/SUM(COUNTIFS(
'YearA-AppDetails Current Date'!A:A,D171,
'YearA-AppDetails Current Date'!F:F,E171,
'YearA-AppDetails Current Date'!E:E,--F171,
'YearA-AppDetails Current Date'!T:T,{"APEX","DENY","NTSL"},
'YearA-AppDetails Current Date'!I:I,"SUMMER"))), "")</f>
        <v/>
      </c>
      <c r="M171" s="74" t="str" cm="1">
        <f t="array" ref="M171">IFERROR(1/(1/SUM(COUNTIFS(
'YearA-AppDetails Current Date'!A:A,D171,
'YearA-AppDetails Current Date'!F:F,E171,
'YearA-AppDetails Current Date'!E:E,--F171,
'YearA-AppDetails Current Date'!U:U,{"CCAN","DECL"},
'YearA-AppDetails Current Date'!I:I,"SUMMER"))), "")</f>
        <v/>
      </c>
      <c r="N171" s="74" t="str" cm="1">
        <f t="array" ref="N171">IFERROR(1/(1/SUM(COUNTIFS(
'YearA-AppDetails Current Date'!A:A,D171,
'YearA-AppDetails Current Date'!F:F,E171,
'YearA-AppDetails Current Date'!E:E,--F171,
'YearA-AppDetails Current Date'!V:V,{"APRO","NODE"},
'YearA-AppDetails Current Date'!I:I,"SUMMER"))), "")</f>
        <v/>
      </c>
      <c r="O171" s="74" t="str" cm="1">
        <f t="array" ref="O171">IFERROR(1/(1/SUM(COUNTIFS(
'YearA-AppDetails Current Date'!A:A,D171,
'YearA-AppDetails Current Date'!F:F,E171,
'YearA-AppDetails Current Date'!E:E,--F171,
'YearA-AppDetails Current Date'!T:T,{"CDMT","RQMT","WAIT"},
'YearA-AppDetails Current Date'!I:I,"SUMMER"))), "")</f>
        <v/>
      </c>
      <c r="P171" s="74" t="str">
        <f>IFERROR(1/(1/COUNTIFS(
'YearA-AppDetails Current Date'!A:A,D171,
'YearA-AppDetails Current Date'!F:F,E171,
'YearA-AppDetails Current Date'!E:E,--F171,
'YearA-AppDetails Current Date'!Y:Y,"ENRO",
'YearA-AppDetails Current Date'!I:I,"SUMMER")), "")</f>
        <v/>
      </c>
      <c r="Q171" s="3" t="str">
        <f t="shared" si="13"/>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HC'!D:T,2,FALSE)),
N(VLOOKUP(D172&amp;F172,'Budgeted Projections Dom HC'!D:T,3,FALSE))
)
),"")</f>
        <v/>
      </c>
      <c r="I172" s="73" t="str">
        <f>IFERROR(1/(1/COUNTIFS(
'YearA-AppDetails Current Date'!A:A,D172,
'YearA-AppDetails Current Date'!F:F,E172,
'YearA-AppDetails Current Date'!E:E,--F172,
'YearA-AppDetails Current Date'!I:I,"SUMMER")), "")</f>
        <v/>
      </c>
      <c r="J172" s="74" t="str" cm="1">
        <f t="array" ref="J172">IFERROR(1/(1/SUM(COUNTIFS(
'YearA-AppDetails Current Date'!A:A,D172,
'YearA-AppDetails Current Date'!F:F,E172,
'YearA-AppDetails Current Date'!E:E,--F172,
'YearA-AppDetails Current Date'!O:O,{"ACLN","ACPT","COND"},
'YearA-AppDetails Current Date'!S:S,"&lt;&gt;ACLN",
'YearA-AppDetails Current Date'!S:S,"&lt;&gt;ACPT",
'YearA-AppDetails Current Date'!S:S,"&lt;&gt;COND",
'YearA-AppDetails Current Date'!I:I,"SUMMER"))), "")</f>
        <v/>
      </c>
      <c r="K172" s="73" t="str">
        <f>IFERROR(1/(1/SUM(COUNTIFS(
'YearA-AppDetails Current Date'!A:A,D172,
'YearA-AppDetails Current Date'!F:F,E172,
'YearA-AppDetails Current Date'!E:E,--F172,
'YearA-AppDetails Current Date'!R:R,"&lt;&gt;"&amp;"",
'YearA-AppDetails Current Date'!I:I,"SUMMER"))), "")</f>
        <v/>
      </c>
      <c r="L172" s="74" t="str" cm="1">
        <f t="array" ref="L172">IFERROR(1/(1/SUM(COUNTIFS(
'YearA-AppDetails Current Date'!A:A,D172,
'YearA-AppDetails Current Date'!F:F,E172,
'YearA-AppDetails Current Date'!E:E,--F172,
'YearA-AppDetails Current Date'!T:T,{"APEX","DENY","NTSL"},
'YearA-AppDetails Current Date'!I:I,"SUMMER"))), "")</f>
        <v/>
      </c>
      <c r="M172" s="74" t="str" cm="1">
        <f t="array" ref="M172">IFERROR(1/(1/SUM(COUNTIFS(
'YearA-AppDetails Current Date'!A:A,D172,
'YearA-AppDetails Current Date'!F:F,E172,
'YearA-AppDetails Current Date'!E:E,--F172,
'YearA-AppDetails Current Date'!U:U,{"CCAN","DECL"},
'YearA-AppDetails Current Date'!I:I,"SUMMER"))), "")</f>
        <v/>
      </c>
      <c r="N172" s="74" t="str" cm="1">
        <f t="array" ref="N172">IFERROR(1/(1/SUM(COUNTIFS(
'YearA-AppDetails Current Date'!A:A,D172,
'YearA-AppDetails Current Date'!F:F,E172,
'YearA-AppDetails Current Date'!E:E,--F172,
'YearA-AppDetails Current Date'!V:V,{"APRO","NODE"},
'YearA-AppDetails Current Date'!I:I,"SUMMER"))), "")</f>
        <v/>
      </c>
      <c r="O172" s="74" t="str" cm="1">
        <f t="array" ref="O172">IFERROR(1/(1/SUM(COUNTIFS(
'YearA-AppDetails Current Date'!A:A,D172,
'YearA-AppDetails Current Date'!F:F,E172,
'YearA-AppDetails Current Date'!E:E,--F172,
'YearA-AppDetails Current Date'!T:T,{"CDMT","RQMT","WAIT"},
'YearA-AppDetails Current Date'!I:I,"SUMMER"))), "")</f>
        <v/>
      </c>
      <c r="P172" s="74" t="str">
        <f>IFERROR(1/(1/COUNTIFS(
'YearA-AppDetails Current Date'!A:A,D172,
'YearA-AppDetails Current Date'!F:F,E172,
'YearA-AppDetails Current Date'!E:E,--F172,
'YearA-AppDetails Current Date'!Y:Y,"ENRO",
'YearA-AppDetails Current Date'!I:I,"SUMMER")), "")</f>
        <v/>
      </c>
      <c r="Q172" s="3" t="str">
        <f t="shared" si="13"/>
        <v/>
      </c>
    </row>
    <row r="173" spans="1:17" ht="15.75" customHeight="1" x14ac:dyDescent="0.25">
      <c r="A173" s="119"/>
      <c r="B173" s="122"/>
      <c r="C173" s="125"/>
      <c r="D173" s="23" t="s">
        <v>146</v>
      </c>
      <c r="E173" s="2" t="s">
        <v>43</v>
      </c>
      <c r="F173" s="31">
        <v>1</v>
      </c>
      <c r="G173" s="140"/>
      <c r="H173" s="73" t="str">
        <f>IFERROR(1/(1/
SUM(
N(VLOOKUP(D173&amp;F173,'Budgeted Projections Intl HC'!D:T,2,FALSE)),
N(VLOOKUP(D173&amp;F173,'Budgeted Projections Intl HC'!D:T,3,FALSE))
)
),"")</f>
        <v/>
      </c>
      <c r="I173" s="73" t="str">
        <f>IFERROR(1/(1/COUNTIFS(
'YearA-AppDetails Current Date'!A:A,D173,
'YearA-AppDetails Current Date'!F:F,E173,
'YearA-AppDetails Current Date'!E:E,--F173,
'YearA-AppDetails Current Date'!I:I,"SUMMER")), "")</f>
        <v/>
      </c>
      <c r="J173" s="74" t="str" cm="1">
        <f t="array" ref="J173">IFERROR(1/(1/SUM(COUNTIFS(
'YearA-AppDetails Current Date'!A:A,D173,
'YearA-AppDetails Current Date'!F:F,E173,
'YearA-AppDetails Current Date'!E:E,--F173,
'YearA-AppDetails Current Date'!O:O,{"ACLN","ACPT","COND"},
'YearA-AppDetails Current Date'!S:S,"&lt;&gt;ACLN",
'YearA-AppDetails Current Date'!S:S,"&lt;&gt;ACPT",
'YearA-AppDetails Current Date'!S:S,"&lt;&gt;COND",
'YearA-AppDetails Current Date'!I:I,"SUMMER"))), "")</f>
        <v/>
      </c>
      <c r="K173" s="73" t="str">
        <f>IFERROR(1/(1/SUM(COUNTIFS(
'YearA-AppDetails Current Date'!A:A,D173,
'YearA-AppDetails Current Date'!F:F,E173,
'YearA-AppDetails Current Date'!E:E,--F173,
'YearA-AppDetails Current Date'!R:R,"&lt;&gt;"&amp;"",
'YearA-AppDetails Current Date'!I:I,"SUMMER"))), "")</f>
        <v/>
      </c>
      <c r="L173" s="74" t="str" cm="1">
        <f t="array" ref="L173">IFERROR(1/(1/SUM(COUNTIFS(
'YearA-AppDetails Current Date'!A:A,D173,
'YearA-AppDetails Current Date'!F:F,E173,
'YearA-AppDetails Current Date'!E:E,--F173,
'YearA-AppDetails Current Date'!T:T,{"APEX","DENY","NTSL"},
'YearA-AppDetails Current Date'!I:I,"SUMMER"))), "")</f>
        <v/>
      </c>
      <c r="M173" s="74" t="str" cm="1">
        <f t="array" ref="M173">IFERROR(1/(1/SUM(COUNTIFS(
'YearA-AppDetails Current Date'!A:A,D173,
'YearA-AppDetails Current Date'!F:F,E173,
'YearA-AppDetails Current Date'!E:E,--F173,
'YearA-AppDetails Current Date'!U:U,{"CCAN","DECL"},
'YearA-AppDetails Current Date'!I:I,"SUMMER"))), "")</f>
        <v/>
      </c>
      <c r="N173" s="74" t="str" cm="1">
        <f t="array" ref="N173">IFERROR(1/(1/SUM(COUNTIFS(
'YearA-AppDetails Current Date'!A:A,D173,
'YearA-AppDetails Current Date'!F:F,E173,
'YearA-AppDetails Current Date'!E:E,--F173,
'YearA-AppDetails Current Date'!V:V,{"APRO","NODE"},
'YearA-AppDetails Current Date'!I:I,"SUMMER"))), "")</f>
        <v/>
      </c>
      <c r="O173" s="74" t="str" cm="1">
        <f t="array" ref="O173">IFERROR(1/(1/SUM(COUNTIFS(
'YearA-AppDetails Current Date'!A:A,D173,
'YearA-AppDetails Current Date'!F:F,E173,
'YearA-AppDetails Current Date'!E:E,--F173,
'YearA-AppDetails Current Date'!T:T,{"CDMT","RQMT","WAIT"},
'YearA-AppDetails Current Date'!I:I,"SUMMER"))), "")</f>
        <v/>
      </c>
      <c r="P173" s="74" t="str">
        <f>IFERROR(1/(1/COUNTIFS(
'YearA-AppDetails Current Date'!A:A,D173,
'YearA-AppDetails Current Date'!F:F,E173,
'YearA-AppDetails Current Date'!E:E,--F173,
'YearA-AppDetails Current Date'!Y:Y,"ENRO",
'YearA-AppDetails Current Date'!I:I,"SUMMER")), "")</f>
        <v/>
      </c>
      <c r="Q173" s="3" t="str">
        <f t="shared" si="13"/>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HC'!D:T,2,FALSE)),
N(VLOOKUP(D174&amp;F174,'Budgeted Projections Dom HC'!D:T,3,FALSE))
)
),"")</f>
        <v/>
      </c>
      <c r="I174" s="73" t="str">
        <f>IFERROR(1/(1/COUNTIFS(
'YearA-AppDetails Current Date'!A:A,D174,
'YearA-AppDetails Current Date'!F:F,E174,
'YearA-AppDetails Current Date'!E:E,--F174,
'YearA-AppDetails Current Date'!I:I,"SUMMER")), "")</f>
        <v/>
      </c>
      <c r="J174" s="74" t="str" cm="1">
        <f t="array" ref="J174">IFERROR(1/(1/SUM(COUNTIFS(
'YearA-AppDetails Current Date'!A:A,D174,
'YearA-AppDetails Current Date'!F:F,E174,
'YearA-AppDetails Current Date'!E:E,--F174,
'YearA-AppDetails Current Date'!O:O,{"ACLN","ACPT","COND"},
'YearA-AppDetails Current Date'!S:S,"&lt;&gt;ACLN",
'YearA-AppDetails Current Date'!S:S,"&lt;&gt;ACPT",
'YearA-AppDetails Current Date'!S:S,"&lt;&gt;COND",
'YearA-AppDetails Current Date'!I:I,"SUMMER"))), "")</f>
        <v/>
      </c>
      <c r="K174" s="73" t="str">
        <f>IFERROR(1/(1/SUM(COUNTIFS(
'YearA-AppDetails Current Date'!A:A,D174,
'YearA-AppDetails Current Date'!F:F,E174,
'YearA-AppDetails Current Date'!E:E,--F174,
'YearA-AppDetails Current Date'!R:R,"&lt;&gt;"&amp;"",
'YearA-AppDetails Current Date'!I:I,"SUMMER"))), "")</f>
        <v/>
      </c>
      <c r="L174" s="74" t="str" cm="1">
        <f t="array" ref="L174">IFERROR(1/(1/SUM(COUNTIFS(
'YearA-AppDetails Current Date'!A:A,D174,
'YearA-AppDetails Current Date'!F:F,E174,
'YearA-AppDetails Current Date'!E:E,--F174,
'YearA-AppDetails Current Date'!T:T,{"APEX","DENY","NTSL"},
'YearA-AppDetails Current Date'!I:I,"SUMMER"))), "")</f>
        <v/>
      </c>
      <c r="M174" s="74" t="str" cm="1">
        <f t="array" ref="M174">IFERROR(1/(1/SUM(COUNTIFS(
'YearA-AppDetails Current Date'!A:A,D174,
'YearA-AppDetails Current Date'!F:F,E174,
'YearA-AppDetails Current Date'!E:E,--F174,
'YearA-AppDetails Current Date'!U:U,{"CCAN","DECL"},
'YearA-AppDetails Current Date'!I:I,"SUMMER"))), "")</f>
        <v/>
      </c>
      <c r="N174" s="74" t="str" cm="1">
        <f t="array" ref="N174">IFERROR(1/(1/SUM(COUNTIFS(
'YearA-AppDetails Current Date'!A:A,D174,
'YearA-AppDetails Current Date'!F:F,E174,
'YearA-AppDetails Current Date'!E:E,--F174,
'YearA-AppDetails Current Date'!V:V,{"APRO","NODE"},
'YearA-AppDetails Current Date'!I:I,"SUMMER"))), "")</f>
        <v/>
      </c>
      <c r="O174" s="74" t="str" cm="1">
        <f t="array" ref="O174">IFERROR(1/(1/SUM(COUNTIFS(
'YearA-AppDetails Current Date'!A:A,D174,
'YearA-AppDetails Current Date'!F:F,E174,
'YearA-AppDetails Current Date'!E:E,--F174,
'YearA-AppDetails Current Date'!T:T,{"CDMT","RQMT","WAIT"},
'YearA-AppDetails Current Date'!I:I,"SUMMER"))), "")</f>
        <v/>
      </c>
      <c r="P174" s="74" t="str">
        <f>IFERROR(1/(1/COUNTIFS(
'YearA-AppDetails Current Date'!A:A,D174,
'YearA-AppDetails Current Date'!F:F,E174,
'YearA-AppDetails Current Date'!E:E,--F174,
'YearA-AppDetails Current Date'!Y:Y,"ENRO",
'YearA-AppDetails Current Date'!I:I,"SUMMER")), "")</f>
        <v/>
      </c>
      <c r="Q174" s="3" t="str">
        <f t="shared" si="13"/>
        <v/>
      </c>
    </row>
    <row r="175" spans="1:17" ht="15.75" customHeight="1" x14ac:dyDescent="0.25">
      <c r="A175" s="119"/>
      <c r="B175" s="122"/>
      <c r="C175" s="125"/>
      <c r="D175" s="23" t="s">
        <v>213</v>
      </c>
      <c r="E175" s="2" t="s">
        <v>43</v>
      </c>
      <c r="F175" s="31">
        <v>1</v>
      </c>
      <c r="G175" s="140"/>
      <c r="H175" s="73" t="str">
        <f>IFERROR(1/(1/
SUM(
N(VLOOKUP(D175&amp;F175,'Budgeted Projections Intl HC'!D:T,2,FALSE)),
N(VLOOKUP(D175&amp;F175,'Budgeted Projections Intl HC'!D:T,3,FALSE))
)
),"")</f>
        <v/>
      </c>
      <c r="I175" s="73" t="str">
        <f>IFERROR(1/(1/COUNTIFS(
'YearA-AppDetails Current Date'!A:A,D175,
'YearA-AppDetails Current Date'!F:F,E175,
'YearA-AppDetails Current Date'!E:E,--F175,
'YearA-AppDetails Current Date'!I:I,"SUMMER")), "")</f>
        <v/>
      </c>
      <c r="J175" s="74" t="str" cm="1">
        <f t="array" ref="J175">IFERROR(1/(1/SUM(COUNTIFS(
'YearA-AppDetails Current Date'!A:A,D175,
'YearA-AppDetails Current Date'!F:F,E175,
'YearA-AppDetails Current Date'!E:E,--F175,
'YearA-AppDetails Current Date'!O:O,{"ACLN","ACPT","COND"},
'YearA-AppDetails Current Date'!S:S,"&lt;&gt;ACLN",
'YearA-AppDetails Current Date'!S:S,"&lt;&gt;ACPT",
'YearA-AppDetails Current Date'!S:S,"&lt;&gt;COND",
'YearA-AppDetails Current Date'!I:I,"SUMMER"))), "")</f>
        <v/>
      </c>
      <c r="K175" s="73" t="str">
        <f>IFERROR(1/(1/SUM(COUNTIFS(
'YearA-AppDetails Current Date'!A:A,D175,
'YearA-AppDetails Current Date'!F:F,E175,
'YearA-AppDetails Current Date'!E:E,--F175,
'YearA-AppDetails Current Date'!R:R,"&lt;&gt;"&amp;"",
'YearA-AppDetails Current Date'!I:I,"SUMMER"))), "")</f>
        <v/>
      </c>
      <c r="L175" s="74" t="str" cm="1">
        <f t="array" ref="L175">IFERROR(1/(1/SUM(COUNTIFS(
'YearA-AppDetails Current Date'!A:A,D175,
'YearA-AppDetails Current Date'!F:F,E175,
'YearA-AppDetails Current Date'!E:E,--F175,
'YearA-AppDetails Current Date'!T:T,{"APEX","DENY","NTSL"},
'YearA-AppDetails Current Date'!I:I,"SUMMER"))), "")</f>
        <v/>
      </c>
      <c r="M175" s="74" t="str" cm="1">
        <f t="array" ref="M175">IFERROR(1/(1/SUM(COUNTIFS(
'YearA-AppDetails Current Date'!A:A,D175,
'YearA-AppDetails Current Date'!F:F,E175,
'YearA-AppDetails Current Date'!E:E,--F175,
'YearA-AppDetails Current Date'!U:U,{"CCAN","DECL"},
'YearA-AppDetails Current Date'!I:I,"SUMMER"))), "")</f>
        <v/>
      </c>
      <c r="N175" s="74" t="str" cm="1">
        <f t="array" ref="N175">IFERROR(1/(1/SUM(COUNTIFS(
'YearA-AppDetails Current Date'!A:A,D175,
'YearA-AppDetails Current Date'!F:F,E175,
'YearA-AppDetails Current Date'!E:E,--F175,
'YearA-AppDetails Current Date'!V:V,{"APRO","NODE"},
'YearA-AppDetails Current Date'!I:I,"SUMMER"))), "")</f>
        <v/>
      </c>
      <c r="O175" s="74" t="str" cm="1">
        <f t="array" ref="O175">IFERROR(1/(1/SUM(COUNTIFS(
'YearA-AppDetails Current Date'!A:A,D175,
'YearA-AppDetails Current Date'!F:F,E175,
'YearA-AppDetails Current Date'!E:E,--F175,
'YearA-AppDetails Current Date'!T:T,{"CDMT","RQMT","WAIT"},
'YearA-AppDetails Current Date'!I:I,"SUMMER"))), "")</f>
        <v/>
      </c>
      <c r="P175" s="74" t="str">
        <f>IFERROR(1/(1/COUNTIFS(
'YearA-AppDetails Current Date'!A:A,D175,
'YearA-AppDetails Current Date'!F:F,E175,
'YearA-AppDetails Current Date'!E:E,--F175,
'YearA-AppDetails Current Date'!Y:Y,"ENRO",
'YearA-AppDetails Current Date'!I:I,"SUMMER")), "")</f>
        <v/>
      </c>
      <c r="Q175" s="3" t="str">
        <f t="shared" si="13"/>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HC'!D:T,2,FALSE)),
N(VLOOKUP(D176&amp;F176,'Budgeted Projections Dom HC'!D:T,3,FALSE))
)
),"")</f>
        <v/>
      </c>
      <c r="I176" s="73" t="str">
        <f>IFERROR(1/(1/COUNTIFS(
'YearA-AppDetails Current Date'!A:A,D176,
'YearA-AppDetails Current Date'!F:F,E176,
'YearA-AppDetails Current Date'!E:E,--F176,
'YearA-AppDetails Current Date'!I:I,"SUMMER")), "")</f>
        <v/>
      </c>
      <c r="J176" s="74" t="str" cm="1">
        <f t="array" ref="J176">IFERROR(1/(1/SUM(COUNTIFS(
'YearA-AppDetails Current Date'!A:A,D176,
'YearA-AppDetails Current Date'!F:F,E176,
'YearA-AppDetails Current Date'!E:E,--F176,
'YearA-AppDetails Current Date'!O:O,{"ACLN","ACPT","COND"},
'YearA-AppDetails Current Date'!S:S,"&lt;&gt;ACLN",
'YearA-AppDetails Current Date'!S:S,"&lt;&gt;ACPT",
'YearA-AppDetails Current Date'!S:S,"&lt;&gt;COND",
'YearA-AppDetails Current Date'!I:I,"SUMMER"))), "")</f>
        <v/>
      </c>
      <c r="K176" s="73" t="str">
        <f>IFERROR(1/(1/SUM(COUNTIFS(
'YearA-AppDetails Current Date'!A:A,D176,
'YearA-AppDetails Current Date'!F:F,E176,
'YearA-AppDetails Current Date'!E:E,--F176,
'YearA-AppDetails Current Date'!R:R,"&lt;&gt;"&amp;"",
'YearA-AppDetails Current Date'!I:I,"SUMMER"))), "")</f>
        <v/>
      </c>
      <c r="L176" s="74" t="str" cm="1">
        <f t="array" ref="L176">IFERROR(1/(1/SUM(COUNTIFS(
'YearA-AppDetails Current Date'!A:A,D176,
'YearA-AppDetails Current Date'!F:F,E176,
'YearA-AppDetails Current Date'!E:E,--F176,
'YearA-AppDetails Current Date'!T:T,{"APEX","DENY","NTSL"},
'YearA-AppDetails Current Date'!I:I,"SUMMER"))), "")</f>
        <v/>
      </c>
      <c r="M176" s="74" t="str" cm="1">
        <f t="array" ref="M176">IFERROR(1/(1/SUM(COUNTIFS(
'YearA-AppDetails Current Date'!A:A,D176,
'YearA-AppDetails Current Date'!F:F,E176,
'YearA-AppDetails Current Date'!E:E,--F176,
'YearA-AppDetails Current Date'!U:U,{"CCAN","DECL"},
'YearA-AppDetails Current Date'!I:I,"SUMMER"))), "")</f>
        <v/>
      </c>
      <c r="N176" s="74" t="str" cm="1">
        <f t="array" ref="N176">IFERROR(1/(1/SUM(COUNTIFS(
'YearA-AppDetails Current Date'!A:A,D176,
'YearA-AppDetails Current Date'!F:F,E176,
'YearA-AppDetails Current Date'!E:E,--F176,
'YearA-AppDetails Current Date'!V:V,{"APRO","NODE"},
'YearA-AppDetails Current Date'!I:I,"SUMMER"))), "")</f>
        <v/>
      </c>
      <c r="O176" s="74" t="str" cm="1">
        <f t="array" ref="O176">IFERROR(1/(1/SUM(COUNTIFS(
'YearA-AppDetails Current Date'!A:A,D176,
'YearA-AppDetails Current Date'!F:F,E176,
'YearA-AppDetails Current Date'!E:E,--F176,
'YearA-AppDetails Current Date'!T:T,{"CDMT","RQMT","WAIT"},
'YearA-AppDetails Current Date'!I:I,"SUMMER"))), "")</f>
        <v/>
      </c>
      <c r="P176" s="74" t="str">
        <f>IFERROR(1/(1/COUNTIFS(
'YearA-AppDetails Current Date'!A:A,D176,
'YearA-AppDetails Current Date'!F:F,E176,
'YearA-AppDetails Current Date'!E:E,--F176,
'YearA-AppDetails Current Date'!Y:Y,"ENRO",
'YearA-AppDetails Current Date'!I:I,"SUMMER")), "")</f>
        <v/>
      </c>
      <c r="Q176" s="3" t="str">
        <f t="shared" si="13"/>
        <v/>
      </c>
    </row>
    <row r="177" spans="1:17" ht="15.75" customHeight="1" x14ac:dyDescent="0.25">
      <c r="A177" s="119"/>
      <c r="B177" s="122"/>
      <c r="C177" s="138"/>
      <c r="D177" s="23" t="s">
        <v>115</v>
      </c>
      <c r="E177" s="2" t="s">
        <v>43</v>
      </c>
      <c r="F177" s="31">
        <v>1</v>
      </c>
      <c r="G177" s="140"/>
      <c r="H177" s="73" t="str">
        <f>IFERROR(1/(1/
SUM(
N(VLOOKUP(D177&amp;F177,'Budgeted Projections Intl HC'!D:T,2,FALSE)),
N(VLOOKUP(D177&amp;F177,'Budgeted Projections Intl HC'!D:T,3,FALSE))
)
),"")</f>
        <v/>
      </c>
      <c r="I177" s="73" t="str">
        <f>IFERROR(1/(1/COUNTIFS(
'YearA-AppDetails Current Date'!A:A,D177,
'YearA-AppDetails Current Date'!F:F,E177,
'YearA-AppDetails Current Date'!E:E,--F177,
'YearA-AppDetails Current Date'!I:I,"SUMMER")), "")</f>
        <v/>
      </c>
      <c r="J177" s="74" t="str" cm="1">
        <f t="array" ref="J177">IFERROR(1/(1/SUM(COUNTIFS(
'YearA-AppDetails Current Date'!A:A,D177,
'YearA-AppDetails Current Date'!F:F,E177,
'YearA-AppDetails Current Date'!E:E,--F177,
'YearA-AppDetails Current Date'!O:O,{"ACLN","ACPT","COND"},
'YearA-AppDetails Current Date'!S:S,"&lt;&gt;ACLN",
'YearA-AppDetails Current Date'!S:S,"&lt;&gt;ACPT",
'YearA-AppDetails Current Date'!S:S,"&lt;&gt;COND",
'YearA-AppDetails Current Date'!I:I,"SUMMER"))), "")</f>
        <v/>
      </c>
      <c r="K177" s="73" t="str">
        <f>IFERROR(1/(1/SUM(COUNTIFS(
'YearA-AppDetails Current Date'!A:A,D177,
'YearA-AppDetails Current Date'!F:F,E177,
'YearA-AppDetails Current Date'!E:E,--F177,
'YearA-AppDetails Current Date'!R:R,"&lt;&gt;"&amp;"",
'YearA-AppDetails Current Date'!I:I,"SUMMER"))), "")</f>
        <v/>
      </c>
      <c r="L177" s="74" t="str" cm="1">
        <f t="array" ref="L177">IFERROR(1/(1/SUM(COUNTIFS(
'YearA-AppDetails Current Date'!A:A,D177,
'YearA-AppDetails Current Date'!F:F,E177,
'YearA-AppDetails Current Date'!E:E,--F177,
'YearA-AppDetails Current Date'!T:T,{"APEX","DENY","NTSL"},
'YearA-AppDetails Current Date'!I:I,"SUMMER"))), "")</f>
        <v/>
      </c>
      <c r="M177" s="74" t="str" cm="1">
        <f t="array" ref="M177">IFERROR(1/(1/SUM(COUNTIFS(
'YearA-AppDetails Current Date'!A:A,D177,
'YearA-AppDetails Current Date'!F:F,E177,
'YearA-AppDetails Current Date'!E:E,--F177,
'YearA-AppDetails Current Date'!U:U,{"CCAN","DECL"},
'YearA-AppDetails Current Date'!I:I,"SUMMER"))), "")</f>
        <v/>
      </c>
      <c r="N177" s="74" t="str" cm="1">
        <f t="array" ref="N177">IFERROR(1/(1/SUM(COUNTIFS(
'YearA-AppDetails Current Date'!A:A,D177,
'YearA-AppDetails Current Date'!F:F,E177,
'YearA-AppDetails Current Date'!E:E,--F177,
'YearA-AppDetails Current Date'!V:V,{"APRO","NODE"},
'YearA-AppDetails Current Date'!I:I,"SUMMER"))), "")</f>
        <v/>
      </c>
      <c r="O177" s="74" t="str" cm="1">
        <f t="array" ref="O177">IFERROR(1/(1/SUM(COUNTIFS(
'YearA-AppDetails Current Date'!A:A,D177,
'YearA-AppDetails Current Date'!F:F,E177,
'YearA-AppDetails Current Date'!E:E,--F177,
'YearA-AppDetails Current Date'!T:T,{"CDMT","RQMT","WAIT"},
'YearA-AppDetails Current Date'!I:I,"SUMMER"))), "")</f>
        <v/>
      </c>
      <c r="P177" s="74" t="str">
        <f>IFERROR(1/(1/COUNTIFS(
'YearA-AppDetails Current Date'!A:A,D177,
'YearA-AppDetails Current Date'!F:F,E177,
'YearA-AppDetails Current Date'!E:E,--F177,
'YearA-AppDetails Current Date'!Y:Y,"ENRO",
'YearA-AppDetails Current Date'!I:I,"SUMMER")), "")</f>
        <v/>
      </c>
      <c r="Q177" s="3" t="str">
        <f t="shared" si="13"/>
        <v/>
      </c>
    </row>
    <row r="178" spans="1:17" ht="15.75" customHeight="1" x14ac:dyDescent="0.25">
      <c r="A178" s="119"/>
      <c r="B178" s="122"/>
      <c r="C178" s="138"/>
      <c r="D178" s="23" t="s">
        <v>115</v>
      </c>
      <c r="E178" s="2" t="s">
        <v>42</v>
      </c>
      <c r="F178" s="31">
        <v>2</v>
      </c>
      <c r="G178" s="139" t="s">
        <v>48</v>
      </c>
      <c r="H178" s="73" t="str">
        <f>IFERROR(1/(1/
SUM(
N(VLOOKUP(D178&amp;F178,'Budgeted Projections Dom HC'!D:T,2,FALSE)),
N(VLOOKUP(D178&amp;F178,'Budgeted Projections Dom HC'!D:T,3,FALSE))
)
),"")</f>
        <v/>
      </c>
      <c r="I178" s="73" t="str">
        <f>IFERROR(1/(1/COUNTIFS(
'YearA-AppDetails Current Date'!A:A,D178,
'YearA-AppDetails Current Date'!F:F,E178,
'YearA-AppDetails Current Date'!E:E,--F178,
'YearA-AppDetails Current Date'!I:I,"SUMMER")), "")</f>
        <v/>
      </c>
      <c r="J178" s="74" t="str" cm="1">
        <f t="array" ref="J178">IFERROR(1/(1/SUM(COUNTIFS(
'YearA-AppDetails Current Date'!A:A,D178,
'YearA-AppDetails Current Date'!F:F,E178,
'YearA-AppDetails Current Date'!E:E,--F178,
'YearA-AppDetails Current Date'!O:O,{"ACLN","ACPT","COND"},
'YearA-AppDetails Current Date'!S:S,"&lt;&gt;ACLN",
'YearA-AppDetails Current Date'!S:S,"&lt;&gt;ACPT",
'YearA-AppDetails Current Date'!S:S,"&lt;&gt;COND",
'YearA-AppDetails Current Date'!I:I,"SUMMER"))), "")</f>
        <v/>
      </c>
      <c r="K178" s="73" t="str">
        <f>IFERROR(1/(1/SUM(COUNTIFS(
'YearA-AppDetails Current Date'!A:A,D178,
'YearA-AppDetails Current Date'!F:F,E178,
'YearA-AppDetails Current Date'!E:E,--F178,
'YearA-AppDetails Current Date'!R:R,"&lt;&gt;"&amp;"",
'YearA-AppDetails Current Date'!I:I,"SUMMER"))), "")</f>
        <v/>
      </c>
      <c r="L178" s="74" t="str" cm="1">
        <f t="array" ref="L178">IFERROR(1/(1/SUM(COUNTIFS(
'YearA-AppDetails Current Date'!A:A,D178,
'YearA-AppDetails Current Date'!F:F,E178,
'YearA-AppDetails Current Date'!E:E,--F178,
'YearA-AppDetails Current Date'!T:T,{"APEX","DENY","NTSL"},
'YearA-AppDetails Current Date'!I:I,"SUMMER"))), "")</f>
        <v/>
      </c>
      <c r="M178" s="74" t="str" cm="1">
        <f t="array" ref="M178">IFERROR(1/(1/SUM(COUNTIFS(
'YearA-AppDetails Current Date'!A:A,D178,
'YearA-AppDetails Current Date'!F:F,E178,
'YearA-AppDetails Current Date'!E:E,--F178,
'YearA-AppDetails Current Date'!U:U,{"CCAN","DECL"},
'YearA-AppDetails Current Date'!I:I,"SUMMER"))), "")</f>
        <v/>
      </c>
      <c r="N178" s="74" t="str" cm="1">
        <f t="array" ref="N178">IFERROR(1/(1/SUM(COUNTIFS(
'YearA-AppDetails Current Date'!A:A,D178,
'YearA-AppDetails Current Date'!F:F,E178,
'YearA-AppDetails Current Date'!E:E,--F178,
'YearA-AppDetails Current Date'!V:V,{"APRO","NODE"},
'YearA-AppDetails Current Date'!I:I,"SUMMER"))), "")</f>
        <v/>
      </c>
      <c r="O178" s="74" t="str" cm="1">
        <f t="array" ref="O178">IFERROR(1/(1/SUM(COUNTIFS(
'YearA-AppDetails Current Date'!A:A,D178,
'YearA-AppDetails Current Date'!F:F,E178,
'YearA-AppDetails Current Date'!E:E,--F178,
'YearA-AppDetails Current Date'!T:T,{"CDMT","RQMT","WAIT"},
'YearA-AppDetails Current Date'!I:I,"SUMMER"))), "")</f>
        <v/>
      </c>
      <c r="P178" s="74" t="str">
        <f>IFERROR(1/(1/COUNTIFS(
'YearA-AppDetails Current Date'!A:A,D178,
'YearA-AppDetails Current Date'!F:F,E178,
'YearA-AppDetails Current Date'!E:E,--F178,
'YearA-AppDetails Current Date'!Y:Y,"ENRO",
'YearA-AppDetails Current Date'!I:I,"SUMMER")), "")</f>
        <v/>
      </c>
      <c r="Q178" s="3" t="str">
        <f t="shared" si="13"/>
        <v/>
      </c>
    </row>
    <row r="179" spans="1:17" ht="15.75" customHeight="1" x14ac:dyDescent="0.25">
      <c r="A179" s="119"/>
      <c r="B179" s="122"/>
      <c r="C179" s="125"/>
      <c r="D179" s="23" t="s">
        <v>115</v>
      </c>
      <c r="E179" s="2" t="s">
        <v>43</v>
      </c>
      <c r="F179" s="31">
        <v>2</v>
      </c>
      <c r="G179" s="140"/>
      <c r="H179" s="73" t="str">
        <f>IFERROR(1/(1/
SUM(
N(VLOOKUP(D179&amp;F179,'Budgeted Projections Intl HC'!D:T,2,FALSE)),
N(VLOOKUP(D179&amp;F179,'Budgeted Projections Intl HC'!D:T,3,FALSE))
)
),"")</f>
        <v/>
      </c>
      <c r="I179" s="73" t="str">
        <f>IFERROR(1/(1/COUNTIFS(
'YearA-AppDetails Current Date'!A:A,D179,
'YearA-AppDetails Current Date'!F:F,E179,
'YearA-AppDetails Current Date'!E:E,--F179,
'YearA-AppDetails Current Date'!I:I,"SUMMER")), "")</f>
        <v/>
      </c>
      <c r="J179" s="74" t="str" cm="1">
        <f t="array" ref="J179">IFERROR(1/(1/SUM(COUNTIFS(
'YearA-AppDetails Current Date'!A:A,D179,
'YearA-AppDetails Current Date'!F:F,E179,
'YearA-AppDetails Current Date'!E:E,--F179,
'YearA-AppDetails Current Date'!O:O,{"ACLN","ACPT","COND"},
'YearA-AppDetails Current Date'!S:S,"&lt;&gt;ACLN",
'YearA-AppDetails Current Date'!S:S,"&lt;&gt;ACPT",
'YearA-AppDetails Current Date'!S:S,"&lt;&gt;COND",
'YearA-AppDetails Current Date'!I:I,"SUMMER"))), "")</f>
        <v/>
      </c>
      <c r="K179" s="73" t="str">
        <f>IFERROR(1/(1/SUM(COUNTIFS(
'YearA-AppDetails Current Date'!A:A,D179,
'YearA-AppDetails Current Date'!F:F,E179,
'YearA-AppDetails Current Date'!E:E,--F179,
'YearA-AppDetails Current Date'!R:R,"&lt;&gt;"&amp;"",
'YearA-AppDetails Current Date'!I:I,"SUMMER"))), "")</f>
        <v/>
      </c>
      <c r="L179" s="74" t="str" cm="1">
        <f t="array" ref="L179">IFERROR(1/(1/SUM(COUNTIFS(
'YearA-AppDetails Current Date'!A:A,D179,
'YearA-AppDetails Current Date'!F:F,E179,
'YearA-AppDetails Current Date'!E:E,--F179,
'YearA-AppDetails Current Date'!T:T,{"APEX","DENY","NTSL"},
'YearA-AppDetails Current Date'!I:I,"SUMMER"))), "")</f>
        <v/>
      </c>
      <c r="M179" s="74" t="str" cm="1">
        <f t="array" ref="M179">IFERROR(1/(1/SUM(COUNTIFS(
'YearA-AppDetails Current Date'!A:A,D179,
'YearA-AppDetails Current Date'!F:F,E179,
'YearA-AppDetails Current Date'!E:E,--F179,
'YearA-AppDetails Current Date'!U:U,{"CCAN","DECL"},
'YearA-AppDetails Current Date'!I:I,"SUMMER"))), "")</f>
        <v/>
      </c>
      <c r="N179" s="74" t="str" cm="1">
        <f t="array" ref="N179">IFERROR(1/(1/SUM(COUNTIFS(
'YearA-AppDetails Current Date'!A:A,D179,
'YearA-AppDetails Current Date'!F:F,E179,
'YearA-AppDetails Current Date'!E:E,--F179,
'YearA-AppDetails Current Date'!V:V,{"APRO","NODE"},
'YearA-AppDetails Current Date'!I:I,"SUMMER"))), "")</f>
        <v/>
      </c>
      <c r="O179" s="74" t="str" cm="1">
        <f t="array" ref="O179">IFERROR(1/(1/SUM(COUNTIFS(
'YearA-AppDetails Current Date'!A:A,D179,
'YearA-AppDetails Current Date'!F:F,E179,
'YearA-AppDetails Current Date'!E:E,--F179,
'YearA-AppDetails Current Date'!T:T,{"CDMT","RQMT","WAIT"},
'YearA-AppDetails Current Date'!I:I,"SUMMER"))), "")</f>
        <v/>
      </c>
      <c r="P179" s="74" t="str">
        <f>IFERROR(1/(1/COUNTIFS(
'YearA-AppDetails Current Date'!A:A,D179,
'YearA-AppDetails Current Date'!F:F,E179,
'YearA-AppDetails Current Date'!E:E,--F179,
'YearA-AppDetails Current Date'!Y:Y,"ENRO",
'YearA-AppDetails Current Date'!I:I,"SUMMER")), "")</f>
        <v/>
      </c>
      <c r="Q179" s="3" t="str">
        <f t="shared" si="13"/>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HC'!D:T,2,FALSE)),
N(VLOOKUP(D180&amp;F180,'Budgeted Projections Dom HC'!D:T,3,FALSE))
)
),"")</f>
        <v/>
      </c>
      <c r="I180" s="73" t="str">
        <f>IFERROR(1/(1/COUNTIFS(
'YearA-AppDetails Current Date'!A:A,D180,
'YearA-AppDetails Current Date'!F:F,E180,
'YearA-AppDetails Current Date'!E:E,--F180,
'YearA-AppDetails Current Date'!I:I,"SUMMER")), "")</f>
        <v/>
      </c>
      <c r="J180" s="74" t="str" cm="1">
        <f t="array" ref="J180">IFERROR(1/(1/SUM(COUNTIFS(
'YearA-AppDetails Current Date'!A:A,D180,
'YearA-AppDetails Current Date'!F:F,E180,
'YearA-AppDetails Current Date'!E:E,--F180,
'YearA-AppDetails Current Date'!O:O,{"ACLN","ACPT","COND"},
'YearA-AppDetails Current Date'!S:S,"&lt;&gt;ACLN",
'YearA-AppDetails Current Date'!S:S,"&lt;&gt;ACPT",
'YearA-AppDetails Current Date'!S:S,"&lt;&gt;COND",
'YearA-AppDetails Current Date'!I:I,"SUMMER"))), "")</f>
        <v/>
      </c>
      <c r="K180" s="73" t="str">
        <f>IFERROR(1/(1/SUM(COUNTIFS(
'YearA-AppDetails Current Date'!A:A,D180,
'YearA-AppDetails Current Date'!F:F,E180,
'YearA-AppDetails Current Date'!E:E,--F180,
'YearA-AppDetails Current Date'!R:R,"&lt;&gt;"&amp;"",
'YearA-AppDetails Current Date'!I:I,"SUMMER"))), "")</f>
        <v/>
      </c>
      <c r="L180" s="74" t="str" cm="1">
        <f t="array" ref="L180">IFERROR(1/(1/SUM(COUNTIFS(
'YearA-AppDetails Current Date'!A:A,D180,
'YearA-AppDetails Current Date'!F:F,E180,
'YearA-AppDetails Current Date'!E:E,--F180,
'YearA-AppDetails Current Date'!T:T,{"APEX","DENY","NTSL"},
'YearA-AppDetails Current Date'!I:I,"SUMMER"))), "")</f>
        <v/>
      </c>
      <c r="M180" s="74" t="str" cm="1">
        <f t="array" ref="M180">IFERROR(1/(1/SUM(COUNTIFS(
'YearA-AppDetails Current Date'!A:A,D180,
'YearA-AppDetails Current Date'!F:F,E180,
'YearA-AppDetails Current Date'!E:E,--F180,
'YearA-AppDetails Current Date'!U:U,{"CCAN","DECL"},
'YearA-AppDetails Current Date'!I:I,"SUMMER"))), "")</f>
        <v/>
      </c>
      <c r="N180" s="74" t="str" cm="1">
        <f t="array" ref="N180">IFERROR(1/(1/SUM(COUNTIFS(
'YearA-AppDetails Current Date'!A:A,D180,
'YearA-AppDetails Current Date'!F:F,E180,
'YearA-AppDetails Current Date'!E:E,--F180,
'YearA-AppDetails Current Date'!V:V,{"APRO","NODE"},
'YearA-AppDetails Current Date'!I:I,"SUMMER"))), "")</f>
        <v/>
      </c>
      <c r="O180" s="74" t="str" cm="1">
        <f t="array" ref="O180">IFERROR(1/(1/SUM(COUNTIFS(
'YearA-AppDetails Current Date'!A:A,D180,
'YearA-AppDetails Current Date'!F:F,E180,
'YearA-AppDetails Current Date'!E:E,--F180,
'YearA-AppDetails Current Date'!T:T,{"CDMT","RQMT","WAIT"},
'YearA-AppDetails Current Date'!I:I,"SUMMER"))), "")</f>
        <v/>
      </c>
      <c r="P180" s="74" t="str">
        <f>IFERROR(1/(1/COUNTIFS(
'YearA-AppDetails Current Date'!A:A,D180,
'YearA-AppDetails Current Date'!F:F,E180,
'YearA-AppDetails Current Date'!E:E,--F180,
'YearA-AppDetails Current Date'!Y:Y,"ENRO",
'YearA-AppDetails Current Date'!I:I,"SUMMER")), "")</f>
        <v/>
      </c>
      <c r="Q180" s="3" t="str">
        <f t="shared" si="13"/>
        <v/>
      </c>
    </row>
    <row r="181" spans="1:17" ht="15.75" customHeight="1" x14ac:dyDescent="0.25">
      <c r="A181" s="119"/>
      <c r="B181" s="122"/>
      <c r="C181" s="138"/>
      <c r="D181" s="23" t="s">
        <v>117</v>
      </c>
      <c r="E181" s="2" t="s">
        <v>43</v>
      </c>
      <c r="F181" s="31">
        <v>1</v>
      </c>
      <c r="G181" s="140"/>
      <c r="H181" s="73" t="str">
        <f>IFERROR(1/(1/
SUM(
N(VLOOKUP(D181&amp;F181,'Budgeted Projections Intl HC'!D:T,2,FALSE)),
N(VLOOKUP(D181&amp;F181,'Budgeted Projections Intl HC'!D:T,3,FALSE))
)
),"")</f>
        <v/>
      </c>
      <c r="I181" s="73" t="str">
        <f>IFERROR(1/(1/COUNTIFS(
'YearA-AppDetails Current Date'!A:A,D181,
'YearA-AppDetails Current Date'!F:F,E181,
'YearA-AppDetails Current Date'!E:E,--F181,
'YearA-AppDetails Current Date'!I:I,"SUMMER")), "")</f>
        <v/>
      </c>
      <c r="J181" s="74" t="str" cm="1">
        <f t="array" ref="J181">IFERROR(1/(1/SUM(COUNTIFS(
'YearA-AppDetails Current Date'!A:A,D181,
'YearA-AppDetails Current Date'!F:F,E181,
'YearA-AppDetails Current Date'!E:E,--F181,
'YearA-AppDetails Current Date'!O:O,{"ACLN","ACPT","COND"},
'YearA-AppDetails Current Date'!S:S,"&lt;&gt;ACLN",
'YearA-AppDetails Current Date'!S:S,"&lt;&gt;ACPT",
'YearA-AppDetails Current Date'!S:S,"&lt;&gt;COND",
'YearA-AppDetails Current Date'!I:I,"SUMMER"))), "")</f>
        <v/>
      </c>
      <c r="K181" s="73" t="str">
        <f>IFERROR(1/(1/SUM(COUNTIFS(
'YearA-AppDetails Current Date'!A:A,D181,
'YearA-AppDetails Current Date'!F:F,E181,
'YearA-AppDetails Current Date'!E:E,--F181,
'YearA-AppDetails Current Date'!R:R,"&lt;&gt;"&amp;"",
'YearA-AppDetails Current Date'!I:I,"SUMMER"))), "")</f>
        <v/>
      </c>
      <c r="L181" s="74" t="str" cm="1">
        <f t="array" ref="L181">IFERROR(1/(1/SUM(COUNTIFS(
'YearA-AppDetails Current Date'!A:A,D181,
'YearA-AppDetails Current Date'!F:F,E181,
'YearA-AppDetails Current Date'!E:E,--F181,
'YearA-AppDetails Current Date'!T:T,{"APEX","DENY","NTSL"},
'YearA-AppDetails Current Date'!I:I,"SUMMER"))), "")</f>
        <v/>
      </c>
      <c r="M181" s="74" t="str" cm="1">
        <f t="array" ref="M181">IFERROR(1/(1/SUM(COUNTIFS(
'YearA-AppDetails Current Date'!A:A,D181,
'YearA-AppDetails Current Date'!F:F,E181,
'YearA-AppDetails Current Date'!E:E,--F181,
'YearA-AppDetails Current Date'!U:U,{"CCAN","DECL"},
'YearA-AppDetails Current Date'!I:I,"SUMMER"))), "")</f>
        <v/>
      </c>
      <c r="N181" s="74" t="str" cm="1">
        <f t="array" ref="N181">IFERROR(1/(1/SUM(COUNTIFS(
'YearA-AppDetails Current Date'!A:A,D181,
'YearA-AppDetails Current Date'!F:F,E181,
'YearA-AppDetails Current Date'!E:E,--F181,
'YearA-AppDetails Current Date'!V:V,{"APRO","NODE"},
'YearA-AppDetails Current Date'!I:I,"SUMMER"))), "")</f>
        <v/>
      </c>
      <c r="O181" s="74" t="str" cm="1">
        <f t="array" ref="O181">IFERROR(1/(1/SUM(COUNTIFS(
'YearA-AppDetails Current Date'!A:A,D181,
'YearA-AppDetails Current Date'!F:F,E181,
'YearA-AppDetails Current Date'!E:E,--F181,
'YearA-AppDetails Current Date'!T:T,{"CDMT","RQMT","WAIT"},
'YearA-AppDetails Current Date'!I:I,"SUMMER"))), "")</f>
        <v/>
      </c>
      <c r="P181" s="74" t="str">
        <f>IFERROR(1/(1/COUNTIFS(
'YearA-AppDetails Current Date'!A:A,D181,
'YearA-AppDetails Current Date'!F:F,E181,
'YearA-AppDetails Current Date'!E:E,--F181,
'YearA-AppDetails Current Date'!Y:Y,"ENRO",
'YearA-AppDetails Current Date'!I:I,"SUMMER")), "")</f>
        <v/>
      </c>
      <c r="Q181" s="3" t="str">
        <f t="shared" si="13"/>
        <v/>
      </c>
    </row>
    <row r="182" spans="1:17" ht="15.75" customHeight="1" x14ac:dyDescent="0.25">
      <c r="A182" s="119"/>
      <c r="B182" s="122"/>
      <c r="C182" s="138"/>
      <c r="D182" s="23" t="s">
        <v>117</v>
      </c>
      <c r="E182" s="2" t="s">
        <v>42</v>
      </c>
      <c r="F182" s="31">
        <v>2</v>
      </c>
      <c r="G182" s="139" t="s">
        <v>48</v>
      </c>
      <c r="H182" s="73" t="str">
        <f>IFERROR(1/(1/
SUM(
N(VLOOKUP(D182&amp;F182,'Budgeted Projections Dom HC'!D:T,2,FALSE)),
N(VLOOKUP(D182&amp;F182,'Budgeted Projections Dom HC'!D:T,3,FALSE))
)
),"")</f>
        <v/>
      </c>
      <c r="I182" s="73" t="str">
        <f>IFERROR(1/(1/COUNTIFS(
'YearA-AppDetails Current Date'!A:A,D182,
'YearA-AppDetails Current Date'!F:F,E182,
'YearA-AppDetails Current Date'!E:E,--F182,
'YearA-AppDetails Current Date'!I:I,"SUMMER")), "")</f>
        <v/>
      </c>
      <c r="J182" s="74" t="str" cm="1">
        <f t="array" ref="J182">IFERROR(1/(1/SUM(COUNTIFS(
'YearA-AppDetails Current Date'!A:A,D182,
'YearA-AppDetails Current Date'!F:F,E182,
'YearA-AppDetails Current Date'!E:E,--F182,
'YearA-AppDetails Current Date'!O:O,{"ACLN","ACPT","COND"},
'YearA-AppDetails Current Date'!S:S,"&lt;&gt;ACLN",
'YearA-AppDetails Current Date'!S:S,"&lt;&gt;ACPT",
'YearA-AppDetails Current Date'!S:S,"&lt;&gt;COND",
'YearA-AppDetails Current Date'!I:I,"SUMMER"))), "")</f>
        <v/>
      </c>
      <c r="K182" s="73" t="str">
        <f>IFERROR(1/(1/SUM(COUNTIFS(
'YearA-AppDetails Current Date'!A:A,D182,
'YearA-AppDetails Current Date'!F:F,E182,
'YearA-AppDetails Current Date'!E:E,--F182,
'YearA-AppDetails Current Date'!R:R,"&lt;&gt;"&amp;"",
'YearA-AppDetails Current Date'!I:I,"SUMMER"))), "")</f>
        <v/>
      </c>
      <c r="L182" s="74" t="str" cm="1">
        <f t="array" ref="L182">IFERROR(1/(1/SUM(COUNTIFS(
'YearA-AppDetails Current Date'!A:A,D182,
'YearA-AppDetails Current Date'!F:F,E182,
'YearA-AppDetails Current Date'!E:E,--F182,
'YearA-AppDetails Current Date'!T:T,{"APEX","DENY","NTSL"},
'YearA-AppDetails Current Date'!I:I,"SUMMER"))), "")</f>
        <v/>
      </c>
      <c r="M182" s="74" t="str" cm="1">
        <f t="array" ref="M182">IFERROR(1/(1/SUM(COUNTIFS(
'YearA-AppDetails Current Date'!A:A,D182,
'YearA-AppDetails Current Date'!F:F,E182,
'YearA-AppDetails Current Date'!E:E,--F182,
'YearA-AppDetails Current Date'!U:U,{"CCAN","DECL"},
'YearA-AppDetails Current Date'!I:I,"SUMMER"))), "")</f>
        <v/>
      </c>
      <c r="N182" s="74" t="str" cm="1">
        <f t="array" ref="N182">IFERROR(1/(1/SUM(COUNTIFS(
'YearA-AppDetails Current Date'!A:A,D182,
'YearA-AppDetails Current Date'!F:F,E182,
'YearA-AppDetails Current Date'!E:E,--F182,
'YearA-AppDetails Current Date'!V:V,{"APRO","NODE"},
'YearA-AppDetails Current Date'!I:I,"SUMMER"))), "")</f>
        <v/>
      </c>
      <c r="O182" s="74" t="str" cm="1">
        <f t="array" ref="O182">IFERROR(1/(1/SUM(COUNTIFS(
'YearA-AppDetails Current Date'!A:A,D182,
'YearA-AppDetails Current Date'!F:F,E182,
'YearA-AppDetails Current Date'!E:E,--F182,
'YearA-AppDetails Current Date'!T:T,{"CDMT","RQMT","WAIT"},
'YearA-AppDetails Current Date'!I:I,"SUMMER"))), "")</f>
        <v/>
      </c>
      <c r="P182" s="74" t="str">
        <f>IFERROR(1/(1/COUNTIFS(
'YearA-AppDetails Current Date'!A:A,D182,
'YearA-AppDetails Current Date'!F:F,E182,
'YearA-AppDetails Current Date'!E:E,--F182,
'YearA-AppDetails Current Date'!Y:Y,"ENRO",
'YearA-AppDetails Current Date'!I:I,"SUMMER")), "")</f>
        <v/>
      </c>
      <c r="Q182" s="3" t="str">
        <f t="shared" si="13"/>
        <v/>
      </c>
    </row>
    <row r="183" spans="1:17" ht="15.75" customHeight="1" x14ac:dyDescent="0.25">
      <c r="A183" s="119"/>
      <c r="B183" s="122"/>
      <c r="C183" s="125"/>
      <c r="D183" s="23" t="s">
        <v>117</v>
      </c>
      <c r="E183" s="2" t="s">
        <v>43</v>
      </c>
      <c r="F183" s="31">
        <v>2</v>
      </c>
      <c r="G183" s="140"/>
      <c r="H183" s="73" t="str">
        <f>IFERROR(1/(1/
SUM(
N(VLOOKUP(D183&amp;F183,'Budgeted Projections Intl HC'!D:T,2,FALSE)),
N(VLOOKUP(D183&amp;F183,'Budgeted Projections Intl HC'!D:T,3,FALSE))
)
),"")</f>
        <v/>
      </c>
      <c r="I183" s="73" t="str">
        <f>IFERROR(1/(1/COUNTIFS(
'YearA-AppDetails Current Date'!A:A,D183,
'YearA-AppDetails Current Date'!F:F,E183,
'YearA-AppDetails Current Date'!E:E,--F183,
'YearA-AppDetails Current Date'!I:I,"SUMMER")), "")</f>
        <v/>
      </c>
      <c r="J183" s="74" t="str" cm="1">
        <f t="array" ref="J183">IFERROR(1/(1/SUM(COUNTIFS(
'YearA-AppDetails Current Date'!A:A,D183,
'YearA-AppDetails Current Date'!F:F,E183,
'YearA-AppDetails Current Date'!E:E,--F183,
'YearA-AppDetails Current Date'!O:O,{"ACLN","ACPT","COND"},
'YearA-AppDetails Current Date'!S:S,"&lt;&gt;ACLN",
'YearA-AppDetails Current Date'!S:S,"&lt;&gt;ACPT",
'YearA-AppDetails Current Date'!S:S,"&lt;&gt;COND",
'YearA-AppDetails Current Date'!I:I,"SUMMER"))), "")</f>
        <v/>
      </c>
      <c r="K183" s="73" t="str">
        <f>IFERROR(1/(1/SUM(COUNTIFS(
'YearA-AppDetails Current Date'!A:A,D183,
'YearA-AppDetails Current Date'!F:F,E183,
'YearA-AppDetails Current Date'!E:E,--F183,
'YearA-AppDetails Current Date'!R:R,"&lt;&gt;"&amp;"",
'YearA-AppDetails Current Date'!I:I,"SUMMER"))), "")</f>
        <v/>
      </c>
      <c r="L183" s="74" t="str" cm="1">
        <f t="array" ref="L183">IFERROR(1/(1/SUM(COUNTIFS(
'YearA-AppDetails Current Date'!A:A,D183,
'YearA-AppDetails Current Date'!F:F,E183,
'YearA-AppDetails Current Date'!E:E,--F183,
'YearA-AppDetails Current Date'!T:T,{"APEX","DENY","NTSL"},
'YearA-AppDetails Current Date'!I:I,"SUMMER"))), "")</f>
        <v/>
      </c>
      <c r="M183" s="74" t="str" cm="1">
        <f t="array" ref="M183">IFERROR(1/(1/SUM(COUNTIFS(
'YearA-AppDetails Current Date'!A:A,D183,
'YearA-AppDetails Current Date'!F:F,E183,
'YearA-AppDetails Current Date'!E:E,--F183,
'YearA-AppDetails Current Date'!U:U,{"CCAN","DECL"},
'YearA-AppDetails Current Date'!I:I,"SUMMER"))), "")</f>
        <v/>
      </c>
      <c r="N183" s="74" t="str" cm="1">
        <f t="array" ref="N183">IFERROR(1/(1/SUM(COUNTIFS(
'YearA-AppDetails Current Date'!A:A,D183,
'YearA-AppDetails Current Date'!F:F,E183,
'YearA-AppDetails Current Date'!E:E,--F183,
'YearA-AppDetails Current Date'!V:V,{"APRO","NODE"},
'YearA-AppDetails Current Date'!I:I,"SUMMER"))), "")</f>
        <v/>
      </c>
      <c r="O183" s="74" t="str" cm="1">
        <f t="array" ref="O183">IFERROR(1/(1/SUM(COUNTIFS(
'YearA-AppDetails Current Date'!A:A,D183,
'YearA-AppDetails Current Date'!F:F,E183,
'YearA-AppDetails Current Date'!E:E,--F183,
'YearA-AppDetails Current Date'!T:T,{"CDMT","RQMT","WAIT"},
'YearA-AppDetails Current Date'!I:I,"SUMMER"))), "")</f>
        <v/>
      </c>
      <c r="P183" s="74" t="str">
        <f>IFERROR(1/(1/COUNTIFS(
'YearA-AppDetails Current Date'!A:A,D183,
'YearA-AppDetails Current Date'!F:F,E183,
'YearA-AppDetails Current Date'!E:E,--F183,
'YearA-AppDetails Current Date'!Y:Y,"ENRO",
'YearA-AppDetails Current Date'!I:I,"SUMMER")), "")</f>
        <v/>
      </c>
      <c r="Q183" s="3" t="str">
        <f t="shared" si="13"/>
        <v/>
      </c>
    </row>
    <row r="184" spans="1:17" ht="15.75" customHeight="1" x14ac:dyDescent="0.25">
      <c r="A184" s="119"/>
      <c r="B184" s="122"/>
      <c r="C184" s="124" t="s">
        <v>118</v>
      </c>
      <c r="D184" s="23" t="s">
        <v>119</v>
      </c>
      <c r="E184" s="2" t="s">
        <v>42</v>
      </c>
      <c r="F184" s="31">
        <v>1</v>
      </c>
      <c r="G184" s="139">
        <v>30</v>
      </c>
      <c r="H184" s="73" t="str">
        <f>IFERROR(1/(1/
SUM(
N(VLOOKUP(D184&amp;F184,'Budgeted Projections Dom HC'!D:T,2,FALSE)),
N(VLOOKUP(D184&amp;F184,'Budgeted Projections Dom HC'!D:T,3,FALSE))
)
),"")</f>
        <v/>
      </c>
      <c r="I184" s="73" t="str">
        <f>IFERROR(1/(1/COUNTIFS(
'YearA-AppDetails Current Date'!A:A,D184,
'YearA-AppDetails Current Date'!F:F,E184,
'YearA-AppDetails Current Date'!E:E,--F184,
'YearA-AppDetails Current Date'!I:I,"SUMMER")), "")</f>
        <v/>
      </c>
      <c r="J184" s="74" t="str" cm="1">
        <f t="array" ref="J184">IFERROR(1/(1/SUM(COUNTIFS(
'YearA-AppDetails Current Date'!A:A,D184,
'YearA-AppDetails Current Date'!F:F,E184,
'YearA-AppDetails Current Date'!E:E,--F184,
'YearA-AppDetails Current Date'!O:O,{"ACLN","ACPT","COND"},
'YearA-AppDetails Current Date'!S:S,"&lt;&gt;ACLN",
'YearA-AppDetails Current Date'!S:S,"&lt;&gt;ACPT",
'YearA-AppDetails Current Date'!S:S,"&lt;&gt;COND",
'YearA-AppDetails Current Date'!I:I,"SUMMER"))), "")</f>
        <v/>
      </c>
      <c r="K184" s="73" t="str">
        <f>IFERROR(1/(1/SUM(COUNTIFS(
'YearA-AppDetails Current Date'!A:A,D184,
'YearA-AppDetails Current Date'!F:F,E184,
'YearA-AppDetails Current Date'!E:E,--F184,
'YearA-AppDetails Current Date'!R:R,"&lt;&gt;"&amp;"",
'YearA-AppDetails Current Date'!I:I,"SUMMER"))), "")</f>
        <v/>
      </c>
      <c r="L184" s="74" t="str" cm="1">
        <f t="array" ref="L184">IFERROR(1/(1/SUM(COUNTIFS(
'YearA-AppDetails Current Date'!A:A,D184,
'YearA-AppDetails Current Date'!F:F,E184,
'YearA-AppDetails Current Date'!E:E,--F184,
'YearA-AppDetails Current Date'!T:T,{"APEX","DENY","NTSL"},
'YearA-AppDetails Current Date'!I:I,"SUMMER"))), "")</f>
        <v/>
      </c>
      <c r="M184" s="74" t="str" cm="1">
        <f t="array" ref="M184">IFERROR(1/(1/SUM(COUNTIFS(
'YearA-AppDetails Current Date'!A:A,D184,
'YearA-AppDetails Current Date'!F:F,E184,
'YearA-AppDetails Current Date'!E:E,--F184,
'YearA-AppDetails Current Date'!U:U,{"CCAN","DECL"},
'YearA-AppDetails Current Date'!I:I,"SUMMER"))), "")</f>
        <v/>
      </c>
      <c r="N184" s="74" t="str" cm="1">
        <f t="array" ref="N184">IFERROR(1/(1/SUM(COUNTIFS(
'YearA-AppDetails Current Date'!A:A,D184,
'YearA-AppDetails Current Date'!F:F,E184,
'YearA-AppDetails Current Date'!E:E,--F184,
'YearA-AppDetails Current Date'!V:V,{"APRO","NODE"},
'YearA-AppDetails Current Date'!I:I,"SUMMER"))), "")</f>
        <v/>
      </c>
      <c r="O184" s="74" t="str" cm="1">
        <f t="array" ref="O184">IFERROR(1/(1/SUM(COUNTIFS(
'YearA-AppDetails Current Date'!A:A,D184,
'YearA-AppDetails Current Date'!F:F,E184,
'YearA-AppDetails Current Date'!E:E,--F184,
'YearA-AppDetails Current Date'!T:T,{"CDMT","RQMT","WAIT"},
'YearA-AppDetails Current Date'!I:I,"SUMMER"))), "")</f>
        <v/>
      </c>
      <c r="P184" s="74" t="str">
        <f>IFERROR(1/(1/COUNTIFS(
'YearA-AppDetails Current Date'!A:A,D184,
'YearA-AppDetails Current Date'!F:F,E184,
'YearA-AppDetails Current Date'!E:E,--F184,
'YearA-AppDetails Current Date'!Y:Y,"ENRO",
'YearA-AppDetails Current Date'!I:I,"SUMMER")), "")</f>
        <v/>
      </c>
      <c r="Q184" s="3" t="str">
        <f t="shared" si="13"/>
        <v/>
      </c>
    </row>
    <row r="185" spans="1:17" ht="15.75" customHeight="1" x14ac:dyDescent="0.25">
      <c r="A185" s="119"/>
      <c r="B185" s="122"/>
      <c r="C185" s="125"/>
      <c r="D185" s="23" t="s">
        <v>119</v>
      </c>
      <c r="E185" s="2" t="s">
        <v>43</v>
      </c>
      <c r="F185" s="31">
        <v>1</v>
      </c>
      <c r="G185" s="140"/>
      <c r="H185" s="73" t="str">
        <f>IFERROR(1/(1/
SUM(
N(VLOOKUP(D185&amp;F185,'Budgeted Projections Intl HC'!D:T,2,FALSE)),
N(VLOOKUP(D185&amp;F185,'Budgeted Projections Intl HC'!D:T,3,FALSE))
)
),"")</f>
        <v/>
      </c>
      <c r="I185" s="73" t="str">
        <f>IFERROR(1/(1/COUNTIFS(
'YearA-AppDetails Current Date'!A:A,D185,
'YearA-AppDetails Current Date'!F:F,E185,
'YearA-AppDetails Current Date'!E:E,--F185,
'YearA-AppDetails Current Date'!I:I,"SUMMER")), "")</f>
        <v/>
      </c>
      <c r="J185" s="74" t="str" cm="1">
        <f t="array" ref="J185">IFERROR(1/(1/SUM(COUNTIFS(
'YearA-AppDetails Current Date'!A:A,D185,
'YearA-AppDetails Current Date'!F:F,E185,
'YearA-AppDetails Current Date'!E:E,--F185,
'YearA-AppDetails Current Date'!O:O,{"ACLN","ACPT","COND"},
'YearA-AppDetails Current Date'!S:S,"&lt;&gt;ACLN",
'YearA-AppDetails Current Date'!S:S,"&lt;&gt;ACPT",
'YearA-AppDetails Current Date'!S:S,"&lt;&gt;COND",
'YearA-AppDetails Current Date'!I:I,"SUMMER"))), "")</f>
        <v/>
      </c>
      <c r="K185" s="73" t="str">
        <f>IFERROR(1/(1/SUM(COUNTIFS(
'YearA-AppDetails Current Date'!A:A,D185,
'YearA-AppDetails Current Date'!F:F,E185,
'YearA-AppDetails Current Date'!E:E,--F185,
'YearA-AppDetails Current Date'!R:R,"&lt;&gt;"&amp;"",
'YearA-AppDetails Current Date'!I:I,"SUMMER"))), "")</f>
        <v/>
      </c>
      <c r="L185" s="74" t="str" cm="1">
        <f t="array" ref="L185">IFERROR(1/(1/SUM(COUNTIFS(
'YearA-AppDetails Current Date'!A:A,D185,
'YearA-AppDetails Current Date'!F:F,E185,
'YearA-AppDetails Current Date'!E:E,--F185,
'YearA-AppDetails Current Date'!T:T,{"APEX","DENY","NTSL"},
'YearA-AppDetails Current Date'!I:I,"SUMMER"))), "")</f>
        <v/>
      </c>
      <c r="M185" s="74" t="str" cm="1">
        <f t="array" ref="M185">IFERROR(1/(1/SUM(COUNTIFS(
'YearA-AppDetails Current Date'!A:A,D185,
'YearA-AppDetails Current Date'!F:F,E185,
'YearA-AppDetails Current Date'!E:E,--F185,
'YearA-AppDetails Current Date'!U:U,{"CCAN","DECL"},
'YearA-AppDetails Current Date'!I:I,"SUMMER"))), "")</f>
        <v/>
      </c>
      <c r="N185" s="74" t="str" cm="1">
        <f t="array" ref="N185">IFERROR(1/(1/SUM(COUNTIFS(
'YearA-AppDetails Current Date'!A:A,D185,
'YearA-AppDetails Current Date'!F:F,E185,
'YearA-AppDetails Current Date'!E:E,--F185,
'YearA-AppDetails Current Date'!V:V,{"APRO","NODE"},
'YearA-AppDetails Current Date'!I:I,"SUMMER"))), "")</f>
        <v/>
      </c>
      <c r="O185" s="74" t="str" cm="1">
        <f t="array" ref="O185">IFERROR(1/(1/SUM(COUNTIFS(
'YearA-AppDetails Current Date'!A:A,D185,
'YearA-AppDetails Current Date'!F:F,E185,
'YearA-AppDetails Current Date'!E:E,--F185,
'YearA-AppDetails Current Date'!T:T,{"CDMT","RQMT","WAIT"},
'YearA-AppDetails Current Date'!I:I,"SUMMER"))), "")</f>
        <v/>
      </c>
      <c r="P185" s="74" t="str">
        <f>IFERROR(1/(1/COUNTIFS(
'YearA-AppDetails Current Date'!A:A,D185,
'YearA-AppDetails Current Date'!F:F,E185,
'YearA-AppDetails Current Date'!E:E,--F185,
'YearA-AppDetails Current Date'!Y:Y,"ENRO",
'YearA-AppDetails Current Date'!I:I,"SUMMER")), "")</f>
        <v/>
      </c>
      <c r="Q185" s="3" t="str">
        <f t="shared" si="13"/>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HC'!D:T,2,FALSE)),
N(VLOOKUP(D186&amp;F186,'Budgeted Projections Dom HC'!D:T,3,FALSE))
)
),"")</f>
        <v/>
      </c>
      <c r="I186" s="73" t="str">
        <f>IFERROR(1/(1/COUNTIFS(
'YearA-AppDetails Current Date'!A:A,D186,
'YearA-AppDetails Current Date'!F:F,E186,
'YearA-AppDetails Current Date'!E:E,--F186,
'YearA-AppDetails Current Date'!I:I,"SUMMER")), "")</f>
        <v/>
      </c>
      <c r="J186" s="74" t="str" cm="1">
        <f t="array" ref="J186">IFERROR(1/(1/SUM(COUNTIFS(
'YearA-AppDetails Current Date'!A:A,D186,
'YearA-AppDetails Current Date'!F:F,E186,
'YearA-AppDetails Current Date'!E:E,--F186,
'YearA-AppDetails Current Date'!O:O,{"ACLN","ACPT","COND"},
'YearA-AppDetails Current Date'!S:S,"&lt;&gt;ACLN",
'YearA-AppDetails Current Date'!S:S,"&lt;&gt;ACPT",
'YearA-AppDetails Current Date'!S:S,"&lt;&gt;COND",
'YearA-AppDetails Current Date'!I:I,"SUMMER"))), "")</f>
        <v/>
      </c>
      <c r="K186" s="73" t="str">
        <f>IFERROR(1/(1/SUM(COUNTIFS(
'YearA-AppDetails Current Date'!A:A,D186,
'YearA-AppDetails Current Date'!F:F,E186,
'YearA-AppDetails Current Date'!E:E,--F186,
'YearA-AppDetails Current Date'!R:R,"&lt;&gt;"&amp;"",
'YearA-AppDetails Current Date'!I:I,"SUMMER"))), "")</f>
        <v/>
      </c>
      <c r="L186" s="74" t="str" cm="1">
        <f t="array" ref="L186">IFERROR(1/(1/SUM(COUNTIFS(
'YearA-AppDetails Current Date'!A:A,D186,
'YearA-AppDetails Current Date'!F:F,E186,
'YearA-AppDetails Current Date'!E:E,--F186,
'YearA-AppDetails Current Date'!T:T,{"APEX","DENY","NTSL"},
'YearA-AppDetails Current Date'!I:I,"SUMMER"))), "")</f>
        <v/>
      </c>
      <c r="M186" s="74" t="str" cm="1">
        <f t="array" ref="M186">IFERROR(1/(1/SUM(COUNTIFS(
'YearA-AppDetails Current Date'!A:A,D186,
'YearA-AppDetails Current Date'!F:F,E186,
'YearA-AppDetails Current Date'!E:E,--F186,
'YearA-AppDetails Current Date'!U:U,{"CCAN","DECL"},
'YearA-AppDetails Current Date'!I:I,"SUMMER"))), "")</f>
        <v/>
      </c>
      <c r="N186" s="74" t="str" cm="1">
        <f t="array" ref="N186">IFERROR(1/(1/SUM(COUNTIFS(
'YearA-AppDetails Current Date'!A:A,D186,
'YearA-AppDetails Current Date'!F:F,E186,
'YearA-AppDetails Current Date'!E:E,--F186,
'YearA-AppDetails Current Date'!V:V,{"APRO","NODE"},
'YearA-AppDetails Current Date'!I:I,"SUMMER"))), "")</f>
        <v/>
      </c>
      <c r="O186" s="74" t="str" cm="1">
        <f t="array" ref="O186">IFERROR(1/(1/SUM(COUNTIFS(
'YearA-AppDetails Current Date'!A:A,D186,
'YearA-AppDetails Current Date'!F:F,E186,
'YearA-AppDetails Current Date'!E:E,--F186,
'YearA-AppDetails Current Date'!T:T,{"CDMT","RQMT","WAIT"},
'YearA-AppDetails Current Date'!I:I,"SUMMER"))), "")</f>
        <v/>
      </c>
      <c r="P186" s="74" t="str">
        <f>IFERROR(1/(1/COUNTIFS(
'YearA-AppDetails Current Date'!A:A,D186,
'YearA-AppDetails Current Date'!F:F,E186,
'YearA-AppDetails Current Date'!E:E,--F186,
'YearA-AppDetails Current Date'!Y:Y,"ENRO",
'YearA-AppDetails Current Date'!I:I,"SUMMER")), "")</f>
        <v/>
      </c>
      <c r="Q186" s="3" t="str">
        <f t="shared" si="13"/>
        <v/>
      </c>
    </row>
    <row r="187" spans="1:17" ht="15.75" customHeight="1" x14ac:dyDescent="0.25">
      <c r="A187" s="119"/>
      <c r="B187" s="122"/>
      <c r="C187" s="138"/>
      <c r="D187" s="23" t="s">
        <v>121</v>
      </c>
      <c r="E187" s="2" t="s">
        <v>43</v>
      </c>
      <c r="F187" s="31">
        <v>1</v>
      </c>
      <c r="G187" s="140"/>
      <c r="H187" s="73" t="str">
        <f>IFERROR(1/(1/
SUM(
N(VLOOKUP(D187&amp;F187,'Budgeted Projections Intl HC'!D:T,2,FALSE)),
N(VLOOKUP(D187&amp;F187,'Budgeted Projections Intl HC'!D:T,3,FALSE))
)
),"")</f>
        <v/>
      </c>
      <c r="I187" s="73" t="str">
        <f>IFERROR(1/(1/COUNTIFS(
'YearA-AppDetails Current Date'!A:A,D187,
'YearA-AppDetails Current Date'!F:F,E187,
'YearA-AppDetails Current Date'!E:E,--F187,
'YearA-AppDetails Current Date'!I:I,"SUMMER")), "")</f>
        <v/>
      </c>
      <c r="J187" s="74" t="str" cm="1">
        <f t="array" ref="J187">IFERROR(1/(1/SUM(COUNTIFS(
'YearA-AppDetails Current Date'!A:A,D187,
'YearA-AppDetails Current Date'!F:F,E187,
'YearA-AppDetails Current Date'!E:E,--F187,
'YearA-AppDetails Current Date'!O:O,{"ACLN","ACPT","COND"},
'YearA-AppDetails Current Date'!S:S,"&lt;&gt;ACLN",
'YearA-AppDetails Current Date'!S:S,"&lt;&gt;ACPT",
'YearA-AppDetails Current Date'!S:S,"&lt;&gt;COND",
'YearA-AppDetails Current Date'!I:I,"SUMMER"))), "")</f>
        <v/>
      </c>
      <c r="K187" s="73" t="str">
        <f>IFERROR(1/(1/SUM(COUNTIFS(
'YearA-AppDetails Current Date'!A:A,D187,
'YearA-AppDetails Current Date'!F:F,E187,
'YearA-AppDetails Current Date'!E:E,--F187,
'YearA-AppDetails Current Date'!R:R,"&lt;&gt;"&amp;"",
'YearA-AppDetails Current Date'!I:I,"SUMMER"))), "")</f>
        <v/>
      </c>
      <c r="L187" s="74" t="str" cm="1">
        <f t="array" ref="L187">IFERROR(1/(1/SUM(COUNTIFS(
'YearA-AppDetails Current Date'!A:A,D187,
'YearA-AppDetails Current Date'!F:F,E187,
'YearA-AppDetails Current Date'!E:E,--F187,
'YearA-AppDetails Current Date'!T:T,{"APEX","DENY","NTSL"},
'YearA-AppDetails Current Date'!I:I,"SUMMER"))), "")</f>
        <v/>
      </c>
      <c r="M187" s="74" t="str" cm="1">
        <f t="array" ref="M187">IFERROR(1/(1/SUM(COUNTIFS(
'YearA-AppDetails Current Date'!A:A,D187,
'YearA-AppDetails Current Date'!F:F,E187,
'YearA-AppDetails Current Date'!E:E,--F187,
'YearA-AppDetails Current Date'!U:U,{"CCAN","DECL"},
'YearA-AppDetails Current Date'!I:I,"SUMMER"))), "")</f>
        <v/>
      </c>
      <c r="N187" s="74" t="str" cm="1">
        <f t="array" ref="N187">IFERROR(1/(1/SUM(COUNTIFS(
'YearA-AppDetails Current Date'!A:A,D187,
'YearA-AppDetails Current Date'!F:F,E187,
'YearA-AppDetails Current Date'!E:E,--F187,
'YearA-AppDetails Current Date'!V:V,{"APRO","NODE"},
'YearA-AppDetails Current Date'!I:I,"SUMMER"))), "")</f>
        <v/>
      </c>
      <c r="O187" s="74" t="str" cm="1">
        <f t="array" ref="O187">IFERROR(1/(1/SUM(COUNTIFS(
'YearA-AppDetails Current Date'!A:A,D187,
'YearA-AppDetails Current Date'!F:F,E187,
'YearA-AppDetails Current Date'!E:E,--F187,
'YearA-AppDetails Current Date'!T:T,{"CDMT","RQMT","WAIT"},
'YearA-AppDetails Current Date'!I:I,"SUMMER"))), "")</f>
        <v/>
      </c>
      <c r="P187" s="74" t="str">
        <f>IFERROR(1/(1/COUNTIFS(
'YearA-AppDetails Current Date'!A:A,D187,
'YearA-AppDetails Current Date'!F:F,E187,
'YearA-AppDetails Current Date'!E:E,--F187,
'YearA-AppDetails Current Date'!Y:Y,"ENRO",
'YearA-AppDetails Current Date'!I:I,"SUMMER")), "")</f>
        <v/>
      </c>
      <c r="Q187" s="3" t="str">
        <f t="shared" si="13"/>
        <v/>
      </c>
    </row>
    <row r="188" spans="1:17" ht="15.75" customHeight="1" x14ac:dyDescent="0.25">
      <c r="A188" s="119"/>
      <c r="B188" s="122"/>
      <c r="C188" s="138"/>
      <c r="D188" s="23" t="s">
        <v>121</v>
      </c>
      <c r="E188" s="2" t="s">
        <v>42</v>
      </c>
      <c r="F188" s="31">
        <v>2</v>
      </c>
      <c r="G188" s="139" t="s">
        <v>48</v>
      </c>
      <c r="H188" s="73" t="str">
        <f>IFERROR(1/(1/
SUM(
N(VLOOKUP(D188&amp;F188,'Budgeted Projections Dom HC'!D:T,2,FALSE)),
N(VLOOKUP(D188&amp;F188,'Budgeted Projections Dom HC'!D:T,3,FALSE))
)
),"")</f>
        <v/>
      </c>
      <c r="I188" s="73" t="str">
        <f>IFERROR(1/(1/COUNTIFS(
'YearA-AppDetails Current Date'!A:A,D188,
'YearA-AppDetails Current Date'!F:F,E188,
'YearA-AppDetails Current Date'!E:E,--F188,
'YearA-AppDetails Current Date'!I:I,"SUMMER")), "")</f>
        <v/>
      </c>
      <c r="J188" s="74" t="str" cm="1">
        <f t="array" ref="J188">IFERROR(1/(1/SUM(COUNTIFS(
'YearA-AppDetails Current Date'!A:A,D188,
'YearA-AppDetails Current Date'!F:F,E188,
'YearA-AppDetails Current Date'!E:E,--F188,
'YearA-AppDetails Current Date'!O:O,{"ACLN","ACPT","COND"},
'YearA-AppDetails Current Date'!S:S,"&lt;&gt;ACLN",
'YearA-AppDetails Current Date'!S:S,"&lt;&gt;ACPT",
'YearA-AppDetails Current Date'!S:S,"&lt;&gt;COND",
'YearA-AppDetails Current Date'!I:I,"SUMMER"))), "")</f>
        <v/>
      </c>
      <c r="K188" s="73" t="str">
        <f>IFERROR(1/(1/SUM(COUNTIFS(
'YearA-AppDetails Current Date'!A:A,D188,
'YearA-AppDetails Current Date'!F:F,E188,
'YearA-AppDetails Current Date'!E:E,--F188,
'YearA-AppDetails Current Date'!R:R,"&lt;&gt;"&amp;"",
'YearA-AppDetails Current Date'!I:I,"SUMMER"))), "")</f>
        <v/>
      </c>
      <c r="L188" s="74" t="str" cm="1">
        <f t="array" ref="L188">IFERROR(1/(1/SUM(COUNTIFS(
'YearA-AppDetails Current Date'!A:A,D188,
'YearA-AppDetails Current Date'!F:F,E188,
'YearA-AppDetails Current Date'!E:E,--F188,
'YearA-AppDetails Current Date'!T:T,{"APEX","DENY","NTSL"},
'YearA-AppDetails Current Date'!I:I,"SUMMER"))), "")</f>
        <v/>
      </c>
      <c r="M188" s="74" t="str" cm="1">
        <f t="array" ref="M188">IFERROR(1/(1/SUM(COUNTIFS(
'YearA-AppDetails Current Date'!A:A,D188,
'YearA-AppDetails Current Date'!F:F,E188,
'YearA-AppDetails Current Date'!E:E,--F188,
'YearA-AppDetails Current Date'!U:U,{"CCAN","DECL"},
'YearA-AppDetails Current Date'!I:I,"SUMMER"))), "")</f>
        <v/>
      </c>
      <c r="N188" s="74" t="str" cm="1">
        <f t="array" ref="N188">IFERROR(1/(1/SUM(COUNTIFS(
'YearA-AppDetails Current Date'!A:A,D188,
'YearA-AppDetails Current Date'!F:F,E188,
'YearA-AppDetails Current Date'!E:E,--F188,
'YearA-AppDetails Current Date'!V:V,{"APRO","NODE"},
'YearA-AppDetails Current Date'!I:I,"SUMMER"))), "")</f>
        <v/>
      </c>
      <c r="O188" s="74" t="str" cm="1">
        <f t="array" ref="O188">IFERROR(1/(1/SUM(COUNTIFS(
'YearA-AppDetails Current Date'!A:A,D188,
'YearA-AppDetails Current Date'!F:F,E188,
'YearA-AppDetails Current Date'!E:E,--F188,
'YearA-AppDetails Current Date'!T:T,{"CDMT","RQMT","WAIT"},
'YearA-AppDetails Current Date'!I:I,"SUMMER"))), "")</f>
        <v/>
      </c>
      <c r="P188" s="74" t="str">
        <f>IFERROR(1/(1/COUNTIFS(
'YearA-AppDetails Current Date'!A:A,D188,
'YearA-AppDetails Current Date'!F:F,E188,
'YearA-AppDetails Current Date'!E:E,--F188,
'YearA-AppDetails Current Date'!Y:Y,"ENRO",
'YearA-AppDetails Current Date'!I:I,"SUMMER")), "")</f>
        <v/>
      </c>
      <c r="Q188" s="3" t="str">
        <f t="shared" si="13"/>
        <v/>
      </c>
    </row>
    <row r="189" spans="1:17" ht="15.75" customHeight="1" x14ac:dyDescent="0.25">
      <c r="A189" s="119"/>
      <c r="B189" s="122"/>
      <c r="C189" s="125"/>
      <c r="D189" s="23" t="s">
        <v>121</v>
      </c>
      <c r="E189" s="2" t="s">
        <v>43</v>
      </c>
      <c r="F189" s="31">
        <v>2</v>
      </c>
      <c r="G189" s="140"/>
      <c r="H189" s="73" t="str">
        <f>IFERROR(1/(1/
SUM(
N(VLOOKUP(D189&amp;F189,'Budgeted Projections Intl HC'!D:T,2,FALSE)),
N(VLOOKUP(D189&amp;F189,'Budgeted Projections Intl HC'!D:T,3,FALSE))
)
),"")</f>
        <v/>
      </c>
      <c r="I189" s="73" t="str">
        <f>IFERROR(1/(1/COUNTIFS(
'YearA-AppDetails Current Date'!A:A,D189,
'YearA-AppDetails Current Date'!F:F,E189,
'YearA-AppDetails Current Date'!E:E,--F189,
'YearA-AppDetails Current Date'!I:I,"SUMMER")), "")</f>
        <v/>
      </c>
      <c r="J189" s="74" t="str" cm="1">
        <f t="array" ref="J189">IFERROR(1/(1/SUM(COUNTIFS(
'YearA-AppDetails Current Date'!A:A,D189,
'YearA-AppDetails Current Date'!F:F,E189,
'YearA-AppDetails Current Date'!E:E,--F189,
'YearA-AppDetails Current Date'!O:O,{"ACLN","ACPT","COND"},
'YearA-AppDetails Current Date'!S:S,"&lt;&gt;ACLN",
'YearA-AppDetails Current Date'!S:S,"&lt;&gt;ACPT",
'YearA-AppDetails Current Date'!S:S,"&lt;&gt;COND",
'YearA-AppDetails Current Date'!I:I,"SUMMER"))), "")</f>
        <v/>
      </c>
      <c r="K189" s="73" t="str">
        <f>IFERROR(1/(1/SUM(COUNTIFS(
'YearA-AppDetails Current Date'!A:A,D189,
'YearA-AppDetails Current Date'!F:F,E189,
'YearA-AppDetails Current Date'!E:E,--F189,
'YearA-AppDetails Current Date'!R:R,"&lt;&gt;"&amp;"",
'YearA-AppDetails Current Date'!I:I,"SUMMER"))), "")</f>
        <v/>
      </c>
      <c r="L189" s="74" t="str" cm="1">
        <f t="array" ref="L189">IFERROR(1/(1/SUM(COUNTIFS(
'YearA-AppDetails Current Date'!A:A,D189,
'YearA-AppDetails Current Date'!F:F,E189,
'YearA-AppDetails Current Date'!E:E,--F189,
'YearA-AppDetails Current Date'!T:T,{"APEX","DENY","NTSL"},
'YearA-AppDetails Current Date'!I:I,"SUMMER"))), "")</f>
        <v/>
      </c>
      <c r="M189" s="74" t="str" cm="1">
        <f t="array" ref="M189">IFERROR(1/(1/SUM(COUNTIFS(
'YearA-AppDetails Current Date'!A:A,D189,
'YearA-AppDetails Current Date'!F:F,E189,
'YearA-AppDetails Current Date'!E:E,--F189,
'YearA-AppDetails Current Date'!U:U,{"CCAN","DECL"},
'YearA-AppDetails Current Date'!I:I,"SUMMER"))), "")</f>
        <v/>
      </c>
      <c r="N189" s="74" t="str" cm="1">
        <f t="array" ref="N189">IFERROR(1/(1/SUM(COUNTIFS(
'YearA-AppDetails Current Date'!A:A,D189,
'YearA-AppDetails Current Date'!F:F,E189,
'YearA-AppDetails Current Date'!E:E,--F189,
'YearA-AppDetails Current Date'!V:V,{"APRO","NODE"},
'YearA-AppDetails Current Date'!I:I,"SUMMER"))), "")</f>
        <v/>
      </c>
      <c r="O189" s="74" t="str" cm="1">
        <f t="array" ref="O189">IFERROR(1/(1/SUM(COUNTIFS(
'YearA-AppDetails Current Date'!A:A,D189,
'YearA-AppDetails Current Date'!F:F,E189,
'YearA-AppDetails Current Date'!E:E,--F189,
'YearA-AppDetails Current Date'!T:T,{"CDMT","RQMT","WAIT"},
'YearA-AppDetails Current Date'!I:I,"SUMMER"))), "")</f>
        <v/>
      </c>
      <c r="P189" s="74" t="str">
        <f>IFERROR(1/(1/COUNTIFS(
'YearA-AppDetails Current Date'!A:A,D189,
'YearA-AppDetails Current Date'!F:F,E189,
'YearA-AppDetails Current Date'!E:E,--F189,
'YearA-AppDetails Current Date'!Y:Y,"ENRO",
'YearA-AppDetails Current Date'!I:I,"SUMMER")), "")</f>
        <v/>
      </c>
      <c r="Q189" s="3" t="str">
        <f t="shared" si="13"/>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HC'!D:T,2,FALSE)),
N(VLOOKUP(D190&amp;F190,'Budgeted Projections Dom HC'!D:T,3,FALSE))
)
),"")</f>
        <v/>
      </c>
      <c r="I190" s="73" t="str">
        <f>IFERROR(1/(1/COUNTIFS(
'YearA-AppDetails Current Date'!A:A,D190,
'YearA-AppDetails Current Date'!F:F,E190,
'YearA-AppDetails Current Date'!E:E,--F190,
'YearA-AppDetails Current Date'!I:I,"SUMMER")), "")</f>
        <v/>
      </c>
      <c r="J190" s="74" t="str" cm="1">
        <f t="array" ref="J190">IFERROR(1/(1/SUM(COUNTIFS(
'YearA-AppDetails Current Date'!A:A,D190,
'YearA-AppDetails Current Date'!F:F,E190,
'YearA-AppDetails Current Date'!E:E,--F190,
'YearA-AppDetails Current Date'!O:O,{"ACLN","ACPT","COND"},
'YearA-AppDetails Current Date'!S:S,"&lt;&gt;ACLN",
'YearA-AppDetails Current Date'!S:S,"&lt;&gt;ACPT",
'YearA-AppDetails Current Date'!S:S,"&lt;&gt;COND",
'YearA-AppDetails Current Date'!I:I,"SUMMER"))), "")</f>
        <v/>
      </c>
      <c r="K190" s="73" t="str">
        <f>IFERROR(1/(1/SUM(COUNTIFS(
'YearA-AppDetails Current Date'!A:A,D190,
'YearA-AppDetails Current Date'!F:F,E190,
'YearA-AppDetails Current Date'!E:E,--F190,
'YearA-AppDetails Current Date'!R:R,"&lt;&gt;"&amp;"",
'YearA-AppDetails Current Date'!I:I,"SUMMER"))), "")</f>
        <v/>
      </c>
      <c r="L190" s="74" t="str" cm="1">
        <f t="array" ref="L190">IFERROR(1/(1/SUM(COUNTIFS(
'YearA-AppDetails Current Date'!A:A,D190,
'YearA-AppDetails Current Date'!F:F,E190,
'YearA-AppDetails Current Date'!E:E,--F190,
'YearA-AppDetails Current Date'!T:T,{"APEX","DENY","NTSL"},
'YearA-AppDetails Current Date'!I:I,"SUMMER"))), "")</f>
        <v/>
      </c>
      <c r="M190" s="74" t="str" cm="1">
        <f t="array" ref="M190">IFERROR(1/(1/SUM(COUNTIFS(
'YearA-AppDetails Current Date'!A:A,D190,
'YearA-AppDetails Current Date'!F:F,E190,
'YearA-AppDetails Current Date'!E:E,--F190,
'YearA-AppDetails Current Date'!U:U,{"CCAN","DECL"},
'YearA-AppDetails Current Date'!I:I,"SUMMER"))), "")</f>
        <v/>
      </c>
      <c r="N190" s="74" t="str" cm="1">
        <f t="array" ref="N190">IFERROR(1/(1/SUM(COUNTIFS(
'YearA-AppDetails Current Date'!A:A,D190,
'YearA-AppDetails Current Date'!F:F,E190,
'YearA-AppDetails Current Date'!E:E,--F190,
'YearA-AppDetails Current Date'!V:V,{"APRO","NODE"},
'YearA-AppDetails Current Date'!I:I,"SUMMER"))), "")</f>
        <v/>
      </c>
      <c r="O190" s="74" t="str" cm="1">
        <f t="array" ref="O190">IFERROR(1/(1/SUM(COUNTIFS(
'YearA-AppDetails Current Date'!A:A,D190,
'YearA-AppDetails Current Date'!F:F,E190,
'YearA-AppDetails Current Date'!E:E,--F190,
'YearA-AppDetails Current Date'!T:T,{"CDMT","RQMT","WAIT"},
'YearA-AppDetails Current Date'!I:I,"SUMMER"))), "")</f>
        <v/>
      </c>
      <c r="P190" s="74" t="str">
        <f>IFERROR(1/(1/COUNTIFS(
'YearA-AppDetails Current Date'!A:A,D190,
'YearA-AppDetails Current Date'!F:F,E190,
'YearA-AppDetails Current Date'!E:E,--F190,
'YearA-AppDetails Current Date'!Y:Y,"ENRO",
'YearA-AppDetails Current Date'!I:I,"SUMMER")), "")</f>
        <v/>
      </c>
      <c r="Q190" s="3" t="str">
        <f t="shared" si="13"/>
        <v/>
      </c>
    </row>
    <row r="191" spans="1:17" ht="15.75" customHeight="1" x14ac:dyDescent="0.25">
      <c r="A191" s="119"/>
      <c r="B191" s="122"/>
      <c r="C191" s="138"/>
      <c r="D191" s="23" t="s">
        <v>123</v>
      </c>
      <c r="E191" s="2" t="s">
        <v>43</v>
      </c>
      <c r="F191" s="31">
        <v>1</v>
      </c>
      <c r="G191" s="140"/>
      <c r="H191" s="73" t="str">
        <f>IFERROR(1/(1/
SUM(
N(VLOOKUP(D191&amp;F191,'Budgeted Projections Intl HC'!D:T,2,FALSE)),
N(VLOOKUP(D191&amp;F191,'Budgeted Projections Intl HC'!D:T,3,FALSE))
)
),"")</f>
        <v/>
      </c>
      <c r="I191" s="73" t="str">
        <f>IFERROR(1/(1/COUNTIFS(
'YearA-AppDetails Current Date'!A:A,D191,
'YearA-AppDetails Current Date'!F:F,E191,
'YearA-AppDetails Current Date'!E:E,--F191,
'YearA-AppDetails Current Date'!I:I,"SUMMER")), "")</f>
        <v/>
      </c>
      <c r="J191" s="74" t="str" cm="1">
        <f t="array" ref="J191">IFERROR(1/(1/SUM(COUNTIFS(
'YearA-AppDetails Current Date'!A:A,D191,
'YearA-AppDetails Current Date'!F:F,E191,
'YearA-AppDetails Current Date'!E:E,--F191,
'YearA-AppDetails Current Date'!O:O,{"ACLN","ACPT","COND"},
'YearA-AppDetails Current Date'!S:S,"&lt;&gt;ACLN",
'YearA-AppDetails Current Date'!S:S,"&lt;&gt;ACPT",
'YearA-AppDetails Current Date'!S:S,"&lt;&gt;COND",
'YearA-AppDetails Current Date'!I:I,"SUMMER"))), "")</f>
        <v/>
      </c>
      <c r="K191" s="73" t="str">
        <f>IFERROR(1/(1/SUM(COUNTIFS(
'YearA-AppDetails Current Date'!A:A,D191,
'YearA-AppDetails Current Date'!F:F,E191,
'YearA-AppDetails Current Date'!E:E,--F191,
'YearA-AppDetails Current Date'!R:R,"&lt;&gt;"&amp;"",
'YearA-AppDetails Current Date'!I:I,"SUMMER"))), "")</f>
        <v/>
      </c>
      <c r="L191" s="74" t="str" cm="1">
        <f t="array" ref="L191">IFERROR(1/(1/SUM(COUNTIFS(
'YearA-AppDetails Current Date'!A:A,D191,
'YearA-AppDetails Current Date'!F:F,E191,
'YearA-AppDetails Current Date'!E:E,--F191,
'YearA-AppDetails Current Date'!T:T,{"APEX","DENY","NTSL"},
'YearA-AppDetails Current Date'!I:I,"SUMMER"))), "")</f>
        <v/>
      </c>
      <c r="M191" s="74" t="str" cm="1">
        <f t="array" ref="M191">IFERROR(1/(1/SUM(COUNTIFS(
'YearA-AppDetails Current Date'!A:A,D191,
'YearA-AppDetails Current Date'!F:F,E191,
'YearA-AppDetails Current Date'!E:E,--F191,
'YearA-AppDetails Current Date'!U:U,{"CCAN","DECL"},
'YearA-AppDetails Current Date'!I:I,"SUMMER"))), "")</f>
        <v/>
      </c>
      <c r="N191" s="74" t="str" cm="1">
        <f t="array" ref="N191">IFERROR(1/(1/SUM(COUNTIFS(
'YearA-AppDetails Current Date'!A:A,D191,
'YearA-AppDetails Current Date'!F:F,E191,
'YearA-AppDetails Current Date'!E:E,--F191,
'YearA-AppDetails Current Date'!V:V,{"APRO","NODE"},
'YearA-AppDetails Current Date'!I:I,"SUMMER"))), "")</f>
        <v/>
      </c>
      <c r="O191" s="74" t="str" cm="1">
        <f t="array" ref="O191">IFERROR(1/(1/SUM(COUNTIFS(
'YearA-AppDetails Current Date'!A:A,D191,
'YearA-AppDetails Current Date'!F:F,E191,
'YearA-AppDetails Current Date'!E:E,--F191,
'YearA-AppDetails Current Date'!T:T,{"CDMT","RQMT","WAIT"},
'YearA-AppDetails Current Date'!I:I,"SUMMER"))), "")</f>
        <v/>
      </c>
      <c r="P191" s="74" t="str">
        <f>IFERROR(1/(1/COUNTIFS(
'YearA-AppDetails Current Date'!A:A,D191,
'YearA-AppDetails Current Date'!F:F,E191,
'YearA-AppDetails Current Date'!E:E,--F191,
'YearA-AppDetails Current Date'!Y:Y,"ENRO",
'YearA-AppDetails Current Date'!I:I,"SUMMER")), "")</f>
        <v/>
      </c>
      <c r="Q191" s="3" t="str">
        <f t="shared" si="13"/>
        <v/>
      </c>
    </row>
    <row r="192" spans="1:17" ht="15.75" customHeight="1" x14ac:dyDescent="0.25">
      <c r="A192" s="119"/>
      <c r="B192" s="122"/>
      <c r="C192" s="138"/>
      <c r="D192" s="23" t="s">
        <v>123</v>
      </c>
      <c r="E192" s="2" t="s">
        <v>42</v>
      </c>
      <c r="F192" s="31">
        <v>2</v>
      </c>
      <c r="G192" s="139" t="s">
        <v>48</v>
      </c>
      <c r="H192" s="73" t="str">
        <f>IFERROR(1/(1/
SUM(
N(VLOOKUP(D192&amp;F192,'Budgeted Projections Dom HC'!D:T,2,FALSE)),
N(VLOOKUP(D192&amp;F192,'Budgeted Projections Dom HC'!D:T,3,FALSE))
)
),"")</f>
        <v/>
      </c>
      <c r="I192" s="73" t="str">
        <f>IFERROR(1/(1/COUNTIFS(
'YearA-AppDetails Current Date'!A:A,D192,
'YearA-AppDetails Current Date'!F:F,E192,
'YearA-AppDetails Current Date'!E:E,--F192,
'YearA-AppDetails Current Date'!I:I,"SUMMER")), "")</f>
        <v/>
      </c>
      <c r="J192" s="74" t="str" cm="1">
        <f t="array" ref="J192">IFERROR(1/(1/SUM(COUNTIFS(
'YearA-AppDetails Current Date'!A:A,D192,
'YearA-AppDetails Current Date'!F:F,E192,
'YearA-AppDetails Current Date'!E:E,--F192,
'YearA-AppDetails Current Date'!O:O,{"ACLN","ACPT","COND"},
'YearA-AppDetails Current Date'!S:S,"&lt;&gt;ACLN",
'YearA-AppDetails Current Date'!S:S,"&lt;&gt;ACPT",
'YearA-AppDetails Current Date'!S:S,"&lt;&gt;COND",
'YearA-AppDetails Current Date'!I:I,"SUMMER"))), "")</f>
        <v/>
      </c>
      <c r="K192" s="73" t="str">
        <f>IFERROR(1/(1/SUM(COUNTIFS(
'YearA-AppDetails Current Date'!A:A,D192,
'YearA-AppDetails Current Date'!F:F,E192,
'YearA-AppDetails Current Date'!E:E,--F192,
'YearA-AppDetails Current Date'!R:R,"&lt;&gt;"&amp;"",
'YearA-AppDetails Current Date'!I:I,"SUMMER"))), "")</f>
        <v/>
      </c>
      <c r="L192" s="74" t="str" cm="1">
        <f t="array" ref="L192">IFERROR(1/(1/SUM(COUNTIFS(
'YearA-AppDetails Current Date'!A:A,D192,
'YearA-AppDetails Current Date'!F:F,E192,
'YearA-AppDetails Current Date'!E:E,--F192,
'YearA-AppDetails Current Date'!T:T,{"APEX","DENY","NTSL"},
'YearA-AppDetails Current Date'!I:I,"SUMMER"))), "")</f>
        <v/>
      </c>
      <c r="M192" s="74" t="str" cm="1">
        <f t="array" ref="M192">IFERROR(1/(1/SUM(COUNTIFS(
'YearA-AppDetails Current Date'!A:A,D192,
'YearA-AppDetails Current Date'!F:F,E192,
'YearA-AppDetails Current Date'!E:E,--F192,
'YearA-AppDetails Current Date'!U:U,{"CCAN","DECL"},
'YearA-AppDetails Current Date'!I:I,"SUMMER"))), "")</f>
        <v/>
      </c>
      <c r="N192" s="74" t="str" cm="1">
        <f t="array" ref="N192">IFERROR(1/(1/SUM(COUNTIFS(
'YearA-AppDetails Current Date'!A:A,D192,
'YearA-AppDetails Current Date'!F:F,E192,
'YearA-AppDetails Current Date'!E:E,--F192,
'YearA-AppDetails Current Date'!V:V,{"APRO","NODE"},
'YearA-AppDetails Current Date'!I:I,"SUMMER"))), "")</f>
        <v/>
      </c>
      <c r="O192" s="74" t="str" cm="1">
        <f t="array" ref="O192">IFERROR(1/(1/SUM(COUNTIFS(
'YearA-AppDetails Current Date'!A:A,D192,
'YearA-AppDetails Current Date'!F:F,E192,
'YearA-AppDetails Current Date'!E:E,--F192,
'YearA-AppDetails Current Date'!T:T,{"CDMT","RQMT","WAIT"},
'YearA-AppDetails Current Date'!I:I,"SUMMER"))), "")</f>
        <v/>
      </c>
      <c r="P192" s="74" t="str">
        <f>IFERROR(1/(1/COUNTIFS(
'YearA-AppDetails Current Date'!A:A,D192,
'YearA-AppDetails Current Date'!F:F,E192,
'YearA-AppDetails Current Date'!E:E,--F192,
'YearA-AppDetails Current Date'!Y:Y,"ENRO",
'YearA-AppDetails Current Date'!I:I,"SUMMER")), "")</f>
        <v/>
      </c>
      <c r="Q192" s="3" t="str">
        <f t="shared" si="13"/>
        <v/>
      </c>
    </row>
    <row r="193" spans="1:17" ht="15.75" customHeight="1" x14ac:dyDescent="0.25">
      <c r="A193" s="119"/>
      <c r="B193" s="122"/>
      <c r="C193" s="125"/>
      <c r="D193" s="23" t="s">
        <v>123</v>
      </c>
      <c r="E193" s="2" t="s">
        <v>43</v>
      </c>
      <c r="F193" s="31">
        <v>2</v>
      </c>
      <c r="G193" s="140"/>
      <c r="H193" s="73" t="str">
        <f>IFERROR(1/(1/
SUM(
N(VLOOKUP(D193&amp;F193,'Budgeted Projections Intl HC'!D:T,2,FALSE)),
N(VLOOKUP(D193&amp;F193,'Budgeted Projections Intl HC'!D:T,3,FALSE))
)
),"")</f>
        <v/>
      </c>
      <c r="I193" s="73" t="str">
        <f>IFERROR(1/(1/COUNTIFS(
'YearA-AppDetails Current Date'!A:A,D193,
'YearA-AppDetails Current Date'!F:F,E193,
'YearA-AppDetails Current Date'!E:E,--F193,
'YearA-AppDetails Current Date'!I:I,"SUMMER")), "")</f>
        <v/>
      </c>
      <c r="J193" s="74" t="str" cm="1">
        <f t="array" ref="J193">IFERROR(1/(1/SUM(COUNTIFS(
'YearA-AppDetails Current Date'!A:A,D193,
'YearA-AppDetails Current Date'!F:F,E193,
'YearA-AppDetails Current Date'!E:E,--F193,
'YearA-AppDetails Current Date'!O:O,{"ACLN","ACPT","COND"},
'YearA-AppDetails Current Date'!S:S,"&lt;&gt;ACLN",
'YearA-AppDetails Current Date'!S:S,"&lt;&gt;ACPT",
'YearA-AppDetails Current Date'!S:S,"&lt;&gt;COND",
'YearA-AppDetails Current Date'!I:I,"SUMMER"))), "")</f>
        <v/>
      </c>
      <c r="K193" s="73" t="str">
        <f>IFERROR(1/(1/SUM(COUNTIFS(
'YearA-AppDetails Current Date'!A:A,D193,
'YearA-AppDetails Current Date'!F:F,E193,
'YearA-AppDetails Current Date'!E:E,--F193,
'YearA-AppDetails Current Date'!R:R,"&lt;&gt;"&amp;"",
'YearA-AppDetails Current Date'!I:I,"SUMMER"))), "")</f>
        <v/>
      </c>
      <c r="L193" s="74" t="str" cm="1">
        <f t="array" ref="L193">IFERROR(1/(1/SUM(COUNTIFS(
'YearA-AppDetails Current Date'!A:A,D193,
'YearA-AppDetails Current Date'!F:F,E193,
'YearA-AppDetails Current Date'!E:E,--F193,
'YearA-AppDetails Current Date'!T:T,{"APEX","DENY","NTSL"},
'YearA-AppDetails Current Date'!I:I,"SUMMER"))), "")</f>
        <v/>
      </c>
      <c r="M193" s="74" t="str" cm="1">
        <f t="array" ref="M193">IFERROR(1/(1/SUM(COUNTIFS(
'YearA-AppDetails Current Date'!A:A,D193,
'YearA-AppDetails Current Date'!F:F,E193,
'YearA-AppDetails Current Date'!E:E,--F193,
'YearA-AppDetails Current Date'!U:U,{"CCAN","DECL"},
'YearA-AppDetails Current Date'!I:I,"SUMMER"))), "")</f>
        <v/>
      </c>
      <c r="N193" s="74" t="str" cm="1">
        <f t="array" ref="N193">IFERROR(1/(1/SUM(COUNTIFS(
'YearA-AppDetails Current Date'!A:A,D193,
'YearA-AppDetails Current Date'!F:F,E193,
'YearA-AppDetails Current Date'!E:E,--F193,
'YearA-AppDetails Current Date'!V:V,{"APRO","NODE"},
'YearA-AppDetails Current Date'!I:I,"SUMMER"))), "")</f>
        <v/>
      </c>
      <c r="O193" s="74" t="str" cm="1">
        <f t="array" ref="O193">IFERROR(1/(1/SUM(COUNTIFS(
'YearA-AppDetails Current Date'!A:A,D193,
'YearA-AppDetails Current Date'!F:F,E193,
'YearA-AppDetails Current Date'!E:E,--F193,
'YearA-AppDetails Current Date'!T:T,{"CDMT","RQMT","WAIT"},
'YearA-AppDetails Current Date'!I:I,"SUMMER"))), "")</f>
        <v/>
      </c>
      <c r="P193" s="74" t="str">
        <f>IFERROR(1/(1/COUNTIFS(
'YearA-AppDetails Current Date'!A:A,D193,
'YearA-AppDetails Current Date'!F:F,E193,
'YearA-AppDetails Current Date'!E:E,--F193,
'YearA-AppDetails Current Date'!Y:Y,"ENRO",
'YearA-AppDetails Current Date'!I:I,"SUMMER")), "")</f>
        <v/>
      </c>
      <c r="Q193" s="3" t="str">
        <f t="shared" si="13"/>
        <v/>
      </c>
    </row>
    <row r="194" spans="1:17" ht="15.75" customHeight="1" x14ac:dyDescent="0.25">
      <c r="A194" s="119"/>
      <c r="B194" s="123"/>
      <c r="C194" s="128" t="s">
        <v>286</v>
      </c>
      <c r="D194" s="129"/>
      <c r="E194" s="129"/>
      <c r="F194" s="130"/>
      <c r="G194" s="7"/>
      <c r="H194" s="7">
        <f>SUM(H158:H193)</f>
        <v>0</v>
      </c>
      <c r="I194" s="7">
        <f t="shared" ref="I194:P194" si="17">SUM(I158:I193)</f>
        <v>0</v>
      </c>
      <c r="J194" s="7">
        <f t="shared" si="17"/>
        <v>0</v>
      </c>
      <c r="K194" s="7">
        <f t="shared" si="17"/>
        <v>0</v>
      </c>
      <c r="L194" s="7">
        <f t="shared" si="17"/>
        <v>0</v>
      </c>
      <c r="M194" s="7">
        <f t="shared" si="17"/>
        <v>0</v>
      </c>
      <c r="N194" s="7">
        <f t="shared" si="17"/>
        <v>0</v>
      </c>
      <c r="O194" s="7">
        <f t="shared" si="17"/>
        <v>0</v>
      </c>
      <c r="P194" s="7">
        <f t="shared" si="17"/>
        <v>0</v>
      </c>
      <c r="Q194" s="35" t="str">
        <f t="shared" si="13"/>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HC'!D:T,2,FALSE)),
N(VLOOKUP(D195&amp;F195,'Budgeted Projections Dom HC'!D:T,3,FALSE))
)
),"")</f>
        <v/>
      </c>
      <c r="I195" s="73" t="str">
        <f>IFERROR(1/(1/COUNTIFS(
'YearA-AppDetails Current Date'!A:A,D195,
'YearA-AppDetails Current Date'!F:F,E195,
'YearA-AppDetails Current Date'!E:E,--F195,
'YearA-AppDetails Current Date'!I:I,"SUMMER")), "")</f>
        <v/>
      </c>
      <c r="J195" s="74" t="str" cm="1">
        <f t="array" ref="J195">IFERROR(1/(1/SUM(COUNTIFS(
'YearA-AppDetails Current Date'!A:A,D195,
'YearA-AppDetails Current Date'!F:F,E195,
'YearA-AppDetails Current Date'!E:E,--F195,
'YearA-AppDetails Current Date'!O:O,{"ACLN","ACPT","COND"},
'YearA-AppDetails Current Date'!S:S,"&lt;&gt;ACLN",
'YearA-AppDetails Current Date'!S:S,"&lt;&gt;ACPT",
'YearA-AppDetails Current Date'!S:S,"&lt;&gt;COND",
'YearA-AppDetails Current Date'!I:I,"SUMMER"))), "")</f>
        <v/>
      </c>
      <c r="K195" s="73" t="str">
        <f>IFERROR(1/(1/SUM(COUNTIFS(
'YearA-AppDetails Current Date'!A:A,D195,
'YearA-AppDetails Current Date'!F:F,E195,
'YearA-AppDetails Current Date'!E:E,--F195,
'YearA-AppDetails Current Date'!R:R,"&lt;&gt;"&amp;"",
'YearA-AppDetails Current Date'!I:I,"SUMMER"))), "")</f>
        <v/>
      </c>
      <c r="L195" s="74" t="str" cm="1">
        <f t="array" ref="L195">IFERROR(1/(1/SUM(COUNTIFS(
'YearA-AppDetails Current Date'!A:A,D195,
'YearA-AppDetails Current Date'!F:F,E195,
'YearA-AppDetails Current Date'!E:E,--F195,
'YearA-AppDetails Current Date'!T:T,{"APEX","DENY","NTSL"},
'YearA-AppDetails Current Date'!I:I,"SUMMER"))), "")</f>
        <v/>
      </c>
      <c r="M195" s="74" t="str" cm="1">
        <f t="array" ref="M195">IFERROR(1/(1/SUM(COUNTIFS(
'YearA-AppDetails Current Date'!A:A,D195,
'YearA-AppDetails Current Date'!F:F,E195,
'YearA-AppDetails Current Date'!E:E,--F195,
'YearA-AppDetails Current Date'!U:U,{"CCAN","DECL"},
'YearA-AppDetails Current Date'!I:I,"SUMMER"))), "")</f>
        <v/>
      </c>
      <c r="N195" s="74" t="str" cm="1">
        <f t="array" ref="N195">IFERROR(1/(1/SUM(COUNTIFS(
'YearA-AppDetails Current Date'!A:A,D195,
'YearA-AppDetails Current Date'!F:F,E195,
'YearA-AppDetails Current Date'!E:E,--F195,
'YearA-AppDetails Current Date'!V:V,{"APRO","NODE"},
'YearA-AppDetails Current Date'!I:I,"SUMMER"))), "")</f>
        <v/>
      </c>
      <c r="O195" s="74" t="str" cm="1">
        <f t="array" ref="O195">IFERROR(1/(1/SUM(COUNTIFS(
'YearA-AppDetails Current Date'!A:A,D195,
'YearA-AppDetails Current Date'!F:F,E195,
'YearA-AppDetails Current Date'!E:E,--F195,
'YearA-AppDetails Current Date'!T:T,{"CDMT","RQMT","WAIT"},
'YearA-AppDetails Current Date'!I:I,"SUMMER"))), "")</f>
        <v/>
      </c>
      <c r="P195" s="74" t="str">
        <f>IFERROR(1/(1/COUNTIFS(
'YearA-AppDetails Current Date'!A:A,D195,
'YearA-AppDetails Current Date'!F:F,E195,
'YearA-AppDetails Current Date'!E:E,--F195,
'YearA-AppDetails Current Date'!Y:Y,"ENRO",
'YearA-AppDetails Current Date'!I:I,"SUMMER")), "")</f>
        <v/>
      </c>
      <c r="Q195" s="3" t="str">
        <f t="shared" si="13"/>
        <v/>
      </c>
    </row>
    <row r="196" spans="1:17" ht="15.75" customHeight="1" x14ac:dyDescent="0.25">
      <c r="A196" s="119"/>
      <c r="B196" s="122"/>
      <c r="C196" s="133"/>
      <c r="D196" s="23" t="s">
        <v>125</v>
      </c>
      <c r="E196" s="2" t="s">
        <v>43</v>
      </c>
      <c r="F196" s="31">
        <v>1</v>
      </c>
      <c r="G196" s="135"/>
      <c r="H196" s="73" t="str">
        <f>IFERROR(1/(1/
SUM(
N(VLOOKUP(D196&amp;F196,'Budgeted Projections Intl HC'!D:T,2,FALSE)),
N(VLOOKUP(D196&amp;F196,'Budgeted Projections Intl HC'!D:T,3,FALSE))
)
),"")</f>
        <v/>
      </c>
      <c r="I196" s="73" t="str">
        <f>IFERROR(1/(1/COUNTIFS(
'YearA-AppDetails Current Date'!A:A,D196,
'YearA-AppDetails Current Date'!F:F,E196,
'YearA-AppDetails Current Date'!E:E,--F196,
'YearA-AppDetails Current Date'!I:I,"SUMMER")), "")</f>
        <v/>
      </c>
      <c r="J196" s="74" t="str" cm="1">
        <f t="array" ref="J196">IFERROR(1/(1/SUM(COUNTIFS(
'YearA-AppDetails Current Date'!A:A,D196,
'YearA-AppDetails Current Date'!F:F,E196,
'YearA-AppDetails Current Date'!E:E,--F196,
'YearA-AppDetails Current Date'!O:O,{"ACLN","ACPT","COND"},
'YearA-AppDetails Current Date'!S:S,"&lt;&gt;ACLN",
'YearA-AppDetails Current Date'!S:S,"&lt;&gt;ACPT",
'YearA-AppDetails Current Date'!S:S,"&lt;&gt;COND",
'YearA-AppDetails Current Date'!I:I,"SUMMER"))), "")</f>
        <v/>
      </c>
      <c r="K196" s="73" t="str">
        <f>IFERROR(1/(1/SUM(COUNTIFS(
'YearA-AppDetails Current Date'!A:A,D196,
'YearA-AppDetails Current Date'!F:F,E196,
'YearA-AppDetails Current Date'!E:E,--F196,
'YearA-AppDetails Current Date'!R:R,"&lt;&gt;"&amp;"",
'YearA-AppDetails Current Date'!I:I,"SUMMER"))), "")</f>
        <v/>
      </c>
      <c r="L196" s="74" t="str" cm="1">
        <f t="array" ref="L196">IFERROR(1/(1/SUM(COUNTIFS(
'YearA-AppDetails Current Date'!A:A,D196,
'YearA-AppDetails Current Date'!F:F,E196,
'YearA-AppDetails Current Date'!E:E,--F196,
'YearA-AppDetails Current Date'!T:T,{"APEX","DENY","NTSL"},
'YearA-AppDetails Current Date'!I:I,"SUMMER"))), "")</f>
        <v/>
      </c>
      <c r="M196" s="74" t="str" cm="1">
        <f t="array" ref="M196">IFERROR(1/(1/SUM(COUNTIFS(
'YearA-AppDetails Current Date'!A:A,D196,
'YearA-AppDetails Current Date'!F:F,E196,
'YearA-AppDetails Current Date'!E:E,--F196,
'YearA-AppDetails Current Date'!U:U,{"CCAN","DECL"},
'YearA-AppDetails Current Date'!I:I,"SUMMER"))), "")</f>
        <v/>
      </c>
      <c r="N196" s="74" t="str" cm="1">
        <f t="array" ref="N196">IFERROR(1/(1/SUM(COUNTIFS(
'YearA-AppDetails Current Date'!A:A,D196,
'YearA-AppDetails Current Date'!F:F,E196,
'YearA-AppDetails Current Date'!E:E,--F196,
'YearA-AppDetails Current Date'!V:V,{"APRO","NODE"},
'YearA-AppDetails Current Date'!I:I,"SUMMER"))), "")</f>
        <v/>
      </c>
      <c r="O196" s="74" t="str" cm="1">
        <f t="array" ref="O196">IFERROR(1/(1/SUM(COUNTIFS(
'YearA-AppDetails Current Date'!A:A,D196,
'YearA-AppDetails Current Date'!F:F,E196,
'YearA-AppDetails Current Date'!E:E,--F196,
'YearA-AppDetails Current Date'!T:T,{"CDMT","RQMT","WAIT"},
'YearA-AppDetails Current Date'!I:I,"SUMMER"))), "")</f>
        <v/>
      </c>
      <c r="P196" s="74" t="str">
        <f>IFERROR(1/(1/COUNTIFS(
'YearA-AppDetails Current Date'!A:A,D196,
'YearA-AppDetails Current Date'!F:F,E196,
'YearA-AppDetails Current Date'!E:E,--F196,
'YearA-AppDetails Current Date'!Y:Y,"ENRO",
'YearA-AppDetails Current Date'!I:I,"SUMMER")), "")</f>
        <v/>
      </c>
      <c r="Q196" s="3" t="str">
        <f t="shared" si="13"/>
        <v/>
      </c>
    </row>
    <row r="197" spans="1:17" ht="15.75" customHeight="1" x14ac:dyDescent="0.25">
      <c r="A197" s="119"/>
      <c r="B197" s="123"/>
      <c r="C197" s="128" t="s">
        <v>287</v>
      </c>
      <c r="D197" s="129"/>
      <c r="E197" s="129"/>
      <c r="F197" s="130"/>
      <c r="G197" s="7"/>
      <c r="H197" s="7">
        <f>SUM(H195:H196)</f>
        <v>0</v>
      </c>
      <c r="I197" s="7">
        <f t="shared" ref="I197:P197" si="18">SUM(I195:I196)</f>
        <v>0</v>
      </c>
      <c r="J197" s="7">
        <f t="shared" si="18"/>
        <v>0</v>
      </c>
      <c r="K197" s="7">
        <f t="shared" si="18"/>
        <v>0</v>
      </c>
      <c r="L197" s="7">
        <f t="shared" si="18"/>
        <v>0</v>
      </c>
      <c r="M197" s="7">
        <f t="shared" si="18"/>
        <v>0</v>
      </c>
      <c r="N197" s="7">
        <f t="shared" si="18"/>
        <v>0</v>
      </c>
      <c r="O197" s="7">
        <f t="shared" si="18"/>
        <v>0</v>
      </c>
      <c r="P197" s="7">
        <f t="shared" si="18"/>
        <v>0</v>
      </c>
      <c r="Q197" s="35" t="str">
        <f t="shared" si="13"/>
        <v/>
      </c>
    </row>
    <row r="198" spans="1:17" ht="15.75" customHeight="1" x14ac:dyDescent="0.25">
      <c r="A198" s="136" t="s">
        <v>130</v>
      </c>
      <c r="B198" s="136"/>
      <c r="C198" s="136"/>
      <c r="D198" s="136"/>
      <c r="E198" s="136"/>
      <c r="F198" s="137"/>
      <c r="G198" s="5"/>
      <c r="H198" s="20">
        <f>SUM(H128,H139,H148,H157,H194,H197)</f>
        <v>0</v>
      </c>
      <c r="I198" s="20">
        <f t="shared" ref="I198:P198" si="19">SUM(I128,I139,I148,I157,I194,I197)</f>
        <v>0</v>
      </c>
      <c r="J198" s="20">
        <f t="shared" si="19"/>
        <v>0</v>
      </c>
      <c r="K198" s="20">
        <f t="shared" si="19"/>
        <v>0</v>
      </c>
      <c r="L198" s="20">
        <f t="shared" si="19"/>
        <v>0</v>
      </c>
      <c r="M198" s="20">
        <f t="shared" si="19"/>
        <v>0</v>
      </c>
      <c r="N198" s="20">
        <f t="shared" si="19"/>
        <v>0</v>
      </c>
      <c r="O198" s="20">
        <f t="shared" si="19"/>
        <v>0</v>
      </c>
      <c r="P198" s="20">
        <f t="shared" si="19"/>
        <v>0</v>
      </c>
      <c r="Q198" s="36" t="str">
        <f t="shared" si="13"/>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HC'!D:T,2,FALSE)),
N(VLOOKUP(D199&amp;F199,'Budgeted Projections Dom HC'!D:T,3,FALSE))
)/4)
),"")</f>
        <v/>
      </c>
      <c r="I199" s="73" t="str">
        <f>IFERROR(1/(1/COUNTIFS(
'YearA-AppDetails Current Date'!A:A,D199,
'YearA-AppDetails Current Date'!F:F,E199,
'YearA-AppDetails Current Date'!E:E,--F199,
'YearA-AppDetails Current Date'!I:I,"SUMMER")), "")</f>
        <v/>
      </c>
      <c r="J199" s="74" t="str" cm="1">
        <f t="array" ref="J199">IFERROR(1/(1/SUM(COUNTIFS(
'YearA-AppDetails Current Date'!A:A,D199,
'YearA-AppDetails Current Date'!F:F,E199,
'YearA-AppDetails Current Date'!E:E,--F199,
'YearA-AppDetails Current Date'!O:O,{"ACLN","ACPT","COND"},
'YearA-AppDetails Current Date'!S:S,"&lt;&gt;ACLN",
'YearA-AppDetails Current Date'!S:S,"&lt;&gt;ACPT",
'YearA-AppDetails Current Date'!S:S,"&lt;&gt;COND",
'YearA-AppDetails Current Date'!I:I,"SUMMER"))), "")</f>
        <v/>
      </c>
      <c r="K199" s="73" t="str">
        <f>IFERROR(1/(1/SUM(COUNTIFS(
'YearA-AppDetails Current Date'!A:A,D199,
'YearA-AppDetails Current Date'!F:F,E199,
'YearA-AppDetails Current Date'!E:E,--F199,
'YearA-AppDetails Current Date'!R:R,"&lt;&gt;"&amp;"",
'YearA-AppDetails Current Date'!I:I,"SUMMER"))), "")</f>
        <v/>
      </c>
      <c r="L199" s="74" t="str" cm="1">
        <f t="array" ref="L199">IFERROR(1/(1/SUM(COUNTIFS(
'YearA-AppDetails Current Date'!A:A,D199,
'YearA-AppDetails Current Date'!F:F,E199,
'YearA-AppDetails Current Date'!E:E,--F199,
'YearA-AppDetails Current Date'!T:T,{"APEX","DENY","NTSL"},
'YearA-AppDetails Current Date'!I:I,"SUMMER"))), "")</f>
        <v/>
      </c>
      <c r="M199" s="74" t="str" cm="1">
        <f t="array" ref="M199">IFERROR(1/(1/SUM(COUNTIFS(
'YearA-AppDetails Current Date'!A:A,D199,
'YearA-AppDetails Current Date'!F:F,E199,
'YearA-AppDetails Current Date'!E:E,--F199,
'YearA-AppDetails Current Date'!U:U,{"CCAN","DECL"},
'YearA-AppDetails Current Date'!I:I,"SUMMER"))), "")</f>
        <v/>
      </c>
      <c r="N199" s="74" t="str" cm="1">
        <f t="array" ref="N199">IFERROR(1/(1/SUM(COUNTIFS(
'YearA-AppDetails Current Date'!A:A,D199,
'YearA-AppDetails Current Date'!F:F,E199,
'YearA-AppDetails Current Date'!E:E,--F199,
'YearA-AppDetails Current Date'!V:V,{"APRO","NODE"},
'YearA-AppDetails Current Date'!I:I,"SUMMER"))), "")</f>
        <v/>
      </c>
      <c r="O199" s="74" t="str" cm="1">
        <f t="array" ref="O199">IFERROR(1/(1/SUM(COUNTIFS(
'YearA-AppDetails Current Date'!A:A,D199,
'YearA-AppDetails Current Date'!F:F,E199,
'YearA-AppDetails Current Date'!E:E,--F199,
'YearA-AppDetails Current Date'!T:T,{"CDMT","RQMT","WAIT"},
'YearA-AppDetails Current Date'!I:I,"SUMMER"))), "")</f>
        <v/>
      </c>
      <c r="P199" s="74" t="str">
        <f>IFERROR(1/(1/COUNTIFS(
'YearA-AppDetails Current Date'!A:A,D199,
'YearA-AppDetails Current Date'!F:F,E199,
'YearA-AppDetails Current Date'!E:E,--F199,
'YearA-AppDetails Current Date'!Y:Y,"ENRO",
'YearA-AppDetails Current Date'!I:I,"SUMMER")), "")</f>
        <v/>
      </c>
      <c r="Q199" s="3" t="str">
        <f t="shared" si="13"/>
        <v/>
      </c>
    </row>
    <row r="200" spans="1:17" ht="15.75" customHeight="1" x14ac:dyDescent="0.25">
      <c r="A200" s="119"/>
      <c r="B200" s="122"/>
      <c r="C200" s="125"/>
      <c r="D200" s="27" t="s">
        <v>128</v>
      </c>
      <c r="E200" s="2" t="s">
        <v>43</v>
      </c>
      <c r="F200" s="31">
        <v>1</v>
      </c>
      <c r="G200" s="127"/>
      <c r="H200" s="73" t="str">
        <f>IFERROR(1/(1/(
SUM(
N(VLOOKUP(D200&amp;F200,'Budgeted Projections Intl HC'!D:T,2,FALSE)),
N(VLOOKUP(D200&amp;F200,'Budgeted Projections Intl HC'!D:T,3,FALSE))
)/4)
),"")</f>
        <v/>
      </c>
      <c r="I200" s="73" t="str">
        <f>IFERROR(1/(1/COUNTIFS(
'YearA-AppDetails Current Date'!A:A,D200,
'YearA-AppDetails Current Date'!F:F,E200,
'YearA-AppDetails Current Date'!E:E,--F200,
'YearA-AppDetails Current Date'!I:I,"SUMMER")), "")</f>
        <v/>
      </c>
      <c r="J200" s="74" t="str" cm="1">
        <f t="array" ref="J200">IFERROR(1/(1/SUM(COUNTIFS(
'YearA-AppDetails Current Date'!A:A,D200,
'YearA-AppDetails Current Date'!F:F,E200,
'YearA-AppDetails Current Date'!E:E,--F200,
'YearA-AppDetails Current Date'!O:O,{"ACLN","ACPT","COND"},
'YearA-AppDetails Current Date'!S:S,"&lt;&gt;ACLN",
'YearA-AppDetails Current Date'!S:S,"&lt;&gt;ACPT",
'YearA-AppDetails Current Date'!S:S,"&lt;&gt;COND",
'YearA-AppDetails Current Date'!I:I,"SUMMER"))), "")</f>
        <v/>
      </c>
      <c r="K200" s="73" t="str">
        <f>IFERROR(1/(1/SUM(COUNTIFS(
'YearA-AppDetails Current Date'!A:A,D200,
'YearA-AppDetails Current Date'!F:F,E200,
'YearA-AppDetails Current Date'!E:E,--F200,
'YearA-AppDetails Current Date'!R:R,"&lt;&gt;"&amp;"",
'YearA-AppDetails Current Date'!I:I,"SUMMER"))), "")</f>
        <v/>
      </c>
      <c r="L200" s="74" t="str" cm="1">
        <f t="array" ref="L200">IFERROR(1/(1/SUM(COUNTIFS(
'YearA-AppDetails Current Date'!A:A,D200,
'YearA-AppDetails Current Date'!F:F,E200,
'YearA-AppDetails Current Date'!E:E,--F200,
'YearA-AppDetails Current Date'!T:T,{"APEX","DENY","NTSL"},
'YearA-AppDetails Current Date'!I:I,"SUMMER"))), "")</f>
        <v/>
      </c>
      <c r="M200" s="74" t="str" cm="1">
        <f t="array" ref="M200">IFERROR(1/(1/SUM(COUNTIFS(
'YearA-AppDetails Current Date'!A:A,D200,
'YearA-AppDetails Current Date'!F:F,E200,
'YearA-AppDetails Current Date'!E:E,--F200,
'YearA-AppDetails Current Date'!U:U,{"CCAN","DECL"},
'YearA-AppDetails Current Date'!I:I,"SUMMER"))), "")</f>
        <v/>
      </c>
      <c r="N200" s="74" t="str" cm="1">
        <f t="array" ref="N200">IFERROR(1/(1/SUM(COUNTIFS(
'YearA-AppDetails Current Date'!A:A,D200,
'YearA-AppDetails Current Date'!F:F,E200,
'YearA-AppDetails Current Date'!E:E,--F200,
'YearA-AppDetails Current Date'!V:V,{"APRO","NODE"},
'YearA-AppDetails Current Date'!I:I,"SUMMER"))), "")</f>
        <v/>
      </c>
      <c r="O200" s="74" t="str" cm="1">
        <f t="array" ref="O200">IFERROR(1/(1/SUM(COUNTIFS(
'YearA-AppDetails Current Date'!A:A,D200,
'YearA-AppDetails Current Date'!F:F,E200,
'YearA-AppDetails Current Date'!E:E,--F200,
'YearA-AppDetails Current Date'!T:T,{"CDMT","RQMT","WAIT"},
'YearA-AppDetails Current Date'!I:I,"SUMMER"))), "")</f>
        <v/>
      </c>
      <c r="P200" s="74" t="str">
        <f>IFERROR(1/(1/COUNTIFS(
'YearA-AppDetails Current Date'!A:A,D200,
'YearA-AppDetails Current Date'!F:F,E200,
'YearA-AppDetails Current Date'!E:E,--F200,
'YearA-AppDetails Current Date'!Y:Y,"ENRO",
'YearA-AppDetails Current Date'!I:I,"SUMMER")), "")</f>
        <v/>
      </c>
      <c r="Q200" s="3" t="str">
        <f t="shared" si="13"/>
        <v/>
      </c>
    </row>
    <row r="201" spans="1:17" ht="15.75" customHeight="1" x14ac:dyDescent="0.25">
      <c r="A201" s="120"/>
      <c r="B201" s="123"/>
      <c r="C201" s="128" t="s">
        <v>129</v>
      </c>
      <c r="D201" s="129"/>
      <c r="E201" s="129"/>
      <c r="F201" s="130"/>
      <c r="G201" s="7"/>
      <c r="H201" s="7">
        <f>SUM(H199:H200)</f>
        <v>0</v>
      </c>
      <c r="I201" s="7">
        <f t="shared" ref="I201:P201" si="20">SUM(I199:I200)</f>
        <v>0</v>
      </c>
      <c r="J201" s="7">
        <f t="shared" si="20"/>
        <v>0</v>
      </c>
      <c r="K201" s="7">
        <f t="shared" si="20"/>
        <v>0</v>
      </c>
      <c r="L201" s="7">
        <f t="shared" si="20"/>
        <v>0</v>
      </c>
      <c r="M201" s="7">
        <f t="shared" si="20"/>
        <v>0</v>
      </c>
      <c r="N201" s="7">
        <f t="shared" si="20"/>
        <v>0</v>
      </c>
      <c r="O201" s="7">
        <f t="shared" si="20"/>
        <v>0</v>
      </c>
      <c r="P201" s="7">
        <f t="shared" si="20"/>
        <v>0</v>
      </c>
      <c r="Q201" s="35" t="str">
        <f t="shared" ref="Q201:Q202" si="21">IFERROR(P201/J201,"")</f>
        <v/>
      </c>
    </row>
    <row r="202" spans="1:17" ht="15.75" customHeight="1" x14ac:dyDescent="0.25">
      <c r="A202" s="131" t="s">
        <v>131</v>
      </c>
      <c r="B202" s="131"/>
      <c r="C202" s="131"/>
      <c r="D202" s="131"/>
      <c r="E202" s="131"/>
      <c r="F202" s="131"/>
      <c r="G202" s="71"/>
      <c r="H202" s="8">
        <f>SUM(H34,H77,H198,H201)</f>
        <v>0</v>
      </c>
      <c r="I202" s="8">
        <f t="shared" ref="I202:P202" si="22">SUM(I34,I77,I198,I201)</f>
        <v>0</v>
      </c>
      <c r="J202" s="8">
        <f t="shared" si="22"/>
        <v>0</v>
      </c>
      <c r="K202" s="8">
        <f t="shared" si="22"/>
        <v>0</v>
      </c>
      <c r="L202" s="8">
        <f t="shared" si="22"/>
        <v>0</v>
      </c>
      <c r="M202" s="8">
        <f t="shared" si="22"/>
        <v>0</v>
      </c>
      <c r="N202" s="8">
        <f t="shared" si="22"/>
        <v>0</v>
      </c>
      <c r="O202" s="8">
        <f t="shared" si="22"/>
        <v>0</v>
      </c>
      <c r="P202" s="8">
        <f t="shared" si="22"/>
        <v>0</v>
      </c>
      <c r="Q202" s="11" t="str">
        <f t="shared" si="21"/>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A3:A33"/>
    <mergeCell ref="B18:B28"/>
    <mergeCell ref="B29:B33"/>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C39:C42"/>
    <mergeCell ref="G39:G40"/>
    <mergeCell ref="G41:G42"/>
    <mergeCell ref="C29:C32"/>
    <mergeCell ref="G29:G30"/>
    <mergeCell ref="G31:G32"/>
    <mergeCell ref="C33:F33"/>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47" priority="4" operator="between">
      <formula>10</formula>
      <formula>100000000</formula>
    </cfRule>
    <cfRule type="cellIs" dxfId="46" priority="5" operator="between">
      <formula>1</formula>
      <formula>9</formula>
    </cfRule>
    <cfRule type="expression" dxfId="45" priority="6">
      <formula>AND(J3=0, J3&lt;&gt;"")</formula>
    </cfRule>
  </conditionalFormatting>
  <conditionalFormatting sqref="J29:J32">
    <cfRule type="cellIs" dxfId="44" priority="1" operator="between">
      <formula>10</formula>
      <formula>100000000</formula>
    </cfRule>
    <cfRule type="cellIs" dxfId="43" priority="2" operator="between">
      <formula>1</formula>
      <formula>9</formula>
    </cfRule>
    <cfRule type="expression" dxfId="42" priority="3">
      <formula>AND(J29=0, J29&lt;&gt;"")</formula>
    </cfRule>
  </conditionalFormatting>
  <conditionalFormatting sqref="Q3:Q202">
    <cfRule type="iconSet" priority="8">
      <iconSet iconSet="3Signs">
        <cfvo type="percent" val="0"/>
        <cfvo type="num" val="0.6"/>
        <cfvo type="num" val="1"/>
      </iconSet>
    </cfRule>
  </conditionalFormatting>
  <conditionalFormatting sqref="Q203:Q1048576 Q1:Q2">
    <cfRule type="iconSet" priority="7">
      <iconSet iconSet="3Signs">
        <cfvo type="percent" val="0"/>
        <cfvo type="num" val="0.6"/>
        <cfvo type="num" val="1"/>
      </iconSet>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4AD1A-646D-4C76-8B1F-30842F95C5A7}">
  <sheetPr codeName="Sheet5">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"Fall "&amp;'YearA-AppDetails Current Date'!$J$2</f>
        <v xml:space="preserve">Fall </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HC'!D:T,2,FALSE)),
N(VLOOKUP(D3&amp;F3,'Budgeted Projections Dom HC'!D:T,3,FALSE))
)/4)
),"")</f>
        <v/>
      </c>
      <c r="I3" s="73" t="str">
        <f>IFERROR(1/(1/COUNTIFS(
'YearA-AppDetails Current Date'!A:A,D3,
'YearA-AppDetails Current Date'!F:F,E3,
'YearA-AppDetails Current Date'!E:E,--F3,
'YearA-AppDetails Current Date'!I:I,"FALL")), "")</f>
        <v/>
      </c>
      <c r="J3" s="74" t="str" cm="1">
        <f t="array" ref="J3">IFERROR(1/(1/SUM(COUNTIFS(
'YearA-AppDetails Current Date'!A:A,D3,
'YearA-AppDetails Current Date'!F:F,E3,
'YearA-AppDetails Current Date'!E:E,--F3,
'YearA-AppDetails Current Date'!O:O,{"ACLN","ACPT","COND"},
'YearA-AppDetails Current Date'!S:S,"&lt;&gt;ACLN",
'YearA-AppDetails Current Date'!S:S,"&lt;&gt;ACPT",
'YearA-AppDetails Current Date'!S:S,"&lt;&gt;COND",
'YearA-AppDetails Current Date'!I:I,"FALL"))), "")</f>
        <v/>
      </c>
      <c r="K3" s="73" t="str">
        <f>IFERROR(1/(1/SUM(COUNTIFS(
'YearA-AppDetails Current Date'!A:A,D3,
'YearA-AppDetails Current Date'!F:F,E3,
'YearA-AppDetails Current Date'!E:E,--F3,
'YearA-AppDetails Current Date'!R:R,"&lt;&gt;"&amp;"",
'YearA-AppDetails Current Date'!I:I,"FALL"))), "")</f>
        <v/>
      </c>
      <c r="L3" s="74" t="str" cm="1">
        <f t="array" ref="L3">IFERROR(1/(1/SUM(COUNTIFS(
'YearA-AppDetails Current Date'!A:A,D3,
'YearA-AppDetails Current Date'!F:F,E3,
'YearA-AppDetails Current Date'!E:E,--F3,
'YearA-AppDetails Current Date'!T:T,{"APEX","DENY","NTSL"},
'YearA-AppDetails Current Date'!I:I,"FALL"))), "")</f>
        <v/>
      </c>
      <c r="M3" s="74" t="str" cm="1">
        <f t="array" ref="M3">IFERROR(1/(1/SUM(COUNTIFS(
'YearA-AppDetails Current Date'!A:A,D3,
'YearA-AppDetails Current Date'!F:F,E3,
'YearA-AppDetails Current Date'!E:E,--F3,
'YearA-AppDetails Current Date'!U:U,{"CCAN","DECL"},
'YearA-AppDetails Current Date'!I:I,"FALL"))), "")</f>
        <v/>
      </c>
      <c r="N3" s="74" t="str" cm="1">
        <f t="array" ref="N3">IFERROR(1/(1/SUM(COUNTIFS(
'YearA-AppDetails Current Date'!A:A,D3,
'YearA-AppDetails Current Date'!F:F,E3,
'YearA-AppDetails Current Date'!E:E,--F3,
'YearA-AppDetails Current Date'!V:V,{"APRO","NODE"},
'YearA-AppDetails Current Date'!I:I,"FALL"))), "")</f>
        <v/>
      </c>
      <c r="O3" s="74" t="str" cm="1">
        <f t="array" ref="O3">IFERROR(1/(1/SUM(COUNTIFS(
'YearA-AppDetails Current Date'!A:A,D3,
'YearA-AppDetails Current Date'!F:F,E3,
'YearA-AppDetails Current Date'!E:E,--F3,
'YearA-AppDetails Current Date'!T:T,{"CDMT","RQMT","WAIT"},
'YearA-AppDetails Current Date'!I:I,"FALL"))), "")</f>
        <v/>
      </c>
      <c r="P3" s="74" t="str">
        <f>IFERROR(1/(1/COUNTIFS(
'YearA-AppDetails Current Date'!A:A,D3,
'YearA-AppDetails Current Date'!F:F,E3,
'YearA-AppDetails Current Date'!E:E,--F3,
'YearA-AppDetails Current Date'!Y:Y,"ENRO",
'YearA-AppDetails Current Date'!I:I,"FALL")), "")</f>
        <v/>
      </c>
      <c r="Q3" s="3" t="str">
        <f>IFERROR(P3/J3,"")</f>
        <v/>
      </c>
    </row>
    <row r="4" spans="1:17" ht="15.75" customHeight="1" x14ac:dyDescent="0.25">
      <c r="A4" s="170"/>
      <c r="B4" s="122"/>
      <c r="C4" s="125"/>
      <c r="D4" s="2" t="s">
        <v>47</v>
      </c>
      <c r="E4" s="2" t="s">
        <v>43</v>
      </c>
      <c r="F4" s="31">
        <v>1</v>
      </c>
      <c r="G4" s="140"/>
      <c r="H4" s="73" t="str">
        <f>IFERROR(1/(1/(
SUM(
N(VLOOKUP(D4&amp;F4,'Budgeted Projections Intl HC'!D:T,2,FALSE)),
N(VLOOKUP(D4&amp;F4,'Budgeted Projections Intl HC'!D:T,3,FALSE))
)/4)
),"")</f>
        <v/>
      </c>
      <c r="I4" s="73" t="str">
        <f>IFERROR(1/(1/COUNTIFS(
'YearA-AppDetails Current Date'!A:A,D4,
'YearA-AppDetails Current Date'!F:F,E4,
'YearA-AppDetails Current Date'!E:E,--F4,
'YearA-AppDetails Current Date'!I:I,"FALL")), "")</f>
        <v/>
      </c>
      <c r="J4" s="74" t="str" cm="1">
        <f t="array" ref="J4">IFERROR(1/(1/SUM(COUNTIFS(
'YearA-AppDetails Current Date'!A:A,D4,
'YearA-AppDetails Current Date'!F:F,E4,
'YearA-AppDetails Current Date'!E:E,--F4,
'YearA-AppDetails Current Date'!O:O,{"ACLN","ACPT","COND"},
'YearA-AppDetails Current Date'!S:S,"&lt;&gt;ACLN",
'YearA-AppDetails Current Date'!S:S,"&lt;&gt;ACPT",
'YearA-AppDetails Current Date'!S:S,"&lt;&gt;COND",
'YearA-AppDetails Current Date'!I:I,"FALL"))), "")</f>
        <v/>
      </c>
      <c r="K4" s="73" t="str">
        <f>IFERROR(1/(1/SUM(COUNTIFS(
'YearA-AppDetails Current Date'!A:A,D4,
'YearA-AppDetails Current Date'!F:F,E4,
'YearA-AppDetails Current Date'!E:E,--F4,
'YearA-AppDetails Current Date'!R:R,"&lt;&gt;"&amp;"",
'YearA-AppDetails Current Date'!I:I,"FALL"))), "")</f>
        <v/>
      </c>
      <c r="L4" s="74" t="str" cm="1">
        <f t="array" ref="L4">IFERROR(1/(1/SUM(COUNTIFS(
'YearA-AppDetails Current Date'!A:A,D4,
'YearA-AppDetails Current Date'!F:F,E4,
'YearA-AppDetails Current Date'!E:E,--F4,
'YearA-AppDetails Current Date'!T:T,{"APEX","DENY","NTSL"},
'YearA-AppDetails Current Date'!I:I,"FALL"))), "")</f>
        <v/>
      </c>
      <c r="M4" s="74" t="str" cm="1">
        <f t="array" ref="M4">IFERROR(1/(1/SUM(COUNTIFS(
'YearA-AppDetails Current Date'!A:A,D4,
'YearA-AppDetails Current Date'!F:F,E4,
'YearA-AppDetails Current Date'!E:E,--F4,
'YearA-AppDetails Current Date'!U:U,{"CCAN","DECL"},
'YearA-AppDetails Current Date'!I:I,"FALL"))), "")</f>
        <v/>
      </c>
      <c r="N4" s="74" t="str" cm="1">
        <f t="array" ref="N4">IFERROR(1/(1/SUM(COUNTIFS(
'YearA-AppDetails Current Date'!A:A,D4,
'YearA-AppDetails Current Date'!F:F,E4,
'YearA-AppDetails Current Date'!E:E,--F4,
'YearA-AppDetails Current Date'!V:V,{"APRO","NODE"},
'YearA-AppDetails Current Date'!I:I,"FALL"))), "")</f>
        <v/>
      </c>
      <c r="O4" s="74" t="str" cm="1">
        <f t="array" ref="O4">IFERROR(1/(1/SUM(COUNTIFS(
'YearA-AppDetails Current Date'!A:A,D4,
'YearA-AppDetails Current Date'!F:F,E4,
'YearA-AppDetails Current Date'!E:E,--F4,
'YearA-AppDetails Current Date'!T:T,{"CDMT","RQMT","WAIT"},
'YearA-AppDetails Current Date'!I:I,"FALL"))), "")</f>
        <v/>
      </c>
      <c r="P4" s="74" t="str">
        <f>IFERROR(1/(1/COUNTIFS(
'YearA-AppDetails Current Date'!A:A,D4,
'YearA-AppDetails Current Date'!F:F,E4,
'YearA-AppDetails Current Date'!E:E,--F4,
'YearA-AppDetails Current Date'!Y:Y,"ENRO",
'YearA-AppDetails Current Date'!I:I,"FALL")),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HC'!D:T,2,FALSE)),
N(VLOOKUP(D5&amp;F5,'Budgeted Projections Dom HC'!D:T,3,FALSE))
)/4)
),"")</f>
        <v/>
      </c>
      <c r="I5" s="73" t="str">
        <f>IFERROR(1/(1/COUNTIFS(
'YearA-AppDetails Current Date'!A:A,D5,
'YearA-AppDetails Current Date'!F:F,E5,
'YearA-AppDetails Current Date'!E:E,--F5,
'YearA-AppDetails Current Date'!I:I,"FALL")), "")</f>
        <v/>
      </c>
      <c r="J5" s="74" t="str" cm="1">
        <f t="array" ref="J5">IFERROR(1/(1/SUM(COUNTIFS(
'YearA-AppDetails Current Date'!A:A,D5,
'YearA-AppDetails Current Date'!F:F,E5,
'YearA-AppDetails Current Date'!E:E,--F5,
'YearA-AppDetails Current Date'!O:O,{"ACLN","ACPT","COND"},
'YearA-AppDetails Current Date'!S:S,"&lt;&gt;ACLN",
'YearA-AppDetails Current Date'!S:S,"&lt;&gt;ACPT",
'YearA-AppDetails Current Date'!S:S,"&lt;&gt;COND",
'YearA-AppDetails Current Date'!I:I,"FALL"))), "")</f>
        <v/>
      </c>
      <c r="K5" s="73" t="str">
        <f>IFERROR(1/(1/SUM(COUNTIFS(
'YearA-AppDetails Current Date'!A:A,D5,
'YearA-AppDetails Current Date'!F:F,E5,
'YearA-AppDetails Current Date'!E:E,--F5,
'YearA-AppDetails Current Date'!R:R,"&lt;&gt;"&amp;"",
'YearA-AppDetails Current Date'!I:I,"FALL"))), "")</f>
        <v/>
      </c>
      <c r="L5" s="74" t="str" cm="1">
        <f t="array" ref="L5">IFERROR(1/(1/SUM(COUNTIFS(
'YearA-AppDetails Current Date'!A:A,D5,
'YearA-AppDetails Current Date'!F:F,E5,
'YearA-AppDetails Current Date'!E:E,--F5,
'YearA-AppDetails Current Date'!T:T,{"APEX","DENY","NTSL"},
'YearA-AppDetails Current Date'!I:I,"FALL"))), "")</f>
        <v/>
      </c>
      <c r="M5" s="74" t="str" cm="1">
        <f t="array" ref="M5">IFERROR(1/(1/SUM(COUNTIFS(
'YearA-AppDetails Current Date'!A:A,D5,
'YearA-AppDetails Current Date'!F:F,E5,
'YearA-AppDetails Current Date'!E:E,--F5,
'YearA-AppDetails Current Date'!U:U,{"CCAN","DECL"},
'YearA-AppDetails Current Date'!I:I,"FALL"))), "")</f>
        <v/>
      </c>
      <c r="N5" s="74" t="str" cm="1">
        <f t="array" ref="N5">IFERROR(1/(1/SUM(COUNTIFS(
'YearA-AppDetails Current Date'!A:A,D5,
'YearA-AppDetails Current Date'!F:F,E5,
'YearA-AppDetails Current Date'!E:E,--F5,
'YearA-AppDetails Current Date'!V:V,{"APRO","NODE"},
'YearA-AppDetails Current Date'!I:I,"FALL"))), "")</f>
        <v/>
      </c>
      <c r="O5" s="74" t="str" cm="1">
        <f t="array" ref="O5">IFERROR(1/(1/SUM(COUNTIFS(
'YearA-AppDetails Current Date'!A:A,D5,
'YearA-AppDetails Current Date'!F:F,E5,
'YearA-AppDetails Current Date'!E:E,--F5,
'YearA-AppDetails Current Date'!T:T,{"CDMT","RQMT","WAIT"},
'YearA-AppDetails Current Date'!I:I,"FALL"))), "")</f>
        <v/>
      </c>
      <c r="P5" s="74" t="str">
        <f>IFERROR(1/(1/COUNTIFS(
'YearA-AppDetails Current Date'!A:A,D5,
'YearA-AppDetails Current Date'!F:F,E5,
'YearA-AppDetails Current Date'!E:E,--F5,
'YearA-AppDetails Current Date'!Y:Y,"ENRO",
'YearA-AppDetails Current Date'!I:I,"FALL")), "")</f>
        <v/>
      </c>
      <c r="Q5" s="3" t="str">
        <f t="shared" si="0"/>
        <v/>
      </c>
    </row>
    <row r="6" spans="1:17" ht="15.75" customHeight="1" x14ac:dyDescent="0.25">
      <c r="A6" s="170"/>
      <c r="B6" s="122"/>
      <c r="C6" s="125"/>
      <c r="D6" s="2" t="s">
        <v>50</v>
      </c>
      <c r="E6" s="2" t="s">
        <v>43</v>
      </c>
      <c r="F6" s="31">
        <v>1</v>
      </c>
      <c r="G6" s="140"/>
      <c r="H6" s="73" t="str">
        <f>IFERROR(1/(1/(
SUM(
N(VLOOKUP(D6&amp;F6,'Budgeted Projections Intl HC'!D:T,2,FALSE)),
N(VLOOKUP(D6&amp;F6,'Budgeted Projections Intl HC'!D:T,3,FALSE))
)/4)
),"")</f>
        <v/>
      </c>
      <c r="I6" s="73" t="str">
        <f>IFERROR(1/(1/COUNTIFS(
'YearA-AppDetails Current Date'!A:A,D6,
'YearA-AppDetails Current Date'!F:F,E6,
'YearA-AppDetails Current Date'!E:E,--F6,
'YearA-AppDetails Current Date'!I:I,"FALL")), "")</f>
        <v/>
      </c>
      <c r="J6" s="74" t="str" cm="1">
        <f t="array" ref="J6">IFERROR(1/(1/SUM(COUNTIFS(
'YearA-AppDetails Current Date'!A:A,D6,
'YearA-AppDetails Current Date'!F:F,E6,
'YearA-AppDetails Current Date'!E:E,--F6,
'YearA-AppDetails Current Date'!O:O,{"ACLN","ACPT","COND"},
'YearA-AppDetails Current Date'!S:S,"&lt;&gt;ACLN",
'YearA-AppDetails Current Date'!S:S,"&lt;&gt;ACPT",
'YearA-AppDetails Current Date'!S:S,"&lt;&gt;COND",
'YearA-AppDetails Current Date'!I:I,"FALL"))), "")</f>
        <v/>
      </c>
      <c r="K6" s="73" t="str">
        <f>IFERROR(1/(1/SUM(COUNTIFS(
'YearA-AppDetails Current Date'!A:A,D6,
'YearA-AppDetails Current Date'!F:F,E6,
'YearA-AppDetails Current Date'!E:E,--F6,
'YearA-AppDetails Current Date'!R:R,"&lt;&gt;"&amp;"",
'YearA-AppDetails Current Date'!I:I,"FALL"))), "")</f>
        <v/>
      </c>
      <c r="L6" s="74" t="str" cm="1">
        <f t="array" ref="L6">IFERROR(1/(1/SUM(COUNTIFS(
'YearA-AppDetails Current Date'!A:A,D6,
'YearA-AppDetails Current Date'!F:F,E6,
'YearA-AppDetails Current Date'!E:E,--F6,
'YearA-AppDetails Current Date'!T:T,{"APEX","DENY","NTSL"},
'YearA-AppDetails Current Date'!I:I,"FALL"))), "")</f>
        <v/>
      </c>
      <c r="M6" s="74" t="str" cm="1">
        <f t="array" ref="M6">IFERROR(1/(1/SUM(COUNTIFS(
'YearA-AppDetails Current Date'!A:A,D6,
'YearA-AppDetails Current Date'!F:F,E6,
'YearA-AppDetails Current Date'!E:E,--F6,
'YearA-AppDetails Current Date'!U:U,{"CCAN","DECL"},
'YearA-AppDetails Current Date'!I:I,"FALL"))), "")</f>
        <v/>
      </c>
      <c r="N6" s="74" t="str" cm="1">
        <f t="array" ref="N6">IFERROR(1/(1/SUM(COUNTIFS(
'YearA-AppDetails Current Date'!A:A,D6,
'YearA-AppDetails Current Date'!F:F,E6,
'YearA-AppDetails Current Date'!E:E,--F6,
'YearA-AppDetails Current Date'!V:V,{"APRO","NODE"},
'YearA-AppDetails Current Date'!I:I,"FALL"))), "")</f>
        <v/>
      </c>
      <c r="O6" s="74" t="str" cm="1">
        <f t="array" ref="O6">IFERROR(1/(1/SUM(COUNTIFS(
'YearA-AppDetails Current Date'!A:A,D6,
'YearA-AppDetails Current Date'!F:F,E6,
'YearA-AppDetails Current Date'!E:E,--F6,
'YearA-AppDetails Current Date'!T:T,{"CDMT","RQMT","WAIT"},
'YearA-AppDetails Current Date'!I:I,"FALL"))), "")</f>
        <v/>
      </c>
      <c r="P6" s="74" t="str">
        <f>IFERROR(1/(1/COUNTIFS(
'YearA-AppDetails Current Date'!A:A,D6,
'YearA-AppDetails Current Date'!F:F,E6,
'YearA-AppDetails Current Date'!E:E,--F6,
'YearA-AppDetails Current Date'!Y:Y,"ENRO",
'YearA-AppDetails Current Date'!I:I,"FALL")),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HC'!D:T,4,FALSE)),
N(VLOOKUP(D7&amp;F7,'Budgeted Projections Dom HC'!D:T,5,FALSE))
)
),"")</f>
        <v/>
      </c>
      <c r="I7" s="73" t="str">
        <f>IFERROR(1/(1/COUNTIFS(
'YearA-AppDetails Current Date'!A:A,D7,
'YearA-AppDetails Current Date'!F:F,E7,
'YearA-AppDetails Current Date'!E:E,--F7,
'YearA-AppDetails Current Date'!I:I,"FALL")), "")</f>
        <v/>
      </c>
      <c r="J7" s="74" t="str" cm="1">
        <f t="array" ref="J7">IFERROR(1/(1/SUM(COUNTIFS(
'YearA-AppDetails Current Date'!A:A,D7,
'YearA-AppDetails Current Date'!F:F,E7,
'YearA-AppDetails Current Date'!E:E,--F7,
'YearA-AppDetails Current Date'!O:O,{"ACLN","ACPT","COND"},
'YearA-AppDetails Current Date'!S:S,"&lt;&gt;ACLN",
'YearA-AppDetails Current Date'!S:S,"&lt;&gt;ACPT",
'YearA-AppDetails Current Date'!S:S,"&lt;&gt;COND",
'YearA-AppDetails Current Date'!I:I,"FALL"))), "")</f>
        <v/>
      </c>
      <c r="K7" s="73" t="str">
        <f>IFERROR(1/(1/SUM(COUNTIFS(
'YearA-AppDetails Current Date'!A:A,D7,
'YearA-AppDetails Current Date'!F:F,E7,
'YearA-AppDetails Current Date'!E:E,--F7,
'YearA-AppDetails Current Date'!R:R,"&lt;&gt;"&amp;"",
'YearA-AppDetails Current Date'!I:I,"FALL"))), "")</f>
        <v/>
      </c>
      <c r="L7" s="74" t="str" cm="1">
        <f t="array" ref="L7">IFERROR(1/(1/SUM(COUNTIFS(
'YearA-AppDetails Current Date'!A:A,D7,
'YearA-AppDetails Current Date'!F:F,E7,
'YearA-AppDetails Current Date'!E:E,--F7,
'YearA-AppDetails Current Date'!T:T,{"APEX","DENY","NTSL"},
'YearA-AppDetails Current Date'!I:I,"FALL"))), "")</f>
        <v/>
      </c>
      <c r="M7" s="74" t="str" cm="1">
        <f t="array" ref="M7">IFERROR(1/(1/SUM(COUNTIFS(
'YearA-AppDetails Current Date'!A:A,D7,
'YearA-AppDetails Current Date'!F:F,E7,
'YearA-AppDetails Current Date'!E:E,--F7,
'YearA-AppDetails Current Date'!U:U,{"CCAN","DECL"},
'YearA-AppDetails Current Date'!I:I,"FALL"))), "")</f>
        <v/>
      </c>
      <c r="N7" s="74" t="str" cm="1">
        <f t="array" ref="N7">IFERROR(1/(1/SUM(COUNTIFS(
'YearA-AppDetails Current Date'!A:A,D7,
'YearA-AppDetails Current Date'!F:F,E7,
'YearA-AppDetails Current Date'!E:E,--F7,
'YearA-AppDetails Current Date'!V:V,{"APRO","NODE"},
'YearA-AppDetails Current Date'!I:I,"FALL"))), "")</f>
        <v/>
      </c>
      <c r="O7" s="74" t="str" cm="1">
        <f t="array" ref="O7">IFERROR(1/(1/SUM(COUNTIFS(
'YearA-AppDetails Current Date'!A:A,D7,
'YearA-AppDetails Current Date'!F:F,E7,
'YearA-AppDetails Current Date'!E:E,--F7,
'YearA-AppDetails Current Date'!T:T,{"CDMT","RQMT","WAIT"},
'YearA-AppDetails Current Date'!I:I,"FALL"))), "")</f>
        <v/>
      </c>
      <c r="P7" s="74" t="str">
        <f>IFERROR(1/(1/COUNTIFS(
'YearA-AppDetails Current Date'!A:A,D7,
'YearA-AppDetails Current Date'!F:F,E7,
'YearA-AppDetails Current Date'!E:E,--F7,
'YearA-AppDetails Current Date'!Y:Y,"ENRO",
'YearA-AppDetails Current Date'!I:I,"FALL")), "")</f>
        <v/>
      </c>
      <c r="Q7" s="3" t="str">
        <f t="shared" si="0"/>
        <v/>
      </c>
    </row>
    <row r="8" spans="1:17" ht="15.75" customHeight="1" x14ac:dyDescent="0.25">
      <c r="A8" s="170"/>
      <c r="B8" s="122"/>
      <c r="C8" s="125"/>
      <c r="D8" s="23" t="s">
        <v>41</v>
      </c>
      <c r="E8" s="2" t="s">
        <v>43</v>
      </c>
      <c r="F8" s="31">
        <v>1</v>
      </c>
      <c r="G8" s="140"/>
      <c r="H8" s="73" t="str">
        <f>IFERROR(1/(1/
SUM(
N(VLOOKUP(D8&amp;F8,'Budgeted Projections Intl HC'!D:T,4,FALSE)),
N(VLOOKUP(D8&amp;F8,'Budgeted Projections Intl HC'!D:T,5,FALSE))
)
),"")</f>
        <v/>
      </c>
      <c r="I8" s="73" t="str">
        <f>IFERROR(1/(1/COUNTIFS(
'YearA-AppDetails Current Date'!A:A,D8,
'YearA-AppDetails Current Date'!F:F,E8,
'YearA-AppDetails Current Date'!E:E,--F8,
'YearA-AppDetails Current Date'!I:I,"FALL")), "")</f>
        <v/>
      </c>
      <c r="J8" s="74" t="str" cm="1">
        <f t="array" ref="J8">IFERROR(1/(1/SUM(COUNTIFS(
'YearA-AppDetails Current Date'!A:A,D8,
'YearA-AppDetails Current Date'!F:F,E8,
'YearA-AppDetails Current Date'!E:E,--F8,
'YearA-AppDetails Current Date'!O:O,{"ACLN","ACPT","COND"},
'YearA-AppDetails Current Date'!S:S,"&lt;&gt;ACLN",
'YearA-AppDetails Current Date'!S:S,"&lt;&gt;ACPT",
'YearA-AppDetails Current Date'!S:S,"&lt;&gt;COND",
'YearA-AppDetails Current Date'!I:I,"FALL"))), "")</f>
        <v/>
      </c>
      <c r="K8" s="73" t="str">
        <f>IFERROR(1/(1/SUM(COUNTIFS(
'YearA-AppDetails Current Date'!A:A,D8,
'YearA-AppDetails Current Date'!F:F,E8,
'YearA-AppDetails Current Date'!E:E,--F8,
'YearA-AppDetails Current Date'!R:R,"&lt;&gt;"&amp;"",
'YearA-AppDetails Current Date'!I:I,"FALL"))), "")</f>
        <v/>
      </c>
      <c r="L8" s="74" t="str" cm="1">
        <f t="array" ref="L8">IFERROR(1/(1/SUM(COUNTIFS(
'YearA-AppDetails Current Date'!A:A,D8,
'YearA-AppDetails Current Date'!F:F,E8,
'YearA-AppDetails Current Date'!E:E,--F8,
'YearA-AppDetails Current Date'!T:T,{"APEX","DENY","NTSL"},
'YearA-AppDetails Current Date'!I:I,"FALL"))), "")</f>
        <v/>
      </c>
      <c r="M8" s="74" t="str" cm="1">
        <f t="array" ref="M8">IFERROR(1/(1/SUM(COUNTIFS(
'YearA-AppDetails Current Date'!A:A,D8,
'YearA-AppDetails Current Date'!F:F,E8,
'YearA-AppDetails Current Date'!E:E,--F8,
'YearA-AppDetails Current Date'!U:U,{"CCAN","DECL"},
'YearA-AppDetails Current Date'!I:I,"FALL"))), "")</f>
        <v/>
      </c>
      <c r="N8" s="74" t="str" cm="1">
        <f t="array" ref="N8">IFERROR(1/(1/SUM(COUNTIFS(
'YearA-AppDetails Current Date'!A:A,D8,
'YearA-AppDetails Current Date'!F:F,E8,
'YearA-AppDetails Current Date'!E:E,--F8,
'YearA-AppDetails Current Date'!V:V,{"APRO","NODE"},
'YearA-AppDetails Current Date'!I:I,"FALL"))), "")</f>
        <v/>
      </c>
      <c r="O8" s="74" t="str" cm="1">
        <f t="array" ref="O8">IFERROR(1/(1/SUM(COUNTIFS(
'YearA-AppDetails Current Date'!A:A,D8,
'YearA-AppDetails Current Date'!F:F,E8,
'YearA-AppDetails Current Date'!E:E,--F8,
'YearA-AppDetails Current Date'!T:T,{"CDMT","RQMT","WAIT"},
'YearA-AppDetails Current Date'!I:I,"FALL"))), "")</f>
        <v/>
      </c>
      <c r="P8" s="74" t="str">
        <f>IFERROR(1/(1/COUNTIFS(
'YearA-AppDetails Current Date'!A:A,D8,
'YearA-AppDetails Current Date'!F:F,E8,
'YearA-AppDetails Current Date'!E:E,--F8,
'YearA-AppDetails Current Date'!Y:Y,"ENRO",
'YearA-AppDetails Current Date'!I:I,"FALL")),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HC'!D:T,4,FALSE)),
N(VLOOKUP(D9&amp;F9,'Budgeted Projections Dom HC'!D:T,5,FALSE))
)
),"")</f>
        <v/>
      </c>
      <c r="I9" s="73" t="str">
        <f>IFERROR(1/(1/COUNTIFS(
'YearA-AppDetails Current Date'!A:A,D9,
'YearA-AppDetails Current Date'!F:F,E9,
'YearA-AppDetails Current Date'!E:E,--F9,
'YearA-AppDetails Current Date'!I:I,"FALL")), "")</f>
        <v/>
      </c>
      <c r="J9" s="74" t="str" cm="1">
        <f t="array" ref="J9">IFERROR(1/(1/SUM(COUNTIFS(
'YearA-AppDetails Current Date'!A:A,D9,
'YearA-AppDetails Current Date'!F:F,E9,
'YearA-AppDetails Current Date'!E:E,--F9,
'YearA-AppDetails Current Date'!O:O,{"ACLN","ACPT","COND"},
'YearA-AppDetails Current Date'!S:S,"&lt;&gt;ACLN",
'YearA-AppDetails Current Date'!S:S,"&lt;&gt;ACPT",
'YearA-AppDetails Current Date'!S:S,"&lt;&gt;COND",
'YearA-AppDetails Current Date'!I:I,"FALL"))), "")</f>
        <v/>
      </c>
      <c r="K9" s="73" t="str">
        <f>IFERROR(1/(1/SUM(COUNTIFS(
'YearA-AppDetails Current Date'!A:A,D9,
'YearA-AppDetails Current Date'!F:F,E9,
'YearA-AppDetails Current Date'!E:E,--F9,
'YearA-AppDetails Current Date'!R:R,"&lt;&gt;"&amp;"",
'YearA-AppDetails Current Date'!I:I,"FALL"))), "")</f>
        <v/>
      </c>
      <c r="L9" s="74" t="str" cm="1">
        <f t="array" ref="L9">IFERROR(1/(1/SUM(COUNTIFS(
'YearA-AppDetails Current Date'!A:A,D9,
'YearA-AppDetails Current Date'!F:F,E9,
'YearA-AppDetails Current Date'!E:E,--F9,
'YearA-AppDetails Current Date'!T:T,{"APEX","DENY","NTSL"},
'YearA-AppDetails Current Date'!I:I,"FALL"))), "")</f>
        <v/>
      </c>
      <c r="M9" s="74" t="str" cm="1">
        <f t="array" ref="M9">IFERROR(1/(1/SUM(COUNTIFS(
'YearA-AppDetails Current Date'!A:A,D9,
'YearA-AppDetails Current Date'!F:F,E9,
'YearA-AppDetails Current Date'!E:E,--F9,
'YearA-AppDetails Current Date'!U:U,{"CCAN","DECL"},
'YearA-AppDetails Current Date'!I:I,"FALL"))), "")</f>
        <v/>
      </c>
      <c r="N9" s="74" t="str" cm="1">
        <f t="array" ref="N9">IFERROR(1/(1/SUM(COUNTIFS(
'YearA-AppDetails Current Date'!A:A,D9,
'YearA-AppDetails Current Date'!F:F,E9,
'YearA-AppDetails Current Date'!E:E,--F9,
'YearA-AppDetails Current Date'!V:V,{"APRO","NODE"},
'YearA-AppDetails Current Date'!I:I,"FALL"))), "")</f>
        <v/>
      </c>
      <c r="O9" s="74" t="str" cm="1">
        <f t="array" ref="O9">IFERROR(1/(1/SUM(COUNTIFS(
'YearA-AppDetails Current Date'!A:A,D9,
'YearA-AppDetails Current Date'!F:F,E9,
'YearA-AppDetails Current Date'!E:E,--F9,
'YearA-AppDetails Current Date'!T:T,{"CDMT","RQMT","WAIT"},
'YearA-AppDetails Current Date'!I:I,"FALL"))), "")</f>
        <v/>
      </c>
      <c r="P9" s="74" t="str">
        <f>IFERROR(1/(1/COUNTIFS(
'YearA-AppDetails Current Date'!A:A,D9,
'YearA-AppDetails Current Date'!F:F,E9,
'YearA-AppDetails Current Date'!E:E,--F9,
'YearA-AppDetails Current Date'!Y:Y,"ENRO",
'YearA-AppDetails Current Date'!I:I,"FALL")),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HC'!D:T,4,FALSE)),
N(VLOOKUP(D10&amp;F10,'Budgeted Projections Intl HC'!D:T,5,FALSE))
)
),"")</f>
        <v/>
      </c>
      <c r="I10" s="73" t="str">
        <f>IFERROR(1/(1/COUNTIFS(
'YearA-AppDetails Current Date'!A:A,D10,
'YearA-AppDetails Current Date'!F:F,E10,
'YearA-AppDetails Current Date'!E:E,--F10,
'YearA-AppDetails Current Date'!I:I,"FALL")), "")</f>
        <v/>
      </c>
      <c r="J10" s="74" t="str" cm="1">
        <f t="array" ref="J10">IFERROR(1/(1/SUM(COUNTIFS(
'YearA-AppDetails Current Date'!A:A,D10,
'YearA-AppDetails Current Date'!F:F,E10,
'YearA-AppDetails Current Date'!E:E,--F10,
'YearA-AppDetails Current Date'!O:O,{"ACLN","ACPT","COND"},
'YearA-AppDetails Current Date'!S:S,"&lt;&gt;ACLN",
'YearA-AppDetails Current Date'!S:S,"&lt;&gt;ACPT",
'YearA-AppDetails Current Date'!S:S,"&lt;&gt;COND",
'YearA-AppDetails Current Date'!I:I,"FALL"))), "")</f>
        <v/>
      </c>
      <c r="K10" s="73" t="str">
        <f>IFERROR(1/(1/SUM(COUNTIFS(
'YearA-AppDetails Current Date'!A:A,D10,
'YearA-AppDetails Current Date'!F:F,E10,
'YearA-AppDetails Current Date'!E:E,--F10,
'YearA-AppDetails Current Date'!R:R,"&lt;&gt;"&amp;"",
'YearA-AppDetails Current Date'!I:I,"FALL"))), "")</f>
        <v/>
      </c>
      <c r="L10" s="74" t="str" cm="1">
        <f t="array" ref="L10">IFERROR(1/(1/SUM(COUNTIFS(
'YearA-AppDetails Current Date'!A:A,D10,
'YearA-AppDetails Current Date'!F:F,E10,
'YearA-AppDetails Current Date'!E:E,--F10,
'YearA-AppDetails Current Date'!T:T,{"APEX","DENY","NTSL"},
'YearA-AppDetails Current Date'!I:I,"FALL"))), "")</f>
        <v/>
      </c>
      <c r="M10" s="74" t="str" cm="1">
        <f t="array" ref="M10">IFERROR(1/(1/SUM(COUNTIFS(
'YearA-AppDetails Current Date'!A:A,D10,
'YearA-AppDetails Current Date'!F:F,E10,
'YearA-AppDetails Current Date'!E:E,--F10,
'YearA-AppDetails Current Date'!U:U,{"CCAN","DECL"},
'YearA-AppDetails Current Date'!I:I,"FALL"))), "")</f>
        <v/>
      </c>
      <c r="N10" s="74" t="str" cm="1">
        <f t="array" ref="N10">IFERROR(1/(1/SUM(COUNTIFS(
'YearA-AppDetails Current Date'!A:A,D10,
'YearA-AppDetails Current Date'!F:F,E10,
'YearA-AppDetails Current Date'!E:E,--F10,
'YearA-AppDetails Current Date'!V:V,{"APRO","NODE"},
'YearA-AppDetails Current Date'!I:I,"FALL"))), "")</f>
        <v/>
      </c>
      <c r="O10" s="74" t="str" cm="1">
        <f t="array" ref="O10">IFERROR(1/(1/SUM(COUNTIFS(
'YearA-AppDetails Current Date'!A:A,D10,
'YearA-AppDetails Current Date'!F:F,E10,
'YearA-AppDetails Current Date'!E:E,--F10,
'YearA-AppDetails Current Date'!T:T,{"CDMT","RQMT","WAIT"},
'YearA-AppDetails Current Date'!I:I,"FALL"))), "")</f>
        <v/>
      </c>
      <c r="P10" s="74" t="str">
        <f>IFERROR(1/(1/COUNTIFS(
'YearA-AppDetails Current Date'!A:A,D10,
'YearA-AppDetails Current Date'!F:F,E10,
'YearA-AppDetails Current Date'!E:E,--F10,
'YearA-AppDetails Current Date'!Y:Y,"ENRO",
'YearA-AppDetails Current Date'!I:I,"FALL")),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HC'!D:T,4,FALSE)),
N(VLOOKUP(D11&amp;F11,'Budgeted Projections Dom HC'!D:T,5,FALSE))
)
),"")</f>
        <v/>
      </c>
      <c r="I11" s="73" t="str">
        <f>IFERROR(1/(1/COUNTIFS(
'YearA-AppDetails Current Date'!A:A,D11,
'YearA-AppDetails Current Date'!F:F,E11,
'YearA-AppDetails Current Date'!E:E,--F11,
'YearA-AppDetails Current Date'!I:I,"FALL")), "")</f>
        <v/>
      </c>
      <c r="J11" s="74" t="str" cm="1">
        <f t="array" ref="J11">IFERROR(1/(1/SUM(COUNTIFS(
'YearA-AppDetails Current Date'!A:A,D11,
'YearA-AppDetails Current Date'!F:F,E11,
'YearA-AppDetails Current Date'!E:E,--F11,
'YearA-AppDetails Current Date'!O:O,{"ACLN","ACPT","COND"},
'YearA-AppDetails Current Date'!S:S,"&lt;&gt;ACLN",
'YearA-AppDetails Current Date'!S:S,"&lt;&gt;ACPT",
'YearA-AppDetails Current Date'!S:S,"&lt;&gt;COND",
'YearA-AppDetails Current Date'!I:I,"FALL"))), "")</f>
        <v/>
      </c>
      <c r="K11" s="73" t="str">
        <f>IFERROR(1/(1/SUM(COUNTIFS(
'YearA-AppDetails Current Date'!A:A,D11,
'YearA-AppDetails Current Date'!F:F,E11,
'YearA-AppDetails Current Date'!E:E,--F11,
'YearA-AppDetails Current Date'!R:R,"&lt;&gt;"&amp;"",
'YearA-AppDetails Current Date'!I:I,"FALL"))), "")</f>
        <v/>
      </c>
      <c r="L11" s="74" t="str" cm="1">
        <f t="array" ref="L11">IFERROR(1/(1/SUM(COUNTIFS(
'YearA-AppDetails Current Date'!A:A,D11,
'YearA-AppDetails Current Date'!F:F,E11,
'YearA-AppDetails Current Date'!E:E,--F11,
'YearA-AppDetails Current Date'!T:T,{"APEX","DENY","NTSL"},
'YearA-AppDetails Current Date'!I:I,"FALL"))), "")</f>
        <v/>
      </c>
      <c r="M11" s="74" t="str" cm="1">
        <f t="array" ref="M11">IFERROR(1/(1/SUM(COUNTIFS(
'YearA-AppDetails Current Date'!A:A,D11,
'YearA-AppDetails Current Date'!F:F,E11,
'YearA-AppDetails Current Date'!E:E,--F11,
'YearA-AppDetails Current Date'!U:U,{"CCAN","DECL"},
'YearA-AppDetails Current Date'!I:I,"FALL"))), "")</f>
        <v/>
      </c>
      <c r="N11" s="74" t="str" cm="1">
        <f t="array" ref="N11">IFERROR(1/(1/SUM(COUNTIFS(
'YearA-AppDetails Current Date'!A:A,D11,
'YearA-AppDetails Current Date'!F:F,E11,
'YearA-AppDetails Current Date'!E:E,--F11,
'YearA-AppDetails Current Date'!V:V,{"APRO","NODE"},
'YearA-AppDetails Current Date'!I:I,"FALL"))), "")</f>
        <v/>
      </c>
      <c r="O11" s="74" t="str" cm="1">
        <f t="array" ref="O11">IFERROR(1/(1/SUM(COUNTIFS(
'YearA-AppDetails Current Date'!A:A,D11,
'YearA-AppDetails Current Date'!F:F,E11,
'YearA-AppDetails Current Date'!E:E,--F11,
'YearA-AppDetails Current Date'!T:T,{"CDMT","RQMT","WAIT"},
'YearA-AppDetails Current Date'!I:I,"FALL"))), "")</f>
        <v/>
      </c>
      <c r="P11" s="74" t="str">
        <f>IFERROR(1/(1/COUNTIFS(
'YearA-AppDetails Current Date'!A:A,D11,
'YearA-AppDetails Current Date'!F:F,E11,
'YearA-AppDetails Current Date'!E:E,--F11,
'YearA-AppDetails Current Date'!Y:Y,"ENRO",
'YearA-AppDetails Current Date'!I:I,"FALL")),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HC'!D:T,4,FALSE)),
N(VLOOKUP(D12&amp;F12,'Budgeted Projections Intl HC'!D:T,5,FALSE))
)
),"")</f>
        <v/>
      </c>
      <c r="I12" s="73" t="str">
        <f>IFERROR(1/(1/COUNTIFS(
'YearA-AppDetails Current Date'!A:A,D12,
'YearA-AppDetails Current Date'!F:F,E12,
'YearA-AppDetails Current Date'!E:E,--F12,
'YearA-AppDetails Current Date'!I:I,"FALL")), "")</f>
        <v/>
      </c>
      <c r="J12" s="74" t="str" cm="1">
        <f t="array" ref="J12">IFERROR(1/(1/SUM(COUNTIFS(
'YearA-AppDetails Current Date'!A:A,D12,
'YearA-AppDetails Current Date'!F:F,E12,
'YearA-AppDetails Current Date'!E:E,--F12,
'YearA-AppDetails Current Date'!O:O,{"ACLN","ACPT","COND"},
'YearA-AppDetails Current Date'!S:S,"&lt;&gt;ACLN",
'YearA-AppDetails Current Date'!S:S,"&lt;&gt;ACPT",
'YearA-AppDetails Current Date'!S:S,"&lt;&gt;COND",
'YearA-AppDetails Current Date'!I:I,"FALL"))), "")</f>
        <v/>
      </c>
      <c r="K12" s="73" t="str">
        <f>IFERROR(1/(1/SUM(COUNTIFS(
'YearA-AppDetails Current Date'!A:A,D12,
'YearA-AppDetails Current Date'!F:F,E12,
'YearA-AppDetails Current Date'!E:E,--F12,
'YearA-AppDetails Current Date'!R:R,"&lt;&gt;"&amp;"",
'YearA-AppDetails Current Date'!I:I,"FALL"))), "")</f>
        <v/>
      </c>
      <c r="L12" s="74" t="str" cm="1">
        <f t="array" ref="L12">IFERROR(1/(1/SUM(COUNTIFS(
'YearA-AppDetails Current Date'!A:A,D12,
'YearA-AppDetails Current Date'!F:F,E12,
'YearA-AppDetails Current Date'!E:E,--F12,
'YearA-AppDetails Current Date'!T:T,{"APEX","DENY","NTSL"},
'YearA-AppDetails Current Date'!I:I,"FALL"))), "")</f>
        <v/>
      </c>
      <c r="M12" s="74" t="str" cm="1">
        <f t="array" ref="M12">IFERROR(1/(1/SUM(COUNTIFS(
'YearA-AppDetails Current Date'!A:A,D12,
'YearA-AppDetails Current Date'!F:F,E12,
'YearA-AppDetails Current Date'!E:E,--F12,
'YearA-AppDetails Current Date'!U:U,{"CCAN","DECL"},
'YearA-AppDetails Current Date'!I:I,"FALL"))), "")</f>
        <v/>
      </c>
      <c r="N12" s="74" t="str" cm="1">
        <f t="array" ref="N12">IFERROR(1/(1/SUM(COUNTIFS(
'YearA-AppDetails Current Date'!A:A,D12,
'YearA-AppDetails Current Date'!F:F,E12,
'YearA-AppDetails Current Date'!E:E,--F12,
'YearA-AppDetails Current Date'!V:V,{"APRO","NODE"},
'YearA-AppDetails Current Date'!I:I,"FALL"))), "")</f>
        <v/>
      </c>
      <c r="O12" s="74" t="str" cm="1">
        <f t="array" ref="O12">IFERROR(1/(1/SUM(COUNTIFS(
'YearA-AppDetails Current Date'!A:A,D12,
'YearA-AppDetails Current Date'!F:F,E12,
'YearA-AppDetails Current Date'!E:E,--F12,
'YearA-AppDetails Current Date'!T:T,{"CDMT","RQMT","WAIT"},
'YearA-AppDetails Current Date'!I:I,"FALL"))), "")</f>
        <v/>
      </c>
      <c r="P12" s="74" t="str">
        <f>IFERROR(1/(1/COUNTIFS(
'YearA-AppDetails Current Date'!A:A,D12,
'YearA-AppDetails Current Date'!F:F,E12,
'YearA-AppDetails Current Date'!E:E,--F12,
'YearA-AppDetails Current Date'!Y:Y,"ENRO",
'YearA-AppDetails Current Date'!I:I,"FALL")),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HC'!D:T,4,FALSE)),
N(VLOOKUP(D13&amp;F13,'Budgeted Projections Dom HC'!D:T,5,FALSE))
)
),"")</f>
        <v/>
      </c>
      <c r="I13" s="73" t="str">
        <f>IFERROR(1/(1/COUNTIFS(
'YearA-AppDetails Current Date'!A:A,D13,
'YearA-AppDetails Current Date'!F:F,E13,
'YearA-AppDetails Current Date'!E:E,--F13,
'YearA-AppDetails Current Date'!I:I,"FALL")), "")</f>
        <v/>
      </c>
      <c r="J13" s="74" t="str" cm="1">
        <f t="array" ref="J13">IFERROR(1/(1/SUM(COUNTIFS(
'YearA-AppDetails Current Date'!A:A,D13,
'YearA-AppDetails Current Date'!F:F,E13,
'YearA-AppDetails Current Date'!E:E,--F13,
'YearA-AppDetails Current Date'!O:O,{"ACLN","ACPT","COND"},
'YearA-AppDetails Current Date'!S:S,"&lt;&gt;ACLN",
'YearA-AppDetails Current Date'!S:S,"&lt;&gt;ACPT",
'YearA-AppDetails Current Date'!S:S,"&lt;&gt;COND",
'YearA-AppDetails Current Date'!I:I,"FALL"))), "")</f>
        <v/>
      </c>
      <c r="K13" s="73" t="str">
        <f>IFERROR(1/(1/SUM(COUNTIFS(
'YearA-AppDetails Current Date'!A:A,D13,
'YearA-AppDetails Current Date'!F:F,E13,
'YearA-AppDetails Current Date'!E:E,--F13,
'YearA-AppDetails Current Date'!R:R,"&lt;&gt;"&amp;"",
'YearA-AppDetails Current Date'!I:I,"FALL"))), "")</f>
        <v/>
      </c>
      <c r="L13" s="74" t="str" cm="1">
        <f t="array" ref="L13">IFERROR(1/(1/SUM(COUNTIFS(
'YearA-AppDetails Current Date'!A:A,D13,
'YearA-AppDetails Current Date'!F:F,E13,
'YearA-AppDetails Current Date'!E:E,--F13,
'YearA-AppDetails Current Date'!T:T,{"APEX","DENY","NTSL"},
'YearA-AppDetails Current Date'!I:I,"FALL"))), "")</f>
        <v/>
      </c>
      <c r="M13" s="74" t="str" cm="1">
        <f t="array" ref="M13">IFERROR(1/(1/SUM(COUNTIFS(
'YearA-AppDetails Current Date'!A:A,D13,
'YearA-AppDetails Current Date'!F:F,E13,
'YearA-AppDetails Current Date'!E:E,--F13,
'YearA-AppDetails Current Date'!U:U,{"CCAN","DECL"},
'YearA-AppDetails Current Date'!I:I,"FALL"))), "")</f>
        <v/>
      </c>
      <c r="N13" s="74" t="str" cm="1">
        <f t="array" ref="N13">IFERROR(1/(1/SUM(COUNTIFS(
'YearA-AppDetails Current Date'!A:A,D13,
'YearA-AppDetails Current Date'!F:F,E13,
'YearA-AppDetails Current Date'!E:E,--F13,
'YearA-AppDetails Current Date'!V:V,{"APRO","NODE"},
'YearA-AppDetails Current Date'!I:I,"FALL"))), "")</f>
        <v/>
      </c>
      <c r="O13" s="74" t="str" cm="1">
        <f t="array" ref="O13">IFERROR(1/(1/SUM(COUNTIFS(
'YearA-AppDetails Current Date'!A:A,D13,
'YearA-AppDetails Current Date'!F:F,E13,
'YearA-AppDetails Current Date'!E:E,--F13,
'YearA-AppDetails Current Date'!T:T,{"CDMT","RQMT","WAIT"},
'YearA-AppDetails Current Date'!I:I,"FALL"))), "")</f>
        <v/>
      </c>
      <c r="P13" s="74" t="str">
        <f>IFERROR(1/(1/COUNTIFS(
'YearA-AppDetails Current Date'!A:A,D13,
'YearA-AppDetails Current Date'!F:F,E13,
'YearA-AppDetails Current Date'!E:E,--F13,
'YearA-AppDetails Current Date'!Y:Y,"ENRO",
'YearA-AppDetails Current Date'!I:I,"FALL")),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HC'!D:T,4,FALSE)),
N(VLOOKUP(D14&amp;F14,'Budgeted Projections Intl HC'!D:T,5,FALSE))
)
),"")</f>
        <v/>
      </c>
      <c r="I14" s="73" t="str">
        <f>IFERROR(1/(1/COUNTIFS(
'YearA-AppDetails Current Date'!A:A,D14,
'YearA-AppDetails Current Date'!F:F,E14,
'YearA-AppDetails Current Date'!E:E,--F14,
'YearA-AppDetails Current Date'!I:I,"FALL")), "")</f>
        <v/>
      </c>
      <c r="J14" s="74" t="str" cm="1">
        <f t="array" ref="J14">IFERROR(1/(1/SUM(COUNTIFS(
'YearA-AppDetails Current Date'!A:A,D14,
'YearA-AppDetails Current Date'!F:F,E14,
'YearA-AppDetails Current Date'!E:E,--F14,
'YearA-AppDetails Current Date'!O:O,{"ACLN","ACPT","COND"},
'YearA-AppDetails Current Date'!S:S,"&lt;&gt;ACLN",
'YearA-AppDetails Current Date'!S:S,"&lt;&gt;ACPT",
'YearA-AppDetails Current Date'!S:S,"&lt;&gt;COND",
'YearA-AppDetails Current Date'!I:I,"FALL"))), "")</f>
        <v/>
      </c>
      <c r="K14" s="73" t="str">
        <f>IFERROR(1/(1/SUM(COUNTIFS(
'YearA-AppDetails Current Date'!A:A,D14,
'YearA-AppDetails Current Date'!F:F,E14,
'YearA-AppDetails Current Date'!E:E,--F14,
'YearA-AppDetails Current Date'!R:R,"&lt;&gt;"&amp;"",
'YearA-AppDetails Current Date'!I:I,"FALL"))), "")</f>
        <v/>
      </c>
      <c r="L14" s="74" t="str" cm="1">
        <f t="array" ref="L14">IFERROR(1/(1/SUM(COUNTIFS(
'YearA-AppDetails Current Date'!A:A,D14,
'YearA-AppDetails Current Date'!F:F,E14,
'YearA-AppDetails Current Date'!E:E,--F14,
'YearA-AppDetails Current Date'!T:T,{"APEX","DENY","NTSL"},
'YearA-AppDetails Current Date'!I:I,"FALL"))), "")</f>
        <v/>
      </c>
      <c r="M14" s="74" t="str" cm="1">
        <f t="array" ref="M14">IFERROR(1/(1/SUM(COUNTIFS(
'YearA-AppDetails Current Date'!A:A,D14,
'YearA-AppDetails Current Date'!F:F,E14,
'YearA-AppDetails Current Date'!E:E,--F14,
'YearA-AppDetails Current Date'!U:U,{"CCAN","DECL"},
'YearA-AppDetails Current Date'!I:I,"FALL"))), "")</f>
        <v/>
      </c>
      <c r="N14" s="74" t="str" cm="1">
        <f t="array" ref="N14">IFERROR(1/(1/SUM(COUNTIFS(
'YearA-AppDetails Current Date'!A:A,D14,
'YearA-AppDetails Current Date'!F:F,E14,
'YearA-AppDetails Current Date'!E:E,--F14,
'YearA-AppDetails Current Date'!V:V,{"APRO","NODE"},
'YearA-AppDetails Current Date'!I:I,"FALL"))), "")</f>
        <v/>
      </c>
      <c r="O14" s="74" t="str" cm="1">
        <f t="array" ref="O14">IFERROR(1/(1/SUM(COUNTIFS(
'YearA-AppDetails Current Date'!A:A,D14,
'YearA-AppDetails Current Date'!F:F,E14,
'YearA-AppDetails Current Date'!E:E,--F14,
'YearA-AppDetails Current Date'!T:T,{"CDMT","RQMT","WAIT"},
'YearA-AppDetails Current Date'!I:I,"FALL"))), "")</f>
        <v/>
      </c>
      <c r="P14" s="74" t="str">
        <f>IFERROR(1/(1/COUNTIFS(
'YearA-AppDetails Current Date'!A:A,D14,
'YearA-AppDetails Current Date'!F:F,E14,
'YearA-AppDetails Current Date'!E:E,--F14,
'YearA-AppDetails Current Date'!Y:Y,"ENRO",
'YearA-AppDetails Current Date'!I:I,"FALL")),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HC'!D:T,4,FALSE)),
N(VLOOKUP(D15&amp;F15,'Budgeted Projections Dom HC'!D:T,5,FALSE))
)
),"")</f>
        <v/>
      </c>
      <c r="I15" s="73" t="str">
        <f>IFERROR(1/(1/COUNTIFS(
'YearA-AppDetails Current Date'!A:A,D15,
'YearA-AppDetails Current Date'!F:F,E15,
'YearA-AppDetails Current Date'!E:E,--F15,
'YearA-AppDetails Current Date'!I:I,"FALL")), "")</f>
        <v/>
      </c>
      <c r="J15" s="74" t="str" cm="1">
        <f t="array" ref="J15">IFERROR(1/(1/SUM(COUNTIFS(
'YearA-AppDetails Current Date'!A:A,D15,
'YearA-AppDetails Current Date'!F:F,E15,
'YearA-AppDetails Current Date'!E:E,--F15,
'YearA-AppDetails Current Date'!O:O,{"ACLN","ACPT","COND"},
'YearA-AppDetails Current Date'!S:S,"&lt;&gt;ACLN",
'YearA-AppDetails Current Date'!S:S,"&lt;&gt;ACPT",
'YearA-AppDetails Current Date'!S:S,"&lt;&gt;COND",
'YearA-AppDetails Current Date'!I:I,"FALL"))), "")</f>
        <v/>
      </c>
      <c r="K15" s="73" t="str">
        <f>IFERROR(1/(1/SUM(COUNTIFS(
'YearA-AppDetails Current Date'!A:A,D15,
'YearA-AppDetails Current Date'!F:F,E15,
'YearA-AppDetails Current Date'!E:E,--F15,
'YearA-AppDetails Current Date'!R:R,"&lt;&gt;"&amp;"",
'YearA-AppDetails Current Date'!I:I,"FALL"))), "")</f>
        <v/>
      </c>
      <c r="L15" s="74" t="str" cm="1">
        <f t="array" ref="L15">IFERROR(1/(1/SUM(COUNTIFS(
'YearA-AppDetails Current Date'!A:A,D15,
'YearA-AppDetails Current Date'!F:F,E15,
'YearA-AppDetails Current Date'!E:E,--F15,
'YearA-AppDetails Current Date'!T:T,{"APEX","DENY","NTSL"},
'YearA-AppDetails Current Date'!I:I,"FALL"))), "")</f>
        <v/>
      </c>
      <c r="M15" s="74" t="str" cm="1">
        <f t="array" ref="M15">IFERROR(1/(1/SUM(COUNTIFS(
'YearA-AppDetails Current Date'!A:A,D15,
'YearA-AppDetails Current Date'!F:F,E15,
'YearA-AppDetails Current Date'!E:E,--F15,
'YearA-AppDetails Current Date'!U:U,{"CCAN","DECL"},
'YearA-AppDetails Current Date'!I:I,"FALL"))), "")</f>
        <v/>
      </c>
      <c r="N15" s="74" t="str" cm="1">
        <f t="array" ref="N15">IFERROR(1/(1/SUM(COUNTIFS(
'YearA-AppDetails Current Date'!A:A,D15,
'YearA-AppDetails Current Date'!F:F,E15,
'YearA-AppDetails Current Date'!E:E,--F15,
'YearA-AppDetails Current Date'!V:V,{"APRO","NODE"},
'YearA-AppDetails Current Date'!I:I,"FALL"))), "")</f>
        <v/>
      </c>
      <c r="O15" s="74" t="str" cm="1">
        <f t="array" ref="O15">IFERROR(1/(1/SUM(COUNTIFS(
'YearA-AppDetails Current Date'!A:A,D15,
'YearA-AppDetails Current Date'!F:F,E15,
'YearA-AppDetails Current Date'!E:E,--F15,
'YearA-AppDetails Current Date'!T:T,{"CDMT","RQMT","WAIT"},
'YearA-AppDetails Current Date'!I:I,"FALL"))), "")</f>
        <v/>
      </c>
      <c r="P15" s="74" t="str">
        <f>IFERROR(1/(1/COUNTIFS(
'YearA-AppDetails Current Date'!A:A,D15,
'YearA-AppDetails Current Date'!F:F,E15,
'YearA-AppDetails Current Date'!E:E,--F15,
'YearA-AppDetails Current Date'!Y:Y,"ENRO",
'YearA-AppDetails Current Date'!I:I,"FALL")),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HC'!D:T,4,FALSE)),
N(VLOOKUP(D16&amp;F16,'Budgeted Projections Intl HC'!D:T,5,FALSE))
)
),"")</f>
        <v/>
      </c>
      <c r="I16" s="73" t="str">
        <f>IFERROR(1/(1/COUNTIFS(
'YearA-AppDetails Current Date'!A:A,D16,
'YearA-AppDetails Current Date'!F:F,E16,
'YearA-AppDetails Current Date'!E:E,--F16,
'YearA-AppDetails Current Date'!I:I,"FALL")), "")</f>
        <v/>
      </c>
      <c r="J16" s="74" t="str" cm="1">
        <f t="array" ref="J16">IFERROR(1/(1/SUM(COUNTIFS(
'YearA-AppDetails Current Date'!A:A,D16,
'YearA-AppDetails Current Date'!F:F,E16,
'YearA-AppDetails Current Date'!E:E,--F16,
'YearA-AppDetails Current Date'!O:O,{"ACLN","ACPT","COND"},
'YearA-AppDetails Current Date'!S:S,"&lt;&gt;ACLN",
'YearA-AppDetails Current Date'!S:S,"&lt;&gt;ACPT",
'YearA-AppDetails Current Date'!S:S,"&lt;&gt;COND",
'YearA-AppDetails Current Date'!I:I,"FALL"))), "")</f>
        <v/>
      </c>
      <c r="K16" s="73" t="str">
        <f>IFERROR(1/(1/SUM(COUNTIFS(
'YearA-AppDetails Current Date'!A:A,D16,
'YearA-AppDetails Current Date'!F:F,E16,
'YearA-AppDetails Current Date'!E:E,--F16,
'YearA-AppDetails Current Date'!R:R,"&lt;&gt;"&amp;"",
'YearA-AppDetails Current Date'!I:I,"FALL"))), "")</f>
        <v/>
      </c>
      <c r="L16" s="74" t="str" cm="1">
        <f t="array" ref="L16">IFERROR(1/(1/SUM(COUNTIFS(
'YearA-AppDetails Current Date'!A:A,D16,
'YearA-AppDetails Current Date'!F:F,E16,
'YearA-AppDetails Current Date'!E:E,--F16,
'YearA-AppDetails Current Date'!T:T,{"APEX","DENY","NTSL"},
'YearA-AppDetails Current Date'!I:I,"FALL"))), "")</f>
        <v/>
      </c>
      <c r="M16" s="74" t="str" cm="1">
        <f t="array" ref="M16">IFERROR(1/(1/SUM(COUNTIFS(
'YearA-AppDetails Current Date'!A:A,D16,
'YearA-AppDetails Current Date'!F:F,E16,
'YearA-AppDetails Current Date'!E:E,--F16,
'YearA-AppDetails Current Date'!U:U,{"CCAN","DECL"},
'YearA-AppDetails Current Date'!I:I,"FALL"))), "")</f>
        <v/>
      </c>
      <c r="N16" s="74" t="str" cm="1">
        <f t="array" ref="N16">IFERROR(1/(1/SUM(COUNTIFS(
'YearA-AppDetails Current Date'!A:A,D16,
'YearA-AppDetails Current Date'!F:F,E16,
'YearA-AppDetails Current Date'!E:E,--F16,
'YearA-AppDetails Current Date'!V:V,{"APRO","NODE"},
'YearA-AppDetails Current Date'!I:I,"FALL"))), "")</f>
        <v/>
      </c>
      <c r="O16" s="74" t="str" cm="1">
        <f t="array" ref="O16">IFERROR(1/(1/SUM(COUNTIFS(
'YearA-AppDetails Current Date'!A:A,D16,
'YearA-AppDetails Current Date'!F:F,E16,
'YearA-AppDetails Current Date'!E:E,--F16,
'YearA-AppDetails Current Date'!T:T,{"CDMT","RQMT","WAIT"},
'YearA-AppDetails Current Date'!I:I,"FALL"))), "")</f>
        <v/>
      </c>
      <c r="P16" s="74" t="str">
        <f>IFERROR(1/(1/COUNTIFS(
'YearA-AppDetails Current Date'!A:A,D16,
'YearA-AppDetails Current Date'!F:F,E16,
'YearA-AppDetails Current Date'!E:E,--F16,
'YearA-AppDetails Current Date'!Y:Y,"ENRO",
'YearA-AppDetails Current Date'!I:I,"FALL")),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HC'!D:T,4,FALSE)),
N(VLOOKUP(D18&amp;F18,'Budgeted Projections Dom HC'!D:T,5,FALSE))
)
),"")</f>
        <v/>
      </c>
      <c r="I18" s="73" t="str">
        <f>IFERROR(1/(1/COUNTIFS(
'YearA-AppDetails Current Date'!A:A,D18,
'YearA-AppDetails Current Date'!F:F,E18,
'YearA-AppDetails Current Date'!E:E,--F18,
'YearA-AppDetails Current Date'!I:I,"FALL")), "")</f>
        <v/>
      </c>
      <c r="J18" s="74" t="str" cm="1">
        <f t="array" ref="J18">IFERROR(1/(1/SUM(COUNTIFS(
'YearA-AppDetails Current Date'!A:A,D18,
'YearA-AppDetails Current Date'!F:F,E18,
'YearA-AppDetails Current Date'!E:E,--F18,
'YearA-AppDetails Current Date'!O:O,{"ACLN","ACPT","COND"},
'YearA-AppDetails Current Date'!S:S,"&lt;&gt;ACLN",
'YearA-AppDetails Current Date'!S:S,"&lt;&gt;ACPT",
'YearA-AppDetails Current Date'!S:S,"&lt;&gt;COND",
'YearA-AppDetails Current Date'!I:I,"FALL"))), "")</f>
        <v/>
      </c>
      <c r="K18" s="73" t="str">
        <f>IFERROR(1/(1/SUM(COUNTIFS(
'YearA-AppDetails Current Date'!A:A,D18,
'YearA-AppDetails Current Date'!F:F,E18,
'YearA-AppDetails Current Date'!E:E,--F18,
'YearA-AppDetails Current Date'!R:R,"&lt;&gt;"&amp;"",
'YearA-AppDetails Current Date'!I:I,"FALL"))), "")</f>
        <v/>
      </c>
      <c r="L18" s="74" t="str" cm="1">
        <f t="array" ref="L18">IFERROR(1/(1/SUM(COUNTIFS(
'YearA-AppDetails Current Date'!A:A,D18,
'YearA-AppDetails Current Date'!F:F,E18,
'YearA-AppDetails Current Date'!E:E,--F18,
'YearA-AppDetails Current Date'!T:T,{"APEX","DENY","NTSL"},
'YearA-AppDetails Current Date'!I:I,"FALL"))), "")</f>
        <v/>
      </c>
      <c r="M18" s="74" t="str" cm="1">
        <f t="array" ref="M18">IFERROR(1/(1/SUM(COUNTIFS(
'YearA-AppDetails Current Date'!A:A,D18,
'YearA-AppDetails Current Date'!F:F,E18,
'YearA-AppDetails Current Date'!E:E,--F18,
'YearA-AppDetails Current Date'!U:U,{"CCAN","DECL"},
'YearA-AppDetails Current Date'!I:I,"FALL"))), "")</f>
        <v/>
      </c>
      <c r="N18" s="74" t="str" cm="1">
        <f t="array" ref="N18">IFERROR(1/(1/SUM(COUNTIFS(
'YearA-AppDetails Current Date'!A:A,D18,
'YearA-AppDetails Current Date'!F:F,E18,
'YearA-AppDetails Current Date'!E:E,--F18,
'YearA-AppDetails Current Date'!V:V,{"APRO","NODE"},
'YearA-AppDetails Current Date'!I:I,"FALL"))), "")</f>
        <v/>
      </c>
      <c r="O18" s="74" t="str" cm="1">
        <f t="array" ref="O18">IFERROR(1/(1/SUM(COUNTIFS(
'YearA-AppDetails Current Date'!A:A,D18,
'YearA-AppDetails Current Date'!F:F,E18,
'YearA-AppDetails Current Date'!E:E,--F18,
'YearA-AppDetails Current Date'!T:T,{"CDMT","RQMT","WAIT"},
'YearA-AppDetails Current Date'!I:I,"FALL"))), "")</f>
        <v/>
      </c>
      <c r="P18" s="74" t="str">
        <f>IFERROR(1/(1/COUNTIFS(
'YearA-AppDetails Current Date'!A:A,D18,
'YearA-AppDetails Current Date'!F:F,E18,
'YearA-AppDetails Current Date'!E:E,--F18,
'YearA-AppDetails Current Date'!Y:Y,"ENRO",
'YearA-AppDetails Current Date'!I:I,"FALL")),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HC'!D:T,4,FALSE)),
N(VLOOKUP(D19&amp;F19,'Budgeted Projections Intl HC'!D:T,5,FALSE))
)
),"")</f>
        <v/>
      </c>
      <c r="I19" s="73" t="str">
        <f>IFERROR(1/(1/COUNTIFS(
'YearA-AppDetails Current Date'!A:A,D19,
'YearA-AppDetails Current Date'!F:F,E19,
'YearA-AppDetails Current Date'!E:E,--F19,
'YearA-AppDetails Current Date'!I:I,"FALL")), "")</f>
        <v/>
      </c>
      <c r="J19" s="74" t="str" cm="1">
        <f t="array" ref="J19">IFERROR(1/(1/SUM(COUNTIFS(
'YearA-AppDetails Current Date'!A:A,D19,
'YearA-AppDetails Current Date'!F:F,E19,
'YearA-AppDetails Current Date'!E:E,--F19,
'YearA-AppDetails Current Date'!O:O,{"ACLN","ACPT","COND"},
'YearA-AppDetails Current Date'!S:S,"&lt;&gt;ACLN",
'YearA-AppDetails Current Date'!S:S,"&lt;&gt;ACPT",
'YearA-AppDetails Current Date'!S:S,"&lt;&gt;COND",
'YearA-AppDetails Current Date'!I:I,"FALL"))), "")</f>
        <v/>
      </c>
      <c r="K19" s="73" t="str">
        <f>IFERROR(1/(1/SUM(COUNTIFS(
'YearA-AppDetails Current Date'!A:A,D19,
'YearA-AppDetails Current Date'!F:F,E19,
'YearA-AppDetails Current Date'!E:E,--F19,
'YearA-AppDetails Current Date'!R:R,"&lt;&gt;"&amp;"",
'YearA-AppDetails Current Date'!I:I,"FALL"))), "")</f>
        <v/>
      </c>
      <c r="L19" s="74" t="str" cm="1">
        <f t="array" ref="L19">IFERROR(1/(1/SUM(COUNTIFS(
'YearA-AppDetails Current Date'!A:A,D19,
'YearA-AppDetails Current Date'!F:F,E19,
'YearA-AppDetails Current Date'!E:E,--F19,
'YearA-AppDetails Current Date'!T:T,{"APEX","DENY","NTSL"},
'YearA-AppDetails Current Date'!I:I,"FALL"))), "")</f>
        <v/>
      </c>
      <c r="M19" s="74" t="str" cm="1">
        <f t="array" ref="M19">IFERROR(1/(1/SUM(COUNTIFS(
'YearA-AppDetails Current Date'!A:A,D19,
'YearA-AppDetails Current Date'!F:F,E19,
'YearA-AppDetails Current Date'!E:E,--F19,
'YearA-AppDetails Current Date'!U:U,{"CCAN","DECL"},
'YearA-AppDetails Current Date'!I:I,"FALL"))), "")</f>
        <v/>
      </c>
      <c r="N19" s="74" t="str" cm="1">
        <f t="array" ref="N19">IFERROR(1/(1/SUM(COUNTIFS(
'YearA-AppDetails Current Date'!A:A,D19,
'YearA-AppDetails Current Date'!F:F,E19,
'YearA-AppDetails Current Date'!E:E,--F19,
'YearA-AppDetails Current Date'!V:V,{"APRO","NODE"},
'YearA-AppDetails Current Date'!I:I,"FALL"))), "")</f>
        <v/>
      </c>
      <c r="O19" s="74" t="str" cm="1">
        <f t="array" ref="O19">IFERROR(1/(1/SUM(COUNTIFS(
'YearA-AppDetails Current Date'!A:A,D19,
'YearA-AppDetails Current Date'!F:F,E19,
'YearA-AppDetails Current Date'!E:E,--F19,
'YearA-AppDetails Current Date'!T:T,{"CDMT","RQMT","WAIT"},
'YearA-AppDetails Current Date'!I:I,"FALL"))), "")</f>
        <v/>
      </c>
      <c r="P19" s="74" t="str">
        <f>IFERROR(1/(1/COUNTIFS(
'YearA-AppDetails Current Date'!A:A,D19,
'YearA-AppDetails Current Date'!F:F,E19,
'YearA-AppDetails Current Date'!E:E,--F19,
'YearA-AppDetails Current Date'!Y:Y,"ENRO",
'YearA-AppDetails Current Date'!I:I,"FALL")),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HC'!D:T,4,FALSE)),
N(VLOOKUP(D20&amp;F20,'Budgeted Projections Dom HC'!D:T,5,FALSE))
)
),"")</f>
        <v/>
      </c>
      <c r="I20" s="73" t="str">
        <f>IFERROR(1/(1/COUNTIFS(
'YearA-AppDetails Current Date'!A:A,D20,
'YearA-AppDetails Current Date'!F:F,E20,
'YearA-AppDetails Current Date'!E:E,--F20,
'YearA-AppDetails Current Date'!I:I,"FALL")), "")</f>
        <v/>
      </c>
      <c r="J20" s="74" t="str" cm="1">
        <f t="array" ref="J20">IFERROR(1/(1/SUM(COUNTIFS(
'YearA-AppDetails Current Date'!A:A,D20,
'YearA-AppDetails Current Date'!F:F,E20,
'YearA-AppDetails Current Date'!E:E,--F20,
'YearA-AppDetails Current Date'!O:O,{"ACLN","ACPT","COND"},
'YearA-AppDetails Current Date'!S:S,"&lt;&gt;ACLN",
'YearA-AppDetails Current Date'!S:S,"&lt;&gt;ACPT",
'YearA-AppDetails Current Date'!S:S,"&lt;&gt;COND",
'YearA-AppDetails Current Date'!I:I,"FALL"))), "")</f>
        <v/>
      </c>
      <c r="K20" s="73" t="str">
        <f>IFERROR(1/(1/SUM(COUNTIFS(
'YearA-AppDetails Current Date'!A:A,D20,
'YearA-AppDetails Current Date'!F:F,E20,
'YearA-AppDetails Current Date'!E:E,--F20,
'YearA-AppDetails Current Date'!R:R,"&lt;&gt;"&amp;"",
'YearA-AppDetails Current Date'!I:I,"FALL"))), "")</f>
        <v/>
      </c>
      <c r="L20" s="74" t="str" cm="1">
        <f t="array" ref="L20">IFERROR(1/(1/SUM(COUNTIFS(
'YearA-AppDetails Current Date'!A:A,D20,
'YearA-AppDetails Current Date'!F:F,E20,
'YearA-AppDetails Current Date'!E:E,--F20,
'YearA-AppDetails Current Date'!T:T,{"APEX","DENY","NTSL"},
'YearA-AppDetails Current Date'!I:I,"FALL"))), "")</f>
        <v/>
      </c>
      <c r="M20" s="74" t="str" cm="1">
        <f t="array" ref="M20">IFERROR(1/(1/SUM(COUNTIFS(
'YearA-AppDetails Current Date'!A:A,D20,
'YearA-AppDetails Current Date'!F:F,E20,
'YearA-AppDetails Current Date'!E:E,--F20,
'YearA-AppDetails Current Date'!U:U,{"CCAN","DECL"},
'YearA-AppDetails Current Date'!I:I,"FALL"))), "")</f>
        <v/>
      </c>
      <c r="N20" s="74" t="str" cm="1">
        <f t="array" ref="N20">IFERROR(1/(1/SUM(COUNTIFS(
'YearA-AppDetails Current Date'!A:A,D20,
'YearA-AppDetails Current Date'!F:F,E20,
'YearA-AppDetails Current Date'!E:E,--F20,
'YearA-AppDetails Current Date'!V:V,{"APRO","NODE"},
'YearA-AppDetails Current Date'!I:I,"FALL"))), "")</f>
        <v/>
      </c>
      <c r="O20" s="74" t="str" cm="1">
        <f t="array" ref="O20">IFERROR(1/(1/SUM(COUNTIFS(
'YearA-AppDetails Current Date'!A:A,D20,
'YearA-AppDetails Current Date'!F:F,E20,
'YearA-AppDetails Current Date'!E:E,--F20,
'YearA-AppDetails Current Date'!T:T,{"CDMT","RQMT","WAIT"},
'YearA-AppDetails Current Date'!I:I,"FALL"))), "")</f>
        <v/>
      </c>
      <c r="P20" s="74" t="str">
        <f>IFERROR(1/(1/COUNTIFS(
'YearA-AppDetails Current Date'!A:A,D20,
'YearA-AppDetails Current Date'!F:F,E20,
'YearA-AppDetails Current Date'!E:E,--F20,
'YearA-AppDetails Current Date'!Y:Y,"ENRO",
'YearA-AppDetails Current Date'!I:I,"FALL")),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HC'!D:T,4,FALSE)),
N(VLOOKUP(D21&amp;F21,'Budgeted Projections Intl HC'!D:T,5,FALSE))
)
),"")</f>
        <v/>
      </c>
      <c r="I21" s="73" t="str">
        <f>IFERROR(1/(1/COUNTIFS(
'YearA-AppDetails Current Date'!A:A,D21,
'YearA-AppDetails Current Date'!F:F,E21,
'YearA-AppDetails Current Date'!E:E,--F21,
'YearA-AppDetails Current Date'!I:I,"FALL")), "")</f>
        <v/>
      </c>
      <c r="J21" s="74" t="str" cm="1">
        <f t="array" ref="J21">IFERROR(1/(1/SUM(COUNTIFS(
'YearA-AppDetails Current Date'!A:A,D21,
'YearA-AppDetails Current Date'!F:F,E21,
'YearA-AppDetails Current Date'!E:E,--F21,
'YearA-AppDetails Current Date'!O:O,{"ACLN","ACPT","COND"},
'YearA-AppDetails Current Date'!S:S,"&lt;&gt;ACLN",
'YearA-AppDetails Current Date'!S:S,"&lt;&gt;ACPT",
'YearA-AppDetails Current Date'!S:S,"&lt;&gt;COND",
'YearA-AppDetails Current Date'!I:I,"FALL"))), "")</f>
        <v/>
      </c>
      <c r="K21" s="73" t="str">
        <f>IFERROR(1/(1/SUM(COUNTIFS(
'YearA-AppDetails Current Date'!A:A,D21,
'YearA-AppDetails Current Date'!F:F,E21,
'YearA-AppDetails Current Date'!E:E,--F21,
'YearA-AppDetails Current Date'!R:R,"&lt;&gt;"&amp;"",
'YearA-AppDetails Current Date'!I:I,"FALL"))), "")</f>
        <v/>
      </c>
      <c r="L21" s="74" t="str" cm="1">
        <f t="array" ref="L21">IFERROR(1/(1/SUM(COUNTIFS(
'YearA-AppDetails Current Date'!A:A,D21,
'YearA-AppDetails Current Date'!F:F,E21,
'YearA-AppDetails Current Date'!E:E,--F21,
'YearA-AppDetails Current Date'!T:T,{"APEX","DENY","NTSL"},
'YearA-AppDetails Current Date'!I:I,"FALL"))), "")</f>
        <v/>
      </c>
      <c r="M21" s="74" t="str" cm="1">
        <f t="array" ref="M21">IFERROR(1/(1/SUM(COUNTIFS(
'YearA-AppDetails Current Date'!A:A,D21,
'YearA-AppDetails Current Date'!F:F,E21,
'YearA-AppDetails Current Date'!E:E,--F21,
'YearA-AppDetails Current Date'!U:U,{"CCAN","DECL"},
'YearA-AppDetails Current Date'!I:I,"FALL"))), "")</f>
        <v/>
      </c>
      <c r="N21" s="74" t="str" cm="1">
        <f t="array" ref="N21">IFERROR(1/(1/SUM(COUNTIFS(
'YearA-AppDetails Current Date'!A:A,D21,
'YearA-AppDetails Current Date'!F:F,E21,
'YearA-AppDetails Current Date'!E:E,--F21,
'YearA-AppDetails Current Date'!V:V,{"APRO","NODE"},
'YearA-AppDetails Current Date'!I:I,"FALL"))), "")</f>
        <v/>
      </c>
      <c r="O21" s="74" t="str" cm="1">
        <f t="array" ref="O21">IFERROR(1/(1/SUM(COUNTIFS(
'YearA-AppDetails Current Date'!A:A,D21,
'YearA-AppDetails Current Date'!F:F,E21,
'YearA-AppDetails Current Date'!E:E,--F21,
'YearA-AppDetails Current Date'!T:T,{"CDMT","RQMT","WAIT"},
'YearA-AppDetails Current Date'!I:I,"FALL"))), "")</f>
        <v/>
      </c>
      <c r="P21" s="74" t="str">
        <f>IFERROR(1/(1/COUNTIFS(
'YearA-AppDetails Current Date'!A:A,D21,
'YearA-AppDetails Current Date'!F:F,E21,
'YearA-AppDetails Current Date'!E:E,--F21,
'YearA-AppDetails Current Date'!Y:Y,"ENRO",
'YearA-AppDetails Current Date'!I:I,"FALL")),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HC'!D:T,4,FALSE)),
N(VLOOKUP(D22&amp;F22,'Budgeted Projections Dom HC'!D:T,5,FALSE))
)
),"")</f>
        <v/>
      </c>
      <c r="I22" s="73" t="str">
        <f>IFERROR(1/(1/COUNTIFS(
'YearA-AppDetails Current Date'!A:A,D22,
'YearA-AppDetails Current Date'!F:F,E22,
'YearA-AppDetails Current Date'!E:E,--F22,
'YearA-AppDetails Current Date'!I:I,"FALL")), "")</f>
        <v/>
      </c>
      <c r="J22" s="74" t="str" cm="1">
        <f t="array" ref="J22">IFERROR(1/(1/SUM(COUNTIFS(
'YearA-AppDetails Current Date'!A:A,D22,
'YearA-AppDetails Current Date'!F:F,E22,
'YearA-AppDetails Current Date'!E:E,--F22,
'YearA-AppDetails Current Date'!O:O,{"ACLN","ACPT","COND"},
'YearA-AppDetails Current Date'!S:S,"&lt;&gt;ACLN",
'YearA-AppDetails Current Date'!S:S,"&lt;&gt;ACPT",
'YearA-AppDetails Current Date'!S:S,"&lt;&gt;COND",
'YearA-AppDetails Current Date'!I:I,"FALL"))), "")</f>
        <v/>
      </c>
      <c r="K22" s="73" t="str">
        <f>IFERROR(1/(1/SUM(COUNTIFS(
'YearA-AppDetails Current Date'!A:A,D22,
'YearA-AppDetails Current Date'!F:F,E22,
'YearA-AppDetails Current Date'!E:E,--F22,
'YearA-AppDetails Current Date'!R:R,"&lt;&gt;"&amp;"",
'YearA-AppDetails Current Date'!I:I,"FALL"))), "")</f>
        <v/>
      </c>
      <c r="L22" s="74" t="str" cm="1">
        <f t="array" ref="L22">IFERROR(1/(1/SUM(COUNTIFS(
'YearA-AppDetails Current Date'!A:A,D22,
'YearA-AppDetails Current Date'!F:F,E22,
'YearA-AppDetails Current Date'!E:E,--F22,
'YearA-AppDetails Current Date'!T:T,{"APEX","DENY","NTSL"},
'YearA-AppDetails Current Date'!I:I,"FALL"))), "")</f>
        <v/>
      </c>
      <c r="M22" s="74" t="str" cm="1">
        <f t="array" ref="M22">IFERROR(1/(1/SUM(COUNTIFS(
'YearA-AppDetails Current Date'!A:A,D22,
'YearA-AppDetails Current Date'!F:F,E22,
'YearA-AppDetails Current Date'!E:E,--F22,
'YearA-AppDetails Current Date'!U:U,{"CCAN","DECL"},
'YearA-AppDetails Current Date'!I:I,"FALL"))), "")</f>
        <v/>
      </c>
      <c r="N22" s="74" t="str" cm="1">
        <f t="array" ref="N22">IFERROR(1/(1/SUM(COUNTIFS(
'YearA-AppDetails Current Date'!A:A,D22,
'YearA-AppDetails Current Date'!F:F,E22,
'YearA-AppDetails Current Date'!E:E,--F22,
'YearA-AppDetails Current Date'!V:V,{"APRO","NODE"},
'YearA-AppDetails Current Date'!I:I,"FALL"))), "")</f>
        <v/>
      </c>
      <c r="O22" s="74" t="str" cm="1">
        <f t="array" ref="O22">IFERROR(1/(1/SUM(COUNTIFS(
'YearA-AppDetails Current Date'!A:A,D22,
'YearA-AppDetails Current Date'!F:F,E22,
'YearA-AppDetails Current Date'!E:E,--F22,
'YearA-AppDetails Current Date'!T:T,{"CDMT","RQMT","WAIT"},
'YearA-AppDetails Current Date'!I:I,"FALL"))), "")</f>
        <v/>
      </c>
      <c r="P22" s="74" t="str">
        <f>IFERROR(1/(1/COUNTIFS(
'YearA-AppDetails Current Date'!A:A,D22,
'YearA-AppDetails Current Date'!F:F,E22,
'YearA-AppDetails Current Date'!E:E,--F22,
'YearA-AppDetails Current Date'!Y:Y,"ENRO",
'YearA-AppDetails Current Date'!I:I,"FALL")),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HC'!D:T,4,FALSE)),
N(VLOOKUP(D23&amp;F23,'Budgeted Projections Intl HC'!D:T,5,FALSE))
)
),"")</f>
        <v/>
      </c>
      <c r="I23" s="73" t="str">
        <f>IFERROR(1/(1/COUNTIFS(
'YearA-AppDetails Current Date'!A:A,D23,
'YearA-AppDetails Current Date'!F:F,E23,
'YearA-AppDetails Current Date'!E:E,--F23,
'YearA-AppDetails Current Date'!I:I,"FALL")), "")</f>
        <v/>
      </c>
      <c r="J23" s="74" t="str" cm="1">
        <f t="array" ref="J23">IFERROR(1/(1/SUM(COUNTIFS(
'YearA-AppDetails Current Date'!A:A,D23,
'YearA-AppDetails Current Date'!F:F,E23,
'YearA-AppDetails Current Date'!E:E,--F23,
'YearA-AppDetails Current Date'!O:O,{"ACLN","ACPT","COND"},
'YearA-AppDetails Current Date'!S:S,"&lt;&gt;ACLN",
'YearA-AppDetails Current Date'!S:S,"&lt;&gt;ACPT",
'YearA-AppDetails Current Date'!S:S,"&lt;&gt;COND",
'YearA-AppDetails Current Date'!I:I,"FALL"))), "")</f>
        <v/>
      </c>
      <c r="K23" s="73" t="str">
        <f>IFERROR(1/(1/SUM(COUNTIFS(
'YearA-AppDetails Current Date'!A:A,D23,
'YearA-AppDetails Current Date'!F:F,E23,
'YearA-AppDetails Current Date'!E:E,--F23,
'YearA-AppDetails Current Date'!R:R,"&lt;&gt;"&amp;"",
'YearA-AppDetails Current Date'!I:I,"FALL"))), "")</f>
        <v/>
      </c>
      <c r="L23" s="74" t="str" cm="1">
        <f t="array" ref="L23">IFERROR(1/(1/SUM(COUNTIFS(
'YearA-AppDetails Current Date'!A:A,D23,
'YearA-AppDetails Current Date'!F:F,E23,
'YearA-AppDetails Current Date'!E:E,--F23,
'YearA-AppDetails Current Date'!T:T,{"APEX","DENY","NTSL"},
'YearA-AppDetails Current Date'!I:I,"FALL"))), "")</f>
        <v/>
      </c>
      <c r="M23" s="74" t="str" cm="1">
        <f t="array" ref="M23">IFERROR(1/(1/SUM(COUNTIFS(
'YearA-AppDetails Current Date'!A:A,D23,
'YearA-AppDetails Current Date'!F:F,E23,
'YearA-AppDetails Current Date'!E:E,--F23,
'YearA-AppDetails Current Date'!U:U,{"CCAN","DECL"},
'YearA-AppDetails Current Date'!I:I,"FALL"))), "")</f>
        <v/>
      </c>
      <c r="N23" s="74" t="str" cm="1">
        <f t="array" ref="N23">IFERROR(1/(1/SUM(COUNTIFS(
'YearA-AppDetails Current Date'!A:A,D23,
'YearA-AppDetails Current Date'!F:F,E23,
'YearA-AppDetails Current Date'!E:E,--F23,
'YearA-AppDetails Current Date'!V:V,{"APRO","NODE"},
'YearA-AppDetails Current Date'!I:I,"FALL"))), "")</f>
        <v/>
      </c>
      <c r="O23" s="74" t="str" cm="1">
        <f t="array" ref="O23">IFERROR(1/(1/SUM(COUNTIFS(
'YearA-AppDetails Current Date'!A:A,D23,
'YearA-AppDetails Current Date'!F:F,E23,
'YearA-AppDetails Current Date'!E:E,--F23,
'YearA-AppDetails Current Date'!T:T,{"CDMT","RQMT","WAIT"},
'YearA-AppDetails Current Date'!I:I,"FALL"))), "")</f>
        <v/>
      </c>
      <c r="P23" s="74" t="str">
        <f>IFERROR(1/(1/COUNTIFS(
'YearA-AppDetails Current Date'!A:A,D23,
'YearA-AppDetails Current Date'!F:F,E23,
'YearA-AppDetails Current Date'!E:E,--F23,
'YearA-AppDetails Current Date'!Y:Y,"ENRO",
'YearA-AppDetails Current Date'!I:I,"FALL")),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HC'!D:T,4,FALSE)),
N(VLOOKUP(D24&amp;F24,'Budgeted Projections Dom HC'!D:T,5,FALSE))
)
),"")</f>
        <v/>
      </c>
      <c r="I24" s="73" t="str">
        <f>IFERROR(1/(1/COUNTIFS(
'YearA-AppDetails Current Date'!A:A,D24,
'YearA-AppDetails Current Date'!F:F,E24,
'YearA-AppDetails Current Date'!E:E,--F24,
'YearA-AppDetails Current Date'!I:I,"FALL")), "")</f>
        <v/>
      </c>
      <c r="J24" s="74" t="str" cm="1">
        <f t="array" ref="J24">IFERROR(1/(1/SUM(COUNTIFS(
'YearA-AppDetails Current Date'!A:A,D24,
'YearA-AppDetails Current Date'!F:F,E24,
'YearA-AppDetails Current Date'!E:E,--F24,
'YearA-AppDetails Current Date'!O:O,{"ACLN","ACPT","COND"},
'YearA-AppDetails Current Date'!S:S,"&lt;&gt;ACLN",
'YearA-AppDetails Current Date'!S:S,"&lt;&gt;ACPT",
'YearA-AppDetails Current Date'!S:S,"&lt;&gt;COND",
'YearA-AppDetails Current Date'!I:I,"FALL"))), "")</f>
        <v/>
      </c>
      <c r="K24" s="73" t="str">
        <f>IFERROR(1/(1/SUM(COUNTIFS(
'YearA-AppDetails Current Date'!A:A,D24,
'YearA-AppDetails Current Date'!F:F,E24,
'YearA-AppDetails Current Date'!E:E,--F24,
'YearA-AppDetails Current Date'!R:R,"&lt;&gt;"&amp;"",
'YearA-AppDetails Current Date'!I:I,"FALL"))), "")</f>
        <v/>
      </c>
      <c r="L24" s="74" t="str" cm="1">
        <f t="array" ref="L24">IFERROR(1/(1/SUM(COUNTIFS(
'YearA-AppDetails Current Date'!A:A,D24,
'YearA-AppDetails Current Date'!F:F,E24,
'YearA-AppDetails Current Date'!E:E,--F24,
'YearA-AppDetails Current Date'!T:T,{"APEX","DENY","NTSL"},
'YearA-AppDetails Current Date'!I:I,"FALL"))), "")</f>
        <v/>
      </c>
      <c r="M24" s="74" t="str" cm="1">
        <f t="array" ref="M24">IFERROR(1/(1/SUM(COUNTIFS(
'YearA-AppDetails Current Date'!A:A,D24,
'YearA-AppDetails Current Date'!F:F,E24,
'YearA-AppDetails Current Date'!E:E,--F24,
'YearA-AppDetails Current Date'!U:U,{"CCAN","DECL"},
'YearA-AppDetails Current Date'!I:I,"FALL"))), "")</f>
        <v/>
      </c>
      <c r="N24" s="74" t="str" cm="1">
        <f t="array" ref="N24">IFERROR(1/(1/SUM(COUNTIFS(
'YearA-AppDetails Current Date'!A:A,D24,
'YearA-AppDetails Current Date'!F:F,E24,
'YearA-AppDetails Current Date'!E:E,--F24,
'YearA-AppDetails Current Date'!V:V,{"APRO","NODE"},
'YearA-AppDetails Current Date'!I:I,"FALL"))), "")</f>
        <v/>
      </c>
      <c r="O24" s="74" t="str" cm="1">
        <f t="array" ref="O24">IFERROR(1/(1/SUM(COUNTIFS(
'YearA-AppDetails Current Date'!A:A,D24,
'YearA-AppDetails Current Date'!F:F,E24,
'YearA-AppDetails Current Date'!E:E,--F24,
'YearA-AppDetails Current Date'!T:T,{"CDMT","RQMT","WAIT"},
'YearA-AppDetails Current Date'!I:I,"FALL"))), "")</f>
        <v/>
      </c>
      <c r="P24" s="74" t="str">
        <f>IFERROR(1/(1/COUNTIFS(
'YearA-AppDetails Current Date'!A:A,D24,
'YearA-AppDetails Current Date'!F:F,E24,
'YearA-AppDetails Current Date'!E:E,--F24,
'YearA-AppDetails Current Date'!Y:Y,"ENRO",
'YearA-AppDetails Current Date'!I:I,"FALL")),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HC'!D:T,4,FALSE)),
N(VLOOKUP(D25&amp;F25,'Budgeted Projections Intl HC'!D:T,5,FALSE))
)
),"")</f>
        <v/>
      </c>
      <c r="I25" s="73" t="str">
        <f>IFERROR(1/(1/COUNTIFS(
'YearA-AppDetails Current Date'!A:A,D25,
'YearA-AppDetails Current Date'!F:F,E25,
'YearA-AppDetails Current Date'!E:E,--F25,
'YearA-AppDetails Current Date'!I:I,"FALL")), "")</f>
        <v/>
      </c>
      <c r="J25" s="74" t="str" cm="1">
        <f t="array" ref="J25">IFERROR(1/(1/SUM(COUNTIFS(
'YearA-AppDetails Current Date'!A:A,D25,
'YearA-AppDetails Current Date'!F:F,E25,
'YearA-AppDetails Current Date'!E:E,--F25,
'YearA-AppDetails Current Date'!O:O,{"ACLN","ACPT","COND"},
'YearA-AppDetails Current Date'!S:S,"&lt;&gt;ACLN",
'YearA-AppDetails Current Date'!S:S,"&lt;&gt;ACPT",
'YearA-AppDetails Current Date'!S:S,"&lt;&gt;COND",
'YearA-AppDetails Current Date'!I:I,"FALL"))), "")</f>
        <v/>
      </c>
      <c r="K25" s="73" t="str">
        <f>IFERROR(1/(1/SUM(COUNTIFS(
'YearA-AppDetails Current Date'!A:A,D25,
'YearA-AppDetails Current Date'!F:F,E25,
'YearA-AppDetails Current Date'!E:E,--F25,
'YearA-AppDetails Current Date'!R:R,"&lt;&gt;"&amp;"",
'YearA-AppDetails Current Date'!I:I,"FALL"))), "")</f>
        <v/>
      </c>
      <c r="L25" s="74" t="str" cm="1">
        <f t="array" ref="L25">IFERROR(1/(1/SUM(COUNTIFS(
'YearA-AppDetails Current Date'!A:A,D25,
'YearA-AppDetails Current Date'!F:F,E25,
'YearA-AppDetails Current Date'!E:E,--F25,
'YearA-AppDetails Current Date'!T:T,{"APEX","DENY","NTSL"},
'YearA-AppDetails Current Date'!I:I,"FALL"))), "")</f>
        <v/>
      </c>
      <c r="M25" s="74" t="str" cm="1">
        <f t="array" ref="M25">IFERROR(1/(1/SUM(COUNTIFS(
'YearA-AppDetails Current Date'!A:A,D25,
'YearA-AppDetails Current Date'!F:F,E25,
'YearA-AppDetails Current Date'!E:E,--F25,
'YearA-AppDetails Current Date'!U:U,{"CCAN","DECL"},
'YearA-AppDetails Current Date'!I:I,"FALL"))), "")</f>
        <v/>
      </c>
      <c r="N25" s="74" t="str" cm="1">
        <f t="array" ref="N25">IFERROR(1/(1/SUM(COUNTIFS(
'YearA-AppDetails Current Date'!A:A,D25,
'YearA-AppDetails Current Date'!F:F,E25,
'YearA-AppDetails Current Date'!E:E,--F25,
'YearA-AppDetails Current Date'!V:V,{"APRO","NODE"},
'YearA-AppDetails Current Date'!I:I,"FALL"))), "")</f>
        <v/>
      </c>
      <c r="O25" s="74" t="str" cm="1">
        <f t="array" ref="O25">IFERROR(1/(1/SUM(COUNTIFS(
'YearA-AppDetails Current Date'!A:A,D25,
'YearA-AppDetails Current Date'!F:F,E25,
'YearA-AppDetails Current Date'!E:E,--F25,
'YearA-AppDetails Current Date'!T:T,{"CDMT","RQMT","WAIT"},
'YearA-AppDetails Current Date'!I:I,"FALL"))), "")</f>
        <v/>
      </c>
      <c r="P25" s="74" t="str">
        <f>IFERROR(1/(1/COUNTIFS(
'YearA-AppDetails Current Date'!A:A,D25,
'YearA-AppDetails Current Date'!F:F,E25,
'YearA-AppDetails Current Date'!E:E,--F25,
'YearA-AppDetails Current Date'!Y:Y,"ENRO",
'YearA-AppDetails Current Date'!I:I,"FALL")),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HC'!D:T,4,FALSE)),
N(VLOOKUP(D26&amp;F26,'Budgeted Projections Dom HC'!D:T,5,FALSE))
)
),"")</f>
        <v/>
      </c>
      <c r="I26" s="73" t="str">
        <f>IFERROR(1/(1/COUNTIFS(
'YearA-AppDetails Current Date'!A:A,D26,
'YearA-AppDetails Current Date'!F:F,E26,
'YearA-AppDetails Current Date'!E:E,--F26,
'YearA-AppDetails Current Date'!I:I,"FALL")), "")</f>
        <v/>
      </c>
      <c r="J26" s="74" t="str" cm="1">
        <f t="array" ref="J26">IFERROR(1/(1/SUM(COUNTIFS(
'YearA-AppDetails Current Date'!A:A,D26,
'YearA-AppDetails Current Date'!F:F,E26,
'YearA-AppDetails Current Date'!E:E,--F26,
'YearA-AppDetails Current Date'!O:O,{"ACLN","ACPT","COND"},
'YearA-AppDetails Current Date'!S:S,"&lt;&gt;ACLN",
'YearA-AppDetails Current Date'!S:S,"&lt;&gt;ACPT",
'YearA-AppDetails Current Date'!S:S,"&lt;&gt;COND",
'YearA-AppDetails Current Date'!I:I,"FALL"))), "")</f>
        <v/>
      </c>
      <c r="K26" s="73" t="str">
        <f>IFERROR(1/(1/SUM(COUNTIFS(
'YearA-AppDetails Current Date'!A:A,D26,
'YearA-AppDetails Current Date'!F:F,E26,
'YearA-AppDetails Current Date'!E:E,--F26,
'YearA-AppDetails Current Date'!R:R,"&lt;&gt;"&amp;"",
'YearA-AppDetails Current Date'!I:I,"FALL"))), "")</f>
        <v/>
      </c>
      <c r="L26" s="74" t="str" cm="1">
        <f t="array" ref="L26">IFERROR(1/(1/SUM(COUNTIFS(
'YearA-AppDetails Current Date'!A:A,D26,
'YearA-AppDetails Current Date'!F:F,E26,
'YearA-AppDetails Current Date'!E:E,--F26,
'YearA-AppDetails Current Date'!T:T,{"APEX","DENY","NTSL"},
'YearA-AppDetails Current Date'!I:I,"FALL"))), "")</f>
        <v/>
      </c>
      <c r="M26" s="74" t="str" cm="1">
        <f t="array" ref="M26">IFERROR(1/(1/SUM(COUNTIFS(
'YearA-AppDetails Current Date'!A:A,D26,
'YearA-AppDetails Current Date'!F:F,E26,
'YearA-AppDetails Current Date'!E:E,--F26,
'YearA-AppDetails Current Date'!U:U,{"CCAN","DECL"},
'YearA-AppDetails Current Date'!I:I,"FALL"))), "")</f>
        <v/>
      </c>
      <c r="N26" s="74" t="str" cm="1">
        <f t="array" ref="N26">IFERROR(1/(1/SUM(COUNTIFS(
'YearA-AppDetails Current Date'!A:A,D26,
'YearA-AppDetails Current Date'!F:F,E26,
'YearA-AppDetails Current Date'!E:E,--F26,
'YearA-AppDetails Current Date'!V:V,{"APRO","NODE"},
'YearA-AppDetails Current Date'!I:I,"FALL"))), "")</f>
        <v/>
      </c>
      <c r="O26" s="74" t="str" cm="1">
        <f t="array" ref="O26">IFERROR(1/(1/SUM(COUNTIFS(
'YearA-AppDetails Current Date'!A:A,D26,
'YearA-AppDetails Current Date'!F:F,E26,
'YearA-AppDetails Current Date'!E:E,--F26,
'YearA-AppDetails Current Date'!T:T,{"CDMT","RQMT","WAIT"},
'YearA-AppDetails Current Date'!I:I,"FALL"))), "")</f>
        <v/>
      </c>
      <c r="P26" s="74" t="str">
        <f>IFERROR(1/(1/COUNTIFS(
'YearA-AppDetails Current Date'!A:A,D26,
'YearA-AppDetails Current Date'!F:F,E26,
'YearA-AppDetails Current Date'!E:E,--F26,
'YearA-AppDetails Current Date'!Y:Y,"ENRO",
'YearA-AppDetails Current Date'!I:I,"FALL")),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HC'!D:T,4,FALSE)),
N(VLOOKUP(D27&amp;F27,'Budgeted Projections Intl HC'!D:T,5,FALSE))
)
),"")</f>
        <v/>
      </c>
      <c r="I27" s="73" t="str">
        <f>IFERROR(1/(1/COUNTIFS(
'YearA-AppDetails Current Date'!A:A,D27,
'YearA-AppDetails Current Date'!F:F,E27,
'YearA-AppDetails Current Date'!E:E,--F27,
'YearA-AppDetails Current Date'!I:I,"FALL")), "")</f>
        <v/>
      </c>
      <c r="J27" s="74" t="str" cm="1">
        <f t="array" ref="J27">IFERROR(1/(1/SUM(COUNTIFS(
'YearA-AppDetails Current Date'!A:A,D27,
'YearA-AppDetails Current Date'!F:F,E27,
'YearA-AppDetails Current Date'!E:E,--F27,
'YearA-AppDetails Current Date'!O:O,{"ACLN","ACPT","COND"},
'YearA-AppDetails Current Date'!S:S,"&lt;&gt;ACLN",
'YearA-AppDetails Current Date'!S:S,"&lt;&gt;ACPT",
'YearA-AppDetails Current Date'!S:S,"&lt;&gt;COND",
'YearA-AppDetails Current Date'!I:I,"FALL"))), "")</f>
        <v/>
      </c>
      <c r="K27" s="73" t="str">
        <f>IFERROR(1/(1/SUM(COUNTIFS(
'YearA-AppDetails Current Date'!A:A,D27,
'YearA-AppDetails Current Date'!F:F,E27,
'YearA-AppDetails Current Date'!E:E,--F27,
'YearA-AppDetails Current Date'!R:R,"&lt;&gt;"&amp;"",
'YearA-AppDetails Current Date'!I:I,"FALL"))), "")</f>
        <v/>
      </c>
      <c r="L27" s="74" t="str" cm="1">
        <f t="array" ref="L27">IFERROR(1/(1/SUM(COUNTIFS(
'YearA-AppDetails Current Date'!A:A,D27,
'YearA-AppDetails Current Date'!F:F,E27,
'YearA-AppDetails Current Date'!E:E,--F27,
'YearA-AppDetails Current Date'!T:T,{"APEX","DENY","NTSL"},
'YearA-AppDetails Current Date'!I:I,"FALL"))), "")</f>
        <v/>
      </c>
      <c r="M27" s="74" t="str" cm="1">
        <f t="array" ref="M27">IFERROR(1/(1/SUM(COUNTIFS(
'YearA-AppDetails Current Date'!A:A,D27,
'YearA-AppDetails Current Date'!F:F,E27,
'YearA-AppDetails Current Date'!E:E,--F27,
'YearA-AppDetails Current Date'!U:U,{"CCAN","DECL"},
'YearA-AppDetails Current Date'!I:I,"FALL"))), "")</f>
        <v/>
      </c>
      <c r="N27" s="74" t="str" cm="1">
        <f t="array" ref="N27">IFERROR(1/(1/SUM(COUNTIFS(
'YearA-AppDetails Current Date'!A:A,D27,
'YearA-AppDetails Current Date'!F:F,E27,
'YearA-AppDetails Current Date'!E:E,--F27,
'YearA-AppDetails Current Date'!V:V,{"APRO","NODE"},
'YearA-AppDetails Current Date'!I:I,"FALL"))), "")</f>
        <v/>
      </c>
      <c r="O27" s="74" t="str" cm="1">
        <f t="array" ref="O27">IFERROR(1/(1/SUM(COUNTIFS(
'YearA-AppDetails Current Date'!A:A,D27,
'YearA-AppDetails Current Date'!F:F,E27,
'YearA-AppDetails Current Date'!E:E,--F27,
'YearA-AppDetails Current Date'!T:T,{"CDMT","RQMT","WAIT"},
'YearA-AppDetails Current Date'!I:I,"FALL"))), "")</f>
        <v/>
      </c>
      <c r="P27" s="74" t="str">
        <f>IFERROR(1/(1/COUNTIFS(
'YearA-AppDetails Current Date'!A:A,D27,
'YearA-AppDetails Current Date'!F:F,E27,
'YearA-AppDetails Current Date'!E:E,--F27,
'YearA-AppDetails Current Date'!Y:Y,"ENRO",
'YearA-AppDetails Current Date'!I:I,"FALL")),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HC'!D:T,4,FALSE)),
N(VLOOKUP(D29&amp;F29,'Budgeted Projections Dom HC'!D:T,5,FALSE))
)
),"")</f>
        <v/>
      </c>
      <c r="I29" s="73" t="str">
        <f>IFERROR(1/(1/COUNTIFS(
'YearA-AppDetails Current Date'!A:A,D29,
'YearA-AppDetails Current Date'!F:F,E29,
'YearA-AppDetails Current Date'!E:E,--F29,
'YearA-AppDetails Current Date'!I:I,"FALL")), "")</f>
        <v/>
      </c>
      <c r="J29" s="74" t="str" cm="1">
        <f t="array" ref="J29">IFERROR(1/(1/SUM(COUNTIFS(
'YearA-AppDetails Current Date'!A:A,D29,
'YearA-AppDetails Current Date'!F:F,E29,
'YearA-AppDetails Current Date'!E:E,--F29,
'YearA-AppDetails Current Date'!O:O,{"ACLN","ACPT","COND"},
'YearA-AppDetails Current Date'!S:S,"&lt;&gt;ACLN",
'YearA-AppDetails Current Date'!S:S,"&lt;&gt;ACPT",
'YearA-AppDetails Current Date'!S:S,"&lt;&gt;COND",
'YearA-AppDetails Current Date'!I:I,"FALL"))), "")</f>
        <v/>
      </c>
      <c r="K29" s="73" t="str">
        <f>IFERROR(1/(1/SUM(COUNTIFS(
'YearA-AppDetails Current Date'!A:A,D29,
'YearA-AppDetails Current Date'!F:F,E29,
'YearA-AppDetails Current Date'!E:E,--F29,
'YearA-AppDetails Current Date'!R:R,"&lt;&gt;"&amp;"",
'YearA-AppDetails Current Date'!I:I,"FALL"))), "")</f>
        <v/>
      </c>
      <c r="L29" s="74" t="str" cm="1">
        <f t="array" ref="L29">IFERROR(1/(1/SUM(COUNTIFS(
'YearA-AppDetails Current Date'!A:A,D29,
'YearA-AppDetails Current Date'!F:F,E29,
'YearA-AppDetails Current Date'!E:E,--F29,
'YearA-AppDetails Current Date'!T:T,{"APEX","DENY","NTSL"},
'YearA-AppDetails Current Date'!I:I,"FALL"))), "")</f>
        <v/>
      </c>
      <c r="M29" s="74" t="str" cm="1">
        <f t="array" ref="M29">IFERROR(1/(1/SUM(COUNTIFS(
'YearA-AppDetails Current Date'!A:A,D29,
'YearA-AppDetails Current Date'!F:F,E29,
'YearA-AppDetails Current Date'!E:E,--F29,
'YearA-AppDetails Current Date'!U:U,{"CCAN","DECL"},
'YearA-AppDetails Current Date'!I:I,"FALL"))), "")</f>
        <v/>
      </c>
      <c r="N29" s="74" t="str" cm="1">
        <f t="array" ref="N29">IFERROR(1/(1/SUM(COUNTIFS(
'YearA-AppDetails Current Date'!A:A,D29,
'YearA-AppDetails Current Date'!F:F,E29,
'YearA-AppDetails Current Date'!E:E,--F29,
'YearA-AppDetails Current Date'!V:V,{"APRO","NODE"},
'YearA-AppDetails Current Date'!I:I,"FALL"))), "")</f>
        <v/>
      </c>
      <c r="O29" s="74" t="str" cm="1">
        <f t="array" ref="O29">IFERROR(1/(1/SUM(COUNTIFS(
'YearA-AppDetails Current Date'!A:A,D29,
'YearA-AppDetails Current Date'!F:F,E29,
'YearA-AppDetails Current Date'!E:E,--F29,
'YearA-AppDetails Current Date'!T:T,{"CDMT","RQMT","WAIT"},
'YearA-AppDetails Current Date'!I:I,"FALL"))), "")</f>
        <v/>
      </c>
      <c r="P29" s="74" t="str">
        <f>IFERROR(1/(1/COUNTIFS(
'YearA-AppDetails Current Date'!A:A,D29,
'YearA-AppDetails Current Date'!F:F,E29,
'YearA-AppDetails Current Date'!E:E,--F29,
'YearA-AppDetails Current Date'!Y:Y,"ENRO",
'YearA-AppDetails Current Date'!I:I,"FALL")),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HC'!D:T,4,FALSE)),
N(VLOOKUP(D30&amp;F30,'Budgeted Projections Intl HC'!D:T,5,FALSE))
)
),"")</f>
        <v/>
      </c>
      <c r="I30" s="73" t="str">
        <f>IFERROR(1/(1/COUNTIFS(
'YearA-AppDetails Current Date'!A:A,D30,
'YearA-AppDetails Current Date'!F:F,E30,
'YearA-AppDetails Current Date'!E:E,--F30,
'YearA-AppDetails Current Date'!I:I,"FALL")), "")</f>
        <v/>
      </c>
      <c r="J30" s="74" t="str" cm="1">
        <f t="array" ref="J30">IFERROR(1/(1/SUM(COUNTIFS(
'YearA-AppDetails Current Date'!A:A,D30,
'YearA-AppDetails Current Date'!F:F,E30,
'YearA-AppDetails Current Date'!E:E,--F30,
'YearA-AppDetails Current Date'!O:O,{"ACLN","ACPT","COND"},
'YearA-AppDetails Current Date'!S:S,"&lt;&gt;ACLN",
'YearA-AppDetails Current Date'!S:S,"&lt;&gt;ACPT",
'YearA-AppDetails Current Date'!S:S,"&lt;&gt;COND",
'YearA-AppDetails Current Date'!I:I,"FALL"))), "")</f>
        <v/>
      </c>
      <c r="K30" s="73" t="str">
        <f>IFERROR(1/(1/SUM(COUNTIFS(
'YearA-AppDetails Current Date'!A:A,D30,
'YearA-AppDetails Current Date'!F:F,E30,
'YearA-AppDetails Current Date'!E:E,--F30,
'YearA-AppDetails Current Date'!R:R,"&lt;&gt;"&amp;"",
'YearA-AppDetails Current Date'!I:I,"FALL"))), "")</f>
        <v/>
      </c>
      <c r="L30" s="74" t="str" cm="1">
        <f t="array" ref="L30">IFERROR(1/(1/SUM(COUNTIFS(
'YearA-AppDetails Current Date'!A:A,D30,
'YearA-AppDetails Current Date'!F:F,E30,
'YearA-AppDetails Current Date'!E:E,--F30,
'YearA-AppDetails Current Date'!T:T,{"APEX","DENY","NTSL"},
'YearA-AppDetails Current Date'!I:I,"FALL"))), "")</f>
        <v/>
      </c>
      <c r="M30" s="74" t="str" cm="1">
        <f t="array" ref="M30">IFERROR(1/(1/SUM(COUNTIFS(
'YearA-AppDetails Current Date'!A:A,D30,
'YearA-AppDetails Current Date'!F:F,E30,
'YearA-AppDetails Current Date'!E:E,--F30,
'YearA-AppDetails Current Date'!U:U,{"CCAN","DECL"},
'YearA-AppDetails Current Date'!I:I,"FALL"))), "")</f>
        <v/>
      </c>
      <c r="N30" s="74" t="str" cm="1">
        <f t="array" ref="N30">IFERROR(1/(1/SUM(COUNTIFS(
'YearA-AppDetails Current Date'!A:A,D30,
'YearA-AppDetails Current Date'!F:F,E30,
'YearA-AppDetails Current Date'!E:E,--F30,
'YearA-AppDetails Current Date'!V:V,{"APRO","NODE"},
'YearA-AppDetails Current Date'!I:I,"FALL"))), "")</f>
        <v/>
      </c>
      <c r="O30" s="74" t="str" cm="1">
        <f t="array" ref="O30">IFERROR(1/(1/SUM(COUNTIFS(
'YearA-AppDetails Current Date'!A:A,D30,
'YearA-AppDetails Current Date'!F:F,E30,
'YearA-AppDetails Current Date'!E:E,--F30,
'YearA-AppDetails Current Date'!T:T,{"CDMT","RQMT","WAIT"},
'YearA-AppDetails Current Date'!I:I,"FALL"))), "")</f>
        <v/>
      </c>
      <c r="P30" s="74" t="str">
        <f>IFERROR(1/(1/COUNTIFS(
'YearA-AppDetails Current Date'!A:A,D30,
'YearA-AppDetails Current Date'!F:F,E30,
'YearA-AppDetails Current Date'!E:E,--F30,
'YearA-AppDetails Current Date'!Y:Y,"ENRO",
'YearA-AppDetails Current Date'!I:I,"FALL")),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HC'!D:T,4,FALSE)),
N(VLOOKUP(D31&amp;F31,'Budgeted Projections Dom HC'!D:T,5,FALSE))
)
),"")</f>
        <v/>
      </c>
      <c r="I31" s="73" t="str">
        <f>IFERROR(1/(1/COUNTIFS(
'YearA-AppDetails Current Date'!A:A,D31,
'YearA-AppDetails Current Date'!F:F,E31,
'YearA-AppDetails Current Date'!E:E,--F31,
'YearA-AppDetails Current Date'!I:I,"FALL")), "")</f>
        <v/>
      </c>
      <c r="J31" s="74" t="str" cm="1">
        <f t="array" ref="J31">IFERROR(1/(1/SUM(COUNTIFS(
'YearA-AppDetails Current Date'!A:A,D31,
'YearA-AppDetails Current Date'!F:F,E31,
'YearA-AppDetails Current Date'!E:E,--F31,
'YearA-AppDetails Current Date'!O:O,{"ACLN","ACPT","COND"},
'YearA-AppDetails Current Date'!S:S,"&lt;&gt;ACLN",
'YearA-AppDetails Current Date'!S:S,"&lt;&gt;ACPT",
'YearA-AppDetails Current Date'!S:S,"&lt;&gt;COND",
'YearA-AppDetails Current Date'!I:I,"FALL"))), "")</f>
        <v/>
      </c>
      <c r="K31" s="73" t="str">
        <f>IFERROR(1/(1/SUM(COUNTIFS(
'YearA-AppDetails Current Date'!A:A,D31,
'YearA-AppDetails Current Date'!F:F,E31,
'YearA-AppDetails Current Date'!E:E,--F31,
'YearA-AppDetails Current Date'!R:R,"&lt;&gt;"&amp;"",
'YearA-AppDetails Current Date'!I:I,"FALL"))), "")</f>
        <v/>
      </c>
      <c r="L31" s="74" t="str" cm="1">
        <f t="array" ref="L31">IFERROR(1/(1/SUM(COUNTIFS(
'YearA-AppDetails Current Date'!A:A,D31,
'YearA-AppDetails Current Date'!F:F,E31,
'YearA-AppDetails Current Date'!E:E,--F31,
'YearA-AppDetails Current Date'!T:T,{"APEX","DENY","NTSL"},
'YearA-AppDetails Current Date'!I:I,"FALL"))), "")</f>
        <v/>
      </c>
      <c r="M31" s="74" t="str" cm="1">
        <f t="array" ref="M31">IFERROR(1/(1/SUM(COUNTIFS(
'YearA-AppDetails Current Date'!A:A,D31,
'YearA-AppDetails Current Date'!F:F,E31,
'YearA-AppDetails Current Date'!E:E,--F31,
'YearA-AppDetails Current Date'!U:U,{"CCAN","DECL"},
'YearA-AppDetails Current Date'!I:I,"FALL"))), "")</f>
        <v/>
      </c>
      <c r="N31" s="74" t="str" cm="1">
        <f t="array" ref="N31">IFERROR(1/(1/SUM(COUNTIFS(
'YearA-AppDetails Current Date'!A:A,D31,
'YearA-AppDetails Current Date'!F:F,E31,
'YearA-AppDetails Current Date'!E:E,--F31,
'YearA-AppDetails Current Date'!V:V,{"APRO","NODE"},
'YearA-AppDetails Current Date'!I:I,"FALL"))), "")</f>
        <v/>
      </c>
      <c r="O31" s="74" t="str" cm="1">
        <f t="array" ref="O31">IFERROR(1/(1/SUM(COUNTIFS(
'YearA-AppDetails Current Date'!A:A,D31,
'YearA-AppDetails Current Date'!F:F,E31,
'YearA-AppDetails Current Date'!E:E,--F31,
'YearA-AppDetails Current Date'!T:T,{"CDMT","RQMT","WAIT"},
'YearA-AppDetails Current Date'!I:I,"FALL"))), "")</f>
        <v/>
      </c>
      <c r="P31" s="74" t="str">
        <f>IFERROR(1/(1/COUNTIFS(
'YearA-AppDetails Current Date'!A:A,D31,
'YearA-AppDetails Current Date'!F:F,E31,
'YearA-AppDetails Current Date'!E:E,--F31,
'YearA-AppDetails Current Date'!Y:Y,"ENRO",
'YearA-AppDetails Current Date'!I:I,"FALL")),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HC'!D:T,4,FALSE)),
N(VLOOKUP(D32&amp;F32,'Budgeted Projections Intl HC'!D:T,5,FALSE))
)
),"")</f>
        <v/>
      </c>
      <c r="I32" s="73" t="str">
        <f>IFERROR(1/(1/COUNTIFS(
'YearA-AppDetails Current Date'!A:A,D32,
'YearA-AppDetails Current Date'!F:F,E32,
'YearA-AppDetails Current Date'!E:E,--F32,
'YearA-AppDetails Current Date'!I:I,"FALL")), "")</f>
        <v/>
      </c>
      <c r="J32" s="74" t="str" cm="1">
        <f t="array" ref="J32">IFERROR(1/(1/SUM(COUNTIFS(
'YearA-AppDetails Current Date'!A:A,D32,
'YearA-AppDetails Current Date'!F:F,E32,
'YearA-AppDetails Current Date'!E:E,--F32,
'YearA-AppDetails Current Date'!O:O,{"ACLN","ACPT","COND"},
'YearA-AppDetails Current Date'!S:S,"&lt;&gt;ACLN",
'YearA-AppDetails Current Date'!S:S,"&lt;&gt;ACPT",
'YearA-AppDetails Current Date'!S:S,"&lt;&gt;COND",
'YearA-AppDetails Current Date'!I:I,"FALL"))), "")</f>
        <v/>
      </c>
      <c r="K32" s="73" t="str">
        <f>IFERROR(1/(1/SUM(COUNTIFS(
'YearA-AppDetails Current Date'!A:A,D32,
'YearA-AppDetails Current Date'!F:F,E32,
'YearA-AppDetails Current Date'!E:E,--F32,
'YearA-AppDetails Current Date'!R:R,"&lt;&gt;"&amp;"",
'YearA-AppDetails Current Date'!I:I,"FALL"))), "")</f>
        <v/>
      </c>
      <c r="L32" s="74" t="str" cm="1">
        <f t="array" ref="L32">IFERROR(1/(1/SUM(COUNTIFS(
'YearA-AppDetails Current Date'!A:A,D32,
'YearA-AppDetails Current Date'!F:F,E32,
'YearA-AppDetails Current Date'!E:E,--F32,
'YearA-AppDetails Current Date'!T:T,{"APEX","DENY","NTSL"},
'YearA-AppDetails Current Date'!I:I,"FALL"))), "")</f>
        <v/>
      </c>
      <c r="M32" s="74" t="str" cm="1">
        <f t="array" ref="M32">IFERROR(1/(1/SUM(COUNTIFS(
'YearA-AppDetails Current Date'!A:A,D32,
'YearA-AppDetails Current Date'!F:F,E32,
'YearA-AppDetails Current Date'!E:E,--F32,
'YearA-AppDetails Current Date'!U:U,{"CCAN","DECL"},
'YearA-AppDetails Current Date'!I:I,"FALL"))), "")</f>
        <v/>
      </c>
      <c r="N32" s="74" t="str" cm="1">
        <f t="array" ref="N32">IFERROR(1/(1/SUM(COUNTIFS(
'YearA-AppDetails Current Date'!A:A,D32,
'YearA-AppDetails Current Date'!F:F,E32,
'YearA-AppDetails Current Date'!E:E,--F32,
'YearA-AppDetails Current Date'!V:V,{"APRO","NODE"},
'YearA-AppDetails Current Date'!I:I,"FALL"))), "")</f>
        <v/>
      </c>
      <c r="O32" s="74" t="str" cm="1">
        <f t="array" ref="O32">IFERROR(1/(1/SUM(COUNTIFS(
'YearA-AppDetails Current Date'!A:A,D32,
'YearA-AppDetails Current Date'!F:F,E32,
'YearA-AppDetails Current Date'!E:E,--F32,
'YearA-AppDetails Current Date'!T:T,{"CDMT","RQMT","WAIT"},
'YearA-AppDetails Current Date'!I:I,"FALL"))), "")</f>
        <v/>
      </c>
      <c r="P32" s="74" t="str">
        <f>IFERROR(1/(1/COUNTIFS(
'YearA-AppDetails Current Date'!A:A,D32,
'YearA-AppDetails Current Date'!F:F,E32,
'YearA-AppDetails Current Date'!E:E,--F32,
'YearA-AppDetails Current Date'!Y:Y,"ENRO",
'YearA-AppDetails Current Date'!I:I,"FALL")),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SUM(J17,J28,J33)</f>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HC'!D:T,4,FALSE)),
N(VLOOKUP(D35&amp;F35,'Budgeted Projections Dom HC'!D:T,5,FALSE))
)
),"")</f>
        <v/>
      </c>
      <c r="I35" s="73" t="str">
        <f>IFERROR(1/(1/COUNTIFS(
'YearA-AppDetails Current Date'!A:A,D35,
'YearA-AppDetails Current Date'!F:F,E35,
'YearA-AppDetails Current Date'!E:E,--F35,
'YearA-AppDetails Current Date'!I:I,"FALL")), "")</f>
        <v/>
      </c>
      <c r="J35" s="74" t="str" cm="1">
        <f t="array" ref="J35">IFERROR(1/(1/SUM(COUNTIFS(
'YearA-AppDetails Current Date'!A:A,D35,
'YearA-AppDetails Current Date'!F:F,E35,
'YearA-AppDetails Current Date'!E:E,--F35,
'YearA-AppDetails Current Date'!O:O,{"ACLN","ACPT","COND"},
'YearA-AppDetails Current Date'!S:S,"&lt;&gt;ACLN",
'YearA-AppDetails Current Date'!S:S,"&lt;&gt;ACPT",
'YearA-AppDetails Current Date'!S:S,"&lt;&gt;COND",
'YearA-AppDetails Current Date'!I:I,"FALL"))), "")</f>
        <v/>
      </c>
      <c r="K35" s="73" t="str">
        <f>IFERROR(1/(1/SUM(COUNTIFS(
'YearA-AppDetails Current Date'!A:A,D35,
'YearA-AppDetails Current Date'!F:F,E35,
'YearA-AppDetails Current Date'!E:E,--F35,
'YearA-AppDetails Current Date'!R:R,"&lt;&gt;"&amp;"",
'YearA-AppDetails Current Date'!I:I,"FALL"))), "")</f>
        <v/>
      </c>
      <c r="L35" s="74" t="str" cm="1">
        <f t="array" ref="L35">IFERROR(1/(1/SUM(COUNTIFS(
'YearA-AppDetails Current Date'!A:A,D35,
'YearA-AppDetails Current Date'!F:F,E35,
'YearA-AppDetails Current Date'!E:E,--F35,
'YearA-AppDetails Current Date'!T:T,{"APEX","DENY","NTSL"},
'YearA-AppDetails Current Date'!I:I,"FALL"))), "")</f>
        <v/>
      </c>
      <c r="M35" s="74" t="str" cm="1">
        <f t="array" ref="M35">IFERROR(1/(1/SUM(COUNTIFS(
'YearA-AppDetails Current Date'!A:A,D35,
'YearA-AppDetails Current Date'!F:F,E35,
'YearA-AppDetails Current Date'!E:E,--F35,
'YearA-AppDetails Current Date'!U:U,{"CCAN","DECL"},
'YearA-AppDetails Current Date'!I:I,"FALL"))), "")</f>
        <v/>
      </c>
      <c r="N35" s="74" t="str" cm="1">
        <f t="array" ref="N35">IFERROR(1/(1/SUM(COUNTIFS(
'YearA-AppDetails Current Date'!A:A,D35,
'YearA-AppDetails Current Date'!F:F,E35,
'YearA-AppDetails Current Date'!E:E,--F35,
'YearA-AppDetails Current Date'!V:V,{"APRO","NODE"},
'YearA-AppDetails Current Date'!I:I,"FALL"))), "")</f>
        <v/>
      </c>
      <c r="O35" s="74" t="str" cm="1">
        <f t="array" ref="O35">IFERROR(1/(1/SUM(COUNTIFS(
'YearA-AppDetails Current Date'!A:A,D35,
'YearA-AppDetails Current Date'!F:F,E35,
'YearA-AppDetails Current Date'!E:E,--F35,
'YearA-AppDetails Current Date'!T:T,{"CDMT","RQMT","WAIT"},
'YearA-AppDetails Current Date'!I:I,"FALL"))), "")</f>
        <v/>
      </c>
      <c r="P35" s="74" t="str">
        <f>IFERROR(1/(1/COUNTIFS(
'YearA-AppDetails Current Date'!A:A,D35,
'YearA-AppDetails Current Date'!F:F,E35,
'YearA-AppDetails Current Date'!E:E,--F35,
'YearA-AppDetails Current Date'!Y:Y,"ENRO",
'YearA-AppDetails Current Date'!I:I,"FALL")),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HC'!D:T,4,FALSE)),
N(VLOOKUP(D36&amp;F36,'Budgeted Projections Intl HC'!D:T,5,FALSE))
)
),"")</f>
        <v/>
      </c>
      <c r="I36" s="73" t="str">
        <f>IFERROR(1/(1/COUNTIFS(
'YearA-AppDetails Current Date'!A:A,D36,
'YearA-AppDetails Current Date'!F:F,E36,
'YearA-AppDetails Current Date'!E:E,--F36,
'YearA-AppDetails Current Date'!I:I,"FALL")), "")</f>
        <v/>
      </c>
      <c r="J36" s="74" t="str" cm="1">
        <f t="array" ref="J36">IFERROR(1/(1/SUM(COUNTIFS(
'YearA-AppDetails Current Date'!A:A,D36,
'YearA-AppDetails Current Date'!F:F,E36,
'YearA-AppDetails Current Date'!E:E,--F36,
'YearA-AppDetails Current Date'!O:O,{"ACLN","ACPT","COND"},
'YearA-AppDetails Current Date'!S:S,"&lt;&gt;ACLN",
'YearA-AppDetails Current Date'!S:S,"&lt;&gt;ACPT",
'YearA-AppDetails Current Date'!S:S,"&lt;&gt;COND",
'YearA-AppDetails Current Date'!I:I,"FALL"))), "")</f>
        <v/>
      </c>
      <c r="K36" s="73" t="str">
        <f>IFERROR(1/(1/SUM(COUNTIFS(
'YearA-AppDetails Current Date'!A:A,D36,
'YearA-AppDetails Current Date'!F:F,E36,
'YearA-AppDetails Current Date'!E:E,--F36,
'YearA-AppDetails Current Date'!R:R,"&lt;&gt;"&amp;"",
'YearA-AppDetails Current Date'!I:I,"FALL"))), "")</f>
        <v/>
      </c>
      <c r="L36" s="74" t="str" cm="1">
        <f t="array" ref="L36">IFERROR(1/(1/SUM(COUNTIFS(
'YearA-AppDetails Current Date'!A:A,D36,
'YearA-AppDetails Current Date'!F:F,E36,
'YearA-AppDetails Current Date'!E:E,--F36,
'YearA-AppDetails Current Date'!T:T,{"APEX","DENY","NTSL"},
'YearA-AppDetails Current Date'!I:I,"FALL"))), "")</f>
        <v/>
      </c>
      <c r="M36" s="74" t="str" cm="1">
        <f t="array" ref="M36">IFERROR(1/(1/SUM(COUNTIFS(
'YearA-AppDetails Current Date'!A:A,D36,
'YearA-AppDetails Current Date'!F:F,E36,
'YearA-AppDetails Current Date'!E:E,--F36,
'YearA-AppDetails Current Date'!U:U,{"CCAN","DECL"},
'YearA-AppDetails Current Date'!I:I,"FALL"))), "")</f>
        <v/>
      </c>
      <c r="N36" s="74" t="str" cm="1">
        <f t="array" ref="N36">IFERROR(1/(1/SUM(COUNTIFS(
'YearA-AppDetails Current Date'!A:A,D36,
'YearA-AppDetails Current Date'!F:F,E36,
'YearA-AppDetails Current Date'!E:E,--F36,
'YearA-AppDetails Current Date'!V:V,{"APRO","NODE"},
'YearA-AppDetails Current Date'!I:I,"FALL"))), "")</f>
        <v/>
      </c>
      <c r="O36" s="74" t="str" cm="1">
        <f t="array" ref="O36">IFERROR(1/(1/SUM(COUNTIFS(
'YearA-AppDetails Current Date'!A:A,D36,
'YearA-AppDetails Current Date'!F:F,E36,
'YearA-AppDetails Current Date'!E:E,--F36,
'YearA-AppDetails Current Date'!T:T,{"CDMT","RQMT","WAIT"},
'YearA-AppDetails Current Date'!I:I,"FALL"))), "")</f>
        <v/>
      </c>
      <c r="P36" s="74" t="str">
        <f>IFERROR(1/(1/COUNTIFS(
'YearA-AppDetails Current Date'!A:A,D36,
'YearA-AppDetails Current Date'!F:F,E36,
'YearA-AppDetails Current Date'!E:E,--F36,
'YearA-AppDetails Current Date'!Y:Y,"ENRO",
'YearA-AppDetails Current Date'!I:I,"FALL")),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HC'!D:T,4,FALSE)),
N(VLOOKUP(D37&amp;F37,'Budgeted Projections Dom HC'!D:T,5,FALSE))
)
),"")</f>
        <v/>
      </c>
      <c r="I37" s="73" t="str">
        <f>IFERROR(1/(1/COUNTIFS(
'YearA-AppDetails Current Date'!A:A,D37,
'YearA-AppDetails Current Date'!F:F,E37,
'YearA-AppDetails Current Date'!E:E,--F37,
'YearA-AppDetails Current Date'!I:I,"FALL")), "")</f>
        <v/>
      </c>
      <c r="J37" s="74" t="str" cm="1">
        <f t="array" ref="J37">IFERROR(1/(1/SUM(COUNTIFS(
'YearA-AppDetails Current Date'!A:A,D37,
'YearA-AppDetails Current Date'!F:F,E37,
'YearA-AppDetails Current Date'!E:E,--F37,
'YearA-AppDetails Current Date'!O:O,{"ACLN","ACPT","COND"},
'YearA-AppDetails Current Date'!S:S,"&lt;&gt;ACLN",
'YearA-AppDetails Current Date'!S:S,"&lt;&gt;ACPT",
'YearA-AppDetails Current Date'!S:S,"&lt;&gt;COND",
'YearA-AppDetails Current Date'!I:I,"FALL"))), "")</f>
        <v/>
      </c>
      <c r="K37" s="73" t="str">
        <f>IFERROR(1/(1/SUM(COUNTIFS(
'YearA-AppDetails Current Date'!A:A,D37,
'YearA-AppDetails Current Date'!F:F,E37,
'YearA-AppDetails Current Date'!E:E,--F37,
'YearA-AppDetails Current Date'!R:R,"&lt;&gt;"&amp;"",
'YearA-AppDetails Current Date'!I:I,"FALL"))), "")</f>
        <v/>
      </c>
      <c r="L37" s="74" t="str" cm="1">
        <f t="array" ref="L37">IFERROR(1/(1/SUM(COUNTIFS(
'YearA-AppDetails Current Date'!A:A,D37,
'YearA-AppDetails Current Date'!F:F,E37,
'YearA-AppDetails Current Date'!E:E,--F37,
'YearA-AppDetails Current Date'!T:T,{"APEX","DENY","NTSL"},
'YearA-AppDetails Current Date'!I:I,"FALL"))), "")</f>
        <v/>
      </c>
      <c r="M37" s="74" t="str" cm="1">
        <f t="array" ref="M37">IFERROR(1/(1/SUM(COUNTIFS(
'YearA-AppDetails Current Date'!A:A,D37,
'YearA-AppDetails Current Date'!F:F,E37,
'YearA-AppDetails Current Date'!E:E,--F37,
'YearA-AppDetails Current Date'!U:U,{"CCAN","DECL"},
'YearA-AppDetails Current Date'!I:I,"FALL"))), "")</f>
        <v/>
      </c>
      <c r="N37" s="74" t="str" cm="1">
        <f t="array" ref="N37">IFERROR(1/(1/SUM(COUNTIFS(
'YearA-AppDetails Current Date'!A:A,D37,
'YearA-AppDetails Current Date'!F:F,E37,
'YearA-AppDetails Current Date'!E:E,--F37,
'YearA-AppDetails Current Date'!V:V,{"APRO","NODE"},
'YearA-AppDetails Current Date'!I:I,"FALL"))), "")</f>
        <v/>
      </c>
      <c r="O37" s="74" t="str" cm="1">
        <f t="array" ref="O37">IFERROR(1/(1/SUM(COUNTIFS(
'YearA-AppDetails Current Date'!A:A,D37,
'YearA-AppDetails Current Date'!F:F,E37,
'YearA-AppDetails Current Date'!E:E,--F37,
'YearA-AppDetails Current Date'!T:T,{"CDMT","RQMT","WAIT"},
'YearA-AppDetails Current Date'!I:I,"FALL"))), "")</f>
        <v/>
      </c>
      <c r="P37" s="74" t="str">
        <f>IFERROR(1/(1/COUNTIFS(
'YearA-AppDetails Current Date'!A:A,D37,
'YearA-AppDetails Current Date'!F:F,E37,
'YearA-AppDetails Current Date'!E:E,--F37,
'YearA-AppDetails Current Date'!Y:Y,"ENRO",
'YearA-AppDetails Current Date'!I:I,"FALL")),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HC'!D:T,4,FALSE)),
N(VLOOKUP(D38&amp;F38,'Budgeted Projections Intl HC'!D:T,5,FALSE))
)
),"")</f>
        <v/>
      </c>
      <c r="I38" s="73" t="str">
        <f>IFERROR(1/(1/COUNTIFS(
'YearA-AppDetails Current Date'!A:A,D38,
'YearA-AppDetails Current Date'!F:F,E38,
'YearA-AppDetails Current Date'!E:E,--F38,
'YearA-AppDetails Current Date'!I:I,"FALL")), "")</f>
        <v/>
      </c>
      <c r="J38" s="74" t="str" cm="1">
        <f t="array" ref="J38">IFERROR(1/(1/SUM(COUNTIFS(
'YearA-AppDetails Current Date'!A:A,D38,
'YearA-AppDetails Current Date'!F:F,E38,
'YearA-AppDetails Current Date'!E:E,--F38,
'YearA-AppDetails Current Date'!O:O,{"ACLN","ACPT","COND"},
'YearA-AppDetails Current Date'!S:S,"&lt;&gt;ACLN",
'YearA-AppDetails Current Date'!S:S,"&lt;&gt;ACPT",
'YearA-AppDetails Current Date'!S:S,"&lt;&gt;COND",
'YearA-AppDetails Current Date'!I:I,"FALL"))), "")</f>
        <v/>
      </c>
      <c r="K38" s="73" t="str">
        <f>IFERROR(1/(1/SUM(COUNTIFS(
'YearA-AppDetails Current Date'!A:A,D38,
'YearA-AppDetails Current Date'!F:F,E38,
'YearA-AppDetails Current Date'!E:E,--F38,
'YearA-AppDetails Current Date'!R:R,"&lt;&gt;"&amp;"",
'YearA-AppDetails Current Date'!I:I,"FALL"))), "")</f>
        <v/>
      </c>
      <c r="L38" s="74" t="str" cm="1">
        <f t="array" ref="L38">IFERROR(1/(1/SUM(COUNTIFS(
'YearA-AppDetails Current Date'!A:A,D38,
'YearA-AppDetails Current Date'!F:F,E38,
'YearA-AppDetails Current Date'!E:E,--F38,
'YearA-AppDetails Current Date'!T:T,{"APEX","DENY","NTSL"},
'YearA-AppDetails Current Date'!I:I,"FALL"))), "")</f>
        <v/>
      </c>
      <c r="M38" s="74" t="str" cm="1">
        <f t="array" ref="M38">IFERROR(1/(1/SUM(COUNTIFS(
'YearA-AppDetails Current Date'!A:A,D38,
'YearA-AppDetails Current Date'!F:F,E38,
'YearA-AppDetails Current Date'!E:E,--F38,
'YearA-AppDetails Current Date'!U:U,{"CCAN","DECL"},
'YearA-AppDetails Current Date'!I:I,"FALL"))), "")</f>
        <v/>
      </c>
      <c r="N38" s="74" t="str" cm="1">
        <f t="array" ref="N38">IFERROR(1/(1/SUM(COUNTIFS(
'YearA-AppDetails Current Date'!A:A,D38,
'YearA-AppDetails Current Date'!F:F,E38,
'YearA-AppDetails Current Date'!E:E,--F38,
'YearA-AppDetails Current Date'!V:V,{"APRO","NODE"},
'YearA-AppDetails Current Date'!I:I,"FALL"))), "")</f>
        <v/>
      </c>
      <c r="O38" s="74" t="str" cm="1">
        <f t="array" ref="O38">IFERROR(1/(1/SUM(COUNTIFS(
'YearA-AppDetails Current Date'!A:A,D38,
'YearA-AppDetails Current Date'!F:F,E38,
'YearA-AppDetails Current Date'!E:E,--F38,
'YearA-AppDetails Current Date'!T:T,{"CDMT","RQMT","WAIT"},
'YearA-AppDetails Current Date'!I:I,"FALL"))), "")</f>
        <v/>
      </c>
      <c r="P38" s="74" t="str">
        <f>IFERROR(1/(1/COUNTIFS(
'YearA-AppDetails Current Date'!A:A,D38,
'YearA-AppDetails Current Date'!F:F,E38,
'YearA-AppDetails Current Date'!E:E,--F38,
'YearA-AppDetails Current Date'!Y:Y,"ENRO",
'YearA-AppDetails Current Date'!I:I,"FALL")),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HC'!D:T,4,FALSE)),
N(VLOOKUP(D39&amp;F39,'Budgeted Projections Dom HC'!D:T,5,FALSE))
)
),"")</f>
        <v/>
      </c>
      <c r="I39" s="73" t="str">
        <f>IFERROR(1/(1/COUNTIFS(
'YearA-AppDetails Current Date'!A:A,D39,
'YearA-AppDetails Current Date'!F:F,E39,
'YearA-AppDetails Current Date'!E:E,--F39,
'YearA-AppDetails Current Date'!I:I,"FALL")), "")</f>
        <v/>
      </c>
      <c r="J39" s="74" t="str" cm="1">
        <f t="array" ref="J39">IFERROR(1/(1/SUM(COUNTIFS(
'YearA-AppDetails Current Date'!A:A,D39,
'YearA-AppDetails Current Date'!F:F,E39,
'YearA-AppDetails Current Date'!E:E,--F39,
'YearA-AppDetails Current Date'!O:O,{"ACLN","ACPT","COND"},
'YearA-AppDetails Current Date'!S:S,"&lt;&gt;ACLN",
'YearA-AppDetails Current Date'!S:S,"&lt;&gt;ACPT",
'YearA-AppDetails Current Date'!S:S,"&lt;&gt;COND",
'YearA-AppDetails Current Date'!I:I,"FALL"))), "")</f>
        <v/>
      </c>
      <c r="K39" s="73" t="str">
        <f>IFERROR(1/(1/SUM(COUNTIFS(
'YearA-AppDetails Current Date'!A:A,D39,
'YearA-AppDetails Current Date'!F:F,E39,
'YearA-AppDetails Current Date'!E:E,--F39,
'YearA-AppDetails Current Date'!R:R,"&lt;&gt;"&amp;"",
'YearA-AppDetails Current Date'!I:I,"FALL"))), "")</f>
        <v/>
      </c>
      <c r="L39" s="74" t="str" cm="1">
        <f t="array" ref="L39">IFERROR(1/(1/SUM(COUNTIFS(
'YearA-AppDetails Current Date'!A:A,D39,
'YearA-AppDetails Current Date'!F:F,E39,
'YearA-AppDetails Current Date'!E:E,--F39,
'YearA-AppDetails Current Date'!T:T,{"APEX","DENY","NTSL"},
'YearA-AppDetails Current Date'!I:I,"FALL"))), "")</f>
        <v/>
      </c>
      <c r="M39" s="74" t="str" cm="1">
        <f t="array" ref="M39">IFERROR(1/(1/SUM(COUNTIFS(
'YearA-AppDetails Current Date'!A:A,D39,
'YearA-AppDetails Current Date'!F:F,E39,
'YearA-AppDetails Current Date'!E:E,--F39,
'YearA-AppDetails Current Date'!U:U,{"CCAN","DECL"},
'YearA-AppDetails Current Date'!I:I,"FALL"))), "")</f>
        <v/>
      </c>
      <c r="N39" s="74" t="str" cm="1">
        <f t="array" ref="N39">IFERROR(1/(1/SUM(COUNTIFS(
'YearA-AppDetails Current Date'!A:A,D39,
'YearA-AppDetails Current Date'!F:F,E39,
'YearA-AppDetails Current Date'!E:E,--F39,
'YearA-AppDetails Current Date'!V:V,{"APRO","NODE"},
'YearA-AppDetails Current Date'!I:I,"FALL"))), "")</f>
        <v/>
      </c>
      <c r="O39" s="74" t="str" cm="1">
        <f t="array" ref="O39">IFERROR(1/(1/SUM(COUNTIFS(
'YearA-AppDetails Current Date'!A:A,D39,
'YearA-AppDetails Current Date'!F:F,E39,
'YearA-AppDetails Current Date'!E:E,--F39,
'YearA-AppDetails Current Date'!T:T,{"CDMT","RQMT","WAIT"},
'YearA-AppDetails Current Date'!I:I,"FALL"))), "")</f>
        <v/>
      </c>
      <c r="P39" s="74" t="str">
        <f>IFERROR(1/(1/COUNTIFS(
'YearA-AppDetails Current Date'!A:A,D39,
'YearA-AppDetails Current Date'!F:F,E39,
'YearA-AppDetails Current Date'!E:E,--F39,
'YearA-AppDetails Current Date'!Y:Y,"ENRO",
'YearA-AppDetails Current Date'!I:I,"FALL")),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HC'!D:T,4,FALSE)),
N(VLOOKUP(D40&amp;F40,'Budgeted Projections Intl HC'!D:T,5,FALSE))
)
),"")</f>
        <v/>
      </c>
      <c r="I40" s="73" t="str">
        <f>IFERROR(1/(1/COUNTIFS(
'YearA-AppDetails Current Date'!A:A,D40,
'YearA-AppDetails Current Date'!F:F,E40,
'YearA-AppDetails Current Date'!E:E,--F40,
'YearA-AppDetails Current Date'!I:I,"FALL")), "")</f>
        <v/>
      </c>
      <c r="J40" s="74" t="str" cm="1">
        <f t="array" ref="J40">IFERROR(1/(1/SUM(COUNTIFS(
'YearA-AppDetails Current Date'!A:A,D40,
'YearA-AppDetails Current Date'!F:F,E40,
'YearA-AppDetails Current Date'!E:E,--F40,
'YearA-AppDetails Current Date'!O:O,{"ACLN","ACPT","COND"},
'YearA-AppDetails Current Date'!S:S,"&lt;&gt;ACLN",
'YearA-AppDetails Current Date'!S:S,"&lt;&gt;ACPT",
'YearA-AppDetails Current Date'!S:S,"&lt;&gt;COND",
'YearA-AppDetails Current Date'!I:I,"FALL"))), "")</f>
        <v/>
      </c>
      <c r="K40" s="73" t="str">
        <f>IFERROR(1/(1/SUM(COUNTIFS(
'YearA-AppDetails Current Date'!A:A,D40,
'YearA-AppDetails Current Date'!F:F,E40,
'YearA-AppDetails Current Date'!E:E,--F40,
'YearA-AppDetails Current Date'!R:R,"&lt;&gt;"&amp;"",
'YearA-AppDetails Current Date'!I:I,"FALL"))), "")</f>
        <v/>
      </c>
      <c r="L40" s="74" t="str" cm="1">
        <f t="array" ref="L40">IFERROR(1/(1/SUM(COUNTIFS(
'YearA-AppDetails Current Date'!A:A,D40,
'YearA-AppDetails Current Date'!F:F,E40,
'YearA-AppDetails Current Date'!E:E,--F40,
'YearA-AppDetails Current Date'!T:T,{"APEX","DENY","NTSL"},
'YearA-AppDetails Current Date'!I:I,"FALL"))), "")</f>
        <v/>
      </c>
      <c r="M40" s="74" t="str" cm="1">
        <f t="array" ref="M40">IFERROR(1/(1/SUM(COUNTIFS(
'YearA-AppDetails Current Date'!A:A,D40,
'YearA-AppDetails Current Date'!F:F,E40,
'YearA-AppDetails Current Date'!E:E,--F40,
'YearA-AppDetails Current Date'!U:U,{"CCAN","DECL"},
'YearA-AppDetails Current Date'!I:I,"FALL"))), "")</f>
        <v/>
      </c>
      <c r="N40" s="74" t="str" cm="1">
        <f t="array" ref="N40">IFERROR(1/(1/SUM(COUNTIFS(
'YearA-AppDetails Current Date'!A:A,D40,
'YearA-AppDetails Current Date'!F:F,E40,
'YearA-AppDetails Current Date'!E:E,--F40,
'YearA-AppDetails Current Date'!V:V,{"APRO","NODE"},
'YearA-AppDetails Current Date'!I:I,"FALL"))), "")</f>
        <v/>
      </c>
      <c r="O40" s="74" t="str" cm="1">
        <f t="array" ref="O40">IFERROR(1/(1/SUM(COUNTIFS(
'YearA-AppDetails Current Date'!A:A,D40,
'YearA-AppDetails Current Date'!F:F,E40,
'YearA-AppDetails Current Date'!E:E,--F40,
'YearA-AppDetails Current Date'!T:T,{"CDMT","RQMT","WAIT"},
'YearA-AppDetails Current Date'!I:I,"FALL"))), "")</f>
        <v/>
      </c>
      <c r="P40" s="74" t="str">
        <f>IFERROR(1/(1/COUNTIFS(
'YearA-AppDetails Current Date'!A:A,D40,
'YearA-AppDetails Current Date'!F:F,E40,
'YearA-AppDetails Current Date'!E:E,--F40,
'YearA-AppDetails Current Date'!Y:Y,"ENRO",
'YearA-AppDetails Current Date'!I:I,"FALL")),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HC'!D:T,4,FALSE)),
N(VLOOKUP(D41&amp;F41,'Budgeted Projections Dom HC'!D:T,5,FALSE))
)
),"")</f>
        <v/>
      </c>
      <c r="I41" s="73" t="str">
        <f>IFERROR(1/(1/COUNTIFS(
'YearA-AppDetails Current Date'!A:A,D41,
'YearA-AppDetails Current Date'!F:F,E41,
'YearA-AppDetails Current Date'!E:E,--F41,
'YearA-AppDetails Current Date'!I:I,"FALL")), "")</f>
        <v/>
      </c>
      <c r="J41" s="74" t="str" cm="1">
        <f t="array" ref="J41">IFERROR(1/(1/SUM(COUNTIFS(
'YearA-AppDetails Current Date'!A:A,D41,
'YearA-AppDetails Current Date'!F:F,E41,
'YearA-AppDetails Current Date'!E:E,--F41,
'YearA-AppDetails Current Date'!O:O,{"ACLN","ACPT","COND"},
'YearA-AppDetails Current Date'!S:S,"&lt;&gt;ACLN",
'YearA-AppDetails Current Date'!S:S,"&lt;&gt;ACPT",
'YearA-AppDetails Current Date'!S:S,"&lt;&gt;COND",
'YearA-AppDetails Current Date'!I:I,"FALL"))), "")</f>
        <v/>
      </c>
      <c r="K41" s="73" t="str">
        <f>IFERROR(1/(1/SUM(COUNTIFS(
'YearA-AppDetails Current Date'!A:A,D41,
'YearA-AppDetails Current Date'!F:F,E41,
'YearA-AppDetails Current Date'!E:E,--F41,
'YearA-AppDetails Current Date'!R:R,"&lt;&gt;"&amp;"",
'YearA-AppDetails Current Date'!I:I,"FALL"))), "")</f>
        <v/>
      </c>
      <c r="L41" s="74" t="str" cm="1">
        <f t="array" ref="L41">IFERROR(1/(1/SUM(COUNTIFS(
'YearA-AppDetails Current Date'!A:A,D41,
'YearA-AppDetails Current Date'!F:F,E41,
'YearA-AppDetails Current Date'!E:E,--F41,
'YearA-AppDetails Current Date'!T:T,{"APEX","DENY","NTSL"},
'YearA-AppDetails Current Date'!I:I,"FALL"))), "")</f>
        <v/>
      </c>
      <c r="M41" s="74" t="str" cm="1">
        <f t="array" ref="M41">IFERROR(1/(1/SUM(COUNTIFS(
'YearA-AppDetails Current Date'!A:A,D41,
'YearA-AppDetails Current Date'!F:F,E41,
'YearA-AppDetails Current Date'!E:E,--F41,
'YearA-AppDetails Current Date'!U:U,{"CCAN","DECL"},
'YearA-AppDetails Current Date'!I:I,"FALL"))), "")</f>
        <v/>
      </c>
      <c r="N41" s="74" t="str" cm="1">
        <f t="array" ref="N41">IFERROR(1/(1/SUM(COUNTIFS(
'YearA-AppDetails Current Date'!A:A,D41,
'YearA-AppDetails Current Date'!F:F,E41,
'YearA-AppDetails Current Date'!E:E,--F41,
'YearA-AppDetails Current Date'!V:V,{"APRO","NODE"},
'YearA-AppDetails Current Date'!I:I,"FALL"))), "")</f>
        <v/>
      </c>
      <c r="O41" s="74" t="str" cm="1">
        <f t="array" ref="O41">IFERROR(1/(1/SUM(COUNTIFS(
'YearA-AppDetails Current Date'!A:A,D41,
'YearA-AppDetails Current Date'!F:F,E41,
'YearA-AppDetails Current Date'!E:E,--F41,
'YearA-AppDetails Current Date'!T:T,{"CDMT","RQMT","WAIT"},
'YearA-AppDetails Current Date'!I:I,"FALL"))), "")</f>
        <v/>
      </c>
      <c r="P41" s="74" t="str">
        <f>IFERROR(1/(1/COUNTIFS(
'YearA-AppDetails Current Date'!A:A,D41,
'YearA-AppDetails Current Date'!F:F,E41,
'YearA-AppDetails Current Date'!E:E,--F41,
'YearA-AppDetails Current Date'!Y:Y,"ENRO",
'YearA-AppDetails Current Date'!I:I,"FALL")),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HC'!D:T,4,FALSE)),
N(VLOOKUP(D42&amp;F42,'Budgeted Projections Intl HC'!D:T,5,FALSE))
)
),"")</f>
        <v/>
      </c>
      <c r="I42" s="73" t="str">
        <f>IFERROR(1/(1/COUNTIFS(
'YearA-AppDetails Current Date'!A:A,D42,
'YearA-AppDetails Current Date'!F:F,E42,
'YearA-AppDetails Current Date'!E:E,--F42,
'YearA-AppDetails Current Date'!I:I,"FALL")), "")</f>
        <v/>
      </c>
      <c r="J42" s="74" t="str" cm="1">
        <f t="array" ref="J42">IFERROR(1/(1/SUM(COUNTIFS(
'YearA-AppDetails Current Date'!A:A,D42,
'YearA-AppDetails Current Date'!F:F,E42,
'YearA-AppDetails Current Date'!E:E,--F42,
'YearA-AppDetails Current Date'!O:O,{"ACLN","ACPT","COND"},
'YearA-AppDetails Current Date'!S:S,"&lt;&gt;ACLN",
'YearA-AppDetails Current Date'!S:S,"&lt;&gt;ACPT",
'YearA-AppDetails Current Date'!S:S,"&lt;&gt;COND",
'YearA-AppDetails Current Date'!I:I,"FALL"))), "")</f>
        <v/>
      </c>
      <c r="K42" s="73" t="str">
        <f>IFERROR(1/(1/SUM(COUNTIFS(
'YearA-AppDetails Current Date'!A:A,D42,
'YearA-AppDetails Current Date'!F:F,E42,
'YearA-AppDetails Current Date'!E:E,--F42,
'YearA-AppDetails Current Date'!R:R,"&lt;&gt;"&amp;"",
'YearA-AppDetails Current Date'!I:I,"FALL"))), "")</f>
        <v/>
      </c>
      <c r="L42" s="74" t="str" cm="1">
        <f t="array" ref="L42">IFERROR(1/(1/SUM(COUNTIFS(
'YearA-AppDetails Current Date'!A:A,D42,
'YearA-AppDetails Current Date'!F:F,E42,
'YearA-AppDetails Current Date'!E:E,--F42,
'YearA-AppDetails Current Date'!T:T,{"APEX","DENY","NTSL"},
'YearA-AppDetails Current Date'!I:I,"FALL"))), "")</f>
        <v/>
      </c>
      <c r="M42" s="74" t="str" cm="1">
        <f t="array" ref="M42">IFERROR(1/(1/SUM(COUNTIFS(
'YearA-AppDetails Current Date'!A:A,D42,
'YearA-AppDetails Current Date'!F:F,E42,
'YearA-AppDetails Current Date'!E:E,--F42,
'YearA-AppDetails Current Date'!U:U,{"CCAN","DECL"},
'YearA-AppDetails Current Date'!I:I,"FALL"))), "")</f>
        <v/>
      </c>
      <c r="N42" s="74" t="str" cm="1">
        <f t="array" ref="N42">IFERROR(1/(1/SUM(COUNTIFS(
'YearA-AppDetails Current Date'!A:A,D42,
'YearA-AppDetails Current Date'!F:F,E42,
'YearA-AppDetails Current Date'!E:E,--F42,
'YearA-AppDetails Current Date'!V:V,{"APRO","NODE"},
'YearA-AppDetails Current Date'!I:I,"FALL"))), "")</f>
        <v/>
      </c>
      <c r="O42" s="74" t="str" cm="1">
        <f t="array" ref="O42">IFERROR(1/(1/SUM(COUNTIFS(
'YearA-AppDetails Current Date'!A:A,D42,
'YearA-AppDetails Current Date'!F:F,E42,
'YearA-AppDetails Current Date'!E:E,--F42,
'YearA-AppDetails Current Date'!T:T,{"CDMT","RQMT","WAIT"},
'YearA-AppDetails Current Date'!I:I,"FALL"))), "")</f>
        <v/>
      </c>
      <c r="P42" s="74" t="str">
        <f>IFERROR(1/(1/COUNTIFS(
'YearA-AppDetails Current Date'!A:A,D42,
'YearA-AppDetails Current Date'!F:F,E42,
'YearA-AppDetails Current Date'!E:E,--F42,
'YearA-AppDetails Current Date'!Y:Y,"ENRO",
'YearA-AppDetails Current Date'!I:I,"FALL")),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HC'!D:T,4,FALSE)),
N(VLOOKUP(D43&amp;F43,'Budgeted Projections Dom HC'!D:T,5,FALSE))
)
),"")</f>
        <v/>
      </c>
      <c r="I43" s="73" t="str">
        <f>IFERROR(1/(1/COUNTIFS(
'YearA-AppDetails Current Date'!A:A,D43,
'YearA-AppDetails Current Date'!F:F,E43,
'YearA-AppDetails Current Date'!E:E,--F43,
'YearA-AppDetails Current Date'!I:I,"FALL")), "")</f>
        <v/>
      </c>
      <c r="J43" s="74" t="str" cm="1">
        <f t="array" ref="J43">IFERROR(1/(1/SUM(COUNTIFS(
'YearA-AppDetails Current Date'!A:A,D43,
'YearA-AppDetails Current Date'!F:F,E43,
'YearA-AppDetails Current Date'!E:E,--F43,
'YearA-AppDetails Current Date'!O:O,{"ACLN","ACPT","COND"},
'YearA-AppDetails Current Date'!S:S,"&lt;&gt;ACLN",
'YearA-AppDetails Current Date'!S:S,"&lt;&gt;ACPT",
'YearA-AppDetails Current Date'!S:S,"&lt;&gt;COND",
'YearA-AppDetails Current Date'!I:I,"FALL"))), "")</f>
        <v/>
      </c>
      <c r="K43" s="73" t="str">
        <f>IFERROR(1/(1/SUM(COUNTIFS(
'YearA-AppDetails Current Date'!A:A,D43,
'YearA-AppDetails Current Date'!F:F,E43,
'YearA-AppDetails Current Date'!E:E,--F43,
'YearA-AppDetails Current Date'!R:R,"&lt;&gt;"&amp;"",
'YearA-AppDetails Current Date'!I:I,"FALL"))), "")</f>
        <v/>
      </c>
      <c r="L43" s="74" t="str" cm="1">
        <f t="array" ref="L43">IFERROR(1/(1/SUM(COUNTIFS(
'YearA-AppDetails Current Date'!A:A,D43,
'YearA-AppDetails Current Date'!F:F,E43,
'YearA-AppDetails Current Date'!E:E,--F43,
'YearA-AppDetails Current Date'!T:T,{"APEX","DENY","NTSL"},
'YearA-AppDetails Current Date'!I:I,"FALL"))), "")</f>
        <v/>
      </c>
      <c r="M43" s="74" t="str" cm="1">
        <f t="array" ref="M43">IFERROR(1/(1/SUM(COUNTIFS(
'YearA-AppDetails Current Date'!A:A,D43,
'YearA-AppDetails Current Date'!F:F,E43,
'YearA-AppDetails Current Date'!E:E,--F43,
'YearA-AppDetails Current Date'!U:U,{"CCAN","DECL"},
'YearA-AppDetails Current Date'!I:I,"FALL"))), "")</f>
        <v/>
      </c>
      <c r="N43" s="74" t="str" cm="1">
        <f t="array" ref="N43">IFERROR(1/(1/SUM(COUNTIFS(
'YearA-AppDetails Current Date'!A:A,D43,
'YearA-AppDetails Current Date'!F:F,E43,
'YearA-AppDetails Current Date'!E:E,--F43,
'YearA-AppDetails Current Date'!V:V,{"APRO","NODE"},
'YearA-AppDetails Current Date'!I:I,"FALL"))), "")</f>
        <v/>
      </c>
      <c r="O43" s="74" t="str" cm="1">
        <f t="array" ref="O43">IFERROR(1/(1/SUM(COUNTIFS(
'YearA-AppDetails Current Date'!A:A,D43,
'YearA-AppDetails Current Date'!F:F,E43,
'YearA-AppDetails Current Date'!E:E,--F43,
'YearA-AppDetails Current Date'!T:T,{"CDMT","RQMT","WAIT"},
'YearA-AppDetails Current Date'!I:I,"FALL"))), "")</f>
        <v/>
      </c>
      <c r="P43" s="74" t="str">
        <f>IFERROR(1/(1/COUNTIFS(
'YearA-AppDetails Current Date'!A:A,D43,
'YearA-AppDetails Current Date'!F:F,E43,
'YearA-AppDetails Current Date'!E:E,--F43,
'YearA-AppDetails Current Date'!Y:Y,"ENRO",
'YearA-AppDetails Current Date'!I:I,"FALL")),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HC'!D:T,4,FALSE)),
N(VLOOKUP(D44&amp;F44,'Budgeted Projections Intl HC'!D:T,5,FALSE))
)
),"")</f>
        <v/>
      </c>
      <c r="I44" s="73" t="str">
        <f>IFERROR(1/(1/COUNTIFS(
'YearA-AppDetails Current Date'!A:A,D44,
'YearA-AppDetails Current Date'!F:F,E44,
'YearA-AppDetails Current Date'!E:E,--F44,
'YearA-AppDetails Current Date'!I:I,"FALL")), "")</f>
        <v/>
      </c>
      <c r="J44" s="74" t="str" cm="1">
        <f t="array" ref="J44">IFERROR(1/(1/SUM(COUNTIFS(
'YearA-AppDetails Current Date'!A:A,D44,
'YearA-AppDetails Current Date'!F:F,E44,
'YearA-AppDetails Current Date'!E:E,--F44,
'YearA-AppDetails Current Date'!O:O,{"ACLN","ACPT","COND"},
'YearA-AppDetails Current Date'!S:S,"&lt;&gt;ACLN",
'YearA-AppDetails Current Date'!S:S,"&lt;&gt;ACPT",
'YearA-AppDetails Current Date'!S:S,"&lt;&gt;COND",
'YearA-AppDetails Current Date'!I:I,"FALL"))), "")</f>
        <v/>
      </c>
      <c r="K44" s="73" t="str">
        <f>IFERROR(1/(1/SUM(COUNTIFS(
'YearA-AppDetails Current Date'!A:A,D44,
'YearA-AppDetails Current Date'!F:F,E44,
'YearA-AppDetails Current Date'!E:E,--F44,
'YearA-AppDetails Current Date'!R:R,"&lt;&gt;"&amp;"",
'YearA-AppDetails Current Date'!I:I,"FALL"))), "")</f>
        <v/>
      </c>
      <c r="L44" s="74" t="str" cm="1">
        <f t="array" ref="L44">IFERROR(1/(1/SUM(COUNTIFS(
'YearA-AppDetails Current Date'!A:A,D44,
'YearA-AppDetails Current Date'!F:F,E44,
'YearA-AppDetails Current Date'!E:E,--F44,
'YearA-AppDetails Current Date'!T:T,{"APEX","DENY","NTSL"},
'YearA-AppDetails Current Date'!I:I,"FALL"))), "")</f>
        <v/>
      </c>
      <c r="M44" s="74" t="str" cm="1">
        <f t="array" ref="M44">IFERROR(1/(1/SUM(COUNTIFS(
'YearA-AppDetails Current Date'!A:A,D44,
'YearA-AppDetails Current Date'!F:F,E44,
'YearA-AppDetails Current Date'!E:E,--F44,
'YearA-AppDetails Current Date'!U:U,{"CCAN","DECL"},
'YearA-AppDetails Current Date'!I:I,"FALL"))), "")</f>
        <v/>
      </c>
      <c r="N44" s="74" t="str" cm="1">
        <f t="array" ref="N44">IFERROR(1/(1/SUM(COUNTIFS(
'YearA-AppDetails Current Date'!A:A,D44,
'YearA-AppDetails Current Date'!F:F,E44,
'YearA-AppDetails Current Date'!E:E,--F44,
'YearA-AppDetails Current Date'!V:V,{"APRO","NODE"},
'YearA-AppDetails Current Date'!I:I,"FALL"))), "")</f>
        <v/>
      </c>
      <c r="O44" s="74" t="str" cm="1">
        <f t="array" ref="O44">IFERROR(1/(1/SUM(COUNTIFS(
'YearA-AppDetails Current Date'!A:A,D44,
'YearA-AppDetails Current Date'!F:F,E44,
'YearA-AppDetails Current Date'!E:E,--F44,
'YearA-AppDetails Current Date'!T:T,{"CDMT","RQMT","WAIT"},
'YearA-AppDetails Current Date'!I:I,"FALL"))), "")</f>
        <v/>
      </c>
      <c r="P44" s="74" t="str">
        <f>IFERROR(1/(1/COUNTIFS(
'YearA-AppDetails Current Date'!A:A,D44,
'YearA-AppDetails Current Date'!F:F,E44,
'YearA-AppDetails Current Date'!E:E,--F44,
'YearA-AppDetails Current Date'!Y:Y,"ENRO",
'YearA-AppDetails Current Date'!I:I,"FALL")),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HC'!D:T,4,FALSE)),
N(VLOOKUP(D45&amp;F45,'Budgeted Projections Dom HC'!D:T,5,FALSE))
)
),"")</f>
        <v/>
      </c>
      <c r="I45" s="73" t="str">
        <f>IFERROR(1/(1/COUNTIFS(
'YearA-AppDetails Current Date'!A:A,D45,
'YearA-AppDetails Current Date'!F:F,E45,
'YearA-AppDetails Current Date'!E:E,--F45,
'YearA-AppDetails Current Date'!I:I,"FALL")), "")</f>
        <v/>
      </c>
      <c r="J45" s="74" t="str" cm="1">
        <f t="array" ref="J45">IFERROR(1/(1/SUM(COUNTIFS(
'YearA-AppDetails Current Date'!A:A,D45,
'YearA-AppDetails Current Date'!F:F,E45,
'YearA-AppDetails Current Date'!E:E,--F45,
'YearA-AppDetails Current Date'!O:O,{"ACLN","ACPT","COND"},
'YearA-AppDetails Current Date'!S:S,"&lt;&gt;ACLN",
'YearA-AppDetails Current Date'!S:S,"&lt;&gt;ACPT",
'YearA-AppDetails Current Date'!S:S,"&lt;&gt;COND",
'YearA-AppDetails Current Date'!I:I,"FALL"))), "")</f>
        <v/>
      </c>
      <c r="K45" s="73" t="str">
        <f>IFERROR(1/(1/SUM(COUNTIFS(
'YearA-AppDetails Current Date'!A:A,D45,
'YearA-AppDetails Current Date'!F:F,E45,
'YearA-AppDetails Current Date'!E:E,--F45,
'YearA-AppDetails Current Date'!R:R,"&lt;&gt;"&amp;"",
'YearA-AppDetails Current Date'!I:I,"FALL"))), "")</f>
        <v/>
      </c>
      <c r="L45" s="74" t="str" cm="1">
        <f t="array" ref="L45">IFERROR(1/(1/SUM(COUNTIFS(
'YearA-AppDetails Current Date'!A:A,D45,
'YearA-AppDetails Current Date'!F:F,E45,
'YearA-AppDetails Current Date'!E:E,--F45,
'YearA-AppDetails Current Date'!T:T,{"APEX","DENY","NTSL"},
'YearA-AppDetails Current Date'!I:I,"FALL"))), "")</f>
        <v/>
      </c>
      <c r="M45" s="74" t="str" cm="1">
        <f t="array" ref="M45">IFERROR(1/(1/SUM(COUNTIFS(
'YearA-AppDetails Current Date'!A:A,D45,
'YearA-AppDetails Current Date'!F:F,E45,
'YearA-AppDetails Current Date'!E:E,--F45,
'YearA-AppDetails Current Date'!U:U,{"CCAN","DECL"},
'YearA-AppDetails Current Date'!I:I,"FALL"))), "")</f>
        <v/>
      </c>
      <c r="N45" s="74" t="str" cm="1">
        <f t="array" ref="N45">IFERROR(1/(1/SUM(COUNTIFS(
'YearA-AppDetails Current Date'!A:A,D45,
'YearA-AppDetails Current Date'!F:F,E45,
'YearA-AppDetails Current Date'!E:E,--F45,
'YearA-AppDetails Current Date'!V:V,{"APRO","NODE"},
'YearA-AppDetails Current Date'!I:I,"FALL"))), "")</f>
        <v/>
      </c>
      <c r="O45" s="74" t="str" cm="1">
        <f t="array" ref="O45">IFERROR(1/(1/SUM(COUNTIFS(
'YearA-AppDetails Current Date'!A:A,D45,
'YearA-AppDetails Current Date'!F:F,E45,
'YearA-AppDetails Current Date'!E:E,--F45,
'YearA-AppDetails Current Date'!T:T,{"CDMT","RQMT","WAIT"},
'YearA-AppDetails Current Date'!I:I,"FALL"))), "")</f>
        <v/>
      </c>
      <c r="P45" s="74" t="str">
        <f>IFERROR(1/(1/COUNTIFS(
'YearA-AppDetails Current Date'!A:A,D45,
'YearA-AppDetails Current Date'!F:F,E45,
'YearA-AppDetails Current Date'!E:E,--F45,
'YearA-AppDetails Current Date'!Y:Y,"ENRO",
'YearA-AppDetails Current Date'!I:I,"FALL")),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HC'!D:T,4,FALSE)),
N(VLOOKUP(D46&amp;F46,'Budgeted Projections Intl HC'!D:T,5,FALSE))
)
),"")</f>
        <v/>
      </c>
      <c r="I46" s="73" t="str">
        <f>IFERROR(1/(1/COUNTIFS(
'YearA-AppDetails Current Date'!A:A,D46,
'YearA-AppDetails Current Date'!F:F,E46,
'YearA-AppDetails Current Date'!E:E,--F46,
'YearA-AppDetails Current Date'!I:I,"FALL")), "")</f>
        <v/>
      </c>
      <c r="J46" s="74" t="str" cm="1">
        <f t="array" ref="J46">IFERROR(1/(1/SUM(COUNTIFS(
'YearA-AppDetails Current Date'!A:A,D46,
'YearA-AppDetails Current Date'!F:F,E46,
'YearA-AppDetails Current Date'!E:E,--F46,
'YearA-AppDetails Current Date'!O:O,{"ACLN","ACPT","COND"},
'YearA-AppDetails Current Date'!S:S,"&lt;&gt;ACLN",
'YearA-AppDetails Current Date'!S:S,"&lt;&gt;ACPT",
'YearA-AppDetails Current Date'!S:S,"&lt;&gt;COND",
'YearA-AppDetails Current Date'!I:I,"FALL"))), "")</f>
        <v/>
      </c>
      <c r="K46" s="73" t="str">
        <f>IFERROR(1/(1/SUM(COUNTIFS(
'YearA-AppDetails Current Date'!A:A,D46,
'YearA-AppDetails Current Date'!F:F,E46,
'YearA-AppDetails Current Date'!E:E,--F46,
'YearA-AppDetails Current Date'!R:R,"&lt;&gt;"&amp;"",
'YearA-AppDetails Current Date'!I:I,"FALL"))), "")</f>
        <v/>
      </c>
      <c r="L46" s="74" t="str" cm="1">
        <f t="array" ref="L46">IFERROR(1/(1/SUM(COUNTIFS(
'YearA-AppDetails Current Date'!A:A,D46,
'YearA-AppDetails Current Date'!F:F,E46,
'YearA-AppDetails Current Date'!E:E,--F46,
'YearA-AppDetails Current Date'!T:T,{"APEX","DENY","NTSL"},
'YearA-AppDetails Current Date'!I:I,"FALL"))), "")</f>
        <v/>
      </c>
      <c r="M46" s="74" t="str" cm="1">
        <f t="array" ref="M46">IFERROR(1/(1/SUM(COUNTIFS(
'YearA-AppDetails Current Date'!A:A,D46,
'YearA-AppDetails Current Date'!F:F,E46,
'YearA-AppDetails Current Date'!E:E,--F46,
'YearA-AppDetails Current Date'!U:U,{"CCAN","DECL"},
'YearA-AppDetails Current Date'!I:I,"FALL"))), "")</f>
        <v/>
      </c>
      <c r="N46" s="74" t="str" cm="1">
        <f t="array" ref="N46">IFERROR(1/(1/SUM(COUNTIFS(
'YearA-AppDetails Current Date'!A:A,D46,
'YearA-AppDetails Current Date'!F:F,E46,
'YearA-AppDetails Current Date'!E:E,--F46,
'YearA-AppDetails Current Date'!V:V,{"APRO","NODE"},
'YearA-AppDetails Current Date'!I:I,"FALL"))), "")</f>
        <v/>
      </c>
      <c r="O46" s="74" t="str" cm="1">
        <f t="array" ref="O46">IFERROR(1/(1/SUM(COUNTIFS(
'YearA-AppDetails Current Date'!A:A,D46,
'YearA-AppDetails Current Date'!F:F,E46,
'YearA-AppDetails Current Date'!E:E,--F46,
'YearA-AppDetails Current Date'!T:T,{"CDMT","RQMT","WAIT"},
'YearA-AppDetails Current Date'!I:I,"FALL"))), "")</f>
        <v/>
      </c>
      <c r="P46" s="74" t="str">
        <f>IFERROR(1/(1/COUNTIFS(
'YearA-AppDetails Current Date'!A:A,D46,
'YearA-AppDetails Current Date'!F:F,E46,
'YearA-AppDetails Current Date'!E:E,--F46,
'YearA-AppDetails Current Date'!Y:Y,"ENRO",
'YearA-AppDetails Current Date'!I:I,"FALL")),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HC'!D:T,4,FALSE)),
N(VLOOKUP(D47&amp;F47,'Budgeted Projections Dom HC'!D:T,5,FALSE))
)
),"")</f>
        <v/>
      </c>
      <c r="I47" s="73" t="str">
        <f>IFERROR(1/(1/COUNTIFS(
'YearA-AppDetails Current Date'!A:A,D47,
'YearA-AppDetails Current Date'!F:F,E47,
'YearA-AppDetails Current Date'!E:E,--F47,
'YearA-AppDetails Current Date'!I:I,"FALL")), "")</f>
        <v/>
      </c>
      <c r="J47" s="74" t="str" cm="1">
        <f t="array" ref="J47">IFERROR(1/(1/SUM(COUNTIFS(
'YearA-AppDetails Current Date'!A:A,D47,
'YearA-AppDetails Current Date'!F:F,E47,
'YearA-AppDetails Current Date'!E:E,--F47,
'YearA-AppDetails Current Date'!O:O,{"ACLN","ACPT","COND"},
'YearA-AppDetails Current Date'!S:S,"&lt;&gt;ACLN",
'YearA-AppDetails Current Date'!S:S,"&lt;&gt;ACPT",
'YearA-AppDetails Current Date'!S:S,"&lt;&gt;COND",
'YearA-AppDetails Current Date'!I:I,"FALL"))), "")</f>
        <v/>
      </c>
      <c r="K47" s="73" t="str">
        <f>IFERROR(1/(1/SUM(COUNTIFS(
'YearA-AppDetails Current Date'!A:A,D47,
'YearA-AppDetails Current Date'!F:F,E47,
'YearA-AppDetails Current Date'!E:E,--F47,
'YearA-AppDetails Current Date'!R:R,"&lt;&gt;"&amp;"",
'YearA-AppDetails Current Date'!I:I,"FALL"))), "")</f>
        <v/>
      </c>
      <c r="L47" s="74" t="str" cm="1">
        <f t="array" ref="L47">IFERROR(1/(1/SUM(COUNTIFS(
'YearA-AppDetails Current Date'!A:A,D47,
'YearA-AppDetails Current Date'!F:F,E47,
'YearA-AppDetails Current Date'!E:E,--F47,
'YearA-AppDetails Current Date'!T:T,{"APEX","DENY","NTSL"},
'YearA-AppDetails Current Date'!I:I,"FALL"))), "")</f>
        <v/>
      </c>
      <c r="M47" s="74" t="str" cm="1">
        <f t="array" ref="M47">IFERROR(1/(1/SUM(COUNTIFS(
'YearA-AppDetails Current Date'!A:A,D47,
'YearA-AppDetails Current Date'!F:F,E47,
'YearA-AppDetails Current Date'!E:E,--F47,
'YearA-AppDetails Current Date'!U:U,{"CCAN","DECL"},
'YearA-AppDetails Current Date'!I:I,"FALL"))), "")</f>
        <v/>
      </c>
      <c r="N47" s="74" t="str" cm="1">
        <f t="array" ref="N47">IFERROR(1/(1/SUM(COUNTIFS(
'YearA-AppDetails Current Date'!A:A,D47,
'YearA-AppDetails Current Date'!F:F,E47,
'YearA-AppDetails Current Date'!E:E,--F47,
'YearA-AppDetails Current Date'!V:V,{"APRO","NODE"},
'YearA-AppDetails Current Date'!I:I,"FALL"))), "")</f>
        <v/>
      </c>
      <c r="O47" s="74" t="str" cm="1">
        <f t="array" ref="O47">IFERROR(1/(1/SUM(COUNTIFS(
'YearA-AppDetails Current Date'!A:A,D47,
'YearA-AppDetails Current Date'!F:F,E47,
'YearA-AppDetails Current Date'!E:E,--F47,
'YearA-AppDetails Current Date'!T:T,{"CDMT","RQMT","WAIT"},
'YearA-AppDetails Current Date'!I:I,"FALL"))), "")</f>
        <v/>
      </c>
      <c r="P47" s="74" t="str">
        <f>IFERROR(1/(1/COUNTIFS(
'YearA-AppDetails Current Date'!A:A,D47,
'YearA-AppDetails Current Date'!F:F,E47,
'YearA-AppDetails Current Date'!E:E,--F47,
'YearA-AppDetails Current Date'!Y:Y,"ENRO",
'YearA-AppDetails Current Date'!I:I,"FALL")),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HC'!D:T,4,FALSE)),
N(VLOOKUP(D48&amp;F48,'Budgeted Projections Intl HC'!D:T,5,FALSE))
)
),"")</f>
        <v/>
      </c>
      <c r="I48" s="73" t="str">
        <f>IFERROR(1/(1/COUNTIFS(
'YearA-AppDetails Current Date'!A:A,D48,
'YearA-AppDetails Current Date'!F:F,E48,
'YearA-AppDetails Current Date'!E:E,--F48,
'YearA-AppDetails Current Date'!I:I,"FALL")), "")</f>
        <v/>
      </c>
      <c r="J48" s="74" t="str" cm="1">
        <f t="array" ref="J48">IFERROR(1/(1/SUM(COUNTIFS(
'YearA-AppDetails Current Date'!A:A,D48,
'YearA-AppDetails Current Date'!F:F,E48,
'YearA-AppDetails Current Date'!E:E,--F48,
'YearA-AppDetails Current Date'!O:O,{"ACLN","ACPT","COND"},
'YearA-AppDetails Current Date'!S:S,"&lt;&gt;ACLN",
'YearA-AppDetails Current Date'!S:S,"&lt;&gt;ACPT",
'YearA-AppDetails Current Date'!S:S,"&lt;&gt;COND",
'YearA-AppDetails Current Date'!I:I,"FALL"))), "")</f>
        <v/>
      </c>
      <c r="K48" s="73" t="str">
        <f>IFERROR(1/(1/SUM(COUNTIFS(
'YearA-AppDetails Current Date'!A:A,D48,
'YearA-AppDetails Current Date'!F:F,E48,
'YearA-AppDetails Current Date'!E:E,--F48,
'YearA-AppDetails Current Date'!R:R,"&lt;&gt;"&amp;"",
'YearA-AppDetails Current Date'!I:I,"FALL"))), "")</f>
        <v/>
      </c>
      <c r="L48" s="74" t="str" cm="1">
        <f t="array" ref="L48">IFERROR(1/(1/SUM(COUNTIFS(
'YearA-AppDetails Current Date'!A:A,D48,
'YearA-AppDetails Current Date'!F:F,E48,
'YearA-AppDetails Current Date'!E:E,--F48,
'YearA-AppDetails Current Date'!T:T,{"APEX","DENY","NTSL"},
'YearA-AppDetails Current Date'!I:I,"FALL"))), "")</f>
        <v/>
      </c>
      <c r="M48" s="74" t="str" cm="1">
        <f t="array" ref="M48">IFERROR(1/(1/SUM(COUNTIFS(
'YearA-AppDetails Current Date'!A:A,D48,
'YearA-AppDetails Current Date'!F:F,E48,
'YearA-AppDetails Current Date'!E:E,--F48,
'YearA-AppDetails Current Date'!U:U,{"CCAN","DECL"},
'YearA-AppDetails Current Date'!I:I,"FALL"))), "")</f>
        <v/>
      </c>
      <c r="N48" s="74" t="str" cm="1">
        <f t="array" ref="N48">IFERROR(1/(1/SUM(COUNTIFS(
'YearA-AppDetails Current Date'!A:A,D48,
'YearA-AppDetails Current Date'!F:F,E48,
'YearA-AppDetails Current Date'!E:E,--F48,
'YearA-AppDetails Current Date'!V:V,{"APRO","NODE"},
'YearA-AppDetails Current Date'!I:I,"FALL"))), "")</f>
        <v/>
      </c>
      <c r="O48" s="74" t="str" cm="1">
        <f t="array" ref="O48">IFERROR(1/(1/SUM(COUNTIFS(
'YearA-AppDetails Current Date'!A:A,D48,
'YearA-AppDetails Current Date'!F:F,E48,
'YearA-AppDetails Current Date'!E:E,--F48,
'YearA-AppDetails Current Date'!T:T,{"CDMT","RQMT","WAIT"},
'YearA-AppDetails Current Date'!I:I,"FALL"))), "")</f>
        <v/>
      </c>
      <c r="P48" s="74" t="str">
        <f>IFERROR(1/(1/COUNTIFS(
'YearA-AppDetails Current Date'!A:A,D48,
'YearA-AppDetails Current Date'!F:F,E48,
'YearA-AppDetails Current Date'!E:E,--F48,
'YearA-AppDetails Current Date'!Y:Y,"ENRO",
'YearA-AppDetails Current Date'!I:I,"FALL")),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HC'!D:T,4,FALSE)),
N(VLOOKUP(D50&amp;F50,'Budgeted Projections Dom HC'!D:T,5,FALSE))
)
),"")</f>
        <v/>
      </c>
      <c r="I50" s="73" t="str">
        <f>IFERROR(1/(1/COUNTIFS(
'YearA-AppDetails Current Date'!A:A,D50,
'YearA-AppDetails Current Date'!F:F,E50,
'YearA-AppDetails Current Date'!E:E,--F50,
'YearA-AppDetails Current Date'!I:I,"FALL")), "")</f>
        <v/>
      </c>
      <c r="J50" s="74" t="str" cm="1">
        <f t="array" ref="J50">IFERROR(1/(1/SUM(COUNTIFS(
'YearA-AppDetails Current Date'!A:A,D50,
'YearA-AppDetails Current Date'!F:F,E50,
'YearA-AppDetails Current Date'!E:E,--F50,
'YearA-AppDetails Current Date'!O:O,{"ACLN","ACPT","COND"},
'YearA-AppDetails Current Date'!S:S,"&lt;&gt;ACLN",
'YearA-AppDetails Current Date'!S:S,"&lt;&gt;ACPT",
'YearA-AppDetails Current Date'!S:S,"&lt;&gt;COND",
'YearA-AppDetails Current Date'!I:I,"FALL"))), "")</f>
        <v/>
      </c>
      <c r="K50" s="73" t="str">
        <f>IFERROR(1/(1/SUM(COUNTIFS(
'YearA-AppDetails Current Date'!A:A,D50,
'YearA-AppDetails Current Date'!F:F,E50,
'YearA-AppDetails Current Date'!E:E,--F50,
'YearA-AppDetails Current Date'!R:R,"&lt;&gt;"&amp;"",
'YearA-AppDetails Current Date'!I:I,"FALL"))), "")</f>
        <v/>
      </c>
      <c r="L50" s="74" t="str" cm="1">
        <f t="array" ref="L50">IFERROR(1/(1/SUM(COUNTIFS(
'YearA-AppDetails Current Date'!A:A,D50,
'YearA-AppDetails Current Date'!F:F,E50,
'YearA-AppDetails Current Date'!E:E,--F50,
'YearA-AppDetails Current Date'!T:T,{"APEX","DENY","NTSL"},
'YearA-AppDetails Current Date'!I:I,"FALL"))), "")</f>
        <v/>
      </c>
      <c r="M50" s="74" t="str" cm="1">
        <f t="array" ref="M50">IFERROR(1/(1/SUM(COUNTIFS(
'YearA-AppDetails Current Date'!A:A,D50,
'YearA-AppDetails Current Date'!F:F,E50,
'YearA-AppDetails Current Date'!E:E,--F50,
'YearA-AppDetails Current Date'!U:U,{"CCAN","DECL"},
'YearA-AppDetails Current Date'!I:I,"FALL"))), "")</f>
        <v/>
      </c>
      <c r="N50" s="74" t="str" cm="1">
        <f t="array" ref="N50">IFERROR(1/(1/SUM(COUNTIFS(
'YearA-AppDetails Current Date'!A:A,D50,
'YearA-AppDetails Current Date'!F:F,E50,
'YearA-AppDetails Current Date'!E:E,--F50,
'YearA-AppDetails Current Date'!V:V,{"APRO","NODE"},
'YearA-AppDetails Current Date'!I:I,"FALL"))), "")</f>
        <v/>
      </c>
      <c r="O50" s="74" t="str" cm="1">
        <f t="array" ref="O50">IFERROR(1/(1/SUM(COUNTIFS(
'YearA-AppDetails Current Date'!A:A,D50,
'YearA-AppDetails Current Date'!F:F,E50,
'YearA-AppDetails Current Date'!E:E,--F50,
'YearA-AppDetails Current Date'!T:T,{"CDMT","RQMT","WAIT"},
'YearA-AppDetails Current Date'!I:I,"FALL"))), "")</f>
        <v/>
      </c>
      <c r="P50" s="74" t="str">
        <f>IFERROR(1/(1/COUNTIFS(
'YearA-AppDetails Current Date'!A:A,D50,
'YearA-AppDetails Current Date'!F:F,E50,
'YearA-AppDetails Current Date'!E:E,--F50,
'YearA-AppDetails Current Date'!Y:Y,"ENRO",
'YearA-AppDetails Current Date'!I:I,"FALL")),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HC'!D:T,4,FALSE)),
N(VLOOKUP(D51&amp;F51,'Budgeted Projections Intl HC'!D:T,5,FALSE))
)
),"")</f>
        <v/>
      </c>
      <c r="I51" s="73" t="str">
        <f>IFERROR(1/(1/COUNTIFS(
'YearA-AppDetails Current Date'!A:A,D51,
'YearA-AppDetails Current Date'!F:F,E51,
'YearA-AppDetails Current Date'!E:E,--F51,
'YearA-AppDetails Current Date'!I:I,"FALL")), "")</f>
        <v/>
      </c>
      <c r="J51" s="74" t="str" cm="1">
        <f t="array" ref="J51">IFERROR(1/(1/SUM(COUNTIFS(
'YearA-AppDetails Current Date'!A:A,D51,
'YearA-AppDetails Current Date'!F:F,E51,
'YearA-AppDetails Current Date'!E:E,--F51,
'YearA-AppDetails Current Date'!O:O,{"ACLN","ACPT","COND"},
'YearA-AppDetails Current Date'!S:S,"&lt;&gt;ACLN",
'YearA-AppDetails Current Date'!S:S,"&lt;&gt;ACPT",
'YearA-AppDetails Current Date'!S:S,"&lt;&gt;COND",
'YearA-AppDetails Current Date'!I:I,"FALL"))), "")</f>
        <v/>
      </c>
      <c r="K51" s="73" t="str">
        <f>IFERROR(1/(1/SUM(COUNTIFS(
'YearA-AppDetails Current Date'!A:A,D51,
'YearA-AppDetails Current Date'!F:F,E51,
'YearA-AppDetails Current Date'!E:E,--F51,
'YearA-AppDetails Current Date'!R:R,"&lt;&gt;"&amp;"",
'YearA-AppDetails Current Date'!I:I,"FALL"))), "")</f>
        <v/>
      </c>
      <c r="L51" s="74" t="str" cm="1">
        <f t="array" ref="L51">IFERROR(1/(1/SUM(COUNTIFS(
'YearA-AppDetails Current Date'!A:A,D51,
'YearA-AppDetails Current Date'!F:F,E51,
'YearA-AppDetails Current Date'!E:E,--F51,
'YearA-AppDetails Current Date'!T:T,{"APEX","DENY","NTSL"},
'YearA-AppDetails Current Date'!I:I,"FALL"))), "")</f>
        <v/>
      </c>
      <c r="M51" s="74" t="str" cm="1">
        <f t="array" ref="M51">IFERROR(1/(1/SUM(COUNTIFS(
'YearA-AppDetails Current Date'!A:A,D51,
'YearA-AppDetails Current Date'!F:F,E51,
'YearA-AppDetails Current Date'!E:E,--F51,
'YearA-AppDetails Current Date'!U:U,{"CCAN","DECL"},
'YearA-AppDetails Current Date'!I:I,"FALL"))), "")</f>
        <v/>
      </c>
      <c r="N51" s="74" t="str" cm="1">
        <f t="array" ref="N51">IFERROR(1/(1/SUM(COUNTIFS(
'YearA-AppDetails Current Date'!A:A,D51,
'YearA-AppDetails Current Date'!F:F,E51,
'YearA-AppDetails Current Date'!E:E,--F51,
'YearA-AppDetails Current Date'!V:V,{"APRO","NODE"},
'YearA-AppDetails Current Date'!I:I,"FALL"))), "")</f>
        <v/>
      </c>
      <c r="O51" s="74" t="str" cm="1">
        <f t="array" ref="O51">IFERROR(1/(1/SUM(COUNTIFS(
'YearA-AppDetails Current Date'!A:A,D51,
'YearA-AppDetails Current Date'!F:F,E51,
'YearA-AppDetails Current Date'!E:E,--F51,
'YearA-AppDetails Current Date'!T:T,{"CDMT","RQMT","WAIT"},
'YearA-AppDetails Current Date'!I:I,"FALL"))), "")</f>
        <v/>
      </c>
      <c r="P51" s="74" t="str">
        <f>IFERROR(1/(1/COUNTIFS(
'YearA-AppDetails Current Date'!A:A,D51,
'YearA-AppDetails Current Date'!F:F,E51,
'YearA-AppDetails Current Date'!E:E,--F51,
'YearA-AppDetails Current Date'!Y:Y,"ENRO",
'YearA-AppDetails Current Date'!I:I,"FALL")),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HC'!D:T,4,FALSE)),
N(VLOOKUP(D52&amp;F52,'Budgeted Projections Dom HC'!D:T,5,FALSE))
)
),"")</f>
        <v/>
      </c>
      <c r="I52" s="73" t="str">
        <f>IFERROR(1/(1/COUNTIFS(
'YearA-AppDetails Current Date'!A:A,D52,
'YearA-AppDetails Current Date'!F:F,E52,
'YearA-AppDetails Current Date'!E:E,--F52,
'YearA-AppDetails Current Date'!I:I,"FALL")), "")</f>
        <v/>
      </c>
      <c r="J52" s="74" t="str" cm="1">
        <f t="array" ref="J52">IFERROR(1/(1/SUM(COUNTIFS(
'YearA-AppDetails Current Date'!A:A,D52,
'YearA-AppDetails Current Date'!F:F,E52,
'YearA-AppDetails Current Date'!E:E,--F52,
'YearA-AppDetails Current Date'!O:O,{"ACLN","ACPT","COND"},
'YearA-AppDetails Current Date'!S:S,"&lt;&gt;ACLN",
'YearA-AppDetails Current Date'!S:S,"&lt;&gt;ACPT",
'YearA-AppDetails Current Date'!S:S,"&lt;&gt;COND",
'YearA-AppDetails Current Date'!I:I,"FALL"))), "")</f>
        <v/>
      </c>
      <c r="K52" s="73" t="str">
        <f>IFERROR(1/(1/SUM(COUNTIFS(
'YearA-AppDetails Current Date'!A:A,D52,
'YearA-AppDetails Current Date'!F:F,E52,
'YearA-AppDetails Current Date'!E:E,--F52,
'YearA-AppDetails Current Date'!R:R,"&lt;&gt;"&amp;"",
'YearA-AppDetails Current Date'!I:I,"FALL"))), "")</f>
        <v/>
      </c>
      <c r="L52" s="74" t="str" cm="1">
        <f t="array" ref="L52">IFERROR(1/(1/SUM(COUNTIFS(
'YearA-AppDetails Current Date'!A:A,D52,
'YearA-AppDetails Current Date'!F:F,E52,
'YearA-AppDetails Current Date'!E:E,--F52,
'YearA-AppDetails Current Date'!T:T,{"APEX","DENY","NTSL"},
'YearA-AppDetails Current Date'!I:I,"FALL"))), "")</f>
        <v/>
      </c>
      <c r="M52" s="74" t="str" cm="1">
        <f t="array" ref="M52">IFERROR(1/(1/SUM(COUNTIFS(
'YearA-AppDetails Current Date'!A:A,D52,
'YearA-AppDetails Current Date'!F:F,E52,
'YearA-AppDetails Current Date'!E:E,--F52,
'YearA-AppDetails Current Date'!U:U,{"CCAN","DECL"},
'YearA-AppDetails Current Date'!I:I,"FALL"))), "")</f>
        <v/>
      </c>
      <c r="N52" s="74" t="str" cm="1">
        <f t="array" ref="N52">IFERROR(1/(1/SUM(COUNTIFS(
'YearA-AppDetails Current Date'!A:A,D52,
'YearA-AppDetails Current Date'!F:F,E52,
'YearA-AppDetails Current Date'!E:E,--F52,
'YearA-AppDetails Current Date'!V:V,{"APRO","NODE"},
'YearA-AppDetails Current Date'!I:I,"FALL"))), "")</f>
        <v/>
      </c>
      <c r="O52" s="74" t="str" cm="1">
        <f t="array" ref="O52">IFERROR(1/(1/SUM(COUNTIFS(
'YearA-AppDetails Current Date'!A:A,D52,
'YearA-AppDetails Current Date'!F:F,E52,
'YearA-AppDetails Current Date'!E:E,--F52,
'YearA-AppDetails Current Date'!T:T,{"CDMT","RQMT","WAIT"},
'YearA-AppDetails Current Date'!I:I,"FALL"))), "")</f>
        <v/>
      </c>
      <c r="P52" s="74" t="str">
        <f>IFERROR(1/(1/COUNTIFS(
'YearA-AppDetails Current Date'!A:A,D52,
'YearA-AppDetails Current Date'!F:F,E52,
'YearA-AppDetails Current Date'!E:E,--F52,
'YearA-AppDetails Current Date'!Y:Y,"ENRO",
'YearA-AppDetails Current Date'!I:I,"FALL")),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HC'!D:T,4,FALSE)),
N(VLOOKUP(D53&amp;F53,'Budgeted Projections Intl HC'!D:T,5,FALSE))
)
),"")</f>
        <v/>
      </c>
      <c r="I53" s="73" t="str">
        <f>IFERROR(1/(1/COUNTIFS(
'YearA-AppDetails Current Date'!A:A,D53,
'YearA-AppDetails Current Date'!F:F,E53,
'YearA-AppDetails Current Date'!E:E,--F53,
'YearA-AppDetails Current Date'!I:I,"FALL")), "")</f>
        <v/>
      </c>
      <c r="J53" s="74" t="str" cm="1">
        <f t="array" ref="J53">IFERROR(1/(1/SUM(COUNTIFS(
'YearA-AppDetails Current Date'!A:A,D53,
'YearA-AppDetails Current Date'!F:F,E53,
'YearA-AppDetails Current Date'!E:E,--F53,
'YearA-AppDetails Current Date'!O:O,{"ACLN","ACPT","COND"},
'YearA-AppDetails Current Date'!S:S,"&lt;&gt;ACLN",
'YearA-AppDetails Current Date'!S:S,"&lt;&gt;ACPT",
'YearA-AppDetails Current Date'!S:S,"&lt;&gt;COND",
'YearA-AppDetails Current Date'!I:I,"FALL"))), "")</f>
        <v/>
      </c>
      <c r="K53" s="73" t="str">
        <f>IFERROR(1/(1/SUM(COUNTIFS(
'YearA-AppDetails Current Date'!A:A,D53,
'YearA-AppDetails Current Date'!F:F,E53,
'YearA-AppDetails Current Date'!E:E,--F53,
'YearA-AppDetails Current Date'!R:R,"&lt;&gt;"&amp;"",
'YearA-AppDetails Current Date'!I:I,"FALL"))), "")</f>
        <v/>
      </c>
      <c r="L53" s="74" t="str" cm="1">
        <f t="array" ref="L53">IFERROR(1/(1/SUM(COUNTIFS(
'YearA-AppDetails Current Date'!A:A,D53,
'YearA-AppDetails Current Date'!F:F,E53,
'YearA-AppDetails Current Date'!E:E,--F53,
'YearA-AppDetails Current Date'!T:T,{"APEX","DENY","NTSL"},
'YearA-AppDetails Current Date'!I:I,"FALL"))), "")</f>
        <v/>
      </c>
      <c r="M53" s="74" t="str" cm="1">
        <f t="array" ref="M53">IFERROR(1/(1/SUM(COUNTIFS(
'YearA-AppDetails Current Date'!A:A,D53,
'YearA-AppDetails Current Date'!F:F,E53,
'YearA-AppDetails Current Date'!E:E,--F53,
'YearA-AppDetails Current Date'!U:U,{"CCAN","DECL"},
'YearA-AppDetails Current Date'!I:I,"FALL"))), "")</f>
        <v/>
      </c>
      <c r="N53" s="74" t="str" cm="1">
        <f t="array" ref="N53">IFERROR(1/(1/SUM(COUNTIFS(
'YearA-AppDetails Current Date'!A:A,D53,
'YearA-AppDetails Current Date'!F:F,E53,
'YearA-AppDetails Current Date'!E:E,--F53,
'YearA-AppDetails Current Date'!V:V,{"APRO","NODE"},
'YearA-AppDetails Current Date'!I:I,"FALL"))), "")</f>
        <v/>
      </c>
      <c r="O53" s="74" t="str" cm="1">
        <f t="array" ref="O53">IFERROR(1/(1/SUM(COUNTIFS(
'YearA-AppDetails Current Date'!A:A,D53,
'YearA-AppDetails Current Date'!F:F,E53,
'YearA-AppDetails Current Date'!E:E,--F53,
'YearA-AppDetails Current Date'!T:T,{"CDMT","RQMT","WAIT"},
'YearA-AppDetails Current Date'!I:I,"FALL"))), "")</f>
        <v/>
      </c>
      <c r="P53" s="74" t="str">
        <f>IFERROR(1/(1/COUNTIFS(
'YearA-AppDetails Current Date'!A:A,D53,
'YearA-AppDetails Current Date'!F:F,E53,
'YearA-AppDetails Current Date'!E:E,--F53,
'YearA-AppDetails Current Date'!Y:Y,"ENRO",
'YearA-AppDetails Current Date'!I:I,"FALL")),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HC'!D:T,4,FALSE)),
N(VLOOKUP(D55&amp;F55,'Budgeted Projections Dom HC'!D:T,5,FALSE))
)
),"")</f>
        <v/>
      </c>
      <c r="I55" s="73" t="str">
        <f>IFERROR(1/(1/COUNTIFS(
'YearA-AppDetails Current Date'!A:A,D55,
'YearA-AppDetails Current Date'!F:F,E55,
'YearA-AppDetails Current Date'!E:E,--F55,
'YearA-AppDetails Current Date'!I:I,"FALL")), "")</f>
        <v/>
      </c>
      <c r="J55" s="74" t="str" cm="1">
        <f t="array" ref="J55">IFERROR(1/(1/SUM(COUNTIFS(
'YearA-AppDetails Current Date'!A:A,D55,
'YearA-AppDetails Current Date'!F:F,E55,
'YearA-AppDetails Current Date'!E:E,--F55,
'YearA-AppDetails Current Date'!O:O,{"ACLN","ACPT","COND"},
'YearA-AppDetails Current Date'!S:S,"&lt;&gt;ACLN",
'YearA-AppDetails Current Date'!S:S,"&lt;&gt;ACPT",
'YearA-AppDetails Current Date'!S:S,"&lt;&gt;COND",
'YearA-AppDetails Current Date'!I:I,"FALL"))), "")</f>
        <v/>
      </c>
      <c r="K55" s="73" t="str">
        <f>IFERROR(1/(1/SUM(COUNTIFS(
'YearA-AppDetails Current Date'!A:A,D55,
'YearA-AppDetails Current Date'!F:F,E55,
'YearA-AppDetails Current Date'!E:E,--F55,
'YearA-AppDetails Current Date'!R:R,"&lt;&gt;"&amp;"",
'YearA-AppDetails Current Date'!I:I,"FALL"))), "")</f>
        <v/>
      </c>
      <c r="L55" s="74" t="str" cm="1">
        <f t="array" ref="L55">IFERROR(1/(1/SUM(COUNTIFS(
'YearA-AppDetails Current Date'!A:A,D55,
'YearA-AppDetails Current Date'!F:F,E55,
'YearA-AppDetails Current Date'!E:E,--F55,
'YearA-AppDetails Current Date'!T:T,{"APEX","DENY","NTSL"},
'YearA-AppDetails Current Date'!I:I,"FALL"))), "")</f>
        <v/>
      </c>
      <c r="M55" s="74" t="str" cm="1">
        <f t="array" ref="M55">IFERROR(1/(1/SUM(COUNTIFS(
'YearA-AppDetails Current Date'!A:A,D55,
'YearA-AppDetails Current Date'!F:F,E55,
'YearA-AppDetails Current Date'!E:E,--F55,
'YearA-AppDetails Current Date'!U:U,{"CCAN","DECL"},
'YearA-AppDetails Current Date'!I:I,"FALL"))), "")</f>
        <v/>
      </c>
      <c r="N55" s="74" t="str" cm="1">
        <f t="array" ref="N55">IFERROR(1/(1/SUM(COUNTIFS(
'YearA-AppDetails Current Date'!A:A,D55,
'YearA-AppDetails Current Date'!F:F,E55,
'YearA-AppDetails Current Date'!E:E,--F55,
'YearA-AppDetails Current Date'!V:V,{"APRO","NODE"},
'YearA-AppDetails Current Date'!I:I,"FALL"))), "")</f>
        <v/>
      </c>
      <c r="O55" s="74" t="str" cm="1">
        <f t="array" ref="O55">IFERROR(1/(1/SUM(COUNTIFS(
'YearA-AppDetails Current Date'!A:A,D55,
'YearA-AppDetails Current Date'!F:F,E55,
'YearA-AppDetails Current Date'!E:E,--F55,
'YearA-AppDetails Current Date'!T:T,{"CDMT","RQMT","WAIT"},
'YearA-AppDetails Current Date'!I:I,"FALL"))), "")</f>
        <v/>
      </c>
      <c r="P55" s="74" t="str">
        <f>IFERROR(1/(1/COUNTIFS(
'YearA-AppDetails Current Date'!A:A,D55,
'YearA-AppDetails Current Date'!F:F,E55,
'YearA-AppDetails Current Date'!E:E,--F55,
'YearA-AppDetails Current Date'!Y:Y,"ENRO",
'YearA-AppDetails Current Date'!I:I,"FALL")),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HC'!D:T,4,FALSE)),
N(VLOOKUP(D56&amp;F56,'Budgeted Projections Intl HC'!D:T,5,FALSE))
)
),"")</f>
        <v/>
      </c>
      <c r="I56" s="73" t="str">
        <f>IFERROR(1/(1/COUNTIFS(
'YearA-AppDetails Current Date'!A:A,D56,
'YearA-AppDetails Current Date'!F:F,E56,
'YearA-AppDetails Current Date'!E:E,--F56,
'YearA-AppDetails Current Date'!I:I,"FALL")), "")</f>
        <v/>
      </c>
      <c r="J56" s="74" t="str" cm="1">
        <f t="array" ref="J56">IFERROR(1/(1/SUM(COUNTIFS(
'YearA-AppDetails Current Date'!A:A,D56,
'YearA-AppDetails Current Date'!F:F,E56,
'YearA-AppDetails Current Date'!E:E,--F56,
'YearA-AppDetails Current Date'!O:O,{"ACLN","ACPT","COND"},
'YearA-AppDetails Current Date'!S:S,"&lt;&gt;ACLN",
'YearA-AppDetails Current Date'!S:S,"&lt;&gt;ACPT",
'YearA-AppDetails Current Date'!S:S,"&lt;&gt;COND",
'YearA-AppDetails Current Date'!I:I,"FALL"))), "")</f>
        <v/>
      </c>
      <c r="K56" s="73" t="str">
        <f>IFERROR(1/(1/SUM(COUNTIFS(
'YearA-AppDetails Current Date'!A:A,D56,
'YearA-AppDetails Current Date'!F:F,E56,
'YearA-AppDetails Current Date'!E:E,--F56,
'YearA-AppDetails Current Date'!R:R,"&lt;&gt;"&amp;"",
'YearA-AppDetails Current Date'!I:I,"FALL"))), "")</f>
        <v/>
      </c>
      <c r="L56" s="74" t="str" cm="1">
        <f t="array" ref="L56">IFERROR(1/(1/SUM(COUNTIFS(
'YearA-AppDetails Current Date'!A:A,D56,
'YearA-AppDetails Current Date'!F:F,E56,
'YearA-AppDetails Current Date'!E:E,--F56,
'YearA-AppDetails Current Date'!T:T,{"APEX","DENY","NTSL"},
'YearA-AppDetails Current Date'!I:I,"FALL"))), "")</f>
        <v/>
      </c>
      <c r="M56" s="74" t="str" cm="1">
        <f t="array" ref="M56">IFERROR(1/(1/SUM(COUNTIFS(
'YearA-AppDetails Current Date'!A:A,D56,
'YearA-AppDetails Current Date'!F:F,E56,
'YearA-AppDetails Current Date'!E:E,--F56,
'YearA-AppDetails Current Date'!U:U,{"CCAN","DECL"},
'YearA-AppDetails Current Date'!I:I,"FALL"))), "")</f>
        <v/>
      </c>
      <c r="N56" s="74" t="str" cm="1">
        <f t="array" ref="N56">IFERROR(1/(1/SUM(COUNTIFS(
'YearA-AppDetails Current Date'!A:A,D56,
'YearA-AppDetails Current Date'!F:F,E56,
'YearA-AppDetails Current Date'!E:E,--F56,
'YearA-AppDetails Current Date'!V:V,{"APRO","NODE"},
'YearA-AppDetails Current Date'!I:I,"FALL"))), "")</f>
        <v/>
      </c>
      <c r="O56" s="74" t="str" cm="1">
        <f t="array" ref="O56">IFERROR(1/(1/SUM(COUNTIFS(
'YearA-AppDetails Current Date'!A:A,D56,
'YearA-AppDetails Current Date'!F:F,E56,
'YearA-AppDetails Current Date'!E:E,--F56,
'YearA-AppDetails Current Date'!T:T,{"CDMT","RQMT","WAIT"},
'YearA-AppDetails Current Date'!I:I,"FALL"))), "")</f>
        <v/>
      </c>
      <c r="P56" s="74" t="str">
        <f>IFERROR(1/(1/COUNTIFS(
'YearA-AppDetails Current Date'!A:A,D56,
'YearA-AppDetails Current Date'!F:F,E56,
'YearA-AppDetails Current Date'!E:E,--F56,
'YearA-AppDetails Current Date'!Y:Y,"ENRO",
'YearA-AppDetails Current Date'!I:I,"FALL")),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HC'!D:T,4,FALSE)),
N(VLOOKUP(D57&amp;F57,'Budgeted Projections Dom HC'!D:T,5,FALSE))
)
),"")</f>
        <v/>
      </c>
      <c r="I57" s="73" t="str">
        <f>IFERROR(1/(1/COUNTIFS(
'YearA-AppDetails Current Date'!A:A,D57,
'YearA-AppDetails Current Date'!F:F,E57,
'YearA-AppDetails Current Date'!E:E,--F57,
'YearA-AppDetails Current Date'!I:I,"FALL")), "")</f>
        <v/>
      </c>
      <c r="J57" s="74" t="str" cm="1">
        <f t="array" ref="J57">IFERROR(1/(1/SUM(COUNTIFS(
'YearA-AppDetails Current Date'!A:A,D57,
'YearA-AppDetails Current Date'!F:F,E57,
'YearA-AppDetails Current Date'!E:E,--F57,
'YearA-AppDetails Current Date'!O:O,{"ACLN","ACPT","COND"},
'YearA-AppDetails Current Date'!S:S,"&lt;&gt;ACLN",
'YearA-AppDetails Current Date'!S:S,"&lt;&gt;ACPT",
'YearA-AppDetails Current Date'!S:S,"&lt;&gt;COND",
'YearA-AppDetails Current Date'!I:I,"FALL"))), "")</f>
        <v/>
      </c>
      <c r="K57" s="73" t="str">
        <f>IFERROR(1/(1/SUM(COUNTIFS(
'YearA-AppDetails Current Date'!A:A,D57,
'YearA-AppDetails Current Date'!F:F,E57,
'YearA-AppDetails Current Date'!E:E,--F57,
'YearA-AppDetails Current Date'!R:R,"&lt;&gt;"&amp;"",
'YearA-AppDetails Current Date'!I:I,"FALL"))), "")</f>
        <v/>
      </c>
      <c r="L57" s="74" t="str" cm="1">
        <f t="array" ref="L57">IFERROR(1/(1/SUM(COUNTIFS(
'YearA-AppDetails Current Date'!A:A,D57,
'YearA-AppDetails Current Date'!F:F,E57,
'YearA-AppDetails Current Date'!E:E,--F57,
'YearA-AppDetails Current Date'!T:T,{"APEX","DENY","NTSL"},
'YearA-AppDetails Current Date'!I:I,"FALL"))), "")</f>
        <v/>
      </c>
      <c r="M57" s="74" t="str" cm="1">
        <f t="array" ref="M57">IFERROR(1/(1/SUM(COUNTIFS(
'YearA-AppDetails Current Date'!A:A,D57,
'YearA-AppDetails Current Date'!F:F,E57,
'YearA-AppDetails Current Date'!E:E,--F57,
'YearA-AppDetails Current Date'!U:U,{"CCAN","DECL"},
'YearA-AppDetails Current Date'!I:I,"FALL"))), "")</f>
        <v/>
      </c>
      <c r="N57" s="74" t="str" cm="1">
        <f t="array" ref="N57">IFERROR(1/(1/SUM(COUNTIFS(
'YearA-AppDetails Current Date'!A:A,D57,
'YearA-AppDetails Current Date'!F:F,E57,
'YearA-AppDetails Current Date'!E:E,--F57,
'YearA-AppDetails Current Date'!V:V,{"APRO","NODE"},
'YearA-AppDetails Current Date'!I:I,"FALL"))), "")</f>
        <v/>
      </c>
      <c r="O57" s="74" t="str" cm="1">
        <f t="array" ref="O57">IFERROR(1/(1/SUM(COUNTIFS(
'YearA-AppDetails Current Date'!A:A,D57,
'YearA-AppDetails Current Date'!F:F,E57,
'YearA-AppDetails Current Date'!E:E,--F57,
'YearA-AppDetails Current Date'!T:T,{"CDMT","RQMT","WAIT"},
'YearA-AppDetails Current Date'!I:I,"FALL"))), "")</f>
        <v/>
      </c>
      <c r="P57" s="74" t="str">
        <f>IFERROR(1/(1/COUNTIFS(
'YearA-AppDetails Current Date'!A:A,D57,
'YearA-AppDetails Current Date'!F:F,E57,
'YearA-AppDetails Current Date'!E:E,--F57,
'YearA-AppDetails Current Date'!Y:Y,"ENRO",
'YearA-AppDetails Current Date'!I:I,"FALL")),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HC'!D:T,4,FALSE)),
N(VLOOKUP(D58&amp;F58,'Budgeted Projections Intl HC'!D:T,5,FALSE))
)
),"")</f>
        <v/>
      </c>
      <c r="I58" s="73" t="str">
        <f>IFERROR(1/(1/COUNTIFS(
'YearA-AppDetails Current Date'!A:A,D58,
'YearA-AppDetails Current Date'!F:F,E58,
'YearA-AppDetails Current Date'!E:E,--F58,
'YearA-AppDetails Current Date'!I:I,"FALL")), "")</f>
        <v/>
      </c>
      <c r="J58" s="74" t="str" cm="1">
        <f t="array" ref="J58">IFERROR(1/(1/SUM(COUNTIFS(
'YearA-AppDetails Current Date'!A:A,D58,
'YearA-AppDetails Current Date'!F:F,E58,
'YearA-AppDetails Current Date'!E:E,--F58,
'YearA-AppDetails Current Date'!O:O,{"ACLN","ACPT","COND"},
'YearA-AppDetails Current Date'!S:S,"&lt;&gt;ACLN",
'YearA-AppDetails Current Date'!S:S,"&lt;&gt;ACPT",
'YearA-AppDetails Current Date'!S:S,"&lt;&gt;COND",
'YearA-AppDetails Current Date'!I:I,"FALL"))), "")</f>
        <v/>
      </c>
      <c r="K58" s="73" t="str">
        <f>IFERROR(1/(1/SUM(COUNTIFS(
'YearA-AppDetails Current Date'!A:A,D58,
'YearA-AppDetails Current Date'!F:F,E58,
'YearA-AppDetails Current Date'!E:E,--F58,
'YearA-AppDetails Current Date'!R:R,"&lt;&gt;"&amp;"",
'YearA-AppDetails Current Date'!I:I,"FALL"))), "")</f>
        <v/>
      </c>
      <c r="L58" s="74" t="str" cm="1">
        <f t="array" ref="L58">IFERROR(1/(1/SUM(COUNTIFS(
'YearA-AppDetails Current Date'!A:A,D58,
'YearA-AppDetails Current Date'!F:F,E58,
'YearA-AppDetails Current Date'!E:E,--F58,
'YearA-AppDetails Current Date'!T:T,{"APEX","DENY","NTSL"},
'YearA-AppDetails Current Date'!I:I,"FALL"))), "")</f>
        <v/>
      </c>
      <c r="M58" s="74" t="str" cm="1">
        <f t="array" ref="M58">IFERROR(1/(1/SUM(COUNTIFS(
'YearA-AppDetails Current Date'!A:A,D58,
'YearA-AppDetails Current Date'!F:F,E58,
'YearA-AppDetails Current Date'!E:E,--F58,
'YearA-AppDetails Current Date'!U:U,{"CCAN","DECL"},
'YearA-AppDetails Current Date'!I:I,"FALL"))), "")</f>
        <v/>
      </c>
      <c r="N58" s="74" t="str" cm="1">
        <f t="array" ref="N58">IFERROR(1/(1/SUM(COUNTIFS(
'YearA-AppDetails Current Date'!A:A,D58,
'YearA-AppDetails Current Date'!F:F,E58,
'YearA-AppDetails Current Date'!E:E,--F58,
'YearA-AppDetails Current Date'!V:V,{"APRO","NODE"},
'YearA-AppDetails Current Date'!I:I,"FALL"))), "")</f>
        <v/>
      </c>
      <c r="O58" s="74" t="str" cm="1">
        <f t="array" ref="O58">IFERROR(1/(1/SUM(COUNTIFS(
'YearA-AppDetails Current Date'!A:A,D58,
'YearA-AppDetails Current Date'!F:F,E58,
'YearA-AppDetails Current Date'!E:E,--F58,
'YearA-AppDetails Current Date'!T:T,{"CDMT","RQMT","WAIT"},
'YearA-AppDetails Current Date'!I:I,"FALL"))), "")</f>
        <v/>
      </c>
      <c r="P58" s="74" t="str">
        <f>IFERROR(1/(1/COUNTIFS(
'YearA-AppDetails Current Date'!A:A,D58,
'YearA-AppDetails Current Date'!F:F,E58,
'YearA-AppDetails Current Date'!E:E,--F58,
'YearA-AppDetails Current Date'!Y:Y,"ENRO",
'YearA-AppDetails Current Date'!I:I,"FALL")),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HC'!D:T,4,FALSE)),
N(VLOOKUP(D59&amp;F59,'Budgeted Projections Dom HC'!D:T,5,FALSE))
)
),"")</f>
        <v/>
      </c>
      <c r="I59" s="73" t="str">
        <f>IFERROR(1/(1/COUNTIFS(
'YearA-AppDetails Current Date'!A:A,D59,
'YearA-AppDetails Current Date'!F:F,E59,
'YearA-AppDetails Current Date'!E:E,--F59,
'YearA-AppDetails Current Date'!I:I,"FALL")), "")</f>
        <v/>
      </c>
      <c r="J59" s="74" t="str" cm="1">
        <f t="array" ref="J59">IFERROR(1/(1/SUM(COUNTIFS(
'YearA-AppDetails Current Date'!A:A,D59,
'YearA-AppDetails Current Date'!F:F,E59,
'YearA-AppDetails Current Date'!E:E,--F59,
'YearA-AppDetails Current Date'!O:O,{"ACLN","ACPT","COND"},
'YearA-AppDetails Current Date'!S:S,"&lt;&gt;ACLN",
'YearA-AppDetails Current Date'!S:S,"&lt;&gt;ACPT",
'YearA-AppDetails Current Date'!S:S,"&lt;&gt;COND",
'YearA-AppDetails Current Date'!I:I,"FALL"))), "")</f>
        <v/>
      </c>
      <c r="K59" s="73" t="str">
        <f>IFERROR(1/(1/SUM(COUNTIFS(
'YearA-AppDetails Current Date'!A:A,D59,
'YearA-AppDetails Current Date'!F:F,E59,
'YearA-AppDetails Current Date'!E:E,--F59,
'YearA-AppDetails Current Date'!R:R,"&lt;&gt;"&amp;"",
'YearA-AppDetails Current Date'!I:I,"FALL"))), "")</f>
        <v/>
      </c>
      <c r="L59" s="74" t="str" cm="1">
        <f t="array" ref="L59">IFERROR(1/(1/SUM(COUNTIFS(
'YearA-AppDetails Current Date'!A:A,D59,
'YearA-AppDetails Current Date'!F:F,E59,
'YearA-AppDetails Current Date'!E:E,--F59,
'YearA-AppDetails Current Date'!T:T,{"APEX","DENY","NTSL"},
'YearA-AppDetails Current Date'!I:I,"FALL"))), "")</f>
        <v/>
      </c>
      <c r="M59" s="74" t="str" cm="1">
        <f t="array" ref="M59">IFERROR(1/(1/SUM(COUNTIFS(
'YearA-AppDetails Current Date'!A:A,D59,
'YearA-AppDetails Current Date'!F:F,E59,
'YearA-AppDetails Current Date'!E:E,--F59,
'YearA-AppDetails Current Date'!U:U,{"CCAN","DECL"},
'YearA-AppDetails Current Date'!I:I,"FALL"))), "")</f>
        <v/>
      </c>
      <c r="N59" s="74" t="str" cm="1">
        <f t="array" ref="N59">IFERROR(1/(1/SUM(COUNTIFS(
'YearA-AppDetails Current Date'!A:A,D59,
'YearA-AppDetails Current Date'!F:F,E59,
'YearA-AppDetails Current Date'!E:E,--F59,
'YearA-AppDetails Current Date'!V:V,{"APRO","NODE"},
'YearA-AppDetails Current Date'!I:I,"FALL"))), "")</f>
        <v/>
      </c>
      <c r="O59" s="74" t="str" cm="1">
        <f t="array" ref="O59">IFERROR(1/(1/SUM(COUNTIFS(
'YearA-AppDetails Current Date'!A:A,D59,
'YearA-AppDetails Current Date'!F:F,E59,
'YearA-AppDetails Current Date'!E:E,--F59,
'YearA-AppDetails Current Date'!T:T,{"CDMT","RQMT","WAIT"},
'YearA-AppDetails Current Date'!I:I,"FALL"))), "")</f>
        <v/>
      </c>
      <c r="P59" s="74" t="str">
        <f>IFERROR(1/(1/COUNTIFS(
'YearA-AppDetails Current Date'!A:A,D59,
'YearA-AppDetails Current Date'!F:F,E59,
'YearA-AppDetails Current Date'!E:E,--F59,
'YearA-AppDetails Current Date'!Y:Y,"ENRO",
'YearA-AppDetails Current Date'!I:I,"FALL")),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HC'!D:T,4,FALSE)),
N(VLOOKUP(D60&amp;F60,'Budgeted Projections Intl HC'!D:T,5,FALSE))
)
),"")</f>
        <v/>
      </c>
      <c r="I60" s="73" t="str">
        <f>IFERROR(1/(1/COUNTIFS(
'YearA-AppDetails Current Date'!A:A,D60,
'YearA-AppDetails Current Date'!F:F,E60,
'YearA-AppDetails Current Date'!E:E,--F60,
'YearA-AppDetails Current Date'!I:I,"FALL")), "")</f>
        <v/>
      </c>
      <c r="J60" s="74" t="str" cm="1">
        <f t="array" ref="J60">IFERROR(1/(1/SUM(COUNTIFS(
'YearA-AppDetails Current Date'!A:A,D60,
'YearA-AppDetails Current Date'!F:F,E60,
'YearA-AppDetails Current Date'!E:E,--F60,
'YearA-AppDetails Current Date'!O:O,{"ACLN","ACPT","COND"},
'YearA-AppDetails Current Date'!S:S,"&lt;&gt;ACLN",
'YearA-AppDetails Current Date'!S:S,"&lt;&gt;ACPT",
'YearA-AppDetails Current Date'!S:S,"&lt;&gt;COND",
'YearA-AppDetails Current Date'!I:I,"FALL"))), "")</f>
        <v/>
      </c>
      <c r="K60" s="73" t="str">
        <f>IFERROR(1/(1/SUM(COUNTIFS(
'YearA-AppDetails Current Date'!A:A,D60,
'YearA-AppDetails Current Date'!F:F,E60,
'YearA-AppDetails Current Date'!E:E,--F60,
'YearA-AppDetails Current Date'!R:R,"&lt;&gt;"&amp;"",
'YearA-AppDetails Current Date'!I:I,"FALL"))), "")</f>
        <v/>
      </c>
      <c r="L60" s="74" t="str" cm="1">
        <f t="array" ref="L60">IFERROR(1/(1/SUM(COUNTIFS(
'YearA-AppDetails Current Date'!A:A,D60,
'YearA-AppDetails Current Date'!F:F,E60,
'YearA-AppDetails Current Date'!E:E,--F60,
'YearA-AppDetails Current Date'!T:T,{"APEX","DENY","NTSL"},
'YearA-AppDetails Current Date'!I:I,"FALL"))), "")</f>
        <v/>
      </c>
      <c r="M60" s="74" t="str" cm="1">
        <f t="array" ref="M60">IFERROR(1/(1/SUM(COUNTIFS(
'YearA-AppDetails Current Date'!A:A,D60,
'YearA-AppDetails Current Date'!F:F,E60,
'YearA-AppDetails Current Date'!E:E,--F60,
'YearA-AppDetails Current Date'!U:U,{"CCAN","DECL"},
'YearA-AppDetails Current Date'!I:I,"FALL"))), "")</f>
        <v/>
      </c>
      <c r="N60" s="74" t="str" cm="1">
        <f t="array" ref="N60">IFERROR(1/(1/SUM(COUNTIFS(
'YearA-AppDetails Current Date'!A:A,D60,
'YearA-AppDetails Current Date'!F:F,E60,
'YearA-AppDetails Current Date'!E:E,--F60,
'YearA-AppDetails Current Date'!V:V,{"APRO","NODE"},
'YearA-AppDetails Current Date'!I:I,"FALL"))), "")</f>
        <v/>
      </c>
      <c r="O60" s="74" t="str" cm="1">
        <f t="array" ref="O60">IFERROR(1/(1/SUM(COUNTIFS(
'YearA-AppDetails Current Date'!A:A,D60,
'YearA-AppDetails Current Date'!F:F,E60,
'YearA-AppDetails Current Date'!E:E,--F60,
'YearA-AppDetails Current Date'!T:T,{"CDMT","RQMT","WAIT"},
'YearA-AppDetails Current Date'!I:I,"FALL"))), "")</f>
        <v/>
      </c>
      <c r="P60" s="74" t="str">
        <f>IFERROR(1/(1/COUNTIFS(
'YearA-AppDetails Current Date'!A:A,D60,
'YearA-AppDetails Current Date'!F:F,E60,
'YearA-AppDetails Current Date'!E:E,--F60,
'YearA-AppDetails Current Date'!Y:Y,"ENRO",
'YearA-AppDetails Current Date'!I:I,"FALL")),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HC'!D:T,4,FALSE)),
N(VLOOKUP(D61&amp;F61,'Budgeted Projections Dom HC'!D:T,5,FALSE))
)
),"")</f>
        <v/>
      </c>
      <c r="I61" s="73" t="str">
        <f>IFERROR(1/(1/COUNTIFS(
'YearA-AppDetails Current Date'!A:A,D61,
'YearA-AppDetails Current Date'!F:F,E61,
'YearA-AppDetails Current Date'!E:E,--F61,
'YearA-AppDetails Current Date'!I:I,"FALL")), "")</f>
        <v/>
      </c>
      <c r="J61" s="74" t="str" cm="1">
        <f t="array" ref="J61">IFERROR(1/(1/SUM(COUNTIFS(
'YearA-AppDetails Current Date'!A:A,D61,
'YearA-AppDetails Current Date'!F:F,E61,
'YearA-AppDetails Current Date'!E:E,--F61,
'YearA-AppDetails Current Date'!O:O,{"ACLN","ACPT","COND"},
'YearA-AppDetails Current Date'!S:S,"&lt;&gt;ACLN",
'YearA-AppDetails Current Date'!S:S,"&lt;&gt;ACPT",
'YearA-AppDetails Current Date'!S:S,"&lt;&gt;COND",
'YearA-AppDetails Current Date'!I:I,"FALL"))), "")</f>
        <v/>
      </c>
      <c r="K61" s="73" t="str">
        <f>IFERROR(1/(1/SUM(COUNTIFS(
'YearA-AppDetails Current Date'!A:A,D61,
'YearA-AppDetails Current Date'!F:F,E61,
'YearA-AppDetails Current Date'!E:E,--F61,
'YearA-AppDetails Current Date'!R:R,"&lt;&gt;"&amp;"",
'YearA-AppDetails Current Date'!I:I,"FALL"))), "")</f>
        <v/>
      </c>
      <c r="L61" s="74" t="str" cm="1">
        <f t="array" ref="L61">IFERROR(1/(1/SUM(COUNTIFS(
'YearA-AppDetails Current Date'!A:A,D61,
'YearA-AppDetails Current Date'!F:F,E61,
'YearA-AppDetails Current Date'!E:E,--F61,
'YearA-AppDetails Current Date'!T:T,{"APEX","DENY","NTSL"},
'YearA-AppDetails Current Date'!I:I,"FALL"))), "")</f>
        <v/>
      </c>
      <c r="M61" s="74" t="str" cm="1">
        <f t="array" ref="M61">IFERROR(1/(1/SUM(COUNTIFS(
'YearA-AppDetails Current Date'!A:A,D61,
'YearA-AppDetails Current Date'!F:F,E61,
'YearA-AppDetails Current Date'!E:E,--F61,
'YearA-AppDetails Current Date'!U:U,{"CCAN","DECL"},
'YearA-AppDetails Current Date'!I:I,"FALL"))), "")</f>
        <v/>
      </c>
      <c r="N61" s="74" t="str" cm="1">
        <f t="array" ref="N61">IFERROR(1/(1/SUM(COUNTIFS(
'YearA-AppDetails Current Date'!A:A,D61,
'YearA-AppDetails Current Date'!F:F,E61,
'YearA-AppDetails Current Date'!E:E,--F61,
'YearA-AppDetails Current Date'!V:V,{"APRO","NODE"},
'YearA-AppDetails Current Date'!I:I,"FALL"))), "")</f>
        <v/>
      </c>
      <c r="O61" s="74" t="str" cm="1">
        <f t="array" ref="O61">IFERROR(1/(1/SUM(COUNTIFS(
'YearA-AppDetails Current Date'!A:A,D61,
'YearA-AppDetails Current Date'!F:F,E61,
'YearA-AppDetails Current Date'!E:E,--F61,
'YearA-AppDetails Current Date'!T:T,{"CDMT","RQMT","WAIT"},
'YearA-AppDetails Current Date'!I:I,"FALL"))), "")</f>
        <v/>
      </c>
      <c r="P61" s="74" t="str">
        <f>IFERROR(1/(1/COUNTIFS(
'YearA-AppDetails Current Date'!A:A,D61,
'YearA-AppDetails Current Date'!F:F,E61,
'YearA-AppDetails Current Date'!E:E,--F61,
'YearA-AppDetails Current Date'!Y:Y,"ENRO",
'YearA-AppDetails Current Date'!I:I,"FALL")),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HC'!D:T,4,FALSE)),
N(VLOOKUP(D62&amp;F62,'Budgeted Projections Intl HC'!D:T,5,FALSE))
)
),"")</f>
        <v/>
      </c>
      <c r="I62" s="73" t="str">
        <f>IFERROR(1/(1/COUNTIFS(
'YearA-AppDetails Current Date'!A:A,D62,
'YearA-AppDetails Current Date'!F:F,E62,
'YearA-AppDetails Current Date'!E:E,--F62,
'YearA-AppDetails Current Date'!I:I,"FALL")), "")</f>
        <v/>
      </c>
      <c r="J62" s="74" t="str" cm="1">
        <f t="array" ref="J62">IFERROR(1/(1/SUM(COUNTIFS(
'YearA-AppDetails Current Date'!A:A,D62,
'YearA-AppDetails Current Date'!F:F,E62,
'YearA-AppDetails Current Date'!E:E,--F62,
'YearA-AppDetails Current Date'!O:O,{"ACLN","ACPT","COND"},
'YearA-AppDetails Current Date'!S:S,"&lt;&gt;ACLN",
'YearA-AppDetails Current Date'!S:S,"&lt;&gt;ACPT",
'YearA-AppDetails Current Date'!S:S,"&lt;&gt;COND",
'YearA-AppDetails Current Date'!I:I,"FALL"))), "")</f>
        <v/>
      </c>
      <c r="K62" s="73" t="str">
        <f>IFERROR(1/(1/SUM(COUNTIFS(
'YearA-AppDetails Current Date'!A:A,D62,
'YearA-AppDetails Current Date'!F:F,E62,
'YearA-AppDetails Current Date'!E:E,--F62,
'YearA-AppDetails Current Date'!R:R,"&lt;&gt;"&amp;"",
'YearA-AppDetails Current Date'!I:I,"FALL"))), "")</f>
        <v/>
      </c>
      <c r="L62" s="74" t="str" cm="1">
        <f t="array" ref="L62">IFERROR(1/(1/SUM(COUNTIFS(
'YearA-AppDetails Current Date'!A:A,D62,
'YearA-AppDetails Current Date'!F:F,E62,
'YearA-AppDetails Current Date'!E:E,--F62,
'YearA-AppDetails Current Date'!T:T,{"APEX","DENY","NTSL"},
'YearA-AppDetails Current Date'!I:I,"FALL"))), "")</f>
        <v/>
      </c>
      <c r="M62" s="74" t="str" cm="1">
        <f t="array" ref="M62">IFERROR(1/(1/SUM(COUNTIFS(
'YearA-AppDetails Current Date'!A:A,D62,
'YearA-AppDetails Current Date'!F:F,E62,
'YearA-AppDetails Current Date'!E:E,--F62,
'YearA-AppDetails Current Date'!U:U,{"CCAN","DECL"},
'YearA-AppDetails Current Date'!I:I,"FALL"))), "")</f>
        <v/>
      </c>
      <c r="N62" s="74" t="str" cm="1">
        <f t="array" ref="N62">IFERROR(1/(1/SUM(COUNTIFS(
'YearA-AppDetails Current Date'!A:A,D62,
'YearA-AppDetails Current Date'!F:F,E62,
'YearA-AppDetails Current Date'!E:E,--F62,
'YearA-AppDetails Current Date'!V:V,{"APRO","NODE"},
'YearA-AppDetails Current Date'!I:I,"FALL"))), "")</f>
        <v/>
      </c>
      <c r="O62" s="74" t="str" cm="1">
        <f t="array" ref="O62">IFERROR(1/(1/SUM(COUNTIFS(
'YearA-AppDetails Current Date'!A:A,D62,
'YearA-AppDetails Current Date'!F:F,E62,
'YearA-AppDetails Current Date'!E:E,--F62,
'YearA-AppDetails Current Date'!T:T,{"CDMT","RQMT","WAIT"},
'YearA-AppDetails Current Date'!I:I,"FALL"))), "")</f>
        <v/>
      </c>
      <c r="P62" s="74" t="str">
        <f>IFERROR(1/(1/COUNTIFS(
'YearA-AppDetails Current Date'!A:A,D62,
'YearA-AppDetails Current Date'!F:F,E62,
'YearA-AppDetails Current Date'!E:E,--F62,
'YearA-AppDetails Current Date'!Y:Y,"ENRO",
'YearA-AppDetails Current Date'!I:I,"FALL")),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HC'!D:T,4,FALSE)),
N(VLOOKUP(D64&amp;F64,'Budgeted Projections Dom HC'!D:T,5,FALSE))
)
),"")</f>
        <v/>
      </c>
      <c r="I64" s="73" t="str">
        <f>IFERROR(1/(1/COUNTIFS(
'YearA-AppDetails Current Date'!A:A,D64,
'YearA-AppDetails Current Date'!F:F,E64,
'YearA-AppDetails Current Date'!E:E,--F64,
'YearA-AppDetails Current Date'!I:I,"FALL")), "")</f>
        <v/>
      </c>
      <c r="J64" s="74" t="str" cm="1">
        <f t="array" ref="J64">IFERROR(1/(1/SUM(COUNTIFS(
'YearA-AppDetails Current Date'!A:A,D64,
'YearA-AppDetails Current Date'!F:F,E64,
'YearA-AppDetails Current Date'!E:E,--F64,
'YearA-AppDetails Current Date'!O:O,{"ACLN","ACPT","COND"},
'YearA-AppDetails Current Date'!S:S,"&lt;&gt;ACLN",
'YearA-AppDetails Current Date'!S:S,"&lt;&gt;ACPT",
'YearA-AppDetails Current Date'!S:S,"&lt;&gt;COND",
'YearA-AppDetails Current Date'!I:I,"FALL"))), "")</f>
        <v/>
      </c>
      <c r="K64" s="73" t="str">
        <f>IFERROR(1/(1/SUM(COUNTIFS(
'YearA-AppDetails Current Date'!A:A,D64,
'YearA-AppDetails Current Date'!F:F,E64,
'YearA-AppDetails Current Date'!E:E,--F64,
'YearA-AppDetails Current Date'!R:R,"&lt;&gt;"&amp;"",
'YearA-AppDetails Current Date'!I:I,"FALL"))), "")</f>
        <v/>
      </c>
      <c r="L64" s="74" t="str" cm="1">
        <f t="array" ref="L64">IFERROR(1/(1/SUM(COUNTIFS(
'YearA-AppDetails Current Date'!A:A,D64,
'YearA-AppDetails Current Date'!F:F,E64,
'YearA-AppDetails Current Date'!E:E,--F64,
'YearA-AppDetails Current Date'!T:T,{"APEX","DENY","NTSL"},
'YearA-AppDetails Current Date'!I:I,"FALL"))), "")</f>
        <v/>
      </c>
      <c r="M64" s="74" t="str" cm="1">
        <f t="array" ref="M64">IFERROR(1/(1/SUM(COUNTIFS(
'YearA-AppDetails Current Date'!A:A,D64,
'YearA-AppDetails Current Date'!F:F,E64,
'YearA-AppDetails Current Date'!E:E,--F64,
'YearA-AppDetails Current Date'!U:U,{"CCAN","DECL"},
'YearA-AppDetails Current Date'!I:I,"FALL"))), "")</f>
        <v/>
      </c>
      <c r="N64" s="74" t="str" cm="1">
        <f t="array" ref="N64">IFERROR(1/(1/SUM(COUNTIFS(
'YearA-AppDetails Current Date'!A:A,D64,
'YearA-AppDetails Current Date'!F:F,E64,
'YearA-AppDetails Current Date'!E:E,--F64,
'YearA-AppDetails Current Date'!V:V,{"APRO","NODE"},
'YearA-AppDetails Current Date'!I:I,"FALL"))), "")</f>
        <v/>
      </c>
      <c r="O64" s="74" t="str" cm="1">
        <f t="array" ref="O64">IFERROR(1/(1/SUM(COUNTIFS(
'YearA-AppDetails Current Date'!A:A,D64,
'YearA-AppDetails Current Date'!F:F,E64,
'YearA-AppDetails Current Date'!E:E,--F64,
'YearA-AppDetails Current Date'!T:T,{"CDMT","RQMT","WAIT"},
'YearA-AppDetails Current Date'!I:I,"FALL"))), "")</f>
        <v/>
      </c>
      <c r="P64" s="74" t="str">
        <f>IFERROR(1/(1/COUNTIFS(
'YearA-AppDetails Current Date'!A:A,D64,
'YearA-AppDetails Current Date'!F:F,E64,
'YearA-AppDetails Current Date'!E:E,--F64,
'YearA-AppDetails Current Date'!Y:Y,"ENRO",
'YearA-AppDetails Current Date'!I:I,"FALL")),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HC'!D:T,4,FALSE)),
N(VLOOKUP(D65&amp;F65,'Budgeted Projections Intl HC'!D:T,5,FALSE))
)
),"")</f>
        <v/>
      </c>
      <c r="I65" s="73" t="str">
        <f>IFERROR(1/(1/COUNTIFS(
'YearA-AppDetails Current Date'!A:A,D65,
'YearA-AppDetails Current Date'!F:F,E65,
'YearA-AppDetails Current Date'!E:E,--F65,
'YearA-AppDetails Current Date'!I:I,"FALL")), "")</f>
        <v/>
      </c>
      <c r="J65" s="74" t="str" cm="1">
        <f t="array" ref="J65">IFERROR(1/(1/SUM(COUNTIFS(
'YearA-AppDetails Current Date'!A:A,D65,
'YearA-AppDetails Current Date'!F:F,E65,
'YearA-AppDetails Current Date'!E:E,--F65,
'YearA-AppDetails Current Date'!O:O,{"ACLN","ACPT","COND"},
'YearA-AppDetails Current Date'!S:S,"&lt;&gt;ACLN",
'YearA-AppDetails Current Date'!S:S,"&lt;&gt;ACPT",
'YearA-AppDetails Current Date'!S:S,"&lt;&gt;COND",
'YearA-AppDetails Current Date'!I:I,"FALL"))), "")</f>
        <v/>
      </c>
      <c r="K65" s="73" t="str">
        <f>IFERROR(1/(1/SUM(COUNTIFS(
'YearA-AppDetails Current Date'!A:A,D65,
'YearA-AppDetails Current Date'!F:F,E65,
'YearA-AppDetails Current Date'!E:E,--F65,
'YearA-AppDetails Current Date'!R:R,"&lt;&gt;"&amp;"",
'YearA-AppDetails Current Date'!I:I,"FALL"))), "")</f>
        <v/>
      </c>
      <c r="L65" s="74" t="str" cm="1">
        <f t="array" ref="L65">IFERROR(1/(1/SUM(COUNTIFS(
'YearA-AppDetails Current Date'!A:A,D65,
'YearA-AppDetails Current Date'!F:F,E65,
'YearA-AppDetails Current Date'!E:E,--F65,
'YearA-AppDetails Current Date'!T:T,{"APEX","DENY","NTSL"},
'YearA-AppDetails Current Date'!I:I,"FALL"))), "")</f>
        <v/>
      </c>
      <c r="M65" s="74" t="str" cm="1">
        <f t="array" ref="M65">IFERROR(1/(1/SUM(COUNTIFS(
'YearA-AppDetails Current Date'!A:A,D65,
'YearA-AppDetails Current Date'!F:F,E65,
'YearA-AppDetails Current Date'!E:E,--F65,
'YearA-AppDetails Current Date'!U:U,{"CCAN","DECL"},
'YearA-AppDetails Current Date'!I:I,"FALL"))), "")</f>
        <v/>
      </c>
      <c r="N65" s="74" t="str" cm="1">
        <f t="array" ref="N65">IFERROR(1/(1/SUM(COUNTIFS(
'YearA-AppDetails Current Date'!A:A,D65,
'YearA-AppDetails Current Date'!F:F,E65,
'YearA-AppDetails Current Date'!E:E,--F65,
'YearA-AppDetails Current Date'!V:V,{"APRO","NODE"},
'YearA-AppDetails Current Date'!I:I,"FALL"))), "")</f>
        <v/>
      </c>
      <c r="O65" s="74" t="str" cm="1">
        <f t="array" ref="O65">IFERROR(1/(1/SUM(COUNTIFS(
'YearA-AppDetails Current Date'!A:A,D65,
'YearA-AppDetails Current Date'!F:F,E65,
'YearA-AppDetails Current Date'!E:E,--F65,
'YearA-AppDetails Current Date'!T:T,{"CDMT","RQMT","WAIT"},
'YearA-AppDetails Current Date'!I:I,"FALL"))), "")</f>
        <v/>
      </c>
      <c r="P65" s="74" t="str">
        <f>IFERROR(1/(1/COUNTIFS(
'YearA-AppDetails Current Date'!A:A,D65,
'YearA-AppDetails Current Date'!F:F,E65,
'YearA-AppDetails Current Date'!E:E,--F65,
'YearA-AppDetails Current Date'!Y:Y,"ENRO",
'YearA-AppDetails Current Date'!I:I,"FALL")),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HC'!D:T,4,FALSE)),
N(VLOOKUP(D66&amp;F66,'Budgeted Projections Dom HC'!D:T,5,FALSE))
)
),"")</f>
        <v/>
      </c>
      <c r="I66" s="73" t="str">
        <f>IFERROR(1/(1/COUNTIFS(
'YearA-AppDetails Current Date'!A:A,D66,
'YearA-AppDetails Current Date'!F:F,E66,
'YearA-AppDetails Current Date'!E:E,--F66,
'YearA-AppDetails Current Date'!I:I,"FALL")), "")</f>
        <v/>
      </c>
      <c r="J66" s="74" t="str" cm="1">
        <f t="array" ref="J66">IFERROR(1/(1/SUM(COUNTIFS(
'YearA-AppDetails Current Date'!A:A,D66,
'YearA-AppDetails Current Date'!F:F,E66,
'YearA-AppDetails Current Date'!E:E,--F66,
'YearA-AppDetails Current Date'!O:O,{"ACLN","ACPT","COND"},
'YearA-AppDetails Current Date'!S:S,"&lt;&gt;ACLN",
'YearA-AppDetails Current Date'!S:S,"&lt;&gt;ACPT",
'YearA-AppDetails Current Date'!S:S,"&lt;&gt;COND",
'YearA-AppDetails Current Date'!I:I,"FALL"))), "")</f>
        <v/>
      </c>
      <c r="K66" s="73" t="str">
        <f>IFERROR(1/(1/SUM(COUNTIFS(
'YearA-AppDetails Current Date'!A:A,D66,
'YearA-AppDetails Current Date'!F:F,E66,
'YearA-AppDetails Current Date'!E:E,--F66,
'YearA-AppDetails Current Date'!R:R,"&lt;&gt;"&amp;"",
'YearA-AppDetails Current Date'!I:I,"FALL"))), "")</f>
        <v/>
      </c>
      <c r="L66" s="74" t="str" cm="1">
        <f t="array" ref="L66">IFERROR(1/(1/SUM(COUNTIFS(
'YearA-AppDetails Current Date'!A:A,D66,
'YearA-AppDetails Current Date'!F:F,E66,
'YearA-AppDetails Current Date'!E:E,--F66,
'YearA-AppDetails Current Date'!T:T,{"APEX","DENY","NTSL"},
'YearA-AppDetails Current Date'!I:I,"FALL"))), "")</f>
        <v/>
      </c>
      <c r="M66" s="74" t="str" cm="1">
        <f t="array" ref="M66">IFERROR(1/(1/SUM(COUNTIFS(
'YearA-AppDetails Current Date'!A:A,D66,
'YearA-AppDetails Current Date'!F:F,E66,
'YearA-AppDetails Current Date'!E:E,--F66,
'YearA-AppDetails Current Date'!U:U,{"CCAN","DECL"},
'YearA-AppDetails Current Date'!I:I,"FALL"))), "")</f>
        <v/>
      </c>
      <c r="N66" s="74" t="str" cm="1">
        <f t="array" ref="N66">IFERROR(1/(1/SUM(COUNTIFS(
'YearA-AppDetails Current Date'!A:A,D66,
'YearA-AppDetails Current Date'!F:F,E66,
'YearA-AppDetails Current Date'!E:E,--F66,
'YearA-AppDetails Current Date'!V:V,{"APRO","NODE"},
'YearA-AppDetails Current Date'!I:I,"FALL"))), "")</f>
        <v/>
      </c>
      <c r="O66" s="74" t="str" cm="1">
        <f t="array" ref="O66">IFERROR(1/(1/SUM(COUNTIFS(
'YearA-AppDetails Current Date'!A:A,D66,
'YearA-AppDetails Current Date'!F:F,E66,
'YearA-AppDetails Current Date'!E:E,--F66,
'YearA-AppDetails Current Date'!T:T,{"CDMT","RQMT","WAIT"},
'YearA-AppDetails Current Date'!I:I,"FALL"))), "")</f>
        <v/>
      </c>
      <c r="P66" s="74" t="str">
        <f>IFERROR(1/(1/COUNTIFS(
'YearA-AppDetails Current Date'!A:A,D66,
'YearA-AppDetails Current Date'!F:F,E66,
'YearA-AppDetails Current Date'!E:E,--F66,
'YearA-AppDetails Current Date'!Y:Y,"ENRO",
'YearA-AppDetails Current Date'!I:I,"FALL")),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HC'!D:T,4,FALSE)),
N(VLOOKUP(D67&amp;F67,'Budgeted Projections Intl HC'!D:T,5,FALSE))
)
),"")</f>
        <v/>
      </c>
      <c r="I67" s="73" t="str">
        <f>IFERROR(1/(1/COUNTIFS(
'YearA-AppDetails Current Date'!A:A,D67,
'YearA-AppDetails Current Date'!F:F,E67,
'YearA-AppDetails Current Date'!E:E,--F67,
'YearA-AppDetails Current Date'!I:I,"FALL")), "")</f>
        <v/>
      </c>
      <c r="J67" s="74" t="str" cm="1">
        <f t="array" ref="J67">IFERROR(1/(1/SUM(COUNTIFS(
'YearA-AppDetails Current Date'!A:A,D67,
'YearA-AppDetails Current Date'!F:F,E67,
'YearA-AppDetails Current Date'!E:E,--F67,
'YearA-AppDetails Current Date'!O:O,{"ACLN","ACPT","COND"},
'YearA-AppDetails Current Date'!S:S,"&lt;&gt;ACLN",
'YearA-AppDetails Current Date'!S:S,"&lt;&gt;ACPT",
'YearA-AppDetails Current Date'!S:S,"&lt;&gt;COND",
'YearA-AppDetails Current Date'!I:I,"FALL"))), "")</f>
        <v/>
      </c>
      <c r="K67" s="73" t="str">
        <f>IFERROR(1/(1/SUM(COUNTIFS(
'YearA-AppDetails Current Date'!A:A,D67,
'YearA-AppDetails Current Date'!F:F,E67,
'YearA-AppDetails Current Date'!E:E,--F67,
'YearA-AppDetails Current Date'!R:R,"&lt;&gt;"&amp;"",
'YearA-AppDetails Current Date'!I:I,"FALL"))), "")</f>
        <v/>
      </c>
      <c r="L67" s="74" t="str" cm="1">
        <f t="array" ref="L67">IFERROR(1/(1/SUM(COUNTIFS(
'YearA-AppDetails Current Date'!A:A,D67,
'YearA-AppDetails Current Date'!F:F,E67,
'YearA-AppDetails Current Date'!E:E,--F67,
'YearA-AppDetails Current Date'!T:T,{"APEX","DENY","NTSL"},
'YearA-AppDetails Current Date'!I:I,"FALL"))), "")</f>
        <v/>
      </c>
      <c r="M67" s="74" t="str" cm="1">
        <f t="array" ref="M67">IFERROR(1/(1/SUM(COUNTIFS(
'YearA-AppDetails Current Date'!A:A,D67,
'YearA-AppDetails Current Date'!F:F,E67,
'YearA-AppDetails Current Date'!E:E,--F67,
'YearA-AppDetails Current Date'!U:U,{"CCAN","DECL"},
'YearA-AppDetails Current Date'!I:I,"FALL"))), "")</f>
        <v/>
      </c>
      <c r="N67" s="74" t="str" cm="1">
        <f t="array" ref="N67">IFERROR(1/(1/SUM(COUNTIFS(
'YearA-AppDetails Current Date'!A:A,D67,
'YearA-AppDetails Current Date'!F:F,E67,
'YearA-AppDetails Current Date'!E:E,--F67,
'YearA-AppDetails Current Date'!V:V,{"APRO","NODE"},
'YearA-AppDetails Current Date'!I:I,"FALL"))), "")</f>
        <v/>
      </c>
      <c r="O67" s="74" t="str" cm="1">
        <f t="array" ref="O67">IFERROR(1/(1/SUM(COUNTIFS(
'YearA-AppDetails Current Date'!A:A,D67,
'YearA-AppDetails Current Date'!F:F,E67,
'YearA-AppDetails Current Date'!E:E,--F67,
'YearA-AppDetails Current Date'!T:T,{"CDMT","RQMT","WAIT"},
'YearA-AppDetails Current Date'!I:I,"FALL"))), "")</f>
        <v/>
      </c>
      <c r="P67" s="74" t="str">
        <f>IFERROR(1/(1/COUNTIFS(
'YearA-AppDetails Current Date'!A:A,D67,
'YearA-AppDetails Current Date'!F:F,E67,
'YearA-AppDetails Current Date'!E:E,--F67,
'YearA-AppDetails Current Date'!Y:Y,"ENRO",
'YearA-AppDetails Current Date'!I:I,"FALL")),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HC'!D:T,4,FALSE)),
N(VLOOKUP(D68&amp;F68,'Budgeted Projections Dom HC'!D:T,5,FALSE))
)
),"")</f>
        <v/>
      </c>
      <c r="I68" s="73" t="str">
        <f>IFERROR(1/(1/COUNTIFS(
'YearA-AppDetails Current Date'!A:A,D68,
'YearA-AppDetails Current Date'!F:F,E68,
'YearA-AppDetails Current Date'!E:E,--F68,
'YearA-AppDetails Current Date'!I:I,"FALL")), "")</f>
        <v/>
      </c>
      <c r="J68" s="74" t="str" cm="1">
        <f t="array" ref="J68">IFERROR(1/(1/SUM(COUNTIFS(
'YearA-AppDetails Current Date'!A:A,D68,
'YearA-AppDetails Current Date'!F:F,E68,
'YearA-AppDetails Current Date'!E:E,--F68,
'YearA-AppDetails Current Date'!O:O,{"ACLN","ACPT","COND"},
'YearA-AppDetails Current Date'!S:S,"&lt;&gt;ACLN",
'YearA-AppDetails Current Date'!S:S,"&lt;&gt;ACPT",
'YearA-AppDetails Current Date'!S:S,"&lt;&gt;COND",
'YearA-AppDetails Current Date'!I:I,"FALL"))), "")</f>
        <v/>
      </c>
      <c r="K68" s="73" t="str">
        <f>IFERROR(1/(1/SUM(COUNTIFS(
'YearA-AppDetails Current Date'!A:A,D68,
'YearA-AppDetails Current Date'!F:F,E68,
'YearA-AppDetails Current Date'!E:E,--F68,
'YearA-AppDetails Current Date'!R:R,"&lt;&gt;"&amp;"",
'YearA-AppDetails Current Date'!I:I,"FALL"))), "")</f>
        <v/>
      </c>
      <c r="L68" s="74" t="str" cm="1">
        <f t="array" ref="L68">IFERROR(1/(1/SUM(COUNTIFS(
'YearA-AppDetails Current Date'!A:A,D68,
'YearA-AppDetails Current Date'!F:F,E68,
'YearA-AppDetails Current Date'!E:E,--F68,
'YearA-AppDetails Current Date'!T:T,{"APEX","DENY","NTSL"},
'YearA-AppDetails Current Date'!I:I,"FALL"))), "")</f>
        <v/>
      </c>
      <c r="M68" s="74" t="str" cm="1">
        <f t="array" ref="M68">IFERROR(1/(1/SUM(COUNTIFS(
'YearA-AppDetails Current Date'!A:A,D68,
'YearA-AppDetails Current Date'!F:F,E68,
'YearA-AppDetails Current Date'!E:E,--F68,
'YearA-AppDetails Current Date'!U:U,{"CCAN","DECL"},
'YearA-AppDetails Current Date'!I:I,"FALL"))), "")</f>
        <v/>
      </c>
      <c r="N68" s="74" t="str" cm="1">
        <f t="array" ref="N68">IFERROR(1/(1/SUM(COUNTIFS(
'YearA-AppDetails Current Date'!A:A,D68,
'YearA-AppDetails Current Date'!F:F,E68,
'YearA-AppDetails Current Date'!E:E,--F68,
'YearA-AppDetails Current Date'!V:V,{"APRO","NODE"},
'YearA-AppDetails Current Date'!I:I,"FALL"))), "")</f>
        <v/>
      </c>
      <c r="O68" s="74" t="str" cm="1">
        <f t="array" ref="O68">IFERROR(1/(1/SUM(COUNTIFS(
'YearA-AppDetails Current Date'!A:A,D68,
'YearA-AppDetails Current Date'!F:F,E68,
'YearA-AppDetails Current Date'!E:E,--F68,
'YearA-AppDetails Current Date'!T:T,{"CDMT","RQMT","WAIT"},
'YearA-AppDetails Current Date'!I:I,"FALL"))), "")</f>
        <v/>
      </c>
      <c r="P68" s="74" t="str">
        <f>IFERROR(1/(1/COUNTIFS(
'YearA-AppDetails Current Date'!A:A,D68,
'YearA-AppDetails Current Date'!F:F,E68,
'YearA-AppDetails Current Date'!E:E,--F68,
'YearA-AppDetails Current Date'!Y:Y,"ENRO",
'YearA-AppDetails Current Date'!I:I,"FALL")),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HC'!D:T,4,FALSE)),
N(VLOOKUP(D69&amp;F69,'Budgeted Projections Intl HC'!D:T,5,FALSE))
)
),"")</f>
        <v/>
      </c>
      <c r="I69" s="73" t="str">
        <f>IFERROR(1/(1/COUNTIFS(
'YearA-AppDetails Current Date'!A:A,D69,
'YearA-AppDetails Current Date'!F:F,E69,
'YearA-AppDetails Current Date'!E:E,--F69,
'YearA-AppDetails Current Date'!I:I,"FALL")), "")</f>
        <v/>
      </c>
      <c r="J69" s="74" t="str" cm="1">
        <f t="array" ref="J69">IFERROR(1/(1/SUM(COUNTIFS(
'YearA-AppDetails Current Date'!A:A,D69,
'YearA-AppDetails Current Date'!F:F,E69,
'YearA-AppDetails Current Date'!E:E,--F69,
'YearA-AppDetails Current Date'!O:O,{"ACLN","ACPT","COND"},
'YearA-AppDetails Current Date'!S:S,"&lt;&gt;ACLN",
'YearA-AppDetails Current Date'!S:S,"&lt;&gt;ACPT",
'YearA-AppDetails Current Date'!S:S,"&lt;&gt;COND",
'YearA-AppDetails Current Date'!I:I,"FALL"))), "")</f>
        <v/>
      </c>
      <c r="K69" s="73" t="str">
        <f>IFERROR(1/(1/SUM(COUNTIFS(
'YearA-AppDetails Current Date'!A:A,D69,
'YearA-AppDetails Current Date'!F:F,E69,
'YearA-AppDetails Current Date'!E:E,--F69,
'YearA-AppDetails Current Date'!R:R,"&lt;&gt;"&amp;"",
'YearA-AppDetails Current Date'!I:I,"FALL"))), "")</f>
        <v/>
      </c>
      <c r="L69" s="74" t="str" cm="1">
        <f t="array" ref="L69">IFERROR(1/(1/SUM(COUNTIFS(
'YearA-AppDetails Current Date'!A:A,D69,
'YearA-AppDetails Current Date'!F:F,E69,
'YearA-AppDetails Current Date'!E:E,--F69,
'YearA-AppDetails Current Date'!T:T,{"APEX","DENY","NTSL"},
'YearA-AppDetails Current Date'!I:I,"FALL"))), "")</f>
        <v/>
      </c>
      <c r="M69" s="74" t="str" cm="1">
        <f t="array" ref="M69">IFERROR(1/(1/SUM(COUNTIFS(
'YearA-AppDetails Current Date'!A:A,D69,
'YearA-AppDetails Current Date'!F:F,E69,
'YearA-AppDetails Current Date'!E:E,--F69,
'YearA-AppDetails Current Date'!U:U,{"CCAN","DECL"},
'YearA-AppDetails Current Date'!I:I,"FALL"))), "")</f>
        <v/>
      </c>
      <c r="N69" s="74" t="str" cm="1">
        <f t="array" ref="N69">IFERROR(1/(1/SUM(COUNTIFS(
'YearA-AppDetails Current Date'!A:A,D69,
'YearA-AppDetails Current Date'!F:F,E69,
'YearA-AppDetails Current Date'!E:E,--F69,
'YearA-AppDetails Current Date'!V:V,{"APRO","NODE"},
'YearA-AppDetails Current Date'!I:I,"FALL"))), "")</f>
        <v/>
      </c>
      <c r="O69" s="74" t="str" cm="1">
        <f t="array" ref="O69">IFERROR(1/(1/SUM(COUNTIFS(
'YearA-AppDetails Current Date'!A:A,D69,
'YearA-AppDetails Current Date'!F:F,E69,
'YearA-AppDetails Current Date'!E:E,--F69,
'YearA-AppDetails Current Date'!T:T,{"CDMT","RQMT","WAIT"},
'YearA-AppDetails Current Date'!I:I,"FALL"))), "")</f>
        <v/>
      </c>
      <c r="P69" s="74" t="str">
        <f>IFERROR(1/(1/COUNTIFS(
'YearA-AppDetails Current Date'!A:A,D69,
'YearA-AppDetails Current Date'!F:F,E69,
'YearA-AppDetails Current Date'!E:E,--F69,
'YearA-AppDetails Current Date'!Y:Y,"ENRO",
'YearA-AppDetails Current Date'!I:I,"FALL")),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HC'!D:T,4,FALSE)),
N(VLOOKUP(D70&amp;F70,'Budgeted Projections Dom HC'!D:T,5,FALSE))
)
),"")</f>
        <v/>
      </c>
      <c r="I70" s="73" t="str">
        <f>IFERROR(1/(1/COUNTIFS(
'YearA-AppDetails Current Date'!A:A,D70,
'YearA-AppDetails Current Date'!F:F,E70,
'YearA-AppDetails Current Date'!E:E,--F70,
'YearA-AppDetails Current Date'!I:I,"FALL")), "")</f>
        <v/>
      </c>
      <c r="J70" s="74" t="str" cm="1">
        <f t="array" ref="J70">IFERROR(1/(1/SUM(COUNTIFS(
'YearA-AppDetails Current Date'!A:A,D70,
'YearA-AppDetails Current Date'!F:F,E70,
'YearA-AppDetails Current Date'!E:E,--F70,
'YearA-AppDetails Current Date'!O:O,{"ACLN","ACPT","COND"},
'YearA-AppDetails Current Date'!S:S,"&lt;&gt;ACLN",
'YearA-AppDetails Current Date'!S:S,"&lt;&gt;ACPT",
'YearA-AppDetails Current Date'!S:S,"&lt;&gt;COND",
'YearA-AppDetails Current Date'!I:I,"FALL"))), "")</f>
        <v/>
      </c>
      <c r="K70" s="73" t="str">
        <f>IFERROR(1/(1/SUM(COUNTIFS(
'YearA-AppDetails Current Date'!A:A,D70,
'YearA-AppDetails Current Date'!F:F,E70,
'YearA-AppDetails Current Date'!E:E,--F70,
'YearA-AppDetails Current Date'!R:R,"&lt;&gt;"&amp;"",
'YearA-AppDetails Current Date'!I:I,"FALL"))), "")</f>
        <v/>
      </c>
      <c r="L70" s="74" t="str" cm="1">
        <f t="array" ref="L70">IFERROR(1/(1/SUM(COUNTIFS(
'YearA-AppDetails Current Date'!A:A,D70,
'YearA-AppDetails Current Date'!F:F,E70,
'YearA-AppDetails Current Date'!E:E,--F70,
'YearA-AppDetails Current Date'!T:T,{"APEX","DENY","NTSL"},
'YearA-AppDetails Current Date'!I:I,"FALL"))), "")</f>
        <v/>
      </c>
      <c r="M70" s="74" t="str" cm="1">
        <f t="array" ref="M70">IFERROR(1/(1/SUM(COUNTIFS(
'YearA-AppDetails Current Date'!A:A,D70,
'YearA-AppDetails Current Date'!F:F,E70,
'YearA-AppDetails Current Date'!E:E,--F70,
'YearA-AppDetails Current Date'!U:U,{"CCAN","DECL"},
'YearA-AppDetails Current Date'!I:I,"FALL"))), "")</f>
        <v/>
      </c>
      <c r="N70" s="74" t="str" cm="1">
        <f t="array" ref="N70">IFERROR(1/(1/SUM(COUNTIFS(
'YearA-AppDetails Current Date'!A:A,D70,
'YearA-AppDetails Current Date'!F:F,E70,
'YearA-AppDetails Current Date'!E:E,--F70,
'YearA-AppDetails Current Date'!V:V,{"APRO","NODE"},
'YearA-AppDetails Current Date'!I:I,"FALL"))), "")</f>
        <v/>
      </c>
      <c r="O70" s="74" t="str" cm="1">
        <f t="array" ref="O70">IFERROR(1/(1/SUM(COUNTIFS(
'YearA-AppDetails Current Date'!A:A,D70,
'YearA-AppDetails Current Date'!F:F,E70,
'YearA-AppDetails Current Date'!E:E,--F70,
'YearA-AppDetails Current Date'!T:T,{"CDMT","RQMT","WAIT"},
'YearA-AppDetails Current Date'!I:I,"FALL"))), "")</f>
        <v/>
      </c>
      <c r="P70" s="74" t="str">
        <f>IFERROR(1/(1/COUNTIFS(
'YearA-AppDetails Current Date'!A:A,D70,
'YearA-AppDetails Current Date'!F:F,E70,
'YearA-AppDetails Current Date'!E:E,--F70,
'YearA-AppDetails Current Date'!Y:Y,"ENRO",
'YearA-AppDetails Current Date'!I:I,"FALL")),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HC'!D:T,4,FALSE)),
N(VLOOKUP(D71&amp;F71,'Budgeted Projections Intl HC'!D:T,5,FALSE))
)
),"")</f>
        <v/>
      </c>
      <c r="I71" s="73" t="str">
        <f>IFERROR(1/(1/COUNTIFS(
'YearA-AppDetails Current Date'!A:A,D71,
'YearA-AppDetails Current Date'!F:F,E71,
'YearA-AppDetails Current Date'!E:E,--F71,
'YearA-AppDetails Current Date'!I:I,"FALL")), "")</f>
        <v/>
      </c>
      <c r="J71" s="74" t="str" cm="1">
        <f t="array" ref="J71">IFERROR(1/(1/SUM(COUNTIFS(
'YearA-AppDetails Current Date'!A:A,D71,
'YearA-AppDetails Current Date'!F:F,E71,
'YearA-AppDetails Current Date'!E:E,--F71,
'YearA-AppDetails Current Date'!O:O,{"ACLN","ACPT","COND"},
'YearA-AppDetails Current Date'!S:S,"&lt;&gt;ACLN",
'YearA-AppDetails Current Date'!S:S,"&lt;&gt;ACPT",
'YearA-AppDetails Current Date'!S:S,"&lt;&gt;COND",
'YearA-AppDetails Current Date'!I:I,"FALL"))), "")</f>
        <v/>
      </c>
      <c r="K71" s="73" t="str">
        <f>IFERROR(1/(1/SUM(COUNTIFS(
'YearA-AppDetails Current Date'!A:A,D71,
'YearA-AppDetails Current Date'!F:F,E71,
'YearA-AppDetails Current Date'!E:E,--F71,
'YearA-AppDetails Current Date'!R:R,"&lt;&gt;"&amp;"",
'YearA-AppDetails Current Date'!I:I,"FALL"))), "")</f>
        <v/>
      </c>
      <c r="L71" s="74" t="str" cm="1">
        <f t="array" ref="L71">IFERROR(1/(1/SUM(COUNTIFS(
'YearA-AppDetails Current Date'!A:A,D71,
'YearA-AppDetails Current Date'!F:F,E71,
'YearA-AppDetails Current Date'!E:E,--F71,
'YearA-AppDetails Current Date'!T:T,{"APEX","DENY","NTSL"},
'YearA-AppDetails Current Date'!I:I,"FALL"))), "")</f>
        <v/>
      </c>
      <c r="M71" s="74" t="str" cm="1">
        <f t="array" ref="M71">IFERROR(1/(1/SUM(COUNTIFS(
'YearA-AppDetails Current Date'!A:A,D71,
'YearA-AppDetails Current Date'!F:F,E71,
'YearA-AppDetails Current Date'!E:E,--F71,
'YearA-AppDetails Current Date'!U:U,{"CCAN","DECL"},
'YearA-AppDetails Current Date'!I:I,"FALL"))), "")</f>
        <v/>
      </c>
      <c r="N71" s="74" t="str" cm="1">
        <f t="array" ref="N71">IFERROR(1/(1/SUM(COUNTIFS(
'YearA-AppDetails Current Date'!A:A,D71,
'YearA-AppDetails Current Date'!F:F,E71,
'YearA-AppDetails Current Date'!E:E,--F71,
'YearA-AppDetails Current Date'!V:V,{"APRO","NODE"},
'YearA-AppDetails Current Date'!I:I,"FALL"))), "")</f>
        <v/>
      </c>
      <c r="O71" s="74" t="str" cm="1">
        <f t="array" ref="O71">IFERROR(1/(1/SUM(COUNTIFS(
'YearA-AppDetails Current Date'!A:A,D71,
'YearA-AppDetails Current Date'!F:F,E71,
'YearA-AppDetails Current Date'!E:E,--F71,
'YearA-AppDetails Current Date'!T:T,{"CDMT","RQMT","WAIT"},
'YearA-AppDetails Current Date'!I:I,"FALL"))), "")</f>
        <v/>
      </c>
      <c r="P71" s="74" t="str">
        <f>IFERROR(1/(1/COUNTIFS(
'YearA-AppDetails Current Date'!A:A,D71,
'YearA-AppDetails Current Date'!F:F,E71,
'YearA-AppDetails Current Date'!E:E,--F71,
'YearA-AppDetails Current Date'!Y:Y,"ENRO",
'YearA-AppDetails Current Date'!I:I,"FALL")),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HC'!D:T,4,FALSE)),
N(VLOOKUP("BSCACN,BSCAFT,BSCAEE3",'Budgeted Projections Dom HC'!D:T,5,FALSE))
)
),"")</f>
        <v/>
      </c>
      <c r="I72" s="73" t="str" cm="1">
        <f t="array" ref="I72">IFERROR(1/(1/SUM(COUNTIFS(
'YearA-AppDetails Current Date'!A:A,TRIM(_xlfn.TEXTSPLIT(D72,{"&amp;",","})),
'YearA-AppDetails Current Date'!F:F,E72,
'YearA-AppDetails Current Date'!E:E,--F72,
'YearA-AppDetails Current Date'!I:I,"FALL"))), "")</f>
        <v/>
      </c>
      <c r="J72" s="74" t="str" cm="1">
        <f t="array" ref="J72">IFERROR(1/(1/SUM(
COUNTIFS(
'YearA-AppDetails Current Date'!A:A,"BSCN",
'YearA-AppDetails Current Date'!F:F,E72,
'YearA-AppDetails Current Date'!E:E,--F72,
'YearA-AppDetails Current Date'!O:O,{"ACLN","ACPT","COND"},
'YearA-AppDetails Current Date'!S:S,"&lt;&gt;ACLN",
'YearA-AppDetails Current Date'!S:S,"&lt;&gt;ACPT",
'YearA-AppDetails Current Date'!S:S,"&lt;&gt;COND",
'YearA-AppDetails Current Date'!I:I,"FALL")
+
COUNTIFS(
'YearA-AppDetails Current Date'!A:A,"BSCACN",
'YearA-AppDetails Current Date'!F:F,E72,
'YearA-AppDetails Current Date'!E:E,--F72,
'YearA-AppDetails Current Date'!O:O,{"ACLN","ACPT","COND"},
'YearA-AppDetails Current Date'!S:S,"&lt;&gt;ACLN",
'YearA-AppDetails Current Date'!S:S,"&lt;&gt;ACPT",
'YearA-AppDetails Current Date'!S:S,"&lt;&gt;COND",
'YearA-AppDetails Current Date'!I:I,"FALL")
+
COUNTIFS(
'YearA-AppDetails Current Date'!A:A,"BSCAFT",
'YearA-AppDetails Current Date'!F:F,E72,
'YearA-AppDetails Current Date'!E:E,--F72,
'YearA-AppDetails Current Date'!O:O,{"ACLN","ACPT","COND"},
'YearA-AppDetails Current Date'!S:S,"&lt;&gt;ACLN",
'YearA-AppDetails Current Date'!S:S,"&lt;&gt;ACPT",
'YearA-AppDetails Current Date'!S:S,"&lt;&gt;COND",
'YearA-AppDetails Current Date'!I:I,"FALL")
+
COUNTIFS(
'YearA-AppDetails Current Date'!A:A,"BSCAEE",
'YearA-AppDetails Current Date'!F:F,E72,
'YearA-AppDetails Current Date'!E:E,--F72,
'YearA-AppDetails Current Date'!O:O,{"ACLN","ACPT","COND"},
'YearA-AppDetails Current Date'!S:S,"&lt;&gt;ACLN",
'YearA-AppDetails Current Date'!S:S,"&lt;&gt;ACPT",
'YearA-AppDetails Current Date'!S:S,"&lt;&gt;COND",
'YearA-AppDetails Current Date'!I:I,"FALL")
)), "")</f>
        <v/>
      </c>
      <c r="K72" s="73" t="str">
        <f>IFERROR(1/(1/SUM(
COUNTIFS(
'YearA-AppDetails Current Date'!A:A,"BSCN",
'YearA-AppDetails Current Date'!F:F,E72,
'YearA-AppDetails Current Date'!E:E,--F72,
'YearA-AppDetails Current Date'!R:R,"&lt;&gt;"&amp;"",
'YearA-AppDetails Current Date'!I:I,"FALL")
+
COUNTIFS(
'YearA-AppDetails Current Date'!A:A,"BSCACN",
'YearA-AppDetails Current Date'!F:F,E72,
'YearA-AppDetails Current Date'!E:E,--F72,
'YearA-AppDetails Current Date'!R:R,"&lt;&gt;"&amp;"",
'YearA-AppDetails Current Date'!I:I,"FALL")
+
COUNTIFS(
'YearA-AppDetails Current Date'!A:A,"BSCAFT",
'YearA-AppDetails Current Date'!F:F,E72,
'YearA-AppDetails Current Date'!E:E,--F72,
'YearA-AppDetails Current Date'!R:R,"&lt;&gt;"&amp;"",
'YearA-AppDetails Current Date'!I:I,"FALL")
+
COUNTIFS(
'YearA-AppDetails Current Date'!A:A,"BSCAEE",
'YearA-AppDetails Current Date'!F:F,E72,
'YearA-AppDetails Current Date'!E:E,--F72,
'YearA-AppDetails Current Date'!R:R,"&lt;&gt;"&amp;"",
'YearA-AppDetails Current Date'!I:I,"FALL")
)), "")</f>
        <v/>
      </c>
      <c r="L72" s="74" t="str" cm="1">
        <f t="array" ref="L72">IFERROR(1/(1/SUM(
COUNTIFS(
'YearA-AppDetails Current Date'!A:A,"BSCN",
'YearA-AppDetails Current Date'!F:F,E72,
'YearA-AppDetails Current Date'!E:E,--F72,
'YearA-AppDetails Current Date'!T:T,{"APEX","DENY","NTSL"},
'YearA-AppDetails Current Date'!I:I,"FALL")
+
COUNTIFS(
'YearA-AppDetails Current Date'!A:A,"BSCACN",
'YearA-AppDetails Current Date'!F:F,E72,
'YearA-AppDetails Current Date'!E:E,--F72,
'YearA-AppDetails Current Date'!T:T,{"APEX","DENY","NTSL"},
'YearA-AppDetails Current Date'!I:I,"FALL")
+
COUNTIFS(
'YearA-AppDetails Current Date'!A:A,"BSCAFT",
'YearA-AppDetails Current Date'!F:F,E72,
'YearA-AppDetails Current Date'!E:E,--F72,
'YearA-AppDetails Current Date'!T:T,{"APEX","DENY","NTSL"},
'YearA-AppDetails Current Date'!I:I,"FALL")
+
COUNTIFS(
'YearA-AppDetails Current Date'!A:A,"BSCAEE",
'YearA-AppDetails Current Date'!F:F,E72,
'YearA-AppDetails Current Date'!E:E,--F72,
'YearA-AppDetails Current Date'!T:T,{"APEX","DENY","NTSL"},
'YearA-AppDetails Current Date'!I:I,"FALL")
)), "")</f>
        <v/>
      </c>
      <c r="M72" s="74" t="str" cm="1">
        <f t="array" ref="M72">IFERROR(1/(1/SUM(
COUNTIFS(
'YearA-AppDetails Current Date'!A:A,"BSCN",
'YearA-AppDetails Current Date'!F:F,E72,
'YearA-AppDetails Current Date'!E:E,--F72,
'YearA-AppDetails Current Date'!U:U,{"CCAN","DECL"},
'YearA-AppDetails Current Date'!I:I,"FALL")
+
COUNTIFS(
'YearA-AppDetails Current Date'!A:A,"BSCACN",
'YearA-AppDetails Current Date'!F:F,E72,
'YearA-AppDetails Current Date'!E:E,--F72,
'YearA-AppDetails Current Date'!U:U,{"CCAN","DECL"},
'YearA-AppDetails Current Date'!I:I,"FALL")
+
COUNTIFS(
'YearA-AppDetails Current Date'!A:A,"BSCAFT",
'YearA-AppDetails Current Date'!F:F,E72,
'YearA-AppDetails Current Date'!E:E,--F72,
'YearA-AppDetails Current Date'!U:U,{"CCAN","DECL"},
'YearA-AppDetails Current Date'!I:I,"FALL")
+
COUNTIFS(
'YearA-AppDetails Current Date'!A:A,"BSCAEE",
'YearA-AppDetails Current Date'!F:F,E72,
'YearA-AppDetails Current Date'!E:E,--F72,
'YearA-AppDetails Current Date'!U:U,{"CCAN","DECL"},
'YearA-AppDetails Current Date'!I:I,"FALL")
)), "")</f>
        <v/>
      </c>
      <c r="N72" s="74" t="str" cm="1">
        <f t="array" ref="N72">IFERROR(1/(1/SUM(
COUNTIFS(
'YearA-AppDetails Current Date'!A:A,"BSCN",
'YearA-AppDetails Current Date'!F:F,E72,
'YearA-AppDetails Current Date'!E:E,--F72,
'YearA-AppDetails Current Date'!V:V,{"APRO","NODE"},
'YearA-AppDetails Current Date'!I:I,"FALL")
+
COUNTIFS(
'YearA-AppDetails Current Date'!A:A,"BSCACN",
'YearA-AppDetails Current Date'!F:F,E72,
'YearA-AppDetails Current Date'!E:E,--F72,
'YearA-AppDetails Current Date'!V:V,{"APRO","NODE"},
'YearA-AppDetails Current Date'!I:I,"FALL")
+
COUNTIFS(
'YearA-AppDetails Current Date'!A:A,"BSCAFT",
'YearA-AppDetails Current Date'!F:F,E72,
'YearA-AppDetails Current Date'!E:E,--F72,
'YearA-AppDetails Current Date'!V:V,{"APRO","NODE"},
'YearA-AppDetails Current Date'!I:I,"FALL")
+
COUNTIFS(
'YearA-AppDetails Current Date'!A:A,"BSCAEE",
'YearA-AppDetails Current Date'!F:F,E72,
'YearA-AppDetails Current Date'!E:E,--F72,
'YearA-AppDetails Current Date'!V:V,{"APRO","NODE"},
'YearA-AppDetails Current Date'!I:I,"FALL")
)), "")</f>
        <v/>
      </c>
      <c r="O72" s="74" t="str" cm="1">
        <f t="array" ref="O72">IFERROR(1/(1/SUM(
COUNTIFS(
'YearA-AppDetails Current Date'!A:A,"BSCN",
'YearA-AppDetails Current Date'!F:F,E72,
'YearA-AppDetails Current Date'!E:E,--F72,
'YearA-AppDetails Current Date'!T:T,{"CDMT","RQMT","WAIT"},
'YearA-AppDetails Current Date'!I:I,"FALL")
+
COUNTIFS(
'YearA-AppDetails Current Date'!A:A,"BSCACN",
'YearA-AppDetails Current Date'!F:F,E72,
'YearA-AppDetails Current Date'!E:E,--F72,
'YearA-AppDetails Current Date'!T:T,{"CDMT","RQMT","WAIT"},
'YearA-AppDetails Current Date'!I:I,"FALL")
+
COUNTIFS(
'YearA-AppDetails Current Date'!A:A,"BSCAFT",
'YearA-AppDetails Current Date'!F:F,E72,
'YearA-AppDetails Current Date'!E:E,--F72,
'YearA-AppDetails Current Date'!T:T,{"CDMT","RQMT","WAIT"},
'YearA-AppDetails Current Date'!I:I,"FALL")
+
COUNTIFS(
'YearA-AppDetails Current Date'!A:A,"BSCAEE",
'YearA-AppDetails Current Date'!F:F,E72,
'YearA-AppDetails Current Date'!E:E,--F72,
'YearA-AppDetails Current Date'!T:T,{"CDMT","RQMT","WAIT"},
'YearA-AppDetails Current Date'!I:I,"FALL")
)), "")</f>
        <v/>
      </c>
      <c r="P72" s="74" t="str" cm="1">
        <f t="array" ref="P72">IFERROR(1/(1/SUM(COUNTIFS(
'YearA-AppDetails Current Date'!A:A,TRIM(_xlfn.TEXTSPLIT(D72,{"&amp;",","})),
'YearA-AppDetails Current Date'!F:F,E72,
'YearA-AppDetails Current Date'!E:E,--F72,
'YearA-AppDetails Current Date'!Y:Y,"ENRO",
'YearA-AppDetails Current Date'!I:I,"FALL"))),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HC'!D:T,4,FALSE)),
N(VLOOKUP("BSCACN,BSCAFT,BSCAEE3",'Budgeted Projections Intl HC'!D:T,5,FALSE))
)
),"")</f>
        <v/>
      </c>
      <c r="I73" s="73" t="str" cm="1">
        <f t="array" ref="I73">IFERROR(1/(1/SUM(COUNTIFS(
'YearA-AppDetails Current Date'!A:A,TRIM(_xlfn.TEXTSPLIT(D73,{"&amp;",","})),
'YearA-AppDetails Current Date'!F:F,E73,
'YearA-AppDetails Current Date'!E:E,--F73,
'YearA-AppDetails Current Date'!I:I,"FALL"))), "")</f>
        <v/>
      </c>
      <c r="J73" s="74" t="str" cm="1">
        <f t="array" ref="J73">IFERROR(1/(1/SUM(
COUNTIFS(
'YearA-AppDetails Current Date'!A:A,"BSCN",
'YearA-AppDetails Current Date'!F:F,E73,
'YearA-AppDetails Current Date'!E:E,--F73,
'YearA-AppDetails Current Date'!O:O,{"ACLN","ACPT","COND"},
'YearA-AppDetails Current Date'!S:S,"&lt;&gt;ACLN",
'YearA-AppDetails Current Date'!S:S,"&lt;&gt;ACPT",
'YearA-AppDetails Current Date'!S:S,"&lt;&gt;COND",
'YearA-AppDetails Current Date'!I:I,"FALL")
+
COUNTIFS(
'YearA-AppDetails Current Date'!A:A,"BSCACN",
'YearA-AppDetails Current Date'!F:F,E73,
'YearA-AppDetails Current Date'!E:E,--F73,
'YearA-AppDetails Current Date'!O:O,{"ACLN","ACPT","COND"},
'YearA-AppDetails Current Date'!S:S,"&lt;&gt;ACLN",
'YearA-AppDetails Current Date'!S:S,"&lt;&gt;ACPT",
'YearA-AppDetails Current Date'!S:S,"&lt;&gt;COND",
'YearA-AppDetails Current Date'!I:I,"FALL")
+
COUNTIFS(
'YearA-AppDetails Current Date'!A:A,"BSCAFT",
'YearA-AppDetails Current Date'!F:F,E73,
'YearA-AppDetails Current Date'!E:E,--F73,
'YearA-AppDetails Current Date'!O:O,{"ACLN","ACPT","COND"},
'YearA-AppDetails Current Date'!S:S,"&lt;&gt;ACLN",
'YearA-AppDetails Current Date'!S:S,"&lt;&gt;ACPT",
'YearA-AppDetails Current Date'!S:S,"&lt;&gt;COND",
'YearA-AppDetails Current Date'!I:I,"FALL")
+
COUNTIFS(
'YearA-AppDetails Current Date'!A:A,"BSCAEE",
'YearA-AppDetails Current Date'!F:F,E73,
'YearA-AppDetails Current Date'!E:E,--F73,
'YearA-AppDetails Current Date'!O:O,{"ACLN","ACPT","COND"},
'YearA-AppDetails Current Date'!S:S,"&lt;&gt;ACLN",
'YearA-AppDetails Current Date'!S:S,"&lt;&gt;ACPT",
'YearA-AppDetails Current Date'!S:S,"&lt;&gt;COND",
'YearA-AppDetails Current Date'!I:I,"FALL")
)), "")</f>
        <v/>
      </c>
      <c r="K73" s="73" t="str">
        <f>IFERROR(1/(1/SUM(
COUNTIFS(
'YearA-AppDetails Current Date'!A:A,"BSCN",
'YearA-AppDetails Current Date'!F:F,E73,
'YearA-AppDetails Current Date'!E:E,--F73,
'YearA-AppDetails Current Date'!R:R,"&lt;&gt;"&amp;"",
'YearA-AppDetails Current Date'!I:I,"FALL")
+
COUNTIFS(
'YearA-AppDetails Current Date'!A:A,"BSCACN",
'YearA-AppDetails Current Date'!F:F,E73,
'YearA-AppDetails Current Date'!E:E,--F73,
'YearA-AppDetails Current Date'!R:R,"&lt;&gt;"&amp;"",
'YearA-AppDetails Current Date'!I:I,"FALL")
+
COUNTIFS(
'YearA-AppDetails Current Date'!A:A,"BSCAFT",
'YearA-AppDetails Current Date'!F:F,E73,
'YearA-AppDetails Current Date'!E:E,--F73,
'YearA-AppDetails Current Date'!R:R,"&lt;&gt;"&amp;"",
'YearA-AppDetails Current Date'!I:I,"FALL")
+
COUNTIFS(
'YearA-AppDetails Current Date'!A:A,"BSCAEE",
'YearA-AppDetails Current Date'!F:F,E73,
'YearA-AppDetails Current Date'!E:E,--F73,
'YearA-AppDetails Current Date'!R:R,"&lt;&gt;"&amp;"",
'YearA-AppDetails Current Date'!I:I,"FALL")
)), "")</f>
        <v/>
      </c>
      <c r="L73" s="74" t="str" cm="1">
        <f t="array" ref="L73">IFERROR(1/(1/SUM(
COUNTIFS(
'YearA-AppDetails Current Date'!A:A,"BSCN",
'YearA-AppDetails Current Date'!F:F,E73,
'YearA-AppDetails Current Date'!E:E,--F73,
'YearA-AppDetails Current Date'!T:T,{"APEX","DENY","NTSL"},
'YearA-AppDetails Current Date'!I:I,"FALL")
+
COUNTIFS(
'YearA-AppDetails Current Date'!A:A,"BSCACN",
'YearA-AppDetails Current Date'!F:F,E73,
'YearA-AppDetails Current Date'!E:E,--F73,
'YearA-AppDetails Current Date'!T:T,{"APEX","DENY","NTSL"},
'YearA-AppDetails Current Date'!I:I,"FALL")
+
COUNTIFS(
'YearA-AppDetails Current Date'!A:A,"BSCAFT",
'YearA-AppDetails Current Date'!F:F,E73,
'YearA-AppDetails Current Date'!E:E,--F73,
'YearA-AppDetails Current Date'!T:T,{"APEX","DENY","NTSL"},
'YearA-AppDetails Current Date'!I:I,"FALL")
+
COUNTIFS(
'YearA-AppDetails Current Date'!A:A,"BSCAEE",
'YearA-AppDetails Current Date'!F:F,E73,
'YearA-AppDetails Current Date'!E:E,--F73,
'YearA-AppDetails Current Date'!T:T,{"APEX","DENY","NTSL"},
'YearA-AppDetails Current Date'!I:I,"FALL")
)), "")</f>
        <v/>
      </c>
      <c r="M73" s="74" t="str" cm="1">
        <f t="array" ref="M73">IFERROR(1/(1/SUM(
COUNTIFS(
'YearA-AppDetails Current Date'!A:A,"BSCN",
'YearA-AppDetails Current Date'!F:F,E73,
'YearA-AppDetails Current Date'!E:E,--F73,
'YearA-AppDetails Current Date'!U:U,{"CCAN","DECL"},
'YearA-AppDetails Current Date'!I:I,"FALL")
+
COUNTIFS(
'YearA-AppDetails Current Date'!A:A,"BSCACN",
'YearA-AppDetails Current Date'!F:F,E73,
'YearA-AppDetails Current Date'!E:E,--F73,
'YearA-AppDetails Current Date'!U:U,{"CCAN","DECL"},
'YearA-AppDetails Current Date'!I:I,"FALL")
+
COUNTIFS(
'YearA-AppDetails Current Date'!A:A,"BSCAFT",
'YearA-AppDetails Current Date'!F:F,E73,
'YearA-AppDetails Current Date'!E:E,--F73,
'YearA-AppDetails Current Date'!U:U,{"CCAN","DECL"},
'YearA-AppDetails Current Date'!I:I,"FALL")
+
COUNTIFS(
'YearA-AppDetails Current Date'!A:A,"BSCAEE",
'YearA-AppDetails Current Date'!F:F,E73,
'YearA-AppDetails Current Date'!E:E,--F73,
'YearA-AppDetails Current Date'!U:U,{"CCAN","DECL"},
'YearA-AppDetails Current Date'!I:I,"FALL")
)), "")</f>
        <v/>
      </c>
      <c r="N73" s="74" t="str" cm="1">
        <f t="array" ref="N73">IFERROR(1/(1/SUM(
COUNTIFS(
'YearA-AppDetails Current Date'!A:A,"BSCN",
'YearA-AppDetails Current Date'!F:F,E73,
'YearA-AppDetails Current Date'!E:E,--F73,
'YearA-AppDetails Current Date'!V:V,{"APRO","NODE"},
'YearA-AppDetails Current Date'!I:I,"FALL")
+
COUNTIFS(
'YearA-AppDetails Current Date'!A:A,"BSCACN",
'YearA-AppDetails Current Date'!F:F,E73,
'YearA-AppDetails Current Date'!E:E,--F73,
'YearA-AppDetails Current Date'!V:V,{"APRO","NODE"},
'YearA-AppDetails Current Date'!I:I,"FALL")
+
COUNTIFS(
'YearA-AppDetails Current Date'!A:A,"BSCAFT",
'YearA-AppDetails Current Date'!F:F,E73,
'YearA-AppDetails Current Date'!E:E,--F73,
'YearA-AppDetails Current Date'!V:V,{"APRO","NODE"},
'YearA-AppDetails Current Date'!I:I,"FALL")
+
COUNTIFS(
'YearA-AppDetails Current Date'!A:A,"BSCAEE",
'YearA-AppDetails Current Date'!F:F,E73,
'YearA-AppDetails Current Date'!E:E,--F73,
'YearA-AppDetails Current Date'!V:V,{"APRO","NODE"},
'YearA-AppDetails Current Date'!I:I,"FALL")
)), "")</f>
        <v/>
      </c>
      <c r="O73" s="74" t="str" cm="1">
        <f t="array" ref="O73">IFERROR(1/(1/SUM(
COUNTIFS(
'YearA-AppDetails Current Date'!A:A,"BSCN",
'YearA-AppDetails Current Date'!F:F,E73,
'YearA-AppDetails Current Date'!E:E,--F73,
'YearA-AppDetails Current Date'!T:T,{"CDMT","RQMT","WAIT"},
'YearA-AppDetails Current Date'!I:I,"FALL")
+
COUNTIFS(
'YearA-AppDetails Current Date'!A:A,"BSCACN",
'YearA-AppDetails Current Date'!F:F,E73,
'YearA-AppDetails Current Date'!E:E,--F73,
'YearA-AppDetails Current Date'!T:T,{"CDMT","RQMT","WAIT"},
'YearA-AppDetails Current Date'!I:I,"FALL")
+
COUNTIFS(
'YearA-AppDetails Current Date'!A:A,"BSCAFT",
'YearA-AppDetails Current Date'!F:F,E73,
'YearA-AppDetails Current Date'!E:E,--F73,
'YearA-AppDetails Current Date'!T:T,{"CDMT","RQMT","WAIT"},
'YearA-AppDetails Current Date'!I:I,"FALL")
+
COUNTIFS(
'YearA-AppDetails Current Date'!A:A,"BSCAEE",
'YearA-AppDetails Current Date'!F:F,E73,
'YearA-AppDetails Current Date'!E:E,--F73,
'YearA-AppDetails Current Date'!T:T,{"CDMT","RQMT","WAIT"},
'YearA-AppDetails Current Date'!I:I,"FALL")
)), "")</f>
        <v/>
      </c>
      <c r="P73" s="74" t="str" cm="1">
        <f t="array" ref="P73">IFERROR(1/(1/SUM(COUNTIFS(
'YearA-AppDetails Current Date'!A:A,TRIM(_xlfn.TEXTSPLIT(D73,{"&amp;",","})),
'YearA-AppDetails Current Date'!F:F,E73,
'YearA-AppDetails Current Date'!E:E,--F73,
'YearA-AppDetails Current Date'!Y:Y,"ENRO",
'YearA-AppDetails Current Date'!I:I,"FALL"))),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HC'!D:T,4,FALSE)),
N(VLOOKUP(D74&amp;F74,'Budgeted Projections Dom HC'!D:T,5,FALSE))
)
),"")</f>
        <v/>
      </c>
      <c r="I74" s="73" t="str">
        <f>IFERROR(1/(1/COUNTIFS(
'YearA-AppDetails Current Date'!A:A,D74,
'YearA-AppDetails Current Date'!F:F,E74,
'YearA-AppDetails Current Date'!E:E,--F74,
'YearA-AppDetails Current Date'!I:I,"FALL")), "")</f>
        <v/>
      </c>
      <c r="J74" s="74" t="str" cm="1">
        <f t="array" ref="J74">IFERROR(1/(1/SUM(COUNTIFS(
'YearA-AppDetails Current Date'!A:A,D74,
'YearA-AppDetails Current Date'!F:F,E74,
'YearA-AppDetails Current Date'!E:E,--F74,
'YearA-AppDetails Current Date'!O:O,{"ACLN","ACPT","COND"},
'YearA-AppDetails Current Date'!S:S,"&lt;&gt;ACLN",
'YearA-AppDetails Current Date'!S:S,"&lt;&gt;ACPT",
'YearA-AppDetails Current Date'!S:S,"&lt;&gt;COND",
'YearA-AppDetails Current Date'!I:I,"FALL"))), "")</f>
        <v/>
      </c>
      <c r="K74" s="73" t="str">
        <f>IFERROR(1/(1/SUM(COUNTIFS(
'YearA-AppDetails Current Date'!A:A,D74,
'YearA-AppDetails Current Date'!F:F,E74,
'YearA-AppDetails Current Date'!E:E,--F74,
'YearA-AppDetails Current Date'!R:R,"&lt;&gt;"&amp;"",
'YearA-AppDetails Current Date'!I:I,"FALL"))), "")</f>
        <v/>
      </c>
      <c r="L74" s="74" t="str" cm="1">
        <f t="array" ref="L74">IFERROR(1/(1/SUM(COUNTIFS(
'YearA-AppDetails Current Date'!A:A,D74,
'YearA-AppDetails Current Date'!F:F,E74,
'YearA-AppDetails Current Date'!E:E,--F74,
'YearA-AppDetails Current Date'!T:T,{"APEX","DENY","NTSL"},
'YearA-AppDetails Current Date'!I:I,"FALL"))), "")</f>
        <v/>
      </c>
      <c r="M74" s="74" t="str" cm="1">
        <f t="array" ref="M74">IFERROR(1/(1/SUM(COUNTIFS(
'YearA-AppDetails Current Date'!A:A,D74,
'YearA-AppDetails Current Date'!F:F,E74,
'YearA-AppDetails Current Date'!E:E,--F74,
'YearA-AppDetails Current Date'!U:U,{"CCAN","DECL"},
'YearA-AppDetails Current Date'!I:I,"FALL"))), "")</f>
        <v/>
      </c>
      <c r="N74" s="74" t="str" cm="1">
        <f t="array" ref="N74">IFERROR(1/(1/SUM(COUNTIFS(
'YearA-AppDetails Current Date'!A:A,D74,
'YearA-AppDetails Current Date'!F:F,E74,
'YearA-AppDetails Current Date'!E:E,--F74,
'YearA-AppDetails Current Date'!V:V,{"APRO","NODE"},
'YearA-AppDetails Current Date'!I:I,"FALL"))), "")</f>
        <v/>
      </c>
      <c r="O74" s="74" t="str" cm="1">
        <f t="array" ref="O74">IFERROR(1/(1/SUM(COUNTIFS(
'YearA-AppDetails Current Date'!A:A,D74,
'YearA-AppDetails Current Date'!F:F,E74,
'YearA-AppDetails Current Date'!E:E,--F74,
'YearA-AppDetails Current Date'!T:T,{"CDMT","RQMT","WAIT"},
'YearA-AppDetails Current Date'!I:I,"FALL"))), "")</f>
        <v/>
      </c>
      <c r="P74" s="74" t="str">
        <f>IFERROR(1/(1/COUNTIFS(
'YearA-AppDetails Current Date'!A:A,D74,
'YearA-AppDetails Current Date'!F:F,E74,
'YearA-AppDetails Current Date'!E:E,--F74,
'YearA-AppDetails Current Date'!Y:Y,"ENRO",
'YearA-AppDetails Current Date'!I:I,"FALL")),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HC'!D:T,4,FALSE)),
N(VLOOKUP(D75&amp;F75,'Budgeted Projections Intl HC'!D:T,5,FALSE))
)
),"")</f>
        <v/>
      </c>
      <c r="I75" s="73" t="str">
        <f>IFERROR(1/(1/COUNTIFS(
'YearA-AppDetails Current Date'!A:A,D75,
'YearA-AppDetails Current Date'!F:F,E75,
'YearA-AppDetails Current Date'!E:E,--F75,
'YearA-AppDetails Current Date'!I:I,"FALL")), "")</f>
        <v/>
      </c>
      <c r="J75" s="74" t="str" cm="1">
        <f t="array" ref="J75">IFERROR(1/(1/SUM(COUNTIFS(
'YearA-AppDetails Current Date'!A:A,D75,
'YearA-AppDetails Current Date'!F:F,E75,
'YearA-AppDetails Current Date'!E:E,--F75,
'YearA-AppDetails Current Date'!O:O,{"ACLN","ACPT","COND"},
'YearA-AppDetails Current Date'!S:S,"&lt;&gt;ACLN",
'YearA-AppDetails Current Date'!S:S,"&lt;&gt;ACPT",
'YearA-AppDetails Current Date'!S:S,"&lt;&gt;COND",
'YearA-AppDetails Current Date'!I:I,"FALL"))), "")</f>
        <v/>
      </c>
      <c r="K75" s="73" t="str">
        <f>IFERROR(1/(1/SUM(COUNTIFS(
'YearA-AppDetails Current Date'!A:A,D75,
'YearA-AppDetails Current Date'!F:F,E75,
'YearA-AppDetails Current Date'!E:E,--F75,
'YearA-AppDetails Current Date'!R:R,"&lt;&gt;"&amp;"",
'YearA-AppDetails Current Date'!I:I,"FALL"))), "")</f>
        <v/>
      </c>
      <c r="L75" s="74" t="str" cm="1">
        <f t="array" ref="L75">IFERROR(1/(1/SUM(COUNTIFS(
'YearA-AppDetails Current Date'!A:A,D75,
'YearA-AppDetails Current Date'!F:F,E75,
'YearA-AppDetails Current Date'!E:E,--F75,
'YearA-AppDetails Current Date'!T:T,{"APEX","DENY","NTSL"},
'YearA-AppDetails Current Date'!I:I,"FALL"))), "")</f>
        <v/>
      </c>
      <c r="M75" s="74" t="str" cm="1">
        <f t="array" ref="M75">IFERROR(1/(1/SUM(COUNTIFS(
'YearA-AppDetails Current Date'!A:A,D75,
'YearA-AppDetails Current Date'!F:F,E75,
'YearA-AppDetails Current Date'!E:E,--F75,
'YearA-AppDetails Current Date'!U:U,{"CCAN","DECL"},
'YearA-AppDetails Current Date'!I:I,"FALL"))), "")</f>
        <v/>
      </c>
      <c r="N75" s="74" t="str" cm="1">
        <f t="array" ref="N75">IFERROR(1/(1/SUM(COUNTIFS(
'YearA-AppDetails Current Date'!A:A,D75,
'YearA-AppDetails Current Date'!F:F,E75,
'YearA-AppDetails Current Date'!E:E,--F75,
'YearA-AppDetails Current Date'!V:V,{"APRO","NODE"},
'YearA-AppDetails Current Date'!I:I,"FALL"))), "")</f>
        <v/>
      </c>
      <c r="O75" s="74" t="str" cm="1">
        <f t="array" ref="O75">IFERROR(1/(1/SUM(COUNTIFS(
'YearA-AppDetails Current Date'!A:A,D75,
'YearA-AppDetails Current Date'!F:F,E75,
'YearA-AppDetails Current Date'!E:E,--F75,
'YearA-AppDetails Current Date'!T:T,{"CDMT","RQMT","WAIT"},
'YearA-AppDetails Current Date'!I:I,"FALL"))), "")</f>
        <v/>
      </c>
      <c r="P75" s="74" t="str">
        <f>IFERROR(1/(1/COUNTIFS(
'YearA-AppDetails Current Date'!A:A,D75,
'YearA-AppDetails Current Date'!F:F,E75,
'YearA-AppDetails Current Date'!E:E,--F75,
'YearA-AppDetails Current Date'!Y:Y,"ENRO",
'YearA-AppDetails Current Date'!I:I,"FALL")),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HC'!D:T,4,FALSE)),
N(VLOOKUP(D78&amp;F78,'Budgeted Projections Dom HC'!D:T,5,FALSE))
)
),"")</f>
        <v/>
      </c>
      <c r="I78" s="73" t="str">
        <f>IFERROR(1/(1/COUNTIFS(
'YearA-AppDetails Current Date'!A:A,D78,
'YearA-AppDetails Current Date'!F:F,E78,
'YearA-AppDetails Current Date'!E:E,--F78,
'YearA-AppDetails Current Date'!I:I,"FALL")), "")</f>
        <v/>
      </c>
      <c r="J78" s="74" t="str" cm="1">
        <f t="array" ref="J78">IFERROR(1/(1/SUM(COUNTIFS(
'YearA-AppDetails Current Date'!A:A,D78,
'YearA-AppDetails Current Date'!F:F,E78,
'YearA-AppDetails Current Date'!E:E,--F78,
'YearA-AppDetails Current Date'!O:O,{"ACLN","ACPT","COND"},
'YearA-AppDetails Current Date'!S:S,"&lt;&gt;ACLN",
'YearA-AppDetails Current Date'!S:S,"&lt;&gt;ACPT",
'YearA-AppDetails Current Date'!S:S,"&lt;&gt;COND",
'YearA-AppDetails Current Date'!I:I,"FALL"))), "")</f>
        <v/>
      </c>
      <c r="K78" s="73" t="str">
        <f>IFERROR(1/(1/SUM(COUNTIFS(
'YearA-AppDetails Current Date'!A:A,D78,
'YearA-AppDetails Current Date'!F:F,E78,
'YearA-AppDetails Current Date'!E:E,--F78,
'YearA-AppDetails Current Date'!R:R,"&lt;&gt;"&amp;"",
'YearA-AppDetails Current Date'!I:I,"FALL"))), "")</f>
        <v/>
      </c>
      <c r="L78" s="74" t="str" cm="1">
        <f t="array" ref="L78">IFERROR(1/(1/SUM(COUNTIFS(
'YearA-AppDetails Current Date'!A:A,D78,
'YearA-AppDetails Current Date'!F:F,E78,
'YearA-AppDetails Current Date'!E:E,--F78,
'YearA-AppDetails Current Date'!T:T,{"APEX","DENY","NTSL"},
'YearA-AppDetails Current Date'!I:I,"FALL"))), "")</f>
        <v/>
      </c>
      <c r="M78" s="74" t="str" cm="1">
        <f t="array" ref="M78">IFERROR(1/(1/SUM(COUNTIFS(
'YearA-AppDetails Current Date'!A:A,D78,
'YearA-AppDetails Current Date'!F:F,E78,
'YearA-AppDetails Current Date'!E:E,--F78,
'YearA-AppDetails Current Date'!U:U,{"CCAN","DECL"},
'YearA-AppDetails Current Date'!I:I,"FALL"))), "")</f>
        <v/>
      </c>
      <c r="N78" s="74" t="str" cm="1">
        <f t="array" ref="N78">IFERROR(1/(1/SUM(COUNTIFS(
'YearA-AppDetails Current Date'!A:A,D78,
'YearA-AppDetails Current Date'!F:F,E78,
'YearA-AppDetails Current Date'!E:E,--F78,
'YearA-AppDetails Current Date'!V:V,{"APRO","NODE"},
'YearA-AppDetails Current Date'!I:I,"FALL"))), "")</f>
        <v/>
      </c>
      <c r="O78" s="74" t="str" cm="1">
        <f t="array" ref="O78">IFERROR(1/(1/SUM(COUNTIFS(
'YearA-AppDetails Current Date'!A:A,D78,
'YearA-AppDetails Current Date'!F:F,E78,
'YearA-AppDetails Current Date'!E:E,--F78,
'YearA-AppDetails Current Date'!T:T,{"CDMT","RQMT","WAIT"},
'YearA-AppDetails Current Date'!I:I,"FALL"))), "")</f>
        <v/>
      </c>
      <c r="P78" s="74" t="str">
        <f>IFERROR(1/(1/COUNTIFS(
'YearA-AppDetails Current Date'!A:A,D78,
'YearA-AppDetails Current Date'!F:F,E78,
'YearA-AppDetails Current Date'!E:E,--F78,
'YearA-AppDetails Current Date'!Y:Y,"ENRO",
'YearA-AppDetails Current Date'!I:I,"FALL")),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HC'!D:T,4,FALSE)),
N(VLOOKUP(D79&amp;F79,'Budgeted Projections Intl HC'!D:T,5,FALSE))
)
),"")</f>
        <v/>
      </c>
      <c r="I79" s="73" t="str">
        <f>IFERROR(1/(1/COUNTIFS(
'YearA-AppDetails Current Date'!A:A,D79,
'YearA-AppDetails Current Date'!F:F,E79,
'YearA-AppDetails Current Date'!E:E,--F79,
'YearA-AppDetails Current Date'!I:I,"FALL")), "")</f>
        <v/>
      </c>
      <c r="J79" s="74" t="str" cm="1">
        <f t="array" ref="J79">IFERROR(1/(1/SUM(COUNTIFS(
'YearA-AppDetails Current Date'!A:A,D79,
'YearA-AppDetails Current Date'!F:F,E79,
'YearA-AppDetails Current Date'!E:E,--F79,
'YearA-AppDetails Current Date'!O:O,{"ACLN","ACPT","COND"},
'YearA-AppDetails Current Date'!S:S,"&lt;&gt;ACLN",
'YearA-AppDetails Current Date'!S:S,"&lt;&gt;ACPT",
'YearA-AppDetails Current Date'!S:S,"&lt;&gt;COND",
'YearA-AppDetails Current Date'!I:I,"FALL"))), "")</f>
        <v/>
      </c>
      <c r="K79" s="73" t="str">
        <f>IFERROR(1/(1/SUM(COUNTIFS(
'YearA-AppDetails Current Date'!A:A,D79,
'YearA-AppDetails Current Date'!F:F,E79,
'YearA-AppDetails Current Date'!E:E,--F79,
'YearA-AppDetails Current Date'!R:R,"&lt;&gt;"&amp;"",
'YearA-AppDetails Current Date'!I:I,"FALL"))), "")</f>
        <v/>
      </c>
      <c r="L79" s="74" t="str" cm="1">
        <f t="array" ref="L79">IFERROR(1/(1/SUM(COUNTIFS(
'YearA-AppDetails Current Date'!A:A,D79,
'YearA-AppDetails Current Date'!F:F,E79,
'YearA-AppDetails Current Date'!E:E,--F79,
'YearA-AppDetails Current Date'!T:T,{"APEX","DENY","NTSL"},
'YearA-AppDetails Current Date'!I:I,"FALL"))), "")</f>
        <v/>
      </c>
      <c r="M79" s="74" t="str" cm="1">
        <f t="array" ref="M79">IFERROR(1/(1/SUM(COUNTIFS(
'YearA-AppDetails Current Date'!A:A,D79,
'YearA-AppDetails Current Date'!F:F,E79,
'YearA-AppDetails Current Date'!E:E,--F79,
'YearA-AppDetails Current Date'!U:U,{"CCAN","DECL"},
'YearA-AppDetails Current Date'!I:I,"FALL"))), "")</f>
        <v/>
      </c>
      <c r="N79" s="74" t="str" cm="1">
        <f t="array" ref="N79">IFERROR(1/(1/SUM(COUNTIFS(
'YearA-AppDetails Current Date'!A:A,D79,
'YearA-AppDetails Current Date'!F:F,E79,
'YearA-AppDetails Current Date'!E:E,--F79,
'YearA-AppDetails Current Date'!V:V,{"APRO","NODE"},
'YearA-AppDetails Current Date'!I:I,"FALL"))), "")</f>
        <v/>
      </c>
      <c r="O79" s="74" t="str" cm="1">
        <f t="array" ref="O79">IFERROR(1/(1/SUM(COUNTIFS(
'YearA-AppDetails Current Date'!A:A,D79,
'YearA-AppDetails Current Date'!F:F,E79,
'YearA-AppDetails Current Date'!E:E,--F79,
'YearA-AppDetails Current Date'!T:T,{"CDMT","RQMT","WAIT"},
'YearA-AppDetails Current Date'!I:I,"FALL"))), "")</f>
        <v/>
      </c>
      <c r="P79" s="74" t="str">
        <f>IFERROR(1/(1/COUNTIFS(
'YearA-AppDetails Current Date'!A:A,D79,
'YearA-AppDetails Current Date'!F:F,E79,
'YearA-AppDetails Current Date'!E:E,--F79,
'YearA-AppDetails Current Date'!Y:Y,"ENRO",
'YearA-AppDetails Current Date'!I:I,"FALL")),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HC'!D:T,4,FALSE)),
N(VLOOKUP(D80&amp;F80,'Budgeted Projections Dom HC'!D:T,5,FALSE))
)
),"")</f>
        <v/>
      </c>
      <c r="I80" s="73" t="str">
        <f>IFERROR(1/(1/COUNTIFS(
'YearA-AppDetails Current Date'!A:A,D80,
'YearA-AppDetails Current Date'!F:F,E80,
'YearA-AppDetails Current Date'!E:E,--F80,
'YearA-AppDetails Current Date'!I:I,"FALL")), "")</f>
        <v/>
      </c>
      <c r="J80" s="74" t="str" cm="1">
        <f t="array" ref="J80">IFERROR(1/(1/SUM(COUNTIFS(
'YearA-AppDetails Current Date'!A:A,D80,
'YearA-AppDetails Current Date'!F:F,E80,
'YearA-AppDetails Current Date'!E:E,--F80,
'YearA-AppDetails Current Date'!O:O,{"ACLN","ACPT","COND"},
'YearA-AppDetails Current Date'!S:S,"&lt;&gt;ACLN",
'YearA-AppDetails Current Date'!S:S,"&lt;&gt;ACPT",
'YearA-AppDetails Current Date'!S:S,"&lt;&gt;COND",
'YearA-AppDetails Current Date'!I:I,"FALL"))), "")</f>
        <v/>
      </c>
      <c r="K80" s="73" t="str">
        <f>IFERROR(1/(1/SUM(COUNTIFS(
'YearA-AppDetails Current Date'!A:A,D80,
'YearA-AppDetails Current Date'!F:F,E80,
'YearA-AppDetails Current Date'!E:E,--F80,
'YearA-AppDetails Current Date'!R:R,"&lt;&gt;"&amp;"",
'YearA-AppDetails Current Date'!I:I,"FALL"))), "")</f>
        <v/>
      </c>
      <c r="L80" s="74" t="str" cm="1">
        <f t="array" ref="L80">IFERROR(1/(1/SUM(COUNTIFS(
'YearA-AppDetails Current Date'!A:A,D80,
'YearA-AppDetails Current Date'!F:F,E80,
'YearA-AppDetails Current Date'!E:E,--F80,
'YearA-AppDetails Current Date'!T:T,{"APEX","DENY","NTSL"},
'YearA-AppDetails Current Date'!I:I,"FALL"))), "")</f>
        <v/>
      </c>
      <c r="M80" s="74" t="str" cm="1">
        <f t="array" ref="M80">IFERROR(1/(1/SUM(COUNTIFS(
'YearA-AppDetails Current Date'!A:A,D80,
'YearA-AppDetails Current Date'!F:F,E80,
'YearA-AppDetails Current Date'!E:E,--F80,
'YearA-AppDetails Current Date'!U:U,{"CCAN","DECL"},
'YearA-AppDetails Current Date'!I:I,"FALL"))), "")</f>
        <v/>
      </c>
      <c r="N80" s="74" t="str" cm="1">
        <f t="array" ref="N80">IFERROR(1/(1/SUM(COUNTIFS(
'YearA-AppDetails Current Date'!A:A,D80,
'YearA-AppDetails Current Date'!F:F,E80,
'YearA-AppDetails Current Date'!E:E,--F80,
'YearA-AppDetails Current Date'!V:V,{"APRO","NODE"},
'YearA-AppDetails Current Date'!I:I,"FALL"))), "")</f>
        <v/>
      </c>
      <c r="O80" s="74" t="str" cm="1">
        <f t="array" ref="O80">IFERROR(1/(1/SUM(COUNTIFS(
'YearA-AppDetails Current Date'!A:A,D80,
'YearA-AppDetails Current Date'!F:F,E80,
'YearA-AppDetails Current Date'!E:E,--F80,
'YearA-AppDetails Current Date'!T:T,{"CDMT","RQMT","WAIT"},
'YearA-AppDetails Current Date'!I:I,"FALL"))), "")</f>
        <v/>
      </c>
      <c r="P80" s="74" t="str">
        <f>IFERROR(1/(1/COUNTIFS(
'YearA-AppDetails Current Date'!A:A,D80,
'YearA-AppDetails Current Date'!F:F,E80,
'YearA-AppDetails Current Date'!E:E,--F80,
'YearA-AppDetails Current Date'!Y:Y,"ENRO",
'YearA-AppDetails Current Date'!I:I,"FALL")),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HC'!D:T,4,FALSE)),
N(VLOOKUP(D81&amp;F81,'Budgeted Projections Intl HC'!D:T,5,FALSE))
)
),"")</f>
        <v/>
      </c>
      <c r="I81" s="73" t="str">
        <f>IFERROR(1/(1/COUNTIFS(
'YearA-AppDetails Current Date'!A:A,D81,
'YearA-AppDetails Current Date'!F:F,E81,
'YearA-AppDetails Current Date'!E:E,--F81,
'YearA-AppDetails Current Date'!I:I,"FALL")), "")</f>
        <v/>
      </c>
      <c r="J81" s="74" t="str" cm="1">
        <f t="array" ref="J81">IFERROR(1/(1/SUM(COUNTIFS(
'YearA-AppDetails Current Date'!A:A,D81,
'YearA-AppDetails Current Date'!F:F,E81,
'YearA-AppDetails Current Date'!E:E,--F81,
'YearA-AppDetails Current Date'!O:O,{"ACLN","ACPT","COND"},
'YearA-AppDetails Current Date'!S:S,"&lt;&gt;ACLN",
'YearA-AppDetails Current Date'!S:S,"&lt;&gt;ACPT",
'YearA-AppDetails Current Date'!S:S,"&lt;&gt;COND",
'YearA-AppDetails Current Date'!I:I,"FALL"))), "")</f>
        <v/>
      </c>
      <c r="K81" s="73" t="str">
        <f>IFERROR(1/(1/SUM(COUNTIFS(
'YearA-AppDetails Current Date'!A:A,D81,
'YearA-AppDetails Current Date'!F:F,E81,
'YearA-AppDetails Current Date'!E:E,--F81,
'YearA-AppDetails Current Date'!R:R,"&lt;&gt;"&amp;"",
'YearA-AppDetails Current Date'!I:I,"FALL"))), "")</f>
        <v/>
      </c>
      <c r="L81" s="74" t="str" cm="1">
        <f t="array" ref="L81">IFERROR(1/(1/SUM(COUNTIFS(
'YearA-AppDetails Current Date'!A:A,D81,
'YearA-AppDetails Current Date'!F:F,E81,
'YearA-AppDetails Current Date'!E:E,--F81,
'YearA-AppDetails Current Date'!T:T,{"APEX","DENY","NTSL"},
'YearA-AppDetails Current Date'!I:I,"FALL"))), "")</f>
        <v/>
      </c>
      <c r="M81" s="74" t="str" cm="1">
        <f t="array" ref="M81">IFERROR(1/(1/SUM(COUNTIFS(
'YearA-AppDetails Current Date'!A:A,D81,
'YearA-AppDetails Current Date'!F:F,E81,
'YearA-AppDetails Current Date'!E:E,--F81,
'YearA-AppDetails Current Date'!U:U,{"CCAN","DECL"},
'YearA-AppDetails Current Date'!I:I,"FALL"))), "")</f>
        <v/>
      </c>
      <c r="N81" s="74" t="str" cm="1">
        <f t="array" ref="N81">IFERROR(1/(1/SUM(COUNTIFS(
'YearA-AppDetails Current Date'!A:A,D81,
'YearA-AppDetails Current Date'!F:F,E81,
'YearA-AppDetails Current Date'!E:E,--F81,
'YearA-AppDetails Current Date'!V:V,{"APRO","NODE"},
'YearA-AppDetails Current Date'!I:I,"FALL"))), "")</f>
        <v/>
      </c>
      <c r="O81" s="74" t="str" cm="1">
        <f t="array" ref="O81">IFERROR(1/(1/SUM(COUNTIFS(
'YearA-AppDetails Current Date'!A:A,D81,
'YearA-AppDetails Current Date'!F:F,E81,
'YearA-AppDetails Current Date'!E:E,--F81,
'YearA-AppDetails Current Date'!T:T,{"CDMT","RQMT","WAIT"},
'YearA-AppDetails Current Date'!I:I,"FALL"))), "")</f>
        <v/>
      </c>
      <c r="P81" s="74" t="str">
        <f>IFERROR(1/(1/COUNTIFS(
'YearA-AppDetails Current Date'!A:A,D81,
'YearA-AppDetails Current Date'!F:F,E81,
'YearA-AppDetails Current Date'!E:E,--F81,
'YearA-AppDetails Current Date'!Y:Y,"ENRO",
'YearA-AppDetails Current Date'!I:I,"FALL")),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HC'!D:T,4,FALSE)),
N(VLOOKUP(D82&amp;F82,'Budgeted Projections Dom HC'!D:T,5,FALSE))
)
),"")</f>
        <v/>
      </c>
      <c r="I82" s="73" t="str">
        <f>IFERROR(1/(1/COUNTIFS(
'YearA-AppDetails Current Date'!A:A,D82,
'YearA-AppDetails Current Date'!F:F,E82,
'YearA-AppDetails Current Date'!E:E,--F82,
'YearA-AppDetails Current Date'!I:I,"FALL")), "")</f>
        <v/>
      </c>
      <c r="J82" s="74" t="str" cm="1">
        <f t="array" ref="J82">IFERROR(1/(1/SUM(COUNTIFS(
'YearA-AppDetails Current Date'!A:A,D82,
'YearA-AppDetails Current Date'!F:F,E82,
'YearA-AppDetails Current Date'!E:E,--F82,
'YearA-AppDetails Current Date'!O:O,{"ACLN","ACPT","COND"},
'YearA-AppDetails Current Date'!S:S,"&lt;&gt;ACLN",
'YearA-AppDetails Current Date'!S:S,"&lt;&gt;ACPT",
'YearA-AppDetails Current Date'!S:S,"&lt;&gt;COND",
'YearA-AppDetails Current Date'!I:I,"FALL"))), "")</f>
        <v/>
      </c>
      <c r="K82" s="73" t="str">
        <f>IFERROR(1/(1/SUM(COUNTIFS(
'YearA-AppDetails Current Date'!A:A,D82,
'YearA-AppDetails Current Date'!F:F,E82,
'YearA-AppDetails Current Date'!E:E,--F82,
'YearA-AppDetails Current Date'!R:R,"&lt;&gt;"&amp;"",
'YearA-AppDetails Current Date'!I:I,"FALL"))), "")</f>
        <v/>
      </c>
      <c r="L82" s="74" t="str" cm="1">
        <f t="array" ref="L82">IFERROR(1/(1/SUM(COUNTIFS(
'YearA-AppDetails Current Date'!A:A,D82,
'YearA-AppDetails Current Date'!F:F,E82,
'YearA-AppDetails Current Date'!E:E,--F82,
'YearA-AppDetails Current Date'!T:T,{"APEX","DENY","NTSL"},
'YearA-AppDetails Current Date'!I:I,"FALL"))), "")</f>
        <v/>
      </c>
      <c r="M82" s="74" t="str" cm="1">
        <f t="array" ref="M82">IFERROR(1/(1/SUM(COUNTIFS(
'YearA-AppDetails Current Date'!A:A,D82,
'YearA-AppDetails Current Date'!F:F,E82,
'YearA-AppDetails Current Date'!E:E,--F82,
'YearA-AppDetails Current Date'!U:U,{"CCAN","DECL"},
'YearA-AppDetails Current Date'!I:I,"FALL"))), "")</f>
        <v/>
      </c>
      <c r="N82" s="74" t="str" cm="1">
        <f t="array" ref="N82">IFERROR(1/(1/SUM(COUNTIFS(
'YearA-AppDetails Current Date'!A:A,D82,
'YearA-AppDetails Current Date'!F:F,E82,
'YearA-AppDetails Current Date'!E:E,--F82,
'YearA-AppDetails Current Date'!V:V,{"APRO","NODE"},
'YearA-AppDetails Current Date'!I:I,"FALL"))), "")</f>
        <v/>
      </c>
      <c r="O82" s="74" t="str" cm="1">
        <f t="array" ref="O82">IFERROR(1/(1/SUM(COUNTIFS(
'YearA-AppDetails Current Date'!A:A,D82,
'YearA-AppDetails Current Date'!F:F,E82,
'YearA-AppDetails Current Date'!E:E,--F82,
'YearA-AppDetails Current Date'!T:T,{"CDMT","RQMT","WAIT"},
'YearA-AppDetails Current Date'!I:I,"FALL"))), "")</f>
        <v/>
      </c>
      <c r="P82" s="74" t="str">
        <f>IFERROR(1/(1/COUNTIFS(
'YearA-AppDetails Current Date'!A:A,D82,
'YearA-AppDetails Current Date'!F:F,E82,
'YearA-AppDetails Current Date'!E:E,--F82,
'YearA-AppDetails Current Date'!Y:Y,"ENRO",
'YearA-AppDetails Current Date'!I:I,"FALL")),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HC'!D:T,4,FALSE)),
N(VLOOKUP(D83&amp;F83,'Budgeted Projections Intl HC'!D:T,5,FALSE))
)
),"")</f>
        <v/>
      </c>
      <c r="I83" s="73" t="str">
        <f>IFERROR(1/(1/COUNTIFS(
'YearA-AppDetails Current Date'!A:A,D83,
'YearA-AppDetails Current Date'!F:F,E83,
'YearA-AppDetails Current Date'!E:E,--F83,
'YearA-AppDetails Current Date'!I:I,"FALL")), "")</f>
        <v/>
      </c>
      <c r="J83" s="74" t="str" cm="1">
        <f t="array" ref="J83">IFERROR(1/(1/SUM(COUNTIFS(
'YearA-AppDetails Current Date'!A:A,D83,
'YearA-AppDetails Current Date'!F:F,E83,
'YearA-AppDetails Current Date'!E:E,--F83,
'YearA-AppDetails Current Date'!O:O,{"ACLN","ACPT","COND"},
'YearA-AppDetails Current Date'!S:S,"&lt;&gt;ACLN",
'YearA-AppDetails Current Date'!S:S,"&lt;&gt;ACPT",
'YearA-AppDetails Current Date'!S:S,"&lt;&gt;COND",
'YearA-AppDetails Current Date'!I:I,"FALL"))), "")</f>
        <v/>
      </c>
      <c r="K83" s="73" t="str">
        <f>IFERROR(1/(1/SUM(COUNTIFS(
'YearA-AppDetails Current Date'!A:A,D83,
'YearA-AppDetails Current Date'!F:F,E83,
'YearA-AppDetails Current Date'!E:E,--F83,
'YearA-AppDetails Current Date'!R:R,"&lt;&gt;"&amp;"",
'YearA-AppDetails Current Date'!I:I,"FALL"))), "")</f>
        <v/>
      </c>
      <c r="L83" s="74" t="str" cm="1">
        <f t="array" ref="L83">IFERROR(1/(1/SUM(COUNTIFS(
'YearA-AppDetails Current Date'!A:A,D83,
'YearA-AppDetails Current Date'!F:F,E83,
'YearA-AppDetails Current Date'!E:E,--F83,
'YearA-AppDetails Current Date'!T:T,{"APEX","DENY","NTSL"},
'YearA-AppDetails Current Date'!I:I,"FALL"))), "")</f>
        <v/>
      </c>
      <c r="M83" s="74" t="str" cm="1">
        <f t="array" ref="M83">IFERROR(1/(1/SUM(COUNTIFS(
'YearA-AppDetails Current Date'!A:A,D83,
'YearA-AppDetails Current Date'!F:F,E83,
'YearA-AppDetails Current Date'!E:E,--F83,
'YearA-AppDetails Current Date'!U:U,{"CCAN","DECL"},
'YearA-AppDetails Current Date'!I:I,"FALL"))), "")</f>
        <v/>
      </c>
      <c r="N83" s="74" t="str" cm="1">
        <f t="array" ref="N83">IFERROR(1/(1/SUM(COUNTIFS(
'YearA-AppDetails Current Date'!A:A,D83,
'YearA-AppDetails Current Date'!F:F,E83,
'YearA-AppDetails Current Date'!E:E,--F83,
'YearA-AppDetails Current Date'!V:V,{"APRO","NODE"},
'YearA-AppDetails Current Date'!I:I,"FALL"))), "")</f>
        <v/>
      </c>
      <c r="O83" s="74" t="str" cm="1">
        <f t="array" ref="O83">IFERROR(1/(1/SUM(COUNTIFS(
'YearA-AppDetails Current Date'!A:A,D83,
'YearA-AppDetails Current Date'!F:F,E83,
'YearA-AppDetails Current Date'!E:E,--F83,
'YearA-AppDetails Current Date'!T:T,{"CDMT","RQMT","WAIT"},
'YearA-AppDetails Current Date'!I:I,"FALL"))), "")</f>
        <v/>
      </c>
      <c r="P83" s="74" t="str">
        <f>IFERROR(1/(1/COUNTIFS(
'YearA-AppDetails Current Date'!A:A,D83,
'YearA-AppDetails Current Date'!F:F,E83,
'YearA-AppDetails Current Date'!E:E,--F83,
'YearA-AppDetails Current Date'!Y:Y,"ENRO",
'YearA-AppDetails Current Date'!I:I,"FALL")),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HC'!D:T,4,FALSE)),
N(VLOOKUP(D84&amp;F84,'Budgeted Projections Dom HC'!D:T,5,FALSE))
)
),"")</f>
        <v/>
      </c>
      <c r="I84" s="73" t="str">
        <f>IFERROR(1/(1/COUNTIFS(
'YearA-AppDetails Current Date'!A:A,D84,
'YearA-AppDetails Current Date'!F:F,E84,
'YearA-AppDetails Current Date'!E:E,--F84,
'YearA-AppDetails Current Date'!I:I,"FALL")), "")</f>
        <v/>
      </c>
      <c r="J84" s="74" t="str" cm="1">
        <f t="array" ref="J84">IFERROR(1/(1/SUM(COUNTIFS(
'YearA-AppDetails Current Date'!A:A,D84,
'YearA-AppDetails Current Date'!F:F,E84,
'YearA-AppDetails Current Date'!E:E,--F84,
'YearA-AppDetails Current Date'!O:O,{"ACLN","ACPT","COND"},
'YearA-AppDetails Current Date'!S:S,"&lt;&gt;ACLN",
'YearA-AppDetails Current Date'!S:S,"&lt;&gt;ACPT",
'YearA-AppDetails Current Date'!S:S,"&lt;&gt;COND",
'YearA-AppDetails Current Date'!I:I,"FALL"))), "")</f>
        <v/>
      </c>
      <c r="K84" s="73" t="str">
        <f>IFERROR(1/(1/SUM(COUNTIFS(
'YearA-AppDetails Current Date'!A:A,D84,
'YearA-AppDetails Current Date'!F:F,E84,
'YearA-AppDetails Current Date'!E:E,--F84,
'YearA-AppDetails Current Date'!R:R,"&lt;&gt;"&amp;"",
'YearA-AppDetails Current Date'!I:I,"FALL"))), "")</f>
        <v/>
      </c>
      <c r="L84" s="74" t="str" cm="1">
        <f t="array" ref="L84">IFERROR(1/(1/SUM(COUNTIFS(
'YearA-AppDetails Current Date'!A:A,D84,
'YearA-AppDetails Current Date'!F:F,E84,
'YearA-AppDetails Current Date'!E:E,--F84,
'YearA-AppDetails Current Date'!T:T,{"APEX","DENY","NTSL"},
'YearA-AppDetails Current Date'!I:I,"FALL"))), "")</f>
        <v/>
      </c>
      <c r="M84" s="74" t="str" cm="1">
        <f t="array" ref="M84">IFERROR(1/(1/SUM(COUNTIFS(
'YearA-AppDetails Current Date'!A:A,D84,
'YearA-AppDetails Current Date'!F:F,E84,
'YearA-AppDetails Current Date'!E:E,--F84,
'YearA-AppDetails Current Date'!U:U,{"CCAN","DECL"},
'YearA-AppDetails Current Date'!I:I,"FALL"))), "")</f>
        <v/>
      </c>
      <c r="N84" s="74" t="str" cm="1">
        <f t="array" ref="N84">IFERROR(1/(1/SUM(COUNTIFS(
'YearA-AppDetails Current Date'!A:A,D84,
'YearA-AppDetails Current Date'!F:F,E84,
'YearA-AppDetails Current Date'!E:E,--F84,
'YearA-AppDetails Current Date'!V:V,{"APRO","NODE"},
'YearA-AppDetails Current Date'!I:I,"FALL"))), "")</f>
        <v/>
      </c>
      <c r="O84" s="74" t="str" cm="1">
        <f t="array" ref="O84">IFERROR(1/(1/SUM(COUNTIFS(
'YearA-AppDetails Current Date'!A:A,D84,
'YearA-AppDetails Current Date'!F:F,E84,
'YearA-AppDetails Current Date'!E:E,--F84,
'YearA-AppDetails Current Date'!T:T,{"CDMT","RQMT","WAIT"},
'YearA-AppDetails Current Date'!I:I,"FALL"))), "")</f>
        <v/>
      </c>
      <c r="P84" s="74" t="str">
        <f>IFERROR(1/(1/COUNTIFS(
'YearA-AppDetails Current Date'!A:A,D84,
'YearA-AppDetails Current Date'!F:F,E84,
'YearA-AppDetails Current Date'!E:E,--F84,
'YearA-AppDetails Current Date'!Y:Y,"ENRO",
'YearA-AppDetails Current Date'!I:I,"FALL")),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HC'!D:T,4,FALSE)),
N(VLOOKUP(D85&amp;F85,'Budgeted Projections Intl HC'!D:T,5,FALSE))
)
),"")</f>
        <v/>
      </c>
      <c r="I85" s="73" t="str">
        <f>IFERROR(1/(1/COUNTIFS(
'YearA-AppDetails Current Date'!A:A,D85,
'YearA-AppDetails Current Date'!F:F,E85,
'YearA-AppDetails Current Date'!E:E,--F85,
'YearA-AppDetails Current Date'!I:I,"FALL")), "")</f>
        <v/>
      </c>
      <c r="J85" s="74" t="str" cm="1">
        <f t="array" ref="J85">IFERROR(1/(1/SUM(COUNTIFS(
'YearA-AppDetails Current Date'!A:A,D85,
'YearA-AppDetails Current Date'!F:F,E85,
'YearA-AppDetails Current Date'!E:E,--F85,
'YearA-AppDetails Current Date'!O:O,{"ACLN","ACPT","COND"},
'YearA-AppDetails Current Date'!S:S,"&lt;&gt;ACLN",
'YearA-AppDetails Current Date'!S:S,"&lt;&gt;ACPT",
'YearA-AppDetails Current Date'!S:S,"&lt;&gt;COND",
'YearA-AppDetails Current Date'!I:I,"FALL"))), "")</f>
        <v/>
      </c>
      <c r="K85" s="73" t="str">
        <f>IFERROR(1/(1/SUM(COUNTIFS(
'YearA-AppDetails Current Date'!A:A,D85,
'YearA-AppDetails Current Date'!F:F,E85,
'YearA-AppDetails Current Date'!E:E,--F85,
'YearA-AppDetails Current Date'!R:R,"&lt;&gt;"&amp;"",
'YearA-AppDetails Current Date'!I:I,"FALL"))), "")</f>
        <v/>
      </c>
      <c r="L85" s="74" t="str" cm="1">
        <f t="array" ref="L85">IFERROR(1/(1/SUM(COUNTIFS(
'YearA-AppDetails Current Date'!A:A,D85,
'YearA-AppDetails Current Date'!F:F,E85,
'YearA-AppDetails Current Date'!E:E,--F85,
'YearA-AppDetails Current Date'!T:T,{"APEX","DENY","NTSL"},
'YearA-AppDetails Current Date'!I:I,"FALL"))), "")</f>
        <v/>
      </c>
      <c r="M85" s="74" t="str" cm="1">
        <f t="array" ref="M85">IFERROR(1/(1/SUM(COUNTIFS(
'YearA-AppDetails Current Date'!A:A,D85,
'YearA-AppDetails Current Date'!F:F,E85,
'YearA-AppDetails Current Date'!E:E,--F85,
'YearA-AppDetails Current Date'!U:U,{"CCAN","DECL"},
'YearA-AppDetails Current Date'!I:I,"FALL"))), "")</f>
        <v/>
      </c>
      <c r="N85" s="74" t="str" cm="1">
        <f t="array" ref="N85">IFERROR(1/(1/SUM(COUNTIFS(
'YearA-AppDetails Current Date'!A:A,D85,
'YearA-AppDetails Current Date'!F:F,E85,
'YearA-AppDetails Current Date'!E:E,--F85,
'YearA-AppDetails Current Date'!V:V,{"APRO","NODE"},
'YearA-AppDetails Current Date'!I:I,"FALL"))), "")</f>
        <v/>
      </c>
      <c r="O85" s="74" t="str" cm="1">
        <f t="array" ref="O85">IFERROR(1/(1/SUM(COUNTIFS(
'YearA-AppDetails Current Date'!A:A,D85,
'YearA-AppDetails Current Date'!F:F,E85,
'YearA-AppDetails Current Date'!E:E,--F85,
'YearA-AppDetails Current Date'!T:T,{"CDMT","RQMT","WAIT"},
'YearA-AppDetails Current Date'!I:I,"FALL"))), "")</f>
        <v/>
      </c>
      <c r="P85" s="74" t="str">
        <f>IFERROR(1/(1/COUNTIFS(
'YearA-AppDetails Current Date'!A:A,D85,
'YearA-AppDetails Current Date'!F:F,E85,
'YearA-AppDetails Current Date'!E:E,--F85,
'YearA-AppDetails Current Date'!Y:Y,"ENRO",
'YearA-AppDetails Current Date'!I:I,"FALL")),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HC'!D:T,4,FALSE)),
N(VLOOKUP(D86&amp;F86,'Budgeted Projections Dom HC'!D:T,5,FALSE))
)
),"")</f>
        <v/>
      </c>
      <c r="I86" s="73" t="str">
        <f>IFERROR(1/(1/COUNTIFS(
'YearA-AppDetails Current Date'!A:A,D86,
'YearA-AppDetails Current Date'!F:F,E86,
'YearA-AppDetails Current Date'!E:E,--F86,
'YearA-AppDetails Current Date'!I:I,"FALL")), "")</f>
        <v/>
      </c>
      <c r="J86" s="74" t="str" cm="1">
        <f t="array" ref="J86">IFERROR(1/(1/SUM(COUNTIFS(
'YearA-AppDetails Current Date'!A:A,D86,
'YearA-AppDetails Current Date'!F:F,E86,
'YearA-AppDetails Current Date'!E:E,--F86,
'YearA-AppDetails Current Date'!O:O,{"ACLN","ACPT","COND"},
'YearA-AppDetails Current Date'!S:S,"&lt;&gt;ACLN",
'YearA-AppDetails Current Date'!S:S,"&lt;&gt;ACPT",
'YearA-AppDetails Current Date'!S:S,"&lt;&gt;COND",
'YearA-AppDetails Current Date'!I:I,"FALL"))), "")</f>
        <v/>
      </c>
      <c r="K86" s="73" t="str">
        <f>IFERROR(1/(1/SUM(COUNTIFS(
'YearA-AppDetails Current Date'!A:A,D86,
'YearA-AppDetails Current Date'!F:F,E86,
'YearA-AppDetails Current Date'!E:E,--F86,
'YearA-AppDetails Current Date'!R:R,"&lt;&gt;"&amp;"",
'YearA-AppDetails Current Date'!I:I,"FALL"))), "")</f>
        <v/>
      </c>
      <c r="L86" s="74" t="str" cm="1">
        <f t="array" ref="L86">IFERROR(1/(1/SUM(COUNTIFS(
'YearA-AppDetails Current Date'!A:A,D86,
'YearA-AppDetails Current Date'!F:F,E86,
'YearA-AppDetails Current Date'!E:E,--F86,
'YearA-AppDetails Current Date'!T:T,{"APEX","DENY","NTSL"},
'YearA-AppDetails Current Date'!I:I,"FALL"))), "")</f>
        <v/>
      </c>
      <c r="M86" s="74" t="str" cm="1">
        <f t="array" ref="M86">IFERROR(1/(1/SUM(COUNTIFS(
'YearA-AppDetails Current Date'!A:A,D86,
'YearA-AppDetails Current Date'!F:F,E86,
'YearA-AppDetails Current Date'!E:E,--F86,
'YearA-AppDetails Current Date'!U:U,{"CCAN","DECL"},
'YearA-AppDetails Current Date'!I:I,"FALL"))), "")</f>
        <v/>
      </c>
      <c r="N86" s="74" t="str" cm="1">
        <f t="array" ref="N86">IFERROR(1/(1/SUM(COUNTIFS(
'YearA-AppDetails Current Date'!A:A,D86,
'YearA-AppDetails Current Date'!F:F,E86,
'YearA-AppDetails Current Date'!E:E,--F86,
'YearA-AppDetails Current Date'!V:V,{"APRO","NODE"},
'YearA-AppDetails Current Date'!I:I,"FALL"))), "")</f>
        <v/>
      </c>
      <c r="O86" s="74" t="str" cm="1">
        <f t="array" ref="O86">IFERROR(1/(1/SUM(COUNTIFS(
'YearA-AppDetails Current Date'!A:A,D86,
'YearA-AppDetails Current Date'!F:F,E86,
'YearA-AppDetails Current Date'!E:E,--F86,
'YearA-AppDetails Current Date'!T:T,{"CDMT","RQMT","WAIT"},
'YearA-AppDetails Current Date'!I:I,"FALL"))), "")</f>
        <v/>
      </c>
      <c r="P86" s="74" t="str">
        <f>IFERROR(1/(1/COUNTIFS(
'YearA-AppDetails Current Date'!A:A,D86,
'YearA-AppDetails Current Date'!F:F,E86,
'YearA-AppDetails Current Date'!E:E,--F86,
'YearA-AppDetails Current Date'!Y:Y,"ENRO",
'YearA-AppDetails Current Date'!I:I,"FALL")),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HC'!D:T,4,FALSE)),
N(VLOOKUP(D87&amp;F87,'Budgeted Projections Intl HC'!D:T,5,FALSE))
)
),"")</f>
        <v/>
      </c>
      <c r="I87" s="73" t="str">
        <f>IFERROR(1/(1/COUNTIFS(
'YearA-AppDetails Current Date'!A:A,D87,
'YearA-AppDetails Current Date'!F:F,E87,
'YearA-AppDetails Current Date'!E:E,--F87,
'YearA-AppDetails Current Date'!I:I,"FALL")), "")</f>
        <v/>
      </c>
      <c r="J87" s="74" t="str" cm="1">
        <f t="array" ref="J87">IFERROR(1/(1/SUM(COUNTIFS(
'YearA-AppDetails Current Date'!A:A,D87,
'YearA-AppDetails Current Date'!F:F,E87,
'YearA-AppDetails Current Date'!E:E,--F87,
'YearA-AppDetails Current Date'!O:O,{"ACLN","ACPT","COND"},
'YearA-AppDetails Current Date'!S:S,"&lt;&gt;ACLN",
'YearA-AppDetails Current Date'!S:S,"&lt;&gt;ACPT",
'YearA-AppDetails Current Date'!S:S,"&lt;&gt;COND",
'YearA-AppDetails Current Date'!I:I,"FALL"))), "")</f>
        <v/>
      </c>
      <c r="K87" s="73" t="str">
        <f>IFERROR(1/(1/SUM(COUNTIFS(
'YearA-AppDetails Current Date'!A:A,D87,
'YearA-AppDetails Current Date'!F:F,E87,
'YearA-AppDetails Current Date'!E:E,--F87,
'YearA-AppDetails Current Date'!R:R,"&lt;&gt;"&amp;"",
'YearA-AppDetails Current Date'!I:I,"FALL"))), "")</f>
        <v/>
      </c>
      <c r="L87" s="74" t="str" cm="1">
        <f t="array" ref="L87">IFERROR(1/(1/SUM(COUNTIFS(
'YearA-AppDetails Current Date'!A:A,D87,
'YearA-AppDetails Current Date'!F:F,E87,
'YearA-AppDetails Current Date'!E:E,--F87,
'YearA-AppDetails Current Date'!T:T,{"APEX","DENY","NTSL"},
'YearA-AppDetails Current Date'!I:I,"FALL"))), "")</f>
        <v/>
      </c>
      <c r="M87" s="74" t="str" cm="1">
        <f t="array" ref="M87">IFERROR(1/(1/SUM(COUNTIFS(
'YearA-AppDetails Current Date'!A:A,D87,
'YearA-AppDetails Current Date'!F:F,E87,
'YearA-AppDetails Current Date'!E:E,--F87,
'YearA-AppDetails Current Date'!U:U,{"CCAN","DECL"},
'YearA-AppDetails Current Date'!I:I,"FALL"))), "")</f>
        <v/>
      </c>
      <c r="N87" s="74" t="str" cm="1">
        <f t="array" ref="N87">IFERROR(1/(1/SUM(COUNTIFS(
'YearA-AppDetails Current Date'!A:A,D87,
'YearA-AppDetails Current Date'!F:F,E87,
'YearA-AppDetails Current Date'!E:E,--F87,
'YearA-AppDetails Current Date'!V:V,{"APRO","NODE"},
'YearA-AppDetails Current Date'!I:I,"FALL"))), "")</f>
        <v/>
      </c>
      <c r="O87" s="74" t="str" cm="1">
        <f t="array" ref="O87">IFERROR(1/(1/SUM(COUNTIFS(
'YearA-AppDetails Current Date'!A:A,D87,
'YearA-AppDetails Current Date'!F:F,E87,
'YearA-AppDetails Current Date'!E:E,--F87,
'YearA-AppDetails Current Date'!T:T,{"CDMT","RQMT","WAIT"},
'YearA-AppDetails Current Date'!I:I,"FALL"))), "")</f>
        <v/>
      </c>
      <c r="P87" s="74" t="str">
        <f>IFERROR(1/(1/COUNTIFS(
'YearA-AppDetails Current Date'!A:A,D87,
'YearA-AppDetails Current Date'!F:F,E87,
'YearA-AppDetails Current Date'!E:E,--F87,
'YearA-AppDetails Current Date'!Y:Y,"ENRO",
'YearA-AppDetails Current Date'!I:I,"FALL")),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HC'!D:T,4,FALSE)),
N(VLOOKUP(D88&amp;F88,'Budgeted Projections Dom HC'!D:T,5,FALSE))
)
),"")</f>
        <v/>
      </c>
      <c r="I88" s="73" t="str">
        <f>IFERROR(1/(1/COUNTIFS(
'YearA-AppDetails Current Date'!A:A,D88,
'YearA-AppDetails Current Date'!F:F,E88,
'YearA-AppDetails Current Date'!E:E,--F88,
'YearA-AppDetails Current Date'!I:I,"FALL")), "")</f>
        <v/>
      </c>
      <c r="J88" s="74" t="str" cm="1">
        <f t="array" ref="J88">IFERROR(1/(1/SUM(COUNTIFS(
'YearA-AppDetails Current Date'!A:A,D88,
'YearA-AppDetails Current Date'!F:F,E88,
'YearA-AppDetails Current Date'!E:E,--F88,
'YearA-AppDetails Current Date'!O:O,{"ACLN","ACPT","COND"},
'YearA-AppDetails Current Date'!S:S,"&lt;&gt;ACLN",
'YearA-AppDetails Current Date'!S:S,"&lt;&gt;ACPT",
'YearA-AppDetails Current Date'!S:S,"&lt;&gt;COND",
'YearA-AppDetails Current Date'!I:I,"FALL"))), "")</f>
        <v/>
      </c>
      <c r="K88" s="73" t="str">
        <f>IFERROR(1/(1/SUM(COUNTIFS(
'YearA-AppDetails Current Date'!A:A,D88,
'YearA-AppDetails Current Date'!F:F,E88,
'YearA-AppDetails Current Date'!E:E,--F88,
'YearA-AppDetails Current Date'!R:R,"&lt;&gt;"&amp;"",
'YearA-AppDetails Current Date'!I:I,"FALL"))), "")</f>
        <v/>
      </c>
      <c r="L88" s="74" t="str" cm="1">
        <f t="array" ref="L88">IFERROR(1/(1/SUM(COUNTIFS(
'YearA-AppDetails Current Date'!A:A,D88,
'YearA-AppDetails Current Date'!F:F,E88,
'YearA-AppDetails Current Date'!E:E,--F88,
'YearA-AppDetails Current Date'!T:T,{"APEX","DENY","NTSL"},
'YearA-AppDetails Current Date'!I:I,"FALL"))), "")</f>
        <v/>
      </c>
      <c r="M88" s="74" t="str" cm="1">
        <f t="array" ref="M88">IFERROR(1/(1/SUM(COUNTIFS(
'YearA-AppDetails Current Date'!A:A,D88,
'YearA-AppDetails Current Date'!F:F,E88,
'YearA-AppDetails Current Date'!E:E,--F88,
'YearA-AppDetails Current Date'!U:U,{"CCAN","DECL"},
'YearA-AppDetails Current Date'!I:I,"FALL"))), "")</f>
        <v/>
      </c>
      <c r="N88" s="74" t="str" cm="1">
        <f t="array" ref="N88">IFERROR(1/(1/SUM(COUNTIFS(
'YearA-AppDetails Current Date'!A:A,D88,
'YearA-AppDetails Current Date'!F:F,E88,
'YearA-AppDetails Current Date'!E:E,--F88,
'YearA-AppDetails Current Date'!V:V,{"APRO","NODE"},
'YearA-AppDetails Current Date'!I:I,"FALL"))), "")</f>
        <v/>
      </c>
      <c r="O88" s="74" t="str" cm="1">
        <f t="array" ref="O88">IFERROR(1/(1/SUM(COUNTIFS(
'YearA-AppDetails Current Date'!A:A,D88,
'YearA-AppDetails Current Date'!F:F,E88,
'YearA-AppDetails Current Date'!E:E,--F88,
'YearA-AppDetails Current Date'!T:T,{"CDMT","RQMT","WAIT"},
'YearA-AppDetails Current Date'!I:I,"FALL"))), "")</f>
        <v/>
      </c>
      <c r="P88" s="74" t="str">
        <f>IFERROR(1/(1/COUNTIFS(
'YearA-AppDetails Current Date'!A:A,D88,
'YearA-AppDetails Current Date'!F:F,E88,
'YearA-AppDetails Current Date'!E:E,--F88,
'YearA-AppDetails Current Date'!Y:Y,"ENRO",
'YearA-AppDetails Current Date'!I:I,"FALL")),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HC'!D:T,4,FALSE)),
N(VLOOKUP(D89&amp;F89,'Budgeted Projections Intl HC'!D:T,5,FALSE))
)
),"")</f>
        <v/>
      </c>
      <c r="I89" s="73" t="str">
        <f>IFERROR(1/(1/COUNTIFS(
'YearA-AppDetails Current Date'!A:A,D89,
'YearA-AppDetails Current Date'!F:F,E89,
'YearA-AppDetails Current Date'!E:E,--F89,
'YearA-AppDetails Current Date'!I:I,"FALL")), "")</f>
        <v/>
      </c>
      <c r="J89" s="74" t="str" cm="1">
        <f t="array" ref="J89">IFERROR(1/(1/SUM(COUNTIFS(
'YearA-AppDetails Current Date'!A:A,D89,
'YearA-AppDetails Current Date'!F:F,E89,
'YearA-AppDetails Current Date'!E:E,--F89,
'YearA-AppDetails Current Date'!O:O,{"ACLN","ACPT","COND"},
'YearA-AppDetails Current Date'!S:S,"&lt;&gt;ACLN",
'YearA-AppDetails Current Date'!S:S,"&lt;&gt;ACPT",
'YearA-AppDetails Current Date'!S:S,"&lt;&gt;COND",
'YearA-AppDetails Current Date'!I:I,"FALL"))), "")</f>
        <v/>
      </c>
      <c r="K89" s="73" t="str">
        <f>IFERROR(1/(1/SUM(COUNTIFS(
'YearA-AppDetails Current Date'!A:A,D89,
'YearA-AppDetails Current Date'!F:F,E89,
'YearA-AppDetails Current Date'!E:E,--F89,
'YearA-AppDetails Current Date'!R:R,"&lt;&gt;"&amp;"",
'YearA-AppDetails Current Date'!I:I,"FALL"))), "")</f>
        <v/>
      </c>
      <c r="L89" s="74" t="str" cm="1">
        <f t="array" ref="L89">IFERROR(1/(1/SUM(COUNTIFS(
'YearA-AppDetails Current Date'!A:A,D89,
'YearA-AppDetails Current Date'!F:F,E89,
'YearA-AppDetails Current Date'!E:E,--F89,
'YearA-AppDetails Current Date'!T:T,{"APEX","DENY","NTSL"},
'YearA-AppDetails Current Date'!I:I,"FALL"))), "")</f>
        <v/>
      </c>
      <c r="M89" s="74" t="str" cm="1">
        <f t="array" ref="M89">IFERROR(1/(1/SUM(COUNTIFS(
'YearA-AppDetails Current Date'!A:A,D89,
'YearA-AppDetails Current Date'!F:F,E89,
'YearA-AppDetails Current Date'!E:E,--F89,
'YearA-AppDetails Current Date'!U:U,{"CCAN","DECL"},
'YearA-AppDetails Current Date'!I:I,"FALL"))), "")</f>
        <v/>
      </c>
      <c r="N89" s="74" t="str" cm="1">
        <f t="array" ref="N89">IFERROR(1/(1/SUM(COUNTIFS(
'YearA-AppDetails Current Date'!A:A,D89,
'YearA-AppDetails Current Date'!F:F,E89,
'YearA-AppDetails Current Date'!E:E,--F89,
'YearA-AppDetails Current Date'!V:V,{"APRO","NODE"},
'YearA-AppDetails Current Date'!I:I,"FALL"))), "")</f>
        <v/>
      </c>
      <c r="O89" s="74" t="str" cm="1">
        <f t="array" ref="O89">IFERROR(1/(1/SUM(COUNTIFS(
'YearA-AppDetails Current Date'!A:A,D89,
'YearA-AppDetails Current Date'!F:F,E89,
'YearA-AppDetails Current Date'!E:E,--F89,
'YearA-AppDetails Current Date'!T:T,{"CDMT","RQMT","WAIT"},
'YearA-AppDetails Current Date'!I:I,"FALL"))), "")</f>
        <v/>
      </c>
      <c r="P89" s="74" t="str">
        <f>IFERROR(1/(1/COUNTIFS(
'YearA-AppDetails Current Date'!A:A,D89,
'YearA-AppDetails Current Date'!F:F,E89,
'YearA-AppDetails Current Date'!E:E,--F89,
'YearA-AppDetails Current Date'!Y:Y,"ENRO",
'YearA-AppDetails Current Date'!I:I,"FALL")),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HC'!D:T,4,FALSE)),
N(VLOOKUP(D90&amp;F90,'Budgeted Projections Dom HC'!D:T,5,FALSE))
)
),"")</f>
        <v/>
      </c>
      <c r="I90" s="73" t="str">
        <f>IFERROR(1/(1/COUNTIFS(
'YearA-AppDetails Current Date'!A:A,D90,
'YearA-AppDetails Current Date'!F:F,E90,
'YearA-AppDetails Current Date'!E:E,--F90,
'YearA-AppDetails Current Date'!I:I,"FALL")), "")</f>
        <v/>
      </c>
      <c r="J90" s="74" t="str" cm="1">
        <f t="array" ref="J90">IFERROR(1/(1/SUM(COUNTIFS(
'YearA-AppDetails Current Date'!A:A,D90,
'YearA-AppDetails Current Date'!F:F,E90,
'YearA-AppDetails Current Date'!E:E,--F90,
'YearA-AppDetails Current Date'!O:O,{"ACLN","ACPT","COND"},
'YearA-AppDetails Current Date'!S:S,"&lt;&gt;ACLN",
'YearA-AppDetails Current Date'!S:S,"&lt;&gt;ACPT",
'YearA-AppDetails Current Date'!S:S,"&lt;&gt;COND",
'YearA-AppDetails Current Date'!I:I,"FALL"))), "")</f>
        <v/>
      </c>
      <c r="K90" s="73" t="str">
        <f>IFERROR(1/(1/SUM(COUNTIFS(
'YearA-AppDetails Current Date'!A:A,D90,
'YearA-AppDetails Current Date'!F:F,E90,
'YearA-AppDetails Current Date'!E:E,--F90,
'YearA-AppDetails Current Date'!R:R,"&lt;&gt;"&amp;"",
'YearA-AppDetails Current Date'!I:I,"FALL"))), "")</f>
        <v/>
      </c>
      <c r="L90" s="74" t="str" cm="1">
        <f t="array" ref="L90">IFERROR(1/(1/SUM(COUNTIFS(
'YearA-AppDetails Current Date'!A:A,D90,
'YearA-AppDetails Current Date'!F:F,E90,
'YearA-AppDetails Current Date'!E:E,--F90,
'YearA-AppDetails Current Date'!T:T,{"APEX","DENY","NTSL"},
'YearA-AppDetails Current Date'!I:I,"FALL"))), "")</f>
        <v/>
      </c>
      <c r="M90" s="74" t="str" cm="1">
        <f t="array" ref="M90">IFERROR(1/(1/SUM(COUNTIFS(
'YearA-AppDetails Current Date'!A:A,D90,
'YearA-AppDetails Current Date'!F:F,E90,
'YearA-AppDetails Current Date'!E:E,--F90,
'YearA-AppDetails Current Date'!U:U,{"CCAN","DECL"},
'YearA-AppDetails Current Date'!I:I,"FALL"))), "")</f>
        <v/>
      </c>
      <c r="N90" s="74" t="str" cm="1">
        <f t="array" ref="N90">IFERROR(1/(1/SUM(COUNTIFS(
'YearA-AppDetails Current Date'!A:A,D90,
'YearA-AppDetails Current Date'!F:F,E90,
'YearA-AppDetails Current Date'!E:E,--F90,
'YearA-AppDetails Current Date'!V:V,{"APRO","NODE"},
'YearA-AppDetails Current Date'!I:I,"FALL"))), "")</f>
        <v/>
      </c>
      <c r="O90" s="74" t="str" cm="1">
        <f t="array" ref="O90">IFERROR(1/(1/SUM(COUNTIFS(
'YearA-AppDetails Current Date'!A:A,D90,
'YearA-AppDetails Current Date'!F:F,E90,
'YearA-AppDetails Current Date'!E:E,--F90,
'YearA-AppDetails Current Date'!T:T,{"CDMT","RQMT","WAIT"},
'YearA-AppDetails Current Date'!I:I,"FALL"))), "")</f>
        <v/>
      </c>
      <c r="P90" s="74" t="str">
        <f>IFERROR(1/(1/COUNTIFS(
'YearA-AppDetails Current Date'!A:A,D90,
'YearA-AppDetails Current Date'!F:F,E90,
'YearA-AppDetails Current Date'!E:E,--F90,
'YearA-AppDetails Current Date'!Y:Y,"ENRO",
'YearA-AppDetails Current Date'!I:I,"FALL")),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HC'!D:T,4,FALSE)),
N(VLOOKUP(D91&amp;F91,'Budgeted Projections Intl HC'!D:T,5,FALSE))
)
),"")</f>
        <v/>
      </c>
      <c r="I91" s="73" t="str">
        <f>IFERROR(1/(1/COUNTIFS(
'YearA-AppDetails Current Date'!A:A,D91,
'YearA-AppDetails Current Date'!F:F,E91,
'YearA-AppDetails Current Date'!E:E,--F91,
'YearA-AppDetails Current Date'!I:I,"FALL")), "")</f>
        <v/>
      </c>
      <c r="J91" s="74" t="str" cm="1">
        <f t="array" ref="J91">IFERROR(1/(1/SUM(COUNTIFS(
'YearA-AppDetails Current Date'!A:A,D91,
'YearA-AppDetails Current Date'!F:F,E91,
'YearA-AppDetails Current Date'!E:E,--F91,
'YearA-AppDetails Current Date'!O:O,{"ACLN","ACPT","COND"},
'YearA-AppDetails Current Date'!S:S,"&lt;&gt;ACLN",
'YearA-AppDetails Current Date'!S:S,"&lt;&gt;ACPT",
'YearA-AppDetails Current Date'!S:S,"&lt;&gt;COND",
'YearA-AppDetails Current Date'!I:I,"FALL"))), "")</f>
        <v/>
      </c>
      <c r="K91" s="73" t="str">
        <f>IFERROR(1/(1/SUM(COUNTIFS(
'YearA-AppDetails Current Date'!A:A,D91,
'YearA-AppDetails Current Date'!F:F,E91,
'YearA-AppDetails Current Date'!E:E,--F91,
'YearA-AppDetails Current Date'!R:R,"&lt;&gt;"&amp;"",
'YearA-AppDetails Current Date'!I:I,"FALL"))), "")</f>
        <v/>
      </c>
      <c r="L91" s="74" t="str" cm="1">
        <f t="array" ref="L91">IFERROR(1/(1/SUM(COUNTIFS(
'YearA-AppDetails Current Date'!A:A,D91,
'YearA-AppDetails Current Date'!F:F,E91,
'YearA-AppDetails Current Date'!E:E,--F91,
'YearA-AppDetails Current Date'!T:T,{"APEX","DENY","NTSL"},
'YearA-AppDetails Current Date'!I:I,"FALL"))), "")</f>
        <v/>
      </c>
      <c r="M91" s="74" t="str" cm="1">
        <f t="array" ref="M91">IFERROR(1/(1/SUM(COUNTIFS(
'YearA-AppDetails Current Date'!A:A,D91,
'YearA-AppDetails Current Date'!F:F,E91,
'YearA-AppDetails Current Date'!E:E,--F91,
'YearA-AppDetails Current Date'!U:U,{"CCAN","DECL"},
'YearA-AppDetails Current Date'!I:I,"FALL"))), "")</f>
        <v/>
      </c>
      <c r="N91" s="74" t="str" cm="1">
        <f t="array" ref="N91">IFERROR(1/(1/SUM(COUNTIFS(
'YearA-AppDetails Current Date'!A:A,D91,
'YearA-AppDetails Current Date'!F:F,E91,
'YearA-AppDetails Current Date'!E:E,--F91,
'YearA-AppDetails Current Date'!V:V,{"APRO","NODE"},
'YearA-AppDetails Current Date'!I:I,"FALL"))), "")</f>
        <v/>
      </c>
      <c r="O91" s="74" t="str" cm="1">
        <f t="array" ref="O91">IFERROR(1/(1/SUM(COUNTIFS(
'YearA-AppDetails Current Date'!A:A,D91,
'YearA-AppDetails Current Date'!F:F,E91,
'YearA-AppDetails Current Date'!E:E,--F91,
'YearA-AppDetails Current Date'!T:T,{"CDMT","RQMT","WAIT"},
'YearA-AppDetails Current Date'!I:I,"FALL"))), "")</f>
        <v/>
      </c>
      <c r="P91" s="74" t="str">
        <f>IFERROR(1/(1/COUNTIFS(
'YearA-AppDetails Current Date'!A:A,D91,
'YearA-AppDetails Current Date'!F:F,E91,
'YearA-AppDetails Current Date'!E:E,--F91,
'YearA-AppDetails Current Date'!Y:Y,"ENRO",
'YearA-AppDetails Current Date'!I:I,"FALL")),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HC'!D:T,4,FALSE)),
N(VLOOKUP(D92&amp;F92,'Budgeted Projections Dom HC'!D:T,5,FALSE))
)
),"")</f>
        <v/>
      </c>
      <c r="I92" s="73" t="str">
        <f>IFERROR(1/(1/COUNTIFS(
'YearA-AppDetails Current Date'!A:A,D92,
'YearA-AppDetails Current Date'!F:F,E92,
'YearA-AppDetails Current Date'!E:E,--F92,
'YearA-AppDetails Current Date'!I:I,"FALL")), "")</f>
        <v/>
      </c>
      <c r="J92" s="74" t="str" cm="1">
        <f t="array" ref="J92">IFERROR(1/(1/SUM(COUNTIFS(
'YearA-AppDetails Current Date'!A:A,D92,
'YearA-AppDetails Current Date'!F:F,E92,
'YearA-AppDetails Current Date'!E:E,--F92,
'YearA-AppDetails Current Date'!O:O,{"ACLN","ACPT","COND"},
'YearA-AppDetails Current Date'!S:S,"&lt;&gt;ACLN",
'YearA-AppDetails Current Date'!S:S,"&lt;&gt;ACPT",
'YearA-AppDetails Current Date'!S:S,"&lt;&gt;COND",
'YearA-AppDetails Current Date'!I:I,"FALL"))), "")</f>
        <v/>
      </c>
      <c r="K92" s="73" t="str">
        <f>IFERROR(1/(1/SUM(COUNTIFS(
'YearA-AppDetails Current Date'!A:A,D92,
'YearA-AppDetails Current Date'!F:F,E92,
'YearA-AppDetails Current Date'!E:E,--F92,
'YearA-AppDetails Current Date'!R:R,"&lt;&gt;"&amp;"",
'YearA-AppDetails Current Date'!I:I,"FALL"))), "")</f>
        <v/>
      </c>
      <c r="L92" s="74" t="str" cm="1">
        <f t="array" ref="L92">IFERROR(1/(1/SUM(COUNTIFS(
'YearA-AppDetails Current Date'!A:A,D92,
'YearA-AppDetails Current Date'!F:F,E92,
'YearA-AppDetails Current Date'!E:E,--F92,
'YearA-AppDetails Current Date'!T:T,{"APEX","DENY","NTSL"},
'YearA-AppDetails Current Date'!I:I,"FALL"))), "")</f>
        <v/>
      </c>
      <c r="M92" s="74" t="str" cm="1">
        <f t="array" ref="M92">IFERROR(1/(1/SUM(COUNTIFS(
'YearA-AppDetails Current Date'!A:A,D92,
'YearA-AppDetails Current Date'!F:F,E92,
'YearA-AppDetails Current Date'!E:E,--F92,
'YearA-AppDetails Current Date'!U:U,{"CCAN","DECL"},
'YearA-AppDetails Current Date'!I:I,"FALL"))), "")</f>
        <v/>
      </c>
      <c r="N92" s="74" t="str" cm="1">
        <f t="array" ref="N92">IFERROR(1/(1/SUM(COUNTIFS(
'YearA-AppDetails Current Date'!A:A,D92,
'YearA-AppDetails Current Date'!F:F,E92,
'YearA-AppDetails Current Date'!E:E,--F92,
'YearA-AppDetails Current Date'!V:V,{"APRO","NODE"},
'YearA-AppDetails Current Date'!I:I,"FALL"))), "")</f>
        <v/>
      </c>
      <c r="O92" s="74" t="str" cm="1">
        <f t="array" ref="O92">IFERROR(1/(1/SUM(COUNTIFS(
'YearA-AppDetails Current Date'!A:A,D92,
'YearA-AppDetails Current Date'!F:F,E92,
'YearA-AppDetails Current Date'!E:E,--F92,
'YearA-AppDetails Current Date'!T:T,{"CDMT","RQMT","WAIT"},
'YearA-AppDetails Current Date'!I:I,"FALL"))), "")</f>
        <v/>
      </c>
      <c r="P92" s="74" t="str">
        <f>IFERROR(1/(1/COUNTIFS(
'YearA-AppDetails Current Date'!A:A,D92,
'YearA-AppDetails Current Date'!F:F,E92,
'YearA-AppDetails Current Date'!E:E,--F92,
'YearA-AppDetails Current Date'!Y:Y,"ENRO",
'YearA-AppDetails Current Date'!I:I,"FALL")),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HC'!D:T,4,FALSE)),
N(VLOOKUP(D93&amp;F93,'Budgeted Projections Intl HC'!D:T,5,FALSE))
)
),"")</f>
        <v/>
      </c>
      <c r="I93" s="73" t="str">
        <f>IFERROR(1/(1/COUNTIFS(
'YearA-AppDetails Current Date'!A:A,D93,
'YearA-AppDetails Current Date'!F:F,E93,
'YearA-AppDetails Current Date'!E:E,--F93,
'YearA-AppDetails Current Date'!I:I,"FALL")), "")</f>
        <v/>
      </c>
      <c r="J93" s="74" t="str" cm="1">
        <f t="array" ref="J93">IFERROR(1/(1/SUM(COUNTIFS(
'YearA-AppDetails Current Date'!A:A,D93,
'YearA-AppDetails Current Date'!F:F,E93,
'YearA-AppDetails Current Date'!E:E,--F93,
'YearA-AppDetails Current Date'!O:O,{"ACLN","ACPT","COND"},
'YearA-AppDetails Current Date'!S:S,"&lt;&gt;ACLN",
'YearA-AppDetails Current Date'!S:S,"&lt;&gt;ACPT",
'YearA-AppDetails Current Date'!S:S,"&lt;&gt;COND",
'YearA-AppDetails Current Date'!I:I,"FALL"))), "")</f>
        <v/>
      </c>
      <c r="K93" s="73" t="str">
        <f>IFERROR(1/(1/SUM(COUNTIFS(
'YearA-AppDetails Current Date'!A:A,D93,
'YearA-AppDetails Current Date'!F:F,E93,
'YearA-AppDetails Current Date'!E:E,--F93,
'YearA-AppDetails Current Date'!R:R,"&lt;&gt;"&amp;"",
'YearA-AppDetails Current Date'!I:I,"FALL"))), "")</f>
        <v/>
      </c>
      <c r="L93" s="74" t="str" cm="1">
        <f t="array" ref="L93">IFERROR(1/(1/SUM(COUNTIFS(
'YearA-AppDetails Current Date'!A:A,D93,
'YearA-AppDetails Current Date'!F:F,E93,
'YearA-AppDetails Current Date'!E:E,--F93,
'YearA-AppDetails Current Date'!T:T,{"APEX","DENY","NTSL"},
'YearA-AppDetails Current Date'!I:I,"FALL"))), "")</f>
        <v/>
      </c>
      <c r="M93" s="74" t="str" cm="1">
        <f t="array" ref="M93">IFERROR(1/(1/SUM(COUNTIFS(
'YearA-AppDetails Current Date'!A:A,D93,
'YearA-AppDetails Current Date'!F:F,E93,
'YearA-AppDetails Current Date'!E:E,--F93,
'YearA-AppDetails Current Date'!U:U,{"CCAN","DECL"},
'YearA-AppDetails Current Date'!I:I,"FALL"))), "")</f>
        <v/>
      </c>
      <c r="N93" s="74" t="str" cm="1">
        <f t="array" ref="N93">IFERROR(1/(1/SUM(COUNTIFS(
'YearA-AppDetails Current Date'!A:A,D93,
'YearA-AppDetails Current Date'!F:F,E93,
'YearA-AppDetails Current Date'!E:E,--F93,
'YearA-AppDetails Current Date'!V:V,{"APRO","NODE"},
'YearA-AppDetails Current Date'!I:I,"FALL"))), "")</f>
        <v/>
      </c>
      <c r="O93" s="74" t="str" cm="1">
        <f t="array" ref="O93">IFERROR(1/(1/SUM(COUNTIFS(
'YearA-AppDetails Current Date'!A:A,D93,
'YearA-AppDetails Current Date'!F:F,E93,
'YearA-AppDetails Current Date'!E:E,--F93,
'YearA-AppDetails Current Date'!T:T,{"CDMT","RQMT","WAIT"},
'YearA-AppDetails Current Date'!I:I,"FALL"))), "")</f>
        <v/>
      </c>
      <c r="P93" s="74" t="str">
        <f>IFERROR(1/(1/COUNTIFS(
'YearA-AppDetails Current Date'!A:A,D93,
'YearA-AppDetails Current Date'!F:F,E93,
'YearA-AppDetails Current Date'!E:E,--F93,
'YearA-AppDetails Current Date'!Y:Y,"ENRO",
'YearA-AppDetails Current Date'!I:I,"FALL")),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HC'!D:T,4,FALSE)),
N(VLOOKUP(D94&amp;F94,'Budgeted Projections Dom HC'!D:T,5,FALSE))
)
),"")</f>
        <v/>
      </c>
      <c r="I94" s="73" t="str">
        <f>IFERROR(1/(1/COUNTIFS(
'YearA-AppDetails Current Date'!A:A,D94,
'YearA-AppDetails Current Date'!F:F,E94,
'YearA-AppDetails Current Date'!E:E,--F94,
'YearA-AppDetails Current Date'!I:I,"FALL")), "")</f>
        <v/>
      </c>
      <c r="J94" s="74" t="str" cm="1">
        <f t="array" ref="J94">IFERROR(1/(1/SUM(COUNTIFS(
'YearA-AppDetails Current Date'!A:A,D94,
'YearA-AppDetails Current Date'!F:F,E94,
'YearA-AppDetails Current Date'!E:E,--F94,
'YearA-AppDetails Current Date'!O:O,{"ACLN","ACPT","COND"},
'YearA-AppDetails Current Date'!S:S,"&lt;&gt;ACLN",
'YearA-AppDetails Current Date'!S:S,"&lt;&gt;ACPT",
'YearA-AppDetails Current Date'!S:S,"&lt;&gt;COND",
'YearA-AppDetails Current Date'!I:I,"FALL"))), "")</f>
        <v/>
      </c>
      <c r="K94" s="73" t="str">
        <f>IFERROR(1/(1/SUM(COUNTIFS(
'YearA-AppDetails Current Date'!A:A,D94,
'YearA-AppDetails Current Date'!F:F,E94,
'YearA-AppDetails Current Date'!E:E,--F94,
'YearA-AppDetails Current Date'!R:R,"&lt;&gt;"&amp;"",
'YearA-AppDetails Current Date'!I:I,"FALL"))), "")</f>
        <v/>
      </c>
      <c r="L94" s="74" t="str" cm="1">
        <f t="array" ref="L94">IFERROR(1/(1/SUM(COUNTIFS(
'YearA-AppDetails Current Date'!A:A,D94,
'YearA-AppDetails Current Date'!F:F,E94,
'YearA-AppDetails Current Date'!E:E,--F94,
'YearA-AppDetails Current Date'!T:T,{"APEX","DENY","NTSL"},
'YearA-AppDetails Current Date'!I:I,"FALL"))), "")</f>
        <v/>
      </c>
      <c r="M94" s="74" t="str" cm="1">
        <f t="array" ref="M94">IFERROR(1/(1/SUM(COUNTIFS(
'YearA-AppDetails Current Date'!A:A,D94,
'YearA-AppDetails Current Date'!F:F,E94,
'YearA-AppDetails Current Date'!E:E,--F94,
'YearA-AppDetails Current Date'!U:U,{"CCAN","DECL"},
'YearA-AppDetails Current Date'!I:I,"FALL"))), "")</f>
        <v/>
      </c>
      <c r="N94" s="74" t="str" cm="1">
        <f t="array" ref="N94">IFERROR(1/(1/SUM(COUNTIFS(
'YearA-AppDetails Current Date'!A:A,D94,
'YearA-AppDetails Current Date'!F:F,E94,
'YearA-AppDetails Current Date'!E:E,--F94,
'YearA-AppDetails Current Date'!V:V,{"APRO","NODE"},
'YearA-AppDetails Current Date'!I:I,"FALL"))), "")</f>
        <v/>
      </c>
      <c r="O94" s="74" t="str" cm="1">
        <f t="array" ref="O94">IFERROR(1/(1/SUM(COUNTIFS(
'YearA-AppDetails Current Date'!A:A,D94,
'YearA-AppDetails Current Date'!F:F,E94,
'YearA-AppDetails Current Date'!E:E,--F94,
'YearA-AppDetails Current Date'!T:T,{"CDMT","RQMT","WAIT"},
'YearA-AppDetails Current Date'!I:I,"FALL"))), "")</f>
        <v/>
      </c>
      <c r="P94" s="74" t="str">
        <f>IFERROR(1/(1/COUNTIFS(
'YearA-AppDetails Current Date'!A:A,D94,
'YearA-AppDetails Current Date'!F:F,E94,
'YearA-AppDetails Current Date'!E:E,--F94,
'YearA-AppDetails Current Date'!Y:Y,"ENRO",
'YearA-AppDetails Current Date'!I:I,"FALL")),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HC'!D:T,4,FALSE)),
N(VLOOKUP(D95&amp;F95,'Budgeted Projections Intl HC'!D:T,5,FALSE))
)
),"")</f>
        <v/>
      </c>
      <c r="I95" s="73" t="str">
        <f>IFERROR(1/(1/COUNTIFS(
'YearA-AppDetails Current Date'!A:A,D95,
'YearA-AppDetails Current Date'!F:F,E95,
'YearA-AppDetails Current Date'!E:E,--F95,
'YearA-AppDetails Current Date'!I:I,"FALL")), "")</f>
        <v/>
      </c>
      <c r="J95" s="74" t="str" cm="1">
        <f t="array" ref="J95">IFERROR(1/(1/SUM(COUNTIFS(
'YearA-AppDetails Current Date'!A:A,D95,
'YearA-AppDetails Current Date'!F:F,E95,
'YearA-AppDetails Current Date'!E:E,--F95,
'YearA-AppDetails Current Date'!O:O,{"ACLN","ACPT","COND"},
'YearA-AppDetails Current Date'!S:S,"&lt;&gt;ACLN",
'YearA-AppDetails Current Date'!S:S,"&lt;&gt;ACPT",
'YearA-AppDetails Current Date'!S:S,"&lt;&gt;COND",
'YearA-AppDetails Current Date'!I:I,"FALL"))), "")</f>
        <v/>
      </c>
      <c r="K95" s="73" t="str">
        <f>IFERROR(1/(1/SUM(COUNTIFS(
'YearA-AppDetails Current Date'!A:A,D95,
'YearA-AppDetails Current Date'!F:F,E95,
'YearA-AppDetails Current Date'!E:E,--F95,
'YearA-AppDetails Current Date'!R:R,"&lt;&gt;"&amp;"",
'YearA-AppDetails Current Date'!I:I,"FALL"))), "")</f>
        <v/>
      </c>
      <c r="L95" s="74" t="str" cm="1">
        <f t="array" ref="L95">IFERROR(1/(1/SUM(COUNTIFS(
'YearA-AppDetails Current Date'!A:A,D95,
'YearA-AppDetails Current Date'!F:F,E95,
'YearA-AppDetails Current Date'!E:E,--F95,
'YearA-AppDetails Current Date'!T:T,{"APEX","DENY","NTSL"},
'YearA-AppDetails Current Date'!I:I,"FALL"))), "")</f>
        <v/>
      </c>
      <c r="M95" s="74" t="str" cm="1">
        <f t="array" ref="M95">IFERROR(1/(1/SUM(COUNTIFS(
'YearA-AppDetails Current Date'!A:A,D95,
'YearA-AppDetails Current Date'!F:F,E95,
'YearA-AppDetails Current Date'!E:E,--F95,
'YearA-AppDetails Current Date'!U:U,{"CCAN","DECL"},
'YearA-AppDetails Current Date'!I:I,"FALL"))), "")</f>
        <v/>
      </c>
      <c r="N95" s="74" t="str" cm="1">
        <f t="array" ref="N95">IFERROR(1/(1/SUM(COUNTIFS(
'YearA-AppDetails Current Date'!A:A,D95,
'YearA-AppDetails Current Date'!F:F,E95,
'YearA-AppDetails Current Date'!E:E,--F95,
'YearA-AppDetails Current Date'!V:V,{"APRO","NODE"},
'YearA-AppDetails Current Date'!I:I,"FALL"))), "")</f>
        <v/>
      </c>
      <c r="O95" s="74" t="str" cm="1">
        <f t="array" ref="O95">IFERROR(1/(1/SUM(COUNTIFS(
'YearA-AppDetails Current Date'!A:A,D95,
'YearA-AppDetails Current Date'!F:F,E95,
'YearA-AppDetails Current Date'!E:E,--F95,
'YearA-AppDetails Current Date'!T:T,{"CDMT","RQMT","WAIT"},
'YearA-AppDetails Current Date'!I:I,"FALL"))), "")</f>
        <v/>
      </c>
      <c r="P95" s="74" t="str">
        <f>IFERROR(1/(1/COUNTIFS(
'YearA-AppDetails Current Date'!A:A,D95,
'YearA-AppDetails Current Date'!F:F,E95,
'YearA-AppDetails Current Date'!E:E,--F95,
'YearA-AppDetails Current Date'!Y:Y,"ENRO",
'YearA-AppDetails Current Date'!I:I,"FALL")),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HC'!D:T,4,FALSE)),
N(VLOOKUP(D96&amp;F96,'Budgeted Projections Dom HC'!D:T,5,FALSE))
)
),"")</f>
        <v/>
      </c>
      <c r="I96" s="73" t="str">
        <f>IFERROR(1/(1/COUNTIFS(
'YearA-AppDetails Current Date'!A:A,D96,
'YearA-AppDetails Current Date'!F:F,E96,
'YearA-AppDetails Current Date'!E:E,--F96,
'YearA-AppDetails Current Date'!I:I,"FALL")), "")</f>
        <v/>
      </c>
      <c r="J96" s="74" t="str" cm="1">
        <f t="array" ref="J96">IFERROR(1/(1/SUM(COUNTIFS(
'YearA-AppDetails Current Date'!A:A,D96,
'YearA-AppDetails Current Date'!F:F,E96,
'YearA-AppDetails Current Date'!E:E,--F96,
'YearA-AppDetails Current Date'!O:O,{"ACLN","ACPT","COND"},
'YearA-AppDetails Current Date'!S:S,"&lt;&gt;ACLN",
'YearA-AppDetails Current Date'!S:S,"&lt;&gt;ACPT",
'YearA-AppDetails Current Date'!S:S,"&lt;&gt;COND",
'YearA-AppDetails Current Date'!I:I,"FALL"))), "")</f>
        <v/>
      </c>
      <c r="K96" s="73" t="str">
        <f>IFERROR(1/(1/SUM(COUNTIFS(
'YearA-AppDetails Current Date'!A:A,D96,
'YearA-AppDetails Current Date'!F:F,E96,
'YearA-AppDetails Current Date'!E:E,--F96,
'YearA-AppDetails Current Date'!R:R,"&lt;&gt;"&amp;"",
'YearA-AppDetails Current Date'!I:I,"FALL"))), "")</f>
        <v/>
      </c>
      <c r="L96" s="74" t="str" cm="1">
        <f t="array" ref="L96">IFERROR(1/(1/SUM(COUNTIFS(
'YearA-AppDetails Current Date'!A:A,D96,
'YearA-AppDetails Current Date'!F:F,E96,
'YearA-AppDetails Current Date'!E:E,--F96,
'YearA-AppDetails Current Date'!T:T,{"APEX","DENY","NTSL"},
'YearA-AppDetails Current Date'!I:I,"FALL"))), "")</f>
        <v/>
      </c>
      <c r="M96" s="74" t="str" cm="1">
        <f t="array" ref="M96">IFERROR(1/(1/SUM(COUNTIFS(
'YearA-AppDetails Current Date'!A:A,D96,
'YearA-AppDetails Current Date'!F:F,E96,
'YearA-AppDetails Current Date'!E:E,--F96,
'YearA-AppDetails Current Date'!U:U,{"CCAN","DECL"},
'YearA-AppDetails Current Date'!I:I,"FALL"))), "")</f>
        <v/>
      </c>
      <c r="N96" s="74" t="str" cm="1">
        <f t="array" ref="N96">IFERROR(1/(1/SUM(COUNTIFS(
'YearA-AppDetails Current Date'!A:A,D96,
'YearA-AppDetails Current Date'!F:F,E96,
'YearA-AppDetails Current Date'!E:E,--F96,
'YearA-AppDetails Current Date'!V:V,{"APRO","NODE"},
'YearA-AppDetails Current Date'!I:I,"FALL"))), "")</f>
        <v/>
      </c>
      <c r="O96" s="74" t="str" cm="1">
        <f t="array" ref="O96">IFERROR(1/(1/SUM(COUNTIFS(
'YearA-AppDetails Current Date'!A:A,D96,
'YearA-AppDetails Current Date'!F:F,E96,
'YearA-AppDetails Current Date'!E:E,--F96,
'YearA-AppDetails Current Date'!T:T,{"CDMT","RQMT","WAIT"},
'YearA-AppDetails Current Date'!I:I,"FALL"))), "")</f>
        <v/>
      </c>
      <c r="P96" s="74" t="str">
        <f>IFERROR(1/(1/COUNTIFS(
'YearA-AppDetails Current Date'!A:A,D96,
'YearA-AppDetails Current Date'!F:F,E96,
'YearA-AppDetails Current Date'!E:E,--F96,
'YearA-AppDetails Current Date'!Y:Y,"ENRO",
'YearA-AppDetails Current Date'!I:I,"FALL")),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HC'!D:T,4,FALSE)),
N(VLOOKUP(D97&amp;F97,'Budgeted Projections Intl HC'!D:T,5,FALSE))
)
),"")</f>
        <v/>
      </c>
      <c r="I97" s="73" t="str">
        <f>IFERROR(1/(1/COUNTIFS(
'YearA-AppDetails Current Date'!A:A,D97,
'YearA-AppDetails Current Date'!F:F,E97,
'YearA-AppDetails Current Date'!E:E,--F97,
'YearA-AppDetails Current Date'!I:I,"FALL")), "")</f>
        <v/>
      </c>
      <c r="J97" s="74" t="str" cm="1">
        <f t="array" ref="J97">IFERROR(1/(1/SUM(COUNTIFS(
'YearA-AppDetails Current Date'!A:A,D97,
'YearA-AppDetails Current Date'!F:F,E97,
'YearA-AppDetails Current Date'!E:E,--F97,
'YearA-AppDetails Current Date'!O:O,{"ACLN","ACPT","COND"},
'YearA-AppDetails Current Date'!S:S,"&lt;&gt;ACLN",
'YearA-AppDetails Current Date'!S:S,"&lt;&gt;ACPT",
'YearA-AppDetails Current Date'!S:S,"&lt;&gt;COND",
'YearA-AppDetails Current Date'!I:I,"FALL"))), "")</f>
        <v/>
      </c>
      <c r="K97" s="73" t="str">
        <f>IFERROR(1/(1/SUM(COUNTIFS(
'YearA-AppDetails Current Date'!A:A,D97,
'YearA-AppDetails Current Date'!F:F,E97,
'YearA-AppDetails Current Date'!E:E,--F97,
'YearA-AppDetails Current Date'!R:R,"&lt;&gt;"&amp;"",
'YearA-AppDetails Current Date'!I:I,"FALL"))), "")</f>
        <v/>
      </c>
      <c r="L97" s="74" t="str" cm="1">
        <f t="array" ref="L97">IFERROR(1/(1/SUM(COUNTIFS(
'YearA-AppDetails Current Date'!A:A,D97,
'YearA-AppDetails Current Date'!F:F,E97,
'YearA-AppDetails Current Date'!E:E,--F97,
'YearA-AppDetails Current Date'!T:T,{"APEX","DENY","NTSL"},
'YearA-AppDetails Current Date'!I:I,"FALL"))), "")</f>
        <v/>
      </c>
      <c r="M97" s="74" t="str" cm="1">
        <f t="array" ref="M97">IFERROR(1/(1/SUM(COUNTIFS(
'YearA-AppDetails Current Date'!A:A,D97,
'YearA-AppDetails Current Date'!F:F,E97,
'YearA-AppDetails Current Date'!E:E,--F97,
'YearA-AppDetails Current Date'!U:U,{"CCAN","DECL"},
'YearA-AppDetails Current Date'!I:I,"FALL"))), "")</f>
        <v/>
      </c>
      <c r="N97" s="74" t="str" cm="1">
        <f t="array" ref="N97">IFERROR(1/(1/SUM(COUNTIFS(
'YearA-AppDetails Current Date'!A:A,D97,
'YearA-AppDetails Current Date'!F:F,E97,
'YearA-AppDetails Current Date'!E:E,--F97,
'YearA-AppDetails Current Date'!V:V,{"APRO","NODE"},
'YearA-AppDetails Current Date'!I:I,"FALL"))), "")</f>
        <v/>
      </c>
      <c r="O97" s="74" t="str" cm="1">
        <f t="array" ref="O97">IFERROR(1/(1/SUM(COUNTIFS(
'YearA-AppDetails Current Date'!A:A,D97,
'YearA-AppDetails Current Date'!F:F,E97,
'YearA-AppDetails Current Date'!E:E,--F97,
'YearA-AppDetails Current Date'!T:T,{"CDMT","RQMT","WAIT"},
'YearA-AppDetails Current Date'!I:I,"FALL"))), "")</f>
        <v/>
      </c>
      <c r="P97" s="74" t="str">
        <f>IFERROR(1/(1/COUNTIFS(
'YearA-AppDetails Current Date'!A:A,D97,
'YearA-AppDetails Current Date'!F:F,E97,
'YearA-AppDetails Current Date'!E:E,--F97,
'YearA-AppDetails Current Date'!Y:Y,"ENRO",
'YearA-AppDetails Current Date'!I:I,"FALL")),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HC'!D:T,4,FALSE)),
N(VLOOKUP(D98&amp;F98,'Budgeted Projections Dom HC'!D:T,5,FALSE))
)
),"")</f>
        <v/>
      </c>
      <c r="I98" s="73" t="str">
        <f>IFERROR(1/(1/COUNTIFS(
'YearA-AppDetails Current Date'!A:A,D98,
'YearA-AppDetails Current Date'!F:F,E98,
'YearA-AppDetails Current Date'!E:E,--F98,
'YearA-AppDetails Current Date'!I:I,"FALL")), "")</f>
        <v/>
      </c>
      <c r="J98" s="74" t="str" cm="1">
        <f t="array" ref="J98">IFERROR(1/(1/SUM(COUNTIFS(
'YearA-AppDetails Current Date'!A:A,D98,
'YearA-AppDetails Current Date'!F:F,E98,
'YearA-AppDetails Current Date'!E:E,--F98,
'YearA-AppDetails Current Date'!O:O,{"ACLN","ACPT","COND"},
'YearA-AppDetails Current Date'!S:S,"&lt;&gt;ACLN",
'YearA-AppDetails Current Date'!S:S,"&lt;&gt;ACPT",
'YearA-AppDetails Current Date'!S:S,"&lt;&gt;COND",
'YearA-AppDetails Current Date'!I:I,"FALL"))), "")</f>
        <v/>
      </c>
      <c r="K98" s="73" t="str">
        <f>IFERROR(1/(1/SUM(COUNTIFS(
'YearA-AppDetails Current Date'!A:A,D98,
'YearA-AppDetails Current Date'!F:F,E98,
'YearA-AppDetails Current Date'!E:E,--F98,
'YearA-AppDetails Current Date'!R:R,"&lt;&gt;"&amp;"",
'YearA-AppDetails Current Date'!I:I,"FALL"))), "")</f>
        <v/>
      </c>
      <c r="L98" s="74" t="str" cm="1">
        <f t="array" ref="L98">IFERROR(1/(1/SUM(COUNTIFS(
'YearA-AppDetails Current Date'!A:A,D98,
'YearA-AppDetails Current Date'!F:F,E98,
'YearA-AppDetails Current Date'!E:E,--F98,
'YearA-AppDetails Current Date'!T:T,{"APEX","DENY","NTSL"},
'YearA-AppDetails Current Date'!I:I,"FALL"))), "")</f>
        <v/>
      </c>
      <c r="M98" s="74" t="str" cm="1">
        <f t="array" ref="M98">IFERROR(1/(1/SUM(COUNTIFS(
'YearA-AppDetails Current Date'!A:A,D98,
'YearA-AppDetails Current Date'!F:F,E98,
'YearA-AppDetails Current Date'!E:E,--F98,
'YearA-AppDetails Current Date'!U:U,{"CCAN","DECL"},
'YearA-AppDetails Current Date'!I:I,"FALL"))), "")</f>
        <v/>
      </c>
      <c r="N98" s="74" t="str" cm="1">
        <f t="array" ref="N98">IFERROR(1/(1/SUM(COUNTIFS(
'YearA-AppDetails Current Date'!A:A,D98,
'YearA-AppDetails Current Date'!F:F,E98,
'YearA-AppDetails Current Date'!E:E,--F98,
'YearA-AppDetails Current Date'!V:V,{"APRO","NODE"},
'YearA-AppDetails Current Date'!I:I,"FALL"))), "")</f>
        <v/>
      </c>
      <c r="O98" s="74" t="str" cm="1">
        <f t="array" ref="O98">IFERROR(1/(1/SUM(COUNTIFS(
'YearA-AppDetails Current Date'!A:A,D98,
'YearA-AppDetails Current Date'!F:F,E98,
'YearA-AppDetails Current Date'!E:E,--F98,
'YearA-AppDetails Current Date'!T:T,{"CDMT","RQMT","WAIT"},
'YearA-AppDetails Current Date'!I:I,"FALL"))), "")</f>
        <v/>
      </c>
      <c r="P98" s="74" t="str">
        <f>IFERROR(1/(1/COUNTIFS(
'YearA-AppDetails Current Date'!A:A,D98,
'YearA-AppDetails Current Date'!F:F,E98,
'YearA-AppDetails Current Date'!E:E,--F98,
'YearA-AppDetails Current Date'!Y:Y,"ENRO",
'YearA-AppDetails Current Date'!I:I,"FALL")),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HC'!D:T,4,FALSE)),
N(VLOOKUP(D99&amp;F99,'Budgeted Projections Intl HC'!D:T,5,FALSE))
)
),"")</f>
        <v/>
      </c>
      <c r="I99" s="73" t="str">
        <f>IFERROR(1/(1/COUNTIFS(
'YearA-AppDetails Current Date'!A:A,D99,
'YearA-AppDetails Current Date'!F:F,E99,
'YearA-AppDetails Current Date'!E:E,--F99,
'YearA-AppDetails Current Date'!I:I,"FALL")), "")</f>
        <v/>
      </c>
      <c r="J99" s="74" t="str" cm="1">
        <f t="array" ref="J99">IFERROR(1/(1/SUM(COUNTIFS(
'YearA-AppDetails Current Date'!A:A,D99,
'YearA-AppDetails Current Date'!F:F,E99,
'YearA-AppDetails Current Date'!E:E,--F99,
'YearA-AppDetails Current Date'!O:O,{"ACLN","ACPT","COND"},
'YearA-AppDetails Current Date'!S:S,"&lt;&gt;ACLN",
'YearA-AppDetails Current Date'!S:S,"&lt;&gt;ACPT",
'YearA-AppDetails Current Date'!S:S,"&lt;&gt;COND",
'YearA-AppDetails Current Date'!I:I,"FALL"))), "")</f>
        <v/>
      </c>
      <c r="K99" s="73" t="str">
        <f>IFERROR(1/(1/SUM(COUNTIFS(
'YearA-AppDetails Current Date'!A:A,D99,
'YearA-AppDetails Current Date'!F:F,E99,
'YearA-AppDetails Current Date'!E:E,--F99,
'YearA-AppDetails Current Date'!R:R,"&lt;&gt;"&amp;"",
'YearA-AppDetails Current Date'!I:I,"FALL"))), "")</f>
        <v/>
      </c>
      <c r="L99" s="74" t="str" cm="1">
        <f t="array" ref="L99">IFERROR(1/(1/SUM(COUNTIFS(
'YearA-AppDetails Current Date'!A:A,D99,
'YearA-AppDetails Current Date'!F:F,E99,
'YearA-AppDetails Current Date'!E:E,--F99,
'YearA-AppDetails Current Date'!T:T,{"APEX","DENY","NTSL"},
'YearA-AppDetails Current Date'!I:I,"FALL"))), "")</f>
        <v/>
      </c>
      <c r="M99" s="74" t="str" cm="1">
        <f t="array" ref="M99">IFERROR(1/(1/SUM(COUNTIFS(
'YearA-AppDetails Current Date'!A:A,D99,
'YearA-AppDetails Current Date'!F:F,E99,
'YearA-AppDetails Current Date'!E:E,--F99,
'YearA-AppDetails Current Date'!U:U,{"CCAN","DECL"},
'YearA-AppDetails Current Date'!I:I,"FALL"))), "")</f>
        <v/>
      </c>
      <c r="N99" s="74" t="str" cm="1">
        <f t="array" ref="N99">IFERROR(1/(1/SUM(COUNTIFS(
'YearA-AppDetails Current Date'!A:A,D99,
'YearA-AppDetails Current Date'!F:F,E99,
'YearA-AppDetails Current Date'!E:E,--F99,
'YearA-AppDetails Current Date'!V:V,{"APRO","NODE"},
'YearA-AppDetails Current Date'!I:I,"FALL"))), "")</f>
        <v/>
      </c>
      <c r="O99" s="74" t="str" cm="1">
        <f t="array" ref="O99">IFERROR(1/(1/SUM(COUNTIFS(
'YearA-AppDetails Current Date'!A:A,D99,
'YearA-AppDetails Current Date'!F:F,E99,
'YearA-AppDetails Current Date'!E:E,--F99,
'YearA-AppDetails Current Date'!T:T,{"CDMT","RQMT","WAIT"},
'YearA-AppDetails Current Date'!I:I,"FALL"))), "")</f>
        <v/>
      </c>
      <c r="P99" s="74" t="str">
        <f>IFERROR(1/(1/COUNTIFS(
'YearA-AppDetails Current Date'!A:A,D99,
'YearA-AppDetails Current Date'!F:F,E99,
'YearA-AppDetails Current Date'!E:E,--F99,
'YearA-AppDetails Current Date'!Y:Y,"ENRO",
'YearA-AppDetails Current Date'!I:I,"FALL")),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HC'!D:T,4,FALSE)),
N(VLOOKUP(D100&amp;F100,'Budgeted Projections Dom HC'!D:T,5,FALSE))
)
),"")</f>
        <v/>
      </c>
      <c r="I100" s="73" t="str">
        <f>IFERROR(1/(1/COUNTIFS(
'YearA-AppDetails Current Date'!A:A,D100,
'YearA-AppDetails Current Date'!F:F,E100,
'YearA-AppDetails Current Date'!E:E,--F100,
'YearA-AppDetails Current Date'!I:I,"FALL")), "")</f>
        <v/>
      </c>
      <c r="J100" s="74" t="str" cm="1">
        <f t="array" ref="J100">IFERROR(1/(1/SUM(COUNTIFS(
'YearA-AppDetails Current Date'!A:A,D100,
'YearA-AppDetails Current Date'!F:F,E100,
'YearA-AppDetails Current Date'!E:E,--F100,
'YearA-AppDetails Current Date'!O:O,{"ACLN","ACPT","COND"},
'YearA-AppDetails Current Date'!S:S,"&lt;&gt;ACLN",
'YearA-AppDetails Current Date'!S:S,"&lt;&gt;ACPT",
'YearA-AppDetails Current Date'!S:S,"&lt;&gt;COND",
'YearA-AppDetails Current Date'!I:I,"FALL"))), "")</f>
        <v/>
      </c>
      <c r="K100" s="73" t="str">
        <f>IFERROR(1/(1/SUM(COUNTIFS(
'YearA-AppDetails Current Date'!A:A,D100,
'YearA-AppDetails Current Date'!F:F,E100,
'YearA-AppDetails Current Date'!E:E,--F100,
'YearA-AppDetails Current Date'!R:R,"&lt;&gt;"&amp;"",
'YearA-AppDetails Current Date'!I:I,"FALL"))), "")</f>
        <v/>
      </c>
      <c r="L100" s="74" t="str" cm="1">
        <f t="array" ref="L100">IFERROR(1/(1/SUM(COUNTIFS(
'YearA-AppDetails Current Date'!A:A,D100,
'YearA-AppDetails Current Date'!F:F,E100,
'YearA-AppDetails Current Date'!E:E,--F100,
'YearA-AppDetails Current Date'!T:T,{"APEX","DENY","NTSL"},
'YearA-AppDetails Current Date'!I:I,"FALL"))), "")</f>
        <v/>
      </c>
      <c r="M100" s="74" t="str" cm="1">
        <f t="array" ref="M100">IFERROR(1/(1/SUM(COUNTIFS(
'YearA-AppDetails Current Date'!A:A,D100,
'YearA-AppDetails Current Date'!F:F,E100,
'YearA-AppDetails Current Date'!E:E,--F100,
'YearA-AppDetails Current Date'!U:U,{"CCAN","DECL"},
'YearA-AppDetails Current Date'!I:I,"FALL"))), "")</f>
        <v/>
      </c>
      <c r="N100" s="74" t="str" cm="1">
        <f t="array" ref="N100">IFERROR(1/(1/SUM(COUNTIFS(
'YearA-AppDetails Current Date'!A:A,D100,
'YearA-AppDetails Current Date'!F:F,E100,
'YearA-AppDetails Current Date'!E:E,--F100,
'YearA-AppDetails Current Date'!V:V,{"APRO","NODE"},
'YearA-AppDetails Current Date'!I:I,"FALL"))), "")</f>
        <v/>
      </c>
      <c r="O100" s="74" t="str" cm="1">
        <f t="array" ref="O100">IFERROR(1/(1/SUM(COUNTIFS(
'YearA-AppDetails Current Date'!A:A,D100,
'YearA-AppDetails Current Date'!F:F,E100,
'YearA-AppDetails Current Date'!E:E,--F100,
'YearA-AppDetails Current Date'!T:T,{"CDMT","RQMT","WAIT"},
'YearA-AppDetails Current Date'!I:I,"FALL"))), "")</f>
        <v/>
      </c>
      <c r="P100" s="74" t="str">
        <f>IFERROR(1/(1/COUNTIFS(
'YearA-AppDetails Current Date'!A:A,D100,
'YearA-AppDetails Current Date'!F:F,E100,
'YearA-AppDetails Current Date'!E:E,--F100,
'YearA-AppDetails Current Date'!Y:Y,"ENRO",
'YearA-AppDetails Current Date'!I:I,"FALL")),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HC'!D:T,4,FALSE)),
N(VLOOKUP(D101&amp;F101,'Budgeted Projections Intl HC'!D:T,5,FALSE))
)
),"")</f>
        <v/>
      </c>
      <c r="I101" s="73" t="str">
        <f>IFERROR(1/(1/COUNTIFS(
'YearA-AppDetails Current Date'!A:A,D101,
'YearA-AppDetails Current Date'!F:F,E101,
'YearA-AppDetails Current Date'!E:E,--F101,
'YearA-AppDetails Current Date'!I:I,"FALL")), "")</f>
        <v/>
      </c>
      <c r="J101" s="74" t="str" cm="1">
        <f t="array" ref="J101">IFERROR(1/(1/SUM(COUNTIFS(
'YearA-AppDetails Current Date'!A:A,D101,
'YearA-AppDetails Current Date'!F:F,E101,
'YearA-AppDetails Current Date'!E:E,--F101,
'YearA-AppDetails Current Date'!O:O,{"ACLN","ACPT","COND"},
'YearA-AppDetails Current Date'!S:S,"&lt;&gt;ACLN",
'YearA-AppDetails Current Date'!S:S,"&lt;&gt;ACPT",
'YearA-AppDetails Current Date'!S:S,"&lt;&gt;COND",
'YearA-AppDetails Current Date'!I:I,"FALL"))), "")</f>
        <v/>
      </c>
      <c r="K101" s="73" t="str">
        <f>IFERROR(1/(1/SUM(COUNTIFS(
'YearA-AppDetails Current Date'!A:A,D101,
'YearA-AppDetails Current Date'!F:F,E101,
'YearA-AppDetails Current Date'!E:E,--F101,
'YearA-AppDetails Current Date'!R:R,"&lt;&gt;"&amp;"",
'YearA-AppDetails Current Date'!I:I,"FALL"))), "")</f>
        <v/>
      </c>
      <c r="L101" s="74" t="str" cm="1">
        <f t="array" ref="L101">IFERROR(1/(1/SUM(COUNTIFS(
'YearA-AppDetails Current Date'!A:A,D101,
'YearA-AppDetails Current Date'!F:F,E101,
'YearA-AppDetails Current Date'!E:E,--F101,
'YearA-AppDetails Current Date'!T:T,{"APEX","DENY","NTSL"},
'YearA-AppDetails Current Date'!I:I,"FALL"))), "")</f>
        <v/>
      </c>
      <c r="M101" s="74" t="str" cm="1">
        <f t="array" ref="M101">IFERROR(1/(1/SUM(COUNTIFS(
'YearA-AppDetails Current Date'!A:A,D101,
'YearA-AppDetails Current Date'!F:F,E101,
'YearA-AppDetails Current Date'!E:E,--F101,
'YearA-AppDetails Current Date'!U:U,{"CCAN","DECL"},
'YearA-AppDetails Current Date'!I:I,"FALL"))), "")</f>
        <v/>
      </c>
      <c r="N101" s="74" t="str" cm="1">
        <f t="array" ref="N101">IFERROR(1/(1/SUM(COUNTIFS(
'YearA-AppDetails Current Date'!A:A,D101,
'YearA-AppDetails Current Date'!F:F,E101,
'YearA-AppDetails Current Date'!E:E,--F101,
'YearA-AppDetails Current Date'!V:V,{"APRO","NODE"},
'YearA-AppDetails Current Date'!I:I,"FALL"))), "")</f>
        <v/>
      </c>
      <c r="O101" s="74" t="str" cm="1">
        <f t="array" ref="O101">IFERROR(1/(1/SUM(COUNTIFS(
'YearA-AppDetails Current Date'!A:A,D101,
'YearA-AppDetails Current Date'!F:F,E101,
'YearA-AppDetails Current Date'!E:E,--F101,
'YearA-AppDetails Current Date'!T:T,{"CDMT","RQMT","WAIT"},
'YearA-AppDetails Current Date'!I:I,"FALL"))), "")</f>
        <v/>
      </c>
      <c r="P101" s="74" t="str">
        <f>IFERROR(1/(1/COUNTIFS(
'YearA-AppDetails Current Date'!A:A,D101,
'YearA-AppDetails Current Date'!F:F,E101,
'YearA-AppDetails Current Date'!E:E,--F101,
'YearA-AppDetails Current Date'!Y:Y,"ENRO",
'YearA-AppDetails Current Date'!I:I,"FALL")),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HC'!D:T,4,FALSE)),
N(VLOOKUP(D102&amp;F102,'Budgeted Projections Dom HC'!D:T,5,FALSE))
)
),"")</f>
        <v/>
      </c>
      <c r="I102" s="73" t="str">
        <f>IFERROR(1/(1/COUNTIFS(
'YearA-AppDetails Current Date'!A:A,D102,
'YearA-AppDetails Current Date'!F:F,E102,
'YearA-AppDetails Current Date'!E:E,--F102,
'YearA-AppDetails Current Date'!I:I,"FALL")), "")</f>
        <v/>
      </c>
      <c r="J102" s="74" t="str" cm="1">
        <f t="array" ref="J102">IFERROR(1/(1/SUM(COUNTIFS(
'YearA-AppDetails Current Date'!A:A,D102,
'YearA-AppDetails Current Date'!F:F,E102,
'YearA-AppDetails Current Date'!E:E,--F102,
'YearA-AppDetails Current Date'!O:O,{"ACLN","ACPT","COND"},
'YearA-AppDetails Current Date'!S:S,"&lt;&gt;ACLN",
'YearA-AppDetails Current Date'!S:S,"&lt;&gt;ACPT",
'YearA-AppDetails Current Date'!S:S,"&lt;&gt;COND",
'YearA-AppDetails Current Date'!I:I,"FALL"))), "")</f>
        <v/>
      </c>
      <c r="K102" s="73" t="str">
        <f>IFERROR(1/(1/SUM(COUNTIFS(
'YearA-AppDetails Current Date'!A:A,D102,
'YearA-AppDetails Current Date'!F:F,E102,
'YearA-AppDetails Current Date'!E:E,--F102,
'YearA-AppDetails Current Date'!R:R,"&lt;&gt;"&amp;"",
'YearA-AppDetails Current Date'!I:I,"FALL"))), "")</f>
        <v/>
      </c>
      <c r="L102" s="74" t="str" cm="1">
        <f t="array" ref="L102">IFERROR(1/(1/SUM(COUNTIFS(
'YearA-AppDetails Current Date'!A:A,D102,
'YearA-AppDetails Current Date'!F:F,E102,
'YearA-AppDetails Current Date'!E:E,--F102,
'YearA-AppDetails Current Date'!T:T,{"APEX","DENY","NTSL"},
'YearA-AppDetails Current Date'!I:I,"FALL"))), "")</f>
        <v/>
      </c>
      <c r="M102" s="74" t="str" cm="1">
        <f t="array" ref="M102">IFERROR(1/(1/SUM(COUNTIFS(
'YearA-AppDetails Current Date'!A:A,D102,
'YearA-AppDetails Current Date'!F:F,E102,
'YearA-AppDetails Current Date'!E:E,--F102,
'YearA-AppDetails Current Date'!U:U,{"CCAN","DECL"},
'YearA-AppDetails Current Date'!I:I,"FALL"))), "")</f>
        <v/>
      </c>
      <c r="N102" s="74" t="str" cm="1">
        <f t="array" ref="N102">IFERROR(1/(1/SUM(COUNTIFS(
'YearA-AppDetails Current Date'!A:A,D102,
'YearA-AppDetails Current Date'!F:F,E102,
'YearA-AppDetails Current Date'!E:E,--F102,
'YearA-AppDetails Current Date'!V:V,{"APRO","NODE"},
'YearA-AppDetails Current Date'!I:I,"FALL"))), "")</f>
        <v/>
      </c>
      <c r="O102" s="74" t="str" cm="1">
        <f t="array" ref="O102">IFERROR(1/(1/SUM(COUNTIFS(
'YearA-AppDetails Current Date'!A:A,D102,
'YearA-AppDetails Current Date'!F:F,E102,
'YearA-AppDetails Current Date'!E:E,--F102,
'YearA-AppDetails Current Date'!T:T,{"CDMT","RQMT","WAIT"},
'YearA-AppDetails Current Date'!I:I,"FALL"))), "")</f>
        <v/>
      </c>
      <c r="P102" s="74" t="str">
        <f>IFERROR(1/(1/COUNTIFS(
'YearA-AppDetails Current Date'!A:A,D102,
'YearA-AppDetails Current Date'!F:F,E102,
'YearA-AppDetails Current Date'!E:E,--F102,
'YearA-AppDetails Current Date'!Y:Y,"ENRO",
'YearA-AppDetails Current Date'!I:I,"FALL")),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HC'!D:T,4,FALSE)),
N(VLOOKUP(D103&amp;F103,'Budgeted Projections Intl HC'!D:T,5,FALSE))
)
),"")</f>
        <v/>
      </c>
      <c r="I103" s="73" t="str">
        <f>IFERROR(1/(1/COUNTIFS(
'YearA-AppDetails Current Date'!A:A,D103,
'YearA-AppDetails Current Date'!F:F,E103,
'YearA-AppDetails Current Date'!E:E,--F103,
'YearA-AppDetails Current Date'!I:I,"FALL")), "")</f>
        <v/>
      </c>
      <c r="J103" s="74" t="str" cm="1">
        <f t="array" ref="J103">IFERROR(1/(1/SUM(COUNTIFS(
'YearA-AppDetails Current Date'!A:A,D103,
'YearA-AppDetails Current Date'!F:F,E103,
'YearA-AppDetails Current Date'!E:E,--F103,
'YearA-AppDetails Current Date'!O:O,{"ACLN","ACPT","COND"},
'YearA-AppDetails Current Date'!S:S,"&lt;&gt;ACLN",
'YearA-AppDetails Current Date'!S:S,"&lt;&gt;ACPT",
'YearA-AppDetails Current Date'!S:S,"&lt;&gt;COND",
'YearA-AppDetails Current Date'!I:I,"FALL"))), "")</f>
        <v/>
      </c>
      <c r="K103" s="73" t="str">
        <f>IFERROR(1/(1/SUM(COUNTIFS(
'YearA-AppDetails Current Date'!A:A,D103,
'YearA-AppDetails Current Date'!F:F,E103,
'YearA-AppDetails Current Date'!E:E,--F103,
'YearA-AppDetails Current Date'!R:R,"&lt;&gt;"&amp;"",
'YearA-AppDetails Current Date'!I:I,"FALL"))), "")</f>
        <v/>
      </c>
      <c r="L103" s="74" t="str" cm="1">
        <f t="array" ref="L103">IFERROR(1/(1/SUM(COUNTIFS(
'YearA-AppDetails Current Date'!A:A,D103,
'YearA-AppDetails Current Date'!F:F,E103,
'YearA-AppDetails Current Date'!E:E,--F103,
'YearA-AppDetails Current Date'!T:T,{"APEX","DENY","NTSL"},
'YearA-AppDetails Current Date'!I:I,"FALL"))), "")</f>
        <v/>
      </c>
      <c r="M103" s="74" t="str" cm="1">
        <f t="array" ref="M103">IFERROR(1/(1/SUM(COUNTIFS(
'YearA-AppDetails Current Date'!A:A,D103,
'YearA-AppDetails Current Date'!F:F,E103,
'YearA-AppDetails Current Date'!E:E,--F103,
'YearA-AppDetails Current Date'!U:U,{"CCAN","DECL"},
'YearA-AppDetails Current Date'!I:I,"FALL"))), "")</f>
        <v/>
      </c>
      <c r="N103" s="74" t="str" cm="1">
        <f t="array" ref="N103">IFERROR(1/(1/SUM(COUNTIFS(
'YearA-AppDetails Current Date'!A:A,D103,
'YearA-AppDetails Current Date'!F:F,E103,
'YearA-AppDetails Current Date'!E:E,--F103,
'YearA-AppDetails Current Date'!V:V,{"APRO","NODE"},
'YearA-AppDetails Current Date'!I:I,"FALL"))), "")</f>
        <v/>
      </c>
      <c r="O103" s="74" t="str" cm="1">
        <f t="array" ref="O103">IFERROR(1/(1/SUM(COUNTIFS(
'YearA-AppDetails Current Date'!A:A,D103,
'YearA-AppDetails Current Date'!F:F,E103,
'YearA-AppDetails Current Date'!E:E,--F103,
'YearA-AppDetails Current Date'!T:T,{"CDMT","RQMT","WAIT"},
'YearA-AppDetails Current Date'!I:I,"FALL"))), "")</f>
        <v/>
      </c>
      <c r="P103" s="74" t="str">
        <f>IFERROR(1/(1/COUNTIFS(
'YearA-AppDetails Current Date'!A:A,D103,
'YearA-AppDetails Current Date'!F:F,E103,
'YearA-AppDetails Current Date'!E:E,--F103,
'YearA-AppDetails Current Date'!Y:Y,"ENRO",
'YearA-AppDetails Current Date'!I:I,"FALL")),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HC'!D:T,4,FALSE)),
N(VLOOKUP(D104&amp;F104,'Budgeted Projections Dom HC'!D:T,5,FALSE))
)
),"")</f>
        <v/>
      </c>
      <c r="I104" s="73" t="str">
        <f>IFERROR(1/(1/COUNTIFS(
'YearA-AppDetails Current Date'!A:A,D104,
'YearA-AppDetails Current Date'!F:F,E104,
'YearA-AppDetails Current Date'!E:E,--F104,
'YearA-AppDetails Current Date'!I:I,"FALL")), "")</f>
        <v/>
      </c>
      <c r="J104" s="74" t="str" cm="1">
        <f t="array" ref="J104">IFERROR(1/(1/SUM(COUNTIFS(
'YearA-AppDetails Current Date'!A:A,D104,
'YearA-AppDetails Current Date'!F:F,E104,
'YearA-AppDetails Current Date'!E:E,--F104,
'YearA-AppDetails Current Date'!O:O,{"ACLN","ACPT","COND"},
'YearA-AppDetails Current Date'!S:S,"&lt;&gt;ACLN",
'YearA-AppDetails Current Date'!S:S,"&lt;&gt;ACPT",
'YearA-AppDetails Current Date'!S:S,"&lt;&gt;COND",
'YearA-AppDetails Current Date'!I:I,"FALL"))), "")</f>
        <v/>
      </c>
      <c r="K104" s="73" t="str">
        <f>IFERROR(1/(1/SUM(COUNTIFS(
'YearA-AppDetails Current Date'!A:A,D104,
'YearA-AppDetails Current Date'!F:F,E104,
'YearA-AppDetails Current Date'!E:E,--F104,
'YearA-AppDetails Current Date'!R:R,"&lt;&gt;"&amp;"",
'YearA-AppDetails Current Date'!I:I,"FALL"))), "")</f>
        <v/>
      </c>
      <c r="L104" s="74" t="str" cm="1">
        <f t="array" ref="L104">IFERROR(1/(1/SUM(COUNTIFS(
'YearA-AppDetails Current Date'!A:A,D104,
'YearA-AppDetails Current Date'!F:F,E104,
'YearA-AppDetails Current Date'!E:E,--F104,
'YearA-AppDetails Current Date'!T:T,{"APEX","DENY","NTSL"},
'YearA-AppDetails Current Date'!I:I,"FALL"))), "")</f>
        <v/>
      </c>
      <c r="M104" s="74" t="str" cm="1">
        <f t="array" ref="M104">IFERROR(1/(1/SUM(COUNTIFS(
'YearA-AppDetails Current Date'!A:A,D104,
'YearA-AppDetails Current Date'!F:F,E104,
'YearA-AppDetails Current Date'!E:E,--F104,
'YearA-AppDetails Current Date'!U:U,{"CCAN","DECL"},
'YearA-AppDetails Current Date'!I:I,"FALL"))), "")</f>
        <v/>
      </c>
      <c r="N104" s="74" t="str" cm="1">
        <f t="array" ref="N104">IFERROR(1/(1/SUM(COUNTIFS(
'YearA-AppDetails Current Date'!A:A,D104,
'YearA-AppDetails Current Date'!F:F,E104,
'YearA-AppDetails Current Date'!E:E,--F104,
'YearA-AppDetails Current Date'!V:V,{"APRO","NODE"},
'YearA-AppDetails Current Date'!I:I,"FALL"))), "")</f>
        <v/>
      </c>
      <c r="O104" s="74" t="str" cm="1">
        <f t="array" ref="O104">IFERROR(1/(1/SUM(COUNTIFS(
'YearA-AppDetails Current Date'!A:A,D104,
'YearA-AppDetails Current Date'!F:F,E104,
'YearA-AppDetails Current Date'!E:E,--F104,
'YearA-AppDetails Current Date'!T:T,{"CDMT","RQMT","WAIT"},
'YearA-AppDetails Current Date'!I:I,"FALL"))), "")</f>
        <v/>
      </c>
      <c r="P104" s="74" t="str">
        <f>IFERROR(1/(1/COUNTIFS(
'YearA-AppDetails Current Date'!A:A,D104,
'YearA-AppDetails Current Date'!F:F,E104,
'YearA-AppDetails Current Date'!E:E,--F104,
'YearA-AppDetails Current Date'!Y:Y,"ENRO",
'YearA-AppDetails Current Date'!I:I,"FALL")),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HC'!D:T,4,FALSE)),
N(VLOOKUP(D105&amp;F105,'Budgeted Projections Intl HC'!D:T,5,FALSE))
)
),"")</f>
        <v/>
      </c>
      <c r="I105" s="73" t="str">
        <f>IFERROR(1/(1/COUNTIFS(
'YearA-AppDetails Current Date'!A:A,D105,
'YearA-AppDetails Current Date'!F:F,E105,
'YearA-AppDetails Current Date'!E:E,--F105,
'YearA-AppDetails Current Date'!I:I,"FALL")), "")</f>
        <v/>
      </c>
      <c r="J105" s="74" t="str" cm="1">
        <f t="array" ref="J105">IFERROR(1/(1/SUM(COUNTIFS(
'YearA-AppDetails Current Date'!A:A,D105,
'YearA-AppDetails Current Date'!F:F,E105,
'YearA-AppDetails Current Date'!E:E,--F105,
'YearA-AppDetails Current Date'!O:O,{"ACLN","ACPT","COND"},
'YearA-AppDetails Current Date'!S:S,"&lt;&gt;ACLN",
'YearA-AppDetails Current Date'!S:S,"&lt;&gt;ACPT",
'YearA-AppDetails Current Date'!S:S,"&lt;&gt;COND",
'YearA-AppDetails Current Date'!I:I,"FALL"))), "")</f>
        <v/>
      </c>
      <c r="K105" s="73" t="str">
        <f>IFERROR(1/(1/SUM(COUNTIFS(
'YearA-AppDetails Current Date'!A:A,D105,
'YearA-AppDetails Current Date'!F:F,E105,
'YearA-AppDetails Current Date'!E:E,--F105,
'YearA-AppDetails Current Date'!R:R,"&lt;&gt;"&amp;"",
'YearA-AppDetails Current Date'!I:I,"FALL"))), "")</f>
        <v/>
      </c>
      <c r="L105" s="74" t="str" cm="1">
        <f t="array" ref="L105">IFERROR(1/(1/SUM(COUNTIFS(
'YearA-AppDetails Current Date'!A:A,D105,
'YearA-AppDetails Current Date'!F:F,E105,
'YearA-AppDetails Current Date'!E:E,--F105,
'YearA-AppDetails Current Date'!T:T,{"APEX","DENY","NTSL"},
'YearA-AppDetails Current Date'!I:I,"FALL"))), "")</f>
        <v/>
      </c>
      <c r="M105" s="74" t="str" cm="1">
        <f t="array" ref="M105">IFERROR(1/(1/SUM(COUNTIFS(
'YearA-AppDetails Current Date'!A:A,D105,
'YearA-AppDetails Current Date'!F:F,E105,
'YearA-AppDetails Current Date'!E:E,--F105,
'YearA-AppDetails Current Date'!U:U,{"CCAN","DECL"},
'YearA-AppDetails Current Date'!I:I,"FALL"))), "")</f>
        <v/>
      </c>
      <c r="N105" s="74" t="str" cm="1">
        <f t="array" ref="N105">IFERROR(1/(1/SUM(COUNTIFS(
'YearA-AppDetails Current Date'!A:A,D105,
'YearA-AppDetails Current Date'!F:F,E105,
'YearA-AppDetails Current Date'!E:E,--F105,
'YearA-AppDetails Current Date'!V:V,{"APRO","NODE"},
'YearA-AppDetails Current Date'!I:I,"FALL"))), "")</f>
        <v/>
      </c>
      <c r="O105" s="74" t="str" cm="1">
        <f t="array" ref="O105">IFERROR(1/(1/SUM(COUNTIFS(
'YearA-AppDetails Current Date'!A:A,D105,
'YearA-AppDetails Current Date'!F:F,E105,
'YearA-AppDetails Current Date'!E:E,--F105,
'YearA-AppDetails Current Date'!T:T,{"CDMT","RQMT","WAIT"},
'YearA-AppDetails Current Date'!I:I,"FALL"))), "")</f>
        <v/>
      </c>
      <c r="P105" s="74" t="str">
        <f>IFERROR(1/(1/COUNTIFS(
'YearA-AppDetails Current Date'!A:A,D105,
'YearA-AppDetails Current Date'!F:F,E105,
'YearA-AppDetails Current Date'!E:E,--F105,
'YearA-AppDetails Current Date'!Y:Y,"ENRO",
'YearA-AppDetails Current Date'!I:I,"FALL")),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HC'!D:T,4,FALSE)),
N(VLOOKUP(D106&amp;F106,'Budgeted Projections Dom HC'!D:T,5,FALSE))
)
),"")</f>
        <v/>
      </c>
      <c r="I106" s="73" t="str">
        <f>IFERROR(1/(1/COUNTIFS(
'YearA-AppDetails Current Date'!A:A,D106,
'YearA-AppDetails Current Date'!F:F,E106,
'YearA-AppDetails Current Date'!E:E,--F106,
'YearA-AppDetails Current Date'!I:I,"FALL")), "")</f>
        <v/>
      </c>
      <c r="J106" s="74" t="str" cm="1">
        <f t="array" ref="J106">IFERROR(1/(1/SUM(COUNTIFS(
'YearA-AppDetails Current Date'!A:A,D106,
'YearA-AppDetails Current Date'!F:F,E106,
'YearA-AppDetails Current Date'!E:E,--F106,
'YearA-AppDetails Current Date'!O:O,{"ACLN","ACPT","COND"},
'YearA-AppDetails Current Date'!S:S,"&lt;&gt;ACLN",
'YearA-AppDetails Current Date'!S:S,"&lt;&gt;ACPT",
'YearA-AppDetails Current Date'!S:S,"&lt;&gt;COND",
'YearA-AppDetails Current Date'!I:I,"FALL"))), "")</f>
        <v/>
      </c>
      <c r="K106" s="73" t="str">
        <f>IFERROR(1/(1/SUM(COUNTIFS(
'YearA-AppDetails Current Date'!A:A,D106,
'YearA-AppDetails Current Date'!F:F,E106,
'YearA-AppDetails Current Date'!E:E,--F106,
'YearA-AppDetails Current Date'!R:R,"&lt;&gt;"&amp;"",
'YearA-AppDetails Current Date'!I:I,"FALL"))), "")</f>
        <v/>
      </c>
      <c r="L106" s="74" t="str" cm="1">
        <f t="array" ref="L106">IFERROR(1/(1/SUM(COUNTIFS(
'YearA-AppDetails Current Date'!A:A,D106,
'YearA-AppDetails Current Date'!F:F,E106,
'YearA-AppDetails Current Date'!E:E,--F106,
'YearA-AppDetails Current Date'!T:T,{"APEX","DENY","NTSL"},
'YearA-AppDetails Current Date'!I:I,"FALL"))), "")</f>
        <v/>
      </c>
      <c r="M106" s="74" t="str" cm="1">
        <f t="array" ref="M106">IFERROR(1/(1/SUM(COUNTIFS(
'YearA-AppDetails Current Date'!A:A,D106,
'YearA-AppDetails Current Date'!F:F,E106,
'YearA-AppDetails Current Date'!E:E,--F106,
'YearA-AppDetails Current Date'!U:U,{"CCAN","DECL"},
'YearA-AppDetails Current Date'!I:I,"FALL"))), "")</f>
        <v/>
      </c>
      <c r="N106" s="74" t="str" cm="1">
        <f t="array" ref="N106">IFERROR(1/(1/SUM(COUNTIFS(
'YearA-AppDetails Current Date'!A:A,D106,
'YearA-AppDetails Current Date'!F:F,E106,
'YearA-AppDetails Current Date'!E:E,--F106,
'YearA-AppDetails Current Date'!V:V,{"APRO","NODE"},
'YearA-AppDetails Current Date'!I:I,"FALL"))), "")</f>
        <v/>
      </c>
      <c r="O106" s="74" t="str" cm="1">
        <f t="array" ref="O106">IFERROR(1/(1/SUM(COUNTIFS(
'YearA-AppDetails Current Date'!A:A,D106,
'YearA-AppDetails Current Date'!F:F,E106,
'YearA-AppDetails Current Date'!E:E,--F106,
'YearA-AppDetails Current Date'!T:T,{"CDMT","RQMT","WAIT"},
'YearA-AppDetails Current Date'!I:I,"FALL"))), "")</f>
        <v/>
      </c>
      <c r="P106" s="74" t="str">
        <f>IFERROR(1/(1/COUNTIFS(
'YearA-AppDetails Current Date'!A:A,D106,
'YearA-AppDetails Current Date'!F:F,E106,
'YearA-AppDetails Current Date'!E:E,--F106,
'YearA-AppDetails Current Date'!Y:Y,"ENRO",
'YearA-AppDetails Current Date'!I:I,"FALL")),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HC'!D:T,4,FALSE)),
N(VLOOKUP(D107&amp;F107,'Budgeted Projections Intl HC'!D:T,5,FALSE))
)
),"")</f>
        <v/>
      </c>
      <c r="I107" s="73" t="str">
        <f>IFERROR(1/(1/COUNTIFS(
'YearA-AppDetails Current Date'!A:A,D107,
'YearA-AppDetails Current Date'!F:F,E107,
'YearA-AppDetails Current Date'!E:E,--F107,
'YearA-AppDetails Current Date'!I:I,"FALL")), "")</f>
        <v/>
      </c>
      <c r="J107" s="74" t="str" cm="1">
        <f t="array" ref="J107">IFERROR(1/(1/SUM(COUNTIFS(
'YearA-AppDetails Current Date'!A:A,D107,
'YearA-AppDetails Current Date'!F:F,E107,
'YearA-AppDetails Current Date'!E:E,--F107,
'YearA-AppDetails Current Date'!O:O,{"ACLN","ACPT","COND"},
'YearA-AppDetails Current Date'!S:S,"&lt;&gt;ACLN",
'YearA-AppDetails Current Date'!S:S,"&lt;&gt;ACPT",
'YearA-AppDetails Current Date'!S:S,"&lt;&gt;COND",
'YearA-AppDetails Current Date'!I:I,"FALL"))), "")</f>
        <v/>
      </c>
      <c r="K107" s="73" t="str">
        <f>IFERROR(1/(1/SUM(COUNTIFS(
'YearA-AppDetails Current Date'!A:A,D107,
'YearA-AppDetails Current Date'!F:F,E107,
'YearA-AppDetails Current Date'!E:E,--F107,
'YearA-AppDetails Current Date'!R:R,"&lt;&gt;"&amp;"",
'YearA-AppDetails Current Date'!I:I,"FALL"))), "")</f>
        <v/>
      </c>
      <c r="L107" s="74" t="str" cm="1">
        <f t="array" ref="L107">IFERROR(1/(1/SUM(COUNTIFS(
'YearA-AppDetails Current Date'!A:A,D107,
'YearA-AppDetails Current Date'!F:F,E107,
'YearA-AppDetails Current Date'!E:E,--F107,
'YearA-AppDetails Current Date'!T:T,{"APEX","DENY","NTSL"},
'YearA-AppDetails Current Date'!I:I,"FALL"))), "")</f>
        <v/>
      </c>
      <c r="M107" s="74" t="str" cm="1">
        <f t="array" ref="M107">IFERROR(1/(1/SUM(COUNTIFS(
'YearA-AppDetails Current Date'!A:A,D107,
'YearA-AppDetails Current Date'!F:F,E107,
'YearA-AppDetails Current Date'!E:E,--F107,
'YearA-AppDetails Current Date'!U:U,{"CCAN","DECL"},
'YearA-AppDetails Current Date'!I:I,"FALL"))), "")</f>
        <v/>
      </c>
      <c r="N107" s="74" t="str" cm="1">
        <f t="array" ref="N107">IFERROR(1/(1/SUM(COUNTIFS(
'YearA-AppDetails Current Date'!A:A,D107,
'YearA-AppDetails Current Date'!F:F,E107,
'YearA-AppDetails Current Date'!E:E,--F107,
'YearA-AppDetails Current Date'!V:V,{"APRO","NODE"},
'YearA-AppDetails Current Date'!I:I,"FALL"))), "")</f>
        <v/>
      </c>
      <c r="O107" s="74" t="str" cm="1">
        <f t="array" ref="O107">IFERROR(1/(1/SUM(COUNTIFS(
'YearA-AppDetails Current Date'!A:A,D107,
'YearA-AppDetails Current Date'!F:F,E107,
'YearA-AppDetails Current Date'!E:E,--F107,
'YearA-AppDetails Current Date'!T:T,{"CDMT","RQMT","WAIT"},
'YearA-AppDetails Current Date'!I:I,"FALL"))), "")</f>
        <v/>
      </c>
      <c r="P107" s="74" t="str">
        <f>IFERROR(1/(1/COUNTIFS(
'YearA-AppDetails Current Date'!A:A,D107,
'YearA-AppDetails Current Date'!F:F,E107,
'YearA-AppDetails Current Date'!E:E,--F107,
'YearA-AppDetails Current Date'!Y:Y,"ENRO",
'YearA-AppDetails Current Date'!I:I,"FALL")),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HC'!D:T,4,FALSE)),
N(VLOOKUP(D108&amp;F108,'Budgeted Projections Dom HC'!D:T,5,FALSE))
)
),"")</f>
        <v/>
      </c>
      <c r="I108" s="73" t="str">
        <f>IFERROR(1/(1/COUNTIFS(
'YearA-AppDetails Current Date'!A:A,D108,
'YearA-AppDetails Current Date'!F:F,E108,
'YearA-AppDetails Current Date'!E:E,--F108,
'YearA-AppDetails Current Date'!I:I,"FALL")), "")</f>
        <v/>
      </c>
      <c r="J108" s="74" t="str" cm="1">
        <f t="array" ref="J108">IFERROR(1/(1/SUM(COUNTIFS(
'YearA-AppDetails Current Date'!A:A,D108,
'YearA-AppDetails Current Date'!F:F,E108,
'YearA-AppDetails Current Date'!E:E,--F108,
'YearA-AppDetails Current Date'!O:O,{"ACLN","ACPT","COND"},
'YearA-AppDetails Current Date'!S:S,"&lt;&gt;ACLN",
'YearA-AppDetails Current Date'!S:S,"&lt;&gt;ACPT",
'YearA-AppDetails Current Date'!S:S,"&lt;&gt;COND",
'YearA-AppDetails Current Date'!I:I,"FALL"))), "")</f>
        <v/>
      </c>
      <c r="K108" s="73" t="str">
        <f>IFERROR(1/(1/SUM(COUNTIFS(
'YearA-AppDetails Current Date'!A:A,D108,
'YearA-AppDetails Current Date'!F:F,E108,
'YearA-AppDetails Current Date'!E:E,--F108,
'YearA-AppDetails Current Date'!R:R,"&lt;&gt;"&amp;"",
'YearA-AppDetails Current Date'!I:I,"FALL"))), "")</f>
        <v/>
      </c>
      <c r="L108" s="74" t="str" cm="1">
        <f t="array" ref="L108">IFERROR(1/(1/SUM(COUNTIFS(
'YearA-AppDetails Current Date'!A:A,D108,
'YearA-AppDetails Current Date'!F:F,E108,
'YearA-AppDetails Current Date'!E:E,--F108,
'YearA-AppDetails Current Date'!T:T,{"APEX","DENY","NTSL"},
'YearA-AppDetails Current Date'!I:I,"FALL"))), "")</f>
        <v/>
      </c>
      <c r="M108" s="74" t="str" cm="1">
        <f t="array" ref="M108">IFERROR(1/(1/SUM(COUNTIFS(
'YearA-AppDetails Current Date'!A:A,D108,
'YearA-AppDetails Current Date'!F:F,E108,
'YearA-AppDetails Current Date'!E:E,--F108,
'YearA-AppDetails Current Date'!U:U,{"CCAN","DECL"},
'YearA-AppDetails Current Date'!I:I,"FALL"))), "")</f>
        <v/>
      </c>
      <c r="N108" s="74" t="str" cm="1">
        <f t="array" ref="N108">IFERROR(1/(1/SUM(COUNTIFS(
'YearA-AppDetails Current Date'!A:A,D108,
'YearA-AppDetails Current Date'!F:F,E108,
'YearA-AppDetails Current Date'!E:E,--F108,
'YearA-AppDetails Current Date'!V:V,{"APRO","NODE"},
'YearA-AppDetails Current Date'!I:I,"FALL"))), "")</f>
        <v/>
      </c>
      <c r="O108" s="74" t="str" cm="1">
        <f t="array" ref="O108">IFERROR(1/(1/SUM(COUNTIFS(
'YearA-AppDetails Current Date'!A:A,D108,
'YearA-AppDetails Current Date'!F:F,E108,
'YearA-AppDetails Current Date'!E:E,--F108,
'YearA-AppDetails Current Date'!T:T,{"CDMT","RQMT","WAIT"},
'YearA-AppDetails Current Date'!I:I,"FALL"))), "")</f>
        <v/>
      </c>
      <c r="P108" s="74" t="str">
        <f>IFERROR(1/(1/COUNTIFS(
'YearA-AppDetails Current Date'!A:A,D108,
'YearA-AppDetails Current Date'!F:F,E108,
'YearA-AppDetails Current Date'!E:E,--F108,
'YearA-AppDetails Current Date'!Y:Y,"ENRO",
'YearA-AppDetails Current Date'!I:I,"FALL")),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HC'!D:T,4,FALSE)),
N(VLOOKUP(D109&amp;F109,'Budgeted Projections Intl HC'!D:T,5,FALSE))
)
),"")</f>
        <v/>
      </c>
      <c r="I109" s="73" t="str">
        <f>IFERROR(1/(1/COUNTIFS(
'YearA-AppDetails Current Date'!A:A,D109,
'YearA-AppDetails Current Date'!F:F,E109,
'YearA-AppDetails Current Date'!E:E,--F109,
'YearA-AppDetails Current Date'!I:I,"FALL")), "")</f>
        <v/>
      </c>
      <c r="J109" s="74" t="str" cm="1">
        <f t="array" ref="J109">IFERROR(1/(1/SUM(COUNTIFS(
'YearA-AppDetails Current Date'!A:A,D109,
'YearA-AppDetails Current Date'!F:F,E109,
'YearA-AppDetails Current Date'!E:E,--F109,
'YearA-AppDetails Current Date'!O:O,{"ACLN","ACPT","COND"},
'YearA-AppDetails Current Date'!S:S,"&lt;&gt;ACLN",
'YearA-AppDetails Current Date'!S:S,"&lt;&gt;ACPT",
'YearA-AppDetails Current Date'!S:S,"&lt;&gt;COND",
'YearA-AppDetails Current Date'!I:I,"FALL"))), "")</f>
        <v/>
      </c>
      <c r="K109" s="73" t="str">
        <f>IFERROR(1/(1/SUM(COUNTIFS(
'YearA-AppDetails Current Date'!A:A,D109,
'YearA-AppDetails Current Date'!F:F,E109,
'YearA-AppDetails Current Date'!E:E,--F109,
'YearA-AppDetails Current Date'!R:R,"&lt;&gt;"&amp;"",
'YearA-AppDetails Current Date'!I:I,"FALL"))), "")</f>
        <v/>
      </c>
      <c r="L109" s="74" t="str" cm="1">
        <f t="array" ref="L109">IFERROR(1/(1/SUM(COUNTIFS(
'YearA-AppDetails Current Date'!A:A,D109,
'YearA-AppDetails Current Date'!F:F,E109,
'YearA-AppDetails Current Date'!E:E,--F109,
'YearA-AppDetails Current Date'!T:T,{"APEX","DENY","NTSL"},
'YearA-AppDetails Current Date'!I:I,"FALL"))), "")</f>
        <v/>
      </c>
      <c r="M109" s="74" t="str" cm="1">
        <f t="array" ref="M109">IFERROR(1/(1/SUM(COUNTIFS(
'YearA-AppDetails Current Date'!A:A,D109,
'YearA-AppDetails Current Date'!F:F,E109,
'YearA-AppDetails Current Date'!E:E,--F109,
'YearA-AppDetails Current Date'!U:U,{"CCAN","DECL"},
'YearA-AppDetails Current Date'!I:I,"FALL"))), "")</f>
        <v/>
      </c>
      <c r="N109" s="74" t="str" cm="1">
        <f t="array" ref="N109">IFERROR(1/(1/SUM(COUNTIFS(
'YearA-AppDetails Current Date'!A:A,D109,
'YearA-AppDetails Current Date'!F:F,E109,
'YearA-AppDetails Current Date'!E:E,--F109,
'YearA-AppDetails Current Date'!V:V,{"APRO","NODE"},
'YearA-AppDetails Current Date'!I:I,"FALL"))), "")</f>
        <v/>
      </c>
      <c r="O109" s="74" t="str" cm="1">
        <f t="array" ref="O109">IFERROR(1/(1/SUM(COUNTIFS(
'YearA-AppDetails Current Date'!A:A,D109,
'YearA-AppDetails Current Date'!F:F,E109,
'YearA-AppDetails Current Date'!E:E,--F109,
'YearA-AppDetails Current Date'!T:T,{"CDMT","RQMT","WAIT"},
'YearA-AppDetails Current Date'!I:I,"FALL"))), "")</f>
        <v/>
      </c>
      <c r="P109" s="74" t="str">
        <f>IFERROR(1/(1/COUNTIFS(
'YearA-AppDetails Current Date'!A:A,D109,
'YearA-AppDetails Current Date'!F:F,E109,
'YearA-AppDetails Current Date'!E:E,--F109,
'YearA-AppDetails Current Date'!Y:Y,"ENRO",
'YearA-AppDetails Current Date'!I:I,"FALL")),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HC'!D:T,4,FALSE)),
N(VLOOKUP(D110&amp;F110,'Budgeted Projections Dom HC'!D:T,5,FALSE))
)
),"")</f>
        <v/>
      </c>
      <c r="I110" s="73" t="str">
        <f>IFERROR(1/(1/COUNTIFS(
'YearA-AppDetails Current Date'!A:A,D110,
'YearA-AppDetails Current Date'!F:F,E110,
'YearA-AppDetails Current Date'!E:E,--F110,
'YearA-AppDetails Current Date'!I:I,"FALL")), "")</f>
        <v/>
      </c>
      <c r="J110" s="74" t="str" cm="1">
        <f t="array" ref="J110">IFERROR(1/(1/SUM(COUNTIFS(
'YearA-AppDetails Current Date'!A:A,D110,
'YearA-AppDetails Current Date'!F:F,E110,
'YearA-AppDetails Current Date'!E:E,--F110,
'YearA-AppDetails Current Date'!O:O,{"ACLN","ACPT","COND"},
'YearA-AppDetails Current Date'!S:S,"&lt;&gt;ACLN",
'YearA-AppDetails Current Date'!S:S,"&lt;&gt;ACPT",
'YearA-AppDetails Current Date'!S:S,"&lt;&gt;COND",
'YearA-AppDetails Current Date'!I:I,"FALL"))), "")</f>
        <v/>
      </c>
      <c r="K110" s="73" t="str">
        <f>IFERROR(1/(1/SUM(COUNTIFS(
'YearA-AppDetails Current Date'!A:A,D110,
'YearA-AppDetails Current Date'!F:F,E110,
'YearA-AppDetails Current Date'!E:E,--F110,
'YearA-AppDetails Current Date'!R:R,"&lt;&gt;"&amp;"",
'YearA-AppDetails Current Date'!I:I,"FALL"))), "")</f>
        <v/>
      </c>
      <c r="L110" s="74" t="str" cm="1">
        <f t="array" ref="L110">IFERROR(1/(1/SUM(COUNTIFS(
'YearA-AppDetails Current Date'!A:A,D110,
'YearA-AppDetails Current Date'!F:F,E110,
'YearA-AppDetails Current Date'!E:E,--F110,
'YearA-AppDetails Current Date'!T:T,{"APEX","DENY","NTSL"},
'YearA-AppDetails Current Date'!I:I,"FALL"))), "")</f>
        <v/>
      </c>
      <c r="M110" s="74" t="str" cm="1">
        <f t="array" ref="M110">IFERROR(1/(1/SUM(COUNTIFS(
'YearA-AppDetails Current Date'!A:A,D110,
'YearA-AppDetails Current Date'!F:F,E110,
'YearA-AppDetails Current Date'!E:E,--F110,
'YearA-AppDetails Current Date'!U:U,{"CCAN","DECL"},
'YearA-AppDetails Current Date'!I:I,"FALL"))), "")</f>
        <v/>
      </c>
      <c r="N110" s="74" t="str" cm="1">
        <f t="array" ref="N110">IFERROR(1/(1/SUM(COUNTIFS(
'YearA-AppDetails Current Date'!A:A,D110,
'YearA-AppDetails Current Date'!F:F,E110,
'YearA-AppDetails Current Date'!E:E,--F110,
'YearA-AppDetails Current Date'!V:V,{"APRO","NODE"},
'YearA-AppDetails Current Date'!I:I,"FALL"))), "")</f>
        <v/>
      </c>
      <c r="O110" s="74" t="str" cm="1">
        <f t="array" ref="O110">IFERROR(1/(1/SUM(COUNTIFS(
'YearA-AppDetails Current Date'!A:A,D110,
'YearA-AppDetails Current Date'!F:F,E110,
'YearA-AppDetails Current Date'!E:E,--F110,
'YearA-AppDetails Current Date'!T:T,{"CDMT","RQMT","WAIT"},
'YearA-AppDetails Current Date'!I:I,"FALL"))), "")</f>
        <v/>
      </c>
      <c r="P110" s="74" t="str">
        <f>IFERROR(1/(1/COUNTIFS(
'YearA-AppDetails Current Date'!A:A,D110,
'YearA-AppDetails Current Date'!F:F,E110,
'YearA-AppDetails Current Date'!E:E,--F110,
'YearA-AppDetails Current Date'!Y:Y,"ENRO",
'YearA-AppDetails Current Date'!I:I,"FALL")),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HC'!D:T,4,FALSE)),
N(VLOOKUP(D111&amp;F111,'Budgeted Projections Intl HC'!D:T,5,FALSE))
)
),"")</f>
        <v/>
      </c>
      <c r="I111" s="73" t="str">
        <f>IFERROR(1/(1/COUNTIFS(
'YearA-AppDetails Current Date'!A:A,D111,
'YearA-AppDetails Current Date'!F:F,E111,
'YearA-AppDetails Current Date'!E:E,--F111,
'YearA-AppDetails Current Date'!I:I,"FALL")), "")</f>
        <v/>
      </c>
      <c r="J111" s="74" t="str" cm="1">
        <f t="array" ref="J111">IFERROR(1/(1/SUM(COUNTIFS(
'YearA-AppDetails Current Date'!A:A,D111,
'YearA-AppDetails Current Date'!F:F,E111,
'YearA-AppDetails Current Date'!E:E,--F111,
'YearA-AppDetails Current Date'!O:O,{"ACLN","ACPT","COND"},
'YearA-AppDetails Current Date'!S:S,"&lt;&gt;ACLN",
'YearA-AppDetails Current Date'!S:S,"&lt;&gt;ACPT",
'YearA-AppDetails Current Date'!S:S,"&lt;&gt;COND",
'YearA-AppDetails Current Date'!I:I,"FALL"))), "")</f>
        <v/>
      </c>
      <c r="K111" s="73" t="str">
        <f>IFERROR(1/(1/SUM(COUNTIFS(
'YearA-AppDetails Current Date'!A:A,D111,
'YearA-AppDetails Current Date'!F:F,E111,
'YearA-AppDetails Current Date'!E:E,--F111,
'YearA-AppDetails Current Date'!R:R,"&lt;&gt;"&amp;"",
'YearA-AppDetails Current Date'!I:I,"FALL"))), "")</f>
        <v/>
      </c>
      <c r="L111" s="74" t="str" cm="1">
        <f t="array" ref="L111">IFERROR(1/(1/SUM(COUNTIFS(
'YearA-AppDetails Current Date'!A:A,D111,
'YearA-AppDetails Current Date'!F:F,E111,
'YearA-AppDetails Current Date'!E:E,--F111,
'YearA-AppDetails Current Date'!T:T,{"APEX","DENY","NTSL"},
'YearA-AppDetails Current Date'!I:I,"FALL"))), "")</f>
        <v/>
      </c>
      <c r="M111" s="74" t="str" cm="1">
        <f t="array" ref="M111">IFERROR(1/(1/SUM(COUNTIFS(
'YearA-AppDetails Current Date'!A:A,D111,
'YearA-AppDetails Current Date'!F:F,E111,
'YearA-AppDetails Current Date'!E:E,--F111,
'YearA-AppDetails Current Date'!U:U,{"CCAN","DECL"},
'YearA-AppDetails Current Date'!I:I,"FALL"))), "")</f>
        <v/>
      </c>
      <c r="N111" s="74" t="str" cm="1">
        <f t="array" ref="N111">IFERROR(1/(1/SUM(COUNTIFS(
'YearA-AppDetails Current Date'!A:A,D111,
'YearA-AppDetails Current Date'!F:F,E111,
'YearA-AppDetails Current Date'!E:E,--F111,
'YearA-AppDetails Current Date'!V:V,{"APRO","NODE"},
'YearA-AppDetails Current Date'!I:I,"FALL"))), "")</f>
        <v/>
      </c>
      <c r="O111" s="74" t="str" cm="1">
        <f t="array" ref="O111">IFERROR(1/(1/SUM(COUNTIFS(
'YearA-AppDetails Current Date'!A:A,D111,
'YearA-AppDetails Current Date'!F:F,E111,
'YearA-AppDetails Current Date'!E:E,--F111,
'YearA-AppDetails Current Date'!T:T,{"CDMT","RQMT","WAIT"},
'YearA-AppDetails Current Date'!I:I,"FALL"))), "")</f>
        <v/>
      </c>
      <c r="P111" s="74" t="str">
        <f>IFERROR(1/(1/COUNTIFS(
'YearA-AppDetails Current Date'!A:A,D111,
'YearA-AppDetails Current Date'!F:F,E111,
'YearA-AppDetails Current Date'!E:E,--F111,
'YearA-AppDetails Current Date'!Y:Y,"ENRO",
'YearA-AppDetails Current Date'!I:I,"FALL")),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HC'!D:T,4,FALSE)),
N(VLOOKUP(D112&amp;F112,'Budgeted Projections Dom HC'!D:T,5,FALSE))
)
),"")</f>
        <v/>
      </c>
      <c r="I112" s="73" t="str">
        <f>IFERROR(1/(1/COUNTIFS(
'YearA-AppDetails Current Date'!A:A,D112,
'YearA-AppDetails Current Date'!F:F,E112,
'YearA-AppDetails Current Date'!E:E,--F112,
'YearA-AppDetails Current Date'!I:I,"FALL")), "")</f>
        <v/>
      </c>
      <c r="J112" s="74" t="str" cm="1">
        <f t="array" ref="J112">IFERROR(1/(1/SUM(COUNTIFS(
'YearA-AppDetails Current Date'!A:A,D112,
'YearA-AppDetails Current Date'!F:F,E112,
'YearA-AppDetails Current Date'!E:E,--F112,
'YearA-AppDetails Current Date'!O:O,{"ACLN","ACPT","COND"},
'YearA-AppDetails Current Date'!S:S,"&lt;&gt;ACLN",
'YearA-AppDetails Current Date'!S:S,"&lt;&gt;ACPT",
'YearA-AppDetails Current Date'!S:S,"&lt;&gt;COND",
'YearA-AppDetails Current Date'!I:I,"FALL"))), "")</f>
        <v/>
      </c>
      <c r="K112" s="73" t="str">
        <f>IFERROR(1/(1/SUM(COUNTIFS(
'YearA-AppDetails Current Date'!A:A,D112,
'YearA-AppDetails Current Date'!F:F,E112,
'YearA-AppDetails Current Date'!E:E,--F112,
'YearA-AppDetails Current Date'!R:R,"&lt;&gt;"&amp;"",
'YearA-AppDetails Current Date'!I:I,"FALL"))), "")</f>
        <v/>
      </c>
      <c r="L112" s="74" t="str" cm="1">
        <f t="array" ref="L112">IFERROR(1/(1/SUM(COUNTIFS(
'YearA-AppDetails Current Date'!A:A,D112,
'YearA-AppDetails Current Date'!F:F,E112,
'YearA-AppDetails Current Date'!E:E,--F112,
'YearA-AppDetails Current Date'!T:T,{"APEX","DENY","NTSL"},
'YearA-AppDetails Current Date'!I:I,"FALL"))), "")</f>
        <v/>
      </c>
      <c r="M112" s="74" t="str" cm="1">
        <f t="array" ref="M112">IFERROR(1/(1/SUM(COUNTIFS(
'YearA-AppDetails Current Date'!A:A,D112,
'YearA-AppDetails Current Date'!F:F,E112,
'YearA-AppDetails Current Date'!E:E,--F112,
'YearA-AppDetails Current Date'!U:U,{"CCAN","DECL"},
'YearA-AppDetails Current Date'!I:I,"FALL"))), "")</f>
        <v/>
      </c>
      <c r="N112" s="74" t="str" cm="1">
        <f t="array" ref="N112">IFERROR(1/(1/SUM(COUNTIFS(
'YearA-AppDetails Current Date'!A:A,D112,
'YearA-AppDetails Current Date'!F:F,E112,
'YearA-AppDetails Current Date'!E:E,--F112,
'YearA-AppDetails Current Date'!V:V,{"APRO","NODE"},
'YearA-AppDetails Current Date'!I:I,"FALL"))), "")</f>
        <v/>
      </c>
      <c r="O112" s="74" t="str" cm="1">
        <f t="array" ref="O112">IFERROR(1/(1/SUM(COUNTIFS(
'YearA-AppDetails Current Date'!A:A,D112,
'YearA-AppDetails Current Date'!F:F,E112,
'YearA-AppDetails Current Date'!E:E,--F112,
'YearA-AppDetails Current Date'!T:T,{"CDMT","RQMT","WAIT"},
'YearA-AppDetails Current Date'!I:I,"FALL"))), "")</f>
        <v/>
      </c>
      <c r="P112" s="74" t="str">
        <f>IFERROR(1/(1/COUNTIFS(
'YearA-AppDetails Current Date'!A:A,D112,
'YearA-AppDetails Current Date'!F:F,E112,
'YearA-AppDetails Current Date'!E:E,--F112,
'YearA-AppDetails Current Date'!Y:Y,"ENRO",
'YearA-AppDetails Current Date'!I:I,"FALL")),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HC'!D:T,4,FALSE)),
N(VLOOKUP(D113&amp;F113,'Budgeted Projections Intl HC'!D:T,5,FALSE))
)
),"")</f>
        <v/>
      </c>
      <c r="I113" s="73" t="str">
        <f>IFERROR(1/(1/COUNTIFS(
'YearA-AppDetails Current Date'!A:A,D113,
'YearA-AppDetails Current Date'!F:F,E113,
'YearA-AppDetails Current Date'!E:E,--F113,
'YearA-AppDetails Current Date'!I:I,"FALL")), "")</f>
        <v/>
      </c>
      <c r="J113" s="74" t="str" cm="1">
        <f t="array" ref="J113">IFERROR(1/(1/SUM(COUNTIFS(
'YearA-AppDetails Current Date'!A:A,D113,
'YearA-AppDetails Current Date'!F:F,E113,
'YearA-AppDetails Current Date'!E:E,--F113,
'YearA-AppDetails Current Date'!O:O,{"ACLN","ACPT","COND"},
'YearA-AppDetails Current Date'!S:S,"&lt;&gt;ACLN",
'YearA-AppDetails Current Date'!S:S,"&lt;&gt;ACPT",
'YearA-AppDetails Current Date'!S:S,"&lt;&gt;COND",
'YearA-AppDetails Current Date'!I:I,"FALL"))), "")</f>
        <v/>
      </c>
      <c r="K113" s="73" t="str">
        <f>IFERROR(1/(1/SUM(COUNTIFS(
'YearA-AppDetails Current Date'!A:A,D113,
'YearA-AppDetails Current Date'!F:F,E113,
'YearA-AppDetails Current Date'!E:E,--F113,
'YearA-AppDetails Current Date'!R:R,"&lt;&gt;"&amp;"",
'YearA-AppDetails Current Date'!I:I,"FALL"))), "")</f>
        <v/>
      </c>
      <c r="L113" s="74" t="str" cm="1">
        <f t="array" ref="L113">IFERROR(1/(1/SUM(COUNTIFS(
'YearA-AppDetails Current Date'!A:A,D113,
'YearA-AppDetails Current Date'!F:F,E113,
'YearA-AppDetails Current Date'!E:E,--F113,
'YearA-AppDetails Current Date'!T:T,{"APEX","DENY","NTSL"},
'YearA-AppDetails Current Date'!I:I,"FALL"))), "")</f>
        <v/>
      </c>
      <c r="M113" s="74" t="str" cm="1">
        <f t="array" ref="M113">IFERROR(1/(1/SUM(COUNTIFS(
'YearA-AppDetails Current Date'!A:A,D113,
'YearA-AppDetails Current Date'!F:F,E113,
'YearA-AppDetails Current Date'!E:E,--F113,
'YearA-AppDetails Current Date'!U:U,{"CCAN","DECL"},
'YearA-AppDetails Current Date'!I:I,"FALL"))), "")</f>
        <v/>
      </c>
      <c r="N113" s="74" t="str" cm="1">
        <f t="array" ref="N113">IFERROR(1/(1/SUM(COUNTIFS(
'YearA-AppDetails Current Date'!A:A,D113,
'YearA-AppDetails Current Date'!F:F,E113,
'YearA-AppDetails Current Date'!E:E,--F113,
'YearA-AppDetails Current Date'!V:V,{"APRO","NODE"},
'YearA-AppDetails Current Date'!I:I,"FALL"))), "")</f>
        <v/>
      </c>
      <c r="O113" s="74" t="str" cm="1">
        <f t="array" ref="O113">IFERROR(1/(1/SUM(COUNTIFS(
'YearA-AppDetails Current Date'!A:A,D113,
'YearA-AppDetails Current Date'!F:F,E113,
'YearA-AppDetails Current Date'!E:E,--F113,
'YearA-AppDetails Current Date'!T:T,{"CDMT","RQMT","WAIT"},
'YearA-AppDetails Current Date'!I:I,"FALL"))), "")</f>
        <v/>
      </c>
      <c r="P113" s="74" t="str">
        <f>IFERROR(1/(1/COUNTIFS(
'YearA-AppDetails Current Date'!A:A,D113,
'YearA-AppDetails Current Date'!F:F,E113,
'YearA-AppDetails Current Date'!E:E,--F113,
'YearA-AppDetails Current Date'!Y:Y,"ENRO",
'YearA-AppDetails Current Date'!I:I,"FALL")),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HC'!D:T,4,FALSE)),
N(VLOOKUP(D114&amp;F114,'Budgeted Projections Dom HC'!D:T,5,FALSE))
)
),"")</f>
        <v/>
      </c>
      <c r="I114" s="73" t="str">
        <f>IFERROR(1/(1/COUNTIFS(
'YearA-AppDetails Current Date'!A:A,D114,
'YearA-AppDetails Current Date'!F:F,E114,
'YearA-AppDetails Current Date'!E:E,--F114,
'YearA-AppDetails Current Date'!I:I,"FALL")), "")</f>
        <v/>
      </c>
      <c r="J114" s="74" t="str" cm="1">
        <f t="array" ref="J114">IFERROR(1/(1/SUM(COUNTIFS(
'YearA-AppDetails Current Date'!A:A,D114,
'YearA-AppDetails Current Date'!F:F,E114,
'YearA-AppDetails Current Date'!E:E,--F114,
'YearA-AppDetails Current Date'!O:O,{"ACLN","ACPT","COND"},
'YearA-AppDetails Current Date'!S:S,"&lt;&gt;ACLN",
'YearA-AppDetails Current Date'!S:S,"&lt;&gt;ACPT",
'YearA-AppDetails Current Date'!S:S,"&lt;&gt;COND",
'YearA-AppDetails Current Date'!I:I,"FALL"))), "")</f>
        <v/>
      </c>
      <c r="K114" s="73" t="str">
        <f>IFERROR(1/(1/SUM(COUNTIFS(
'YearA-AppDetails Current Date'!A:A,D114,
'YearA-AppDetails Current Date'!F:F,E114,
'YearA-AppDetails Current Date'!E:E,--F114,
'YearA-AppDetails Current Date'!R:R,"&lt;&gt;"&amp;"",
'YearA-AppDetails Current Date'!I:I,"FALL"))), "")</f>
        <v/>
      </c>
      <c r="L114" s="74" t="str" cm="1">
        <f t="array" ref="L114">IFERROR(1/(1/SUM(COUNTIFS(
'YearA-AppDetails Current Date'!A:A,D114,
'YearA-AppDetails Current Date'!F:F,E114,
'YearA-AppDetails Current Date'!E:E,--F114,
'YearA-AppDetails Current Date'!T:T,{"APEX","DENY","NTSL"},
'YearA-AppDetails Current Date'!I:I,"FALL"))), "")</f>
        <v/>
      </c>
      <c r="M114" s="74" t="str" cm="1">
        <f t="array" ref="M114">IFERROR(1/(1/SUM(COUNTIFS(
'YearA-AppDetails Current Date'!A:A,D114,
'YearA-AppDetails Current Date'!F:F,E114,
'YearA-AppDetails Current Date'!E:E,--F114,
'YearA-AppDetails Current Date'!U:U,{"CCAN","DECL"},
'YearA-AppDetails Current Date'!I:I,"FALL"))), "")</f>
        <v/>
      </c>
      <c r="N114" s="74" t="str" cm="1">
        <f t="array" ref="N114">IFERROR(1/(1/SUM(COUNTIFS(
'YearA-AppDetails Current Date'!A:A,D114,
'YearA-AppDetails Current Date'!F:F,E114,
'YearA-AppDetails Current Date'!E:E,--F114,
'YearA-AppDetails Current Date'!V:V,{"APRO","NODE"},
'YearA-AppDetails Current Date'!I:I,"FALL"))), "")</f>
        <v/>
      </c>
      <c r="O114" s="74" t="str" cm="1">
        <f t="array" ref="O114">IFERROR(1/(1/SUM(COUNTIFS(
'YearA-AppDetails Current Date'!A:A,D114,
'YearA-AppDetails Current Date'!F:F,E114,
'YearA-AppDetails Current Date'!E:E,--F114,
'YearA-AppDetails Current Date'!T:T,{"CDMT","RQMT","WAIT"},
'YearA-AppDetails Current Date'!I:I,"FALL"))), "")</f>
        <v/>
      </c>
      <c r="P114" s="74" t="str">
        <f>IFERROR(1/(1/COUNTIFS(
'YearA-AppDetails Current Date'!A:A,D114,
'YearA-AppDetails Current Date'!F:F,E114,
'YearA-AppDetails Current Date'!E:E,--F114,
'YearA-AppDetails Current Date'!Y:Y,"ENRO",
'YearA-AppDetails Current Date'!I:I,"FALL")),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HC'!D:T,4,FALSE)),
N(VLOOKUP(D115&amp;F115,'Budgeted Projections Intl HC'!D:T,5,FALSE))
)
),"")</f>
        <v/>
      </c>
      <c r="I115" s="73" t="str">
        <f>IFERROR(1/(1/COUNTIFS(
'YearA-AppDetails Current Date'!A:A,D115,
'YearA-AppDetails Current Date'!F:F,E115,
'YearA-AppDetails Current Date'!E:E,--F115,
'YearA-AppDetails Current Date'!I:I,"FALL")), "")</f>
        <v/>
      </c>
      <c r="J115" s="74" t="str" cm="1">
        <f t="array" ref="J115">IFERROR(1/(1/SUM(COUNTIFS(
'YearA-AppDetails Current Date'!A:A,D115,
'YearA-AppDetails Current Date'!F:F,E115,
'YearA-AppDetails Current Date'!E:E,--F115,
'YearA-AppDetails Current Date'!O:O,{"ACLN","ACPT","COND"},
'YearA-AppDetails Current Date'!S:S,"&lt;&gt;ACLN",
'YearA-AppDetails Current Date'!S:S,"&lt;&gt;ACPT",
'YearA-AppDetails Current Date'!S:S,"&lt;&gt;COND",
'YearA-AppDetails Current Date'!I:I,"FALL"))), "")</f>
        <v/>
      </c>
      <c r="K115" s="73" t="str">
        <f>IFERROR(1/(1/SUM(COUNTIFS(
'YearA-AppDetails Current Date'!A:A,D115,
'YearA-AppDetails Current Date'!F:F,E115,
'YearA-AppDetails Current Date'!E:E,--F115,
'YearA-AppDetails Current Date'!R:R,"&lt;&gt;"&amp;"",
'YearA-AppDetails Current Date'!I:I,"FALL"))), "")</f>
        <v/>
      </c>
      <c r="L115" s="74" t="str" cm="1">
        <f t="array" ref="L115">IFERROR(1/(1/SUM(COUNTIFS(
'YearA-AppDetails Current Date'!A:A,D115,
'YearA-AppDetails Current Date'!F:F,E115,
'YearA-AppDetails Current Date'!E:E,--F115,
'YearA-AppDetails Current Date'!T:T,{"APEX","DENY","NTSL"},
'YearA-AppDetails Current Date'!I:I,"FALL"))), "")</f>
        <v/>
      </c>
      <c r="M115" s="74" t="str" cm="1">
        <f t="array" ref="M115">IFERROR(1/(1/SUM(COUNTIFS(
'YearA-AppDetails Current Date'!A:A,D115,
'YearA-AppDetails Current Date'!F:F,E115,
'YearA-AppDetails Current Date'!E:E,--F115,
'YearA-AppDetails Current Date'!U:U,{"CCAN","DECL"},
'YearA-AppDetails Current Date'!I:I,"FALL"))), "")</f>
        <v/>
      </c>
      <c r="N115" s="74" t="str" cm="1">
        <f t="array" ref="N115">IFERROR(1/(1/SUM(COUNTIFS(
'YearA-AppDetails Current Date'!A:A,D115,
'YearA-AppDetails Current Date'!F:F,E115,
'YearA-AppDetails Current Date'!E:E,--F115,
'YearA-AppDetails Current Date'!V:V,{"APRO","NODE"},
'YearA-AppDetails Current Date'!I:I,"FALL"))), "")</f>
        <v/>
      </c>
      <c r="O115" s="74" t="str" cm="1">
        <f t="array" ref="O115">IFERROR(1/(1/SUM(COUNTIFS(
'YearA-AppDetails Current Date'!A:A,D115,
'YearA-AppDetails Current Date'!F:F,E115,
'YearA-AppDetails Current Date'!E:E,--F115,
'YearA-AppDetails Current Date'!T:T,{"CDMT","RQMT","WAIT"},
'YearA-AppDetails Current Date'!I:I,"FALL"))), "")</f>
        <v/>
      </c>
      <c r="P115" s="74" t="str">
        <f>IFERROR(1/(1/COUNTIFS(
'YearA-AppDetails Current Date'!A:A,D115,
'YearA-AppDetails Current Date'!F:F,E115,
'YearA-AppDetails Current Date'!E:E,--F115,
'YearA-AppDetails Current Date'!Y:Y,"ENRO",
'YearA-AppDetails Current Date'!I:I,"FALL")),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HC'!D:T,4,FALSE)),
N(VLOOKUP(D116&amp;F116,'Budgeted Projections Dom HC'!D:T,5,FALSE))
)
),"")</f>
        <v/>
      </c>
      <c r="I116" s="73" t="str">
        <f>IFERROR(1/(1/COUNTIFS(
'YearA-AppDetails Current Date'!A:A,D116,
'YearA-AppDetails Current Date'!F:F,E116,
'YearA-AppDetails Current Date'!E:E,--F116,
'YearA-AppDetails Current Date'!I:I,"FALL")), "")</f>
        <v/>
      </c>
      <c r="J116" s="74" t="str" cm="1">
        <f t="array" ref="J116">IFERROR(1/(1/SUM(COUNTIFS(
'YearA-AppDetails Current Date'!A:A,D116,
'YearA-AppDetails Current Date'!F:F,E116,
'YearA-AppDetails Current Date'!E:E,--F116,
'YearA-AppDetails Current Date'!O:O,{"ACLN","ACPT","COND"},
'YearA-AppDetails Current Date'!S:S,"&lt;&gt;ACLN",
'YearA-AppDetails Current Date'!S:S,"&lt;&gt;ACPT",
'YearA-AppDetails Current Date'!S:S,"&lt;&gt;COND",
'YearA-AppDetails Current Date'!I:I,"FALL"))), "")</f>
        <v/>
      </c>
      <c r="K116" s="73" t="str">
        <f>IFERROR(1/(1/SUM(COUNTIFS(
'YearA-AppDetails Current Date'!A:A,D116,
'YearA-AppDetails Current Date'!F:F,E116,
'YearA-AppDetails Current Date'!E:E,--F116,
'YearA-AppDetails Current Date'!R:R,"&lt;&gt;"&amp;"",
'YearA-AppDetails Current Date'!I:I,"FALL"))), "")</f>
        <v/>
      </c>
      <c r="L116" s="74" t="str" cm="1">
        <f t="array" ref="L116">IFERROR(1/(1/SUM(COUNTIFS(
'YearA-AppDetails Current Date'!A:A,D116,
'YearA-AppDetails Current Date'!F:F,E116,
'YearA-AppDetails Current Date'!E:E,--F116,
'YearA-AppDetails Current Date'!T:T,{"APEX","DENY","NTSL"},
'YearA-AppDetails Current Date'!I:I,"FALL"))), "")</f>
        <v/>
      </c>
      <c r="M116" s="74" t="str" cm="1">
        <f t="array" ref="M116">IFERROR(1/(1/SUM(COUNTIFS(
'YearA-AppDetails Current Date'!A:A,D116,
'YearA-AppDetails Current Date'!F:F,E116,
'YearA-AppDetails Current Date'!E:E,--F116,
'YearA-AppDetails Current Date'!U:U,{"CCAN","DECL"},
'YearA-AppDetails Current Date'!I:I,"FALL"))), "")</f>
        <v/>
      </c>
      <c r="N116" s="74" t="str" cm="1">
        <f t="array" ref="N116">IFERROR(1/(1/SUM(COUNTIFS(
'YearA-AppDetails Current Date'!A:A,D116,
'YearA-AppDetails Current Date'!F:F,E116,
'YearA-AppDetails Current Date'!E:E,--F116,
'YearA-AppDetails Current Date'!V:V,{"APRO","NODE"},
'YearA-AppDetails Current Date'!I:I,"FALL"))), "")</f>
        <v/>
      </c>
      <c r="O116" s="74" t="str" cm="1">
        <f t="array" ref="O116">IFERROR(1/(1/SUM(COUNTIFS(
'YearA-AppDetails Current Date'!A:A,D116,
'YearA-AppDetails Current Date'!F:F,E116,
'YearA-AppDetails Current Date'!E:E,--F116,
'YearA-AppDetails Current Date'!T:T,{"CDMT","RQMT","WAIT"},
'YearA-AppDetails Current Date'!I:I,"FALL"))), "")</f>
        <v/>
      </c>
      <c r="P116" s="74" t="str">
        <f>IFERROR(1/(1/COUNTIFS(
'YearA-AppDetails Current Date'!A:A,D116,
'YearA-AppDetails Current Date'!F:F,E116,
'YearA-AppDetails Current Date'!E:E,--F116,
'YearA-AppDetails Current Date'!Y:Y,"ENRO",
'YearA-AppDetails Current Date'!I:I,"FALL")),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HC'!D:T,4,FALSE)),
N(VLOOKUP(D117&amp;F117,'Budgeted Projections Intl HC'!D:T,5,FALSE))
)
),"")</f>
        <v/>
      </c>
      <c r="I117" s="73" t="str">
        <f>IFERROR(1/(1/COUNTIFS(
'YearA-AppDetails Current Date'!A:A,D117,
'YearA-AppDetails Current Date'!F:F,E117,
'YearA-AppDetails Current Date'!E:E,--F117,
'YearA-AppDetails Current Date'!I:I,"FALL")), "")</f>
        <v/>
      </c>
      <c r="J117" s="74" t="str" cm="1">
        <f t="array" ref="J117">IFERROR(1/(1/SUM(COUNTIFS(
'YearA-AppDetails Current Date'!A:A,D117,
'YearA-AppDetails Current Date'!F:F,E117,
'YearA-AppDetails Current Date'!E:E,--F117,
'YearA-AppDetails Current Date'!O:O,{"ACLN","ACPT","COND"},
'YearA-AppDetails Current Date'!S:S,"&lt;&gt;ACLN",
'YearA-AppDetails Current Date'!S:S,"&lt;&gt;ACPT",
'YearA-AppDetails Current Date'!S:S,"&lt;&gt;COND",
'YearA-AppDetails Current Date'!I:I,"FALL"))), "")</f>
        <v/>
      </c>
      <c r="K117" s="73" t="str">
        <f>IFERROR(1/(1/SUM(COUNTIFS(
'YearA-AppDetails Current Date'!A:A,D117,
'YearA-AppDetails Current Date'!F:F,E117,
'YearA-AppDetails Current Date'!E:E,--F117,
'YearA-AppDetails Current Date'!R:R,"&lt;&gt;"&amp;"",
'YearA-AppDetails Current Date'!I:I,"FALL"))), "")</f>
        <v/>
      </c>
      <c r="L117" s="74" t="str" cm="1">
        <f t="array" ref="L117">IFERROR(1/(1/SUM(COUNTIFS(
'YearA-AppDetails Current Date'!A:A,D117,
'YearA-AppDetails Current Date'!F:F,E117,
'YearA-AppDetails Current Date'!E:E,--F117,
'YearA-AppDetails Current Date'!T:T,{"APEX","DENY","NTSL"},
'YearA-AppDetails Current Date'!I:I,"FALL"))), "")</f>
        <v/>
      </c>
      <c r="M117" s="74" t="str" cm="1">
        <f t="array" ref="M117">IFERROR(1/(1/SUM(COUNTIFS(
'YearA-AppDetails Current Date'!A:A,D117,
'YearA-AppDetails Current Date'!F:F,E117,
'YearA-AppDetails Current Date'!E:E,--F117,
'YearA-AppDetails Current Date'!U:U,{"CCAN","DECL"},
'YearA-AppDetails Current Date'!I:I,"FALL"))), "")</f>
        <v/>
      </c>
      <c r="N117" s="74" t="str" cm="1">
        <f t="array" ref="N117">IFERROR(1/(1/SUM(COUNTIFS(
'YearA-AppDetails Current Date'!A:A,D117,
'YearA-AppDetails Current Date'!F:F,E117,
'YearA-AppDetails Current Date'!E:E,--F117,
'YearA-AppDetails Current Date'!V:V,{"APRO","NODE"},
'YearA-AppDetails Current Date'!I:I,"FALL"))), "")</f>
        <v/>
      </c>
      <c r="O117" s="74" t="str" cm="1">
        <f t="array" ref="O117">IFERROR(1/(1/SUM(COUNTIFS(
'YearA-AppDetails Current Date'!A:A,D117,
'YearA-AppDetails Current Date'!F:F,E117,
'YearA-AppDetails Current Date'!E:E,--F117,
'YearA-AppDetails Current Date'!T:T,{"CDMT","RQMT","WAIT"},
'YearA-AppDetails Current Date'!I:I,"FALL"))), "")</f>
        <v/>
      </c>
      <c r="P117" s="74" t="str">
        <f>IFERROR(1/(1/COUNTIFS(
'YearA-AppDetails Current Date'!A:A,D117,
'YearA-AppDetails Current Date'!F:F,E117,
'YearA-AppDetails Current Date'!E:E,--F117,
'YearA-AppDetails Current Date'!Y:Y,"ENRO",
'YearA-AppDetails Current Date'!I:I,"FALL")),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HC'!D:T,4,FALSE)),
N(VLOOKUP(D118&amp;F118,'Budgeted Projections Dom HC'!D:T,5,FALSE))
)
),"")</f>
        <v/>
      </c>
      <c r="I118" s="73" t="str">
        <f>IFERROR(1/(1/COUNTIFS(
'YearA-AppDetails Current Date'!A:A,D118,
'YearA-AppDetails Current Date'!F:F,E118,
'YearA-AppDetails Current Date'!E:E,--F118,
'YearA-AppDetails Current Date'!I:I,"FALL")), "")</f>
        <v/>
      </c>
      <c r="J118" s="74" t="str" cm="1">
        <f t="array" ref="J118">IFERROR(1/(1/SUM(COUNTIFS(
'YearA-AppDetails Current Date'!A:A,D118,
'YearA-AppDetails Current Date'!F:F,E118,
'YearA-AppDetails Current Date'!E:E,--F118,
'YearA-AppDetails Current Date'!O:O,{"ACLN","ACPT","COND"},
'YearA-AppDetails Current Date'!S:S,"&lt;&gt;ACLN",
'YearA-AppDetails Current Date'!S:S,"&lt;&gt;ACPT",
'YearA-AppDetails Current Date'!S:S,"&lt;&gt;COND",
'YearA-AppDetails Current Date'!I:I,"FALL"))), "")</f>
        <v/>
      </c>
      <c r="K118" s="73" t="str">
        <f>IFERROR(1/(1/SUM(COUNTIFS(
'YearA-AppDetails Current Date'!A:A,D118,
'YearA-AppDetails Current Date'!F:F,E118,
'YearA-AppDetails Current Date'!E:E,--F118,
'YearA-AppDetails Current Date'!R:R,"&lt;&gt;"&amp;"",
'YearA-AppDetails Current Date'!I:I,"FALL"))), "")</f>
        <v/>
      </c>
      <c r="L118" s="74" t="str" cm="1">
        <f t="array" ref="L118">IFERROR(1/(1/SUM(COUNTIFS(
'YearA-AppDetails Current Date'!A:A,D118,
'YearA-AppDetails Current Date'!F:F,E118,
'YearA-AppDetails Current Date'!E:E,--F118,
'YearA-AppDetails Current Date'!T:T,{"APEX","DENY","NTSL"},
'YearA-AppDetails Current Date'!I:I,"FALL"))), "")</f>
        <v/>
      </c>
      <c r="M118" s="74" t="str" cm="1">
        <f t="array" ref="M118">IFERROR(1/(1/SUM(COUNTIFS(
'YearA-AppDetails Current Date'!A:A,D118,
'YearA-AppDetails Current Date'!F:F,E118,
'YearA-AppDetails Current Date'!E:E,--F118,
'YearA-AppDetails Current Date'!U:U,{"CCAN","DECL"},
'YearA-AppDetails Current Date'!I:I,"FALL"))), "")</f>
        <v/>
      </c>
      <c r="N118" s="74" t="str" cm="1">
        <f t="array" ref="N118">IFERROR(1/(1/SUM(COUNTIFS(
'YearA-AppDetails Current Date'!A:A,D118,
'YearA-AppDetails Current Date'!F:F,E118,
'YearA-AppDetails Current Date'!E:E,--F118,
'YearA-AppDetails Current Date'!V:V,{"APRO","NODE"},
'YearA-AppDetails Current Date'!I:I,"FALL"))), "")</f>
        <v/>
      </c>
      <c r="O118" s="74" t="str" cm="1">
        <f t="array" ref="O118">IFERROR(1/(1/SUM(COUNTIFS(
'YearA-AppDetails Current Date'!A:A,D118,
'YearA-AppDetails Current Date'!F:F,E118,
'YearA-AppDetails Current Date'!E:E,--F118,
'YearA-AppDetails Current Date'!T:T,{"CDMT","RQMT","WAIT"},
'YearA-AppDetails Current Date'!I:I,"FALL"))), "")</f>
        <v/>
      </c>
      <c r="P118" s="74" t="str">
        <f>IFERROR(1/(1/COUNTIFS(
'YearA-AppDetails Current Date'!A:A,D118,
'YearA-AppDetails Current Date'!F:F,E118,
'YearA-AppDetails Current Date'!E:E,--F118,
'YearA-AppDetails Current Date'!Y:Y,"ENRO",
'YearA-AppDetails Current Date'!I:I,"FALL")),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HC'!D:T,4,FALSE)),
N(VLOOKUP(D119&amp;F119,'Budgeted Projections Intl HC'!D:T,5,FALSE))
)
),"")</f>
        <v/>
      </c>
      <c r="I119" s="73" t="str">
        <f>IFERROR(1/(1/COUNTIFS(
'YearA-AppDetails Current Date'!A:A,D119,
'YearA-AppDetails Current Date'!F:F,E119,
'YearA-AppDetails Current Date'!E:E,--F119,
'YearA-AppDetails Current Date'!I:I,"FALL")), "")</f>
        <v/>
      </c>
      <c r="J119" s="74" t="str" cm="1">
        <f t="array" ref="J119">IFERROR(1/(1/SUM(COUNTIFS(
'YearA-AppDetails Current Date'!A:A,D119,
'YearA-AppDetails Current Date'!F:F,E119,
'YearA-AppDetails Current Date'!E:E,--F119,
'YearA-AppDetails Current Date'!O:O,{"ACLN","ACPT","COND"},
'YearA-AppDetails Current Date'!S:S,"&lt;&gt;ACLN",
'YearA-AppDetails Current Date'!S:S,"&lt;&gt;ACPT",
'YearA-AppDetails Current Date'!S:S,"&lt;&gt;COND",
'YearA-AppDetails Current Date'!I:I,"FALL"))), "")</f>
        <v/>
      </c>
      <c r="K119" s="73" t="str">
        <f>IFERROR(1/(1/SUM(COUNTIFS(
'YearA-AppDetails Current Date'!A:A,D119,
'YearA-AppDetails Current Date'!F:F,E119,
'YearA-AppDetails Current Date'!E:E,--F119,
'YearA-AppDetails Current Date'!R:R,"&lt;&gt;"&amp;"",
'YearA-AppDetails Current Date'!I:I,"FALL"))), "")</f>
        <v/>
      </c>
      <c r="L119" s="74" t="str" cm="1">
        <f t="array" ref="L119">IFERROR(1/(1/SUM(COUNTIFS(
'YearA-AppDetails Current Date'!A:A,D119,
'YearA-AppDetails Current Date'!F:F,E119,
'YearA-AppDetails Current Date'!E:E,--F119,
'YearA-AppDetails Current Date'!T:T,{"APEX","DENY","NTSL"},
'YearA-AppDetails Current Date'!I:I,"FALL"))), "")</f>
        <v/>
      </c>
      <c r="M119" s="74" t="str" cm="1">
        <f t="array" ref="M119">IFERROR(1/(1/SUM(COUNTIFS(
'YearA-AppDetails Current Date'!A:A,D119,
'YearA-AppDetails Current Date'!F:F,E119,
'YearA-AppDetails Current Date'!E:E,--F119,
'YearA-AppDetails Current Date'!U:U,{"CCAN","DECL"},
'YearA-AppDetails Current Date'!I:I,"FALL"))), "")</f>
        <v/>
      </c>
      <c r="N119" s="74" t="str" cm="1">
        <f t="array" ref="N119">IFERROR(1/(1/SUM(COUNTIFS(
'YearA-AppDetails Current Date'!A:A,D119,
'YearA-AppDetails Current Date'!F:F,E119,
'YearA-AppDetails Current Date'!E:E,--F119,
'YearA-AppDetails Current Date'!V:V,{"APRO","NODE"},
'YearA-AppDetails Current Date'!I:I,"FALL"))), "")</f>
        <v/>
      </c>
      <c r="O119" s="74" t="str" cm="1">
        <f t="array" ref="O119">IFERROR(1/(1/SUM(COUNTIFS(
'YearA-AppDetails Current Date'!A:A,D119,
'YearA-AppDetails Current Date'!F:F,E119,
'YearA-AppDetails Current Date'!E:E,--F119,
'YearA-AppDetails Current Date'!T:T,{"CDMT","RQMT","WAIT"},
'YearA-AppDetails Current Date'!I:I,"FALL"))), "")</f>
        <v/>
      </c>
      <c r="P119" s="74" t="str">
        <f>IFERROR(1/(1/COUNTIFS(
'YearA-AppDetails Current Date'!A:A,D119,
'YearA-AppDetails Current Date'!F:F,E119,
'YearA-AppDetails Current Date'!E:E,--F119,
'YearA-AppDetails Current Date'!Y:Y,"ENRO",
'YearA-AppDetails Current Date'!I:I,"FALL")),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HC'!D:T,4,FALSE)),
N(VLOOKUP(D120&amp;F120,'Budgeted Projections Dom HC'!D:T,5,FALSE))
)
),"")</f>
        <v/>
      </c>
      <c r="I120" s="73" t="str">
        <f>IFERROR(1/(1/COUNTIFS(
'YearA-AppDetails Current Date'!A:A,D120,
'YearA-AppDetails Current Date'!F:F,E120,
'YearA-AppDetails Current Date'!E:E,--F120,
'YearA-AppDetails Current Date'!I:I,"FALL")), "")</f>
        <v/>
      </c>
      <c r="J120" s="74" t="str" cm="1">
        <f t="array" ref="J120">IFERROR(1/(1/SUM(COUNTIFS(
'YearA-AppDetails Current Date'!A:A,D120,
'YearA-AppDetails Current Date'!F:F,E120,
'YearA-AppDetails Current Date'!E:E,--F120,
'YearA-AppDetails Current Date'!O:O,{"ACLN","ACPT","COND"},
'YearA-AppDetails Current Date'!S:S,"&lt;&gt;ACLN",
'YearA-AppDetails Current Date'!S:S,"&lt;&gt;ACPT",
'YearA-AppDetails Current Date'!S:S,"&lt;&gt;COND",
'YearA-AppDetails Current Date'!I:I,"FALL"))), "")</f>
        <v/>
      </c>
      <c r="K120" s="73" t="str">
        <f>IFERROR(1/(1/SUM(COUNTIFS(
'YearA-AppDetails Current Date'!A:A,D120,
'YearA-AppDetails Current Date'!F:F,E120,
'YearA-AppDetails Current Date'!E:E,--F120,
'YearA-AppDetails Current Date'!R:R,"&lt;&gt;"&amp;"",
'YearA-AppDetails Current Date'!I:I,"FALL"))), "")</f>
        <v/>
      </c>
      <c r="L120" s="74" t="str" cm="1">
        <f t="array" ref="L120">IFERROR(1/(1/SUM(COUNTIFS(
'YearA-AppDetails Current Date'!A:A,D120,
'YearA-AppDetails Current Date'!F:F,E120,
'YearA-AppDetails Current Date'!E:E,--F120,
'YearA-AppDetails Current Date'!T:T,{"APEX","DENY","NTSL"},
'YearA-AppDetails Current Date'!I:I,"FALL"))), "")</f>
        <v/>
      </c>
      <c r="M120" s="74" t="str" cm="1">
        <f t="array" ref="M120">IFERROR(1/(1/SUM(COUNTIFS(
'YearA-AppDetails Current Date'!A:A,D120,
'YearA-AppDetails Current Date'!F:F,E120,
'YearA-AppDetails Current Date'!E:E,--F120,
'YearA-AppDetails Current Date'!U:U,{"CCAN","DECL"},
'YearA-AppDetails Current Date'!I:I,"FALL"))), "")</f>
        <v/>
      </c>
      <c r="N120" s="74" t="str" cm="1">
        <f t="array" ref="N120">IFERROR(1/(1/SUM(COUNTIFS(
'YearA-AppDetails Current Date'!A:A,D120,
'YearA-AppDetails Current Date'!F:F,E120,
'YearA-AppDetails Current Date'!E:E,--F120,
'YearA-AppDetails Current Date'!V:V,{"APRO","NODE"},
'YearA-AppDetails Current Date'!I:I,"FALL"))), "")</f>
        <v/>
      </c>
      <c r="O120" s="74" t="str" cm="1">
        <f t="array" ref="O120">IFERROR(1/(1/SUM(COUNTIFS(
'YearA-AppDetails Current Date'!A:A,D120,
'YearA-AppDetails Current Date'!F:F,E120,
'YearA-AppDetails Current Date'!E:E,--F120,
'YearA-AppDetails Current Date'!T:T,{"CDMT","RQMT","WAIT"},
'YearA-AppDetails Current Date'!I:I,"FALL"))), "")</f>
        <v/>
      </c>
      <c r="P120" s="74" t="str">
        <f>IFERROR(1/(1/COUNTIFS(
'YearA-AppDetails Current Date'!A:A,D120,
'YearA-AppDetails Current Date'!F:F,E120,
'YearA-AppDetails Current Date'!E:E,--F120,
'YearA-AppDetails Current Date'!Y:Y,"ENRO",
'YearA-AppDetails Current Date'!I:I,"FALL")),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HC'!D:T,4,FALSE)),
N(VLOOKUP(D121&amp;F121,'Budgeted Projections Intl HC'!D:T,5,FALSE))
)
),"")</f>
        <v/>
      </c>
      <c r="I121" s="73" t="str">
        <f>IFERROR(1/(1/COUNTIFS(
'YearA-AppDetails Current Date'!A:A,D121,
'YearA-AppDetails Current Date'!F:F,E121,
'YearA-AppDetails Current Date'!E:E,--F121,
'YearA-AppDetails Current Date'!I:I,"FALL")), "")</f>
        <v/>
      </c>
      <c r="J121" s="74" t="str" cm="1">
        <f t="array" ref="J121">IFERROR(1/(1/SUM(COUNTIFS(
'YearA-AppDetails Current Date'!A:A,D121,
'YearA-AppDetails Current Date'!F:F,E121,
'YearA-AppDetails Current Date'!E:E,--F121,
'YearA-AppDetails Current Date'!O:O,{"ACLN","ACPT","COND"},
'YearA-AppDetails Current Date'!S:S,"&lt;&gt;ACLN",
'YearA-AppDetails Current Date'!S:S,"&lt;&gt;ACPT",
'YearA-AppDetails Current Date'!S:S,"&lt;&gt;COND",
'YearA-AppDetails Current Date'!I:I,"FALL"))), "")</f>
        <v/>
      </c>
      <c r="K121" s="73" t="str">
        <f>IFERROR(1/(1/SUM(COUNTIFS(
'YearA-AppDetails Current Date'!A:A,D121,
'YearA-AppDetails Current Date'!F:F,E121,
'YearA-AppDetails Current Date'!E:E,--F121,
'YearA-AppDetails Current Date'!R:R,"&lt;&gt;"&amp;"",
'YearA-AppDetails Current Date'!I:I,"FALL"))), "")</f>
        <v/>
      </c>
      <c r="L121" s="74" t="str" cm="1">
        <f t="array" ref="L121">IFERROR(1/(1/SUM(COUNTIFS(
'YearA-AppDetails Current Date'!A:A,D121,
'YearA-AppDetails Current Date'!F:F,E121,
'YearA-AppDetails Current Date'!E:E,--F121,
'YearA-AppDetails Current Date'!T:T,{"APEX","DENY","NTSL"},
'YearA-AppDetails Current Date'!I:I,"FALL"))), "")</f>
        <v/>
      </c>
      <c r="M121" s="74" t="str" cm="1">
        <f t="array" ref="M121">IFERROR(1/(1/SUM(COUNTIFS(
'YearA-AppDetails Current Date'!A:A,D121,
'YearA-AppDetails Current Date'!F:F,E121,
'YearA-AppDetails Current Date'!E:E,--F121,
'YearA-AppDetails Current Date'!U:U,{"CCAN","DECL"},
'YearA-AppDetails Current Date'!I:I,"FALL"))), "")</f>
        <v/>
      </c>
      <c r="N121" s="74" t="str" cm="1">
        <f t="array" ref="N121">IFERROR(1/(1/SUM(COUNTIFS(
'YearA-AppDetails Current Date'!A:A,D121,
'YearA-AppDetails Current Date'!F:F,E121,
'YearA-AppDetails Current Date'!E:E,--F121,
'YearA-AppDetails Current Date'!V:V,{"APRO","NODE"},
'YearA-AppDetails Current Date'!I:I,"FALL"))), "")</f>
        <v/>
      </c>
      <c r="O121" s="74" t="str" cm="1">
        <f t="array" ref="O121">IFERROR(1/(1/SUM(COUNTIFS(
'YearA-AppDetails Current Date'!A:A,D121,
'YearA-AppDetails Current Date'!F:F,E121,
'YearA-AppDetails Current Date'!E:E,--F121,
'YearA-AppDetails Current Date'!T:T,{"CDMT","RQMT","WAIT"},
'YearA-AppDetails Current Date'!I:I,"FALL"))), "")</f>
        <v/>
      </c>
      <c r="P121" s="74" t="str">
        <f>IFERROR(1/(1/COUNTIFS(
'YearA-AppDetails Current Date'!A:A,D121,
'YearA-AppDetails Current Date'!F:F,E121,
'YearA-AppDetails Current Date'!E:E,--F121,
'YearA-AppDetails Current Date'!Y:Y,"ENRO",
'YearA-AppDetails Current Date'!I:I,"FALL")),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HC'!D:T,4,FALSE)),
N(VLOOKUP(D122&amp;F122,'Budgeted Projections Dom HC'!D:T,5,FALSE))
)
),"")</f>
        <v/>
      </c>
      <c r="I122" s="73" t="str">
        <f>IFERROR(1/(1/COUNTIFS(
'YearA-AppDetails Current Date'!A:A,D122,
'YearA-AppDetails Current Date'!F:F,E122,
'YearA-AppDetails Current Date'!E:E,--F122,
'YearA-AppDetails Current Date'!I:I,"FALL")), "")</f>
        <v/>
      </c>
      <c r="J122" s="74" t="str" cm="1">
        <f t="array" ref="J122">IFERROR(1/(1/SUM(COUNTIFS(
'YearA-AppDetails Current Date'!A:A,D122,
'YearA-AppDetails Current Date'!F:F,E122,
'YearA-AppDetails Current Date'!E:E,--F122,
'YearA-AppDetails Current Date'!O:O,{"ACLN","ACPT","COND"},
'YearA-AppDetails Current Date'!S:S,"&lt;&gt;ACLN",
'YearA-AppDetails Current Date'!S:S,"&lt;&gt;ACPT",
'YearA-AppDetails Current Date'!S:S,"&lt;&gt;COND",
'YearA-AppDetails Current Date'!I:I,"FALL"))), "")</f>
        <v/>
      </c>
      <c r="K122" s="73" t="str">
        <f>IFERROR(1/(1/SUM(COUNTIFS(
'YearA-AppDetails Current Date'!A:A,D122,
'YearA-AppDetails Current Date'!F:F,E122,
'YearA-AppDetails Current Date'!E:E,--F122,
'YearA-AppDetails Current Date'!R:R,"&lt;&gt;"&amp;"",
'YearA-AppDetails Current Date'!I:I,"FALL"))), "")</f>
        <v/>
      </c>
      <c r="L122" s="74" t="str" cm="1">
        <f t="array" ref="L122">IFERROR(1/(1/SUM(COUNTIFS(
'YearA-AppDetails Current Date'!A:A,D122,
'YearA-AppDetails Current Date'!F:F,E122,
'YearA-AppDetails Current Date'!E:E,--F122,
'YearA-AppDetails Current Date'!T:T,{"APEX","DENY","NTSL"},
'YearA-AppDetails Current Date'!I:I,"FALL"))), "")</f>
        <v/>
      </c>
      <c r="M122" s="74" t="str" cm="1">
        <f t="array" ref="M122">IFERROR(1/(1/SUM(COUNTIFS(
'YearA-AppDetails Current Date'!A:A,D122,
'YearA-AppDetails Current Date'!F:F,E122,
'YearA-AppDetails Current Date'!E:E,--F122,
'YearA-AppDetails Current Date'!U:U,{"CCAN","DECL"},
'YearA-AppDetails Current Date'!I:I,"FALL"))), "")</f>
        <v/>
      </c>
      <c r="N122" s="74" t="str" cm="1">
        <f t="array" ref="N122">IFERROR(1/(1/SUM(COUNTIFS(
'YearA-AppDetails Current Date'!A:A,D122,
'YearA-AppDetails Current Date'!F:F,E122,
'YearA-AppDetails Current Date'!E:E,--F122,
'YearA-AppDetails Current Date'!V:V,{"APRO","NODE"},
'YearA-AppDetails Current Date'!I:I,"FALL"))), "")</f>
        <v/>
      </c>
      <c r="O122" s="74" t="str" cm="1">
        <f t="array" ref="O122">IFERROR(1/(1/SUM(COUNTIFS(
'YearA-AppDetails Current Date'!A:A,D122,
'YearA-AppDetails Current Date'!F:F,E122,
'YearA-AppDetails Current Date'!E:E,--F122,
'YearA-AppDetails Current Date'!T:T,{"CDMT","RQMT","WAIT"},
'YearA-AppDetails Current Date'!I:I,"FALL"))), "")</f>
        <v/>
      </c>
      <c r="P122" s="74" t="str">
        <f>IFERROR(1/(1/COUNTIFS(
'YearA-AppDetails Current Date'!A:A,D122,
'YearA-AppDetails Current Date'!F:F,E122,
'YearA-AppDetails Current Date'!E:E,--F122,
'YearA-AppDetails Current Date'!Y:Y,"ENRO",
'YearA-AppDetails Current Date'!I:I,"FALL")),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HC'!D:T,4,FALSE)),
N(VLOOKUP(D123&amp;F123,'Budgeted Projections Intl HC'!D:T,5,FALSE))
)
),"")</f>
        <v/>
      </c>
      <c r="I123" s="73" t="str">
        <f>IFERROR(1/(1/COUNTIFS(
'YearA-AppDetails Current Date'!A:A,D123,
'YearA-AppDetails Current Date'!F:F,E123,
'YearA-AppDetails Current Date'!E:E,--F123,
'YearA-AppDetails Current Date'!I:I,"FALL")), "")</f>
        <v/>
      </c>
      <c r="J123" s="74" t="str" cm="1">
        <f t="array" ref="J123">IFERROR(1/(1/SUM(COUNTIFS(
'YearA-AppDetails Current Date'!A:A,D123,
'YearA-AppDetails Current Date'!F:F,E123,
'YearA-AppDetails Current Date'!E:E,--F123,
'YearA-AppDetails Current Date'!O:O,{"ACLN","ACPT","COND"},
'YearA-AppDetails Current Date'!S:S,"&lt;&gt;ACLN",
'YearA-AppDetails Current Date'!S:S,"&lt;&gt;ACPT",
'YearA-AppDetails Current Date'!S:S,"&lt;&gt;COND",
'YearA-AppDetails Current Date'!I:I,"FALL"))), "")</f>
        <v/>
      </c>
      <c r="K123" s="73" t="str">
        <f>IFERROR(1/(1/SUM(COUNTIFS(
'YearA-AppDetails Current Date'!A:A,D123,
'YearA-AppDetails Current Date'!F:F,E123,
'YearA-AppDetails Current Date'!E:E,--F123,
'YearA-AppDetails Current Date'!R:R,"&lt;&gt;"&amp;"",
'YearA-AppDetails Current Date'!I:I,"FALL"))), "")</f>
        <v/>
      </c>
      <c r="L123" s="74" t="str" cm="1">
        <f t="array" ref="L123">IFERROR(1/(1/SUM(COUNTIFS(
'YearA-AppDetails Current Date'!A:A,D123,
'YearA-AppDetails Current Date'!F:F,E123,
'YearA-AppDetails Current Date'!E:E,--F123,
'YearA-AppDetails Current Date'!T:T,{"APEX","DENY","NTSL"},
'YearA-AppDetails Current Date'!I:I,"FALL"))), "")</f>
        <v/>
      </c>
      <c r="M123" s="74" t="str" cm="1">
        <f t="array" ref="M123">IFERROR(1/(1/SUM(COUNTIFS(
'YearA-AppDetails Current Date'!A:A,D123,
'YearA-AppDetails Current Date'!F:F,E123,
'YearA-AppDetails Current Date'!E:E,--F123,
'YearA-AppDetails Current Date'!U:U,{"CCAN","DECL"},
'YearA-AppDetails Current Date'!I:I,"FALL"))), "")</f>
        <v/>
      </c>
      <c r="N123" s="74" t="str" cm="1">
        <f t="array" ref="N123">IFERROR(1/(1/SUM(COUNTIFS(
'YearA-AppDetails Current Date'!A:A,D123,
'YearA-AppDetails Current Date'!F:F,E123,
'YearA-AppDetails Current Date'!E:E,--F123,
'YearA-AppDetails Current Date'!V:V,{"APRO","NODE"},
'YearA-AppDetails Current Date'!I:I,"FALL"))), "")</f>
        <v/>
      </c>
      <c r="O123" s="74" t="str" cm="1">
        <f t="array" ref="O123">IFERROR(1/(1/SUM(COUNTIFS(
'YearA-AppDetails Current Date'!A:A,D123,
'YearA-AppDetails Current Date'!F:F,E123,
'YearA-AppDetails Current Date'!E:E,--F123,
'YearA-AppDetails Current Date'!T:T,{"CDMT","RQMT","WAIT"},
'YearA-AppDetails Current Date'!I:I,"FALL"))), "")</f>
        <v/>
      </c>
      <c r="P123" s="74" t="str">
        <f>IFERROR(1/(1/COUNTIFS(
'YearA-AppDetails Current Date'!A:A,D123,
'YearA-AppDetails Current Date'!F:F,E123,
'YearA-AppDetails Current Date'!E:E,--F123,
'YearA-AppDetails Current Date'!Y:Y,"ENRO",
'YearA-AppDetails Current Date'!I:I,"FALL")),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HC'!D:T,4,FALSE)),
N(VLOOKUP(D124&amp;F124,'Budgeted Projections Dom HC'!D:T,5,FALSE))
)
),"")</f>
        <v/>
      </c>
      <c r="I124" s="73" t="str">
        <f>IFERROR(1/(1/COUNTIFS(
'YearA-AppDetails Current Date'!A:A,D124,
'YearA-AppDetails Current Date'!F:F,E124,
'YearA-AppDetails Current Date'!E:E,--F124,
'YearA-AppDetails Current Date'!I:I,"FALL")), "")</f>
        <v/>
      </c>
      <c r="J124" s="74" t="str" cm="1">
        <f t="array" ref="J124">IFERROR(1/(1/SUM(COUNTIFS(
'YearA-AppDetails Current Date'!A:A,D124,
'YearA-AppDetails Current Date'!F:F,E124,
'YearA-AppDetails Current Date'!E:E,--F124,
'YearA-AppDetails Current Date'!O:O,{"ACLN","ACPT","COND"},
'YearA-AppDetails Current Date'!S:S,"&lt;&gt;ACLN",
'YearA-AppDetails Current Date'!S:S,"&lt;&gt;ACPT",
'YearA-AppDetails Current Date'!S:S,"&lt;&gt;COND",
'YearA-AppDetails Current Date'!I:I,"FALL"))), "")</f>
        <v/>
      </c>
      <c r="K124" s="73" t="str">
        <f>IFERROR(1/(1/SUM(COUNTIFS(
'YearA-AppDetails Current Date'!A:A,D124,
'YearA-AppDetails Current Date'!F:F,E124,
'YearA-AppDetails Current Date'!E:E,--F124,
'YearA-AppDetails Current Date'!R:R,"&lt;&gt;"&amp;"",
'YearA-AppDetails Current Date'!I:I,"FALL"))), "")</f>
        <v/>
      </c>
      <c r="L124" s="74" t="str" cm="1">
        <f t="array" ref="L124">IFERROR(1/(1/SUM(COUNTIFS(
'YearA-AppDetails Current Date'!A:A,D124,
'YearA-AppDetails Current Date'!F:F,E124,
'YearA-AppDetails Current Date'!E:E,--F124,
'YearA-AppDetails Current Date'!T:T,{"APEX","DENY","NTSL"},
'YearA-AppDetails Current Date'!I:I,"FALL"))), "")</f>
        <v/>
      </c>
      <c r="M124" s="74" t="str" cm="1">
        <f t="array" ref="M124">IFERROR(1/(1/SUM(COUNTIFS(
'YearA-AppDetails Current Date'!A:A,D124,
'YearA-AppDetails Current Date'!F:F,E124,
'YearA-AppDetails Current Date'!E:E,--F124,
'YearA-AppDetails Current Date'!U:U,{"CCAN","DECL"},
'YearA-AppDetails Current Date'!I:I,"FALL"))), "")</f>
        <v/>
      </c>
      <c r="N124" s="74" t="str" cm="1">
        <f t="array" ref="N124">IFERROR(1/(1/SUM(COUNTIFS(
'YearA-AppDetails Current Date'!A:A,D124,
'YearA-AppDetails Current Date'!F:F,E124,
'YearA-AppDetails Current Date'!E:E,--F124,
'YearA-AppDetails Current Date'!V:V,{"APRO","NODE"},
'YearA-AppDetails Current Date'!I:I,"FALL"))), "")</f>
        <v/>
      </c>
      <c r="O124" s="74" t="str" cm="1">
        <f t="array" ref="O124">IFERROR(1/(1/SUM(COUNTIFS(
'YearA-AppDetails Current Date'!A:A,D124,
'YearA-AppDetails Current Date'!F:F,E124,
'YearA-AppDetails Current Date'!E:E,--F124,
'YearA-AppDetails Current Date'!T:T,{"CDMT","RQMT","WAIT"},
'YearA-AppDetails Current Date'!I:I,"FALL"))), "")</f>
        <v/>
      </c>
      <c r="P124" s="74" t="str">
        <f>IFERROR(1/(1/COUNTIFS(
'YearA-AppDetails Current Date'!A:A,D124,
'YearA-AppDetails Current Date'!F:F,E124,
'YearA-AppDetails Current Date'!E:E,--F124,
'YearA-AppDetails Current Date'!Y:Y,"ENRO",
'YearA-AppDetails Current Date'!I:I,"FALL")),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HC'!D:T,4,FALSE)),
N(VLOOKUP(D125&amp;F125,'Budgeted Projections Intl HC'!D:T,5,FALSE))
)
),"")</f>
        <v/>
      </c>
      <c r="I125" s="73" t="str">
        <f>IFERROR(1/(1/COUNTIFS(
'YearA-AppDetails Current Date'!A:A,D125,
'YearA-AppDetails Current Date'!F:F,E125,
'YearA-AppDetails Current Date'!E:E,--F125,
'YearA-AppDetails Current Date'!I:I,"FALL")), "")</f>
        <v/>
      </c>
      <c r="J125" s="74" t="str" cm="1">
        <f t="array" ref="J125">IFERROR(1/(1/SUM(COUNTIFS(
'YearA-AppDetails Current Date'!A:A,D125,
'YearA-AppDetails Current Date'!F:F,E125,
'YearA-AppDetails Current Date'!E:E,--F125,
'YearA-AppDetails Current Date'!O:O,{"ACLN","ACPT","COND"},
'YearA-AppDetails Current Date'!S:S,"&lt;&gt;ACLN",
'YearA-AppDetails Current Date'!S:S,"&lt;&gt;ACPT",
'YearA-AppDetails Current Date'!S:S,"&lt;&gt;COND",
'YearA-AppDetails Current Date'!I:I,"FALL"))), "")</f>
        <v/>
      </c>
      <c r="K125" s="73" t="str">
        <f>IFERROR(1/(1/SUM(COUNTIFS(
'YearA-AppDetails Current Date'!A:A,D125,
'YearA-AppDetails Current Date'!F:F,E125,
'YearA-AppDetails Current Date'!E:E,--F125,
'YearA-AppDetails Current Date'!R:R,"&lt;&gt;"&amp;"",
'YearA-AppDetails Current Date'!I:I,"FALL"))), "")</f>
        <v/>
      </c>
      <c r="L125" s="74" t="str" cm="1">
        <f t="array" ref="L125">IFERROR(1/(1/SUM(COUNTIFS(
'YearA-AppDetails Current Date'!A:A,D125,
'YearA-AppDetails Current Date'!F:F,E125,
'YearA-AppDetails Current Date'!E:E,--F125,
'YearA-AppDetails Current Date'!T:T,{"APEX","DENY","NTSL"},
'YearA-AppDetails Current Date'!I:I,"FALL"))), "")</f>
        <v/>
      </c>
      <c r="M125" s="74" t="str" cm="1">
        <f t="array" ref="M125">IFERROR(1/(1/SUM(COUNTIFS(
'YearA-AppDetails Current Date'!A:A,D125,
'YearA-AppDetails Current Date'!F:F,E125,
'YearA-AppDetails Current Date'!E:E,--F125,
'YearA-AppDetails Current Date'!U:U,{"CCAN","DECL"},
'YearA-AppDetails Current Date'!I:I,"FALL"))), "")</f>
        <v/>
      </c>
      <c r="N125" s="74" t="str" cm="1">
        <f t="array" ref="N125">IFERROR(1/(1/SUM(COUNTIFS(
'YearA-AppDetails Current Date'!A:A,D125,
'YearA-AppDetails Current Date'!F:F,E125,
'YearA-AppDetails Current Date'!E:E,--F125,
'YearA-AppDetails Current Date'!V:V,{"APRO","NODE"},
'YearA-AppDetails Current Date'!I:I,"FALL"))), "")</f>
        <v/>
      </c>
      <c r="O125" s="74" t="str" cm="1">
        <f t="array" ref="O125">IFERROR(1/(1/SUM(COUNTIFS(
'YearA-AppDetails Current Date'!A:A,D125,
'YearA-AppDetails Current Date'!F:F,E125,
'YearA-AppDetails Current Date'!E:E,--F125,
'YearA-AppDetails Current Date'!T:T,{"CDMT","RQMT","WAIT"},
'YearA-AppDetails Current Date'!I:I,"FALL"))), "")</f>
        <v/>
      </c>
      <c r="P125" s="74" t="str">
        <f>IFERROR(1/(1/COUNTIFS(
'YearA-AppDetails Current Date'!A:A,D125,
'YearA-AppDetails Current Date'!F:F,E125,
'YearA-AppDetails Current Date'!E:E,--F125,
'YearA-AppDetails Current Date'!Y:Y,"ENRO",
'YearA-AppDetails Current Date'!I:I,"FALL")),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HC'!D:T,4,FALSE)),
N(VLOOKUP(D126&amp;F126,'Budgeted Projections Dom HC'!D:T,5,FALSE))
)
),"")</f>
        <v/>
      </c>
      <c r="I126" s="73" t="str">
        <f>IFERROR(1/(1/COUNTIFS(
'YearA-AppDetails Current Date'!A:A,D126,
'YearA-AppDetails Current Date'!F:F,E126,
'YearA-AppDetails Current Date'!E:E,--F126,
'YearA-AppDetails Current Date'!I:I,"FALL")), "")</f>
        <v/>
      </c>
      <c r="J126" s="74" t="str" cm="1">
        <f t="array" ref="J126">IFERROR(1/(1/SUM(COUNTIFS(
'YearA-AppDetails Current Date'!A:A,D126,
'YearA-AppDetails Current Date'!F:F,E126,
'YearA-AppDetails Current Date'!E:E,--F126,
'YearA-AppDetails Current Date'!O:O,{"ACLN","ACPT","COND"},
'YearA-AppDetails Current Date'!S:S,"&lt;&gt;ACLN",
'YearA-AppDetails Current Date'!S:S,"&lt;&gt;ACPT",
'YearA-AppDetails Current Date'!S:S,"&lt;&gt;COND",
'YearA-AppDetails Current Date'!I:I,"FALL"))), "")</f>
        <v/>
      </c>
      <c r="K126" s="73" t="str">
        <f>IFERROR(1/(1/SUM(COUNTIFS(
'YearA-AppDetails Current Date'!A:A,D126,
'YearA-AppDetails Current Date'!F:F,E126,
'YearA-AppDetails Current Date'!E:E,--F126,
'YearA-AppDetails Current Date'!R:R,"&lt;&gt;"&amp;"",
'YearA-AppDetails Current Date'!I:I,"FALL"))), "")</f>
        <v/>
      </c>
      <c r="L126" s="74" t="str" cm="1">
        <f t="array" ref="L126">IFERROR(1/(1/SUM(COUNTIFS(
'YearA-AppDetails Current Date'!A:A,D126,
'YearA-AppDetails Current Date'!F:F,E126,
'YearA-AppDetails Current Date'!E:E,--F126,
'YearA-AppDetails Current Date'!T:T,{"APEX","DENY","NTSL"},
'YearA-AppDetails Current Date'!I:I,"FALL"))), "")</f>
        <v/>
      </c>
      <c r="M126" s="74" t="str" cm="1">
        <f t="array" ref="M126">IFERROR(1/(1/SUM(COUNTIFS(
'YearA-AppDetails Current Date'!A:A,D126,
'YearA-AppDetails Current Date'!F:F,E126,
'YearA-AppDetails Current Date'!E:E,--F126,
'YearA-AppDetails Current Date'!U:U,{"CCAN","DECL"},
'YearA-AppDetails Current Date'!I:I,"FALL"))), "")</f>
        <v/>
      </c>
      <c r="N126" s="74" t="str" cm="1">
        <f t="array" ref="N126">IFERROR(1/(1/SUM(COUNTIFS(
'YearA-AppDetails Current Date'!A:A,D126,
'YearA-AppDetails Current Date'!F:F,E126,
'YearA-AppDetails Current Date'!E:E,--F126,
'YearA-AppDetails Current Date'!V:V,{"APRO","NODE"},
'YearA-AppDetails Current Date'!I:I,"FALL"))), "")</f>
        <v/>
      </c>
      <c r="O126" s="74" t="str" cm="1">
        <f t="array" ref="O126">IFERROR(1/(1/SUM(COUNTIFS(
'YearA-AppDetails Current Date'!A:A,D126,
'YearA-AppDetails Current Date'!F:F,E126,
'YearA-AppDetails Current Date'!E:E,--F126,
'YearA-AppDetails Current Date'!T:T,{"CDMT","RQMT","WAIT"},
'YearA-AppDetails Current Date'!I:I,"FALL"))), "")</f>
        <v/>
      </c>
      <c r="P126" s="74" t="str">
        <f>IFERROR(1/(1/COUNTIFS(
'YearA-AppDetails Current Date'!A:A,D126,
'YearA-AppDetails Current Date'!F:F,E126,
'YearA-AppDetails Current Date'!E:E,--F126,
'YearA-AppDetails Current Date'!Y:Y,"ENRO",
'YearA-AppDetails Current Date'!I:I,"FALL")),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HC'!D:T,4,FALSE)),
N(VLOOKUP(D127&amp;F127,'Budgeted Projections Intl HC'!D:T,5,FALSE))
)
),"")</f>
        <v/>
      </c>
      <c r="I127" s="73" t="str">
        <f>IFERROR(1/(1/COUNTIFS(
'YearA-AppDetails Current Date'!A:A,D127,
'YearA-AppDetails Current Date'!F:F,E127,
'YearA-AppDetails Current Date'!E:E,--F127,
'YearA-AppDetails Current Date'!I:I,"FALL")), "")</f>
        <v/>
      </c>
      <c r="J127" s="74" t="str" cm="1">
        <f t="array" ref="J127">IFERROR(1/(1/SUM(COUNTIFS(
'YearA-AppDetails Current Date'!A:A,D127,
'YearA-AppDetails Current Date'!F:F,E127,
'YearA-AppDetails Current Date'!E:E,--F127,
'YearA-AppDetails Current Date'!O:O,{"ACLN","ACPT","COND"},
'YearA-AppDetails Current Date'!S:S,"&lt;&gt;ACLN",
'YearA-AppDetails Current Date'!S:S,"&lt;&gt;ACPT",
'YearA-AppDetails Current Date'!S:S,"&lt;&gt;COND",
'YearA-AppDetails Current Date'!I:I,"FALL"))), "")</f>
        <v/>
      </c>
      <c r="K127" s="73" t="str">
        <f>IFERROR(1/(1/SUM(COUNTIFS(
'YearA-AppDetails Current Date'!A:A,D127,
'YearA-AppDetails Current Date'!F:F,E127,
'YearA-AppDetails Current Date'!E:E,--F127,
'YearA-AppDetails Current Date'!R:R,"&lt;&gt;"&amp;"",
'YearA-AppDetails Current Date'!I:I,"FALL"))), "")</f>
        <v/>
      </c>
      <c r="L127" s="74" t="str" cm="1">
        <f t="array" ref="L127">IFERROR(1/(1/SUM(COUNTIFS(
'YearA-AppDetails Current Date'!A:A,D127,
'YearA-AppDetails Current Date'!F:F,E127,
'YearA-AppDetails Current Date'!E:E,--F127,
'YearA-AppDetails Current Date'!T:T,{"APEX","DENY","NTSL"},
'YearA-AppDetails Current Date'!I:I,"FALL"))), "")</f>
        <v/>
      </c>
      <c r="M127" s="74" t="str" cm="1">
        <f t="array" ref="M127">IFERROR(1/(1/SUM(COUNTIFS(
'YearA-AppDetails Current Date'!A:A,D127,
'YearA-AppDetails Current Date'!F:F,E127,
'YearA-AppDetails Current Date'!E:E,--F127,
'YearA-AppDetails Current Date'!U:U,{"CCAN","DECL"},
'YearA-AppDetails Current Date'!I:I,"FALL"))), "")</f>
        <v/>
      </c>
      <c r="N127" s="74" t="str" cm="1">
        <f t="array" ref="N127">IFERROR(1/(1/SUM(COUNTIFS(
'YearA-AppDetails Current Date'!A:A,D127,
'YearA-AppDetails Current Date'!F:F,E127,
'YearA-AppDetails Current Date'!E:E,--F127,
'YearA-AppDetails Current Date'!V:V,{"APRO","NODE"},
'YearA-AppDetails Current Date'!I:I,"FALL"))), "")</f>
        <v/>
      </c>
      <c r="O127" s="74" t="str" cm="1">
        <f t="array" ref="O127">IFERROR(1/(1/SUM(COUNTIFS(
'YearA-AppDetails Current Date'!A:A,D127,
'YearA-AppDetails Current Date'!F:F,E127,
'YearA-AppDetails Current Date'!E:E,--F127,
'YearA-AppDetails Current Date'!T:T,{"CDMT","RQMT","WAIT"},
'YearA-AppDetails Current Date'!I:I,"FALL"))), "")</f>
        <v/>
      </c>
      <c r="P127" s="74" t="str">
        <f>IFERROR(1/(1/COUNTIFS(
'YearA-AppDetails Current Date'!A:A,D127,
'YearA-AppDetails Current Date'!F:F,E127,
'YearA-AppDetails Current Date'!E:E,--F127,
'YearA-AppDetails Current Date'!Y:Y,"ENRO",
'YearA-AppDetails Current Date'!I:I,"FALL")),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HC'!D:T,4,FALSE)),
N(VLOOKUP(D129&amp;F129,'Budgeted Projections Dom HC'!D:T,5,FALSE))
)
),"")</f>
        <v/>
      </c>
      <c r="I129" s="73" t="str">
        <f>IFERROR(1/(1/COUNTIFS(
'YearA-AppDetails Current Date'!A:A,D129,
'YearA-AppDetails Current Date'!F:F,E129,
'YearA-AppDetails Current Date'!E:E,--F129,
'YearA-AppDetails Current Date'!I:I,"FALL")), "")</f>
        <v/>
      </c>
      <c r="J129" s="74" t="str" cm="1">
        <f t="array" ref="J129">IFERROR(1/(1/SUM(COUNTIFS(
'YearA-AppDetails Current Date'!A:A,D129,
'YearA-AppDetails Current Date'!F:F,E129,
'YearA-AppDetails Current Date'!E:E,--F129,
'YearA-AppDetails Current Date'!O:O,{"ACLN","ACPT","COND"},
'YearA-AppDetails Current Date'!S:S,"&lt;&gt;ACLN",
'YearA-AppDetails Current Date'!S:S,"&lt;&gt;ACPT",
'YearA-AppDetails Current Date'!S:S,"&lt;&gt;COND",
'YearA-AppDetails Current Date'!I:I,"FALL"))), "")</f>
        <v/>
      </c>
      <c r="K129" s="73" t="str">
        <f>IFERROR(1/(1/SUM(COUNTIFS(
'YearA-AppDetails Current Date'!A:A,D129,
'YearA-AppDetails Current Date'!F:F,E129,
'YearA-AppDetails Current Date'!E:E,--F129,
'YearA-AppDetails Current Date'!R:R,"&lt;&gt;"&amp;"",
'YearA-AppDetails Current Date'!I:I,"FALL"))), "")</f>
        <v/>
      </c>
      <c r="L129" s="74" t="str" cm="1">
        <f t="array" ref="L129">IFERROR(1/(1/SUM(COUNTIFS(
'YearA-AppDetails Current Date'!A:A,D129,
'YearA-AppDetails Current Date'!F:F,E129,
'YearA-AppDetails Current Date'!E:E,--F129,
'YearA-AppDetails Current Date'!T:T,{"APEX","DENY","NTSL"},
'YearA-AppDetails Current Date'!I:I,"FALL"))), "")</f>
        <v/>
      </c>
      <c r="M129" s="74" t="str" cm="1">
        <f t="array" ref="M129">IFERROR(1/(1/SUM(COUNTIFS(
'YearA-AppDetails Current Date'!A:A,D129,
'YearA-AppDetails Current Date'!F:F,E129,
'YearA-AppDetails Current Date'!E:E,--F129,
'YearA-AppDetails Current Date'!U:U,{"CCAN","DECL"},
'YearA-AppDetails Current Date'!I:I,"FALL"))), "")</f>
        <v/>
      </c>
      <c r="N129" s="74" t="str" cm="1">
        <f t="array" ref="N129">IFERROR(1/(1/SUM(COUNTIFS(
'YearA-AppDetails Current Date'!A:A,D129,
'YearA-AppDetails Current Date'!F:F,E129,
'YearA-AppDetails Current Date'!E:E,--F129,
'YearA-AppDetails Current Date'!V:V,{"APRO","NODE"},
'YearA-AppDetails Current Date'!I:I,"FALL"))), "")</f>
        <v/>
      </c>
      <c r="O129" s="74" t="str" cm="1">
        <f t="array" ref="O129">IFERROR(1/(1/SUM(COUNTIFS(
'YearA-AppDetails Current Date'!A:A,D129,
'YearA-AppDetails Current Date'!F:F,E129,
'YearA-AppDetails Current Date'!E:E,--F129,
'YearA-AppDetails Current Date'!T:T,{"CDMT","RQMT","WAIT"},
'YearA-AppDetails Current Date'!I:I,"FALL"))), "")</f>
        <v/>
      </c>
      <c r="P129" s="74" t="str">
        <f>IFERROR(1/(1/COUNTIFS(
'YearA-AppDetails Current Date'!A:A,D129,
'YearA-AppDetails Current Date'!F:F,E129,
'YearA-AppDetails Current Date'!E:E,--F129,
'YearA-AppDetails Current Date'!Y:Y,"ENRO",
'YearA-AppDetails Current Date'!I:I,"FALL")),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HC'!D:T,4,FALSE)),
N(VLOOKUP(D130&amp;F130,'Budgeted Projections Intl HC'!D:T,5,FALSE))
)
),"")</f>
        <v/>
      </c>
      <c r="I130" s="73" t="str">
        <f>IFERROR(1/(1/COUNTIFS(
'YearA-AppDetails Current Date'!A:A,D130,
'YearA-AppDetails Current Date'!F:F,E130,
'YearA-AppDetails Current Date'!E:E,--F130,
'YearA-AppDetails Current Date'!I:I,"FALL")), "")</f>
        <v/>
      </c>
      <c r="J130" s="74" t="str" cm="1">
        <f t="array" ref="J130">IFERROR(1/(1/SUM(COUNTIFS(
'YearA-AppDetails Current Date'!A:A,D130,
'YearA-AppDetails Current Date'!F:F,E130,
'YearA-AppDetails Current Date'!E:E,--F130,
'YearA-AppDetails Current Date'!O:O,{"ACLN","ACPT","COND"},
'YearA-AppDetails Current Date'!S:S,"&lt;&gt;ACLN",
'YearA-AppDetails Current Date'!S:S,"&lt;&gt;ACPT",
'YearA-AppDetails Current Date'!S:S,"&lt;&gt;COND",
'YearA-AppDetails Current Date'!I:I,"FALL"))), "")</f>
        <v/>
      </c>
      <c r="K130" s="73" t="str">
        <f>IFERROR(1/(1/SUM(COUNTIFS(
'YearA-AppDetails Current Date'!A:A,D130,
'YearA-AppDetails Current Date'!F:F,E130,
'YearA-AppDetails Current Date'!E:E,--F130,
'YearA-AppDetails Current Date'!R:R,"&lt;&gt;"&amp;"",
'YearA-AppDetails Current Date'!I:I,"FALL"))), "")</f>
        <v/>
      </c>
      <c r="L130" s="74" t="str" cm="1">
        <f t="array" ref="L130">IFERROR(1/(1/SUM(COUNTIFS(
'YearA-AppDetails Current Date'!A:A,D130,
'YearA-AppDetails Current Date'!F:F,E130,
'YearA-AppDetails Current Date'!E:E,--F130,
'YearA-AppDetails Current Date'!T:T,{"APEX","DENY","NTSL"},
'YearA-AppDetails Current Date'!I:I,"FALL"))), "")</f>
        <v/>
      </c>
      <c r="M130" s="74" t="str" cm="1">
        <f t="array" ref="M130">IFERROR(1/(1/SUM(COUNTIFS(
'YearA-AppDetails Current Date'!A:A,D130,
'YearA-AppDetails Current Date'!F:F,E130,
'YearA-AppDetails Current Date'!E:E,--F130,
'YearA-AppDetails Current Date'!U:U,{"CCAN","DECL"},
'YearA-AppDetails Current Date'!I:I,"FALL"))), "")</f>
        <v/>
      </c>
      <c r="N130" s="74" t="str" cm="1">
        <f t="array" ref="N130">IFERROR(1/(1/SUM(COUNTIFS(
'YearA-AppDetails Current Date'!A:A,D130,
'YearA-AppDetails Current Date'!F:F,E130,
'YearA-AppDetails Current Date'!E:E,--F130,
'YearA-AppDetails Current Date'!V:V,{"APRO","NODE"},
'YearA-AppDetails Current Date'!I:I,"FALL"))), "")</f>
        <v/>
      </c>
      <c r="O130" s="74" t="str" cm="1">
        <f t="array" ref="O130">IFERROR(1/(1/SUM(COUNTIFS(
'YearA-AppDetails Current Date'!A:A,D130,
'YearA-AppDetails Current Date'!F:F,E130,
'YearA-AppDetails Current Date'!E:E,--F130,
'YearA-AppDetails Current Date'!T:T,{"CDMT","RQMT","WAIT"},
'YearA-AppDetails Current Date'!I:I,"FALL"))), "")</f>
        <v/>
      </c>
      <c r="P130" s="74" t="str">
        <f>IFERROR(1/(1/COUNTIFS(
'YearA-AppDetails Current Date'!A:A,D130,
'YearA-AppDetails Current Date'!F:F,E130,
'YearA-AppDetails Current Date'!E:E,--F130,
'YearA-AppDetails Current Date'!Y:Y,"ENRO",
'YearA-AppDetails Current Date'!I:I,"FALL")),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HC'!D:T,4,FALSE)),
N(VLOOKUP(D131&amp;F131,'Budgeted Projections Dom HC'!D:T,5,FALSE))
)
),"")</f>
        <v/>
      </c>
      <c r="I131" s="73" t="str">
        <f>IFERROR(1/(1/COUNTIFS(
'YearA-AppDetails Current Date'!A:A,D131,
'YearA-AppDetails Current Date'!F:F,E131,
'YearA-AppDetails Current Date'!E:E,--F131,
'YearA-AppDetails Current Date'!I:I,"FALL")), "")</f>
        <v/>
      </c>
      <c r="J131" s="74" t="str" cm="1">
        <f t="array" ref="J131">IFERROR(1/(1/SUM(COUNTIFS(
'YearA-AppDetails Current Date'!A:A,D131,
'YearA-AppDetails Current Date'!F:F,E131,
'YearA-AppDetails Current Date'!E:E,--F131,
'YearA-AppDetails Current Date'!O:O,{"ACLN","ACPT","COND"},
'YearA-AppDetails Current Date'!S:S,"&lt;&gt;ACLN",
'YearA-AppDetails Current Date'!S:S,"&lt;&gt;ACPT",
'YearA-AppDetails Current Date'!S:S,"&lt;&gt;COND",
'YearA-AppDetails Current Date'!I:I,"FALL"))), "")</f>
        <v/>
      </c>
      <c r="K131" s="73" t="str">
        <f>IFERROR(1/(1/SUM(COUNTIFS(
'YearA-AppDetails Current Date'!A:A,D131,
'YearA-AppDetails Current Date'!F:F,E131,
'YearA-AppDetails Current Date'!E:E,--F131,
'YearA-AppDetails Current Date'!R:R,"&lt;&gt;"&amp;"",
'YearA-AppDetails Current Date'!I:I,"FALL"))), "")</f>
        <v/>
      </c>
      <c r="L131" s="74" t="str" cm="1">
        <f t="array" ref="L131">IFERROR(1/(1/SUM(COUNTIFS(
'YearA-AppDetails Current Date'!A:A,D131,
'YearA-AppDetails Current Date'!F:F,E131,
'YearA-AppDetails Current Date'!E:E,--F131,
'YearA-AppDetails Current Date'!T:T,{"APEX","DENY","NTSL"},
'YearA-AppDetails Current Date'!I:I,"FALL"))), "")</f>
        <v/>
      </c>
      <c r="M131" s="74" t="str" cm="1">
        <f t="array" ref="M131">IFERROR(1/(1/SUM(COUNTIFS(
'YearA-AppDetails Current Date'!A:A,D131,
'YearA-AppDetails Current Date'!F:F,E131,
'YearA-AppDetails Current Date'!E:E,--F131,
'YearA-AppDetails Current Date'!U:U,{"CCAN","DECL"},
'YearA-AppDetails Current Date'!I:I,"FALL"))), "")</f>
        <v/>
      </c>
      <c r="N131" s="74" t="str" cm="1">
        <f t="array" ref="N131">IFERROR(1/(1/SUM(COUNTIFS(
'YearA-AppDetails Current Date'!A:A,D131,
'YearA-AppDetails Current Date'!F:F,E131,
'YearA-AppDetails Current Date'!E:E,--F131,
'YearA-AppDetails Current Date'!V:V,{"APRO","NODE"},
'YearA-AppDetails Current Date'!I:I,"FALL"))), "")</f>
        <v/>
      </c>
      <c r="O131" s="74" t="str" cm="1">
        <f t="array" ref="O131">IFERROR(1/(1/SUM(COUNTIFS(
'YearA-AppDetails Current Date'!A:A,D131,
'YearA-AppDetails Current Date'!F:F,E131,
'YearA-AppDetails Current Date'!E:E,--F131,
'YearA-AppDetails Current Date'!T:T,{"CDMT","RQMT","WAIT"},
'YearA-AppDetails Current Date'!I:I,"FALL"))), "")</f>
        <v/>
      </c>
      <c r="P131" s="74" t="str">
        <f>IFERROR(1/(1/COUNTIFS(
'YearA-AppDetails Current Date'!A:A,D131,
'YearA-AppDetails Current Date'!F:F,E131,
'YearA-AppDetails Current Date'!E:E,--F131,
'YearA-AppDetails Current Date'!Y:Y,"ENRO",
'YearA-AppDetails Current Date'!I:I,"FALL")),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HC'!D:T,4,FALSE)),
N(VLOOKUP(D132&amp;F132,'Budgeted Projections Intl HC'!D:T,5,FALSE))
)
),"")</f>
        <v/>
      </c>
      <c r="I132" s="73" t="str">
        <f>IFERROR(1/(1/COUNTIFS(
'YearA-AppDetails Current Date'!A:A,D132,
'YearA-AppDetails Current Date'!F:F,E132,
'YearA-AppDetails Current Date'!E:E,--F132,
'YearA-AppDetails Current Date'!I:I,"FALL")), "")</f>
        <v/>
      </c>
      <c r="J132" s="74" t="str" cm="1">
        <f t="array" ref="J132">IFERROR(1/(1/SUM(COUNTIFS(
'YearA-AppDetails Current Date'!A:A,D132,
'YearA-AppDetails Current Date'!F:F,E132,
'YearA-AppDetails Current Date'!E:E,--F132,
'YearA-AppDetails Current Date'!O:O,{"ACLN","ACPT","COND"},
'YearA-AppDetails Current Date'!S:S,"&lt;&gt;ACLN",
'YearA-AppDetails Current Date'!S:S,"&lt;&gt;ACPT",
'YearA-AppDetails Current Date'!S:S,"&lt;&gt;COND",
'YearA-AppDetails Current Date'!I:I,"FALL"))), "")</f>
        <v/>
      </c>
      <c r="K132" s="73" t="str">
        <f>IFERROR(1/(1/SUM(COUNTIFS(
'YearA-AppDetails Current Date'!A:A,D132,
'YearA-AppDetails Current Date'!F:F,E132,
'YearA-AppDetails Current Date'!E:E,--F132,
'YearA-AppDetails Current Date'!R:R,"&lt;&gt;"&amp;"",
'YearA-AppDetails Current Date'!I:I,"FALL"))), "")</f>
        <v/>
      </c>
      <c r="L132" s="74" t="str" cm="1">
        <f t="array" ref="L132">IFERROR(1/(1/SUM(COUNTIFS(
'YearA-AppDetails Current Date'!A:A,D132,
'YearA-AppDetails Current Date'!F:F,E132,
'YearA-AppDetails Current Date'!E:E,--F132,
'YearA-AppDetails Current Date'!T:T,{"APEX","DENY","NTSL"},
'YearA-AppDetails Current Date'!I:I,"FALL"))), "")</f>
        <v/>
      </c>
      <c r="M132" s="74" t="str" cm="1">
        <f t="array" ref="M132">IFERROR(1/(1/SUM(COUNTIFS(
'YearA-AppDetails Current Date'!A:A,D132,
'YearA-AppDetails Current Date'!F:F,E132,
'YearA-AppDetails Current Date'!E:E,--F132,
'YearA-AppDetails Current Date'!U:U,{"CCAN","DECL"},
'YearA-AppDetails Current Date'!I:I,"FALL"))), "")</f>
        <v/>
      </c>
      <c r="N132" s="74" t="str" cm="1">
        <f t="array" ref="N132">IFERROR(1/(1/SUM(COUNTIFS(
'YearA-AppDetails Current Date'!A:A,D132,
'YearA-AppDetails Current Date'!F:F,E132,
'YearA-AppDetails Current Date'!E:E,--F132,
'YearA-AppDetails Current Date'!V:V,{"APRO","NODE"},
'YearA-AppDetails Current Date'!I:I,"FALL"))), "")</f>
        <v/>
      </c>
      <c r="O132" s="74" t="str" cm="1">
        <f t="array" ref="O132">IFERROR(1/(1/SUM(COUNTIFS(
'YearA-AppDetails Current Date'!A:A,D132,
'YearA-AppDetails Current Date'!F:F,E132,
'YearA-AppDetails Current Date'!E:E,--F132,
'YearA-AppDetails Current Date'!T:T,{"CDMT","RQMT","WAIT"},
'YearA-AppDetails Current Date'!I:I,"FALL"))), "")</f>
        <v/>
      </c>
      <c r="P132" s="74" t="str">
        <f>IFERROR(1/(1/COUNTIFS(
'YearA-AppDetails Current Date'!A:A,D132,
'YearA-AppDetails Current Date'!F:F,E132,
'YearA-AppDetails Current Date'!E:E,--F132,
'YearA-AppDetails Current Date'!Y:Y,"ENRO",
'YearA-AppDetails Current Date'!I:I,"FALL")),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HC'!D:T,4,FALSE)),
N(VLOOKUP(D133&amp;F133,'Budgeted Projections Dom HC'!D:T,5,FALSE))
)
),"")</f>
        <v/>
      </c>
      <c r="I133" s="73" t="str">
        <f>IFERROR(1/(1/COUNTIFS(
'YearA-AppDetails Current Date'!A:A,D133,
'YearA-AppDetails Current Date'!F:F,E133,
'YearA-AppDetails Current Date'!E:E,--F133,
'YearA-AppDetails Current Date'!I:I,"FALL")), "")</f>
        <v/>
      </c>
      <c r="J133" s="74" t="str" cm="1">
        <f t="array" ref="J133">IFERROR(1/(1/SUM(COUNTIFS(
'YearA-AppDetails Current Date'!A:A,D133,
'YearA-AppDetails Current Date'!F:F,E133,
'YearA-AppDetails Current Date'!E:E,--F133,
'YearA-AppDetails Current Date'!O:O,{"ACLN","ACPT","COND"},
'YearA-AppDetails Current Date'!S:S,"&lt;&gt;ACLN",
'YearA-AppDetails Current Date'!S:S,"&lt;&gt;ACPT",
'YearA-AppDetails Current Date'!S:S,"&lt;&gt;COND",
'YearA-AppDetails Current Date'!I:I,"FALL"))), "")</f>
        <v/>
      </c>
      <c r="K133" s="73" t="str">
        <f>IFERROR(1/(1/SUM(COUNTIFS(
'YearA-AppDetails Current Date'!A:A,D133,
'YearA-AppDetails Current Date'!F:F,E133,
'YearA-AppDetails Current Date'!E:E,--F133,
'YearA-AppDetails Current Date'!R:R,"&lt;&gt;"&amp;"",
'YearA-AppDetails Current Date'!I:I,"FALL"))), "")</f>
        <v/>
      </c>
      <c r="L133" s="74" t="str" cm="1">
        <f t="array" ref="L133">IFERROR(1/(1/SUM(COUNTIFS(
'YearA-AppDetails Current Date'!A:A,D133,
'YearA-AppDetails Current Date'!F:F,E133,
'YearA-AppDetails Current Date'!E:E,--F133,
'YearA-AppDetails Current Date'!T:T,{"APEX","DENY","NTSL"},
'YearA-AppDetails Current Date'!I:I,"FALL"))), "")</f>
        <v/>
      </c>
      <c r="M133" s="74" t="str" cm="1">
        <f t="array" ref="M133">IFERROR(1/(1/SUM(COUNTIFS(
'YearA-AppDetails Current Date'!A:A,D133,
'YearA-AppDetails Current Date'!F:F,E133,
'YearA-AppDetails Current Date'!E:E,--F133,
'YearA-AppDetails Current Date'!U:U,{"CCAN","DECL"},
'YearA-AppDetails Current Date'!I:I,"FALL"))), "")</f>
        <v/>
      </c>
      <c r="N133" s="74" t="str" cm="1">
        <f t="array" ref="N133">IFERROR(1/(1/SUM(COUNTIFS(
'YearA-AppDetails Current Date'!A:A,D133,
'YearA-AppDetails Current Date'!F:F,E133,
'YearA-AppDetails Current Date'!E:E,--F133,
'YearA-AppDetails Current Date'!V:V,{"APRO","NODE"},
'YearA-AppDetails Current Date'!I:I,"FALL"))), "")</f>
        <v/>
      </c>
      <c r="O133" s="74" t="str" cm="1">
        <f t="array" ref="O133">IFERROR(1/(1/SUM(COUNTIFS(
'YearA-AppDetails Current Date'!A:A,D133,
'YearA-AppDetails Current Date'!F:F,E133,
'YearA-AppDetails Current Date'!E:E,--F133,
'YearA-AppDetails Current Date'!T:T,{"CDMT","RQMT","WAIT"},
'YearA-AppDetails Current Date'!I:I,"FALL"))), "")</f>
        <v/>
      </c>
      <c r="P133" s="74" t="str">
        <f>IFERROR(1/(1/COUNTIFS(
'YearA-AppDetails Current Date'!A:A,D133,
'YearA-AppDetails Current Date'!F:F,E133,
'YearA-AppDetails Current Date'!E:E,--F133,
'YearA-AppDetails Current Date'!Y:Y,"ENRO",
'YearA-AppDetails Current Date'!I:I,"FALL")),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HC'!D:T,4,FALSE)),
N(VLOOKUP(D134&amp;F134,'Budgeted Projections Intl HC'!D:T,5,FALSE))
)
),"")</f>
        <v/>
      </c>
      <c r="I134" s="73" t="str">
        <f>IFERROR(1/(1/COUNTIFS(
'YearA-AppDetails Current Date'!A:A,D134,
'YearA-AppDetails Current Date'!F:F,E134,
'YearA-AppDetails Current Date'!E:E,--F134,
'YearA-AppDetails Current Date'!I:I,"FALL")), "")</f>
        <v/>
      </c>
      <c r="J134" s="74" t="str" cm="1">
        <f t="array" ref="J134">IFERROR(1/(1/SUM(COUNTIFS(
'YearA-AppDetails Current Date'!A:A,D134,
'YearA-AppDetails Current Date'!F:F,E134,
'YearA-AppDetails Current Date'!E:E,--F134,
'YearA-AppDetails Current Date'!O:O,{"ACLN","ACPT","COND"},
'YearA-AppDetails Current Date'!S:S,"&lt;&gt;ACLN",
'YearA-AppDetails Current Date'!S:S,"&lt;&gt;ACPT",
'YearA-AppDetails Current Date'!S:S,"&lt;&gt;COND",
'YearA-AppDetails Current Date'!I:I,"FALL"))), "")</f>
        <v/>
      </c>
      <c r="K134" s="73" t="str">
        <f>IFERROR(1/(1/SUM(COUNTIFS(
'YearA-AppDetails Current Date'!A:A,D134,
'YearA-AppDetails Current Date'!F:F,E134,
'YearA-AppDetails Current Date'!E:E,--F134,
'YearA-AppDetails Current Date'!R:R,"&lt;&gt;"&amp;"",
'YearA-AppDetails Current Date'!I:I,"FALL"))), "")</f>
        <v/>
      </c>
      <c r="L134" s="74" t="str" cm="1">
        <f t="array" ref="L134">IFERROR(1/(1/SUM(COUNTIFS(
'YearA-AppDetails Current Date'!A:A,D134,
'YearA-AppDetails Current Date'!F:F,E134,
'YearA-AppDetails Current Date'!E:E,--F134,
'YearA-AppDetails Current Date'!T:T,{"APEX","DENY","NTSL"},
'YearA-AppDetails Current Date'!I:I,"FALL"))), "")</f>
        <v/>
      </c>
      <c r="M134" s="74" t="str" cm="1">
        <f t="array" ref="M134">IFERROR(1/(1/SUM(COUNTIFS(
'YearA-AppDetails Current Date'!A:A,D134,
'YearA-AppDetails Current Date'!F:F,E134,
'YearA-AppDetails Current Date'!E:E,--F134,
'YearA-AppDetails Current Date'!U:U,{"CCAN","DECL"},
'YearA-AppDetails Current Date'!I:I,"FALL"))), "")</f>
        <v/>
      </c>
      <c r="N134" s="74" t="str" cm="1">
        <f t="array" ref="N134">IFERROR(1/(1/SUM(COUNTIFS(
'YearA-AppDetails Current Date'!A:A,D134,
'YearA-AppDetails Current Date'!F:F,E134,
'YearA-AppDetails Current Date'!E:E,--F134,
'YearA-AppDetails Current Date'!V:V,{"APRO","NODE"},
'YearA-AppDetails Current Date'!I:I,"FALL"))), "")</f>
        <v/>
      </c>
      <c r="O134" s="74" t="str" cm="1">
        <f t="array" ref="O134">IFERROR(1/(1/SUM(COUNTIFS(
'YearA-AppDetails Current Date'!A:A,D134,
'YearA-AppDetails Current Date'!F:F,E134,
'YearA-AppDetails Current Date'!E:E,--F134,
'YearA-AppDetails Current Date'!T:T,{"CDMT","RQMT","WAIT"},
'YearA-AppDetails Current Date'!I:I,"FALL"))), "")</f>
        <v/>
      </c>
      <c r="P134" s="74" t="str">
        <f>IFERROR(1/(1/COUNTIFS(
'YearA-AppDetails Current Date'!A:A,D134,
'YearA-AppDetails Current Date'!F:F,E134,
'YearA-AppDetails Current Date'!E:E,--F134,
'YearA-AppDetails Current Date'!Y:Y,"ENRO",
'YearA-AppDetails Current Date'!I:I,"FALL")),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HC'!D:T,4,FALSE)),
N(VLOOKUP(D135&amp;F135,'Budgeted Projections Dom HC'!D:T,5,FALSE))
)
),"")</f>
        <v/>
      </c>
      <c r="I135" s="73" t="str">
        <f>IFERROR(1/(1/COUNTIFS(
'YearA-AppDetails Current Date'!A:A,D135,
'YearA-AppDetails Current Date'!F:F,E135,
'YearA-AppDetails Current Date'!E:E,--F135,
'YearA-AppDetails Current Date'!I:I,"FALL")), "")</f>
        <v/>
      </c>
      <c r="J135" s="74" t="str" cm="1">
        <f t="array" ref="J135">IFERROR(1/(1/SUM(COUNTIFS(
'YearA-AppDetails Current Date'!A:A,D135,
'YearA-AppDetails Current Date'!F:F,E135,
'YearA-AppDetails Current Date'!E:E,--F135,
'YearA-AppDetails Current Date'!O:O,{"ACLN","ACPT","COND"},
'YearA-AppDetails Current Date'!S:S,"&lt;&gt;ACLN",
'YearA-AppDetails Current Date'!S:S,"&lt;&gt;ACPT",
'YearA-AppDetails Current Date'!S:S,"&lt;&gt;COND",
'YearA-AppDetails Current Date'!I:I,"FALL"))), "")</f>
        <v/>
      </c>
      <c r="K135" s="73" t="str">
        <f>IFERROR(1/(1/SUM(COUNTIFS(
'YearA-AppDetails Current Date'!A:A,D135,
'YearA-AppDetails Current Date'!F:F,E135,
'YearA-AppDetails Current Date'!E:E,--F135,
'YearA-AppDetails Current Date'!R:R,"&lt;&gt;"&amp;"",
'YearA-AppDetails Current Date'!I:I,"FALL"))), "")</f>
        <v/>
      </c>
      <c r="L135" s="74" t="str" cm="1">
        <f t="array" ref="L135">IFERROR(1/(1/SUM(COUNTIFS(
'YearA-AppDetails Current Date'!A:A,D135,
'YearA-AppDetails Current Date'!F:F,E135,
'YearA-AppDetails Current Date'!E:E,--F135,
'YearA-AppDetails Current Date'!T:T,{"APEX","DENY","NTSL"},
'YearA-AppDetails Current Date'!I:I,"FALL"))), "")</f>
        <v/>
      </c>
      <c r="M135" s="74" t="str" cm="1">
        <f t="array" ref="M135">IFERROR(1/(1/SUM(COUNTIFS(
'YearA-AppDetails Current Date'!A:A,D135,
'YearA-AppDetails Current Date'!F:F,E135,
'YearA-AppDetails Current Date'!E:E,--F135,
'YearA-AppDetails Current Date'!U:U,{"CCAN","DECL"},
'YearA-AppDetails Current Date'!I:I,"FALL"))), "")</f>
        <v/>
      </c>
      <c r="N135" s="74" t="str" cm="1">
        <f t="array" ref="N135">IFERROR(1/(1/SUM(COUNTIFS(
'YearA-AppDetails Current Date'!A:A,D135,
'YearA-AppDetails Current Date'!F:F,E135,
'YearA-AppDetails Current Date'!E:E,--F135,
'YearA-AppDetails Current Date'!V:V,{"APRO","NODE"},
'YearA-AppDetails Current Date'!I:I,"FALL"))), "")</f>
        <v/>
      </c>
      <c r="O135" s="74" t="str" cm="1">
        <f t="array" ref="O135">IFERROR(1/(1/SUM(COUNTIFS(
'YearA-AppDetails Current Date'!A:A,D135,
'YearA-AppDetails Current Date'!F:F,E135,
'YearA-AppDetails Current Date'!E:E,--F135,
'YearA-AppDetails Current Date'!T:T,{"CDMT","RQMT","WAIT"},
'YearA-AppDetails Current Date'!I:I,"FALL"))), "")</f>
        <v/>
      </c>
      <c r="P135" s="74" t="str">
        <f>IFERROR(1/(1/COUNTIFS(
'YearA-AppDetails Current Date'!A:A,D135,
'YearA-AppDetails Current Date'!F:F,E135,
'YearA-AppDetails Current Date'!E:E,--F135,
'YearA-AppDetails Current Date'!Y:Y,"ENRO",
'YearA-AppDetails Current Date'!I:I,"FALL")),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HC'!D:T,4,FALSE)),
N(VLOOKUP(D136&amp;F136,'Budgeted Projections Intl HC'!D:T,5,FALSE))
)
),"")</f>
        <v/>
      </c>
      <c r="I136" s="73" t="str">
        <f>IFERROR(1/(1/COUNTIFS(
'YearA-AppDetails Current Date'!A:A,D136,
'YearA-AppDetails Current Date'!F:F,E136,
'YearA-AppDetails Current Date'!E:E,--F136,
'YearA-AppDetails Current Date'!I:I,"FALL")), "")</f>
        <v/>
      </c>
      <c r="J136" s="74" t="str" cm="1">
        <f t="array" ref="J136">IFERROR(1/(1/SUM(COUNTIFS(
'YearA-AppDetails Current Date'!A:A,D136,
'YearA-AppDetails Current Date'!F:F,E136,
'YearA-AppDetails Current Date'!E:E,--F136,
'YearA-AppDetails Current Date'!O:O,{"ACLN","ACPT","COND"},
'YearA-AppDetails Current Date'!S:S,"&lt;&gt;ACLN",
'YearA-AppDetails Current Date'!S:S,"&lt;&gt;ACPT",
'YearA-AppDetails Current Date'!S:S,"&lt;&gt;COND",
'YearA-AppDetails Current Date'!I:I,"FALL"))), "")</f>
        <v/>
      </c>
      <c r="K136" s="73" t="str">
        <f>IFERROR(1/(1/SUM(COUNTIFS(
'YearA-AppDetails Current Date'!A:A,D136,
'YearA-AppDetails Current Date'!F:F,E136,
'YearA-AppDetails Current Date'!E:E,--F136,
'YearA-AppDetails Current Date'!R:R,"&lt;&gt;"&amp;"",
'YearA-AppDetails Current Date'!I:I,"FALL"))), "")</f>
        <v/>
      </c>
      <c r="L136" s="74" t="str" cm="1">
        <f t="array" ref="L136">IFERROR(1/(1/SUM(COUNTIFS(
'YearA-AppDetails Current Date'!A:A,D136,
'YearA-AppDetails Current Date'!F:F,E136,
'YearA-AppDetails Current Date'!E:E,--F136,
'YearA-AppDetails Current Date'!T:T,{"APEX","DENY","NTSL"},
'YearA-AppDetails Current Date'!I:I,"FALL"))), "")</f>
        <v/>
      </c>
      <c r="M136" s="74" t="str" cm="1">
        <f t="array" ref="M136">IFERROR(1/(1/SUM(COUNTIFS(
'YearA-AppDetails Current Date'!A:A,D136,
'YearA-AppDetails Current Date'!F:F,E136,
'YearA-AppDetails Current Date'!E:E,--F136,
'YearA-AppDetails Current Date'!U:U,{"CCAN","DECL"},
'YearA-AppDetails Current Date'!I:I,"FALL"))), "")</f>
        <v/>
      </c>
      <c r="N136" s="74" t="str" cm="1">
        <f t="array" ref="N136">IFERROR(1/(1/SUM(COUNTIFS(
'YearA-AppDetails Current Date'!A:A,D136,
'YearA-AppDetails Current Date'!F:F,E136,
'YearA-AppDetails Current Date'!E:E,--F136,
'YearA-AppDetails Current Date'!V:V,{"APRO","NODE"},
'YearA-AppDetails Current Date'!I:I,"FALL"))), "")</f>
        <v/>
      </c>
      <c r="O136" s="74" t="str" cm="1">
        <f t="array" ref="O136">IFERROR(1/(1/SUM(COUNTIFS(
'YearA-AppDetails Current Date'!A:A,D136,
'YearA-AppDetails Current Date'!F:F,E136,
'YearA-AppDetails Current Date'!E:E,--F136,
'YearA-AppDetails Current Date'!T:T,{"CDMT","RQMT","WAIT"},
'YearA-AppDetails Current Date'!I:I,"FALL"))), "")</f>
        <v/>
      </c>
      <c r="P136" s="74" t="str">
        <f>IFERROR(1/(1/COUNTIFS(
'YearA-AppDetails Current Date'!A:A,D136,
'YearA-AppDetails Current Date'!F:F,E136,
'YearA-AppDetails Current Date'!E:E,--F136,
'YearA-AppDetails Current Date'!Y:Y,"ENRO",
'YearA-AppDetails Current Date'!I:I,"FALL")),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HC'!D:T,4,FALSE)),
N(VLOOKUP(D137&amp;F137,'Budgeted Projections Dom HC'!D:T,5,FALSE))
)
),"")</f>
        <v/>
      </c>
      <c r="I137" s="73" t="str">
        <f>IFERROR(1/(1/COUNTIFS(
'YearA-AppDetails Current Date'!A:A,D137,
'YearA-AppDetails Current Date'!F:F,E137,
'YearA-AppDetails Current Date'!E:E,--F137,
'YearA-AppDetails Current Date'!I:I,"FALL")), "")</f>
        <v/>
      </c>
      <c r="J137" s="74" t="str" cm="1">
        <f t="array" ref="J137">IFERROR(1/(1/SUM(COUNTIFS(
'YearA-AppDetails Current Date'!A:A,D137,
'YearA-AppDetails Current Date'!F:F,E137,
'YearA-AppDetails Current Date'!E:E,--F137,
'YearA-AppDetails Current Date'!O:O,{"ACLN","ACPT","COND"},
'YearA-AppDetails Current Date'!S:S,"&lt;&gt;ACLN",
'YearA-AppDetails Current Date'!S:S,"&lt;&gt;ACPT",
'YearA-AppDetails Current Date'!S:S,"&lt;&gt;COND",
'YearA-AppDetails Current Date'!I:I,"FALL"))), "")</f>
        <v/>
      </c>
      <c r="K137" s="73" t="str">
        <f>IFERROR(1/(1/SUM(COUNTIFS(
'YearA-AppDetails Current Date'!A:A,D137,
'YearA-AppDetails Current Date'!F:F,E137,
'YearA-AppDetails Current Date'!E:E,--F137,
'YearA-AppDetails Current Date'!R:R,"&lt;&gt;"&amp;"",
'YearA-AppDetails Current Date'!I:I,"FALL"))), "")</f>
        <v/>
      </c>
      <c r="L137" s="74" t="str" cm="1">
        <f t="array" ref="L137">IFERROR(1/(1/SUM(COUNTIFS(
'YearA-AppDetails Current Date'!A:A,D137,
'YearA-AppDetails Current Date'!F:F,E137,
'YearA-AppDetails Current Date'!E:E,--F137,
'YearA-AppDetails Current Date'!T:T,{"APEX","DENY","NTSL"},
'YearA-AppDetails Current Date'!I:I,"FALL"))), "")</f>
        <v/>
      </c>
      <c r="M137" s="74" t="str" cm="1">
        <f t="array" ref="M137">IFERROR(1/(1/SUM(COUNTIFS(
'YearA-AppDetails Current Date'!A:A,D137,
'YearA-AppDetails Current Date'!F:F,E137,
'YearA-AppDetails Current Date'!E:E,--F137,
'YearA-AppDetails Current Date'!U:U,{"CCAN","DECL"},
'YearA-AppDetails Current Date'!I:I,"FALL"))), "")</f>
        <v/>
      </c>
      <c r="N137" s="74" t="str" cm="1">
        <f t="array" ref="N137">IFERROR(1/(1/SUM(COUNTIFS(
'YearA-AppDetails Current Date'!A:A,D137,
'YearA-AppDetails Current Date'!F:F,E137,
'YearA-AppDetails Current Date'!E:E,--F137,
'YearA-AppDetails Current Date'!V:V,{"APRO","NODE"},
'YearA-AppDetails Current Date'!I:I,"FALL"))), "")</f>
        <v/>
      </c>
      <c r="O137" s="74" t="str" cm="1">
        <f t="array" ref="O137">IFERROR(1/(1/SUM(COUNTIFS(
'YearA-AppDetails Current Date'!A:A,D137,
'YearA-AppDetails Current Date'!F:F,E137,
'YearA-AppDetails Current Date'!E:E,--F137,
'YearA-AppDetails Current Date'!T:T,{"CDMT","RQMT","WAIT"},
'YearA-AppDetails Current Date'!I:I,"FALL"))), "")</f>
        <v/>
      </c>
      <c r="P137" s="74" t="str">
        <f>IFERROR(1/(1/COUNTIFS(
'YearA-AppDetails Current Date'!A:A,D137,
'YearA-AppDetails Current Date'!F:F,E137,
'YearA-AppDetails Current Date'!E:E,--F137,
'YearA-AppDetails Current Date'!Y:Y,"ENRO",
'YearA-AppDetails Current Date'!I:I,"FALL")),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HC'!D:T,4,FALSE)),
N(VLOOKUP(D138&amp;F138,'Budgeted Projections Intl HC'!D:T,5,FALSE))
)
),"")</f>
        <v/>
      </c>
      <c r="I138" s="73" t="str">
        <f>IFERROR(1/(1/COUNTIFS(
'YearA-AppDetails Current Date'!A:A,D138,
'YearA-AppDetails Current Date'!F:F,E138,
'YearA-AppDetails Current Date'!E:E,--F138,
'YearA-AppDetails Current Date'!I:I,"FALL")), "")</f>
        <v/>
      </c>
      <c r="J138" s="74" t="str" cm="1">
        <f t="array" ref="J138">IFERROR(1/(1/SUM(COUNTIFS(
'YearA-AppDetails Current Date'!A:A,D138,
'YearA-AppDetails Current Date'!F:F,E138,
'YearA-AppDetails Current Date'!E:E,--F138,
'YearA-AppDetails Current Date'!O:O,{"ACLN","ACPT","COND"},
'YearA-AppDetails Current Date'!S:S,"&lt;&gt;ACLN",
'YearA-AppDetails Current Date'!S:S,"&lt;&gt;ACPT",
'YearA-AppDetails Current Date'!S:S,"&lt;&gt;COND",
'YearA-AppDetails Current Date'!I:I,"FALL"))), "")</f>
        <v/>
      </c>
      <c r="K138" s="73" t="str">
        <f>IFERROR(1/(1/SUM(COUNTIFS(
'YearA-AppDetails Current Date'!A:A,D138,
'YearA-AppDetails Current Date'!F:F,E138,
'YearA-AppDetails Current Date'!E:E,--F138,
'YearA-AppDetails Current Date'!R:R,"&lt;&gt;"&amp;"",
'YearA-AppDetails Current Date'!I:I,"FALL"))), "")</f>
        <v/>
      </c>
      <c r="L138" s="74" t="str" cm="1">
        <f t="array" ref="L138">IFERROR(1/(1/SUM(COUNTIFS(
'YearA-AppDetails Current Date'!A:A,D138,
'YearA-AppDetails Current Date'!F:F,E138,
'YearA-AppDetails Current Date'!E:E,--F138,
'YearA-AppDetails Current Date'!T:T,{"APEX","DENY","NTSL"},
'YearA-AppDetails Current Date'!I:I,"FALL"))), "")</f>
        <v/>
      </c>
      <c r="M138" s="74" t="str" cm="1">
        <f t="array" ref="M138">IFERROR(1/(1/SUM(COUNTIFS(
'YearA-AppDetails Current Date'!A:A,D138,
'YearA-AppDetails Current Date'!F:F,E138,
'YearA-AppDetails Current Date'!E:E,--F138,
'YearA-AppDetails Current Date'!U:U,{"CCAN","DECL"},
'YearA-AppDetails Current Date'!I:I,"FALL"))), "")</f>
        <v/>
      </c>
      <c r="N138" s="74" t="str" cm="1">
        <f t="array" ref="N138">IFERROR(1/(1/SUM(COUNTIFS(
'YearA-AppDetails Current Date'!A:A,D138,
'YearA-AppDetails Current Date'!F:F,E138,
'YearA-AppDetails Current Date'!E:E,--F138,
'YearA-AppDetails Current Date'!V:V,{"APRO","NODE"},
'YearA-AppDetails Current Date'!I:I,"FALL"))), "")</f>
        <v/>
      </c>
      <c r="O138" s="74" t="str" cm="1">
        <f t="array" ref="O138">IFERROR(1/(1/SUM(COUNTIFS(
'YearA-AppDetails Current Date'!A:A,D138,
'YearA-AppDetails Current Date'!F:F,E138,
'YearA-AppDetails Current Date'!E:E,--F138,
'YearA-AppDetails Current Date'!T:T,{"CDMT","RQMT","WAIT"},
'YearA-AppDetails Current Date'!I:I,"FALL"))), "")</f>
        <v/>
      </c>
      <c r="P138" s="74" t="str">
        <f>IFERROR(1/(1/COUNTIFS(
'YearA-AppDetails Current Date'!A:A,D138,
'YearA-AppDetails Current Date'!F:F,E138,
'YearA-AppDetails Current Date'!E:E,--F138,
'YearA-AppDetails Current Date'!Y:Y,"ENRO",
'YearA-AppDetails Current Date'!I:I,"FALL")),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HC'!D:T,4,FALSE)),
N(VLOOKUP(D140&amp;F140,'Budgeted Projections Dom HC'!D:T,5,FALSE))
)
),"")</f>
        <v/>
      </c>
      <c r="I140" s="73" t="str">
        <f>IFERROR(1/(1/COUNTIFS(
'YearA-AppDetails Current Date'!A:A,D140,
'YearA-AppDetails Current Date'!F:F,E140,
'YearA-AppDetails Current Date'!E:E,--F140,
'YearA-AppDetails Current Date'!I:I,"FALL")), "")</f>
        <v/>
      </c>
      <c r="J140" s="74" t="str" cm="1">
        <f t="array" ref="J140">IFERROR(1/(1/SUM(COUNTIFS(
'YearA-AppDetails Current Date'!A:A,D140,
'YearA-AppDetails Current Date'!F:F,E140,
'YearA-AppDetails Current Date'!E:E,--F140,
'YearA-AppDetails Current Date'!O:O,{"ACLN","ACPT","COND"},
'YearA-AppDetails Current Date'!S:S,"&lt;&gt;ACLN",
'YearA-AppDetails Current Date'!S:S,"&lt;&gt;ACPT",
'YearA-AppDetails Current Date'!S:S,"&lt;&gt;COND",
'YearA-AppDetails Current Date'!I:I,"FALL"))), "")</f>
        <v/>
      </c>
      <c r="K140" s="73" t="str">
        <f>IFERROR(1/(1/SUM(COUNTIFS(
'YearA-AppDetails Current Date'!A:A,D140,
'YearA-AppDetails Current Date'!F:F,E140,
'YearA-AppDetails Current Date'!E:E,--F140,
'YearA-AppDetails Current Date'!R:R,"&lt;&gt;"&amp;"",
'YearA-AppDetails Current Date'!I:I,"FALL"))), "")</f>
        <v/>
      </c>
      <c r="L140" s="74" t="str" cm="1">
        <f t="array" ref="L140">IFERROR(1/(1/SUM(COUNTIFS(
'YearA-AppDetails Current Date'!A:A,D140,
'YearA-AppDetails Current Date'!F:F,E140,
'YearA-AppDetails Current Date'!E:E,--F140,
'YearA-AppDetails Current Date'!T:T,{"APEX","DENY","NTSL"},
'YearA-AppDetails Current Date'!I:I,"FALL"))), "")</f>
        <v/>
      </c>
      <c r="M140" s="74" t="str" cm="1">
        <f t="array" ref="M140">IFERROR(1/(1/SUM(COUNTIFS(
'YearA-AppDetails Current Date'!A:A,D140,
'YearA-AppDetails Current Date'!F:F,E140,
'YearA-AppDetails Current Date'!E:E,--F140,
'YearA-AppDetails Current Date'!U:U,{"CCAN","DECL"},
'YearA-AppDetails Current Date'!I:I,"FALL"))), "")</f>
        <v/>
      </c>
      <c r="N140" s="74" t="str" cm="1">
        <f t="array" ref="N140">IFERROR(1/(1/SUM(COUNTIFS(
'YearA-AppDetails Current Date'!A:A,D140,
'YearA-AppDetails Current Date'!F:F,E140,
'YearA-AppDetails Current Date'!E:E,--F140,
'YearA-AppDetails Current Date'!V:V,{"APRO","NODE"},
'YearA-AppDetails Current Date'!I:I,"FALL"))), "")</f>
        <v/>
      </c>
      <c r="O140" s="74" t="str" cm="1">
        <f t="array" ref="O140">IFERROR(1/(1/SUM(COUNTIFS(
'YearA-AppDetails Current Date'!A:A,D140,
'YearA-AppDetails Current Date'!F:F,E140,
'YearA-AppDetails Current Date'!E:E,--F140,
'YearA-AppDetails Current Date'!T:T,{"CDMT","RQMT","WAIT"},
'YearA-AppDetails Current Date'!I:I,"FALL"))), "")</f>
        <v/>
      </c>
      <c r="P140" s="74" t="str">
        <f>IFERROR(1/(1/COUNTIFS(
'YearA-AppDetails Current Date'!A:A,D140,
'YearA-AppDetails Current Date'!F:F,E140,
'YearA-AppDetails Current Date'!E:E,--F140,
'YearA-AppDetails Current Date'!Y:Y,"ENRO",
'YearA-AppDetails Current Date'!I:I,"FALL")),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HC'!D:T,4,FALSE)),
N(VLOOKUP(D141&amp;F141,'Budgeted Projections Intl HC'!D:T,5,FALSE))
)
),"")</f>
        <v/>
      </c>
      <c r="I141" s="73" t="str">
        <f>IFERROR(1/(1/COUNTIFS(
'YearA-AppDetails Current Date'!A:A,D141,
'YearA-AppDetails Current Date'!F:F,E141,
'YearA-AppDetails Current Date'!E:E,--F141,
'YearA-AppDetails Current Date'!I:I,"FALL")), "")</f>
        <v/>
      </c>
      <c r="J141" s="74" t="str" cm="1">
        <f t="array" ref="J141">IFERROR(1/(1/SUM(COUNTIFS(
'YearA-AppDetails Current Date'!A:A,D141,
'YearA-AppDetails Current Date'!F:F,E141,
'YearA-AppDetails Current Date'!E:E,--F141,
'YearA-AppDetails Current Date'!O:O,{"ACLN","ACPT","COND"},
'YearA-AppDetails Current Date'!S:S,"&lt;&gt;ACLN",
'YearA-AppDetails Current Date'!S:S,"&lt;&gt;ACPT",
'YearA-AppDetails Current Date'!S:S,"&lt;&gt;COND",
'YearA-AppDetails Current Date'!I:I,"FALL"))), "")</f>
        <v/>
      </c>
      <c r="K141" s="73" t="str">
        <f>IFERROR(1/(1/SUM(COUNTIFS(
'YearA-AppDetails Current Date'!A:A,D141,
'YearA-AppDetails Current Date'!F:F,E141,
'YearA-AppDetails Current Date'!E:E,--F141,
'YearA-AppDetails Current Date'!R:R,"&lt;&gt;"&amp;"",
'YearA-AppDetails Current Date'!I:I,"FALL"))), "")</f>
        <v/>
      </c>
      <c r="L141" s="74" t="str" cm="1">
        <f t="array" ref="L141">IFERROR(1/(1/SUM(COUNTIFS(
'YearA-AppDetails Current Date'!A:A,D141,
'YearA-AppDetails Current Date'!F:F,E141,
'YearA-AppDetails Current Date'!E:E,--F141,
'YearA-AppDetails Current Date'!T:T,{"APEX","DENY","NTSL"},
'YearA-AppDetails Current Date'!I:I,"FALL"))), "")</f>
        <v/>
      </c>
      <c r="M141" s="74" t="str" cm="1">
        <f t="array" ref="M141">IFERROR(1/(1/SUM(COUNTIFS(
'YearA-AppDetails Current Date'!A:A,D141,
'YearA-AppDetails Current Date'!F:F,E141,
'YearA-AppDetails Current Date'!E:E,--F141,
'YearA-AppDetails Current Date'!U:U,{"CCAN","DECL"},
'YearA-AppDetails Current Date'!I:I,"FALL"))), "")</f>
        <v/>
      </c>
      <c r="N141" s="74" t="str" cm="1">
        <f t="array" ref="N141">IFERROR(1/(1/SUM(COUNTIFS(
'YearA-AppDetails Current Date'!A:A,D141,
'YearA-AppDetails Current Date'!F:F,E141,
'YearA-AppDetails Current Date'!E:E,--F141,
'YearA-AppDetails Current Date'!V:V,{"APRO","NODE"},
'YearA-AppDetails Current Date'!I:I,"FALL"))), "")</f>
        <v/>
      </c>
      <c r="O141" s="74" t="str" cm="1">
        <f t="array" ref="O141">IFERROR(1/(1/SUM(COUNTIFS(
'YearA-AppDetails Current Date'!A:A,D141,
'YearA-AppDetails Current Date'!F:F,E141,
'YearA-AppDetails Current Date'!E:E,--F141,
'YearA-AppDetails Current Date'!T:T,{"CDMT","RQMT","WAIT"},
'YearA-AppDetails Current Date'!I:I,"FALL"))), "")</f>
        <v/>
      </c>
      <c r="P141" s="74" t="str">
        <f>IFERROR(1/(1/COUNTIFS(
'YearA-AppDetails Current Date'!A:A,D141,
'YearA-AppDetails Current Date'!F:F,E141,
'YearA-AppDetails Current Date'!E:E,--F141,
'YearA-AppDetails Current Date'!Y:Y,"ENRO",
'YearA-AppDetails Current Date'!I:I,"FALL")),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HC'!D:T,4,FALSE)),
N(VLOOKUP(D142&amp;F142,'Budgeted Projections Dom HC'!D:T,5,FALSE))
)
),"")</f>
        <v/>
      </c>
      <c r="I142" s="73" t="str">
        <f>IFERROR(1/(1/COUNTIFS(
'YearA-AppDetails Current Date'!A:A,D142,
'YearA-AppDetails Current Date'!F:F,E142,
'YearA-AppDetails Current Date'!E:E,--F142,
'YearA-AppDetails Current Date'!I:I,"FALL")), "")</f>
        <v/>
      </c>
      <c r="J142" s="74" t="str" cm="1">
        <f t="array" ref="J142">IFERROR(1/(1/SUM(COUNTIFS(
'YearA-AppDetails Current Date'!A:A,D142,
'YearA-AppDetails Current Date'!F:F,E142,
'YearA-AppDetails Current Date'!E:E,--F142,
'YearA-AppDetails Current Date'!O:O,{"ACLN","ACPT","COND"},
'YearA-AppDetails Current Date'!S:S,"&lt;&gt;ACLN",
'YearA-AppDetails Current Date'!S:S,"&lt;&gt;ACPT",
'YearA-AppDetails Current Date'!S:S,"&lt;&gt;COND",
'YearA-AppDetails Current Date'!I:I,"FALL"))), "")</f>
        <v/>
      </c>
      <c r="K142" s="73" t="str">
        <f>IFERROR(1/(1/SUM(COUNTIFS(
'YearA-AppDetails Current Date'!A:A,D142,
'YearA-AppDetails Current Date'!F:F,E142,
'YearA-AppDetails Current Date'!E:E,--F142,
'YearA-AppDetails Current Date'!R:R,"&lt;&gt;"&amp;"",
'YearA-AppDetails Current Date'!I:I,"FALL"))), "")</f>
        <v/>
      </c>
      <c r="L142" s="74" t="str" cm="1">
        <f t="array" ref="L142">IFERROR(1/(1/SUM(COUNTIFS(
'YearA-AppDetails Current Date'!A:A,D142,
'YearA-AppDetails Current Date'!F:F,E142,
'YearA-AppDetails Current Date'!E:E,--F142,
'YearA-AppDetails Current Date'!T:T,{"APEX","DENY","NTSL"},
'YearA-AppDetails Current Date'!I:I,"FALL"))), "")</f>
        <v/>
      </c>
      <c r="M142" s="74" t="str" cm="1">
        <f t="array" ref="M142">IFERROR(1/(1/SUM(COUNTIFS(
'YearA-AppDetails Current Date'!A:A,D142,
'YearA-AppDetails Current Date'!F:F,E142,
'YearA-AppDetails Current Date'!E:E,--F142,
'YearA-AppDetails Current Date'!U:U,{"CCAN","DECL"},
'YearA-AppDetails Current Date'!I:I,"FALL"))), "")</f>
        <v/>
      </c>
      <c r="N142" s="74" t="str" cm="1">
        <f t="array" ref="N142">IFERROR(1/(1/SUM(COUNTIFS(
'YearA-AppDetails Current Date'!A:A,D142,
'YearA-AppDetails Current Date'!F:F,E142,
'YearA-AppDetails Current Date'!E:E,--F142,
'YearA-AppDetails Current Date'!V:V,{"APRO","NODE"},
'YearA-AppDetails Current Date'!I:I,"FALL"))), "")</f>
        <v/>
      </c>
      <c r="O142" s="74" t="str" cm="1">
        <f t="array" ref="O142">IFERROR(1/(1/SUM(COUNTIFS(
'YearA-AppDetails Current Date'!A:A,D142,
'YearA-AppDetails Current Date'!F:F,E142,
'YearA-AppDetails Current Date'!E:E,--F142,
'YearA-AppDetails Current Date'!T:T,{"CDMT","RQMT","WAIT"},
'YearA-AppDetails Current Date'!I:I,"FALL"))), "")</f>
        <v/>
      </c>
      <c r="P142" s="74" t="str">
        <f>IFERROR(1/(1/COUNTIFS(
'YearA-AppDetails Current Date'!A:A,D142,
'YearA-AppDetails Current Date'!F:F,E142,
'YearA-AppDetails Current Date'!E:E,--F142,
'YearA-AppDetails Current Date'!Y:Y,"ENRO",
'YearA-AppDetails Current Date'!I:I,"FALL")),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HC'!D:T,4,FALSE)),
N(VLOOKUP(D143&amp;F143,'Budgeted Projections Intl HC'!D:T,5,FALSE))
)
),"")</f>
        <v/>
      </c>
      <c r="I143" s="73" t="str">
        <f>IFERROR(1/(1/COUNTIFS(
'YearA-AppDetails Current Date'!A:A,D143,
'YearA-AppDetails Current Date'!F:F,E143,
'YearA-AppDetails Current Date'!E:E,--F143,
'YearA-AppDetails Current Date'!I:I,"FALL")), "")</f>
        <v/>
      </c>
      <c r="J143" s="74" t="str" cm="1">
        <f t="array" ref="J143">IFERROR(1/(1/SUM(COUNTIFS(
'YearA-AppDetails Current Date'!A:A,D143,
'YearA-AppDetails Current Date'!F:F,E143,
'YearA-AppDetails Current Date'!E:E,--F143,
'YearA-AppDetails Current Date'!O:O,{"ACLN","ACPT","COND"},
'YearA-AppDetails Current Date'!S:S,"&lt;&gt;ACLN",
'YearA-AppDetails Current Date'!S:S,"&lt;&gt;ACPT",
'YearA-AppDetails Current Date'!S:S,"&lt;&gt;COND",
'YearA-AppDetails Current Date'!I:I,"FALL"))), "")</f>
        <v/>
      </c>
      <c r="K143" s="73" t="str">
        <f>IFERROR(1/(1/SUM(COUNTIFS(
'YearA-AppDetails Current Date'!A:A,D143,
'YearA-AppDetails Current Date'!F:F,E143,
'YearA-AppDetails Current Date'!E:E,--F143,
'YearA-AppDetails Current Date'!R:R,"&lt;&gt;"&amp;"",
'YearA-AppDetails Current Date'!I:I,"FALL"))), "")</f>
        <v/>
      </c>
      <c r="L143" s="74" t="str" cm="1">
        <f t="array" ref="L143">IFERROR(1/(1/SUM(COUNTIFS(
'YearA-AppDetails Current Date'!A:A,D143,
'YearA-AppDetails Current Date'!F:F,E143,
'YearA-AppDetails Current Date'!E:E,--F143,
'YearA-AppDetails Current Date'!T:T,{"APEX","DENY","NTSL"},
'YearA-AppDetails Current Date'!I:I,"FALL"))), "")</f>
        <v/>
      </c>
      <c r="M143" s="74" t="str" cm="1">
        <f t="array" ref="M143">IFERROR(1/(1/SUM(COUNTIFS(
'YearA-AppDetails Current Date'!A:A,D143,
'YearA-AppDetails Current Date'!F:F,E143,
'YearA-AppDetails Current Date'!E:E,--F143,
'YearA-AppDetails Current Date'!U:U,{"CCAN","DECL"},
'YearA-AppDetails Current Date'!I:I,"FALL"))), "")</f>
        <v/>
      </c>
      <c r="N143" s="74" t="str" cm="1">
        <f t="array" ref="N143">IFERROR(1/(1/SUM(COUNTIFS(
'YearA-AppDetails Current Date'!A:A,D143,
'YearA-AppDetails Current Date'!F:F,E143,
'YearA-AppDetails Current Date'!E:E,--F143,
'YearA-AppDetails Current Date'!V:V,{"APRO","NODE"},
'YearA-AppDetails Current Date'!I:I,"FALL"))), "")</f>
        <v/>
      </c>
      <c r="O143" s="74" t="str" cm="1">
        <f t="array" ref="O143">IFERROR(1/(1/SUM(COUNTIFS(
'YearA-AppDetails Current Date'!A:A,D143,
'YearA-AppDetails Current Date'!F:F,E143,
'YearA-AppDetails Current Date'!E:E,--F143,
'YearA-AppDetails Current Date'!T:T,{"CDMT","RQMT","WAIT"},
'YearA-AppDetails Current Date'!I:I,"FALL"))), "")</f>
        <v/>
      </c>
      <c r="P143" s="74" t="str">
        <f>IFERROR(1/(1/COUNTIFS(
'YearA-AppDetails Current Date'!A:A,D143,
'YearA-AppDetails Current Date'!F:F,E143,
'YearA-AppDetails Current Date'!E:E,--F143,
'YearA-AppDetails Current Date'!Y:Y,"ENRO",
'YearA-AppDetails Current Date'!I:I,"FALL")),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HC'!D:T,4,FALSE)),
N(VLOOKUP(D144&amp;F144,'Budgeted Projections Dom HC'!D:T,5,FALSE))
)
),"")</f>
        <v/>
      </c>
      <c r="I144" s="73" t="str">
        <f>IFERROR(1/(1/COUNTIFS(
'YearA-AppDetails Current Date'!A:A,D144,
'YearA-AppDetails Current Date'!F:F,E144,
'YearA-AppDetails Current Date'!E:E,--F144,
'YearA-AppDetails Current Date'!I:I,"FALL")), "")</f>
        <v/>
      </c>
      <c r="J144" s="74" t="str" cm="1">
        <f t="array" ref="J144">IFERROR(1/(1/SUM(COUNTIFS(
'YearA-AppDetails Current Date'!A:A,D144,
'YearA-AppDetails Current Date'!F:F,E144,
'YearA-AppDetails Current Date'!E:E,--F144,
'YearA-AppDetails Current Date'!O:O,{"ACLN","ACPT","COND"},
'YearA-AppDetails Current Date'!S:S,"&lt;&gt;ACLN",
'YearA-AppDetails Current Date'!S:S,"&lt;&gt;ACPT",
'YearA-AppDetails Current Date'!S:S,"&lt;&gt;COND",
'YearA-AppDetails Current Date'!I:I,"FALL"))), "")</f>
        <v/>
      </c>
      <c r="K144" s="73" t="str">
        <f>IFERROR(1/(1/SUM(COUNTIFS(
'YearA-AppDetails Current Date'!A:A,D144,
'YearA-AppDetails Current Date'!F:F,E144,
'YearA-AppDetails Current Date'!E:E,--F144,
'YearA-AppDetails Current Date'!R:R,"&lt;&gt;"&amp;"",
'YearA-AppDetails Current Date'!I:I,"FALL"))), "")</f>
        <v/>
      </c>
      <c r="L144" s="74" t="str" cm="1">
        <f t="array" ref="L144">IFERROR(1/(1/SUM(COUNTIFS(
'YearA-AppDetails Current Date'!A:A,D144,
'YearA-AppDetails Current Date'!F:F,E144,
'YearA-AppDetails Current Date'!E:E,--F144,
'YearA-AppDetails Current Date'!T:T,{"APEX","DENY","NTSL"},
'YearA-AppDetails Current Date'!I:I,"FALL"))), "")</f>
        <v/>
      </c>
      <c r="M144" s="74" t="str" cm="1">
        <f t="array" ref="M144">IFERROR(1/(1/SUM(COUNTIFS(
'YearA-AppDetails Current Date'!A:A,D144,
'YearA-AppDetails Current Date'!F:F,E144,
'YearA-AppDetails Current Date'!E:E,--F144,
'YearA-AppDetails Current Date'!U:U,{"CCAN","DECL"},
'YearA-AppDetails Current Date'!I:I,"FALL"))), "")</f>
        <v/>
      </c>
      <c r="N144" s="74" t="str" cm="1">
        <f t="array" ref="N144">IFERROR(1/(1/SUM(COUNTIFS(
'YearA-AppDetails Current Date'!A:A,D144,
'YearA-AppDetails Current Date'!F:F,E144,
'YearA-AppDetails Current Date'!E:E,--F144,
'YearA-AppDetails Current Date'!V:V,{"APRO","NODE"},
'YearA-AppDetails Current Date'!I:I,"FALL"))), "")</f>
        <v/>
      </c>
      <c r="O144" s="74" t="str" cm="1">
        <f t="array" ref="O144">IFERROR(1/(1/SUM(COUNTIFS(
'YearA-AppDetails Current Date'!A:A,D144,
'YearA-AppDetails Current Date'!F:F,E144,
'YearA-AppDetails Current Date'!E:E,--F144,
'YearA-AppDetails Current Date'!T:T,{"CDMT","RQMT","WAIT"},
'YearA-AppDetails Current Date'!I:I,"FALL"))), "")</f>
        <v/>
      </c>
      <c r="P144" s="74" t="str">
        <f>IFERROR(1/(1/COUNTIFS(
'YearA-AppDetails Current Date'!A:A,D144,
'YearA-AppDetails Current Date'!F:F,E144,
'YearA-AppDetails Current Date'!E:E,--F144,
'YearA-AppDetails Current Date'!Y:Y,"ENRO",
'YearA-AppDetails Current Date'!I:I,"FALL")),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HC'!D:T,4,FALSE)),
N(VLOOKUP(D145&amp;F145,'Budgeted Projections Intl HC'!D:T,5,FALSE))
)
),"")</f>
        <v/>
      </c>
      <c r="I145" s="73" t="str">
        <f>IFERROR(1/(1/COUNTIFS(
'YearA-AppDetails Current Date'!A:A,D145,
'YearA-AppDetails Current Date'!F:F,E145,
'YearA-AppDetails Current Date'!E:E,--F145,
'YearA-AppDetails Current Date'!I:I,"FALL")), "")</f>
        <v/>
      </c>
      <c r="J145" s="74" t="str" cm="1">
        <f t="array" ref="J145">IFERROR(1/(1/SUM(COUNTIFS(
'YearA-AppDetails Current Date'!A:A,D145,
'YearA-AppDetails Current Date'!F:F,E145,
'YearA-AppDetails Current Date'!E:E,--F145,
'YearA-AppDetails Current Date'!O:O,{"ACLN","ACPT","COND"},
'YearA-AppDetails Current Date'!S:S,"&lt;&gt;ACLN",
'YearA-AppDetails Current Date'!S:S,"&lt;&gt;ACPT",
'YearA-AppDetails Current Date'!S:S,"&lt;&gt;COND",
'YearA-AppDetails Current Date'!I:I,"FALL"))), "")</f>
        <v/>
      </c>
      <c r="K145" s="73" t="str">
        <f>IFERROR(1/(1/SUM(COUNTIFS(
'YearA-AppDetails Current Date'!A:A,D145,
'YearA-AppDetails Current Date'!F:F,E145,
'YearA-AppDetails Current Date'!E:E,--F145,
'YearA-AppDetails Current Date'!R:R,"&lt;&gt;"&amp;"",
'YearA-AppDetails Current Date'!I:I,"FALL"))), "")</f>
        <v/>
      </c>
      <c r="L145" s="74" t="str" cm="1">
        <f t="array" ref="L145">IFERROR(1/(1/SUM(COUNTIFS(
'YearA-AppDetails Current Date'!A:A,D145,
'YearA-AppDetails Current Date'!F:F,E145,
'YearA-AppDetails Current Date'!E:E,--F145,
'YearA-AppDetails Current Date'!T:T,{"APEX","DENY","NTSL"},
'YearA-AppDetails Current Date'!I:I,"FALL"))), "")</f>
        <v/>
      </c>
      <c r="M145" s="74" t="str" cm="1">
        <f t="array" ref="M145">IFERROR(1/(1/SUM(COUNTIFS(
'YearA-AppDetails Current Date'!A:A,D145,
'YearA-AppDetails Current Date'!F:F,E145,
'YearA-AppDetails Current Date'!E:E,--F145,
'YearA-AppDetails Current Date'!U:U,{"CCAN","DECL"},
'YearA-AppDetails Current Date'!I:I,"FALL"))), "")</f>
        <v/>
      </c>
      <c r="N145" s="74" t="str" cm="1">
        <f t="array" ref="N145">IFERROR(1/(1/SUM(COUNTIFS(
'YearA-AppDetails Current Date'!A:A,D145,
'YearA-AppDetails Current Date'!F:F,E145,
'YearA-AppDetails Current Date'!E:E,--F145,
'YearA-AppDetails Current Date'!V:V,{"APRO","NODE"},
'YearA-AppDetails Current Date'!I:I,"FALL"))), "")</f>
        <v/>
      </c>
      <c r="O145" s="74" t="str" cm="1">
        <f t="array" ref="O145">IFERROR(1/(1/SUM(COUNTIFS(
'YearA-AppDetails Current Date'!A:A,D145,
'YearA-AppDetails Current Date'!F:F,E145,
'YearA-AppDetails Current Date'!E:E,--F145,
'YearA-AppDetails Current Date'!T:T,{"CDMT","RQMT","WAIT"},
'YearA-AppDetails Current Date'!I:I,"FALL"))), "")</f>
        <v/>
      </c>
      <c r="P145" s="74" t="str">
        <f>IFERROR(1/(1/COUNTIFS(
'YearA-AppDetails Current Date'!A:A,D145,
'YearA-AppDetails Current Date'!F:F,E145,
'YearA-AppDetails Current Date'!E:E,--F145,
'YearA-AppDetails Current Date'!Y:Y,"ENRO",
'YearA-AppDetails Current Date'!I:I,"FALL")),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HC'!D:T,4,FALSE)),
N(VLOOKUP(D146&amp;F146,'Budgeted Projections Dom HC'!D:T,5,FALSE))
)
),"")</f>
        <v/>
      </c>
      <c r="I146" s="73" t="str">
        <f>IFERROR(1/(1/COUNTIFS(
'YearA-AppDetails Current Date'!A:A,D146,
'YearA-AppDetails Current Date'!F:F,E146,
'YearA-AppDetails Current Date'!E:E,--F146,
'YearA-AppDetails Current Date'!I:I,"FALL")), "")</f>
        <v/>
      </c>
      <c r="J146" s="74" t="str" cm="1">
        <f t="array" ref="J146">IFERROR(1/(1/SUM(COUNTIFS(
'YearA-AppDetails Current Date'!A:A,D146,
'YearA-AppDetails Current Date'!F:F,E146,
'YearA-AppDetails Current Date'!E:E,--F146,
'YearA-AppDetails Current Date'!O:O,{"ACLN","ACPT","COND"},
'YearA-AppDetails Current Date'!S:S,"&lt;&gt;ACLN",
'YearA-AppDetails Current Date'!S:S,"&lt;&gt;ACPT",
'YearA-AppDetails Current Date'!S:S,"&lt;&gt;COND",
'YearA-AppDetails Current Date'!I:I,"FALL"))), "")</f>
        <v/>
      </c>
      <c r="K146" s="73" t="str">
        <f>IFERROR(1/(1/SUM(COUNTIFS(
'YearA-AppDetails Current Date'!A:A,D146,
'YearA-AppDetails Current Date'!F:F,E146,
'YearA-AppDetails Current Date'!E:E,--F146,
'YearA-AppDetails Current Date'!R:R,"&lt;&gt;"&amp;"",
'YearA-AppDetails Current Date'!I:I,"FALL"))), "")</f>
        <v/>
      </c>
      <c r="L146" s="74" t="str" cm="1">
        <f t="array" ref="L146">IFERROR(1/(1/SUM(COUNTIFS(
'YearA-AppDetails Current Date'!A:A,D146,
'YearA-AppDetails Current Date'!F:F,E146,
'YearA-AppDetails Current Date'!E:E,--F146,
'YearA-AppDetails Current Date'!T:T,{"APEX","DENY","NTSL"},
'YearA-AppDetails Current Date'!I:I,"FALL"))), "")</f>
        <v/>
      </c>
      <c r="M146" s="74" t="str" cm="1">
        <f t="array" ref="M146">IFERROR(1/(1/SUM(COUNTIFS(
'YearA-AppDetails Current Date'!A:A,D146,
'YearA-AppDetails Current Date'!F:F,E146,
'YearA-AppDetails Current Date'!E:E,--F146,
'YearA-AppDetails Current Date'!U:U,{"CCAN","DECL"},
'YearA-AppDetails Current Date'!I:I,"FALL"))), "")</f>
        <v/>
      </c>
      <c r="N146" s="74" t="str" cm="1">
        <f t="array" ref="N146">IFERROR(1/(1/SUM(COUNTIFS(
'YearA-AppDetails Current Date'!A:A,D146,
'YearA-AppDetails Current Date'!F:F,E146,
'YearA-AppDetails Current Date'!E:E,--F146,
'YearA-AppDetails Current Date'!V:V,{"APRO","NODE"},
'YearA-AppDetails Current Date'!I:I,"FALL"))), "")</f>
        <v/>
      </c>
      <c r="O146" s="74" t="str" cm="1">
        <f t="array" ref="O146">IFERROR(1/(1/SUM(COUNTIFS(
'YearA-AppDetails Current Date'!A:A,D146,
'YearA-AppDetails Current Date'!F:F,E146,
'YearA-AppDetails Current Date'!E:E,--F146,
'YearA-AppDetails Current Date'!T:T,{"CDMT","RQMT","WAIT"},
'YearA-AppDetails Current Date'!I:I,"FALL"))), "")</f>
        <v/>
      </c>
      <c r="P146" s="74" t="str">
        <f>IFERROR(1/(1/COUNTIFS(
'YearA-AppDetails Current Date'!A:A,D146,
'YearA-AppDetails Current Date'!F:F,E146,
'YearA-AppDetails Current Date'!E:E,--F146,
'YearA-AppDetails Current Date'!Y:Y,"ENRO",
'YearA-AppDetails Current Date'!I:I,"FALL")),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HC'!D:T,4,FALSE)),
N(VLOOKUP(D147&amp;F147,'Budgeted Projections Intl HC'!D:T,5,FALSE))
)
),"")</f>
        <v/>
      </c>
      <c r="I147" s="73" t="str">
        <f>IFERROR(1/(1/COUNTIFS(
'YearA-AppDetails Current Date'!A:A,D147,
'YearA-AppDetails Current Date'!F:F,E147,
'YearA-AppDetails Current Date'!E:E,--F147,
'YearA-AppDetails Current Date'!I:I,"FALL")), "")</f>
        <v/>
      </c>
      <c r="J147" s="74" t="str" cm="1">
        <f t="array" ref="J147">IFERROR(1/(1/SUM(COUNTIFS(
'YearA-AppDetails Current Date'!A:A,D147,
'YearA-AppDetails Current Date'!F:F,E147,
'YearA-AppDetails Current Date'!E:E,--F147,
'YearA-AppDetails Current Date'!O:O,{"ACLN","ACPT","COND"},
'YearA-AppDetails Current Date'!S:S,"&lt;&gt;ACLN",
'YearA-AppDetails Current Date'!S:S,"&lt;&gt;ACPT",
'YearA-AppDetails Current Date'!S:S,"&lt;&gt;COND",
'YearA-AppDetails Current Date'!I:I,"FALL"))), "")</f>
        <v/>
      </c>
      <c r="K147" s="73" t="str">
        <f>IFERROR(1/(1/SUM(COUNTIFS(
'YearA-AppDetails Current Date'!A:A,D147,
'YearA-AppDetails Current Date'!F:F,E147,
'YearA-AppDetails Current Date'!E:E,--F147,
'YearA-AppDetails Current Date'!R:R,"&lt;&gt;"&amp;"",
'YearA-AppDetails Current Date'!I:I,"FALL"))), "")</f>
        <v/>
      </c>
      <c r="L147" s="74" t="str" cm="1">
        <f t="array" ref="L147">IFERROR(1/(1/SUM(COUNTIFS(
'YearA-AppDetails Current Date'!A:A,D147,
'YearA-AppDetails Current Date'!F:F,E147,
'YearA-AppDetails Current Date'!E:E,--F147,
'YearA-AppDetails Current Date'!T:T,{"APEX","DENY","NTSL"},
'YearA-AppDetails Current Date'!I:I,"FALL"))), "")</f>
        <v/>
      </c>
      <c r="M147" s="74" t="str" cm="1">
        <f t="array" ref="M147">IFERROR(1/(1/SUM(COUNTIFS(
'YearA-AppDetails Current Date'!A:A,D147,
'YearA-AppDetails Current Date'!F:F,E147,
'YearA-AppDetails Current Date'!E:E,--F147,
'YearA-AppDetails Current Date'!U:U,{"CCAN","DECL"},
'YearA-AppDetails Current Date'!I:I,"FALL"))), "")</f>
        <v/>
      </c>
      <c r="N147" s="74" t="str" cm="1">
        <f t="array" ref="N147">IFERROR(1/(1/SUM(COUNTIFS(
'YearA-AppDetails Current Date'!A:A,D147,
'YearA-AppDetails Current Date'!F:F,E147,
'YearA-AppDetails Current Date'!E:E,--F147,
'YearA-AppDetails Current Date'!V:V,{"APRO","NODE"},
'YearA-AppDetails Current Date'!I:I,"FALL"))), "")</f>
        <v/>
      </c>
      <c r="O147" s="74" t="str" cm="1">
        <f t="array" ref="O147">IFERROR(1/(1/SUM(COUNTIFS(
'YearA-AppDetails Current Date'!A:A,D147,
'YearA-AppDetails Current Date'!F:F,E147,
'YearA-AppDetails Current Date'!E:E,--F147,
'YearA-AppDetails Current Date'!T:T,{"CDMT","RQMT","WAIT"},
'YearA-AppDetails Current Date'!I:I,"FALL"))), "")</f>
        <v/>
      </c>
      <c r="P147" s="74" t="str">
        <f>IFERROR(1/(1/COUNTIFS(
'YearA-AppDetails Current Date'!A:A,D147,
'YearA-AppDetails Current Date'!F:F,E147,
'YearA-AppDetails Current Date'!E:E,--F147,
'YearA-AppDetails Current Date'!Y:Y,"ENRO",
'YearA-AppDetails Current Date'!I:I,"FALL")),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HC'!D:T,4,FALSE)),
N(VLOOKUP(D149&amp;F149,'Budgeted Projections Dom HC'!D:T,5,FALSE))
)
),"")</f>
        <v/>
      </c>
      <c r="I149" s="73" t="str">
        <f>IFERROR(1/(1/COUNTIFS(
'YearA-AppDetails Current Date'!A:A,D149,
'YearA-AppDetails Current Date'!F:F,E149,
'YearA-AppDetails Current Date'!E:E,--F149,
'YearA-AppDetails Current Date'!I:I,"FALL")), "")</f>
        <v/>
      </c>
      <c r="J149" s="74" t="str" cm="1">
        <f t="array" ref="J149">IFERROR(1/(1/SUM(COUNTIFS(
'YearA-AppDetails Current Date'!A:A,D149,
'YearA-AppDetails Current Date'!F:F,E149,
'YearA-AppDetails Current Date'!E:E,--F149,
'YearA-AppDetails Current Date'!O:O,{"ACLN","ACPT","COND"},
'YearA-AppDetails Current Date'!S:S,"&lt;&gt;ACLN",
'YearA-AppDetails Current Date'!S:S,"&lt;&gt;ACPT",
'YearA-AppDetails Current Date'!S:S,"&lt;&gt;COND",
'YearA-AppDetails Current Date'!I:I,"FALL"))), "")</f>
        <v/>
      </c>
      <c r="K149" s="73" t="str">
        <f>IFERROR(1/(1/SUM(COUNTIFS(
'YearA-AppDetails Current Date'!A:A,D149,
'YearA-AppDetails Current Date'!F:F,E149,
'YearA-AppDetails Current Date'!E:E,--F149,
'YearA-AppDetails Current Date'!R:R,"&lt;&gt;"&amp;"",
'YearA-AppDetails Current Date'!I:I,"FALL"))), "")</f>
        <v/>
      </c>
      <c r="L149" s="74" t="str" cm="1">
        <f t="array" ref="L149">IFERROR(1/(1/SUM(COUNTIFS(
'YearA-AppDetails Current Date'!A:A,D149,
'YearA-AppDetails Current Date'!F:F,E149,
'YearA-AppDetails Current Date'!E:E,--F149,
'YearA-AppDetails Current Date'!T:T,{"APEX","DENY","NTSL"},
'YearA-AppDetails Current Date'!I:I,"FALL"))), "")</f>
        <v/>
      </c>
      <c r="M149" s="74" t="str" cm="1">
        <f t="array" ref="M149">IFERROR(1/(1/SUM(COUNTIFS(
'YearA-AppDetails Current Date'!A:A,D149,
'YearA-AppDetails Current Date'!F:F,E149,
'YearA-AppDetails Current Date'!E:E,--F149,
'YearA-AppDetails Current Date'!U:U,{"CCAN","DECL"},
'YearA-AppDetails Current Date'!I:I,"FALL"))), "")</f>
        <v/>
      </c>
      <c r="N149" s="74" t="str" cm="1">
        <f t="array" ref="N149">IFERROR(1/(1/SUM(COUNTIFS(
'YearA-AppDetails Current Date'!A:A,D149,
'YearA-AppDetails Current Date'!F:F,E149,
'YearA-AppDetails Current Date'!E:E,--F149,
'YearA-AppDetails Current Date'!V:V,{"APRO","NODE"},
'YearA-AppDetails Current Date'!I:I,"FALL"))), "")</f>
        <v/>
      </c>
      <c r="O149" s="74" t="str" cm="1">
        <f t="array" ref="O149">IFERROR(1/(1/SUM(COUNTIFS(
'YearA-AppDetails Current Date'!A:A,D149,
'YearA-AppDetails Current Date'!F:F,E149,
'YearA-AppDetails Current Date'!E:E,--F149,
'YearA-AppDetails Current Date'!T:T,{"CDMT","RQMT","WAIT"},
'YearA-AppDetails Current Date'!I:I,"FALL"))), "")</f>
        <v/>
      </c>
      <c r="P149" s="74" t="str">
        <f>IFERROR(1/(1/COUNTIFS(
'YearA-AppDetails Current Date'!A:A,D149,
'YearA-AppDetails Current Date'!F:F,E149,
'YearA-AppDetails Current Date'!E:E,--F149,
'YearA-AppDetails Current Date'!Y:Y,"ENRO",
'YearA-AppDetails Current Date'!I:I,"FALL")),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HC'!D:T,4,FALSE)),
N(VLOOKUP(D150&amp;F150,'Budgeted Projections Intl HC'!D:T,5,FALSE))
)
),"")</f>
        <v/>
      </c>
      <c r="I150" s="73" t="str">
        <f>IFERROR(1/(1/COUNTIFS(
'YearA-AppDetails Current Date'!A:A,D150,
'YearA-AppDetails Current Date'!F:F,E150,
'YearA-AppDetails Current Date'!E:E,--F150,
'YearA-AppDetails Current Date'!I:I,"FALL")), "")</f>
        <v/>
      </c>
      <c r="J150" s="74" t="str" cm="1">
        <f t="array" ref="J150">IFERROR(1/(1/SUM(COUNTIFS(
'YearA-AppDetails Current Date'!A:A,D150,
'YearA-AppDetails Current Date'!F:F,E150,
'YearA-AppDetails Current Date'!E:E,--F150,
'YearA-AppDetails Current Date'!O:O,{"ACLN","ACPT","COND"},
'YearA-AppDetails Current Date'!S:S,"&lt;&gt;ACLN",
'YearA-AppDetails Current Date'!S:S,"&lt;&gt;ACPT",
'YearA-AppDetails Current Date'!S:S,"&lt;&gt;COND",
'YearA-AppDetails Current Date'!I:I,"FALL"))), "")</f>
        <v/>
      </c>
      <c r="K150" s="73" t="str">
        <f>IFERROR(1/(1/SUM(COUNTIFS(
'YearA-AppDetails Current Date'!A:A,D150,
'YearA-AppDetails Current Date'!F:F,E150,
'YearA-AppDetails Current Date'!E:E,--F150,
'YearA-AppDetails Current Date'!R:R,"&lt;&gt;"&amp;"",
'YearA-AppDetails Current Date'!I:I,"FALL"))), "")</f>
        <v/>
      </c>
      <c r="L150" s="74" t="str" cm="1">
        <f t="array" ref="L150">IFERROR(1/(1/SUM(COUNTIFS(
'YearA-AppDetails Current Date'!A:A,D150,
'YearA-AppDetails Current Date'!F:F,E150,
'YearA-AppDetails Current Date'!E:E,--F150,
'YearA-AppDetails Current Date'!T:T,{"APEX","DENY","NTSL"},
'YearA-AppDetails Current Date'!I:I,"FALL"))), "")</f>
        <v/>
      </c>
      <c r="M150" s="74" t="str" cm="1">
        <f t="array" ref="M150">IFERROR(1/(1/SUM(COUNTIFS(
'YearA-AppDetails Current Date'!A:A,D150,
'YearA-AppDetails Current Date'!F:F,E150,
'YearA-AppDetails Current Date'!E:E,--F150,
'YearA-AppDetails Current Date'!U:U,{"CCAN","DECL"},
'YearA-AppDetails Current Date'!I:I,"FALL"))), "")</f>
        <v/>
      </c>
      <c r="N150" s="74" t="str" cm="1">
        <f t="array" ref="N150">IFERROR(1/(1/SUM(COUNTIFS(
'YearA-AppDetails Current Date'!A:A,D150,
'YearA-AppDetails Current Date'!F:F,E150,
'YearA-AppDetails Current Date'!E:E,--F150,
'YearA-AppDetails Current Date'!V:V,{"APRO","NODE"},
'YearA-AppDetails Current Date'!I:I,"FALL"))), "")</f>
        <v/>
      </c>
      <c r="O150" s="74" t="str" cm="1">
        <f t="array" ref="O150">IFERROR(1/(1/SUM(COUNTIFS(
'YearA-AppDetails Current Date'!A:A,D150,
'YearA-AppDetails Current Date'!F:F,E150,
'YearA-AppDetails Current Date'!E:E,--F150,
'YearA-AppDetails Current Date'!T:T,{"CDMT","RQMT","WAIT"},
'YearA-AppDetails Current Date'!I:I,"FALL"))), "")</f>
        <v/>
      </c>
      <c r="P150" s="74" t="str">
        <f>IFERROR(1/(1/COUNTIFS(
'YearA-AppDetails Current Date'!A:A,D150,
'YearA-AppDetails Current Date'!F:F,E150,
'YearA-AppDetails Current Date'!E:E,--F150,
'YearA-AppDetails Current Date'!Y:Y,"ENRO",
'YearA-AppDetails Current Date'!I:I,"FALL")),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HC'!D:T,4,FALSE)),
N(VLOOKUP(D151&amp;F151,'Budgeted Projections Dom HC'!D:T,5,FALSE))
)
),"")</f>
        <v/>
      </c>
      <c r="I151" s="73" t="str">
        <f>IFERROR(1/(1/COUNTIFS(
'YearA-AppDetails Current Date'!A:A,D151,
'YearA-AppDetails Current Date'!F:F,E151,
'YearA-AppDetails Current Date'!E:E,--F151,
'YearA-AppDetails Current Date'!I:I,"FALL")), "")</f>
        <v/>
      </c>
      <c r="J151" s="74" t="str" cm="1">
        <f t="array" ref="J151">IFERROR(1/(1/SUM(COUNTIFS(
'YearA-AppDetails Current Date'!A:A,D151,
'YearA-AppDetails Current Date'!F:F,E151,
'YearA-AppDetails Current Date'!E:E,--F151,
'YearA-AppDetails Current Date'!O:O,{"ACLN","ACPT","COND"},
'YearA-AppDetails Current Date'!S:S,"&lt;&gt;ACLN",
'YearA-AppDetails Current Date'!S:S,"&lt;&gt;ACPT",
'YearA-AppDetails Current Date'!S:S,"&lt;&gt;COND",
'YearA-AppDetails Current Date'!I:I,"FALL"))), "")</f>
        <v/>
      </c>
      <c r="K151" s="73" t="str">
        <f>IFERROR(1/(1/SUM(COUNTIFS(
'YearA-AppDetails Current Date'!A:A,D151,
'YearA-AppDetails Current Date'!F:F,E151,
'YearA-AppDetails Current Date'!E:E,--F151,
'YearA-AppDetails Current Date'!R:R,"&lt;&gt;"&amp;"",
'YearA-AppDetails Current Date'!I:I,"FALL"))), "")</f>
        <v/>
      </c>
      <c r="L151" s="74" t="str" cm="1">
        <f t="array" ref="L151">IFERROR(1/(1/SUM(COUNTIFS(
'YearA-AppDetails Current Date'!A:A,D151,
'YearA-AppDetails Current Date'!F:F,E151,
'YearA-AppDetails Current Date'!E:E,--F151,
'YearA-AppDetails Current Date'!T:T,{"APEX","DENY","NTSL"},
'YearA-AppDetails Current Date'!I:I,"FALL"))), "")</f>
        <v/>
      </c>
      <c r="M151" s="74" t="str" cm="1">
        <f t="array" ref="M151">IFERROR(1/(1/SUM(COUNTIFS(
'YearA-AppDetails Current Date'!A:A,D151,
'YearA-AppDetails Current Date'!F:F,E151,
'YearA-AppDetails Current Date'!E:E,--F151,
'YearA-AppDetails Current Date'!U:U,{"CCAN","DECL"},
'YearA-AppDetails Current Date'!I:I,"FALL"))), "")</f>
        <v/>
      </c>
      <c r="N151" s="74" t="str" cm="1">
        <f t="array" ref="N151">IFERROR(1/(1/SUM(COUNTIFS(
'YearA-AppDetails Current Date'!A:A,D151,
'YearA-AppDetails Current Date'!F:F,E151,
'YearA-AppDetails Current Date'!E:E,--F151,
'YearA-AppDetails Current Date'!V:V,{"APRO","NODE"},
'YearA-AppDetails Current Date'!I:I,"FALL"))), "")</f>
        <v/>
      </c>
      <c r="O151" s="74" t="str" cm="1">
        <f t="array" ref="O151">IFERROR(1/(1/SUM(COUNTIFS(
'YearA-AppDetails Current Date'!A:A,D151,
'YearA-AppDetails Current Date'!F:F,E151,
'YearA-AppDetails Current Date'!E:E,--F151,
'YearA-AppDetails Current Date'!T:T,{"CDMT","RQMT","WAIT"},
'YearA-AppDetails Current Date'!I:I,"FALL"))), "")</f>
        <v/>
      </c>
      <c r="P151" s="74" t="str">
        <f>IFERROR(1/(1/COUNTIFS(
'YearA-AppDetails Current Date'!A:A,D151,
'YearA-AppDetails Current Date'!F:F,E151,
'YearA-AppDetails Current Date'!E:E,--F151,
'YearA-AppDetails Current Date'!Y:Y,"ENRO",
'YearA-AppDetails Current Date'!I:I,"FALL")),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HC'!D:T,4,FALSE)),
N(VLOOKUP(D152&amp;F152,'Budgeted Projections Intl HC'!D:T,5,FALSE))
)
),"")</f>
        <v/>
      </c>
      <c r="I152" s="73" t="str">
        <f>IFERROR(1/(1/COUNTIFS(
'YearA-AppDetails Current Date'!A:A,D152,
'YearA-AppDetails Current Date'!F:F,E152,
'YearA-AppDetails Current Date'!E:E,--F152,
'YearA-AppDetails Current Date'!I:I,"FALL")), "")</f>
        <v/>
      </c>
      <c r="J152" s="74" t="str" cm="1">
        <f t="array" ref="J152">IFERROR(1/(1/SUM(COUNTIFS(
'YearA-AppDetails Current Date'!A:A,D152,
'YearA-AppDetails Current Date'!F:F,E152,
'YearA-AppDetails Current Date'!E:E,--F152,
'YearA-AppDetails Current Date'!O:O,{"ACLN","ACPT","COND"},
'YearA-AppDetails Current Date'!S:S,"&lt;&gt;ACLN",
'YearA-AppDetails Current Date'!S:S,"&lt;&gt;ACPT",
'YearA-AppDetails Current Date'!S:S,"&lt;&gt;COND",
'YearA-AppDetails Current Date'!I:I,"FALL"))), "")</f>
        <v/>
      </c>
      <c r="K152" s="73" t="str">
        <f>IFERROR(1/(1/SUM(COUNTIFS(
'YearA-AppDetails Current Date'!A:A,D152,
'YearA-AppDetails Current Date'!F:F,E152,
'YearA-AppDetails Current Date'!E:E,--F152,
'YearA-AppDetails Current Date'!R:R,"&lt;&gt;"&amp;"",
'YearA-AppDetails Current Date'!I:I,"FALL"))), "")</f>
        <v/>
      </c>
      <c r="L152" s="74" t="str" cm="1">
        <f t="array" ref="L152">IFERROR(1/(1/SUM(COUNTIFS(
'YearA-AppDetails Current Date'!A:A,D152,
'YearA-AppDetails Current Date'!F:F,E152,
'YearA-AppDetails Current Date'!E:E,--F152,
'YearA-AppDetails Current Date'!T:T,{"APEX","DENY","NTSL"},
'YearA-AppDetails Current Date'!I:I,"FALL"))), "")</f>
        <v/>
      </c>
      <c r="M152" s="74" t="str" cm="1">
        <f t="array" ref="M152">IFERROR(1/(1/SUM(COUNTIFS(
'YearA-AppDetails Current Date'!A:A,D152,
'YearA-AppDetails Current Date'!F:F,E152,
'YearA-AppDetails Current Date'!E:E,--F152,
'YearA-AppDetails Current Date'!U:U,{"CCAN","DECL"},
'YearA-AppDetails Current Date'!I:I,"FALL"))), "")</f>
        <v/>
      </c>
      <c r="N152" s="74" t="str" cm="1">
        <f t="array" ref="N152">IFERROR(1/(1/SUM(COUNTIFS(
'YearA-AppDetails Current Date'!A:A,D152,
'YearA-AppDetails Current Date'!F:F,E152,
'YearA-AppDetails Current Date'!E:E,--F152,
'YearA-AppDetails Current Date'!V:V,{"APRO","NODE"},
'YearA-AppDetails Current Date'!I:I,"FALL"))), "")</f>
        <v/>
      </c>
      <c r="O152" s="74" t="str" cm="1">
        <f t="array" ref="O152">IFERROR(1/(1/SUM(COUNTIFS(
'YearA-AppDetails Current Date'!A:A,D152,
'YearA-AppDetails Current Date'!F:F,E152,
'YearA-AppDetails Current Date'!E:E,--F152,
'YearA-AppDetails Current Date'!T:T,{"CDMT","RQMT","WAIT"},
'YearA-AppDetails Current Date'!I:I,"FALL"))), "")</f>
        <v/>
      </c>
      <c r="P152" s="74" t="str">
        <f>IFERROR(1/(1/COUNTIFS(
'YearA-AppDetails Current Date'!A:A,D152,
'YearA-AppDetails Current Date'!F:F,E152,
'YearA-AppDetails Current Date'!E:E,--F152,
'YearA-AppDetails Current Date'!Y:Y,"ENRO",
'YearA-AppDetails Current Date'!I:I,"FALL")),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HC'!D:T,4,FALSE)),
N(VLOOKUP(D153&amp;F153,'Budgeted Projections Dom HC'!D:T,5,FALSE))
)
),"")</f>
        <v/>
      </c>
      <c r="I153" s="73" t="str">
        <f>IFERROR(1/(1/COUNTIFS(
'YearA-AppDetails Current Date'!A:A,D153,
'YearA-AppDetails Current Date'!F:F,E153,
'YearA-AppDetails Current Date'!E:E,--F153,
'YearA-AppDetails Current Date'!I:I,"FALL")), "")</f>
        <v/>
      </c>
      <c r="J153" s="74" t="str" cm="1">
        <f t="array" ref="J153">IFERROR(1/(1/SUM(COUNTIFS(
'YearA-AppDetails Current Date'!A:A,D153,
'YearA-AppDetails Current Date'!F:F,E153,
'YearA-AppDetails Current Date'!E:E,--F153,
'YearA-AppDetails Current Date'!O:O,{"ACLN","ACPT","COND"},
'YearA-AppDetails Current Date'!S:S,"&lt;&gt;ACLN",
'YearA-AppDetails Current Date'!S:S,"&lt;&gt;ACPT",
'YearA-AppDetails Current Date'!S:S,"&lt;&gt;COND",
'YearA-AppDetails Current Date'!I:I,"FALL"))), "")</f>
        <v/>
      </c>
      <c r="K153" s="73" t="str">
        <f>IFERROR(1/(1/SUM(COUNTIFS(
'YearA-AppDetails Current Date'!A:A,D153,
'YearA-AppDetails Current Date'!F:F,E153,
'YearA-AppDetails Current Date'!E:E,--F153,
'YearA-AppDetails Current Date'!R:R,"&lt;&gt;"&amp;"",
'YearA-AppDetails Current Date'!I:I,"FALL"))), "")</f>
        <v/>
      </c>
      <c r="L153" s="74" t="str" cm="1">
        <f t="array" ref="L153">IFERROR(1/(1/SUM(COUNTIFS(
'YearA-AppDetails Current Date'!A:A,D153,
'YearA-AppDetails Current Date'!F:F,E153,
'YearA-AppDetails Current Date'!E:E,--F153,
'YearA-AppDetails Current Date'!T:T,{"APEX","DENY","NTSL"},
'YearA-AppDetails Current Date'!I:I,"FALL"))), "")</f>
        <v/>
      </c>
      <c r="M153" s="74" t="str" cm="1">
        <f t="array" ref="M153">IFERROR(1/(1/SUM(COUNTIFS(
'YearA-AppDetails Current Date'!A:A,D153,
'YearA-AppDetails Current Date'!F:F,E153,
'YearA-AppDetails Current Date'!E:E,--F153,
'YearA-AppDetails Current Date'!U:U,{"CCAN","DECL"},
'YearA-AppDetails Current Date'!I:I,"FALL"))), "")</f>
        <v/>
      </c>
      <c r="N153" s="74" t="str" cm="1">
        <f t="array" ref="N153">IFERROR(1/(1/SUM(COUNTIFS(
'YearA-AppDetails Current Date'!A:A,D153,
'YearA-AppDetails Current Date'!F:F,E153,
'YearA-AppDetails Current Date'!E:E,--F153,
'YearA-AppDetails Current Date'!V:V,{"APRO","NODE"},
'YearA-AppDetails Current Date'!I:I,"FALL"))), "")</f>
        <v/>
      </c>
      <c r="O153" s="74" t="str" cm="1">
        <f t="array" ref="O153">IFERROR(1/(1/SUM(COUNTIFS(
'YearA-AppDetails Current Date'!A:A,D153,
'YearA-AppDetails Current Date'!F:F,E153,
'YearA-AppDetails Current Date'!E:E,--F153,
'YearA-AppDetails Current Date'!T:T,{"CDMT","RQMT","WAIT"},
'YearA-AppDetails Current Date'!I:I,"FALL"))), "")</f>
        <v/>
      </c>
      <c r="P153" s="74" t="str">
        <f>IFERROR(1/(1/COUNTIFS(
'YearA-AppDetails Current Date'!A:A,D153,
'YearA-AppDetails Current Date'!F:F,E153,
'YearA-AppDetails Current Date'!E:E,--F153,
'YearA-AppDetails Current Date'!Y:Y,"ENRO",
'YearA-AppDetails Current Date'!I:I,"FALL")),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HC'!D:T,4,FALSE)),
N(VLOOKUP(D154&amp;F154,'Budgeted Projections Intl HC'!D:T,5,FALSE))
)
),"")</f>
        <v/>
      </c>
      <c r="I154" s="73" t="str">
        <f>IFERROR(1/(1/COUNTIFS(
'YearA-AppDetails Current Date'!A:A,D154,
'YearA-AppDetails Current Date'!F:F,E154,
'YearA-AppDetails Current Date'!E:E,--F154,
'YearA-AppDetails Current Date'!I:I,"FALL")), "")</f>
        <v/>
      </c>
      <c r="J154" s="74" t="str" cm="1">
        <f t="array" ref="J154">IFERROR(1/(1/SUM(COUNTIFS(
'YearA-AppDetails Current Date'!A:A,D154,
'YearA-AppDetails Current Date'!F:F,E154,
'YearA-AppDetails Current Date'!E:E,--F154,
'YearA-AppDetails Current Date'!O:O,{"ACLN","ACPT","COND"},
'YearA-AppDetails Current Date'!S:S,"&lt;&gt;ACLN",
'YearA-AppDetails Current Date'!S:S,"&lt;&gt;ACPT",
'YearA-AppDetails Current Date'!S:S,"&lt;&gt;COND",
'YearA-AppDetails Current Date'!I:I,"FALL"))), "")</f>
        <v/>
      </c>
      <c r="K154" s="73" t="str">
        <f>IFERROR(1/(1/SUM(COUNTIFS(
'YearA-AppDetails Current Date'!A:A,D154,
'YearA-AppDetails Current Date'!F:F,E154,
'YearA-AppDetails Current Date'!E:E,--F154,
'YearA-AppDetails Current Date'!R:R,"&lt;&gt;"&amp;"",
'YearA-AppDetails Current Date'!I:I,"FALL"))), "")</f>
        <v/>
      </c>
      <c r="L154" s="74" t="str" cm="1">
        <f t="array" ref="L154">IFERROR(1/(1/SUM(COUNTIFS(
'YearA-AppDetails Current Date'!A:A,D154,
'YearA-AppDetails Current Date'!F:F,E154,
'YearA-AppDetails Current Date'!E:E,--F154,
'YearA-AppDetails Current Date'!T:T,{"APEX","DENY","NTSL"},
'YearA-AppDetails Current Date'!I:I,"FALL"))), "")</f>
        <v/>
      </c>
      <c r="M154" s="74" t="str" cm="1">
        <f t="array" ref="M154">IFERROR(1/(1/SUM(COUNTIFS(
'YearA-AppDetails Current Date'!A:A,D154,
'YearA-AppDetails Current Date'!F:F,E154,
'YearA-AppDetails Current Date'!E:E,--F154,
'YearA-AppDetails Current Date'!U:U,{"CCAN","DECL"},
'YearA-AppDetails Current Date'!I:I,"FALL"))), "")</f>
        <v/>
      </c>
      <c r="N154" s="74" t="str" cm="1">
        <f t="array" ref="N154">IFERROR(1/(1/SUM(COUNTIFS(
'YearA-AppDetails Current Date'!A:A,D154,
'YearA-AppDetails Current Date'!F:F,E154,
'YearA-AppDetails Current Date'!E:E,--F154,
'YearA-AppDetails Current Date'!V:V,{"APRO","NODE"},
'YearA-AppDetails Current Date'!I:I,"FALL"))), "")</f>
        <v/>
      </c>
      <c r="O154" s="74" t="str" cm="1">
        <f t="array" ref="O154">IFERROR(1/(1/SUM(COUNTIFS(
'YearA-AppDetails Current Date'!A:A,D154,
'YearA-AppDetails Current Date'!F:F,E154,
'YearA-AppDetails Current Date'!E:E,--F154,
'YearA-AppDetails Current Date'!T:T,{"CDMT","RQMT","WAIT"},
'YearA-AppDetails Current Date'!I:I,"FALL"))), "")</f>
        <v/>
      </c>
      <c r="P154" s="74" t="str">
        <f>IFERROR(1/(1/COUNTIFS(
'YearA-AppDetails Current Date'!A:A,D154,
'YearA-AppDetails Current Date'!F:F,E154,
'YearA-AppDetails Current Date'!E:E,--F154,
'YearA-AppDetails Current Date'!Y:Y,"ENRO",
'YearA-AppDetails Current Date'!I:I,"FALL")),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HC'!D:T,4,FALSE)),
N(VLOOKUP(D155&amp;F155,'Budgeted Projections Dom HC'!D:T,5,FALSE))
)
),"")</f>
        <v/>
      </c>
      <c r="I155" s="73" t="str">
        <f>IFERROR(1/(1/COUNTIFS(
'YearA-AppDetails Current Date'!A:A,D155,
'YearA-AppDetails Current Date'!F:F,E155,
'YearA-AppDetails Current Date'!E:E,--F155,
'YearA-AppDetails Current Date'!I:I,"FALL")), "")</f>
        <v/>
      </c>
      <c r="J155" s="74" t="str" cm="1">
        <f t="array" ref="J155">IFERROR(1/(1/SUM(COUNTIFS(
'YearA-AppDetails Current Date'!A:A,D155,
'YearA-AppDetails Current Date'!F:F,E155,
'YearA-AppDetails Current Date'!E:E,--F155,
'YearA-AppDetails Current Date'!O:O,{"ACLN","ACPT","COND"},
'YearA-AppDetails Current Date'!S:S,"&lt;&gt;ACLN",
'YearA-AppDetails Current Date'!S:S,"&lt;&gt;ACPT",
'YearA-AppDetails Current Date'!S:S,"&lt;&gt;COND",
'YearA-AppDetails Current Date'!I:I,"FALL"))), "")</f>
        <v/>
      </c>
      <c r="K155" s="73" t="str">
        <f>IFERROR(1/(1/SUM(COUNTIFS(
'YearA-AppDetails Current Date'!A:A,D155,
'YearA-AppDetails Current Date'!F:F,E155,
'YearA-AppDetails Current Date'!E:E,--F155,
'YearA-AppDetails Current Date'!R:R,"&lt;&gt;"&amp;"",
'YearA-AppDetails Current Date'!I:I,"FALL"))), "")</f>
        <v/>
      </c>
      <c r="L155" s="74" t="str" cm="1">
        <f t="array" ref="L155">IFERROR(1/(1/SUM(COUNTIFS(
'YearA-AppDetails Current Date'!A:A,D155,
'YearA-AppDetails Current Date'!F:F,E155,
'YearA-AppDetails Current Date'!E:E,--F155,
'YearA-AppDetails Current Date'!T:T,{"APEX","DENY","NTSL"},
'YearA-AppDetails Current Date'!I:I,"FALL"))), "")</f>
        <v/>
      </c>
      <c r="M155" s="74" t="str" cm="1">
        <f t="array" ref="M155">IFERROR(1/(1/SUM(COUNTIFS(
'YearA-AppDetails Current Date'!A:A,D155,
'YearA-AppDetails Current Date'!F:F,E155,
'YearA-AppDetails Current Date'!E:E,--F155,
'YearA-AppDetails Current Date'!U:U,{"CCAN","DECL"},
'YearA-AppDetails Current Date'!I:I,"FALL"))), "")</f>
        <v/>
      </c>
      <c r="N155" s="74" t="str" cm="1">
        <f t="array" ref="N155">IFERROR(1/(1/SUM(COUNTIFS(
'YearA-AppDetails Current Date'!A:A,D155,
'YearA-AppDetails Current Date'!F:F,E155,
'YearA-AppDetails Current Date'!E:E,--F155,
'YearA-AppDetails Current Date'!V:V,{"APRO","NODE"},
'YearA-AppDetails Current Date'!I:I,"FALL"))), "")</f>
        <v/>
      </c>
      <c r="O155" s="74" t="str" cm="1">
        <f t="array" ref="O155">IFERROR(1/(1/SUM(COUNTIFS(
'YearA-AppDetails Current Date'!A:A,D155,
'YearA-AppDetails Current Date'!F:F,E155,
'YearA-AppDetails Current Date'!E:E,--F155,
'YearA-AppDetails Current Date'!T:T,{"CDMT","RQMT","WAIT"},
'YearA-AppDetails Current Date'!I:I,"FALL"))), "")</f>
        <v/>
      </c>
      <c r="P155" s="74" t="str">
        <f>IFERROR(1/(1/COUNTIFS(
'YearA-AppDetails Current Date'!A:A,D155,
'YearA-AppDetails Current Date'!F:F,E155,
'YearA-AppDetails Current Date'!E:E,--F155,
'YearA-AppDetails Current Date'!Y:Y,"ENRO",
'YearA-AppDetails Current Date'!I:I,"FALL")),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HC'!D:T,4,FALSE)),
N(VLOOKUP(D156&amp;F156,'Budgeted Projections Intl HC'!D:T,5,FALSE))
)
),"")</f>
        <v/>
      </c>
      <c r="I156" s="73" t="str">
        <f>IFERROR(1/(1/COUNTIFS(
'YearA-AppDetails Current Date'!A:A,D156,
'YearA-AppDetails Current Date'!F:F,E156,
'YearA-AppDetails Current Date'!E:E,--F156,
'YearA-AppDetails Current Date'!I:I,"FALL")), "")</f>
        <v/>
      </c>
      <c r="J156" s="74" t="str" cm="1">
        <f t="array" ref="J156">IFERROR(1/(1/SUM(COUNTIFS(
'YearA-AppDetails Current Date'!A:A,D156,
'YearA-AppDetails Current Date'!F:F,E156,
'YearA-AppDetails Current Date'!E:E,--F156,
'YearA-AppDetails Current Date'!O:O,{"ACLN","ACPT","COND"},
'YearA-AppDetails Current Date'!S:S,"&lt;&gt;ACLN",
'YearA-AppDetails Current Date'!S:S,"&lt;&gt;ACPT",
'YearA-AppDetails Current Date'!S:S,"&lt;&gt;COND",
'YearA-AppDetails Current Date'!I:I,"FALL"))), "")</f>
        <v/>
      </c>
      <c r="K156" s="73" t="str">
        <f>IFERROR(1/(1/SUM(COUNTIFS(
'YearA-AppDetails Current Date'!A:A,D156,
'YearA-AppDetails Current Date'!F:F,E156,
'YearA-AppDetails Current Date'!E:E,--F156,
'YearA-AppDetails Current Date'!R:R,"&lt;&gt;"&amp;"",
'YearA-AppDetails Current Date'!I:I,"FALL"))), "")</f>
        <v/>
      </c>
      <c r="L156" s="74" t="str" cm="1">
        <f t="array" ref="L156">IFERROR(1/(1/SUM(COUNTIFS(
'YearA-AppDetails Current Date'!A:A,D156,
'YearA-AppDetails Current Date'!F:F,E156,
'YearA-AppDetails Current Date'!E:E,--F156,
'YearA-AppDetails Current Date'!T:T,{"APEX","DENY","NTSL"},
'YearA-AppDetails Current Date'!I:I,"FALL"))), "")</f>
        <v/>
      </c>
      <c r="M156" s="74" t="str" cm="1">
        <f t="array" ref="M156">IFERROR(1/(1/SUM(COUNTIFS(
'YearA-AppDetails Current Date'!A:A,D156,
'YearA-AppDetails Current Date'!F:F,E156,
'YearA-AppDetails Current Date'!E:E,--F156,
'YearA-AppDetails Current Date'!U:U,{"CCAN","DECL"},
'YearA-AppDetails Current Date'!I:I,"FALL"))), "")</f>
        <v/>
      </c>
      <c r="N156" s="74" t="str" cm="1">
        <f t="array" ref="N156">IFERROR(1/(1/SUM(COUNTIFS(
'YearA-AppDetails Current Date'!A:A,D156,
'YearA-AppDetails Current Date'!F:F,E156,
'YearA-AppDetails Current Date'!E:E,--F156,
'YearA-AppDetails Current Date'!V:V,{"APRO","NODE"},
'YearA-AppDetails Current Date'!I:I,"FALL"))), "")</f>
        <v/>
      </c>
      <c r="O156" s="74" t="str" cm="1">
        <f t="array" ref="O156">IFERROR(1/(1/SUM(COUNTIFS(
'YearA-AppDetails Current Date'!A:A,D156,
'YearA-AppDetails Current Date'!F:F,E156,
'YearA-AppDetails Current Date'!E:E,--F156,
'YearA-AppDetails Current Date'!T:T,{"CDMT","RQMT","WAIT"},
'YearA-AppDetails Current Date'!I:I,"FALL"))), "")</f>
        <v/>
      </c>
      <c r="P156" s="74" t="str">
        <f>IFERROR(1/(1/COUNTIFS(
'YearA-AppDetails Current Date'!A:A,D156,
'YearA-AppDetails Current Date'!F:F,E156,
'YearA-AppDetails Current Date'!E:E,--F156,
'YearA-AppDetails Current Date'!Y:Y,"ENRO",
'YearA-AppDetails Current Date'!I:I,"FALL")),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HC'!D:T,4,FALSE)),
N(VLOOKUP(D158&amp;F158,'Budgeted Projections Dom HC'!D:T,5,FALSE))
)
),"")</f>
        <v/>
      </c>
      <c r="I158" s="73" t="str">
        <f>IFERROR(1/(1/COUNTIFS(
'YearA-AppDetails Current Date'!A:A,D158,
'YearA-AppDetails Current Date'!F:F,E158,
'YearA-AppDetails Current Date'!E:E,--F158,
'YearA-AppDetails Current Date'!I:I,"FALL")), "")</f>
        <v/>
      </c>
      <c r="J158" s="74" t="str" cm="1">
        <f t="array" ref="J158">IFERROR(1/(1/SUM(COUNTIFS(
'YearA-AppDetails Current Date'!A:A,D158,
'YearA-AppDetails Current Date'!F:F,E158,
'YearA-AppDetails Current Date'!E:E,--F158,
'YearA-AppDetails Current Date'!O:O,{"ACLN","ACPT","COND"},
'YearA-AppDetails Current Date'!S:S,"&lt;&gt;ACLN",
'YearA-AppDetails Current Date'!S:S,"&lt;&gt;ACPT",
'YearA-AppDetails Current Date'!S:S,"&lt;&gt;COND",
'YearA-AppDetails Current Date'!I:I,"FALL"))), "")</f>
        <v/>
      </c>
      <c r="K158" s="73" t="str">
        <f>IFERROR(1/(1/SUM(COUNTIFS(
'YearA-AppDetails Current Date'!A:A,D158,
'YearA-AppDetails Current Date'!F:F,E158,
'YearA-AppDetails Current Date'!E:E,--F158,
'YearA-AppDetails Current Date'!R:R,"&lt;&gt;"&amp;"",
'YearA-AppDetails Current Date'!I:I,"FALL"))), "")</f>
        <v/>
      </c>
      <c r="L158" s="74" t="str" cm="1">
        <f t="array" ref="L158">IFERROR(1/(1/SUM(COUNTIFS(
'YearA-AppDetails Current Date'!A:A,D158,
'YearA-AppDetails Current Date'!F:F,E158,
'YearA-AppDetails Current Date'!E:E,--F158,
'YearA-AppDetails Current Date'!T:T,{"APEX","DENY","NTSL"},
'YearA-AppDetails Current Date'!I:I,"FALL"))), "")</f>
        <v/>
      </c>
      <c r="M158" s="74" t="str" cm="1">
        <f t="array" ref="M158">IFERROR(1/(1/SUM(COUNTIFS(
'YearA-AppDetails Current Date'!A:A,D158,
'YearA-AppDetails Current Date'!F:F,E158,
'YearA-AppDetails Current Date'!E:E,--F158,
'YearA-AppDetails Current Date'!U:U,{"CCAN","DECL"},
'YearA-AppDetails Current Date'!I:I,"FALL"))), "")</f>
        <v/>
      </c>
      <c r="N158" s="74" t="str" cm="1">
        <f t="array" ref="N158">IFERROR(1/(1/SUM(COUNTIFS(
'YearA-AppDetails Current Date'!A:A,D158,
'YearA-AppDetails Current Date'!F:F,E158,
'YearA-AppDetails Current Date'!E:E,--F158,
'YearA-AppDetails Current Date'!V:V,{"APRO","NODE"},
'YearA-AppDetails Current Date'!I:I,"FALL"))), "")</f>
        <v/>
      </c>
      <c r="O158" s="74" t="str" cm="1">
        <f t="array" ref="O158">IFERROR(1/(1/SUM(COUNTIFS(
'YearA-AppDetails Current Date'!A:A,D158,
'YearA-AppDetails Current Date'!F:F,E158,
'YearA-AppDetails Current Date'!E:E,--F158,
'YearA-AppDetails Current Date'!T:T,{"CDMT","RQMT","WAIT"},
'YearA-AppDetails Current Date'!I:I,"FALL"))), "")</f>
        <v/>
      </c>
      <c r="P158" s="74" t="str">
        <f>IFERROR(1/(1/COUNTIFS(
'YearA-AppDetails Current Date'!A:A,D158,
'YearA-AppDetails Current Date'!F:F,E158,
'YearA-AppDetails Current Date'!E:E,--F158,
'YearA-AppDetails Current Date'!Y:Y,"ENRO",
'YearA-AppDetails Current Date'!I:I,"FALL")),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HC'!D:T,4,FALSE)),
N(VLOOKUP(D159&amp;F159,'Budgeted Projections Intl HC'!D:T,5,FALSE))
)
),"")</f>
        <v/>
      </c>
      <c r="I159" s="73" t="str">
        <f>IFERROR(1/(1/COUNTIFS(
'YearA-AppDetails Current Date'!A:A,D159,
'YearA-AppDetails Current Date'!F:F,E159,
'YearA-AppDetails Current Date'!E:E,--F159,
'YearA-AppDetails Current Date'!I:I,"FALL")), "")</f>
        <v/>
      </c>
      <c r="J159" s="74" t="str" cm="1">
        <f t="array" ref="J159">IFERROR(1/(1/SUM(COUNTIFS(
'YearA-AppDetails Current Date'!A:A,D159,
'YearA-AppDetails Current Date'!F:F,E159,
'YearA-AppDetails Current Date'!E:E,--F159,
'YearA-AppDetails Current Date'!O:O,{"ACLN","ACPT","COND"},
'YearA-AppDetails Current Date'!S:S,"&lt;&gt;ACLN",
'YearA-AppDetails Current Date'!S:S,"&lt;&gt;ACPT",
'YearA-AppDetails Current Date'!S:S,"&lt;&gt;COND",
'YearA-AppDetails Current Date'!I:I,"FALL"))), "")</f>
        <v/>
      </c>
      <c r="K159" s="73" t="str">
        <f>IFERROR(1/(1/SUM(COUNTIFS(
'YearA-AppDetails Current Date'!A:A,D159,
'YearA-AppDetails Current Date'!F:F,E159,
'YearA-AppDetails Current Date'!E:E,--F159,
'YearA-AppDetails Current Date'!R:R,"&lt;&gt;"&amp;"",
'YearA-AppDetails Current Date'!I:I,"FALL"))), "")</f>
        <v/>
      </c>
      <c r="L159" s="74" t="str" cm="1">
        <f t="array" ref="L159">IFERROR(1/(1/SUM(COUNTIFS(
'YearA-AppDetails Current Date'!A:A,D159,
'YearA-AppDetails Current Date'!F:F,E159,
'YearA-AppDetails Current Date'!E:E,--F159,
'YearA-AppDetails Current Date'!T:T,{"APEX","DENY","NTSL"},
'YearA-AppDetails Current Date'!I:I,"FALL"))), "")</f>
        <v/>
      </c>
      <c r="M159" s="74" t="str" cm="1">
        <f t="array" ref="M159">IFERROR(1/(1/SUM(COUNTIFS(
'YearA-AppDetails Current Date'!A:A,D159,
'YearA-AppDetails Current Date'!F:F,E159,
'YearA-AppDetails Current Date'!E:E,--F159,
'YearA-AppDetails Current Date'!U:U,{"CCAN","DECL"},
'YearA-AppDetails Current Date'!I:I,"FALL"))), "")</f>
        <v/>
      </c>
      <c r="N159" s="74" t="str" cm="1">
        <f t="array" ref="N159">IFERROR(1/(1/SUM(COUNTIFS(
'YearA-AppDetails Current Date'!A:A,D159,
'YearA-AppDetails Current Date'!F:F,E159,
'YearA-AppDetails Current Date'!E:E,--F159,
'YearA-AppDetails Current Date'!V:V,{"APRO","NODE"},
'YearA-AppDetails Current Date'!I:I,"FALL"))), "")</f>
        <v/>
      </c>
      <c r="O159" s="74" t="str" cm="1">
        <f t="array" ref="O159">IFERROR(1/(1/SUM(COUNTIFS(
'YearA-AppDetails Current Date'!A:A,D159,
'YearA-AppDetails Current Date'!F:F,E159,
'YearA-AppDetails Current Date'!E:E,--F159,
'YearA-AppDetails Current Date'!T:T,{"CDMT","RQMT","WAIT"},
'YearA-AppDetails Current Date'!I:I,"FALL"))), "")</f>
        <v/>
      </c>
      <c r="P159" s="74" t="str">
        <f>IFERROR(1/(1/COUNTIFS(
'YearA-AppDetails Current Date'!A:A,D159,
'YearA-AppDetails Current Date'!F:F,E159,
'YearA-AppDetails Current Date'!E:E,--F159,
'YearA-AppDetails Current Date'!Y:Y,"ENRO",
'YearA-AppDetails Current Date'!I:I,"FALL")),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HC'!D:T,4,FALSE)),
N(VLOOKUP(D160&amp;F160,'Budgeted Projections Dom HC'!D:T,5,FALSE))
)
),"")</f>
        <v/>
      </c>
      <c r="I160" s="73" t="str">
        <f>IFERROR(1/(1/COUNTIFS(
'YearA-AppDetails Current Date'!A:A,D160,
'YearA-AppDetails Current Date'!F:F,E160,
'YearA-AppDetails Current Date'!E:E,--F160,
'YearA-AppDetails Current Date'!I:I,"FALL")), "")</f>
        <v/>
      </c>
      <c r="J160" s="74" t="str" cm="1">
        <f t="array" ref="J160">IFERROR(1/(1/SUM(COUNTIFS(
'YearA-AppDetails Current Date'!A:A,D160,
'YearA-AppDetails Current Date'!F:F,E160,
'YearA-AppDetails Current Date'!E:E,--F160,
'YearA-AppDetails Current Date'!O:O,{"ACLN","ACPT","COND"},
'YearA-AppDetails Current Date'!S:S,"&lt;&gt;ACLN",
'YearA-AppDetails Current Date'!S:S,"&lt;&gt;ACPT",
'YearA-AppDetails Current Date'!S:S,"&lt;&gt;COND",
'YearA-AppDetails Current Date'!I:I,"FALL"))), "")</f>
        <v/>
      </c>
      <c r="K160" s="73" t="str">
        <f>IFERROR(1/(1/SUM(COUNTIFS(
'YearA-AppDetails Current Date'!A:A,D160,
'YearA-AppDetails Current Date'!F:F,E160,
'YearA-AppDetails Current Date'!E:E,--F160,
'YearA-AppDetails Current Date'!R:R,"&lt;&gt;"&amp;"",
'YearA-AppDetails Current Date'!I:I,"FALL"))), "")</f>
        <v/>
      </c>
      <c r="L160" s="74" t="str" cm="1">
        <f t="array" ref="L160">IFERROR(1/(1/SUM(COUNTIFS(
'YearA-AppDetails Current Date'!A:A,D160,
'YearA-AppDetails Current Date'!F:F,E160,
'YearA-AppDetails Current Date'!E:E,--F160,
'YearA-AppDetails Current Date'!T:T,{"APEX","DENY","NTSL"},
'YearA-AppDetails Current Date'!I:I,"FALL"))), "")</f>
        <v/>
      </c>
      <c r="M160" s="74" t="str" cm="1">
        <f t="array" ref="M160">IFERROR(1/(1/SUM(COUNTIFS(
'YearA-AppDetails Current Date'!A:A,D160,
'YearA-AppDetails Current Date'!F:F,E160,
'YearA-AppDetails Current Date'!E:E,--F160,
'YearA-AppDetails Current Date'!U:U,{"CCAN","DECL"},
'YearA-AppDetails Current Date'!I:I,"FALL"))), "")</f>
        <v/>
      </c>
      <c r="N160" s="74" t="str" cm="1">
        <f t="array" ref="N160">IFERROR(1/(1/SUM(COUNTIFS(
'YearA-AppDetails Current Date'!A:A,D160,
'YearA-AppDetails Current Date'!F:F,E160,
'YearA-AppDetails Current Date'!E:E,--F160,
'YearA-AppDetails Current Date'!V:V,{"APRO","NODE"},
'YearA-AppDetails Current Date'!I:I,"FALL"))), "")</f>
        <v/>
      </c>
      <c r="O160" s="74" t="str" cm="1">
        <f t="array" ref="O160">IFERROR(1/(1/SUM(COUNTIFS(
'YearA-AppDetails Current Date'!A:A,D160,
'YearA-AppDetails Current Date'!F:F,E160,
'YearA-AppDetails Current Date'!E:E,--F160,
'YearA-AppDetails Current Date'!T:T,{"CDMT","RQMT","WAIT"},
'YearA-AppDetails Current Date'!I:I,"FALL"))), "")</f>
        <v/>
      </c>
      <c r="P160" s="74" t="str">
        <f>IFERROR(1/(1/COUNTIFS(
'YearA-AppDetails Current Date'!A:A,D160,
'YearA-AppDetails Current Date'!F:F,E160,
'YearA-AppDetails Current Date'!E:E,--F160,
'YearA-AppDetails Current Date'!Y:Y,"ENRO",
'YearA-AppDetails Current Date'!I:I,"FALL")),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HC'!D:T,4,FALSE)),
N(VLOOKUP(D161&amp;F161,'Budgeted Projections Intl HC'!D:T,5,FALSE))
)
),"")</f>
        <v/>
      </c>
      <c r="I161" s="73" t="str">
        <f>IFERROR(1/(1/COUNTIFS(
'YearA-AppDetails Current Date'!A:A,D161,
'YearA-AppDetails Current Date'!F:F,E161,
'YearA-AppDetails Current Date'!E:E,--F161,
'YearA-AppDetails Current Date'!I:I,"FALL")), "")</f>
        <v/>
      </c>
      <c r="J161" s="74" t="str" cm="1">
        <f t="array" ref="J161">IFERROR(1/(1/SUM(COUNTIFS(
'YearA-AppDetails Current Date'!A:A,D161,
'YearA-AppDetails Current Date'!F:F,E161,
'YearA-AppDetails Current Date'!E:E,--F161,
'YearA-AppDetails Current Date'!O:O,{"ACLN","ACPT","COND"},
'YearA-AppDetails Current Date'!S:S,"&lt;&gt;ACLN",
'YearA-AppDetails Current Date'!S:S,"&lt;&gt;ACPT",
'YearA-AppDetails Current Date'!S:S,"&lt;&gt;COND",
'YearA-AppDetails Current Date'!I:I,"FALL"))), "")</f>
        <v/>
      </c>
      <c r="K161" s="73" t="str">
        <f>IFERROR(1/(1/SUM(COUNTIFS(
'YearA-AppDetails Current Date'!A:A,D161,
'YearA-AppDetails Current Date'!F:F,E161,
'YearA-AppDetails Current Date'!E:E,--F161,
'YearA-AppDetails Current Date'!R:R,"&lt;&gt;"&amp;"",
'YearA-AppDetails Current Date'!I:I,"FALL"))), "")</f>
        <v/>
      </c>
      <c r="L161" s="74" t="str" cm="1">
        <f t="array" ref="L161">IFERROR(1/(1/SUM(COUNTIFS(
'YearA-AppDetails Current Date'!A:A,D161,
'YearA-AppDetails Current Date'!F:F,E161,
'YearA-AppDetails Current Date'!E:E,--F161,
'YearA-AppDetails Current Date'!T:T,{"APEX","DENY","NTSL"},
'YearA-AppDetails Current Date'!I:I,"FALL"))), "")</f>
        <v/>
      </c>
      <c r="M161" s="74" t="str" cm="1">
        <f t="array" ref="M161">IFERROR(1/(1/SUM(COUNTIFS(
'YearA-AppDetails Current Date'!A:A,D161,
'YearA-AppDetails Current Date'!F:F,E161,
'YearA-AppDetails Current Date'!E:E,--F161,
'YearA-AppDetails Current Date'!U:U,{"CCAN","DECL"},
'YearA-AppDetails Current Date'!I:I,"FALL"))), "")</f>
        <v/>
      </c>
      <c r="N161" s="74" t="str" cm="1">
        <f t="array" ref="N161">IFERROR(1/(1/SUM(COUNTIFS(
'YearA-AppDetails Current Date'!A:A,D161,
'YearA-AppDetails Current Date'!F:F,E161,
'YearA-AppDetails Current Date'!E:E,--F161,
'YearA-AppDetails Current Date'!V:V,{"APRO","NODE"},
'YearA-AppDetails Current Date'!I:I,"FALL"))), "")</f>
        <v/>
      </c>
      <c r="O161" s="74" t="str" cm="1">
        <f t="array" ref="O161">IFERROR(1/(1/SUM(COUNTIFS(
'YearA-AppDetails Current Date'!A:A,D161,
'YearA-AppDetails Current Date'!F:F,E161,
'YearA-AppDetails Current Date'!E:E,--F161,
'YearA-AppDetails Current Date'!T:T,{"CDMT","RQMT","WAIT"},
'YearA-AppDetails Current Date'!I:I,"FALL"))), "")</f>
        <v/>
      </c>
      <c r="P161" s="74" t="str">
        <f>IFERROR(1/(1/COUNTIFS(
'YearA-AppDetails Current Date'!A:A,D161,
'YearA-AppDetails Current Date'!F:F,E161,
'YearA-AppDetails Current Date'!E:E,--F161,
'YearA-AppDetails Current Date'!Y:Y,"ENRO",
'YearA-AppDetails Current Date'!I:I,"FALL")),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HC'!D:T,4,FALSE)),
N(VLOOKUP(D162&amp;F162,'Budgeted Projections Dom HC'!D:T,5,FALSE))
)
),"")</f>
        <v/>
      </c>
      <c r="I162" s="73" t="str">
        <f>IFERROR(1/(1/COUNTIFS(
'YearA-AppDetails Current Date'!A:A,D162,
'YearA-AppDetails Current Date'!F:F,E162,
'YearA-AppDetails Current Date'!E:E,--F162,
'YearA-AppDetails Current Date'!I:I,"FALL")), "")</f>
        <v/>
      </c>
      <c r="J162" s="74" t="str" cm="1">
        <f t="array" ref="J162">IFERROR(1/(1/SUM(COUNTIFS(
'YearA-AppDetails Current Date'!A:A,D162,
'YearA-AppDetails Current Date'!F:F,E162,
'YearA-AppDetails Current Date'!E:E,--F162,
'YearA-AppDetails Current Date'!O:O,{"ACLN","ACPT","COND"},
'YearA-AppDetails Current Date'!S:S,"&lt;&gt;ACLN",
'YearA-AppDetails Current Date'!S:S,"&lt;&gt;ACPT",
'YearA-AppDetails Current Date'!S:S,"&lt;&gt;COND",
'YearA-AppDetails Current Date'!I:I,"FALL"))), "")</f>
        <v/>
      </c>
      <c r="K162" s="73" t="str">
        <f>IFERROR(1/(1/SUM(COUNTIFS(
'YearA-AppDetails Current Date'!A:A,D162,
'YearA-AppDetails Current Date'!F:F,E162,
'YearA-AppDetails Current Date'!E:E,--F162,
'YearA-AppDetails Current Date'!R:R,"&lt;&gt;"&amp;"",
'YearA-AppDetails Current Date'!I:I,"FALL"))), "")</f>
        <v/>
      </c>
      <c r="L162" s="74" t="str" cm="1">
        <f t="array" ref="L162">IFERROR(1/(1/SUM(COUNTIFS(
'YearA-AppDetails Current Date'!A:A,D162,
'YearA-AppDetails Current Date'!F:F,E162,
'YearA-AppDetails Current Date'!E:E,--F162,
'YearA-AppDetails Current Date'!T:T,{"APEX","DENY","NTSL"},
'YearA-AppDetails Current Date'!I:I,"FALL"))), "")</f>
        <v/>
      </c>
      <c r="M162" s="74" t="str" cm="1">
        <f t="array" ref="M162">IFERROR(1/(1/SUM(COUNTIFS(
'YearA-AppDetails Current Date'!A:A,D162,
'YearA-AppDetails Current Date'!F:F,E162,
'YearA-AppDetails Current Date'!E:E,--F162,
'YearA-AppDetails Current Date'!U:U,{"CCAN","DECL"},
'YearA-AppDetails Current Date'!I:I,"FALL"))), "")</f>
        <v/>
      </c>
      <c r="N162" s="74" t="str" cm="1">
        <f t="array" ref="N162">IFERROR(1/(1/SUM(COUNTIFS(
'YearA-AppDetails Current Date'!A:A,D162,
'YearA-AppDetails Current Date'!F:F,E162,
'YearA-AppDetails Current Date'!E:E,--F162,
'YearA-AppDetails Current Date'!V:V,{"APRO","NODE"},
'YearA-AppDetails Current Date'!I:I,"FALL"))), "")</f>
        <v/>
      </c>
      <c r="O162" s="74" t="str" cm="1">
        <f t="array" ref="O162">IFERROR(1/(1/SUM(COUNTIFS(
'YearA-AppDetails Current Date'!A:A,D162,
'YearA-AppDetails Current Date'!F:F,E162,
'YearA-AppDetails Current Date'!E:E,--F162,
'YearA-AppDetails Current Date'!T:T,{"CDMT","RQMT","WAIT"},
'YearA-AppDetails Current Date'!I:I,"FALL"))), "")</f>
        <v/>
      </c>
      <c r="P162" s="74" t="str">
        <f>IFERROR(1/(1/COUNTIFS(
'YearA-AppDetails Current Date'!A:A,D162,
'YearA-AppDetails Current Date'!F:F,E162,
'YearA-AppDetails Current Date'!E:E,--F162,
'YearA-AppDetails Current Date'!Y:Y,"ENRO",
'YearA-AppDetails Current Date'!I:I,"FALL")),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HC'!D:T,4,FALSE)),
N(VLOOKUP(D163&amp;F163,'Budgeted Projections Intl HC'!D:T,5,FALSE))
)
),"")</f>
        <v/>
      </c>
      <c r="I163" s="73" t="str">
        <f>IFERROR(1/(1/COUNTIFS(
'YearA-AppDetails Current Date'!A:A,D163,
'YearA-AppDetails Current Date'!F:F,E163,
'YearA-AppDetails Current Date'!E:E,--F163,
'YearA-AppDetails Current Date'!I:I,"FALL")), "")</f>
        <v/>
      </c>
      <c r="J163" s="74" t="str" cm="1">
        <f t="array" ref="J163">IFERROR(1/(1/SUM(COUNTIFS(
'YearA-AppDetails Current Date'!A:A,D163,
'YearA-AppDetails Current Date'!F:F,E163,
'YearA-AppDetails Current Date'!E:E,--F163,
'YearA-AppDetails Current Date'!O:O,{"ACLN","ACPT","COND"},
'YearA-AppDetails Current Date'!S:S,"&lt;&gt;ACLN",
'YearA-AppDetails Current Date'!S:S,"&lt;&gt;ACPT",
'YearA-AppDetails Current Date'!S:S,"&lt;&gt;COND",
'YearA-AppDetails Current Date'!I:I,"FALL"))), "")</f>
        <v/>
      </c>
      <c r="K163" s="73" t="str">
        <f>IFERROR(1/(1/SUM(COUNTIFS(
'YearA-AppDetails Current Date'!A:A,D163,
'YearA-AppDetails Current Date'!F:F,E163,
'YearA-AppDetails Current Date'!E:E,--F163,
'YearA-AppDetails Current Date'!R:R,"&lt;&gt;"&amp;"",
'YearA-AppDetails Current Date'!I:I,"FALL"))), "")</f>
        <v/>
      </c>
      <c r="L163" s="74" t="str" cm="1">
        <f t="array" ref="L163">IFERROR(1/(1/SUM(COUNTIFS(
'YearA-AppDetails Current Date'!A:A,D163,
'YearA-AppDetails Current Date'!F:F,E163,
'YearA-AppDetails Current Date'!E:E,--F163,
'YearA-AppDetails Current Date'!T:T,{"APEX","DENY","NTSL"},
'YearA-AppDetails Current Date'!I:I,"FALL"))), "")</f>
        <v/>
      </c>
      <c r="M163" s="74" t="str" cm="1">
        <f t="array" ref="M163">IFERROR(1/(1/SUM(COUNTIFS(
'YearA-AppDetails Current Date'!A:A,D163,
'YearA-AppDetails Current Date'!F:F,E163,
'YearA-AppDetails Current Date'!E:E,--F163,
'YearA-AppDetails Current Date'!U:U,{"CCAN","DECL"},
'YearA-AppDetails Current Date'!I:I,"FALL"))), "")</f>
        <v/>
      </c>
      <c r="N163" s="74" t="str" cm="1">
        <f t="array" ref="N163">IFERROR(1/(1/SUM(COUNTIFS(
'YearA-AppDetails Current Date'!A:A,D163,
'YearA-AppDetails Current Date'!F:F,E163,
'YearA-AppDetails Current Date'!E:E,--F163,
'YearA-AppDetails Current Date'!V:V,{"APRO","NODE"},
'YearA-AppDetails Current Date'!I:I,"FALL"))), "")</f>
        <v/>
      </c>
      <c r="O163" s="74" t="str" cm="1">
        <f t="array" ref="O163">IFERROR(1/(1/SUM(COUNTIFS(
'YearA-AppDetails Current Date'!A:A,D163,
'YearA-AppDetails Current Date'!F:F,E163,
'YearA-AppDetails Current Date'!E:E,--F163,
'YearA-AppDetails Current Date'!T:T,{"CDMT","RQMT","WAIT"},
'YearA-AppDetails Current Date'!I:I,"FALL"))), "")</f>
        <v/>
      </c>
      <c r="P163" s="74" t="str">
        <f>IFERROR(1/(1/COUNTIFS(
'YearA-AppDetails Current Date'!A:A,D163,
'YearA-AppDetails Current Date'!F:F,E163,
'YearA-AppDetails Current Date'!E:E,--F163,
'YearA-AppDetails Current Date'!Y:Y,"ENRO",
'YearA-AppDetails Current Date'!I:I,"FALL")),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HC'!D:T,4,FALSE)),
N(VLOOKUP(D164&amp;F164,'Budgeted Projections Dom HC'!D:T,5,FALSE))
)
),"")</f>
        <v/>
      </c>
      <c r="I164" s="73" t="str">
        <f>IFERROR(1/(1/COUNTIFS(
'YearA-AppDetails Current Date'!A:A,D164,
'YearA-AppDetails Current Date'!F:F,E164,
'YearA-AppDetails Current Date'!E:E,--F164,
'YearA-AppDetails Current Date'!I:I,"FALL")), "")</f>
        <v/>
      </c>
      <c r="J164" s="74" t="str" cm="1">
        <f t="array" ref="J164">IFERROR(1/(1/SUM(COUNTIFS(
'YearA-AppDetails Current Date'!A:A,D164,
'YearA-AppDetails Current Date'!F:F,E164,
'YearA-AppDetails Current Date'!E:E,--F164,
'YearA-AppDetails Current Date'!O:O,{"ACLN","ACPT","COND"},
'YearA-AppDetails Current Date'!S:S,"&lt;&gt;ACLN",
'YearA-AppDetails Current Date'!S:S,"&lt;&gt;ACPT",
'YearA-AppDetails Current Date'!S:S,"&lt;&gt;COND",
'YearA-AppDetails Current Date'!I:I,"FALL"))), "")</f>
        <v/>
      </c>
      <c r="K164" s="73" t="str">
        <f>IFERROR(1/(1/SUM(COUNTIFS(
'YearA-AppDetails Current Date'!A:A,D164,
'YearA-AppDetails Current Date'!F:F,E164,
'YearA-AppDetails Current Date'!E:E,--F164,
'YearA-AppDetails Current Date'!R:R,"&lt;&gt;"&amp;"",
'YearA-AppDetails Current Date'!I:I,"FALL"))), "")</f>
        <v/>
      </c>
      <c r="L164" s="74" t="str" cm="1">
        <f t="array" ref="L164">IFERROR(1/(1/SUM(COUNTIFS(
'YearA-AppDetails Current Date'!A:A,D164,
'YearA-AppDetails Current Date'!F:F,E164,
'YearA-AppDetails Current Date'!E:E,--F164,
'YearA-AppDetails Current Date'!T:T,{"APEX","DENY","NTSL"},
'YearA-AppDetails Current Date'!I:I,"FALL"))), "")</f>
        <v/>
      </c>
      <c r="M164" s="74" t="str" cm="1">
        <f t="array" ref="M164">IFERROR(1/(1/SUM(COUNTIFS(
'YearA-AppDetails Current Date'!A:A,D164,
'YearA-AppDetails Current Date'!F:F,E164,
'YearA-AppDetails Current Date'!E:E,--F164,
'YearA-AppDetails Current Date'!U:U,{"CCAN","DECL"},
'YearA-AppDetails Current Date'!I:I,"FALL"))), "")</f>
        <v/>
      </c>
      <c r="N164" s="74" t="str" cm="1">
        <f t="array" ref="N164">IFERROR(1/(1/SUM(COUNTIFS(
'YearA-AppDetails Current Date'!A:A,D164,
'YearA-AppDetails Current Date'!F:F,E164,
'YearA-AppDetails Current Date'!E:E,--F164,
'YearA-AppDetails Current Date'!V:V,{"APRO","NODE"},
'YearA-AppDetails Current Date'!I:I,"FALL"))), "")</f>
        <v/>
      </c>
      <c r="O164" s="74" t="str" cm="1">
        <f t="array" ref="O164">IFERROR(1/(1/SUM(COUNTIFS(
'YearA-AppDetails Current Date'!A:A,D164,
'YearA-AppDetails Current Date'!F:F,E164,
'YearA-AppDetails Current Date'!E:E,--F164,
'YearA-AppDetails Current Date'!T:T,{"CDMT","RQMT","WAIT"},
'YearA-AppDetails Current Date'!I:I,"FALL"))), "")</f>
        <v/>
      </c>
      <c r="P164" s="74" t="str">
        <f>IFERROR(1/(1/COUNTIFS(
'YearA-AppDetails Current Date'!A:A,D164,
'YearA-AppDetails Current Date'!F:F,E164,
'YearA-AppDetails Current Date'!E:E,--F164,
'YearA-AppDetails Current Date'!Y:Y,"ENRO",
'YearA-AppDetails Current Date'!I:I,"FALL")),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HC'!D:T,4,FALSE)),
N(VLOOKUP(D165&amp;F165,'Budgeted Projections Intl HC'!D:T,5,FALSE))
)
),"")</f>
        <v/>
      </c>
      <c r="I165" s="73" t="str">
        <f>IFERROR(1/(1/COUNTIFS(
'YearA-AppDetails Current Date'!A:A,D165,
'YearA-AppDetails Current Date'!F:F,E165,
'YearA-AppDetails Current Date'!E:E,--F165,
'YearA-AppDetails Current Date'!I:I,"FALL")), "")</f>
        <v/>
      </c>
      <c r="J165" s="74" t="str" cm="1">
        <f t="array" ref="J165">IFERROR(1/(1/SUM(COUNTIFS(
'YearA-AppDetails Current Date'!A:A,D165,
'YearA-AppDetails Current Date'!F:F,E165,
'YearA-AppDetails Current Date'!E:E,--F165,
'YearA-AppDetails Current Date'!O:O,{"ACLN","ACPT","COND"},
'YearA-AppDetails Current Date'!S:S,"&lt;&gt;ACLN",
'YearA-AppDetails Current Date'!S:S,"&lt;&gt;ACPT",
'YearA-AppDetails Current Date'!S:S,"&lt;&gt;COND",
'YearA-AppDetails Current Date'!I:I,"FALL"))), "")</f>
        <v/>
      </c>
      <c r="K165" s="73" t="str">
        <f>IFERROR(1/(1/SUM(COUNTIFS(
'YearA-AppDetails Current Date'!A:A,D165,
'YearA-AppDetails Current Date'!F:F,E165,
'YearA-AppDetails Current Date'!E:E,--F165,
'YearA-AppDetails Current Date'!R:R,"&lt;&gt;"&amp;"",
'YearA-AppDetails Current Date'!I:I,"FALL"))), "")</f>
        <v/>
      </c>
      <c r="L165" s="74" t="str" cm="1">
        <f t="array" ref="L165">IFERROR(1/(1/SUM(COUNTIFS(
'YearA-AppDetails Current Date'!A:A,D165,
'YearA-AppDetails Current Date'!F:F,E165,
'YearA-AppDetails Current Date'!E:E,--F165,
'YearA-AppDetails Current Date'!T:T,{"APEX","DENY","NTSL"},
'YearA-AppDetails Current Date'!I:I,"FALL"))), "")</f>
        <v/>
      </c>
      <c r="M165" s="74" t="str" cm="1">
        <f t="array" ref="M165">IFERROR(1/(1/SUM(COUNTIFS(
'YearA-AppDetails Current Date'!A:A,D165,
'YearA-AppDetails Current Date'!F:F,E165,
'YearA-AppDetails Current Date'!E:E,--F165,
'YearA-AppDetails Current Date'!U:U,{"CCAN","DECL"},
'YearA-AppDetails Current Date'!I:I,"FALL"))), "")</f>
        <v/>
      </c>
      <c r="N165" s="74" t="str" cm="1">
        <f t="array" ref="N165">IFERROR(1/(1/SUM(COUNTIFS(
'YearA-AppDetails Current Date'!A:A,D165,
'YearA-AppDetails Current Date'!F:F,E165,
'YearA-AppDetails Current Date'!E:E,--F165,
'YearA-AppDetails Current Date'!V:V,{"APRO","NODE"},
'YearA-AppDetails Current Date'!I:I,"FALL"))), "")</f>
        <v/>
      </c>
      <c r="O165" s="74" t="str" cm="1">
        <f t="array" ref="O165">IFERROR(1/(1/SUM(COUNTIFS(
'YearA-AppDetails Current Date'!A:A,D165,
'YearA-AppDetails Current Date'!F:F,E165,
'YearA-AppDetails Current Date'!E:E,--F165,
'YearA-AppDetails Current Date'!T:T,{"CDMT","RQMT","WAIT"},
'YearA-AppDetails Current Date'!I:I,"FALL"))), "")</f>
        <v/>
      </c>
      <c r="P165" s="74" t="str">
        <f>IFERROR(1/(1/COUNTIFS(
'YearA-AppDetails Current Date'!A:A,D165,
'YearA-AppDetails Current Date'!F:F,E165,
'YearA-AppDetails Current Date'!E:E,--F165,
'YearA-AppDetails Current Date'!Y:Y,"ENRO",
'YearA-AppDetails Current Date'!I:I,"FALL")),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HC'!D:T,4,FALSE)),
N(VLOOKUP(D166&amp;F166,'Budgeted Projections Dom HC'!D:T,5,FALSE))
)
),"")</f>
        <v/>
      </c>
      <c r="I166" s="73" t="str">
        <f>IFERROR(1/(1/COUNTIFS(
'YearA-AppDetails Current Date'!A:A,D166,
'YearA-AppDetails Current Date'!F:F,E166,
'YearA-AppDetails Current Date'!E:E,--F166,
'YearA-AppDetails Current Date'!I:I,"FALL")), "")</f>
        <v/>
      </c>
      <c r="J166" s="74" t="str" cm="1">
        <f t="array" ref="J166">IFERROR(1/(1/SUM(COUNTIFS(
'YearA-AppDetails Current Date'!A:A,D166,
'YearA-AppDetails Current Date'!F:F,E166,
'YearA-AppDetails Current Date'!E:E,--F166,
'YearA-AppDetails Current Date'!O:O,{"ACLN","ACPT","COND"},
'YearA-AppDetails Current Date'!S:S,"&lt;&gt;ACLN",
'YearA-AppDetails Current Date'!S:S,"&lt;&gt;ACPT",
'YearA-AppDetails Current Date'!S:S,"&lt;&gt;COND",
'YearA-AppDetails Current Date'!I:I,"FALL"))), "")</f>
        <v/>
      </c>
      <c r="K166" s="73" t="str">
        <f>IFERROR(1/(1/SUM(COUNTIFS(
'YearA-AppDetails Current Date'!A:A,D166,
'YearA-AppDetails Current Date'!F:F,E166,
'YearA-AppDetails Current Date'!E:E,--F166,
'YearA-AppDetails Current Date'!R:R,"&lt;&gt;"&amp;"",
'YearA-AppDetails Current Date'!I:I,"FALL"))), "")</f>
        <v/>
      </c>
      <c r="L166" s="74" t="str" cm="1">
        <f t="array" ref="L166">IFERROR(1/(1/SUM(COUNTIFS(
'YearA-AppDetails Current Date'!A:A,D166,
'YearA-AppDetails Current Date'!F:F,E166,
'YearA-AppDetails Current Date'!E:E,--F166,
'YearA-AppDetails Current Date'!T:T,{"APEX","DENY","NTSL"},
'YearA-AppDetails Current Date'!I:I,"FALL"))), "")</f>
        <v/>
      </c>
      <c r="M166" s="74" t="str" cm="1">
        <f t="array" ref="M166">IFERROR(1/(1/SUM(COUNTIFS(
'YearA-AppDetails Current Date'!A:A,D166,
'YearA-AppDetails Current Date'!F:F,E166,
'YearA-AppDetails Current Date'!E:E,--F166,
'YearA-AppDetails Current Date'!U:U,{"CCAN","DECL"},
'YearA-AppDetails Current Date'!I:I,"FALL"))), "")</f>
        <v/>
      </c>
      <c r="N166" s="74" t="str" cm="1">
        <f t="array" ref="N166">IFERROR(1/(1/SUM(COUNTIFS(
'YearA-AppDetails Current Date'!A:A,D166,
'YearA-AppDetails Current Date'!F:F,E166,
'YearA-AppDetails Current Date'!E:E,--F166,
'YearA-AppDetails Current Date'!V:V,{"APRO","NODE"},
'YearA-AppDetails Current Date'!I:I,"FALL"))), "")</f>
        <v/>
      </c>
      <c r="O166" s="74" t="str" cm="1">
        <f t="array" ref="O166">IFERROR(1/(1/SUM(COUNTIFS(
'YearA-AppDetails Current Date'!A:A,D166,
'YearA-AppDetails Current Date'!F:F,E166,
'YearA-AppDetails Current Date'!E:E,--F166,
'YearA-AppDetails Current Date'!T:T,{"CDMT","RQMT","WAIT"},
'YearA-AppDetails Current Date'!I:I,"FALL"))), "")</f>
        <v/>
      </c>
      <c r="P166" s="74" t="str">
        <f>IFERROR(1/(1/COUNTIFS(
'YearA-AppDetails Current Date'!A:A,D166,
'YearA-AppDetails Current Date'!F:F,E166,
'YearA-AppDetails Current Date'!E:E,--F166,
'YearA-AppDetails Current Date'!Y:Y,"ENRO",
'YearA-AppDetails Current Date'!I:I,"FALL")),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HC'!D:T,4,FALSE)),
N(VLOOKUP(D167&amp;F167,'Budgeted Projections Intl HC'!D:T,5,FALSE))
)
),"")</f>
        <v/>
      </c>
      <c r="I167" s="73" t="str">
        <f>IFERROR(1/(1/COUNTIFS(
'YearA-AppDetails Current Date'!A:A,D167,
'YearA-AppDetails Current Date'!F:F,E167,
'YearA-AppDetails Current Date'!E:E,--F167,
'YearA-AppDetails Current Date'!I:I,"FALL")), "")</f>
        <v/>
      </c>
      <c r="J167" s="74" t="str" cm="1">
        <f t="array" ref="J167">IFERROR(1/(1/SUM(COUNTIFS(
'YearA-AppDetails Current Date'!A:A,D167,
'YearA-AppDetails Current Date'!F:F,E167,
'YearA-AppDetails Current Date'!E:E,--F167,
'YearA-AppDetails Current Date'!O:O,{"ACLN","ACPT","COND"},
'YearA-AppDetails Current Date'!S:S,"&lt;&gt;ACLN",
'YearA-AppDetails Current Date'!S:S,"&lt;&gt;ACPT",
'YearA-AppDetails Current Date'!S:S,"&lt;&gt;COND",
'YearA-AppDetails Current Date'!I:I,"FALL"))), "")</f>
        <v/>
      </c>
      <c r="K167" s="73" t="str">
        <f>IFERROR(1/(1/SUM(COUNTIFS(
'YearA-AppDetails Current Date'!A:A,D167,
'YearA-AppDetails Current Date'!F:F,E167,
'YearA-AppDetails Current Date'!E:E,--F167,
'YearA-AppDetails Current Date'!R:R,"&lt;&gt;"&amp;"",
'YearA-AppDetails Current Date'!I:I,"FALL"))), "")</f>
        <v/>
      </c>
      <c r="L167" s="74" t="str" cm="1">
        <f t="array" ref="L167">IFERROR(1/(1/SUM(COUNTIFS(
'YearA-AppDetails Current Date'!A:A,D167,
'YearA-AppDetails Current Date'!F:F,E167,
'YearA-AppDetails Current Date'!E:E,--F167,
'YearA-AppDetails Current Date'!T:T,{"APEX","DENY","NTSL"},
'YearA-AppDetails Current Date'!I:I,"FALL"))), "")</f>
        <v/>
      </c>
      <c r="M167" s="74" t="str" cm="1">
        <f t="array" ref="M167">IFERROR(1/(1/SUM(COUNTIFS(
'YearA-AppDetails Current Date'!A:A,D167,
'YearA-AppDetails Current Date'!F:F,E167,
'YearA-AppDetails Current Date'!E:E,--F167,
'YearA-AppDetails Current Date'!U:U,{"CCAN","DECL"},
'YearA-AppDetails Current Date'!I:I,"FALL"))), "")</f>
        <v/>
      </c>
      <c r="N167" s="74" t="str" cm="1">
        <f t="array" ref="N167">IFERROR(1/(1/SUM(COUNTIFS(
'YearA-AppDetails Current Date'!A:A,D167,
'YearA-AppDetails Current Date'!F:F,E167,
'YearA-AppDetails Current Date'!E:E,--F167,
'YearA-AppDetails Current Date'!V:V,{"APRO","NODE"},
'YearA-AppDetails Current Date'!I:I,"FALL"))), "")</f>
        <v/>
      </c>
      <c r="O167" s="74" t="str" cm="1">
        <f t="array" ref="O167">IFERROR(1/(1/SUM(COUNTIFS(
'YearA-AppDetails Current Date'!A:A,D167,
'YearA-AppDetails Current Date'!F:F,E167,
'YearA-AppDetails Current Date'!E:E,--F167,
'YearA-AppDetails Current Date'!T:T,{"CDMT","RQMT","WAIT"},
'YearA-AppDetails Current Date'!I:I,"FALL"))), "")</f>
        <v/>
      </c>
      <c r="P167" s="74" t="str">
        <f>IFERROR(1/(1/COUNTIFS(
'YearA-AppDetails Current Date'!A:A,D167,
'YearA-AppDetails Current Date'!F:F,E167,
'YearA-AppDetails Current Date'!E:E,--F167,
'YearA-AppDetails Current Date'!Y:Y,"ENRO",
'YearA-AppDetails Current Date'!I:I,"FALL")),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HC'!D:T,4,FALSE)),
N(VLOOKUP(D168&amp;F168,'Budgeted Projections Dom HC'!D:T,5,FALSE))
)
),"")</f>
        <v/>
      </c>
      <c r="I168" s="73" t="str">
        <f>IFERROR(1/(1/COUNTIFS(
'YearA-AppDetails Current Date'!A:A,D168,
'YearA-AppDetails Current Date'!F:F,E168,
'YearA-AppDetails Current Date'!E:E,--F168,
'YearA-AppDetails Current Date'!I:I,"FALL")), "")</f>
        <v/>
      </c>
      <c r="J168" s="74" t="str" cm="1">
        <f t="array" ref="J168">IFERROR(1/(1/SUM(COUNTIFS(
'YearA-AppDetails Current Date'!A:A,D168,
'YearA-AppDetails Current Date'!F:F,E168,
'YearA-AppDetails Current Date'!E:E,--F168,
'YearA-AppDetails Current Date'!O:O,{"ACLN","ACPT","COND"},
'YearA-AppDetails Current Date'!S:S,"&lt;&gt;ACLN",
'YearA-AppDetails Current Date'!S:S,"&lt;&gt;ACPT",
'YearA-AppDetails Current Date'!S:S,"&lt;&gt;COND",
'YearA-AppDetails Current Date'!I:I,"FALL"))), "")</f>
        <v/>
      </c>
      <c r="K168" s="73" t="str">
        <f>IFERROR(1/(1/SUM(COUNTIFS(
'YearA-AppDetails Current Date'!A:A,D168,
'YearA-AppDetails Current Date'!F:F,E168,
'YearA-AppDetails Current Date'!E:E,--F168,
'YearA-AppDetails Current Date'!R:R,"&lt;&gt;"&amp;"",
'YearA-AppDetails Current Date'!I:I,"FALL"))), "")</f>
        <v/>
      </c>
      <c r="L168" s="74" t="str" cm="1">
        <f t="array" ref="L168">IFERROR(1/(1/SUM(COUNTIFS(
'YearA-AppDetails Current Date'!A:A,D168,
'YearA-AppDetails Current Date'!F:F,E168,
'YearA-AppDetails Current Date'!E:E,--F168,
'YearA-AppDetails Current Date'!T:T,{"APEX","DENY","NTSL"},
'YearA-AppDetails Current Date'!I:I,"FALL"))), "")</f>
        <v/>
      </c>
      <c r="M168" s="74" t="str" cm="1">
        <f t="array" ref="M168">IFERROR(1/(1/SUM(COUNTIFS(
'YearA-AppDetails Current Date'!A:A,D168,
'YearA-AppDetails Current Date'!F:F,E168,
'YearA-AppDetails Current Date'!E:E,--F168,
'YearA-AppDetails Current Date'!U:U,{"CCAN","DECL"},
'YearA-AppDetails Current Date'!I:I,"FALL"))), "")</f>
        <v/>
      </c>
      <c r="N168" s="74" t="str" cm="1">
        <f t="array" ref="N168">IFERROR(1/(1/SUM(COUNTIFS(
'YearA-AppDetails Current Date'!A:A,D168,
'YearA-AppDetails Current Date'!F:F,E168,
'YearA-AppDetails Current Date'!E:E,--F168,
'YearA-AppDetails Current Date'!V:V,{"APRO","NODE"},
'YearA-AppDetails Current Date'!I:I,"FALL"))), "")</f>
        <v/>
      </c>
      <c r="O168" s="74" t="str" cm="1">
        <f t="array" ref="O168">IFERROR(1/(1/SUM(COUNTIFS(
'YearA-AppDetails Current Date'!A:A,D168,
'YearA-AppDetails Current Date'!F:F,E168,
'YearA-AppDetails Current Date'!E:E,--F168,
'YearA-AppDetails Current Date'!T:T,{"CDMT","RQMT","WAIT"},
'YearA-AppDetails Current Date'!I:I,"FALL"))), "")</f>
        <v/>
      </c>
      <c r="P168" s="74" t="str">
        <f>IFERROR(1/(1/COUNTIFS(
'YearA-AppDetails Current Date'!A:A,D168,
'YearA-AppDetails Current Date'!F:F,E168,
'YearA-AppDetails Current Date'!E:E,--F168,
'YearA-AppDetails Current Date'!Y:Y,"ENRO",
'YearA-AppDetails Current Date'!I:I,"FALL")),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HC'!D:T,4,FALSE)),
N(VLOOKUP(D169&amp;F169,'Budgeted Projections Intl HC'!D:T,5,FALSE))
)
),"")</f>
        <v/>
      </c>
      <c r="I169" s="73" t="str">
        <f>IFERROR(1/(1/COUNTIFS(
'YearA-AppDetails Current Date'!A:A,D169,
'YearA-AppDetails Current Date'!F:F,E169,
'YearA-AppDetails Current Date'!E:E,--F169,
'YearA-AppDetails Current Date'!I:I,"FALL")), "")</f>
        <v/>
      </c>
      <c r="J169" s="74" t="str" cm="1">
        <f t="array" ref="J169">IFERROR(1/(1/SUM(COUNTIFS(
'YearA-AppDetails Current Date'!A:A,D169,
'YearA-AppDetails Current Date'!F:F,E169,
'YearA-AppDetails Current Date'!E:E,--F169,
'YearA-AppDetails Current Date'!O:O,{"ACLN","ACPT","COND"},
'YearA-AppDetails Current Date'!S:S,"&lt;&gt;ACLN",
'YearA-AppDetails Current Date'!S:S,"&lt;&gt;ACPT",
'YearA-AppDetails Current Date'!S:S,"&lt;&gt;COND",
'YearA-AppDetails Current Date'!I:I,"FALL"))), "")</f>
        <v/>
      </c>
      <c r="K169" s="73" t="str">
        <f>IFERROR(1/(1/SUM(COUNTIFS(
'YearA-AppDetails Current Date'!A:A,D169,
'YearA-AppDetails Current Date'!F:F,E169,
'YearA-AppDetails Current Date'!E:E,--F169,
'YearA-AppDetails Current Date'!R:R,"&lt;&gt;"&amp;"",
'YearA-AppDetails Current Date'!I:I,"FALL"))), "")</f>
        <v/>
      </c>
      <c r="L169" s="74" t="str" cm="1">
        <f t="array" ref="L169">IFERROR(1/(1/SUM(COUNTIFS(
'YearA-AppDetails Current Date'!A:A,D169,
'YearA-AppDetails Current Date'!F:F,E169,
'YearA-AppDetails Current Date'!E:E,--F169,
'YearA-AppDetails Current Date'!T:T,{"APEX","DENY","NTSL"},
'YearA-AppDetails Current Date'!I:I,"FALL"))), "")</f>
        <v/>
      </c>
      <c r="M169" s="74" t="str" cm="1">
        <f t="array" ref="M169">IFERROR(1/(1/SUM(COUNTIFS(
'YearA-AppDetails Current Date'!A:A,D169,
'YearA-AppDetails Current Date'!F:F,E169,
'YearA-AppDetails Current Date'!E:E,--F169,
'YearA-AppDetails Current Date'!U:U,{"CCAN","DECL"},
'YearA-AppDetails Current Date'!I:I,"FALL"))), "")</f>
        <v/>
      </c>
      <c r="N169" s="74" t="str" cm="1">
        <f t="array" ref="N169">IFERROR(1/(1/SUM(COUNTIFS(
'YearA-AppDetails Current Date'!A:A,D169,
'YearA-AppDetails Current Date'!F:F,E169,
'YearA-AppDetails Current Date'!E:E,--F169,
'YearA-AppDetails Current Date'!V:V,{"APRO","NODE"},
'YearA-AppDetails Current Date'!I:I,"FALL"))), "")</f>
        <v/>
      </c>
      <c r="O169" s="74" t="str" cm="1">
        <f t="array" ref="O169">IFERROR(1/(1/SUM(COUNTIFS(
'YearA-AppDetails Current Date'!A:A,D169,
'YearA-AppDetails Current Date'!F:F,E169,
'YearA-AppDetails Current Date'!E:E,--F169,
'YearA-AppDetails Current Date'!T:T,{"CDMT","RQMT","WAIT"},
'YearA-AppDetails Current Date'!I:I,"FALL"))), "")</f>
        <v/>
      </c>
      <c r="P169" s="74" t="str">
        <f>IFERROR(1/(1/COUNTIFS(
'YearA-AppDetails Current Date'!A:A,D169,
'YearA-AppDetails Current Date'!F:F,E169,
'YearA-AppDetails Current Date'!E:E,--F169,
'YearA-AppDetails Current Date'!Y:Y,"ENRO",
'YearA-AppDetails Current Date'!I:I,"FALL")),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HC'!D:T,4,FALSE)),
N(VLOOKUP(D170&amp;F170,'Budgeted Projections Dom HC'!D:T,5,FALSE))
)
),"")</f>
        <v/>
      </c>
      <c r="I170" s="73" t="str">
        <f>IFERROR(1/(1/COUNTIFS(
'YearA-AppDetails Current Date'!A:A,D170,
'YearA-AppDetails Current Date'!F:F,E170,
'YearA-AppDetails Current Date'!E:E,--F170,
'YearA-AppDetails Current Date'!I:I,"FALL")), "")</f>
        <v/>
      </c>
      <c r="J170" s="74" t="str" cm="1">
        <f t="array" ref="J170">IFERROR(1/(1/SUM(COUNTIFS(
'YearA-AppDetails Current Date'!A:A,D170,
'YearA-AppDetails Current Date'!F:F,E170,
'YearA-AppDetails Current Date'!E:E,--F170,
'YearA-AppDetails Current Date'!O:O,{"ACLN","ACPT","COND"},
'YearA-AppDetails Current Date'!S:S,"&lt;&gt;ACLN",
'YearA-AppDetails Current Date'!S:S,"&lt;&gt;ACPT",
'YearA-AppDetails Current Date'!S:S,"&lt;&gt;COND",
'YearA-AppDetails Current Date'!I:I,"FALL"))), "")</f>
        <v/>
      </c>
      <c r="K170" s="73" t="str">
        <f>IFERROR(1/(1/SUM(COUNTIFS(
'YearA-AppDetails Current Date'!A:A,D170,
'YearA-AppDetails Current Date'!F:F,E170,
'YearA-AppDetails Current Date'!E:E,--F170,
'YearA-AppDetails Current Date'!R:R,"&lt;&gt;"&amp;"",
'YearA-AppDetails Current Date'!I:I,"FALL"))), "")</f>
        <v/>
      </c>
      <c r="L170" s="74" t="str" cm="1">
        <f t="array" ref="L170">IFERROR(1/(1/SUM(COUNTIFS(
'YearA-AppDetails Current Date'!A:A,D170,
'YearA-AppDetails Current Date'!F:F,E170,
'YearA-AppDetails Current Date'!E:E,--F170,
'YearA-AppDetails Current Date'!T:T,{"APEX","DENY","NTSL"},
'YearA-AppDetails Current Date'!I:I,"FALL"))), "")</f>
        <v/>
      </c>
      <c r="M170" s="74" t="str" cm="1">
        <f t="array" ref="M170">IFERROR(1/(1/SUM(COUNTIFS(
'YearA-AppDetails Current Date'!A:A,D170,
'YearA-AppDetails Current Date'!F:F,E170,
'YearA-AppDetails Current Date'!E:E,--F170,
'YearA-AppDetails Current Date'!U:U,{"CCAN","DECL"},
'YearA-AppDetails Current Date'!I:I,"FALL"))), "")</f>
        <v/>
      </c>
      <c r="N170" s="74" t="str" cm="1">
        <f t="array" ref="N170">IFERROR(1/(1/SUM(COUNTIFS(
'YearA-AppDetails Current Date'!A:A,D170,
'YearA-AppDetails Current Date'!F:F,E170,
'YearA-AppDetails Current Date'!E:E,--F170,
'YearA-AppDetails Current Date'!V:V,{"APRO","NODE"},
'YearA-AppDetails Current Date'!I:I,"FALL"))), "")</f>
        <v/>
      </c>
      <c r="O170" s="74" t="str" cm="1">
        <f t="array" ref="O170">IFERROR(1/(1/SUM(COUNTIFS(
'YearA-AppDetails Current Date'!A:A,D170,
'YearA-AppDetails Current Date'!F:F,E170,
'YearA-AppDetails Current Date'!E:E,--F170,
'YearA-AppDetails Current Date'!T:T,{"CDMT","RQMT","WAIT"},
'YearA-AppDetails Current Date'!I:I,"FALL"))), "")</f>
        <v/>
      </c>
      <c r="P170" s="74" t="str">
        <f>IFERROR(1/(1/COUNTIFS(
'YearA-AppDetails Current Date'!A:A,D170,
'YearA-AppDetails Current Date'!F:F,E170,
'YearA-AppDetails Current Date'!E:E,--F170,
'YearA-AppDetails Current Date'!Y:Y,"ENRO",
'YearA-AppDetails Current Date'!I:I,"FALL")),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HC'!D:T,4,FALSE)),
N(VLOOKUP(D171&amp;F171,'Budgeted Projections Intl HC'!D:T,5,FALSE))
)
),"")</f>
        <v/>
      </c>
      <c r="I171" s="73" t="str">
        <f>IFERROR(1/(1/COUNTIFS(
'YearA-AppDetails Current Date'!A:A,D171,
'YearA-AppDetails Current Date'!F:F,E171,
'YearA-AppDetails Current Date'!E:E,--F171,
'YearA-AppDetails Current Date'!I:I,"FALL")), "")</f>
        <v/>
      </c>
      <c r="J171" s="74" t="str" cm="1">
        <f t="array" ref="J171">IFERROR(1/(1/SUM(COUNTIFS(
'YearA-AppDetails Current Date'!A:A,D171,
'YearA-AppDetails Current Date'!F:F,E171,
'YearA-AppDetails Current Date'!E:E,--F171,
'YearA-AppDetails Current Date'!O:O,{"ACLN","ACPT","COND"},
'YearA-AppDetails Current Date'!S:S,"&lt;&gt;ACLN",
'YearA-AppDetails Current Date'!S:S,"&lt;&gt;ACPT",
'YearA-AppDetails Current Date'!S:S,"&lt;&gt;COND",
'YearA-AppDetails Current Date'!I:I,"FALL"))), "")</f>
        <v/>
      </c>
      <c r="K171" s="73" t="str">
        <f>IFERROR(1/(1/SUM(COUNTIFS(
'YearA-AppDetails Current Date'!A:A,D171,
'YearA-AppDetails Current Date'!F:F,E171,
'YearA-AppDetails Current Date'!E:E,--F171,
'YearA-AppDetails Current Date'!R:R,"&lt;&gt;"&amp;"",
'YearA-AppDetails Current Date'!I:I,"FALL"))), "")</f>
        <v/>
      </c>
      <c r="L171" s="74" t="str" cm="1">
        <f t="array" ref="L171">IFERROR(1/(1/SUM(COUNTIFS(
'YearA-AppDetails Current Date'!A:A,D171,
'YearA-AppDetails Current Date'!F:F,E171,
'YearA-AppDetails Current Date'!E:E,--F171,
'YearA-AppDetails Current Date'!T:T,{"APEX","DENY","NTSL"},
'YearA-AppDetails Current Date'!I:I,"FALL"))), "")</f>
        <v/>
      </c>
      <c r="M171" s="74" t="str" cm="1">
        <f t="array" ref="M171">IFERROR(1/(1/SUM(COUNTIFS(
'YearA-AppDetails Current Date'!A:A,D171,
'YearA-AppDetails Current Date'!F:F,E171,
'YearA-AppDetails Current Date'!E:E,--F171,
'YearA-AppDetails Current Date'!U:U,{"CCAN","DECL"},
'YearA-AppDetails Current Date'!I:I,"FALL"))), "")</f>
        <v/>
      </c>
      <c r="N171" s="74" t="str" cm="1">
        <f t="array" ref="N171">IFERROR(1/(1/SUM(COUNTIFS(
'YearA-AppDetails Current Date'!A:A,D171,
'YearA-AppDetails Current Date'!F:F,E171,
'YearA-AppDetails Current Date'!E:E,--F171,
'YearA-AppDetails Current Date'!V:V,{"APRO","NODE"},
'YearA-AppDetails Current Date'!I:I,"FALL"))), "")</f>
        <v/>
      </c>
      <c r="O171" s="74" t="str" cm="1">
        <f t="array" ref="O171">IFERROR(1/(1/SUM(COUNTIFS(
'YearA-AppDetails Current Date'!A:A,D171,
'YearA-AppDetails Current Date'!F:F,E171,
'YearA-AppDetails Current Date'!E:E,--F171,
'YearA-AppDetails Current Date'!T:T,{"CDMT","RQMT","WAIT"},
'YearA-AppDetails Current Date'!I:I,"FALL"))), "")</f>
        <v/>
      </c>
      <c r="P171" s="74" t="str">
        <f>IFERROR(1/(1/COUNTIFS(
'YearA-AppDetails Current Date'!A:A,D171,
'YearA-AppDetails Current Date'!F:F,E171,
'YearA-AppDetails Current Date'!E:E,--F171,
'YearA-AppDetails Current Date'!Y:Y,"ENRO",
'YearA-AppDetails Current Date'!I:I,"FALL")),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HC'!D:T,4,FALSE)),
N(VLOOKUP(D172&amp;F172,'Budgeted Projections Dom HC'!D:T,5,FALSE))
)
),"")</f>
        <v/>
      </c>
      <c r="I172" s="73" t="str">
        <f>IFERROR(1/(1/COUNTIFS(
'YearA-AppDetails Current Date'!A:A,D172,
'YearA-AppDetails Current Date'!F:F,E172,
'YearA-AppDetails Current Date'!E:E,--F172,
'YearA-AppDetails Current Date'!I:I,"FALL")), "")</f>
        <v/>
      </c>
      <c r="J172" s="74" t="str" cm="1">
        <f t="array" ref="J172">IFERROR(1/(1/SUM(COUNTIFS(
'YearA-AppDetails Current Date'!A:A,D172,
'YearA-AppDetails Current Date'!F:F,E172,
'YearA-AppDetails Current Date'!E:E,--F172,
'YearA-AppDetails Current Date'!O:O,{"ACLN","ACPT","COND"},
'YearA-AppDetails Current Date'!S:S,"&lt;&gt;ACLN",
'YearA-AppDetails Current Date'!S:S,"&lt;&gt;ACPT",
'YearA-AppDetails Current Date'!S:S,"&lt;&gt;COND",
'YearA-AppDetails Current Date'!I:I,"FALL"))), "")</f>
        <v/>
      </c>
      <c r="K172" s="73" t="str">
        <f>IFERROR(1/(1/SUM(COUNTIFS(
'YearA-AppDetails Current Date'!A:A,D172,
'YearA-AppDetails Current Date'!F:F,E172,
'YearA-AppDetails Current Date'!E:E,--F172,
'YearA-AppDetails Current Date'!R:R,"&lt;&gt;"&amp;"",
'YearA-AppDetails Current Date'!I:I,"FALL"))), "")</f>
        <v/>
      </c>
      <c r="L172" s="74" t="str" cm="1">
        <f t="array" ref="L172">IFERROR(1/(1/SUM(COUNTIFS(
'YearA-AppDetails Current Date'!A:A,D172,
'YearA-AppDetails Current Date'!F:F,E172,
'YearA-AppDetails Current Date'!E:E,--F172,
'YearA-AppDetails Current Date'!T:T,{"APEX","DENY","NTSL"},
'YearA-AppDetails Current Date'!I:I,"FALL"))), "")</f>
        <v/>
      </c>
      <c r="M172" s="74" t="str" cm="1">
        <f t="array" ref="M172">IFERROR(1/(1/SUM(COUNTIFS(
'YearA-AppDetails Current Date'!A:A,D172,
'YearA-AppDetails Current Date'!F:F,E172,
'YearA-AppDetails Current Date'!E:E,--F172,
'YearA-AppDetails Current Date'!U:U,{"CCAN","DECL"},
'YearA-AppDetails Current Date'!I:I,"FALL"))), "")</f>
        <v/>
      </c>
      <c r="N172" s="74" t="str" cm="1">
        <f t="array" ref="N172">IFERROR(1/(1/SUM(COUNTIFS(
'YearA-AppDetails Current Date'!A:A,D172,
'YearA-AppDetails Current Date'!F:F,E172,
'YearA-AppDetails Current Date'!E:E,--F172,
'YearA-AppDetails Current Date'!V:V,{"APRO","NODE"},
'YearA-AppDetails Current Date'!I:I,"FALL"))), "")</f>
        <v/>
      </c>
      <c r="O172" s="74" t="str" cm="1">
        <f t="array" ref="O172">IFERROR(1/(1/SUM(COUNTIFS(
'YearA-AppDetails Current Date'!A:A,D172,
'YearA-AppDetails Current Date'!F:F,E172,
'YearA-AppDetails Current Date'!E:E,--F172,
'YearA-AppDetails Current Date'!T:T,{"CDMT","RQMT","WAIT"},
'YearA-AppDetails Current Date'!I:I,"FALL"))), "")</f>
        <v/>
      </c>
      <c r="P172" s="74" t="str">
        <f>IFERROR(1/(1/COUNTIFS(
'YearA-AppDetails Current Date'!A:A,D172,
'YearA-AppDetails Current Date'!F:F,E172,
'YearA-AppDetails Current Date'!E:E,--F172,
'YearA-AppDetails Current Date'!Y:Y,"ENRO",
'YearA-AppDetails Current Date'!I:I,"FALL")),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HC'!D:T,4,FALSE)),
N(VLOOKUP(D173&amp;F173,'Budgeted Projections Intl HC'!D:T,5,FALSE))
)
),"")</f>
        <v/>
      </c>
      <c r="I173" s="73" t="str">
        <f>IFERROR(1/(1/COUNTIFS(
'YearA-AppDetails Current Date'!A:A,D173,
'YearA-AppDetails Current Date'!F:F,E173,
'YearA-AppDetails Current Date'!E:E,--F173,
'YearA-AppDetails Current Date'!I:I,"FALL")), "")</f>
        <v/>
      </c>
      <c r="J173" s="74" t="str" cm="1">
        <f t="array" ref="J173">IFERROR(1/(1/SUM(COUNTIFS(
'YearA-AppDetails Current Date'!A:A,D173,
'YearA-AppDetails Current Date'!F:F,E173,
'YearA-AppDetails Current Date'!E:E,--F173,
'YearA-AppDetails Current Date'!O:O,{"ACLN","ACPT","COND"},
'YearA-AppDetails Current Date'!S:S,"&lt;&gt;ACLN",
'YearA-AppDetails Current Date'!S:S,"&lt;&gt;ACPT",
'YearA-AppDetails Current Date'!S:S,"&lt;&gt;COND",
'YearA-AppDetails Current Date'!I:I,"FALL"))), "")</f>
        <v/>
      </c>
      <c r="K173" s="73" t="str">
        <f>IFERROR(1/(1/SUM(COUNTIFS(
'YearA-AppDetails Current Date'!A:A,D173,
'YearA-AppDetails Current Date'!F:F,E173,
'YearA-AppDetails Current Date'!E:E,--F173,
'YearA-AppDetails Current Date'!R:R,"&lt;&gt;"&amp;"",
'YearA-AppDetails Current Date'!I:I,"FALL"))), "")</f>
        <v/>
      </c>
      <c r="L173" s="74" t="str" cm="1">
        <f t="array" ref="L173">IFERROR(1/(1/SUM(COUNTIFS(
'YearA-AppDetails Current Date'!A:A,D173,
'YearA-AppDetails Current Date'!F:F,E173,
'YearA-AppDetails Current Date'!E:E,--F173,
'YearA-AppDetails Current Date'!T:T,{"APEX","DENY","NTSL"},
'YearA-AppDetails Current Date'!I:I,"FALL"))), "")</f>
        <v/>
      </c>
      <c r="M173" s="74" t="str" cm="1">
        <f t="array" ref="M173">IFERROR(1/(1/SUM(COUNTIFS(
'YearA-AppDetails Current Date'!A:A,D173,
'YearA-AppDetails Current Date'!F:F,E173,
'YearA-AppDetails Current Date'!E:E,--F173,
'YearA-AppDetails Current Date'!U:U,{"CCAN","DECL"},
'YearA-AppDetails Current Date'!I:I,"FALL"))), "")</f>
        <v/>
      </c>
      <c r="N173" s="74" t="str" cm="1">
        <f t="array" ref="N173">IFERROR(1/(1/SUM(COUNTIFS(
'YearA-AppDetails Current Date'!A:A,D173,
'YearA-AppDetails Current Date'!F:F,E173,
'YearA-AppDetails Current Date'!E:E,--F173,
'YearA-AppDetails Current Date'!V:V,{"APRO","NODE"},
'YearA-AppDetails Current Date'!I:I,"FALL"))), "")</f>
        <v/>
      </c>
      <c r="O173" s="74" t="str" cm="1">
        <f t="array" ref="O173">IFERROR(1/(1/SUM(COUNTIFS(
'YearA-AppDetails Current Date'!A:A,D173,
'YearA-AppDetails Current Date'!F:F,E173,
'YearA-AppDetails Current Date'!E:E,--F173,
'YearA-AppDetails Current Date'!T:T,{"CDMT","RQMT","WAIT"},
'YearA-AppDetails Current Date'!I:I,"FALL"))), "")</f>
        <v/>
      </c>
      <c r="P173" s="74" t="str">
        <f>IFERROR(1/(1/COUNTIFS(
'YearA-AppDetails Current Date'!A:A,D173,
'YearA-AppDetails Current Date'!F:F,E173,
'YearA-AppDetails Current Date'!E:E,--F173,
'YearA-AppDetails Current Date'!Y:Y,"ENRO",
'YearA-AppDetails Current Date'!I:I,"FALL")),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HC'!D:T,4,FALSE)),
N(VLOOKUP(D174&amp;F174,'Budgeted Projections Dom HC'!D:T,5,FALSE))
)
),"")</f>
        <v/>
      </c>
      <c r="I174" s="73" t="str">
        <f>IFERROR(1/(1/COUNTIFS(
'YearA-AppDetails Current Date'!A:A,D174,
'YearA-AppDetails Current Date'!F:F,E174,
'YearA-AppDetails Current Date'!E:E,--F174,
'YearA-AppDetails Current Date'!I:I,"FALL")), "")</f>
        <v/>
      </c>
      <c r="J174" s="74" t="str" cm="1">
        <f t="array" ref="J174">IFERROR(1/(1/SUM(COUNTIFS(
'YearA-AppDetails Current Date'!A:A,D174,
'YearA-AppDetails Current Date'!F:F,E174,
'YearA-AppDetails Current Date'!E:E,--F174,
'YearA-AppDetails Current Date'!O:O,{"ACLN","ACPT","COND"},
'YearA-AppDetails Current Date'!S:S,"&lt;&gt;ACLN",
'YearA-AppDetails Current Date'!S:S,"&lt;&gt;ACPT",
'YearA-AppDetails Current Date'!S:S,"&lt;&gt;COND",
'YearA-AppDetails Current Date'!I:I,"FALL"))), "")</f>
        <v/>
      </c>
      <c r="K174" s="73" t="str">
        <f>IFERROR(1/(1/SUM(COUNTIFS(
'YearA-AppDetails Current Date'!A:A,D174,
'YearA-AppDetails Current Date'!F:F,E174,
'YearA-AppDetails Current Date'!E:E,--F174,
'YearA-AppDetails Current Date'!R:R,"&lt;&gt;"&amp;"",
'YearA-AppDetails Current Date'!I:I,"FALL"))), "")</f>
        <v/>
      </c>
      <c r="L174" s="74" t="str" cm="1">
        <f t="array" ref="L174">IFERROR(1/(1/SUM(COUNTIFS(
'YearA-AppDetails Current Date'!A:A,D174,
'YearA-AppDetails Current Date'!F:F,E174,
'YearA-AppDetails Current Date'!E:E,--F174,
'YearA-AppDetails Current Date'!T:T,{"APEX","DENY","NTSL"},
'YearA-AppDetails Current Date'!I:I,"FALL"))), "")</f>
        <v/>
      </c>
      <c r="M174" s="74" t="str" cm="1">
        <f t="array" ref="M174">IFERROR(1/(1/SUM(COUNTIFS(
'YearA-AppDetails Current Date'!A:A,D174,
'YearA-AppDetails Current Date'!F:F,E174,
'YearA-AppDetails Current Date'!E:E,--F174,
'YearA-AppDetails Current Date'!U:U,{"CCAN","DECL"},
'YearA-AppDetails Current Date'!I:I,"FALL"))), "")</f>
        <v/>
      </c>
      <c r="N174" s="74" t="str" cm="1">
        <f t="array" ref="N174">IFERROR(1/(1/SUM(COUNTIFS(
'YearA-AppDetails Current Date'!A:A,D174,
'YearA-AppDetails Current Date'!F:F,E174,
'YearA-AppDetails Current Date'!E:E,--F174,
'YearA-AppDetails Current Date'!V:V,{"APRO","NODE"},
'YearA-AppDetails Current Date'!I:I,"FALL"))), "")</f>
        <v/>
      </c>
      <c r="O174" s="74" t="str" cm="1">
        <f t="array" ref="O174">IFERROR(1/(1/SUM(COUNTIFS(
'YearA-AppDetails Current Date'!A:A,D174,
'YearA-AppDetails Current Date'!F:F,E174,
'YearA-AppDetails Current Date'!E:E,--F174,
'YearA-AppDetails Current Date'!T:T,{"CDMT","RQMT","WAIT"},
'YearA-AppDetails Current Date'!I:I,"FALL"))), "")</f>
        <v/>
      </c>
      <c r="P174" s="74" t="str">
        <f>IFERROR(1/(1/COUNTIFS(
'YearA-AppDetails Current Date'!A:A,D174,
'YearA-AppDetails Current Date'!F:F,E174,
'YearA-AppDetails Current Date'!E:E,--F174,
'YearA-AppDetails Current Date'!Y:Y,"ENRO",
'YearA-AppDetails Current Date'!I:I,"FALL")),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HC'!D:T,4,FALSE)),
N(VLOOKUP(D175&amp;F175,'Budgeted Projections Intl HC'!D:T,5,FALSE))
)
),"")</f>
        <v/>
      </c>
      <c r="I175" s="73" t="str">
        <f>IFERROR(1/(1/COUNTIFS(
'YearA-AppDetails Current Date'!A:A,D175,
'YearA-AppDetails Current Date'!F:F,E175,
'YearA-AppDetails Current Date'!E:E,--F175,
'YearA-AppDetails Current Date'!I:I,"FALL")), "")</f>
        <v/>
      </c>
      <c r="J175" s="74" t="str" cm="1">
        <f t="array" ref="J175">IFERROR(1/(1/SUM(COUNTIFS(
'YearA-AppDetails Current Date'!A:A,D175,
'YearA-AppDetails Current Date'!F:F,E175,
'YearA-AppDetails Current Date'!E:E,--F175,
'YearA-AppDetails Current Date'!O:O,{"ACLN","ACPT","COND"},
'YearA-AppDetails Current Date'!S:S,"&lt;&gt;ACLN",
'YearA-AppDetails Current Date'!S:S,"&lt;&gt;ACPT",
'YearA-AppDetails Current Date'!S:S,"&lt;&gt;COND",
'YearA-AppDetails Current Date'!I:I,"FALL"))), "")</f>
        <v/>
      </c>
      <c r="K175" s="73" t="str">
        <f>IFERROR(1/(1/SUM(COUNTIFS(
'YearA-AppDetails Current Date'!A:A,D175,
'YearA-AppDetails Current Date'!F:F,E175,
'YearA-AppDetails Current Date'!E:E,--F175,
'YearA-AppDetails Current Date'!R:R,"&lt;&gt;"&amp;"",
'YearA-AppDetails Current Date'!I:I,"FALL"))), "")</f>
        <v/>
      </c>
      <c r="L175" s="74" t="str" cm="1">
        <f t="array" ref="L175">IFERROR(1/(1/SUM(COUNTIFS(
'YearA-AppDetails Current Date'!A:A,D175,
'YearA-AppDetails Current Date'!F:F,E175,
'YearA-AppDetails Current Date'!E:E,--F175,
'YearA-AppDetails Current Date'!T:T,{"APEX","DENY","NTSL"},
'YearA-AppDetails Current Date'!I:I,"FALL"))), "")</f>
        <v/>
      </c>
      <c r="M175" s="74" t="str" cm="1">
        <f t="array" ref="M175">IFERROR(1/(1/SUM(COUNTIFS(
'YearA-AppDetails Current Date'!A:A,D175,
'YearA-AppDetails Current Date'!F:F,E175,
'YearA-AppDetails Current Date'!E:E,--F175,
'YearA-AppDetails Current Date'!U:U,{"CCAN","DECL"},
'YearA-AppDetails Current Date'!I:I,"FALL"))), "")</f>
        <v/>
      </c>
      <c r="N175" s="74" t="str" cm="1">
        <f t="array" ref="N175">IFERROR(1/(1/SUM(COUNTIFS(
'YearA-AppDetails Current Date'!A:A,D175,
'YearA-AppDetails Current Date'!F:F,E175,
'YearA-AppDetails Current Date'!E:E,--F175,
'YearA-AppDetails Current Date'!V:V,{"APRO","NODE"},
'YearA-AppDetails Current Date'!I:I,"FALL"))), "")</f>
        <v/>
      </c>
      <c r="O175" s="74" t="str" cm="1">
        <f t="array" ref="O175">IFERROR(1/(1/SUM(COUNTIFS(
'YearA-AppDetails Current Date'!A:A,D175,
'YearA-AppDetails Current Date'!F:F,E175,
'YearA-AppDetails Current Date'!E:E,--F175,
'YearA-AppDetails Current Date'!T:T,{"CDMT","RQMT","WAIT"},
'YearA-AppDetails Current Date'!I:I,"FALL"))), "")</f>
        <v/>
      </c>
      <c r="P175" s="74" t="str">
        <f>IFERROR(1/(1/COUNTIFS(
'YearA-AppDetails Current Date'!A:A,D175,
'YearA-AppDetails Current Date'!F:F,E175,
'YearA-AppDetails Current Date'!E:E,--F175,
'YearA-AppDetails Current Date'!Y:Y,"ENRO",
'YearA-AppDetails Current Date'!I:I,"FALL")),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HC'!D:T,4,FALSE)),
N(VLOOKUP(D176&amp;F176,'Budgeted Projections Dom HC'!D:T,5,FALSE))
)
),"")</f>
        <v/>
      </c>
      <c r="I176" s="73" t="str">
        <f>IFERROR(1/(1/COUNTIFS(
'YearA-AppDetails Current Date'!A:A,D176,
'YearA-AppDetails Current Date'!F:F,E176,
'YearA-AppDetails Current Date'!E:E,--F176,
'YearA-AppDetails Current Date'!I:I,"FALL")), "")</f>
        <v/>
      </c>
      <c r="J176" s="74" t="str" cm="1">
        <f t="array" ref="J176">IFERROR(1/(1/SUM(COUNTIFS(
'YearA-AppDetails Current Date'!A:A,D176,
'YearA-AppDetails Current Date'!F:F,E176,
'YearA-AppDetails Current Date'!E:E,--F176,
'YearA-AppDetails Current Date'!O:O,{"ACLN","ACPT","COND"},
'YearA-AppDetails Current Date'!S:S,"&lt;&gt;ACLN",
'YearA-AppDetails Current Date'!S:S,"&lt;&gt;ACPT",
'YearA-AppDetails Current Date'!S:S,"&lt;&gt;COND",
'YearA-AppDetails Current Date'!I:I,"FALL"))), "")</f>
        <v/>
      </c>
      <c r="K176" s="73" t="str">
        <f>IFERROR(1/(1/SUM(COUNTIFS(
'YearA-AppDetails Current Date'!A:A,D176,
'YearA-AppDetails Current Date'!F:F,E176,
'YearA-AppDetails Current Date'!E:E,--F176,
'YearA-AppDetails Current Date'!R:R,"&lt;&gt;"&amp;"",
'YearA-AppDetails Current Date'!I:I,"FALL"))), "")</f>
        <v/>
      </c>
      <c r="L176" s="74" t="str" cm="1">
        <f t="array" ref="L176">IFERROR(1/(1/SUM(COUNTIFS(
'YearA-AppDetails Current Date'!A:A,D176,
'YearA-AppDetails Current Date'!F:F,E176,
'YearA-AppDetails Current Date'!E:E,--F176,
'YearA-AppDetails Current Date'!T:T,{"APEX","DENY","NTSL"},
'YearA-AppDetails Current Date'!I:I,"FALL"))), "")</f>
        <v/>
      </c>
      <c r="M176" s="74" t="str" cm="1">
        <f t="array" ref="M176">IFERROR(1/(1/SUM(COUNTIFS(
'YearA-AppDetails Current Date'!A:A,D176,
'YearA-AppDetails Current Date'!F:F,E176,
'YearA-AppDetails Current Date'!E:E,--F176,
'YearA-AppDetails Current Date'!U:U,{"CCAN","DECL"},
'YearA-AppDetails Current Date'!I:I,"FALL"))), "")</f>
        <v/>
      </c>
      <c r="N176" s="74" t="str" cm="1">
        <f t="array" ref="N176">IFERROR(1/(1/SUM(COUNTIFS(
'YearA-AppDetails Current Date'!A:A,D176,
'YearA-AppDetails Current Date'!F:F,E176,
'YearA-AppDetails Current Date'!E:E,--F176,
'YearA-AppDetails Current Date'!V:V,{"APRO","NODE"},
'YearA-AppDetails Current Date'!I:I,"FALL"))), "")</f>
        <v/>
      </c>
      <c r="O176" s="74" t="str" cm="1">
        <f t="array" ref="O176">IFERROR(1/(1/SUM(COUNTIFS(
'YearA-AppDetails Current Date'!A:A,D176,
'YearA-AppDetails Current Date'!F:F,E176,
'YearA-AppDetails Current Date'!E:E,--F176,
'YearA-AppDetails Current Date'!T:T,{"CDMT","RQMT","WAIT"},
'YearA-AppDetails Current Date'!I:I,"FALL"))), "")</f>
        <v/>
      </c>
      <c r="P176" s="74" t="str">
        <f>IFERROR(1/(1/COUNTIFS(
'YearA-AppDetails Current Date'!A:A,D176,
'YearA-AppDetails Current Date'!F:F,E176,
'YearA-AppDetails Current Date'!E:E,--F176,
'YearA-AppDetails Current Date'!Y:Y,"ENRO",
'YearA-AppDetails Current Date'!I:I,"FALL")),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HC'!D:T,4,FALSE)),
N(VLOOKUP(D177&amp;F177,'Budgeted Projections Intl HC'!D:T,5,FALSE))
)
),"")</f>
        <v/>
      </c>
      <c r="I177" s="73" t="str">
        <f>IFERROR(1/(1/COUNTIFS(
'YearA-AppDetails Current Date'!A:A,D177,
'YearA-AppDetails Current Date'!F:F,E177,
'YearA-AppDetails Current Date'!E:E,--F177,
'YearA-AppDetails Current Date'!I:I,"FALL")), "")</f>
        <v/>
      </c>
      <c r="J177" s="74" t="str" cm="1">
        <f t="array" ref="J177">IFERROR(1/(1/SUM(COUNTIFS(
'YearA-AppDetails Current Date'!A:A,D177,
'YearA-AppDetails Current Date'!F:F,E177,
'YearA-AppDetails Current Date'!E:E,--F177,
'YearA-AppDetails Current Date'!O:O,{"ACLN","ACPT","COND"},
'YearA-AppDetails Current Date'!S:S,"&lt;&gt;ACLN",
'YearA-AppDetails Current Date'!S:S,"&lt;&gt;ACPT",
'YearA-AppDetails Current Date'!S:S,"&lt;&gt;COND",
'YearA-AppDetails Current Date'!I:I,"FALL"))), "")</f>
        <v/>
      </c>
      <c r="K177" s="73" t="str">
        <f>IFERROR(1/(1/SUM(COUNTIFS(
'YearA-AppDetails Current Date'!A:A,D177,
'YearA-AppDetails Current Date'!F:F,E177,
'YearA-AppDetails Current Date'!E:E,--F177,
'YearA-AppDetails Current Date'!R:R,"&lt;&gt;"&amp;"",
'YearA-AppDetails Current Date'!I:I,"FALL"))), "")</f>
        <v/>
      </c>
      <c r="L177" s="74" t="str" cm="1">
        <f t="array" ref="L177">IFERROR(1/(1/SUM(COUNTIFS(
'YearA-AppDetails Current Date'!A:A,D177,
'YearA-AppDetails Current Date'!F:F,E177,
'YearA-AppDetails Current Date'!E:E,--F177,
'YearA-AppDetails Current Date'!T:T,{"APEX","DENY","NTSL"},
'YearA-AppDetails Current Date'!I:I,"FALL"))), "")</f>
        <v/>
      </c>
      <c r="M177" s="74" t="str" cm="1">
        <f t="array" ref="M177">IFERROR(1/(1/SUM(COUNTIFS(
'YearA-AppDetails Current Date'!A:A,D177,
'YearA-AppDetails Current Date'!F:F,E177,
'YearA-AppDetails Current Date'!E:E,--F177,
'YearA-AppDetails Current Date'!U:U,{"CCAN","DECL"},
'YearA-AppDetails Current Date'!I:I,"FALL"))), "")</f>
        <v/>
      </c>
      <c r="N177" s="74" t="str" cm="1">
        <f t="array" ref="N177">IFERROR(1/(1/SUM(COUNTIFS(
'YearA-AppDetails Current Date'!A:A,D177,
'YearA-AppDetails Current Date'!F:F,E177,
'YearA-AppDetails Current Date'!E:E,--F177,
'YearA-AppDetails Current Date'!V:V,{"APRO","NODE"},
'YearA-AppDetails Current Date'!I:I,"FALL"))), "")</f>
        <v/>
      </c>
      <c r="O177" s="74" t="str" cm="1">
        <f t="array" ref="O177">IFERROR(1/(1/SUM(COUNTIFS(
'YearA-AppDetails Current Date'!A:A,D177,
'YearA-AppDetails Current Date'!F:F,E177,
'YearA-AppDetails Current Date'!E:E,--F177,
'YearA-AppDetails Current Date'!T:T,{"CDMT","RQMT","WAIT"},
'YearA-AppDetails Current Date'!I:I,"FALL"))), "")</f>
        <v/>
      </c>
      <c r="P177" s="74" t="str">
        <f>IFERROR(1/(1/COUNTIFS(
'YearA-AppDetails Current Date'!A:A,D177,
'YearA-AppDetails Current Date'!F:F,E177,
'YearA-AppDetails Current Date'!E:E,--F177,
'YearA-AppDetails Current Date'!Y:Y,"ENRO",
'YearA-AppDetails Current Date'!I:I,"FALL")),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HC'!D:T,4,FALSE)),
N(VLOOKUP(D178&amp;F178,'Budgeted Projections Dom HC'!D:T,5,FALSE))
)
),"")</f>
        <v/>
      </c>
      <c r="I178" s="73" t="str">
        <f>IFERROR(1/(1/COUNTIFS(
'YearA-AppDetails Current Date'!A:A,D178,
'YearA-AppDetails Current Date'!F:F,E178,
'YearA-AppDetails Current Date'!E:E,--F178,
'YearA-AppDetails Current Date'!I:I,"FALL")), "")</f>
        <v/>
      </c>
      <c r="J178" s="74" t="str" cm="1">
        <f t="array" ref="J178">IFERROR(1/(1/SUM(COUNTIFS(
'YearA-AppDetails Current Date'!A:A,D178,
'YearA-AppDetails Current Date'!F:F,E178,
'YearA-AppDetails Current Date'!E:E,--F178,
'YearA-AppDetails Current Date'!O:O,{"ACLN","ACPT","COND"},
'YearA-AppDetails Current Date'!S:S,"&lt;&gt;ACLN",
'YearA-AppDetails Current Date'!S:S,"&lt;&gt;ACPT",
'YearA-AppDetails Current Date'!S:S,"&lt;&gt;COND",
'YearA-AppDetails Current Date'!I:I,"FALL"))), "")</f>
        <v/>
      </c>
      <c r="K178" s="73" t="str">
        <f>IFERROR(1/(1/SUM(COUNTIFS(
'YearA-AppDetails Current Date'!A:A,D178,
'YearA-AppDetails Current Date'!F:F,E178,
'YearA-AppDetails Current Date'!E:E,--F178,
'YearA-AppDetails Current Date'!R:R,"&lt;&gt;"&amp;"",
'YearA-AppDetails Current Date'!I:I,"FALL"))), "")</f>
        <v/>
      </c>
      <c r="L178" s="74" t="str" cm="1">
        <f t="array" ref="L178">IFERROR(1/(1/SUM(COUNTIFS(
'YearA-AppDetails Current Date'!A:A,D178,
'YearA-AppDetails Current Date'!F:F,E178,
'YearA-AppDetails Current Date'!E:E,--F178,
'YearA-AppDetails Current Date'!T:T,{"APEX","DENY","NTSL"},
'YearA-AppDetails Current Date'!I:I,"FALL"))), "")</f>
        <v/>
      </c>
      <c r="M178" s="74" t="str" cm="1">
        <f t="array" ref="M178">IFERROR(1/(1/SUM(COUNTIFS(
'YearA-AppDetails Current Date'!A:A,D178,
'YearA-AppDetails Current Date'!F:F,E178,
'YearA-AppDetails Current Date'!E:E,--F178,
'YearA-AppDetails Current Date'!U:U,{"CCAN","DECL"},
'YearA-AppDetails Current Date'!I:I,"FALL"))), "")</f>
        <v/>
      </c>
      <c r="N178" s="74" t="str" cm="1">
        <f t="array" ref="N178">IFERROR(1/(1/SUM(COUNTIFS(
'YearA-AppDetails Current Date'!A:A,D178,
'YearA-AppDetails Current Date'!F:F,E178,
'YearA-AppDetails Current Date'!E:E,--F178,
'YearA-AppDetails Current Date'!V:V,{"APRO","NODE"},
'YearA-AppDetails Current Date'!I:I,"FALL"))), "")</f>
        <v/>
      </c>
      <c r="O178" s="74" t="str" cm="1">
        <f t="array" ref="O178">IFERROR(1/(1/SUM(COUNTIFS(
'YearA-AppDetails Current Date'!A:A,D178,
'YearA-AppDetails Current Date'!F:F,E178,
'YearA-AppDetails Current Date'!E:E,--F178,
'YearA-AppDetails Current Date'!T:T,{"CDMT","RQMT","WAIT"},
'YearA-AppDetails Current Date'!I:I,"FALL"))), "")</f>
        <v/>
      </c>
      <c r="P178" s="74" t="str">
        <f>IFERROR(1/(1/COUNTIFS(
'YearA-AppDetails Current Date'!A:A,D178,
'YearA-AppDetails Current Date'!F:F,E178,
'YearA-AppDetails Current Date'!E:E,--F178,
'YearA-AppDetails Current Date'!Y:Y,"ENRO",
'YearA-AppDetails Current Date'!I:I,"FALL")),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HC'!D:T,4,FALSE)),
N(VLOOKUP(D179&amp;F179,'Budgeted Projections Intl HC'!D:T,5,FALSE))
)
),"")</f>
        <v/>
      </c>
      <c r="I179" s="73" t="str">
        <f>IFERROR(1/(1/COUNTIFS(
'YearA-AppDetails Current Date'!A:A,D179,
'YearA-AppDetails Current Date'!F:F,E179,
'YearA-AppDetails Current Date'!E:E,--F179,
'YearA-AppDetails Current Date'!I:I,"FALL")), "")</f>
        <v/>
      </c>
      <c r="J179" s="74" t="str" cm="1">
        <f t="array" ref="J179">IFERROR(1/(1/SUM(COUNTIFS(
'YearA-AppDetails Current Date'!A:A,D179,
'YearA-AppDetails Current Date'!F:F,E179,
'YearA-AppDetails Current Date'!E:E,--F179,
'YearA-AppDetails Current Date'!O:O,{"ACLN","ACPT","COND"},
'YearA-AppDetails Current Date'!S:S,"&lt;&gt;ACLN",
'YearA-AppDetails Current Date'!S:S,"&lt;&gt;ACPT",
'YearA-AppDetails Current Date'!S:S,"&lt;&gt;COND",
'YearA-AppDetails Current Date'!I:I,"FALL"))), "")</f>
        <v/>
      </c>
      <c r="K179" s="73" t="str">
        <f>IFERROR(1/(1/SUM(COUNTIFS(
'YearA-AppDetails Current Date'!A:A,D179,
'YearA-AppDetails Current Date'!F:F,E179,
'YearA-AppDetails Current Date'!E:E,--F179,
'YearA-AppDetails Current Date'!R:R,"&lt;&gt;"&amp;"",
'YearA-AppDetails Current Date'!I:I,"FALL"))), "")</f>
        <v/>
      </c>
      <c r="L179" s="74" t="str" cm="1">
        <f t="array" ref="L179">IFERROR(1/(1/SUM(COUNTIFS(
'YearA-AppDetails Current Date'!A:A,D179,
'YearA-AppDetails Current Date'!F:F,E179,
'YearA-AppDetails Current Date'!E:E,--F179,
'YearA-AppDetails Current Date'!T:T,{"APEX","DENY","NTSL"},
'YearA-AppDetails Current Date'!I:I,"FALL"))), "")</f>
        <v/>
      </c>
      <c r="M179" s="74" t="str" cm="1">
        <f t="array" ref="M179">IFERROR(1/(1/SUM(COUNTIFS(
'YearA-AppDetails Current Date'!A:A,D179,
'YearA-AppDetails Current Date'!F:F,E179,
'YearA-AppDetails Current Date'!E:E,--F179,
'YearA-AppDetails Current Date'!U:U,{"CCAN","DECL"},
'YearA-AppDetails Current Date'!I:I,"FALL"))), "")</f>
        <v/>
      </c>
      <c r="N179" s="74" t="str" cm="1">
        <f t="array" ref="N179">IFERROR(1/(1/SUM(COUNTIFS(
'YearA-AppDetails Current Date'!A:A,D179,
'YearA-AppDetails Current Date'!F:F,E179,
'YearA-AppDetails Current Date'!E:E,--F179,
'YearA-AppDetails Current Date'!V:V,{"APRO","NODE"},
'YearA-AppDetails Current Date'!I:I,"FALL"))), "")</f>
        <v/>
      </c>
      <c r="O179" s="74" t="str" cm="1">
        <f t="array" ref="O179">IFERROR(1/(1/SUM(COUNTIFS(
'YearA-AppDetails Current Date'!A:A,D179,
'YearA-AppDetails Current Date'!F:F,E179,
'YearA-AppDetails Current Date'!E:E,--F179,
'YearA-AppDetails Current Date'!T:T,{"CDMT","RQMT","WAIT"},
'YearA-AppDetails Current Date'!I:I,"FALL"))), "")</f>
        <v/>
      </c>
      <c r="P179" s="74" t="str">
        <f>IFERROR(1/(1/COUNTIFS(
'YearA-AppDetails Current Date'!A:A,D179,
'YearA-AppDetails Current Date'!F:F,E179,
'YearA-AppDetails Current Date'!E:E,--F179,
'YearA-AppDetails Current Date'!Y:Y,"ENRO",
'YearA-AppDetails Current Date'!I:I,"FALL")),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HC'!D:T,4,FALSE)),
N(VLOOKUP(D180&amp;F180,'Budgeted Projections Dom HC'!D:T,5,FALSE))
)
),"")</f>
        <v/>
      </c>
      <c r="I180" s="73" t="str">
        <f>IFERROR(1/(1/COUNTIFS(
'YearA-AppDetails Current Date'!A:A,D180,
'YearA-AppDetails Current Date'!F:F,E180,
'YearA-AppDetails Current Date'!E:E,--F180,
'YearA-AppDetails Current Date'!I:I,"FALL")), "")</f>
        <v/>
      </c>
      <c r="J180" s="74" t="str" cm="1">
        <f t="array" ref="J180">IFERROR(1/(1/SUM(COUNTIFS(
'YearA-AppDetails Current Date'!A:A,D180,
'YearA-AppDetails Current Date'!F:F,E180,
'YearA-AppDetails Current Date'!E:E,--F180,
'YearA-AppDetails Current Date'!O:O,{"ACLN","ACPT","COND"},
'YearA-AppDetails Current Date'!S:S,"&lt;&gt;ACLN",
'YearA-AppDetails Current Date'!S:S,"&lt;&gt;ACPT",
'YearA-AppDetails Current Date'!S:S,"&lt;&gt;COND",
'YearA-AppDetails Current Date'!I:I,"FALL"))), "")</f>
        <v/>
      </c>
      <c r="K180" s="73" t="str">
        <f>IFERROR(1/(1/SUM(COUNTIFS(
'YearA-AppDetails Current Date'!A:A,D180,
'YearA-AppDetails Current Date'!F:F,E180,
'YearA-AppDetails Current Date'!E:E,--F180,
'YearA-AppDetails Current Date'!R:R,"&lt;&gt;"&amp;"",
'YearA-AppDetails Current Date'!I:I,"FALL"))), "")</f>
        <v/>
      </c>
      <c r="L180" s="74" t="str" cm="1">
        <f t="array" ref="L180">IFERROR(1/(1/SUM(COUNTIFS(
'YearA-AppDetails Current Date'!A:A,D180,
'YearA-AppDetails Current Date'!F:F,E180,
'YearA-AppDetails Current Date'!E:E,--F180,
'YearA-AppDetails Current Date'!T:T,{"APEX","DENY","NTSL"},
'YearA-AppDetails Current Date'!I:I,"FALL"))), "")</f>
        <v/>
      </c>
      <c r="M180" s="74" t="str" cm="1">
        <f t="array" ref="M180">IFERROR(1/(1/SUM(COUNTIFS(
'YearA-AppDetails Current Date'!A:A,D180,
'YearA-AppDetails Current Date'!F:F,E180,
'YearA-AppDetails Current Date'!E:E,--F180,
'YearA-AppDetails Current Date'!U:U,{"CCAN","DECL"},
'YearA-AppDetails Current Date'!I:I,"FALL"))), "")</f>
        <v/>
      </c>
      <c r="N180" s="74" t="str" cm="1">
        <f t="array" ref="N180">IFERROR(1/(1/SUM(COUNTIFS(
'YearA-AppDetails Current Date'!A:A,D180,
'YearA-AppDetails Current Date'!F:F,E180,
'YearA-AppDetails Current Date'!E:E,--F180,
'YearA-AppDetails Current Date'!V:V,{"APRO","NODE"},
'YearA-AppDetails Current Date'!I:I,"FALL"))), "")</f>
        <v/>
      </c>
      <c r="O180" s="74" t="str" cm="1">
        <f t="array" ref="O180">IFERROR(1/(1/SUM(COUNTIFS(
'YearA-AppDetails Current Date'!A:A,D180,
'YearA-AppDetails Current Date'!F:F,E180,
'YearA-AppDetails Current Date'!E:E,--F180,
'YearA-AppDetails Current Date'!T:T,{"CDMT","RQMT","WAIT"},
'YearA-AppDetails Current Date'!I:I,"FALL"))), "")</f>
        <v/>
      </c>
      <c r="P180" s="74" t="str">
        <f>IFERROR(1/(1/COUNTIFS(
'YearA-AppDetails Current Date'!A:A,D180,
'YearA-AppDetails Current Date'!F:F,E180,
'YearA-AppDetails Current Date'!E:E,--F180,
'YearA-AppDetails Current Date'!Y:Y,"ENRO",
'YearA-AppDetails Current Date'!I:I,"FALL")),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HC'!D:T,4,FALSE)),
N(VLOOKUP(D181&amp;F181,'Budgeted Projections Intl HC'!D:T,5,FALSE))
)
),"")</f>
        <v/>
      </c>
      <c r="I181" s="73" t="str">
        <f>IFERROR(1/(1/COUNTIFS(
'YearA-AppDetails Current Date'!A:A,D181,
'YearA-AppDetails Current Date'!F:F,E181,
'YearA-AppDetails Current Date'!E:E,--F181,
'YearA-AppDetails Current Date'!I:I,"FALL")), "")</f>
        <v/>
      </c>
      <c r="J181" s="74" t="str" cm="1">
        <f t="array" ref="J181">IFERROR(1/(1/SUM(COUNTIFS(
'YearA-AppDetails Current Date'!A:A,D181,
'YearA-AppDetails Current Date'!F:F,E181,
'YearA-AppDetails Current Date'!E:E,--F181,
'YearA-AppDetails Current Date'!O:O,{"ACLN","ACPT","COND"},
'YearA-AppDetails Current Date'!S:S,"&lt;&gt;ACLN",
'YearA-AppDetails Current Date'!S:S,"&lt;&gt;ACPT",
'YearA-AppDetails Current Date'!S:S,"&lt;&gt;COND",
'YearA-AppDetails Current Date'!I:I,"FALL"))), "")</f>
        <v/>
      </c>
      <c r="K181" s="73" t="str">
        <f>IFERROR(1/(1/SUM(COUNTIFS(
'YearA-AppDetails Current Date'!A:A,D181,
'YearA-AppDetails Current Date'!F:F,E181,
'YearA-AppDetails Current Date'!E:E,--F181,
'YearA-AppDetails Current Date'!R:R,"&lt;&gt;"&amp;"",
'YearA-AppDetails Current Date'!I:I,"FALL"))), "")</f>
        <v/>
      </c>
      <c r="L181" s="74" t="str" cm="1">
        <f t="array" ref="L181">IFERROR(1/(1/SUM(COUNTIFS(
'YearA-AppDetails Current Date'!A:A,D181,
'YearA-AppDetails Current Date'!F:F,E181,
'YearA-AppDetails Current Date'!E:E,--F181,
'YearA-AppDetails Current Date'!T:T,{"APEX","DENY","NTSL"},
'YearA-AppDetails Current Date'!I:I,"FALL"))), "")</f>
        <v/>
      </c>
      <c r="M181" s="74" t="str" cm="1">
        <f t="array" ref="M181">IFERROR(1/(1/SUM(COUNTIFS(
'YearA-AppDetails Current Date'!A:A,D181,
'YearA-AppDetails Current Date'!F:F,E181,
'YearA-AppDetails Current Date'!E:E,--F181,
'YearA-AppDetails Current Date'!U:U,{"CCAN","DECL"},
'YearA-AppDetails Current Date'!I:I,"FALL"))), "")</f>
        <v/>
      </c>
      <c r="N181" s="74" t="str" cm="1">
        <f t="array" ref="N181">IFERROR(1/(1/SUM(COUNTIFS(
'YearA-AppDetails Current Date'!A:A,D181,
'YearA-AppDetails Current Date'!F:F,E181,
'YearA-AppDetails Current Date'!E:E,--F181,
'YearA-AppDetails Current Date'!V:V,{"APRO","NODE"},
'YearA-AppDetails Current Date'!I:I,"FALL"))), "")</f>
        <v/>
      </c>
      <c r="O181" s="74" t="str" cm="1">
        <f t="array" ref="O181">IFERROR(1/(1/SUM(COUNTIFS(
'YearA-AppDetails Current Date'!A:A,D181,
'YearA-AppDetails Current Date'!F:F,E181,
'YearA-AppDetails Current Date'!E:E,--F181,
'YearA-AppDetails Current Date'!T:T,{"CDMT","RQMT","WAIT"},
'YearA-AppDetails Current Date'!I:I,"FALL"))), "")</f>
        <v/>
      </c>
      <c r="P181" s="74" t="str">
        <f>IFERROR(1/(1/COUNTIFS(
'YearA-AppDetails Current Date'!A:A,D181,
'YearA-AppDetails Current Date'!F:F,E181,
'YearA-AppDetails Current Date'!E:E,--F181,
'YearA-AppDetails Current Date'!Y:Y,"ENRO",
'YearA-AppDetails Current Date'!I:I,"FALL")),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HC'!D:T,4,FALSE)),
N(VLOOKUP(D182&amp;F182,'Budgeted Projections Dom HC'!D:T,5,FALSE))
)
),"")</f>
        <v/>
      </c>
      <c r="I182" s="73" t="str">
        <f>IFERROR(1/(1/COUNTIFS(
'YearA-AppDetails Current Date'!A:A,D182,
'YearA-AppDetails Current Date'!F:F,E182,
'YearA-AppDetails Current Date'!E:E,--F182,
'YearA-AppDetails Current Date'!I:I,"FALL")), "")</f>
        <v/>
      </c>
      <c r="J182" s="74" t="str" cm="1">
        <f t="array" ref="J182">IFERROR(1/(1/SUM(COUNTIFS(
'YearA-AppDetails Current Date'!A:A,D182,
'YearA-AppDetails Current Date'!F:F,E182,
'YearA-AppDetails Current Date'!E:E,--F182,
'YearA-AppDetails Current Date'!O:O,{"ACLN","ACPT","COND"},
'YearA-AppDetails Current Date'!S:S,"&lt;&gt;ACLN",
'YearA-AppDetails Current Date'!S:S,"&lt;&gt;ACPT",
'YearA-AppDetails Current Date'!S:S,"&lt;&gt;COND",
'YearA-AppDetails Current Date'!I:I,"FALL"))), "")</f>
        <v/>
      </c>
      <c r="K182" s="73" t="str">
        <f>IFERROR(1/(1/SUM(COUNTIFS(
'YearA-AppDetails Current Date'!A:A,D182,
'YearA-AppDetails Current Date'!F:F,E182,
'YearA-AppDetails Current Date'!E:E,--F182,
'YearA-AppDetails Current Date'!R:R,"&lt;&gt;"&amp;"",
'YearA-AppDetails Current Date'!I:I,"FALL"))), "")</f>
        <v/>
      </c>
      <c r="L182" s="74" t="str" cm="1">
        <f t="array" ref="L182">IFERROR(1/(1/SUM(COUNTIFS(
'YearA-AppDetails Current Date'!A:A,D182,
'YearA-AppDetails Current Date'!F:F,E182,
'YearA-AppDetails Current Date'!E:E,--F182,
'YearA-AppDetails Current Date'!T:T,{"APEX","DENY","NTSL"},
'YearA-AppDetails Current Date'!I:I,"FALL"))), "")</f>
        <v/>
      </c>
      <c r="M182" s="74" t="str" cm="1">
        <f t="array" ref="M182">IFERROR(1/(1/SUM(COUNTIFS(
'YearA-AppDetails Current Date'!A:A,D182,
'YearA-AppDetails Current Date'!F:F,E182,
'YearA-AppDetails Current Date'!E:E,--F182,
'YearA-AppDetails Current Date'!U:U,{"CCAN","DECL"},
'YearA-AppDetails Current Date'!I:I,"FALL"))), "")</f>
        <v/>
      </c>
      <c r="N182" s="74" t="str" cm="1">
        <f t="array" ref="N182">IFERROR(1/(1/SUM(COUNTIFS(
'YearA-AppDetails Current Date'!A:A,D182,
'YearA-AppDetails Current Date'!F:F,E182,
'YearA-AppDetails Current Date'!E:E,--F182,
'YearA-AppDetails Current Date'!V:V,{"APRO","NODE"},
'YearA-AppDetails Current Date'!I:I,"FALL"))), "")</f>
        <v/>
      </c>
      <c r="O182" s="74" t="str" cm="1">
        <f t="array" ref="O182">IFERROR(1/(1/SUM(COUNTIFS(
'YearA-AppDetails Current Date'!A:A,D182,
'YearA-AppDetails Current Date'!F:F,E182,
'YearA-AppDetails Current Date'!E:E,--F182,
'YearA-AppDetails Current Date'!T:T,{"CDMT","RQMT","WAIT"},
'YearA-AppDetails Current Date'!I:I,"FALL"))), "")</f>
        <v/>
      </c>
      <c r="P182" s="74" t="str">
        <f>IFERROR(1/(1/COUNTIFS(
'YearA-AppDetails Current Date'!A:A,D182,
'YearA-AppDetails Current Date'!F:F,E182,
'YearA-AppDetails Current Date'!E:E,--F182,
'YearA-AppDetails Current Date'!Y:Y,"ENRO",
'YearA-AppDetails Current Date'!I:I,"FALL")),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HC'!D:T,4,FALSE)),
N(VLOOKUP(D183&amp;F183,'Budgeted Projections Intl HC'!D:T,5,FALSE))
)
),"")</f>
        <v/>
      </c>
      <c r="I183" s="73" t="str">
        <f>IFERROR(1/(1/COUNTIFS(
'YearA-AppDetails Current Date'!A:A,D183,
'YearA-AppDetails Current Date'!F:F,E183,
'YearA-AppDetails Current Date'!E:E,--F183,
'YearA-AppDetails Current Date'!I:I,"FALL")), "")</f>
        <v/>
      </c>
      <c r="J183" s="74" t="str" cm="1">
        <f t="array" ref="J183">IFERROR(1/(1/SUM(COUNTIFS(
'YearA-AppDetails Current Date'!A:A,D183,
'YearA-AppDetails Current Date'!F:F,E183,
'YearA-AppDetails Current Date'!E:E,--F183,
'YearA-AppDetails Current Date'!O:O,{"ACLN","ACPT","COND"},
'YearA-AppDetails Current Date'!S:S,"&lt;&gt;ACLN",
'YearA-AppDetails Current Date'!S:S,"&lt;&gt;ACPT",
'YearA-AppDetails Current Date'!S:S,"&lt;&gt;COND",
'YearA-AppDetails Current Date'!I:I,"FALL"))), "")</f>
        <v/>
      </c>
      <c r="K183" s="73" t="str">
        <f>IFERROR(1/(1/SUM(COUNTIFS(
'YearA-AppDetails Current Date'!A:A,D183,
'YearA-AppDetails Current Date'!F:F,E183,
'YearA-AppDetails Current Date'!E:E,--F183,
'YearA-AppDetails Current Date'!R:R,"&lt;&gt;"&amp;"",
'YearA-AppDetails Current Date'!I:I,"FALL"))), "")</f>
        <v/>
      </c>
      <c r="L183" s="74" t="str" cm="1">
        <f t="array" ref="L183">IFERROR(1/(1/SUM(COUNTIFS(
'YearA-AppDetails Current Date'!A:A,D183,
'YearA-AppDetails Current Date'!F:F,E183,
'YearA-AppDetails Current Date'!E:E,--F183,
'YearA-AppDetails Current Date'!T:T,{"APEX","DENY","NTSL"},
'YearA-AppDetails Current Date'!I:I,"FALL"))), "")</f>
        <v/>
      </c>
      <c r="M183" s="74" t="str" cm="1">
        <f t="array" ref="M183">IFERROR(1/(1/SUM(COUNTIFS(
'YearA-AppDetails Current Date'!A:A,D183,
'YearA-AppDetails Current Date'!F:F,E183,
'YearA-AppDetails Current Date'!E:E,--F183,
'YearA-AppDetails Current Date'!U:U,{"CCAN","DECL"},
'YearA-AppDetails Current Date'!I:I,"FALL"))), "")</f>
        <v/>
      </c>
      <c r="N183" s="74" t="str" cm="1">
        <f t="array" ref="N183">IFERROR(1/(1/SUM(COUNTIFS(
'YearA-AppDetails Current Date'!A:A,D183,
'YearA-AppDetails Current Date'!F:F,E183,
'YearA-AppDetails Current Date'!E:E,--F183,
'YearA-AppDetails Current Date'!V:V,{"APRO","NODE"},
'YearA-AppDetails Current Date'!I:I,"FALL"))), "")</f>
        <v/>
      </c>
      <c r="O183" s="74" t="str" cm="1">
        <f t="array" ref="O183">IFERROR(1/(1/SUM(COUNTIFS(
'YearA-AppDetails Current Date'!A:A,D183,
'YearA-AppDetails Current Date'!F:F,E183,
'YearA-AppDetails Current Date'!E:E,--F183,
'YearA-AppDetails Current Date'!T:T,{"CDMT","RQMT","WAIT"},
'YearA-AppDetails Current Date'!I:I,"FALL"))), "")</f>
        <v/>
      </c>
      <c r="P183" s="74" t="str">
        <f>IFERROR(1/(1/COUNTIFS(
'YearA-AppDetails Current Date'!A:A,D183,
'YearA-AppDetails Current Date'!F:F,E183,
'YearA-AppDetails Current Date'!E:E,--F183,
'YearA-AppDetails Current Date'!Y:Y,"ENRO",
'YearA-AppDetails Current Date'!I:I,"FALL")),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HC'!D:T,4,FALSE)),
N(VLOOKUP(D184&amp;F184,'Budgeted Projections Dom HC'!D:T,5,FALSE))
)
),"")</f>
        <v/>
      </c>
      <c r="I184" s="73" t="str">
        <f>IFERROR(1/(1/COUNTIFS(
'YearA-AppDetails Current Date'!A:A,D184,
'YearA-AppDetails Current Date'!F:F,E184,
'YearA-AppDetails Current Date'!E:E,--F184,
'YearA-AppDetails Current Date'!I:I,"FALL")), "")</f>
        <v/>
      </c>
      <c r="J184" s="74" t="str" cm="1">
        <f t="array" ref="J184">IFERROR(1/(1/SUM(COUNTIFS(
'YearA-AppDetails Current Date'!A:A,D184,
'YearA-AppDetails Current Date'!F:F,E184,
'YearA-AppDetails Current Date'!E:E,--F184,
'YearA-AppDetails Current Date'!O:O,{"ACLN","ACPT","COND"},
'YearA-AppDetails Current Date'!S:S,"&lt;&gt;ACLN",
'YearA-AppDetails Current Date'!S:S,"&lt;&gt;ACPT",
'YearA-AppDetails Current Date'!S:S,"&lt;&gt;COND",
'YearA-AppDetails Current Date'!I:I,"FALL"))), "")</f>
        <v/>
      </c>
      <c r="K184" s="73" t="str">
        <f>IFERROR(1/(1/SUM(COUNTIFS(
'YearA-AppDetails Current Date'!A:A,D184,
'YearA-AppDetails Current Date'!F:F,E184,
'YearA-AppDetails Current Date'!E:E,--F184,
'YearA-AppDetails Current Date'!R:R,"&lt;&gt;"&amp;"",
'YearA-AppDetails Current Date'!I:I,"FALL"))), "")</f>
        <v/>
      </c>
      <c r="L184" s="74" t="str" cm="1">
        <f t="array" ref="L184">IFERROR(1/(1/SUM(COUNTIFS(
'YearA-AppDetails Current Date'!A:A,D184,
'YearA-AppDetails Current Date'!F:F,E184,
'YearA-AppDetails Current Date'!E:E,--F184,
'YearA-AppDetails Current Date'!T:T,{"APEX","DENY","NTSL"},
'YearA-AppDetails Current Date'!I:I,"FALL"))), "")</f>
        <v/>
      </c>
      <c r="M184" s="74" t="str" cm="1">
        <f t="array" ref="M184">IFERROR(1/(1/SUM(COUNTIFS(
'YearA-AppDetails Current Date'!A:A,D184,
'YearA-AppDetails Current Date'!F:F,E184,
'YearA-AppDetails Current Date'!E:E,--F184,
'YearA-AppDetails Current Date'!U:U,{"CCAN","DECL"},
'YearA-AppDetails Current Date'!I:I,"FALL"))), "")</f>
        <v/>
      </c>
      <c r="N184" s="74" t="str" cm="1">
        <f t="array" ref="N184">IFERROR(1/(1/SUM(COUNTIFS(
'YearA-AppDetails Current Date'!A:A,D184,
'YearA-AppDetails Current Date'!F:F,E184,
'YearA-AppDetails Current Date'!E:E,--F184,
'YearA-AppDetails Current Date'!V:V,{"APRO","NODE"},
'YearA-AppDetails Current Date'!I:I,"FALL"))), "")</f>
        <v/>
      </c>
      <c r="O184" s="74" t="str" cm="1">
        <f t="array" ref="O184">IFERROR(1/(1/SUM(COUNTIFS(
'YearA-AppDetails Current Date'!A:A,D184,
'YearA-AppDetails Current Date'!F:F,E184,
'YearA-AppDetails Current Date'!E:E,--F184,
'YearA-AppDetails Current Date'!T:T,{"CDMT","RQMT","WAIT"},
'YearA-AppDetails Current Date'!I:I,"FALL"))), "")</f>
        <v/>
      </c>
      <c r="P184" s="74" t="str">
        <f>IFERROR(1/(1/COUNTIFS(
'YearA-AppDetails Current Date'!A:A,D184,
'YearA-AppDetails Current Date'!F:F,E184,
'YearA-AppDetails Current Date'!E:E,--F184,
'YearA-AppDetails Current Date'!Y:Y,"ENRO",
'YearA-AppDetails Current Date'!I:I,"FALL")),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HC'!D:T,4,FALSE)),
N(VLOOKUP(D185&amp;F185,'Budgeted Projections Intl HC'!D:T,5,FALSE))
)
),"")</f>
        <v/>
      </c>
      <c r="I185" s="73" t="str">
        <f>IFERROR(1/(1/COUNTIFS(
'YearA-AppDetails Current Date'!A:A,D185,
'YearA-AppDetails Current Date'!F:F,E185,
'YearA-AppDetails Current Date'!E:E,--F185,
'YearA-AppDetails Current Date'!I:I,"FALL")), "")</f>
        <v/>
      </c>
      <c r="J185" s="74" t="str" cm="1">
        <f t="array" ref="J185">IFERROR(1/(1/SUM(COUNTIFS(
'YearA-AppDetails Current Date'!A:A,D185,
'YearA-AppDetails Current Date'!F:F,E185,
'YearA-AppDetails Current Date'!E:E,--F185,
'YearA-AppDetails Current Date'!O:O,{"ACLN","ACPT","COND"},
'YearA-AppDetails Current Date'!S:S,"&lt;&gt;ACLN",
'YearA-AppDetails Current Date'!S:S,"&lt;&gt;ACPT",
'YearA-AppDetails Current Date'!S:S,"&lt;&gt;COND",
'YearA-AppDetails Current Date'!I:I,"FALL"))), "")</f>
        <v/>
      </c>
      <c r="K185" s="73" t="str">
        <f>IFERROR(1/(1/SUM(COUNTIFS(
'YearA-AppDetails Current Date'!A:A,D185,
'YearA-AppDetails Current Date'!F:F,E185,
'YearA-AppDetails Current Date'!E:E,--F185,
'YearA-AppDetails Current Date'!R:R,"&lt;&gt;"&amp;"",
'YearA-AppDetails Current Date'!I:I,"FALL"))), "")</f>
        <v/>
      </c>
      <c r="L185" s="74" t="str" cm="1">
        <f t="array" ref="L185">IFERROR(1/(1/SUM(COUNTIFS(
'YearA-AppDetails Current Date'!A:A,D185,
'YearA-AppDetails Current Date'!F:F,E185,
'YearA-AppDetails Current Date'!E:E,--F185,
'YearA-AppDetails Current Date'!T:T,{"APEX","DENY","NTSL"},
'YearA-AppDetails Current Date'!I:I,"FALL"))), "")</f>
        <v/>
      </c>
      <c r="M185" s="74" t="str" cm="1">
        <f t="array" ref="M185">IFERROR(1/(1/SUM(COUNTIFS(
'YearA-AppDetails Current Date'!A:A,D185,
'YearA-AppDetails Current Date'!F:F,E185,
'YearA-AppDetails Current Date'!E:E,--F185,
'YearA-AppDetails Current Date'!U:U,{"CCAN","DECL"},
'YearA-AppDetails Current Date'!I:I,"FALL"))), "")</f>
        <v/>
      </c>
      <c r="N185" s="74" t="str" cm="1">
        <f t="array" ref="N185">IFERROR(1/(1/SUM(COUNTIFS(
'YearA-AppDetails Current Date'!A:A,D185,
'YearA-AppDetails Current Date'!F:F,E185,
'YearA-AppDetails Current Date'!E:E,--F185,
'YearA-AppDetails Current Date'!V:V,{"APRO","NODE"},
'YearA-AppDetails Current Date'!I:I,"FALL"))), "")</f>
        <v/>
      </c>
      <c r="O185" s="74" t="str" cm="1">
        <f t="array" ref="O185">IFERROR(1/(1/SUM(COUNTIFS(
'YearA-AppDetails Current Date'!A:A,D185,
'YearA-AppDetails Current Date'!F:F,E185,
'YearA-AppDetails Current Date'!E:E,--F185,
'YearA-AppDetails Current Date'!T:T,{"CDMT","RQMT","WAIT"},
'YearA-AppDetails Current Date'!I:I,"FALL"))), "")</f>
        <v/>
      </c>
      <c r="P185" s="74" t="str">
        <f>IFERROR(1/(1/COUNTIFS(
'YearA-AppDetails Current Date'!A:A,D185,
'YearA-AppDetails Current Date'!F:F,E185,
'YearA-AppDetails Current Date'!E:E,--F185,
'YearA-AppDetails Current Date'!Y:Y,"ENRO",
'YearA-AppDetails Current Date'!I:I,"FALL")),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HC'!D:T,4,FALSE)),
N(VLOOKUP(D186&amp;F186,'Budgeted Projections Dom HC'!D:T,5,FALSE))
)
),"")</f>
        <v/>
      </c>
      <c r="I186" s="73" t="str">
        <f>IFERROR(1/(1/COUNTIFS(
'YearA-AppDetails Current Date'!A:A,D186,
'YearA-AppDetails Current Date'!F:F,E186,
'YearA-AppDetails Current Date'!E:E,--F186,
'YearA-AppDetails Current Date'!I:I,"FALL")), "")</f>
        <v/>
      </c>
      <c r="J186" s="74" t="str" cm="1">
        <f t="array" ref="J186">IFERROR(1/(1/SUM(COUNTIFS(
'YearA-AppDetails Current Date'!A:A,D186,
'YearA-AppDetails Current Date'!F:F,E186,
'YearA-AppDetails Current Date'!E:E,--F186,
'YearA-AppDetails Current Date'!O:O,{"ACLN","ACPT","COND"},
'YearA-AppDetails Current Date'!S:S,"&lt;&gt;ACLN",
'YearA-AppDetails Current Date'!S:S,"&lt;&gt;ACPT",
'YearA-AppDetails Current Date'!S:S,"&lt;&gt;COND",
'YearA-AppDetails Current Date'!I:I,"FALL"))), "")</f>
        <v/>
      </c>
      <c r="K186" s="73" t="str">
        <f>IFERROR(1/(1/SUM(COUNTIFS(
'YearA-AppDetails Current Date'!A:A,D186,
'YearA-AppDetails Current Date'!F:F,E186,
'YearA-AppDetails Current Date'!E:E,--F186,
'YearA-AppDetails Current Date'!R:R,"&lt;&gt;"&amp;"",
'YearA-AppDetails Current Date'!I:I,"FALL"))), "")</f>
        <v/>
      </c>
      <c r="L186" s="74" t="str" cm="1">
        <f t="array" ref="L186">IFERROR(1/(1/SUM(COUNTIFS(
'YearA-AppDetails Current Date'!A:A,D186,
'YearA-AppDetails Current Date'!F:F,E186,
'YearA-AppDetails Current Date'!E:E,--F186,
'YearA-AppDetails Current Date'!T:T,{"APEX","DENY","NTSL"},
'YearA-AppDetails Current Date'!I:I,"FALL"))), "")</f>
        <v/>
      </c>
      <c r="M186" s="74" t="str" cm="1">
        <f t="array" ref="M186">IFERROR(1/(1/SUM(COUNTIFS(
'YearA-AppDetails Current Date'!A:A,D186,
'YearA-AppDetails Current Date'!F:F,E186,
'YearA-AppDetails Current Date'!E:E,--F186,
'YearA-AppDetails Current Date'!U:U,{"CCAN","DECL"},
'YearA-AppDetails Current Date'!I:I,"FALL"))), "")</f>
        <v/>
      </c>
      <c r="N186" s="74" t="str" cm="1">
        <f t="array" ref="N186">IFERROR(1/(1/SUM(COUNTIFS(
'YearA-AppDetails Current Date'!A:A,D186,
'YearA-AppDetails Current Date'!F:F,E186,
'YearA-AppDetails Current Date'!E:E,--F186,
'YearA-AppDetails Current Date'!V:V,{"APRO","NODE"},
'YearA-AppDetails Current Date'!I:I,"FALL"))), "")</f>
        <v/>
      </c>
      <c r="O186" s="74" t="str" cm="1">
        <f t="array" ref="O186">IFERROR(1/(1/SUM(COUNTIFS(
'YearA-AppDetails Current Date'!A:A,D186,
'YearA-AppDetails Current Date'!F:F,E186,
'YearA-AppDetails Current Date'!E:E,--F186,
'YearA-AppDetails Current Date'!T:T,{"CDMT","RQMT","WAIT"},
'YearA-AppDetails Current Date'!I:I,"FALL"))), "")</f>
        <v/>
      </c>
      <c r="P186" s="74" t="str">
        <f>IFERROR(1/(1/COUNTIFS(
'YearA-AppDetails Current Date'!A:A,D186,
'YearA-AppDetails Current Date'!F:F,E186,
'YearA-AppDetails Current Date'!E:E,--F186,
'YearA-AppDetails Current Date'!Y:Y,"ENRO",
'YearA-AppDetails Current Date'!I:I,"FALL")),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HC'!D:T,4,FALSE)),
N(VLOOKUP(D187&amp;F187,'Budgeted Projections Intl HC'!D:T,5,FALSE))
)
),"")</f>
        <v/>
      </c>
      <c r="I187" s="73" t="str">
        <f>IFERROR(1/(1/COUNTIFS(
'YearA-AppDetails Current Date'!A:A,D187,
'YearA-AppDetails Current Date'!F:F,E187,
'YearA-AppDetails Current Date'!E:E,--F187,
'YearA-AppDetails Current Date'!I:I,"FALL")), "")</f>
        <v/>
      </c>
      <c r="J187" s="74" t="str" cm="1">
        <f t="array" ref="J187">IFERROR(1/(1/SUM(COUNTIFS(
'YearA-AppDetails Current Date'!A:A,D187,
'YearA-AppDetails Current Date'!F:F,E187,
'YearA-AppDetails Current Date'!E:E,--F187,
'YearA-AppDetails Current Date'!O:O,{"ACLN","ACPT","COND"},
'YearA-AppDetails Current Date'!S:S,"&lt;&gt;ACLN",
'YearA-AppDetails Current Date'!S:S,"&lt;&gt;ACPT",
'YearA-AppDetails Current Date'!S:S,"&lt;&gt;COND",
'YearA-AppDetails Current Date'!I:I,"FALL"))), "")</f>
        <v/>
      </c>
      <c r="K187" s="73" t="str">
        <f>IFERROR(1/(1/SUM(COUNTIFS(
'YearA-AppDetails Current Date'!A:A,D187,
'YearA-AppDetails Current Date'!F:F,E187,
'YearA-AppDetails Current Date'!E:E,--F187,
'YearA-AppDetails Current Date'!R:R,"&lt;&gt;"&amp;"",
'YearA-AppDetails Current Date'!I:I,"FALL"))), "")</f>
        <v/>
      </c>
      <c r="L187" s="74" t="str" cm="1">
        <f t="array" ref="L187">IFERROR(1/(1/SUM(COUNTIFS(
'YearA-AppDetails Current Date'!A:A,D187,
'YearA-AppDetails Current Date'!F:F,E187,
'YearA-AppDetails Current Date'!E:E,--F187,
'YearA-AppDetails Current Date'!T:T,{"APEX","DENY","NTSL"},
'YearA-AppDetails Current Date'!I:I,"FALL"))), "")</f>
        <v/>
      </c>
      <c r="M187" s="74" t="str" cm="1">
        <f t="array" ref="M187">IFERROR(1/(1/SUM(COUNTIFS(
'YearA-AppDetails Current Date'!A:A,D187,
'YearA-AppDetails Current Date'!F:F,E187,
'YearA-AppDetails Current Date'!E:E,--F187,
'YearA-AppDetails Current Date'!U:U,{"CCAN","DECL"},
'YearA-AppDetails Current Date'!I:I,"FALL"))), "")</f>
        <v/>
      </c>
      <c r="N187" s="74" t="str" cm="1">
        <f t="array" ref="N187">IFERROR(1/(1/SUM(COUNTIFS(
'YearA-AppDetails Current Date'!A:A,D187,
'YearA-AppDetails Current Date'!F:F,E187,
'YearA-AppDetails Current Date'!E:E,--F187,
'YearA-AppDetails Current Date'!V:V,{"APRO","NODE"},
'YearA-AppDetails Current Date'!I:I,"FALL"))), "")</f>
        <v/>
      </c>
      <c r="O187" s="74" t="str" cm="1">
        <f t="array" ref="O187">IFERROR(1/(1/SUM(COUNTIFS(
'YearA-AppDetails Current Date'!A:A,D187,
'YearA-AppDetails Current Date'!F:F,E187,
'YearA-AppDetails Current Date'!E:E,--F187,
'YearA-AppDetails Current Date'!T:T,{"CDMT","RQMT","WAIT"},
'YearA-AppDetails Current Date'!I:I,"FALL"))), "")</f>
        <v/>
      </c>
      <c r="P187" s="74" t="str">
        <f>IFERROR(1/(1/COUNTIFS(
'YearA-AppDetails Current Date'!A:A,D187,
'YearA-AppDetails Current Date'!F:F,E187,
'YearA-AppDetails Current Date'!E:E,--F187,
'YearA-AppDetails Current Date'!Y:Y,"ENRO",
'YearA-AppDetails Current Date'!I:I,"FALL")),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HC'!D:T,4,FALSE)),
N(VLOOKUP(D188&amp;F188,'Budgeted Projections Dom HC'!D:T,5,FALSE))
)
),"")</f>
        <v/>
      </c>
      <c r="I188" s="73" t="str">
        <f>IFERROR(1/(1/COUNTIFS(
'YearA-AppDetails Current Date'!A:A,D188,
'YearA-AppDetails Current Date'!F:F,E188,
'YearA-AppDetails Current Date'!E:E,--F188,
'YearA-AppDetails Current Date'!I:I,"FALL")), "")</f>
        <v/>
      </c>
      <c r="J188" s="74" t="str" cm="1">
        <f t="array" ref="J188">IFERROR(1/(1/SUM(COUNTIFS(
'YearA-AppDetails Current Date'!A:A,D188,
'YearA-AppDetails Current Date'!F:F,E188,
'YearA-AppDetails Current Date'!E:E,--F188,
'YearA-AppDetails Current Date'!O:O,{"ACLN","ACPT","COND"},
'YearA-AppDetails Current Date'!S:S,"&lt;&gt;ACLN",
'YearA-AppDetails Current Date'!S:S,"&lt;&gt;ACPT",
'YearA-AppDetails Current Date'!S:S,"&lt;&gt;COND",
'YearA-AppDetails Current Date'!I:I,"FALL"))), "")</f>
        <v/>
      </c>
      <c r="K188" s="73" t="str">
        <f>IFERROR(1/(1/SUM(COUNTIFS(
'YearA-AppDetails Current Date'!A:A,D188,
'YearA-AppDetails Current Date'!F:F,E188,
'YearA-AppDetails Current Date'!E:E,--F188,
'YearA-AppDetails Current Date'!R:R,"&lt;&gt;"&amp;"",
'YearA-AppDetails Current Date'!I:I,"FALL"))), "")</f>
        <v/>
      </c>
      <c r="L188" s="74" t="str" cm="1">
        <f t="array" ref="L188">IFERROR(1/(1/SUM(COUNTIFS(
'YearA-AppDetails Current Date'!A:A,D188,
'YearA-AppDetails Current Date'!F:F,E188,
'YearA-AppDetails Current Date'!E:E,--F188,
'YearA-AppDetails Current Date'!T:T,{"APEX","DENY","NTSL"},
'YearA-AppDetails Current Date'!I:I,"FALL"))), "")</f>
        <v/>
      </c>
      <c r="M188" s="74" t="str" cm="1">
        <f t="array" ref="M188">IFERROR(1/(1/SUM(COUNTIFS(
'YearA-AppDetails Current Date'!A:A,D188,
'YearA-AppDetails Current Date'!F:F,E188,
'YearA-AppDetails Current Date'!E:E,--F188,
'YearA-AppDetails Current Date'!U:U,{"CCAN","DECL"},
'YearA-AppDetails Current Date'!I:I,"FALL"))), "")</f>
        <v/>
      </c>
      <c r="N188" s="74" t="str" cm="1">
        <f t="array" ref="N188">IFERROR(1/(1/SUM(COUNTIFS(
'YearA-AppDetails Current Date'!A:A,D188,
'YearA-AppDetails Current Date'!F:F,E188,
'YearA-AppDetails Current Date'!E:E,--F188,
'YearA-AppDetails Current Date'!V:V,{"APRO","NODE"},
'YearA-AppDetails Current Date'!I:I,"FALL"))), "")</f>
        <v/>
      </c>
      <c r="O188" s="74" t="str" cm="1">
        <f t="array" ref="O188">IFERROR(1/(1/SUM(COUNTIFS(
'YearA-AppDetails Current Date'!A:A,D188,
'YearA-AppDetails Current Date'!F:F,E188,
'YearA-AppDetails Current Date'!E:E,--F188,
'YearA-AppDetails Current Date'!T:T,{"CDMT","RQMT","WAIT"},
'YearA-AppDetails Current Date'!I:I,"FALL"))), "")</f>
        <v/>
      </c>
      <c r="P188" s="74" t="str">
        <f>IFERROR(1/(1/COUNTIFS(
'YearA-AppDetails Current Date'!A:A,D188,
'YearA-AppDetails Current Date'!F:F,E188,
'YearA-AppDetails Current Date'!E:E,--F188,
'YearA-AppDetails Current Date'!Y:Y,"ENRO",
'YearA-AppDetails Current Date'!I:I,"FALL")),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HC'!D:T,4,FALSE)),
N(VLOOKUP(D189&amp;F189,'Budgeted Projections Intl HC'!D:T,5,FALSE))
)
),"")</f>
        <v/>
      </c>
      <c r="I189" s="73" t="str">
        <f>IFERROR(1/(1/COUNTIFS(
'YearA-AppDetails Current Date'!A:A,D189,
'YearA-AppDetails Current Date'!F:F,E189,
'YearA-AppDetails Current Date'!E:E,--F189,
'YearA-AppDetails Current Date'!I:I,"FALL")), "")</f>
        <v/>
      </c>
      <c r="J189" s="74" t="str" cm="1">
        <f t="array" ref="J189">IFERROR(1/(1/SUM(COUNTIFS(
'YearA-AppDetails Current Date'!A:A,D189,
'YearA-AppDetails Current Date'!F:F,E189,
'YearA-AppDetails Current Date'!E:E,--F189,
'YearA-AppDetails Current Date'!O:O,{"ACLN","ACPT","COND"},
'YearA-AppDetails Current Date'!S:S,"&lt;&gt;ACLN",
'YearA-AppDetails Current Date'!S:S,"&lt;&gt;ACPT",
'YearA-AppDetails Current Date'!S:S,"&lt;&gt;COND",
'YearA-AppDetails Current Date'!I:I,"FALL"))), "")</f>
        <v/>
      </c>
      <c r="K189" s="73" t="str">
        <f>IFERROR(1/(1/SUM(COUNTIFS(
'YearA-AppDetails Current Date'!A:A,D189,
'YearA-AppDetails Current Date'!F:F,E189,
'YearA-AppDetails Current Date'!E:E,--F189,
'YearA-AppDetails Current Date'!R:R,"&lt;&gt;"&amp;"",
'YearA-AppDetails Current Date'!I:I,"FALL"))), "")</f>
        <v/>
      </c>
      <c r="L189" s="74" t="str" cm="1">
        <f t="array" ref="L189">IFERROR(1/(1/SUM(COUNTIFS(
'YearA-AppDetails Current Date'!A:A,D189,
'YearA-AppDetails Current Date'!F:F,E189,
'YearA-AppDetails Current Date'!E:E,--F189,
'YearA-AppDetails Current Date'!T:T,{"APEX","DENY","NTSL"},
'YearA-AppDetails Current Date'!I:I,"FALL"))), "")</f>
        <v/>
      </c>
      <c r="M189" s="74" t="str" cm="1">
        <f t="array" ref="M189">IFERROR(1/(1/SUM(COUNTIFS(
'YearA-AppDetails Current Date'!A:A,D189,
'YearA-AppDetails Current Date'!F:F,E189,
'YearA-AppDetails Current Date'!E:E,--F189,
'YearA-AppDetails Current Date'!U:U,{"CCAN","DECL"},
'YearA-AppDetails Current Date'!I:I,"FALL"))), "")</f>
        <v/>
      </c>
      <c r="N189" s="74" t="str" cm="1">
        <f t="array" ref="N189">IFERROR(1/(1/SUM(COUNTIFS(
'YearA-AppDetails Current Date'!A:A,D189,
'YearA-AppDetails Current Date'!F:F,E189,
'YearA-AppDetails Current Date'!E:E,--F189,
'YearA-AppDetails Current Date'!V:V,{"APRO","NODE"},
'YearA-AppDetails Current Date'!I:I,"FALL"))), "")</f>
        <v/>
      </c>
      <c r="O189" s="74" t="str" cm="1">
        <f t="array" ref="O189">IFERROR(1/(1/SUM(COUNTIFS(
'YearA-AppDetails Current Date'!A:A,D189,
'YearA-AppDetails Current Date'!F:F,E189,
'YearA-AppDetails Current Date'!E:E,--F189,
'YearA-AppDetails Current Date'!T:T,{"CDMT","RQMT","WAIT"},
'YearA-AppDetails Current Date'!I:I,"FALL"))), "")</f>
        <v/>
      </c>
      <c r="P189" s="74" t="str">
        <f>IFERROR(1/(1/COUNTIFS(
'YearA-AppDetails Current Date'!A:A,D189,
'YearA-AppDetails Current Date'!F:F,E189,
'YearA-AppDetails Current Date'!E:E,--F189,
'YearA-AppDetails Current Date'!Y:Y,"ENRO",
'YearA-AppDetails Current Date'!I:I,"FALL")),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HC'!D:T,4,FALSE)),
N(VLOOKUP(D190&amp;F190,'Budgeted Projections Dom HC'!D:T,5,FALSE))
)
),"")</f>
        <v/>
      </c>
      <c r="I190" s="73" t="str">
        <f>IFERROR(1/(1/COUNTIFS(
'YearA-AppDetails Current Date'!A:A,D190,
'YearA-AppDetails Current Date'!F:F,E190,
'YearA-AppDetails Current Date'!E:E,--F190,
'YearA-AppDetails Current Date'!I:I,"FALL")), "")</f>
        <v/>
      </c>
      <c r="J190" s="74" t="str" cm="1">
        <f t="array" ref="J190">IFERROR(1/(1/SUM(COUNTIFS(
'YearA-AppDetails Current Date'!A:A,D190,
'YearA-AppDetails Current Date'!F:F,E190,
'YearA-AppDetails Current Date'!E:E,--F190,
'YearA-AppDetails Current Date'!O:O,{"ACLN","ACPT","COND"},
'YearA-AppDetails Current Date'!S:S,"&lt;&gt;ACLN",
'YearA-AppDetails Current Date'!S:S,"&lt;&gt;ACPT",
'YearA-AppDetails Current Date'!S:S,"&lt;&gt;COND",
'YearA-AppDetails Current Date'!I:I,"FALL"))), "")</f>
        <v/>
      </c>
      <c r="K190" s="73" t="str">
        <f>IFERROR(1/(1/SUM(COUNTIFS(
'YearA-AppDetails Current Date'!A:A,D190,
'YearA-AppDetails Current Date'!F:F,E190,
'YearA-AppDetails Current Date'!E:E,--F190,
'YearA-AppDetails Current Date'!R:R,"&lt;&gt;"&amp;"",
'YearA-AppDetails Current Date'!I:I,"FALL"))), "")</f>
        <v/>
      </c>
      <c r="L190" s="74" t="str" cm="1">
        <f t="array" ref="L190">IFERROR(1/(1/SUM(COUNTIFS(
'YearA-AppDetails Current Date'!A:A,D190,
'YearA-AppDetails Current Date'!F:F,E190,
'YearA-AppDetails Current Date'!E:E,--F190,
'YearA-AppDetails Current Date'!T:T,{"APEX","DENY","NTSL"},
'YearA-AppDetails Current Date'!I:I,"FALL"))), "")</f>
        <v/>
      </c>
      <c r="M190" s="74" t="str" cm="1">
        <f t="array" ref="M190">IFERROR(1/(1/SUM(COUNTIFS(
'YearA-AppDetails Current Date'!A:A,D190,
'YearA-AppDetails Current Date'!F:F,E190,
'YearA-AppDetails Current Date'!E:E,--F190,
'YearA-AppDetails Current Date'!U:U,{"CCAN","DECL"},
'YearA-AppDetails Current Date'!I:I,"FALL"))), "")</f>
        <v/>
      </c>
      <c r="N190" s="74" t="str" cm="1">
        <f t="array" ref="N190">IFERROR(1/(1/SUM(COUNTIFS(
'YearA-AppDetails Current Date'!A:A,D190,
'YearA-AppDetails Current Date'!F:F,E190,
'YearA-AppDetails Current Date'!E:E,--F190,
'YearA-AppDetails Current Date'!V:V,{"APRO","NODE"},
'YearA-AppDetails Current Date'!I:I,"FALL"))), "")</f>
        <v/>
      </c>
      <c r="O190" s="74" t="str" cm="1">
        <f t="array" ref="O190">IFERROR(1/(1/SUM(COUNTIFS(
'YearA-AppDetails Current Date'!A:A,D190,
'YearA-AppDetails Current Date'!F:F,E190,
'YearA-AppDetails Current Date'!E:E,--F190,
'YearA-AppDetails Current Date'!T:T,{"CDMT","RQMT","WAIT"},
'YearA-AppDetails Current Date'!I:I,"FALL"))), "")</f>
        <v/>
      </c>
      <c r="P190" s="74" t="str">
        <f>IFERROR(1/(1/COUNTIFS(
'YearA-AppDetails Current Date'!A:A,D190,
'YearA-AppDetails Current Date'!F:F,E190,
'YearA-AppDetails Current Date'!E:E,--F190,
'YearA-AppDetails Current Date'!Y:Y,"ENRO",
'YearA-AppDetails Current Date'!I:I,"FALL")),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HC'!D:T,4,FALSE)),
N(VLOOKUP(D191&amp;F191,'Budgeted Projections Intl HC'!D:T,5,FALSE))
)
),"")</f>
        <v/>
      </c>
      <c r="I191" s="73" t="str">
        <f>IFERROR(1/(1/COUNTIFS(
'YearA-AppDetails Current Date'!A:A,D191,
'YearA-AppDetails Current Date'!F:F,E191,
'YearA-AppDetails Current Date'!E:E,--F191,
'YearA-AppDetails Current Date'!I:I,"FALL")), "")</f>
        <v/>
      </c>
      <c r="J191" s="74" t="str" cm="1">
        <f t="array" ref="J191">IFERROR(1/(1/SUM(COUNTIFS(
'YearA-AppDetails Current Date'!A:A,D191,
'YearA-AppDetails Current Date'!F:F,E191,
'YearA-AppDetails Current Date'!E:E,--F191,
'YearA-AppDetails Current Date'!O:O,{"ACLN","ACPT","COND"},
'YearA-AppDetails Current Date'!S:S,"&lt;&gt;ACLN",
'YearA-AppDetails Current Date'!S:S,"&lt;&gt;ACPT",
'YearA-AppDetails Current Date'!S:S,"&lt;&gt;COND",
'YearA-AppDetails Current Date'!I:I,"FALL"))), "")</f>
        <v/>
      </c>
      <c r="K191" s="73" t="str">
        <f>IFERROR(1/(1/SUM(COUNTIFS(
'YearA-AppDetails Current Date'!A:A,D191,
'YearA-AppDetails Current Date'!F:F,E191,
'YearA-AppDetails Current Date'!E:E,--F191,
'YearA-AppDetails Current Date'!R:R,"&lt;&gt;"&amp;"",
'YearA-AppDetails Current Date'!I:I,"FALL"))), "")</f>
        <v/>
      </c>
      <c r="L191" s="74" t="str" cm="1">
        <f t="array" ref="L191">IFERROR(1/(1/SUM(COUNTIFS(
'YearA-AppDetails Current Date'!A:A,D191,
'YearA-AppDetails Current Date'!F:F,E191,
'YearA-AppDetails Current Date'!E:E,--F191,
'YearA-AppDetails Current Date'!T:T,{"APEX","DENY","NTSL"},
'YearA-AppDetails Current Date'!I:I,"FALL"))), "")</f>
        <v/>
      </c>
      <c r="M191" s="74" t="str" cm="1">
        <f t="array" ref="M191">IFERROR(1/(1/SUM(COUNTIFS(
'YearA-AppDetails Current Date'!A:A,D191,
'YearA-AppDetails Current Date'!F:F,E191,
'YearA-AppDetails Current Date'!E:E,--F191,
'YearA-AppDetails Current Date'!U:U,{"CCAN","DECL"},
'YearA-AppDetails Current Date'!I:I,"FALL"))), "")</f>
        <v/>
      </c>
      <c r="N191" s="74" t="str" cm="1">
        <f t="array" ref="N191">IFERROR(1/(1/SUM(COUNTIFS(
'YearA-AppDetails Current Date'!A:A,D191,
'YearA-AppDetails Current Date'!F:F,E191,
'YearA-AppDetails Current Date'!E:E,--F191,
'YearA-AppDetails Current Date'!V:V,{"APRO","NODE"},
'YearA-AppDetails Current Date'!I:I,"FALL"))), "")</f>
        <v/>
      </c>
      <c r="O191" s="74" t="str" cm="1">
        <f t="array" ref="O191">IFERROR(1/(1/SUM(COUNTIFS(
'YearA-AppDetails Current Date'!A:A,D191,
'YearA-AppDetails Current Date'!F:F,E191,
'YearA-AppDetails Current Date'!E:E,--F191,
'YearA-AppDetails Current Date'!T:T,{"CDMT","RQMT","WAIT"},
'YearA-AppDetails Current Date'!I:I,"FALL"))), "")</f>
        <v/>
      </c>
      <c r="P191" s="74" t="str">
        <f>IFERROR(1/(1/COUNTIFS(
'YearA-AppDetails Current Date'!A:A,D191,
'YearA-AppDetails Current Date'!F:F,E191,
'YearA-AppDetails Current Date'!E:E,--F191,
'YearA-AppDetails Current Date'!Y:Y,"ENRO",
'YearA-AppDetails Current Date'!I:I,"FALL")),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HC'!D:T,4,FALSE)),
N(VLOOKUP(D192&amp;F192,'Budgeted Projections Dom HC'!D:T,5,FALSE))
)
),"")</f>
        <v/>
      </c>
      <c r="I192" s="73" t="str">
        <f>IFERROR(1/(1/COUNTIFS(
'YearA-AppDetails Current Date'!A:A,D192,
'YearA-AppDetails Current Date'!F:F,E192,
'YearA-AppDetails Current Date'!E:E,--F192,
'YearA-AppDetails Current Date'!I:I,"FALL")), "")</f>
        <v/>
      </c>
      <c r="J192" s="74" t="str" cm="1">
        <f t="array" ref="J192">IFERROR(1/(1/SUM(COUNTIFS(
'YearA-AppDetails Current Date'!A:A,D192,
'YearA-AppDetails Current Date'!F:F,E192,
'YearA-AppDetails Current Date'!E:E,--F192,
'YearA-AppDetails Current Date'!O:O,{"ACLN","ACPT","COND"},
'YearA-AppDetails Current Date'!S:S,"&lt;&gt;ACLN",
'YearA-AppDetails Current Date'!S:S,"&lt;&gt;ACPT",
'YearA-AppDetails Current Date'!S:S,"&lt;&gt;COND",
'YearA-AppDetails Current Date'!I:I,"FALL"))), "")</f>
        <v/>
      </c>
      <c r="K192" s="73" t="str">
        <f>IFERROR(1/(1/SUM(COUNTIFS(
'YearA-AppDetails Current Date'!A:A,D192,
'YearA-AppDetails Current Date'!F:F,E192,
'YearA-AppDetails Current Date'!E:E,--F192,
'YearA-AppDetails Current Date'!R:R,"&lt;&gt;"&amp;"",
'YearA-AppDetails Current Date'!I:I,"FALL"))), "")</f>
        <v/>
      </c>
      <c r="L192" s="74" t="str" cm="1">
        <f t="array" ref="L192">IFERROR(1/(1/SUM(COUNTIFS(
'YearA-AppDetails Current Date'!A:A,D192,
'YearA-AppDetails Current Date'!F:F,E192,
'YearA-AppDetails Current Date'!E:E,--F192,
'YearA-AppDetails Current Date'!T:T,{"APEX","DENY","NTSL"},
'YearA-AppDetails Current Date'!I:I,"FALL"))), "")</f>
        <v/>
      </c>
      <c r="M192" s="74" t="str" cm="1">
        <f t="array" ref="M192">IFERROR(1/(1/SUM(COUNTIFS(
'YearA-AppDetails Current Date'!A:A,D192,
'YearA-AppDetails Current Date'!F:F,E192,
'YearA-AppDetails Current Date'!E:E,--F192,
'YearA-AppDetails Current Date'!U:U,{"CCAN","DECL"},
'YearA-AppDetails Current Date'!I:I,"FALL"))), "")</f>
        <v/>
      </c>
      <c r="N192" s="74" t="str" cm="1">
        <f t="array" ref="N192">IFERROR(1/(1/SUM(COUNTIFS(
'YearA-AppDetails Current Date'!A:A,D192,
'YearA-AppDetails Current Date'!F:F,E192,
'YearA-AppDetails Current Date'!E:E,--F192,
'YearA-AppDetails Current Date'!V:V,{"APRO","NODE"},
'YearA-AppDetails Current Date'!I:I,"FALL"))), "")</f>
        <v/>
      </c>
      <c r="O192" s="74" t="str" cm="1">
        <f t="array" ref="O192">IFERROR(1/(1/SUM(COUNTIFS(
'YearA-AppDetails Current Date'!A:A,D192,
'YearA-AppDetails Current Date'!F:F,E192,
'YearA-AppDetails Current Date'!E:E,--F192,
'YearA-AppDetails Current Date'!T:T,{"CDMT","RQMT","WAIT"},
'YearA-AppDetails Current Date'!I:I,"FALL"))), "")</f>
        <v/>
      </c>
      <c r="P192" s="74" t="str">
        <f>IFERROR(1/(1/COUNTIFS(
'YearA-AppDetails Current Date'!A:A,D192,
'YearA-AppDetails Current Date'!F:F,E192,
'YearA-AppDetails Current Date'!E:E,--F192,
'YearA-AppDetails Current Date'!Y:Y,"ENRO",
'YearA-AppDetails Current Date'!I:I,"FALL")),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HC'!D:T,4,FALSE)),
N(VLOOKUP(D193&amp;F193,'Budgeted Projections Intl HC'!D:T,5,FALSE))
)
),"")</f>
        <v/>
      </c>
      <c r="I193" s="73" t="str">
        <f>IFERROR(1/(1/COUNTIFS(
'YearA-AppDetails Current Date'!A:A,D193,
'YearA-AppDetails Current Date'!F:F,E193,
'YearA-AppDetails Current Date'!E:E,--F193,
'YearA-AppDetails Current Date'!I:I,"FALL")), "")</f>
        <v/>
      </c>
      <c r="J193" s="74" t="str" cm="1">
        <f t="array" ref="J193">IFERROR(1/(1/SUM(COUNTIFS(
'YearA-AppDetails Current Date'!A:A,D193,
'YearA-AppDetails Current Date'!F:F,E193,
'YearA-AppDetails Current Date'!E:E,--F193,
'YearA-AppDetails Current Date'!O:O,{"ACLN","ACPT","COND"},
'YearA-AppDetails Current Date'!S:S,"&lt;&gt;ACLN",
'YearA-AppDetails Current Date'!S:S,"&lt;&gt;ACPT",
'YearA-AppDetails Current Date'!S:S,"&lt;&gt;COND",
'YearA-AppDetails Current Date'!I:I,"FALL"))), "")</f>
        <v/>
      </c>
      <c r="K193" s="73" t="str">
        <f>IFERROR(1/(1/SUM(COUNTIFS(
'YearA-AppDetails Current Date'!A:A,D193,
'YearA-AppDetails Current Date'!F:F,E193,
'YearA-AppDetails Current Date'!E:E,--F193,
'YearA-AppDetails Current Date'!R:R,"&lt;&gt;"&amp;"",
'YearA-AppDetails Current Date'!I:I,"FALL"))), "")</f>
        <v/>
      </c>
      <c r="L193" s="74" t="str" cm="1">
        <f t="array" ref="L193">IFERROR(1/(1/SUM(COUNTIFS(
'YearA-AppDetails Current Date'!A:A,D193,
'YearA-AppDetails Current Date'!F:F,E193,
'YearA-AppDetails Current Date'!E:E,--F193,
'YearA-AppDetails Current Date'!T:T,{"APEX","DENY","NTSL"},
'YearA-AppDetails Current Date'!I:I,"FALL"))), "")</f>
        <v/>
      </c>
      <c r="M193" s="74" t="str" cm="1">
        <f t="array" ref="M193">IFERROR(1/(1/SUM(COUNTIFS(
'YearA-AppDetails Current Date'!A:A,D193,
'YearA-AppDetails Current Date'!F:F,E193,
'YearA-AppDetails Current Date'!E:E,--F193,
'YearA-AppDetails Current Date'!U:U,{"CCAN","DECL"},
'YearA-AppDetails Current Date'!I:I,"FALL"))), "")</f>
        <v/>
      </c>
      <c r="N193" s="74" t="str" cm="1">
        <f t="array" ref="N193">IFERROR(1/(1/SUM(COUNTIFS(
'YearA-AppDetails Current Date'!A:A,D193,
'YearA-AppDetails Current Date'!F:F,E193,
'YearA-AppDetails Current Date'!E:E,--F193,
'YearA-AppDetails Current Date'!V:V,{"APRO","NODE"},
'YearA-AppDetails Current Date'!I:I,"FALL"))), "")</f>
        <v/>
      </c>
      <c r="O193" s="74" t="str" cm="1">
        <f t="array" ref="O193">IFERROR(1/(1/SUM(COUNTIFS(
'YearA-AppDetails Current Date'!A:A,D193,
'YearA-AppDetails Current Date'!F:F,E193,
'YearA-AppDetails Current Date'!E:E,--F193,
'YearA-AppDetails Current Date'!T:T,{"CDMT","RQMT","WAIT"},
'YearA-AppDetails Current Date'!I:I,"FALL"))), "")</f>
        <v/>
      </c>
      <c r="P193" s="74" t="str">
        <f>IFERROR(1/(1/COUNTIFS(
'YearA-AppDetails Current Date'!A:A,D193,
'YearA-AppDetails Current Date'!F:F,E193,
'YearA-AppDetails Current Date'!E:E,--F193,
'YearA-AppDetails Current Date'!Y:Y,"ENRO",
'YearA-AppDetails Current Date'!I:I,"FALL")),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HC'!D:T,4,FALSE)),
N(VLOOKUP(D195&amp;F195,'Budgeted Projections Dom HC'!D:T,5,FALSE))
)
),"")</f>
        <v/>
      </c>
      <c r="I195" s="73" t="str">
        <f>IFERROR(1/(1/COUNTIFS(
'YearA-AppDetails Current Date'!A:A,D195,
'YearA-AppDetails Current Date'!F:F,E195,
'YearA-AppDetails Current Date'!E:E,--F195,
'YearA-AppDetails Current Date'!I:I,"FALL")), "")</f>
        <v/>
      </c>
      <c r="J195" s="74" t="str" cm="1">
        <f t="array" ref="J195">IFERROR(1/(1/SUM(COUNTIFS(
'YearA-AppDetails Current Date'!A:A,D195,
'YearA-AppDetails Current Date'!F:F,E195,
'YearA-AppDetails Current Date'!E:E,--F195,
'YearA-AppDetails Current Date'!O:O,{"ACLN","ACPT","COND"},
'YearA-AppDetails Current Date'!S:S,"&lt;&gt;ACLN",
'YearA-AppDetails Current Date'!S:S,"&lt;&gt;ACPT",
'YearA-AppDetails Current Date'!S:S,"&lt;&gt;COND",
'YearA-AppDetails Current Date'!I:I,"FALL"))), "")</f>
        <v/>
      </c>
      <c r="K195" s="73" t="str">
        <f>IFERROR(1/(1/SUM(COUNTIFS(
'YearA-AppDetails Current Date'!A:A,D195,
'YearA-AppDetails Current Date'!F:F,E195,
'YearA-AppDetails Current Date'!E:E,--F195,
'YearA-AppDetails Current Date'!R:R,"&lt;&gt;"&amp;"",
'YearA-AppDetails Current Date'!I:I,"FALL"))), "")</f>
        <v/>
      </c>
      <c r="L195" s="74" t="str" cm="1">
        <f t="array" ref="L195">IFERROR(1/(1/SUM(COUNTIFS(
'YearA-AppDetails Current Date'!A:A,D195,
'YearA-AppDetails Current Date'!F:F,E195,
'YearA-AppDetails Current Date'!E:E,--F195,
'YearA-AppDetails Current Date'!T:T,{"APEX","DENY","NTSL"},
'YearA-AppDetails Current Date'!I:I,"FALL"))), "")</f>
        <v/>
      </c>
      <c r="M195" s="74" t="str" cm="1">
        <f t="array" ref="M195">IFERROR(1/(1/SUM(COUNTIFS(
'YearA-AppDetails Current Date'!A:A,D195,
'YearA-AppDetails Current Date'!F:F,E195,
'YearA-AppDetails Current Date'!E:E,--F195,
'YearA-AppDetails Current Date'!U:U,{"CCAN","DECL"},
'YearA-AppDetails Current Date'!I:I,"FALL"))), "")</f>
        <v/>
      </c>
      <c r="N195" s="74" t="str" cm="1">
        <f t="array" ref="N195">IFERROR(1/(1/SUM(COUNTIFS(
'YearA-AppDetails Current Date'!A:A,D195,
'YearA-AppDetails Current Date'!F:F,E195,
'YearA-AppDetails Current Date'!E:E,--F195,
'YearA-AppDetails Current Date'!V:V,{"APRO","NODE"},
'YearA-AppDetails Current Date'!I:I,"FALL"))), "")</f>
        <v/>
      </c>
      <c r="O195" s="74" t="str" cm="1">
        <f t="array" ref="O195">IFERROR(1/(1/SUM(COUNTIFS(
'YearA-AppDetails Current Date'!A:A,D195,
'YearA-AppDetails Current Date'!F:F,E195,
'YearA-AppDetails Current Date'!E:E,--F195,
'YearA-AppDetails Current Date'!T:T,{"CDMT","RQMT","WAIT"},
'YearA-AppDetails Current Date'!I:I,"FALL"))), "")</f>
        <v/>
      </c>
      <c r="P195" s="74" t="str">
        <f>IFERROR(1/(1/COUNTIFS(
'YearA-AppDetails Current Date'!A:A,D195,
'YearA-AppDetails Current Date'!F:F,E195,
'YearA-AppDetails Current Date'!E:E,--F195,
'YearA-AppDetails Current Date'!Y:Y,"ENRO",
'YearA-AppDetails Current Date'!I:I,"FALL")),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HC'!D:T,4,FALSE)),
N(VLOOKUP(D196&amp;F196,'Budgeted Projections Intl HC'!D:T,5,FALSE))
)
),"")</f>
        <v/>
      </c>
      <c r="I196" s="73" t="str">
        <f>IFERROR(1/(1/COUNTIFS(
'YearA-AppDetails Current Date'!A:A,D196,
'YearA-AppDetails Current Date'!F:F,E196,
'YearA-AppDetails Current Date'!E:E,--F196,
'YearA-AppDetails Current Date'!I:I,"FALL")), "")</f>
        <v/>
      </c>
      <c r="J196" s="74" t="str" cm="1">
        <f t="array" ref="J196">IFERROR(1/(1/SUM(COUNTIFS(
'YearA-AppDetails Current Date'!A:A,D196,
'YearA-AppDetails Current Date'!F:F,E196,
'YearA-AppDetails Current Date'!E:E,--F196,
'YearA-AppDetails Current Date'!O:O,{"ACLN","ACPT","COND"},
'YearA-AppDetails Current Date'!S:S,"&lt;&gt;ACLN",
'YearA-AppDetails Current Date'!S:S,"&lt;&gt;ACPT",
'YearA-AppDetails Current Date'!S:S,"&lt;&gt;COND",
'YearA-AppDetails Current Date'!I:I,"FALL"))), "")</f>
        <v/>
      </c>
      <c r="K196" s="73" t="str">
        <f>IFERROR(1/(1/SUM(COUNTIFS(
'YearA-AppDetails Current Date'!A:A,D196,
'YearA-AppDetails Current Date'!F:F,E196,
'YearA-AppDetails Current Date'!E:E,--F196,
'YearA-AppDetails Current Date'!R:R,"&lt;&gt;"&amp;"",
'YearA-AppDetails Current Date'!I:I,"FALL"))), "")</f>
        <v/>
      </c>
      <c r="L196" s="74" t="str" cm="1">
        <f t="array" ref="L196">IFERROR(1/(1/SUM(COUNTIFS(
'YearA-AppDetails Current Date'!A:A,D196,
'YearA-AppDetails Current Date'!F:F,E196,
'YearA-AppDetails Current Date'!E:E,--F196,
'YearA-AppDetails Current Date'!T:T,{"APEX","DENY","NTSL"},
'YearA-AppDetails Current Date'!I:I,"FALL"))), "")</f>
        <v/>
      </c>
      <c r="M196" s="74" t="str" cm="1">
        <f t="array" ref="M196">IFERROR(1/(1/SUM(COUNTIFS(
'YearA-AppDetails Current Date'!A:A,D196,
'YearA-AppDetails Current Date'!F:F,E196,
'YearA-AppDetails Current Date'!E:E,--F196,
'YearA-AppDetails Current Date'!U:U,{"CCAN","DECL"},
'YearA-AppDetails Current Date'!I:I,"FALL"))), "")</f>
        <v/>
      </c>
      <c r="N196" s="74" t="str" cm="1">
        <f t="array" ref="N196">IFERROR(1/(1/SUM(COUNTIFS(
'YearA-AppDetails Current Date'!A:A,D196,
'YearA-AppDetails Current Date'!F:F,E196,
'YearA-AppDetails Current Date'!E:E,--F196,
'YearA-AppDetails Current Date'!V:V,{"APRO","NODE"},
'YearA-AppDetails Current Date'!I:I,"FALL"))), "")</f>
        <v/>
      </c>
      <c r="O196" s="74" t="str" cm="1">
        <f t="array" ref="O196">IFERROR(1/(1/SUM(COUNTIFS(
'YearA-AppDetails Current Date'!A:A,D196,
'YearA-AppDetails Current Date'!F:F,E196,
'YearA-AppDetails Current Date'!E:E,--F196,
'YearA-AppDetails Current Date'!T:T,{"CDMT","RQMT","WAIT"},
'YearA-AppDetails Current Date'!I:I,"FALL"))), "")</f>
        <v/>
      </c>
      <c r="P196" s="74" t="str">
        <f>IFERROR(1/(1/COUNTIFS(
'YearA-AppDetails Current Date'!A:A,D196,
'YearA-AppDetails Current Date'!F:F,E196,
'YearA-AppDetails Current Date'!E:E,--F196,
'YearA-AppDetails Current Date'!Y:Y,"ENRO",
'YearA-AppDetails Current Date'!I:I,"FALL")),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HC'!D:T,2,FALSE)),
N(VLOOKUP(D199&amp;F199,'Budgeted Projections Dom HC'!D:T,3,FALSE))
)/4)
),"")</f>
        <v/>
      </c>
      <c r="I199" s="73" t="str">
        <f>IFERROR(1/(1/COUNTIFS(
'YearA-AppDetails Current Date'!A:A,D199,
'YearA-AppDetails Current Date'!F:F,E199,
'YearA-AppDetails Current Date'!E:E,--F199,
'YearA-AppDetails Current Date'!I:I,"FALL")), "")</f>
        <v/>
      </c>
      <c r="J199" s="74" t="str" cm="1">
        <f t="array" ref="J199">IFERROR(1/(1/SUM(COUNTIFS(
'YearA-AppDetails Current Date'!A:A,D199,
'YearA-AppDetails Current Date'!F:F,E199,
'YearA-AppDetails Current Date'!E:E,--F199,
'YearA-AppDetails Current Date'!O:O,{"ACLN","ACPT","COND"},
'YearA-AppDetails Current Date'!S:S,"&lt;&gt;ACLN",
'YearA-AppDetails Current Date'!S:S,"&lt;&gt;ACPT",
'YearA-AppDetails Current Date'!S:S,"&lt;&gt;COND",
'YearA-AppDetails Current Date'!I:I,"FALL"))), "")</f>
        <v/>
      </c>
      <c r="K199" s="73" t="str">
        <f>IFERROR(1/(1/SUM(COUNTIFS(
'YearA-AppDetails Current Date'!A:A,D199,
'YearA-AppDetails Current Date'!F:F,E199,
'YearA-AppDetails Current Date'!E:E,--F199,
'YearA-AppDetails Current Date'!R:R,"&lt;&gt;"&amp;"",
'YearA-AppDetails Current Date'!I:I,"FALL"))), "")</f>
        <v/>
      </c>
      <c r="L199" s="74" t="str" cm="1">
        <f t="array" ref="L199">IFERROR(1/(1/SUM(COUNTIFS(
'YearA-AppDetails Current Date'!A:A,D199,
'YearA-AppDetails Current Date'!F:F,E199,
'YearA-AppDetails Current Date'!E:E,--F199,
'YearA-AppDetails Current Date'!T:T,{"APEX","DENY","NTSL"},
'YearA-AppDetails Current Date'!I:I,"FALL"))), "")</f>
        <v/>
      </c>
      <c r="M199" s="74" t="str" cm="1">
        <f t="array" ref="M199">IFERROR(1/(1/SUM(COUNTIFS(
'YearA-AppDetails Current Date'!A:A,D199,
'YearA-AppDetails Current Date'!F:F,E199,
'YearA-AppDetails Current Date'!E:E,--F199,
'YearA-AppDetails Current Date'!U:U,{"CCAN","DECL"},
'YearA-AppDetails Current Date'!I:I,"FALL"))), "")</f>
        <v/>
      </c>
      <c r="N199" s="74" t="str" cm="1">
        <f t="array" ref="N199">IFERROR(1/(1/SUM(COUNTIFS(
'YearA-AppDetails Current Date'!A:A,D199,
'YearA-AppDetails Current Date'!F:F,E199,
'YearA-AppDetails Current Date'!E:E,--F199,
'YearA-AppDetails Current Date'!V:V,{"APRO","NODE"},
'YearA-AppDetails Current Date'!I:I,"FALL"))), "")</f>
        <v/>
      </c>
      <c r="O199" s="74" t="str" cm="1">
        <f t="array" ref="O199">IFERROR(1/(1/SUM(COUNTIFS(
'YearA-AppDetails Current Date'!A:A,D199,
'YearA-AppDetails Current Date'!F:F,E199,
'YearA-AppDetails Current Date'!E:E,--F199,
'YearA-AppDetails Current Date'!T:T,{"CDMT","RQMT","WAIT"},
'YearA-AppDetails Current Date'!I:I,"FALL"))), "")</f>
        <v/>
      </c>
      <c r="P199" s="74" t="str">
        <f>IFERROR(1/(1/COUNTIFS(
'YearA-AppDetails Current Date'!A:A,D199,
'YearA-AppDetails Current Date'!F:F,E199,
'YearA-AppDetails Current Date'!E:E,--F199,
'YearA-AppDetails Current Date'!Y:Y,"ENRO",
'YearA-AppDetails Current Date'!I:I,"FALL")),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HC'!D:T,2,FALSE)),
N(VLOOKUP(D200&amp;F200,'Budgeted Projections Intl HC'!D:T,3,FALSE))
)/4)
),"")</f>
        <v/>
      </c>
      <c r="I200" s="73" t="str">
        <f>IFERROR(1/(1/COUNTIFS(
'YearA-AppDetails Current Date'!A:A,D200,
'YearA-AppDetails Current Date'!F:F,E200,
'YearA-AppDetails Current Date'!E:E,--F200,
'YearA-AppDetails Current Date'!I:I,"FALL")), "")</f>
        <v/>
      </c>
      <c r="J200" s="74" t="str" cm="1">
        <f t="array" ref="J200">IFERROR(1/(1/SUM(COUNTIFS(
'YearA-AppDetails Current Date'!A:A,D200,
'YearA-AppDetails Current Date'!F:F,E200,
'YearA-AppDetails Current Date'!E:E,--F200,
'YearA-AppDetails Current Date'!O:O,{"ACLN","ACPT","COND"},
'YearA-AppDetails Current Date'!S:S,"&lt;&gt;ACLN",
'YearA-AppDetails Current Date'!S:S,"&lt;&gt;ACPT",
'YearA-AppDetails Current Date'!S:S,"&lt;&gt;COND",
'YearA-AppDetails Current Date'!I:I,"FALL"))), "")</f>
        <v/>
      </c>
      <c r="K200" s="73" t="str">
        <f>IFERROR(1/(1/SUM(COUNTIFS(
'YearA-AppDetails Current Date'!A:A,D200,
'YearA-AppDetails Current Date'!F:F,E200,
'YearA-AppDetails Current Date'!E:E,--F200,
'YearA-AppDetails Current Date'!R:R,"&lt;&gt;"&amp;"",
'YearA-AppDetails Current Date'!I:I,"FALL"))), "")</f>
        <v/>
      </c>
      <c r="L200" s="74" t="str" cm="1">
        <f t="array" ref="L200">IFERROR(1/(1/SUM(COUNTIFS(
'YearA-AppDetails Current Date'!A:A,D200,
'YearA-AppDetails Current Date'!F:F,E200,
'YearA-AppDetails Current Date'!E:E,--F200,
'YearA-AppDetails Current Date'!T:T,{"APEX","DENY","NTSL"},
'YearA-AppDetails Current Date'!I:I,"FALL"))), "")</f>
        <v/>
      </c>
      <c r="M200" s="74" t="str" cm="1">
        <f t="array" ref="M200">IFERROR(1/(1/SUM(COUNTIFS(
'YearA-AppDetails Current Date'!A:A,D200,
'YearA-AppDetails Current Date'!F:F,E200,
'YearA-AppDetails Current Date'!E:E,--F200,
'YearA-AppDetails Current Date'!U:U,{"CCAN","DECL"},
'YearA-AppDetails Current Date'!I:I,"FALL"))), "")</f>
        <v/>
      </c>
      <c r="N200" s="74" t="str" cm="1">
        <f t="array" ref="N200">IFERROR(1/(1/SUM(COUNTIFS(
'YearA-AppDetails Current Date'!A:A,D200,
'YearA-AppDetails Current Date'!F:F,E200,
'YearA-AppDetails Current Date'!E:E,--F200,
'YearA-AppDetails Current Date'!V:V,{"APRO","NODE"},
'YearA-AppDetails Current Date'!I:I,"FALL"))), "")</f>
        <v/>
      </c>
      <c r="O200" s="74" t="str" cm="1">
        <f t="array" ref="O200">IFERROR(1/(1/SUM(COUNTIFS(
'YearA-AppDetails Current Date'!A:A,D200,
'YearA-AppDetails Current Date'!F:F,E200,
'YearA-AppDetails Current Date'!E:E,--F200,
'YearA-AppDetails Current Date'!T:T,{"CDMT","RQMT","WAIT"},
'YearA-AppDetails Current Date'!I:I,"FALL"))), "")</f>
        <v/>
      </c>
      <c r="P200" s="74" t="str">
        <f>IFERROR(1/(1/COUNTIFS(
'YearA-AppDetails Current Date'!A:A,D200,
'YearA-AppDetails Current Date'!F:F,E200,
'YearA-AppDetails Current Date'!E:E,--F200,
'YearA-AppDetails Current Date'!Y:Y,"ENRO",
'YearA-AppDetails Current Date'!I:I,"FALL")),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A3:A33"/>
    <mergeCell ref="B18:B28"/>
    <mergeCell ref="G1:G2"/>
    <mergeCell ref="I1:Q1"/>
    <mergeCell ref="A1:A2"/>
    <mergeCell ref="B1:B2"/>
    <mergeCell ref="C1:C2"/>
    <mergeCell ref="D1:D2"/>
    <mergeCell ref="E1:E2"/>
    <mergeCell ref="F1:F2"/>
    <mergeCell ref="C13:C16"/>
    <mergeCell ref="G13:G14"/>
    <mergeCell ref="G15:G16"/>
    <mergeCell ref="C17:F17"/>
    <mergeCell ref="C9:C10"/>
    <mergeCell ref="G9:G10"/>
    <mergeCell ref="C18:C19"/>
    <mergeCell ref="G18:G19"/>
    <mergeCell ref="C20:C21"/>
    <mergeCell ref="B3:B17"/>
    <mergeCell ref="G26:G27"/>
    <mergeCell ref="C35:C36"/>
    <mergeCell ref="G35:G36"/>
    <mergeCell ref="C37:C38"/>
    <mergeCell ref="G37:G38"/>
    <mergeCell ref="C39:C42"/>
    <mergeCell ref="G39:G40"/>
    <mergeCell ref="G41:G42"/>
    <mergeCell ref="B29:B33"/>
    <mergeCell ref="C29:C32"/>
    <mergeCell ref="G29:G30"/>
    <mergeCell ref="G31:G32"/>
    <mergeCell ref="C33:F33"/>
    <mergeCell ref="B35:B48"/>
    <mergeCell ref="C47:C48"/>
    <mergeCell ref="G47:G48"/>
    <mergeCell ref="G80:G81"/>
    <mergeCell ref="G82:G83"/>
    <mergeCell ref="G84:G85"/>
    <mergeCell ref="G70:G71"/>
    <mergeCell ref="G72:G73"/>
    <mergeCell ref="G55:G56"/>
    <mergeCell ref="C61:C62"/>
    <mergeCell ref="G61:G62"/>
    <mergeCell ref="C3:C4"/>
    <mergeCell ref="G3:G4"/>
    <mergeCell ref="C5:C6"/>
    <mergeCell ref="G5:G6"/>
    <mergeCell ref="C11:C12"/>
    <mergeCell ref="G11:G12"/>
    <mergeCell ref="G43:G44"/>
    <mergeCell ref="G45:G46"/>
    <mergeCell ref="C22:C23"/>
    <mergeCell ref="G22:G23"/>
    <mergeCell ref="C24:C25"/>
    <mergeCell ref="G24:G25"/>
    <mergeCell ref="C7:C8"/>
    <mergeCell ref="G7:G8"/>
    <mergeCell ref="G78:G79"/>
    <mergeCell ref="G20:G21"/>
    <mergeCell ref="G94:G95"/>
    <mergeCell ref="C96:C99"/>
    <mergeCell ref="G96:G97"/>
    <mergeCell ref="G98:G99"/>
    <mergeCell ref="C100:C103"/>
    <mergeCell ref="G100:G101"/>
    <mergeCell ref="G102:G103"/>
    <mergeCell ref="G86:G87"/>
    <mergeCell ref="G88:G89"/>
    <mergeCell ref="G90:G91"/>
    <mergeCell ref="G92:G93"/>
    <mergeCell ref="G118:G119"/>
    <mergeCell ref="G120:G121"/>
    <mergeCell ref="G122:G123"/>
    <mergeCell ref="C120:C123"/>
    <mergeCell ref="G104:G105"/>
    <mergeCell ref="G106:G107"/>
    <mergeCell ref="G108:G109"/>
    <mergeCell ref="G110:G111"/>
    <mergeCell ref="C116:C119"/>
    <mergeCell ref="G116:G117"/>
    <mergeCell ref="C112:C115"/>
    <mergeCell ref="G112:G113"/>
    <mergeCell ref="G114:G115"/>
    <mergeCell ref="A203:Q203"/>
    <mergeCell ref="C26:C27"/>
    <mergeCell ref="C28:F28"/>
    <mergeCell ref="G188:G189"/>
    <mergeCell ref="C172:C173"/>
    <mergeCell ref="G192:G193"/>
    <mergeCell ref="G178:G179"/>
    <mergeCell ref="G180:G181"/>
    <mergeCell ref="G182:G183"/>
    <mergeCell ref="G184:G185"/>
    <mergeCell ref="G186:G187"/>
    <mergeCell ref="G151:G152"/>
    <mergeCell ref="G153:G154"/>
    <mergeCell ref="G155:G156"/>
    <mergeCell ref="G176:G177"/>
    <mergeCell ref="C140:C143"/>
    <mergeCell ref="G140:G141"/>
    <mergeCell ref="G142:G143"/>
    <mergeCell ref="G144:G145"/>
    <mergeCell ref="G146:G147"/>
    <mergeCell ref="C149:C152"/>
    <mergeCell ref="G149:G150"/>
    <mergeCell ref="C129:C130"/>
    <mergeCell ref="C43:C46"/>
    <mergeCell ref="B50:B54"/>
    <mergeCell ref="B55:B62"/>
    <mergeCell ref="B64:B76"/>
    <mergeCell ref="C54:F54"/>
    <mergeCell ref="C55:C56"/>
    <mergeCell ref="C64:C67"/>
    <mergeCell ref="G64:G65"/>
    <mergeCell ref="G66:G67"/>
    <mergeCell ref="C68:C73"/>
    <mergeCell ref="G68:G69"/>
    <mergeCell ref="C50:C53"/>
    <mergeCell ref="G50:G51"/>
    <mergeCell ref="G52:G53"/>
    <mergeCell ref="C57:C60"/>
    <mergeCell ref="G57:G58"/>
    <mergeCell ref="G59:G60"/>
    <mergeCell ref="C49:F49"/>
    <mergeCell ref="A34:F34"/>
    <mergeCell ref="A35:A76"/>
    <mergeCell ref="C126:C127"/>
    <mergeCell ref="G126:G127"/>
    <mergeCell ref="C128:F128"/>
    <mergeCell ref="C133:C134"/>
    <mergeCell ref="C144:C147"/>
    <mergeCell ref="C148:F148"/>
    <mergeCell ref="C63:F63"/>
    <mergeCell ref="B78:B128"/>
    <mergeCell ref="C78:C79"/>
    <mergeCell ref="C80:C83"/>
    <mergeCell ref="C84:C87"/>
    <mergeCell ref="C88:C91"/>
    <mergeCell ref="C92:C95"/>
    <mergeCell ref="C104:C107"/>
    <mergeCell ref="C108:C111"/>
    <mergeCell ref="C74:C75"/>
    <mergeCell ref="G74:G75"/>
    <mergeCell ref="C76:F76"/>
    <mergeCell ref="A77:F77"/>
    <mergeCell ref="G129:G130"/>
    <mergeCell ref="C131:C132"/>
    <mergeCell ref="G131:G132"/>
    <mergeCell ref="G133:G134"/>
    <mergeCell ref="C124:C125"/>
    <mergeCell ref="B140:B194"/>
    <mergeCell ref="C195:C196"/>
    <mergeCell ref="G195:G196"/>
    <mergeCell ref="C194:F194"/>
    <mergeCell ref="B199:B201"/>
    <mergeCell ref="C199:C200"/>
    <mergeCell ref="G199:G200"/>
    <mergeCell ref="C201:F201"/>
    <mergeCell ref="C197:F197"/>
    <mergeCell ref="B195:B197"/>
    <mergeCell ref="G190:G191"/>
    <mergeCell ref="C153:C156"/>
    <mergeCell ref="C176:C179"/>
    <mergeCell ref="C180:C183"/>
    <mergeCell ref="C184:C185"/>
    <mergeCell ref="C186:C189"/>
    <mergeCell ref="C190:C193"/>
    <mergeCell ref="C157:F157"/>
    <mergeCell ref="C158:C159"/>
    <mergeCell ref="C166:C167"/>
    <mergeCell ref="G124:G125"/>
    <mergeCell ref="A202:F202"/>
    <mergeCell ref="H1:H2"/>
    <mergeCell ref="A78:A197"/>
    <mergeCell ref="A199:A201"/>
    <mergeCell ref="A198:F198"/>
    <mergeCell ref="G166:G167"/>
    <mergeCell ref="C168:C171"/>
    <mergeCell ref="G168:G169"/>
    <mergeCell ref="G170:G171"/>
    <mergeCell ref="G172:G173"/>
    <mergeCell ref="C174:C175"/>
    <mergeCell ref="G174:G175"/>
    <mergeCell ref="G158:G159"/>
    <mergeCell ref="C160:C163"/>
    <mergeCell ref="G160:G161"/>
    <mergeCell ref="G162:G163"/>
    <mergeCell ref="C164:C165"/>
    <mergeCell ref="G164:G165"/>
    <mergeCell ref="C137:C138"/>
    <mergeCell ref="G137:G138"/>
    <mergeCell ref="C135:C136"/>
    <mergeCell ref="G135:G136"/>
    <mergeCell ref="C139:F139"/>
    <mergeCell ref="B129:B139"/>
  </mergeCells>
  <conditionalFormatting sqref="J3:J16 J18:J27 J35:J48 J50:J53 J55:J62 J64:J75 J78:J127 J129:J138 J140:J147 J149:J156 J158:J193 J195:J196 J199:J200">
    <cfRule type="cellIs" dxfId="41" priority="18" operator="between">
      <formula>10</formula>
      <formula>100000000</formula>
    </cfRule>
    <cfRule type="cellIs" dxfId="40" priority="19" operator="between">
      <formula>1</formula>
      <formula>9</formula>
    </cfRule>
    <cfRule type="expression" dxfId="39" priority="20">
      <formula>AND(J3=0, J3&lt;&gt;"")</formula>
    </cfRule>
  </conditionalFormatting>
  <conditionalFormatting sqref="J29:J32">
    <cfRule type="cellIs" dxfId="38" priority="1" operator="between">
      <formula>10</formula>
      <formula>100000000</formula>
    </cfRule>
    <cfRule type="cellIs" dxfId="37" priority="2" operator="between">
      <formula>1</formula>
      <formula>9</formula>
    </cfRule>
    <cfRule type="expression" dxfId="36" priority="3">
      <formula>AND(J29=0, J29&lt;&gt;"")</formula>
    </cfRule>
  </conditionalFormatting>
  <conditionalFormatting sqref="Q3:Q28 Q34:Q202">
    <cfRule type="iconSet" priority="33">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21">
      <iconSet iconSet="3Signs">
        <cfvo type="percent" val="0"/>
        <cfvo type="num" val="0.6"/>
        <cfvo type="num" val="1"/>
      </iconSet>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9E0D5-F567-4115-8EF3-99A56ADBC1E1}">
  <sheetPr codeName="Sheet6">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"Winter "&amp;'YearA-AppDetails Current Date'!$J$2+1</f>
        <v>Winter 1</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HC'!D:T,2,FALSE)),
N(VLOOKUP(D3&amp;F3,'Budgeted Projections Dom HC'!D:T,3,FALSE))
)/4)
),"")</f>
        <v/>
      </c>
      <c r="I3" s="73" t="str">
        <f>IFERROR(1/(1/COUNTIFS(
'YearA-AppDetails Current Date'!A:A,D3,
'YearA-AppDetails Current Date'!F:F,E3,
'YearA-AppDetails Current Date'!E:E,--F3,
'YearA-AppDetails Current Date'!I:I,"WINTER")), "")</f>
        <v/>
      </c>
      <c r="J3" s="74" t="str" cm="1">
        <f t="array" ref="J3">IFERROR(1/(1/SUM(COUNTIFS(
'YearA-AppDetails Current Date'!A:A,D3,
'YearA-AppDetails Current Date'!F:F,E3,
'YearA-AppDetails Current Date'!E:E,--F3,
'YearA-AppDetails Current Date'!O:O,{"ACLN","ACPT","COND"},
'YearA-AppDetails Current Date'!S:S,"&lt;&gt;ACLN",
'YearA-AppDetails Current Date'!S:S,"&lt;&gt;ACPT",
'YearA-AppDetails Current Date'!S:S,"&lt;&gt;COND",
'YearA-AppDetails Current Date'!I:I,"WINTER"))), "")</f>
        <v/>
      </c>
      <c r="K3" s="73" t="str">
        <f>IFERROR(1/(1/SUM(COUNTIFS(
'YearA-AppDetails Current Date'!A:A,D3,
'YearA-AppDetails Current Date'!F:F,E3,
'YearA-AppDetails Current Date'!E:E,--F3,
'YearA-AppDetails Current Date'!R:R,"&lt;&gt;"&amp;"",
'YearA-AppDetails Current Date'!I:I,"WINTER"))), "")</f>
        <v/>
      </c>
      <c r="L3" s="74" t="str" cm="1">
        <f t="array" ref="L3">IFERROR(1/(1/SUM(COUNTIFS(
'YearA-AppDetails Current Date'!A:A,D3,
'YearA-AppDetails Current Date'!F:F,E3,
'YearA-AppDetails Current Date'!E:E,--F3,
'YearA-AppDetails Current Date'!T:T,{"APEX","DENY","NTSL"},
'YearA-AppDetails Current Date'!I:I,"WINTER"))), "")</f>
        <v/>
      </c>
      <c r="M3" s="74" t="str" cm="1">
        <f t="array" ref="M3">IFERROR(1/(1/SUM(COUNTIFS(
'YearA-AppDetails Current Date'!A:A,D3,
'YearA-AppDetails Current Date'!F:F,E3,
'YearA-AppDetails Current Date'!E:E,--F3,
'YearA-AppDetails Current Date'!U:U,{"CCAN","DECL"},
'YearA-AppDetails Current Date'!I:I,"WINTER"))), "")</f>
        <v/>
      </c>
      <c r="N3" s="74" t="str" cm="1">
        <f t="array" ref="N3">IFERROR(1/(1/SUM(COUNTIFS(
'YearA-AppDetails Current Date'!A:A,D3,
'YearA-AppDetails Current Date'!F:F,E3,
'YearA-AppDetails Current Date'!E:E,--F3,
'YearA-AppDetails Current Date'!V:V,{"APRO","NODE"},
'YearA-AppDetails Current Date'!I:I,"WINTER"))), "")</f>
        <v/>
      </c>
      <c r="O3" s="74" t="str" cm="1">
        <f t="array" ref="O3">IFERROR(1/(1/SUM(COUNTIFS(
'YearA-AppDetails Current Date'!A:A,D3,
'YearA-AppDetails Current Date'!F:F,E3,
'YearA-AppDetails Current Date'!E:E,--F3,
'YearA-AppDetails Current Date'!T:T,{"CDMT","RQMT","WAIT"},
'YearA-AppDetails Current Date'!I:I,"WINTER"))), "")</f>
        <v/>
      </c>
      <c r="P3" s="74" t="str">
        <f>IFERROR(1/(1/COUNTIFS(
'YearA-AppDetails Current Date'!A:A,D3,
'YearA-AppDetails Current Date'!F:F,E3,
'YearA-AppDetails Current Date'!E:E,--F3,
'YearA-AppDetails Current Date'!Y:Y,"ENRO",
'YearA-AppDetails Current Date'!I:I,"WINTER")), "")</f>
        <v/>
      </c>
      <c r="Q3" s="3" t="str">
        <f>IFERROR(P3/J3,"")</f>
        <v/>
      </c>
    </row>
    <row r="4" spans="1:17" ht="15.75" customHeight="1" x14ac:dyDescent="0.25">
      <c r="A4" s="170"/>
      <c r="B4" s="122"/>
      <c r="C4" s="125"/>
      <c r="D4" s="2" t="s">
        <v>47</v>
      </c>
      <c r="E4" s="2" t="s">
        <v>43</v>
      </c>
      <c r="F4" s="31">
        <v>1</v>
      </c>
      <c r="G4" s="140"/>
      <c r="H4" s="73" t="str">
        <f>IFERROR(1/(1/(
SUM(
N(VLOOKUP(D4&amp;F4,'Budgeted Projections Intl HC'!D:T,2,FALSE)),
N(VLOOKUP(D4&amp;F4,'Budgeted Projections Intl HC'!D:T,3,FALSE))
)/4)
),"")</f>
        <v/>
      </c>
      <c r="I4" s="73" t="str">
        <f>IFERROR(1/(1/COUNTIFS(
'YearA-AppDetails Current Date'!A:A,D4,
'YearA-AppDetails Current Date'!F:F,E4,
'YearA-AppDetails Current Date'!E:E,--F4,
'YearA-AppDetails Current Date'!I:I,"WINTER")), "")</f>
        <v/>
      </c>
      <c r="J4" s="74" t="str" cm="1">
        <f t="array" ref="J4">IFERROR(1/(1/SUM(COUNTIFS(
'YearA-AppDetails Current Date'!A:A,D4,
'YearA-AppDetails Current Date'!F:F,E4,
'YearA-AppDetails Current Date'!E:E,--F4,
'YearA-AppDetails Current Date'!O:O,{"ACLN","ACPT","COND"},
'YearA-AppDetails Current Date'!S:S,"&lt;&gt;ACLN",
'YearA-AppDetails Current Date'!S:S,"&lt;&gt;ACPT",
'YearA-AppDetails Current Date'!S:S,"&lt;&gt;COND",
'YearA-AppDetails Current Date'!I:I,"WINTER"))), "")</f>
        <v/>
      </c>
      <c r="K4" s="73" t="str">
        <f>IFERROR(1/(1/SUM(COUNTIFS(
'YearA-AppDetails Current Date'!A:A,D4,
'YearA-AppDetails Current Date'!F:F,E4,
'YearA-AppDetails Current Date'!E:E,--F4,
'YearA-AppDetails Current Date'!R:R,"&lt;&gt;"&amp;"",
'YearA-AppDetails Current Date'!I:I,"WINTER"))), "")</f>
        <v/>
      </c>
      <c r="L4" s="74" t="str" cm="1">
        <f t="array" ref="L4">IFERROR(1/(1/SUM(COUNTIFS(
'YearA-AppDetails Current Date'!A:A,D4,
'YearA-AppDetails Current Date'!F:F,E4,
'YearA-AppDetails Current Date'!E:E,--F4,
'YearA-AppDetails Current Date'!T:T,{"APEX","DENY","NTSL"},
'YearA-AppDetails Current Date'!I:I,"WINTER"))), "")</f>
        <v/>
      </c>
      <c r="M4" s="74" t="str" cm="1">
        <f t="array" ref="M4">IFERROR(1/(1/SUM(COUNTIFS(
'YearA-AppDetails Current Date'!A:A,D4,
'YearA-AppDetails Current Date'!F:F,E4,
'YearA-AppDetails Current Date'!E:E,--F4,
'YearA-AppDetails Current Date'!U:U,{"CCAN","DECL"},
'YearA-AppDetails Current Date'!I:I,"WINTER"))), "")</f>
        <v/>
      </c>
      <c r="N4" s="74" t="str" cm="1">
        <f t="array" ref="N4">IFERROR(1/(1/SUM(COUNTIFS(
'YearA-AppDetails Current Date'!A:A,D4,
'YearA-AppDetails Current Date'!F:F,E4,
'YearA-AppDetails Current Date'!E:E,--F4,
'YearA-AppDetails Current Date'!V:V,{"APRO","NODE"},
'YearA-AppDetails Current Date'!I:I,"WINTER"))), "")</f>
        <v/>
      </c>
      <c r="O4" s="74" t="str" cm="1">
        <f t="array" ref="O4">IFERROR(1/(1/SUM(COUNTIFS(
'YearA-AppDetails Current Date'!A:A,D4,
'YearA-AppDetails Current Date'!F:F,E4,
'YearA-AppDetails Current Date'!E:E,--F4,
'YearA-AppDetails Current Date'!T:T,{"CDMT","RQMT","WAIT"},
'YearA-AppDetails Current Date'!I:I,"WINTER"))), "")</f>
        <v/>
      </c>
      <c r="P4" s="74" t="str">
        <f>IFERROR(1/(1/COUNTIFS(
'YearA-AppDetails Current Date'!A:A,D4,
'YearA-AppDetails Current Date'!F:F,E4,
'YearA-AppDetails Current Date'!E:E,--F4,
'YearA-AppDetails Current Date'!Y:Y,"ENRO",
'YearA-AppDetails Current Date'!I:I,"WINTER")),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HC'!D:T,2,FALSE)),
N(VLOOKUP(D5&amp;F5,'Budgeted Projections Dom HC'!D:T,3,FALSE))
)/4)
),"")</f>
        <v/>
      </c>
      <c r="I5" s="73" t="str">
        <f>IFERROR(1/(1/COUNTIFS(
'YearA-AppDetails Current Date'!A:A,D5,
'YearA-AppDetails Current Date'!F:F,E5,
'YearA-AppDetails Current Date'!E:E,--F5,
'YearA-AppDetails Current Date'!I:I,"WINTER")), "")</f>
        <v/>
      </c>
      <c r="J5" s="74" t="str" cm="1">
        <f t="array" ref="J5">IFERROR(1/(1/SUM(COUNTIFS(
'YearA-AppDetails Current Date'!A:A,D5,
'YearA-AppDetails Current Date'!F:F,E5,
'YearA-AppDetails Current Date'!E:E,--F5,
'YearA-AppDetails Current Date'!O:O,{"ACLN","ACPT","COND"},
'YearA-AppDetails Current Date'!S:S,"&lt;&gt;ACLN",
'YearA-AppDetails Current Date'!S:S,"&lt;&gt;ACPT",
'YearA-AppDetails Current Date'!S:S,"&lt;&gt;COND",
'YearA-AppDetails Current Date'!I:I,"WINTER"))), "")</f>
        <v/>
      </c>
      <c r="K5" s="73" t="str">
        <f>IFERROR(1/(1/SUM(COUNTIFS(
'YearA-AppDetails Current Date'!A:A,D5,
'YearA-AppDetails Current Date'!F:F,E5,
'YearA-AppDetails Current Date'!E:E,--F5,
'YearA-AppDetails Current Date'!R:R,"&lt;&gt;"&amp;"",
'YearA-AppDetails Current Date'!I:I,"WINTER"))), "")</f>
        <v/>
      </c>
      <c r="L5" s="74" t="str" cm="1">
        <f t="array" ref="L5">IFERROR(1/(1/SUM(COUNTIFS(
'YearA-AppDetails Current Date'!A:A,D5,
'YearA-AppDetails Current Date'!F:F,E5,
'YearA-AppDetails Current Date'!E:E,--F5,
'YearA-AppDetails Current Date'!T:T,{"APEX","DENY","NTSL"},
'YearA-AppDetails Current Date'!I:I,"WINTER"))), "")</f>
        <v/>
      </c>
      <c r="M5" s="74" t="str" cm="1">
        <f t="array" ref="M5">IFERROR(1/(1/SUM(COUNTIFS(
'YearA-AppDetails Current Date'!A:A,D5,
'YearA-AppDetails Current Date'!F:F,E5,
'YearA-AppDetails Current Date'!E:E,--F5,
'YearA-AppDetails Current Date'!U:U,{"CCAN","DECL"},
'YearA-AppDetails Current Date'!I:I,"WINTER"))), "")</f>
        <v/>
      </c>
      <c r="N5" s="74" t="str" cm="1">
        <f t="array" ref="N5">IFERROR(1/(1/SUM(COUNTIFS(
'YearA-AppDetails Current Date'!A:A,D5,
'YearA-AppDetails Current Date'!F:F,E5,
'YearA-AppDetails Current Date'!E:E,--F5,
'YearA-AppDetails Current Date'!V:V,{"APRO","NODE"},
'YearA-AppDetails Current Date'!I:I,"WINTER"))), "")</f>
        <v/>
      </c>
      <c r="O5" s="74" t="str" cm="1">
        <f t="array" ref="O5">IFERROR(1/(1/SUM(COUNTIFS(
'YearA-AppDetails Current Date'!A:A,D5,
'YearA-AppDetails Current Date'!F:F,E5,
'YearA-AppDetails Current Date'!E:E,--F5,
'YearA-AppDetails Current Date'!T:T,{"CDMT","RQMT","WAIT"},
'YearA-AppDetails Current Date'!I:I,"WINTER"))), "")</f>
        <v/>
      </c>
      <c r="P5" s="74" t="str">
        <f>IFERROR(1/(1/COUNTIFS(
'YearA-AppDetails Current Date'!A:A,D5,
'YearA-AppDetails Current Date'!F:F,E5,
'YearA-AppDetails Current Date'!E:E,--F5,
'YearA-AppDetails Current Date'!Y:Y,"ENRO",
'YearA-AppDetails Current Date'!I:I,"WINTER")), "")</f>
        <v/>
      </c>
      <c r="Q5" s="3" t="str">
        <f t="shared" si="0"/>
        <v/>
      </c>
    </row>
    <row r="6" spans="1:17" ht="15.75" customHeight="1" x14ac:dyDescent="0.25">
      <c r="A6" s="170"/>
      <c r="B6" s="122"/>
      <c r="C6" s="125"/>
      <c r="D6" s="2" t="s">
        <v>50</v>
      </c>
      <c r="E6" s="2" t="s">
        <v>43</v>
      </c>
      <c r="F6" s="31">
        <v>1</v>
      </c>
      <c r="G6" s="140"/>
      <c r="H6" s="73" t="str">
        <f>IFERROR(1/(1/(
SUM(
N(VLOOKUP(D6&amp;F6,'Budgeted Projections Intl HC'!D:T,2,FALSE)),
N(VLOOKUP(D6&amp;F6,'Budgeted Projections Intl HC'!D:T,3,FALSE))
)/4)
),"")</f>
        <v/>
      </c>
      <c r="I6" s="73" t="str">
        <f>IFERROR(1/(1/COUNTIFS(
'YearA-AppDetails Current Date'!A:A,D6,
'YearA-AppDetails Current Date'!F:F,E6,
'YearA-AppDetails Current Date'!E:E,--F6,
'YearA-AppDetails Current Date'!I:I,"WINTER")), "")</f>
        <v/>
      </c>
      <c r="J6" s="74" t="str" cm="1">
        <f t="array" ref="J6">IFERROR(1/(1/SUM(COUNTIFS(
'YearA-AppDetails Current Date'!A:A,D6,
'YearA-AppDetails Current Date'!F:F,E6,
'YearA-AppDetails Current Date'!E:E,--F6,
'YearA-AppDetails Current Date'!O:O,{"ACLN","ACPT","COND"},
'YearA-AppDetails Current Date'!S:S,"&lt;&gt;ACLN",
'YearA-AppDetails Current Date'!S:S,"&lt;&gt;ACPT",
'YearA-AppDetails Current Date'!S:S,"&lt;&gt;COND",
'YearA-AppDetails Current Date'!I:I,"WINTER"))), "")</f>
        <v/>
      </c>
      <c r="K6" s="73" t="str">
        <f>IFERROR(1/(1/SUM(COUNTIFS(
'YearA-AppDetails Current Date'!A:A,D6,
'YearA-AppDetails Current Date'!F:F,E6,
'YearA-AppDetails Current Date'!E:E,--F6,
'YearA-AppDetails Current Date'!R:R,"&lt;&gt;"&amp;"",
'YearA-AppDetails Current Date'!I:I,"WINTER"))), "")</f>
        <v/>
      </c>
      <c r="L6" s="74" t="str" cm="1">
        <f t="array" ref="L6">IFERROR(1/(1/SUM(COUNTIFS(
'YearA-AppDetails Current Date'!A:A,D6,
'YearA-AppDetails Current Date'!F:F,E6,
'YearA-AppDetails Current Date'!E:E,--F6,
'YearA-AppDetails Current Date'!T:T,{"APEX","DENY","NTSL"},
'YearA-AppDetails Current Date'!I:I,"WINTER"))), "")</f>
        <v/>
      </c>
      <c r="M6" s="74" t="str" cm="1">
        <f t="array" ref="M6">IFERROR(1/(1/SUM(COUNTIFS(
'YearA-AppDetails Current Date'!A:A,D6,
'YearA-AppDetails Current Date'!F:F,E6,
'YearA-AppDetails Current Date'!E:E,--F6,
'YearA-AppDetails Current Date'!U:U,{"CCAN","DECL"},
'YearA-AppDetails Current Date'!I:I,"WINTER"))), "")</f>
        <v/>
      </c>
      <c r="N6" s="74" t="str" cm="1">
        <f t="array" ref="N6">IFERROR(1/(1/SUM(COUNTIFS(
'YearA-AppDetails Current Date'!A:A,D6,
'YearA-AppDetails Current Date'!F:F,E6,
'YearA-AppDetails Current Date'!E:E,--F6,
'YearA-AppDetails Current Date'!V:V,{"APRO","NODE"},
'YearA-AppDetails Current Date'!I:I,"WINTER"))), "")</f>
        <v/>
      </c>
      <c r="O6" s="74" t="str" cm="1">
        <f t="array" ref="O6">IFERROR(1/(1/SUM(COUNTIFS(
'YearA-AppDetails Current Date'!A:A,D6,
'YearA-AppDetails Current Date'!F:F,E6,
'YearA-AppDetails Current Date'!E:E,--F6,
'YearA-AppDetails Current Date'!T:T,{"CDMT","RQMT","WAIT"},
'YearA-AppDetails Current Date'!I:I,"WINTER"))), "")</f>
        <v/>
      </c>
      <c r="P6" s="74" t="str">
        <f>IFERROR(1/(1/COUNTIFS(
'YearA-AppDetails Current Date'!A:A,D6,
'YearA-AppDetails Current Date'!F:F,E6,
'YearA-AppDetails Current Date'!E:E,--F6,
'YearA-AppDetails Current Date'!Y:Y,"ENRO",
'YearA-AppDetails Current Date'!I:I,"WINTER")),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HC'!D:T,6,FALSE)),
N(VLOOKUP(D7&amp;F7,'Budgeted Projections Dom HC'!D:T,7,FALSE))
)
),"")</f>
        <v/>
      </c>
      <c r="I7" s="73" t="str">
        <f>IFERROR(1/(1/COUNTIFS(
'YearA-AppDetails Current Date'!A:A,D7,
'YearA-AppDetails Current Date'!F:F,E7,
'YearA-AppDetails Current Date'!E:E,--F7,
'YearA-AppDetails Current Date'!I:I,"WINTER")), "")</f>
        <v/>
      </c>
      <c r="J7" s="74" t="str" cm="1">
        <f t="array" ref="J7">IFERROR(1/(1/SUM(COUNTIFS(
'YearA-AppDetails Current Date'!A:A,D7,
'YearA-AppDetails Current Date'!F:F,E7,
'YearA-AppDetails Current Date'!E:E,--F7,
'YearA-AppDetails Current Date'!O:O,{"ACLN","ACPT","COND"},
'YearA-AppDetails Current Date'!S:S,"&lt;&gt;ACLN",
'YearA-AppDetails Current Date'!S:S,"&lt;&gt;ACPT",
'YearA-AppDetails Current Date'!S:S,"&lt;&gt;COND",
'YearA-AppDetails Current Date'!I:I,"WINTER"))), "")</f>
        <v/>
      </c>
      <c r="K7" s="73" t="str">
        <f>IFERROR(1/(1/SUM(COUNTIFS(
'YearA-AppDetails Current Date'!A:A,D7,
'YearA-AppDetails Current Date'!F:F,E7,
'YearA-AppDetails Current Date'!E:E,--F7,
'YearA-AppDetails Current Date'!R:R,"&lt;&gt;"&amp;"",
'YearA-AppDetails Current Date'!I:I,"WINTER"))), "")</f>
        <v/>
      </c>
      <c r="L7" s="74" t="str" cm="1">
        <f t="array" ref="L7">IFERROR(1/(1/SUM(COUNTIFS(
'YearA-AppDetails Current Date'!A:A,D7,
'YearA-AppDetails Current Date'!F:F,E7,
'YearA-AppDetails Current Date'!E:E,--F7,
'YearA-AppDetails Current Date'!T:T,{"APEX","DENY","NTSL"},
'YearA-AppDetails Current Date'!I:I,"WINTER"))), "")</f>
        <v/>
      </c>
      <c r="M7" s="74" t="str" cm="1">
        <f t="array" ref="M7">IFERROR(1/(1/SUM(COUNTIFS(
'YearA-AppDetails Current Date'!A:A,D7,
'YearA-AppDetails Current Date'!F:F,E7,
'YearA-AppDetails Current Date'!E:E,--F7,
'YearA-AppDetails Current Date'!U:U,{"CCAN","DECL"},
'YearA-AppDetails Current Date'!I:I,"WINTER"))), "")</f>
        <v/>
      </c>
      <c r="N7" s="74" t="str" cm="1">
        <f t="array" ref="N7">IFERROR(1/(1/SUM(COUNTIFS(
'YearA-AppDetails Current Date'!A:A,D7,
'YearA-AppDetails Current Date'!F:F,E7,
'YearA-AppDetails Current Date'!E:E,--F7,
'YearA-AppDetails Current Date'!V:V,{"APRO","NODE"},
'YearA-AppDetails Current Date'!I:I,"WINTER"))), "")</f>
        <v/>
      </c>
      <c r="O7" s="74" t="str" cm="1">
        <f t="array" ref="O7">IFERROR(1/(1/SUM(COUNTIFS(
'YearA-AppDetails Current Date'!A:A,D7,
'YearA-AppDetails Current Date'!F:F,E7,
'YearA-AppDetails Current Date'!E:E,--F7,
'YearA-AppDetails Current Date'!T:T,{"CDMT","RQMT","WAIT"},
'YearA-AppDetails Current Date'!I:I,"WINTER"))), "")</f>
        <v/>
      </c>
      <c r="P7" s="74" t="str">
        <f>IFERROR(1/(1/COUNTIFS(
'YearA-AppDetails Current Date'!A:A,D7,
'YearA-AppDetails Current Date'!F:F,E7,
'YearA-AppDetails Current Date'!E:E,--F7,
'YearA-AppDetails Current Date'!Y:Y,"ENRO",
'YearA-AppDetails Current Date'!I:I,"WINTER")), "")</f>
        <v/>
      </c>
      <c r="Q7" s="3" t="str">
        <f t="shared" si="0"/>
        <v/>
      </c>
    </row>
    <row r="8" spans="1:17" ht="15.75" customHeight="1" x14ac:dyDescent="0.25">
      <c r="A8" s="170"/>
      <c r="B8" s="122"/>
      <c r="C8" s="125"/>
      <c r="D8" s="23" t="s">
        <v>41</v>
      </c>
      <c r="E8" s="2" t="s">
        <v>43</v>
      </c>
      <c r="F8" s="31">
        <v>1</v>
      </c>
      <c r="G8" s="140"/>
      <c r="H8" s="73" t="str">
        <f>IFERROR(1/(1/
SUM(
N(VLOOKUP(D8&amp;F8,'Budgeted Projections Intl HC'!D:T,6,FALSE)),
N(VLOOKUP(D8&amp;F8,'Budgeted Projections Intl HC'!D:T,7,FALSE))
)
),"")</f>
        <v/>
      </c>
      <c r="I8" s="73" t="str">
        <f>IFERROR(1/(1/COUNTIFS(
'YearA-AppDetails Current Date'!A:A,D8,
'YearA-AppDetails Current Date'!F:F,E8,
'YearA-AppDetails Current Date'!E:E,--F8,
'YearA-AppDetails Current Date'!I:I,"WINTER")), "")</f>
        <v/>
      </c>
      <c r="J8" s="74" t="str" cm="1">
        <f t="array" ref="J8">IFERROR(1/(1/SUM(COUNTIFS(
'YearA-AppDetails Current Date'!A:A,D8,
'YearA-AppDetails Current Date'!F:F,E8,
'YearA-AppDetails Current Date'!E:E,--F8,
'YearA-AppDetails Current Date'!O:O,{"ACLN","ACPT","COND"},
'YearA-AppDetails Current Date'!S:S,"&lt;&gt;ACLN",
'YearA-AppDetails Current Date'!S:S,"&lt;&gt;ACPT",
'YearA-AppDetails Current Date'!S:S,"&lt;&gt;COND",
'YearA-AppDetails Current Date'!I:I,"WINTER"))), "")</f>
        <v/>
      </c>
      <c r="K8" s="73" t="str">
        <f>IFERROR(1/(1/SUM(COUNTIFS(
'YearA-AppDetails Current Date'!A:A,D8,
'YearA-AppDetails Current Date'!F:F,E8,
'YearA-AppDetails Current Date'!E:E,--F8,
'YearA-AppDetails Current Date'!R:R,"&lt;&gt;"&amp;"",
'YearA-AppDetails Current Date'!I:I,"WINTER"))), "")</f>
        <v/>
      </c>
      <c r="L8" s="74" t="str" cm="1">
        <f t="array" ref="L8">IFERROR(1/(1/SUM(COUNTIFS(
'YearA-AppDetails Current Date'!A:A,D8,
'YearA-AppDetails Current Date'!F:F,E8,
'YearA-AppDetails Current Date'!E:E,--F8,
'YearA-AppDetails Current Date'!T:T,{"APEX","DENY","NTSL"},
'YearA-AppDetails Current Date'!I:I,"WINTER"))), "")</f>
        <v/>
      </c>
      <c r="M8" s="74" t="str" cm="1">
        <f t="array" ref="M8">IFERROR(1/(1/SUM(COUNTIFS(
'YearA-AppDetails Current Date'!A:A,D8,
'YearA-AppDetails Current Date'!F:F,E8,
'YearA-AppDetails Current Date'!E:E,--F8,
'YearA-AppDetails Current Date'!U:U,{"CCAN","DECL"},
'YearA-AppDetails Current Date'!I:I,"WINTER"))), "")</f>
        <v/>
      </c>
      <c r="N8" s="74" t="str" cm="1">
        <f t="array" ref="N8">IFERROR(1/(1/SUM(COUNTIFS(
'YearA-AppDetails Current Date'!A:A,D8,
'YearA-AppDetails Current Date'!F:F,E8,
'YearA-AppDetails Current Date'!E:E,--F8,
'YearA-AppDetails Current Date'!V:V,{"APRO","NODE"},
'YearA-AppDetails Current Date'!I:I,"WINTER"))), "")</f>
        <v/>
      </c>
      <c r="O8" s="74" t="str" cm="1">
        <f t="array" ref="O8">IFERROR(1/(1/SUM(COUNTIFS(
'YearA-AppDetails Current Date'!A:A,D8,
'YearA-AppDetails Current Date'!F:F,E8,
'YearA-AppDetails Current Date'!E:E,--F8,
'YearA-AppDetails Current Date'!T:T,{"CDMT","RQMT","WAIT"},
'YearA-AppDetails Current Date'!I:I,"WINTER"))), "")</f>
        <v/>
      </c>
      <c r="P8" s="74" t="str">
        <f>IFERROR(1/(1/COUNTIFS(
'YearA-AppDetails Current Date'!A:A,D8,
'YearA-AppDetails Current Date'!F:F,E8,
'YearA-AppDetails Current Date'!E:E,--F8,
'YearA-AppDetails Current Date'!Y:Y,"ENRO",
'YearA-AppDetails Current Date'!I:I,"WINTER")),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HC'!D:T,6,FALSE)),
N(VLOOKUP(D9&amp;F9,'Budgeted Projections Dom HC'!D:T,7,FALSE))
)
),"")</f>
        <v/>
      </c>
      <c r="I9" s="73" t="str">
        <f>IFERROR(1/(1/COUNTIFS(
'YearA-AppDetails Current Date'!A:A,D9,
'YearA-AppDetails Current Date'!F:F,E9,
'YearA-AppDetails Current Date'!E:E,--F9,
'YearA-AppDetails Current Date'!I:I,"WINTER")), "")</f>
        <v/>
      </c>
      <c r="J9" s="74" t="str" cm="1">
        <f t="array" ref="J9">IFERROR(1/(1/SUM(COUNTIFS(
'YearA-AppDetails Current Date'!A:A,D9,
'YearA-AppDetails Current Date'!F:F,E9,
'YearA-AppDetails Current Date'!E:E,--F9,
'YearA-AppDetails Current Date'!O:O,{"ACLN","ACPT","COND"},
'YearA-AppDetails Current Date'!S:S,"&lt;&gt;ACLN",
'YearA-AppDetails Current Date'!S:S,"&lt;&gt;ACPT",
'YearA-AppDetails Current Date'!S:S,"&lt;&gt;COND",
'YearA-AppDetails Current Date'!I:I,"WINTER"))), "")</f>
        <v/>
      </c>
      <c r="K9" s="73" t="str">
        <f>IFERROR(1/(1/SUM(COUNTIFS(
'YearA-AppDetails Current Date'!A:A,D9,
'YearA-AppDetails Current Date'!F:F,E9,
'YearA-AppDetails Current Date'!E:E,--F9,
'YearA-AppDetails Current Date'!R:R,"&lt;&gt;"&amp;"",
'YearA-AppDetails Current Date'!I:I,"WINTER"))), "")</f>
        <v/>
      </c>
      <c r="L9" s="74" t="str" cm="1">
        <f t="array" ref="L9">IFERROR(1/(1/SUM(COUNTIFS(
'YearA-AppDetails Current Date'!A:A,D9,
'YearA-AppDetails Current Date'!F:F,E9,
'YearA-AppDetails Current Date'!E:E,--F9,
'YearA-AppDetails Current Date'!T:T,{"APEX","DENY","NTSL"},
'YearA-AppDetails Current Date'!I:I,"WINTER"))), "")</f>
        <v/>
      </c>
      <c r="M9" s="74" t="str" cm="1">
        <f t="array" ref="M9">IFERROR(1/(1/SUM(COUNTIFS(
'YearA-AppDetails Current Date'!A:A,D9,
'YearA-AppDetails Current Date'!F:F,E9,
'YearA-AppDetails Current Date'!E:E,--F9,
'YearA-AppDetails Current Date'!U:U,{"CCAN","DECL"},
'YearA-AppDetails Current Date'!I:I,"WINTER"))), "")</f>
        <v/>
      </c>
      <c r="N9" s="74" t="str" cm="1">
        <f t="array" ref="N9">IFERROR(1/(1/SUM(COUNTIFS(
'YearA-AppDetails Current Date'!A:A,D9,
'YearA-AppDetails Current Date'!F:F,E9,
'YearA-AppDetails Current Date'!E:E,--F9,
'YearA-AppDetails Current Date'!V:V,{"APRO","NODE"},
'YearA-AppDetails Current Date'!I:I,"WINTER"))), "")</f>
        <v/>
      </c>
      <c r="O9" s="74" t="str" cm="1">
        <f t="array" ref="O9">IFERROR(1/(1/SUM(COUNTIFS(
'YearA-AppDetails Current Date'!A:A,D9,
'YearA-AppDetails Current Date'!F:F,E9,
'YearA-AppDetails Current Date'!E:E,--F9,
'YearA-AppDetails Current Date'!T:T,{"CDMT","RQMT","WAIT"},
'YearA-AppDetails Current Date'!I:I,"WINTER"))), "")</f>
        <v/>
      </c>
      <c r="P9" s="74" t="str">
        <f>IFERROR(1/(1/COUNTIFS(
'YearA-AppDetails Current Date'!A:A,D9,
'YearA-AppDetails Current Date'!F:F,E9,
'YearA-AppDetails Current Date'!E:E,--F9,
'YearA-AppDetails Current Date'!Y:Y,"ENRO",
'YearA-AppDetails Current Date'!I:I,"WINTER")),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HC'!D:T,6,FALSE)),
N(VLOOKUP(D10&amp;F10,'Budgeted Projections Intl HC'!D:T,7,FALSE))
)
),"")</f>
        <v/>
      </c>
      <c r="I10" s="73" t="str">
        <f>IFERROR(1/(1/COUNTIFS(
'YearA-AppDetails Current Date'!A:A,D10,
'YearA-AppDetails Current Date'!F:F,E10,
'YearA-AppDetails Current Date'!E:E,--F10,
'YearA-AppDetails Current Date'!I:I,"WINTER")), "")</f>
        <v/>
      </c>
      <c r="J10" s="74" t="str" cm="1">
        <f t="array" ref="J10">IFERROR(1/(1/SUM(COUNTIFS(
'YearA-AppDetails Current Date'!A:A,D10,
'YearA-AppDetails Current Date'!F:F,E10,
'YearA-AppDetails Current Date'!E:E,--F10,
'YearA-AppDetails Current Date'!O:O,{"ACLN","ACPT","COND"},
'YearA-AppDetails Current Date'!S:S,"&lt;&gt;ACLN",
'YearA-AppDetails Current Date'!S:S,"&lt;&gt;ACPT",
'YearA-AppDetails Current Date'!S:S,"&lt;&gt;COND",
'YearA-AppDetails Current Date'!I:I,"WINTER"))), "")</f>
        <v/>
      </c>
      <c r="K10" s="73" t="str">
        <f>IFERROR(1/(1/SUM(COUNTIFS(
'YearA-AppDetails Current Date'!A:A,D10,
'YearA-AppDetails Current Date'!F:F,E10,
'YearA-AppDetails Current Date'!E:E,--F10,
'YearA-AppDetails Current Date'!R:R,"&lt;&gt;"&amp;"",
'YearA-AppDetails Current Date'!I:I,"WINTER"))), "")</f>
        <v/>
      </c>
      <c r="L10" s="74" t="str" cm="1">
        <f t="array" ref="L10">IFERROR(1/(1/SUM(COUNTIFS(
'YearA-AppDetails Current Date'!A:A,D10,
'YearA-AppDetails Current Date'!F:F,E10,
'YearA-AppDetails Current Date'!E:E,--F10,
'YearA-AppDetails Current Date'!T:T,{"APEX","DENY","NTSL"},
'YearA-AppDetails Current Date'!I:I,"WINTER"))), "")</f>
        <v/>
      </c>
      <c r="M10" s="74" t="str" cm="1">
        <f t="array" ref="M10">IFERROR(1/(1/SUM(COUNTIFS(
'YearA-AppDetails Current Date'!A:A,D10,
'YearA-AppDetails Current Date'!F:F,E10,
'YearA-AppDetails Current Date'!E:E,--F10,
'YearA-AppDetails Current Date'!U:U,{"CCAN","DECL"},
'YearA-AppDetails Current Date'!I:I,"WINTER"))), "")</f>
        <v/>
      </c>
      <c r="N10" s="74" t="str" cm="1">
        <f t="array" ref="N10">IFERROR(1/(1/SUM(COUNTIFS(
'YearA-AppDetails Current Date'!A:A,D10,
'YearA-AppDetails Current Date'!F:F,E10,
'YearA-AppDetails Current Date'!E:E,--F10,
'YearA-AppDetails Current Date'!V:V,{"APRO","NODE"},
'YearA-AppDetails Current Date'!I:I,"WINTER"))), "")</f>
        <v/>
      </c>
      <c r="O10" s="74" t="str" cm="1">
        <f t="array" ref="O10">IFERROR(1/(1/SUM(COUNTIFS(
'YearA-AppDetails Current Date'!A:A,D10,
'YearA-AppDetails Current Date'!F:F,E10,
'YearA-AppDetails Current Date'!E:E,--F10,
'YearA-AppDetails Current Date'!T:T,{"CDMT","RQMT","WAIT"},
'YearA-AppDetails Current Date'!I:I,"WINTER"))), "")</f>
        <v/>
      </c>
      <c r="P10" s="74" t="str">
        <f>IFERROR(1/(1/COUNTIFS(
'YearA-AppDetails Current Date'!A:A,D10,
'YearA-AppDetails Current Date'!F:F,E10,
'YearA-AppDetails Current Date'!E:E,--F10,
'YearA-AppDetails Current Date'!Y:Y,"ENRO",
'YearA-AppDetails Current Date'!I:I,"WINTER")),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HC'!D:T,6,FALSE)),
N(VLOOKUP(D11&amp;F11,'Budgeted Projections Dom HC'!D:T,7,FALSE))
)
),"")</f>
        <v/>
      </c>
      <c r="I11" s="73" t="str">
        <f>IFERROR(1/(1/COUNTIFS(
'YearA-AppDetails Current Date'!A:A,D11,
'YearA-AppDetails Current Date'!F:F,E11,
'YearA-AppDetails Current Date'!E:E,--F11,
'YearA-AppDetails Current Date'!I:I,"WINTER")), "")</f>
        <v/>
      </c>
      <c r="J11" s="74" t="str" cm="1">
        <f t="array" ref="J11">IFERROR(1/(1/SUM(COUNTIFS(
'YearA-AppDetails Current Date'!A:A,D11,
'YearA-AppDetails Current Date'!F:F,E11,
'YearA-AppDetails Current Date'!E:E,--F11,
'YearA-AppDetails Current Date'!O:O,{"ACLN","ACPT","COND"},
'YearA-AppDetails Current Date'!S:S,"&lt;&gt;ACLN",
'YearA-AppDetails Current Date'!S:S,"&lt;&gt;ACPT",
'YearA-AppDetails Current Date'!S:S,"&lt;&gt;COND",
'YearA-AppDetails Current Date'!I:I,"WINTER"))), "")</f>
        <v/>
      </c>
      <c r="K11" s="73" t="str">
        <f>IFERROR(1/(1/SUM(COUNTIFS(
'YearA-AppDetails Current Date'!A:A,D11,
'YearA-AppDetails Current Date'!F:F,E11,
'YearA-AppDetails Current Date'!E:E,--F11,
'YearA-AppDetails Current Date'!R:R,"&lt;&gt;"&amp;"",
'YearA-AppDetails Current Date'!I:I,"WINTER"))), "")</f>
        <v/>
      </c>
      <c r="L11" s="74" t="str" cm="1">
        <f t="array" ref="L11">IFERROR(1/(1/SUM(COUNTIFS(
'YearA-AppDetails Current Date'!A:A,D11,
'YearA-AppDetails Current Date'!F:F,E11,
'YearA-AppDetails Current Date'!E:E,--F11,
'YearA-AppDetails Current Date'!T:T,{"APEX","DENY","NTSL"},
'YearA-AppDetails Current Date'!I:I,"WINTER"))), "")</f>
        <v/>
      </c>
      <c r="M11" s="74" t="str" cm="1">
        <f t="array" ref="M11">IFERROR(1/(1/SUM(COUNTIFS(
'YearA-AppDetails Current Date'!A:A,D11,
'YearA-AppDetails Current Date'!F:F,E11,
'YearA-AppDetails Current Date'!E:E,--F11,
'YearA-AppDetails Current Date'!U:U,{"CCAN","DECL"},
'YearA-AppDetails Current Date'!I:I,"WINTER"))), "")</f>
        <v/>
      </c>
      <c r="N11" s="74" t="str" cm="1">
        <f t="array" ref="N11">IFERROR(1/(1/SUM(COUNTIFS(
'YearA-AppDetails Current Date'!A:A,D11,
'YearA-AppDetails Current Date'!F:F,E11,
'YearA-AppDetails Current Date'!E:E,--F11,
'YearA-AppDetails Current Date'!V:V,{"APRO","NODE"},
'YearA-AppDetails Current Date'!I:I,"WINTER"))), "")</f>
        <v/>
      </c>
      <c r="O11" s="74" t="str" cm="1">
        <f t="array" ref="O11">IFERROR(1/(1/SUM(COUNTIFS(
'YearA-AppDetails Current Date'!A:A,D11,
'YearA-AppDetails Current Date'!F:F,E11,
'YearA-AppDetails Current Date'!E:E,--F11,
'YearA-AppDetails Current Date'!T:T,{"CDMT","RQMT","WAIT"},
'YearA-AppDetails Current Date'!I:I,"WINTER"))), "")</f>
        <v/>
      </c>
      <c r="P11" s="74" t="str">
        <f>IFERROR(1/(1/COUNTIFS(
'YearA-AppDetails Current Date'!A:A,D11,
'YearA-AppDetails Current Date'!F:F,E11,
'YearA-AppDetails Current Date'!E:E,--F11,
'YearA-AppDetails Current Date'!Y:Y,"ENRO",
'YearA-AppDetails Current Date'!I:I,"WINTER")),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HC'!D:T,6,FALSE)),
N(VLOOKUP(D12&amp;F12,'Budgeted Projections Intl HC'!D:T,7,FALSE))
)
),"")</f>
        <v/>
      </c>
      <c r="I12" s="73" t="str">
        <f>IFERROR(1/(1/COUNTIFS(
'YearA-AppDetails Current Date'!A:A,D12,
'YearA-AppDetails Current Date'!F:F,E12,
'YearA-AppDetails Current Date'!E:E,--F12,
'YearA-AppDetails Current Date'!I:I,"WINTER")), "")</f>
        <v/>
      </c>
      <c r="J12" s="74" t="str" cm="1">
        <f t="array" ref="J12">IFERROR(1/(1/SUM(COUNTIFS(
'YearA-AppDetails Current Date'!A:A,D12,
'YearA-AppDetails Current Date'!F:F,E12,
'YearA-AppDetails Current Date'!E:E,--F12,
'YearA-AppDetails Current Date'!O:O,{"ACLN","ACPT","COND"},
'YearA-AppDetails Current Date'!S:S,"&lt;&gt;ACLN",
'YearA-AppDetails Current Date'!S:S,"&lt;&gt;ACPT",
'YearA-AppDetails Current Date'!S:S,"&lt;&gt;COND",
'YearA-AppDetails Current Date'!I:I,"WINTER"))), "")</f>
        <v/>
      </c>
      <c r="K12" s="73" t="str">
        <f>IFERROR(1/(1/SUM(COUNTIFS(
'YearA-AppDetails Current Date'!A:A,D12,
'YearA-AppDetails Current Date'!F:F,E12,
'YearA-AppDetails Current Date'!E:E,--F12,
'YearA-AppDetails Current Date'!R:R,"&lt;&gt;"&amp;"",
'YearA-AppDetails Current Date'!I:I,"WINTER"))), "")</f>
        <v/>
      </c>
      <c r="L12" s="74" t="str" cm="1">
        <f t="array" ref="L12">IFERROR(1/(1/SUM(COUNTIFS(
'YearA-AppDetails Current Date'!A:A,D12,
'YearA-AppDetails Current Date'!F:F,E12,
'YearA-AppDetails Current Date'!E:E,--F12,
'YearA-AppDetails Current Date'!T:T,{"APEX","DENY","NTSL"},
'YearA-AppDetails Current Date'!I:I,"WINTER"))), "")</f>
        <v/>
      </c>
      <c r="M12" s="74" t="str" cm="1">
        <f t="array" ref="M12">IFERROR(1/(1/SUM(COUNTIFS(
'YearA-AppDetails Current Date'!A:A,D12,
'YearA-AppDetails Current Date'!F:F,E12,
'YearA-AppDetails Current Date'!E:E,--F12,
'YearA-AppDetails Current Date'!U:U,{"CCAN","DECL"},
'YearA-AppDetails Current Date'!I:I,"WINTER"))), "")</f>
        <v/>
      </c>
      <c r="N12" s="74" t="str" cm="1">
        <f t="array" ref="N12">IFERROR(1/(1/SUM(COUNTIFS(
'YearA-AppDetails Current Date'!A:A,D12,
'YearA-AppDetails Current Date'!F:F,E12,
'YearA-AppDetails Current Date'!E:E,--F12,
'YearA-AppDetails Current Date'!V:V,{"APRO","NODE"},
'YearA-AppDetails Current Date'!I:I,"WINTER"))), "")</f>
        <v/>
      </c>
      <c r="O12" s="74" t="str" cm="1">
        <f t="array" ref="O12">IFERROR(1/(1/SUM(COUNTIFS(
'YearA-AppDetails Current Date'!A:A,D12,
'YearA-AppDetails Current Date'!F:F,E12,
'YearA-AppDetails Current Date'!E:E,--F12,
'YearA-AppDetails Current Date'!T:T,{"CDMT","RQMT","WAIT"},
'YearA-AppDetails Current Date'!I:I,"WINTER"))), "")</f>
        <v/>
      </c>
      <c r="P12" s="74" t="str">
        <f>IFERROR(1/(1/COUNTIFS(
'YearA-AppDetails Current Date'!A:A,D12,
'YearA-AppDetails Current Date'!F:F,E12,
'YearA-AppDetails Current Date'!E:E,--F12,
'YearA-AppDetails Current Date'!Y:Y,"ENRO",
'YearA-AppDetails Current Date'!I:I,"WINTER")),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HC'!D:T,6,FALSE)),
N(VLOOKUP(D13&amp;F13,'Budgeted Projections Dom HC'!D:T,7,FALSE))
)
),"")</f>
        <v/>
      </c>
      <c r="I13" s="73" t="str">
        <f>IFERROR(1/(1/COUNTIFS(
'YearA-AppDetails Current Date'!A:A,D13,
'YearA-AppDetails Current Date'!F:F,E13,
'YearA-AppDetails Current Date'!E:E,--F13,
'YearA-AppDetails Current Date'!I:I,"WINTER")), "")</f>
        <v/>
      </c>
      <c r="J13" s="74" t="str" cm="1">
        <f t="array" ref="J13">IFERROR(1/(1/SUM(COUNTIFS(
'YearA-AppDetails Current Date'!A:A,D13,
'YearA-AppDetails Current Date'!F:F,E13,
'YearA-AppDetails Current Date'!E:E,--F13,
'YearA-AppDetails Current Date'!O:O,{"ACLN","ACPT","COND"},
'YearA-AppDetails Current Date'!S:S,"&lt;&gt;ACLN",
'YearA-AppDetails Current Date'!S:S,"&lt;&gt;ACPT",
'YearA-AppDetails Current Date'!S:S,"&lt;&gt;COND",
'YearA-AppDetails Current Date'!I:I,"WINTER"))), "")</f>
        <v/>
      </c>
      <c r="K13" s="73" t="str">
        <f>IFERROR(1/(1/SUM(COUNTIFS(
'YearA-AppDetails Current Date'!A:A,D13,
'YearA-AppDetails Current Date'!F:F,E13,
'YearA-AppDetails Current Date'!E:E,--F13,
'YearA-AppDetails Current Date'!R:R,"&lt;&gt;"&amp;"",
'YearA-AppDetails Current Date'!I:I,"WINTER"))), "")</f>
        <v/>
      </c>
      <c r="L13" s="74" t="str" cm="1">
        <f t="array" ref="L13">IFERROR(1/(1/SUM(COUNTIFS(
'YearA-AppDetails Current Date'!A:A,D13,
'YearA-AppDetails Current Date'!F:F,E13,
'YearA-AppDetails Current Date'!E:E,--F13,
'YearA-AppDetails Current Date'!T:T,{"APEX","DENY","NTSL"},
'YearA-AppDetails Current Date'!I:I,"WINTER"))), "")</f>
        <v/>
      </c>
      <c r="M13" s="74" t="str" cm="1">
        <f t="array" ref="M13">IFERROR(1/(1/SUM(COUNTIFS(
'YearA-AppDetails Current Date'!A:A,D13,
'YearA-AppDetails Current Date'!F:F,E13,
'YearA-AppDetails Current Date'!E:E,--F13,
'YearA-AppDetails Current Date'!U:U,{"CCAN","DECL"},
'YearA-AppDetails Current Date'!I:I,"WINTER"))), "")</f>
        <v/>
      </c>
      <c r="N13" s="74" t="str" cm="1">
        <f t="array" ref="N13">IFERROR(1/(1/SUM(COUNTIFS(
'YearA-AppDetails Current Date'!A:A,D13,
'YearA-AppDetails Current Date'!F:F,E13,
'YearA-AppDetails Current Date'!E:E,--F13,
'YearA-AppDetails Current Date'!V:V,{"APRO","NODE"},
'YearA-AppDetails Current Date'!I:I,"WINTER"))), "")</f>
        <v/>
      </c>
      <c r="O13" s="74" t="str" cm="1">
        <f t="array" ref="O13">IFERROR(1/(1/SUM(COUNTIFS(
'YearA-AppDetails Current Date'!A:A,D13,
'YearA-AppDetails Current Date'!F:F,E13,
'YearA-AppDetails Current Date'!E:E,--F13,
'YearA-AppDetails Current Date'!T:T,{"CDMT","RQMT","WAIT"},
'YearA-AppDetails Current Date'!I:I,"WINTER"))), "")</f>
        <v/>
      </c>
      <c r="P13" s="74" t="str">
        <f>IFERROR(1/(1/COUNTIFS(
'YearA-AppDetails Current Date'!A:A,D13,
'YearA-AppDetails Current Date'!F:F,E13,
'YearA-AppDetails Current Date'!E:E,--F13,
'YearA-AppDetails Current Date'!Y:Y,"ENRO",
'YearA-AppDetails Current Date'!I:I,"WINTER")),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HC'!D:T,6,FALSE)),
N(VLOOKUP(D14&amp;F14,'Budgeted Projections Intl HC'!D:T,7,FALSE))
)
),"")</f>
        <v/>
      </c>
      <c r="I14" s="73" t="str">
        <f>IFERROR(1/(1/COUNTIFS(
'YearA-AppDetails Current Date'!A:A,D14,
'YearA-AppDetails Current Date'!F:F,E14,
'YearA-AppDetails Current Date'!E:E,--F14,
'YearA-AppDetails Current Date'!I:I,"WINTER")), "")</f>
        <v/>
      </c>
      <c r="J14" s="74" t="str" cm="1">
        <f t="array" ref="J14">IFERROR(1/(1/SUM(COUNTIFS(
'YearA-AppDetails Current Date'!A:A,D14,
'YearA-AppDetails Current Date'!F:F,E14,
'YearA-AppDetails Current Date'!E:E,--F14,
'YearA-AppDetails Current Date'!O:O,{"ACLN","ACPT","COND"},
'YearA-AppDetails Current Date'!S:S,"&lt;&gt;ACLN",
'YearA-AppDetails Current Date'!S:S,"&lt;&gt;ACPT",
'YearA-AppDetails Current Date'!S:S,"&lt;&gt;COND",
'YearA-AppDetails Current Date'!I:I,"WINTER"))), "")</f>
        <v/>
      </c>
      <c r="K14" s="73" t="str">
        <f>IFERROR(1/(1/SUM(COUNTIFS(
'YearA-AppDetails Current Date'!A:A,D14,
'YearA-AppDetails Current Date'!F:F,E14,
'YearA-AppDetails Current Date'!E:E,--F14,
'YearA-AppDetails Current Date'!R:R,"&lt;&gt;"&amp;"",
'YearA-AppDetails Current Date'!I:I,"WINTER"))), "")</f>
        <v/>
      </c>
      <c r="L14" s="74" t="str" cm="1">
        <f t="array" ref="L14">IFERROR(1/(1/SUM(COUNTIFS(
'YearA-AppDetails Current Date'!A:A,D14,
'YearA-AppDetails Current Date'!F:F,E14,
'YearA-AppDetails Current Date'!E:E,--F14,
'YearA-AppDetails Current Date'!T:T,{"APEX","DENY","NTSL"},
'YearA-AppDetails Current Date'!I:I,"WINTER"))), "")</f>
        <v/>
      </c>
      <c r="M14" s="74" t="str" cm="1">
        <f t="array" ref="M14">IFERROR(1/(1/SUM(COUNTIFS(
'YearA-AppDetails Current Date'!A:A,D14,
'YearA-AppDetails Current Date'!F:F,E14,
'YearA-AppDetails Current Date'!E:E,--F14,
'YearA-AppDetails Current Date'!U:U,{"CCAN","DECL"},
'YearA-AppDetails Current Date'!I:I,"WINTER"))), "")</f>
        <v/>
      </c>
      <c r="N14" s="74" t="str" cm="1">
        <f t="array" ref="N14">IFERROR(1/(1/SUM(COUNTIFS(
'YearA-AppDetails Current Date'!A:A,D14,
'YearA-AppDetails Current Date'!F:F,E14,
'YearA-AppDetails Current Date'!E:E,--F14,
'YearA-AppDetails Current Date'!V:V,{"APRO","NODE"},
'YearA-AppDetails Current Date'!I:I,"WINTER"))), "")</f>
        <v/>
      </c>
      <c r="O14" s="74" t="str" cm="1">
        <f t="array" ref="O14">IFERROR(1/(1/SUM(COUNTIFS(
'YearA-AppDetails Current Date'!A:A,D14,
'YearA-AppDetails Current Date'!F:F,E14,
'YearA-AppDetails Current Date'!E:E,--F14,
'YearA-AppDetails Current Date'!T:T,{"CDMT","RQMT","WAIT"},
'YearA-AppDetails Current Date'!I:I,"WINTER"))), "")</f>
        <v/>
      </c>
      <c r="P14" s="74" t="str">
        <f>IFERROR(1/(1/COUNTIFS(
'YearA-AppDetails Current Date'!A:A,D14,
'YearA-AppDetails Current Date'!F:F,E14,
'YearA-AppDetails Current Date'!E:E,--F14,
'YearA-AppDetails Current Date'!Y:Y,"ENRO",
'YearA-AppDetails Current Date'!I:I,"WINTER")),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HC'!D:T,6,FALSE)),
N(VLOOKUP(D15&amp;F15,'Budgeted Projections Dom HC'!D:T,7,FALSE))
)
),"")</f>
        <v/>
      </c>
      <c r="I15" s="73" t="str">
        <f>IFERROR(1/(1/COUNTIFS(
'YearA-AppDetails Current Date'!A:A,D15,
'YearA-AppDetails Current Date'!F:F,E15,
'YearA-AppDetails Current Date'!E:E,--F15,
'YearA-AppDetails Current Date'!I:I,"WINTER")), "")</f>
        <v/>
      </c>
      <c r="J15" s="74" t="str" cm="1">
        <f t="array" ref="J15">IFERROR(1/(1/SUM(COUNTIFS(
'YearA-AppDetails Current Date'!A:A,D15,
'YearA-AppDetails Current Date'!F:F,E15,
'YearA-AppDetails Current Date'!E:E,--F15,
'YearA-AppDetails Current Date'!O:O,{"ACLN","ACPT","COND"},
'YearA-AppDetails Current Date'!S:S,"&lt;&gt;ACLN",
'YearA-AppDetails Current Date'!S:S,"&lt;&gt;ACPT",
'YearA-AppDetails Current Date'!S:S,"&lt;&gt;COND",
'YearA-AppDetails Current Date'!I:I,"WINTER"))), "")</f>
        <v/>
      </c>
      <c r="K15" s="73" t="str">
        <f>IFERROR(1/(1/SUM(COUNTIFS(
'YearA-AppDetails Current Date'!A:A,D15,
'YearA-AppDetails Current Date'!F:F,E15,
'YearA-AppDetails Current Date'!E:E,--F15,
'YearA-AppDetails Current Date'!R:R,"&lt;&gt;"&amp;"",
'YearA-AppDetails Current Date'!I:I,"WINTER"))), "")</f>
        <v/>
      </c>
      <c r="L15" s="74" t="str" cm="1">
        <f t="array" ref="L15">IFERROR(1/(1/SUM(COUNTIFS(
'YearA-AppDetails Current Date'!A:A,D15,
'YearA-AppDetails Current Date'!F:F,E15,
'YearA-AppDetails Current Date'!E:E,--F15,
'YearA-AppDetails Current Date'!T:T,{"APEX","DENY","NTSL"},
'YearA-AppDetails Current Date'!I:I,"WINTER"))), "")</f>
        <v/>
      </c>
      <c r="M15" s="74" t="str" cm="1">
        <f t="array" ref="M15">IFERROR(1/(1/SUM(COUNTIFS(
'YearA-AppDetails Current Date'!A:A,D15,
'YearA-AppDetails Current Date'!F:F,E15,
'YearA-AppDetails Current Date'!E:E,--F15,
'YearA-AppDetails Current Date'!U:U,{"CCAN","DECL"},
'YearA-AppDetails Current Date'!I:I,"WINTER"))), "")</f>
        <v/>
      </c>
      <c r="N15" s="74" t="str" cm="1">
        <f t="array" ref="N15">IFERROR(1/(1/SUM(COUNTIFS(
'YearA-AppDetails Current Date'!A:A,D15,
'YearA-AppDetails Current Date'!F:F,E15,
'YearA-AppDetails Current Date'!E:E,--F15,
'YearA-AppDetails Current Date'!V:V,{"APRO","NODE"},
'YearA-AppDetails Current Date'!I:I,"WINTER"))), "")</f>
        <v/>
      </c>
      <c r="O15" s="74" t="str" cm="1">
        <f t="array" ref="O15">IFERROR(1/(1/SUM(COUNTIFS(
'YearA-AppDetails Current Date'!A:A,D15,
'YearA-AppDetails Current Date'!F:F,E15,
'YearA-AppDetails Current Date'!E:E,--F15,
'YearA-AppDetails Current Date'!T:T,{"CDMT","RQMT","WAIT"},
'YearA-AppDetails Current Date'!I:I,"WINTER"))), "")</f>
        <v/>
      </c>
      <c r="P15" s="74" t="str">
        <f>IFERROR(1/(1/COUNTIFS(
'YearA-AppDetails Current Date'!A:A,D15,
'YearA-AppDetails Current Date'!F:F,E15,
'YearA-AppDetails Current Date'!E:E,--F15,
'YearA-AppDetails Current Date'!Y:Y,"ENRO",
'YearA-AppDetails Current Date'!I:I,"WINTER")),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HC'!D:T,6,FALSE)),
N(VLOOKUP(D16&amp;F16,'Budgeted Projections Intl HC'!D:T,7,FALSE))
)
),"")</f>
        <v/>
      </c>
      <c r="I16" s="73" t="str">
        <f>IFERROR(1/(1/COUNTIFS(
'YearA-AppDetails Current Date'!A:A,D16,
'YearA-AppDetails Current Date'!F:F,E16,
'YearA-AppDetails Current Date'!E:E,--F16,
'YearA-AppDetails Current Date'!I:I,"WINTER")), "")</f>
        <v/>
      </c>
      <c r="J16" s="74" t="str" cm="1">
        <f t="array" ref="J16">IFERROR(1/(1/SUM(COUNTIFS(
'YearA-AppDetails Current Date'!A:A,D16,
'YearA-AppDetails Current Date'!F:F,E16,
'YearA-AppDetails Current Date'!E:E,--F16,
'YearA-AppDetails Current Date'!O:O,{"ACLN","ACPT","COND"},
'YearA-AppDetails Current Date'!S:S,"&lt;&gt;ACLN",
'YearA-AppDetails Current Date'!S:S,"&lt;&gt;ACPT",
'YearA-AppDetails Current Date'!S:S,"&lt;&gt;COND",
'YearA-AppDetails Current Date'!I:I,"WINTER"))), "")</f>
        <v/>
      </c>
      <c r="K16" s="73" t="str">
        <f>IFERROR(1/(1/SUM(COUNTIFS(
'YearA-AppDetails Current Date'!A:A,D16,
'YearA-AppDetails Current Date'!F:F,E16,
'YearA-AppDetails Current Date'!E:E,--F16,
'YearA-AppDetails Current Date'!R:R,"&lt;&gt;"&amp;"",
'YearA-AppDetails Current Date'!I:I,"WINTER"))), "")</f>
        <v/>
      </c>
      <c r="L16" s="74" t="str" cm="1">
        <f t="array" ref="L16">IFERROR(1/(1/SUM(COUNTIFS(
'YearA-AppDetails Current Date'!A:A,D16,
'YearA-AppDetails Current Date'!F:F,E16,
'YearA-AppDetails Current Date'!E:E,--F16,
'YearA-AppDetails Current Date'!T:T,{"APEX","DENY","NTSL"},
'YearA-AppDetails Current Date'!I:I,"WINTER"))), "")</f>
        <v/>
      </c>
      <c r="M16" s="74" t="str" cm="1">
        <f t="array" ref="M16">IFERROR(1/(1/SUM(COUNTIFS(
'YearA-AppDetails Current Date'!A:A,D16,
'YearA-AppDetails Current Date'!F:F,E16,
'YearA-AppDetails Current Date'!E:E,--F16,
'YearA-AppDetails Current Date'!U:U,{"CCAN","DECL"},
'YearA-AppDetails Current Date'!I:I,"WINTER"))), "")</f>
        <v/>
      </c>
      <c r="N16" s="74" t="str" cm="1">
        <f t="array" ref="N16">IFERROR(1/(1/SUM(COUNTIFS(
'YearA-AppDetails Current Date'!A:A,D16,
'YearA-AppDetails Current Date'!F:F,E16,
'YearA-AppDetails Current Date'!E:E,--F16,
'YearA-AppDetails Current Date'!V:V,{"APRO","NODE"},
'YearA-AppDetails Current Date'!I:I,"WINTER"))), "")</f>
        <v/>
      </c>
      <c r="O16" s="74" t="str" cm="1">
        <f t="array" ref="O16">IFERROR(1/(1/SUM(COUNTIFS(
'YearA-AppDetails Current Date'!A:A,D16,
'YearA-AppDetails Current Date'!F:F,E16,
'YearA-AppDetails Current Date'!E:E,--F16,
'YearA-AppDetails Current Date'!T:T,{"CDMT","RQMT","WAIT"},
'YearA-AppDetails Current Date'!I:I,"WINTER"))), "")</f>
        <v/>
      </c>
      <c r="P16" s="74" t="str">
        <f>IFERROR(1/(1/COUNTIFS(
'YearA-AppDetails Current Date'!A:A,D16,
'YearA-AppDetails Current Date'!F:F,E16,
'YearA-AppDetails Current Date'!E:E,--F16,
'YearA-AppDetails Current Date'!Y:Y,"ENRO",
'YearA-AppDetails Current Date'!I:I,"WINTER")),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HC'!D:T,6,FALSE)),
N(VLOOKUP(D18&amp;F18,'Budgeted Projections Dom HC'!D:T,7,FALSE))
)
),"")</f>
        <v/>
      </c>
      <c r="I18" s="73" t="str">
        <f>IFERROR(1/(1/COUNTIFS(
'YearA-AppDetails Current Date'!A:A,D18,
'YearA-AppDetails Current Date'!F:F,E18,
'YearA-AppDetails Current Date'!E:E,--F18,
'YearA-AppDetails Current Date'!I:I,"WINTER")), "")</f>
        <v/>
      </c>
      <c r="J18" s="74" t="str" cm="1">
        <f t="array" ref="J18">IFERROR(1/(1/SUM(COUNTIFS(
'YearA-AppDetails Current Date'!A:A,D18,
'YearA-AppDetails Current Date'!F:F,E18,
'YearA-AppDetails Current Date'!E:E,--F18,
'YearA-AppDetails Current Date'!O:O,{"ACLN","ACPT","COND"},
'YearA-AppDetails Current Date'!S:S,"&lt;&gt;ACLN",
'YearA-AppDetails Current Date'!S:S,"&lt;&gt;ACPT",
'YearA-AppDetails Current Date'!S:S,"&lt;&gt;COND",
'YearA-AppDetails Current Date'!I:I,"WINTER"))), "")</f>
        <v/>
      </c>
      <c r="K18" s="73" t="str">
        <f>IFERROR(1/(1/SUM(COUNTIFS(
'YearA-AppDetails Current Date'!A:A,D18,
'YearA-AppDetails Current Date'!F:F,E18,
'YearA-AppDetails Current Date'!E:E,--F18,
'YearA-AppDetails Current Date'!R:R,"&lt;&gt;"&amp;"",
'YearA-AppDetails Current Date'!I:I,"WINTER"))), "")</f>
        <v/>
      </c>
      <c r="L18" s="74" t="str" cm="1">
        <f t="array" ref="L18">IFERROR(1/(1/SUM(COUNTIFS(
'YearA-AppDetails Current Date'!A:A,D18,
'YearA-AppDetails Current Date'!F:F,E18,
'YearA-AppDetails Current Date'!E:E,--F18,
'YearA-AppDetails Current Date'!T:T,{"APEX","DENY","NTSL"},
'YearA-AppDetails Current Date'!I:I,"WINTER"))), "")</f>
        <v/>
      </c>
      <c r="M18" s="74" t="str" cm="1">
        <f t="array" ref="M18">IFERROR(1/(1/SUM(COUNTIFS(
'YearA-AppDetails Current Date'!A:A,D18,
'YearA-AppDetails Current Date'!F:F,E18,
'YearA-AppDetails Current Date'!E:E,--F18,
'YearA-AppDetails Current Date'!U:U,{"CCAN","DECL"},
'YearA-AppDetails Current Date'!I:I,"WINTER"))), "")</f>
        <v/>
      </c>
      <c r="N18" s="74" t="str" cm="1">
        <f t="array" ref="N18">IFERROR(1/(1/SUM(COUNTIFS(
'YearA-AppDetails Current Date'!A:A,D18,
'YearA-AppDetails Current Date'!F:F,E18,
'YearA-AppDetails Current Date'!E:E,--F18,
'YearA-AppDetails Current Date'!V:V,{"APRO","NODE"},
'YearA-AppDetails Current Date'!I:I,"WINTER"))), "")</f>
        <v/>
      </c>
      <c r="O18" s="74" t="str" cm="1">
        <f t="array" ref="O18">IFERROR(1/(1/SUM(COUNTIFS(
'YearA-AppDetails Current Date'!A:A,D18,
'YearA-AppDetails Current Date'!F:F,E18,
'YearA-AppDetails Current Date'!E:E,--F18,
'YearA-AppDetails Current Date'!T:T,{"CDMT","RQMT","WAIT"},
'YearA-AppDetails Current Date'!I:I,"WINTER"))), "")</f>
        <v/>
      </c>
      <c r="P18" s="74" t="str">
        <f>IFERROR(1/(1/COUNTIFS(
'YearA-AppDetails Current Date'!A:A,D18,
'YearA-AppDetails Current Date'!F:F,E18,
'YearA-AppDetails Current Date'!E:E,--F18,
'YearA-AppDetails Current Date'!Y:Y,"ENRO",
'YearA-AppDetails Current Date'!I:I,"WINTER")),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HC'!D:T,6,FALSE)),
N(VLOOKUP(D19&amp;F19,'Budgeted Projections Intl HC'!D:T,7,FALSE))
)
),"")</f>
        <v/>
      </c>
      <c r="I19" s="73" t="str">
        <f>IFERROR(1/(1/COUNTIFS(
'YearA-AppDetails Current Date'!A:A,D19,
'YearA-AppDetails Current Date'!F:F,E19,
'YearA-AppDetails Current Date'!E:E,--F19,
'YearA-AppDetails Current Date'!I:I,"WINTER")), "")</f>
        <v/>
      </c>
      <c r="J19" s="74" t="str" cm="1">
        <f t="array" ref="J19">IFERROR(1/(1/SUM(COUNTIFS(
'YearA-AppDetails Current Date'!A:A,D19,
'YearA-AppDetails Current Date'!F:F,E19,
'YearA-AppDetails Current Date'!E:E,--F19,
'YearA-AppDetails Current Date'!O:O,{"ACLN","ACPT","COND"},
'YearA-AppDetails Current Date'!S:S,"&lt;&gt;ACLN",
'YearA-AppDetails Current Date'!S:S,"&lt;&gt;ACPT",
'YearA-AppDetails Current Date'!S:S,"&lt;&gt;COND",
'YearA-AppDetails Current Date'!I:I,"WINTER"))), "")</f>
        <v/>
      </c>
      <c r="K19" s="73" t="str">
        <f>IFERROR(1/(1/SUM(COUNTIFS(
'YearA-AppDetails Current Date'!A:A,D19,
'YearA-AppDetails Current Date'!F:F,E19,
'YearA-AppDetails Current Date'!E:E,--F19,
'YearA-AppDetails Current Date'!R:R,"&lt;&gt;"&amp;"",
'YearA-AppDetails Current Date'!I:I,"WINTER"))), "")</f>
        <v/>
      </c>
      <c r="L19" s="74" t="str" cm="1">
        <f t="array" ref="L19">IFERROR(1/(1/SUM(COUNTIFS(
'YearA-AppDetails Current Date'!A:A,D19,
'YearA-AppDetails Current Date'!F:F,E19,
'YearA-AppDetails Current Date'!E:E,--F19,
'YearA-AppDetails Current Date'!T:T,{"APEX","DENY","NTSL"},
'YearA-AppDetails Current Date'!I:I,"WINTER"))), "")</f>
        <v/>
      </c>
      <c r="M19" s="74" t="str" cm="1">
        <f t="array" ref="M19">IFERROR(1/(1/SUM(COUNTIFS(
'YearA-AppDetails Current Date'!A:A,D19,
'YearA-AppDetails Current Date'!F:F,E19,
'YearA-AppDetails Current Date'!E:E,--F19,
'YearA-AppDetails Current Date'!U:U,{"CCAN","DECL"},
'YearA-AppDetails Current Date'!I:I,"WINTER"))), "")</f>
        <v/>
      </c>
      <c r="N19" s="74" t="str" cm="1">
        <f t="array" ref="N19">IFERROR(1/(1/SUM(COUNTIFS(
'YearA-AppDetails Current Date'!A:A,D19,
'YearA-AppDetails Current Date'!F:F,E19,
'YearA-AppDetails Current Date'!E:E,--F19,
'YearA-AppDetails Current Date'!V:V,{"APRO","NODE"},
'YearA-AppDetails Current Date'!I:I,"WINTER"))), "")</f>
        <v/>
      </c>
      <c r="O19" s="74" t="str" cm="1">
        <f t="array" ref="O19">IFERROR(1/(1/SUM(COUNTIFS(
'YearA-AppDetails Current Date'!A:A,D19,
'YearA-AppDetails Current Date'!F:F,E19,
'YearA-AppDetails Current Date'!E:E,--F19,
'YearA-AppDetails Current Date'!T:T,{"CDMT","RQMT","WAIT"},
'YearA-AppDetails Current Date'!I:I,"WINTER"))), "")</f>
        <v/>
      </c>
      <c r="P19" s="74" t="str">
        <f>IFERROR(1/(1/COUNTIFS(
'YearA-AppDetails Current Date'!A:A,D19,
'YearA-AppDetails Current Date'!F:F,E19,
'YearA-AppDetails Current Date'!E:E,--F19,
'YearA-AppDetails Current Date'!Y:Y,"ENRO",
'YearA-AppDetails Current Date'!I:I,"WINTER")),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HC'!D:T,6,FALSE)),
N(VLOOKUP(D20&amp;F20,'Budgeted Projections Dom HC'!D:T,7,FALSE))
)
),"")</f>
        <v/>
      </c>
      <c r="I20" s="73" t="str">
        <f>IFERROR(1/(1/COUNTIFS(
'YearA-AppDetails Current Date'!A:A,D20,
'YearA-AppDetails Current Date'!F:F,E20,
'YearA-AppDetails Current Date'!E:E,--F20,
'YearA-AppDetails Current Date'!I:I,"WINTER")), "")</f>
        <v/>
      </c>
      <c r="J20" s="74" t="str" cm="1">
        <f t="array" ref="J20">IFERROR(1/(1/SUM(COUNTIFS(
'YearA-AppDetails Current Date'!A:A,D20,
'YearA-AppDetails Current Date'!F:F,E20,
'YearA-AppDetails Current Date'!E:E,--F20,
'YearA-AppDetails Current Date'!O:O,{"ACLN","ACPT","COND"},
'YearA-AppDetails Current Date'!S:S,"&lt;&gt;ACLN",
'YearA-AppDetails Current Date'!S:S,"&lt;&gt;ACPT",
'YearA-AppDetails Current Date'!S:S,"&lt;&gt;COND",
'YearA-AppDetails Current Date'!I:I,"WINTER"))), "")</f>
        <v/>
      </c>
      <c r="K20" s="73" t="str">
        <f>IFERROR(1/(1/SUM(COUNTIFS(
'YearA-AppDetails Current Date'!A:A,D20,
'YearA-AppDetails Current Date'!F:F,E20,
'YearA-AppDetails Current Date'!E:E,--F20,
'YearA-AppDetails Current Date'!R:R,"&lt;&gt;"&amp;"",
'YearA-AppDetails Current Date'!I:I,"WINTER"))), "")</f>
        <v/>
      </c>
      <c r="L20" s="74" t="str" cm="1">
        <f t="array" ref="L20">IFERROR(1/(1/SUM(COUNTIFS(
'YearA-AppDetails Current Date'!A:A,D20,
'YearA-AppDetails Current Date'!F:F,E20,
'YearA-AppDetails Current Date'!E:E,--F20,
'YearA-AppDetails Current Date'!T:T,{"APEX","DENY","NTSL"},
'YearA-AppDetails Current Date'!I:I,"WINTER"))), "")</f>
        <v/>
      </c>
      <c r="M20" s="74" t="str" cm="1">
        <f t="array" ref="M20">IFERROR(1/(1/SUM(COUNTIFS(
'YearA-AppDetails Current Date'!A:A,D20,
'YearA-AppDetails Current Date'!F:F,E20,
'YearA-AppDetails Current Date'!E:E,--F20,
'YearA-AppDetails Current Date'!U:U,{"CCAN","DECL"},
'YearA-AppDetails Current Date'!I:I,"WINTER"))), "")</f>
        <v/>
      </c>
      <c r="N20" s="74" t="str" cm="1">
        <f t="array" ref="N20">IFERROR(1/(1/SUM(COUNTIFS(
'YearA-AppDetails Current Date'!A:A,D20,
'YearA-AppDetails Current Date'!F:F,E20,
'YearA-AppDetails Current Date'!E:E,--F20,
'YearA-AppDetails Current Date'!V:V,{"APRO","NODE"},
'YearA-AppDetails Current Date'!I:I,"WINTER"))), "")</f>
        <v/>
      </c>
      <c r="O20" s="74" t="str" cm="1">
        <f t="array" ref="O20">IFERROR(1/(1/SUM(COUNTIFS(
'YearA-AppDetails Current Date'!A:A,D20,
'YearA-AppDetails Current Date'!F:F,E20,
'YearA-AppDetails Current Date'!E:E,--F20,
'YearA-AppDetails Current Date'!T:T,{"CDMT","RQMT","WAIT"},
'YearA-AppDetails Current Date'!I:I,"WINTER"))), "")</f>
        <v/>
      </c>
      <c r="P20" s="74" t="str">
        <f>IFERROR(1/(1/COUNTIFS(
'YearA-AppDetails Current Date'!A:A,D20,
'YearA-AppDetails Current Date'!F:F,E20,
'YearA-AppDetails Current Date'!E:E,--F20,
'YearA-AppDetails Current Date'!Y:Y,"ENRO",
'YearA-AppDetails Current Date'!I:I,"WINTER")),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HC'!D:T,6,FALSE)),
N(VLOOKUP(D21&amp;F21,'Budgeted Projections Intl HC'!D:T,7,FALSE))
)
),"")</f>
        <v/>
      </c>
      <c r="I21" s="73" t="str">
        <f>IFERROR(1/(1/COUNTIFS(
'YearA-AppDetails Current Date'!A:A,D21,
'YearA-AppDetails Current Date'!F:F,E21,
'YearA-AppDetails Current Date'!E:E,--F21,
'YearA-AppDetails Current Date'!I:I,"WINTER")), "")</f>
        <v/>
      </c>
      <c r="J21" s="74" t="str" cm="1">
        <f t="array" ref="J21">IFERROR(1/(1/SUM(COUNTIFS(
'YearA-AppDetails Current Date'!A:A,D21,
'YearA-AppDetails Current Date'!F:F,E21,
'YearA-AppDetails Current Date'!E:E,--F21,
'YearA-AppDetails Current Date'!O:O,{"ACLN","ACPT","COND"},
'YearA-AppDetails Current Date'!S:S,"&lt;&gt;ACLN",
'YearA-AppDetails Current Date'!S:S,"&lt;&gt;ACPT",
'YearA-AppDetails Current Date'!S:S,"&lt;&gt;COND",
'YearA-AppDetails Current Date'!I:I,"WINTER"))), "")</f>
        <v/>
      </c>
      <c r="K21" s="73" t="str">
        <f>IFERROR(1/(1/SUM(COUNTIFS(
'YearA-AppDetails Current Date'!A:A,D21,
'YearA-AppDetails Current Date'!F:F,E21,
'YearA-AppDetails Current Date'!E:E,--F21,
'YearA-AppDetails Current Date'!R:R,"&lt;&gt;"&amp;"",
'YearA-AppDetails Current Date'!I:I,"WINTER"))), "")</f>
        <v/>
      </c>
      <c r="L21" s="74" t="str" cm="1">
        <f t="array" ref="L21">IFERROR(1/(1/SUM(COUNTIFS(
'YearA-AppDetails Current Date'!A:A,D21,
'YearA-AppDetails Current Date'!F:F,E21,
'YearA-AppDetails Current Date'!E:E,--F21,
'YearA-AppDetails Current Date'!T:T,{"APEX","DENY","NTSL"},
'YearA-AppDetails Current Date'!I:I,"WINTER"))), "")</f>
        <v/>
      </c>
      <c r="M21" s="74" t="str" cm="1">
        <f t="array" ref="M21">IFERROR(1/(1/SUM(COUNTIFS(
'YearA-AppDetails Current Date'!A:A,D21,
'YearA-AppDetails Current Date'!F:F,E21,
'YearA-AppDetails Current Date'!E:E,--F21,
'YearA-AppDetails Current Date'!U:U,{"CCAN","DECL"},
'YearA-AppDetails Current Date'!I:I,"WINTER"))), "")</f>
        <v/>
      </c>
      <c r="N21" s="74" t="str" cm="1">
        <f t="array" ref="N21">IFERROR(1/(1/SUM(COUNTIFS(
'YearA-AppDetails Current Date'!A:A,D21,
'YearA-AppDetails Current Date'!F:F,E21,
'YearA-AppDetails Current Date'!E:E,--F21,
'YearA-AppDetails Current Date'!V:V,{"APRO","NODE"},
'YearA-AppDetails Current Date'!I:I,"WINTER"))), "")</f>
        <v/>
      </c>
      <c r="O21" s="74" t="str" cm="1">
        <f t="array" ref="O21">IFERROR(1/(1/SUM(COUNTIFS(
'YearA-AppDetails Current Date'!A:A,D21,
'YearA-AppDetails Current Date'!F:F,E21,
'YearA-AppDetails Current Date'!E:E,--F21,
'YearA-AppDetails Current Date'!T:T,{"CDMT","RQMT","WAIT"},
'YearA-AppDetails Current Date'!I:I,"WINTER"))), "")</f>
        <v/>
      </c>
      <c r="P21" s="74" t="str">
        <f>IFERROR(1/(1/COUNTIFS(
'YearA-AppDetails Current Date'!A:A,D21,
'YearA-AppDetails Current Date'!F:F,E21,
'YearA-AppDetails Current Date'!E:E,--F21,
'YearA-AppDetails Current Date'!Y:Y,"ENRO",
'YearA-AppDetails Current Date'!I:I,"WINTER")),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HC'!D:T,6,FALSE)),
N(VLOOKUP(D22&amp;F22,'Budgeted Projections Dom HC'!D:T,7,FALSE))
)
),"")</f>
        <v/>
      </c>
      <c r="I22" s="73" t="str">
        <f>IFERROR(1/(1/COUNTIFS(
'YearA-AppDetails Current Date'!A:A,D22,
'YearA-AppDetails Current Date'!F:F,E22,
'YearA-AppDetails Current Date'!E:E,--F22,
'YearA-AppDetails Current Date'!I:I,"WINTER")), "")</f>
        <v/>
      </c>
      <c r="J22" s="74" t="str" cm="1">
        <f t="array" ref="J22">IFERROR(1/(1/SUM(COUNTIFS(
'YearA-AppDetails Current Date'!A:A,D22,
'YearA-AppDetails Current Date'!F:F,E22,
'YearA-AppDetails Current Date'!E:E,--F22,
'YearA-AppDetails Current Date'!O:O,{"ACLN","ACPT","COND"},
'YearA-AppDetails Current Date'!S:S,"&lt;&gt;ACLN",
'YearA-AppDetails Current Date'!S:S,"&lt;&gt;ACPT",
'YearA-AppDetails Current Date'!S:S,"&lt;&gt;COND",
'YearA-AppDetails Current Date'!I:I,"WINTER"))), "")</f>
        <v/>
      </c>
      <c r="K22" s="73" t="str">
        <f>IFERROR(1/(1/SUM(COUNTIFS(
'YearA-AppDetails Current Date'!A:A,D22,
'YearA-AppDetails Current Date'!F:F,E22,
'YearA-AppDetails Current Date'!E:E,--F22,
'YearA-AppDetails Current Date'!R:R,"&lt;&gt;"&amp;"",
'YearA-AppDetails Current Date'!I:I,"WINTER"))), "")</f>
        <v/>
      </c>
      <c r="L22" s="74" t="str" cm="1">
        <f t="array" ref="L22">IFERROR(1/(1/SUM(COUNTIFS(
'YearA-AppDetails Current Date'!A:A,D22,
'YearA-AppDetails Current Date'!F:F,E22,
'YearA-AppDetails Current Date'!E:E,--F22,
'YearA-AppDetails Current Date'!T:T,{"APEX","DENY","NTSL"},
'YearA-AppDetails Current Date'!I:I,"WINTER"))), "")</f>
        <v/>
      </c>
      <c r="M22" s="74" t="str" cm="1">
        <f t="array" ref="M22">IFERROR(1/(1/SUM(COUNTIFS(
'YearA-AppDetails Current Date'!A:A,D22,
'YearA-AppDetails Current Date'!F:F,E22,
'YearA-AppDetails Current Date'!E:E,--F22,
'YearA-AppDetails Current Date'!U:U,{"CCAN","DECL"},
'YearA-AppDetails Current Date'!I:I,"WINTER"))), "")</f>
        <v/>
      </c>
      <c r="N22" s="74" t="str" cm="1">
        <f t="array" ref="N22">IFERROR(1/(1/SUM(COUNTIFS(
'YearA-AppDetails Current Date'!A:A,D22,
'YearA-AppDetails Current Date'!F:F,E22,
'YearA-AppDetails Current Date'!E:E,--F22,
'YearA-AppDetails Current Date'!V:V,{"APRO","NODE"},
'YearA-AppDetails Current Date'!I:I,"WINTER"))), "")</f>
        <v/>
      </c>
      <c r="O22" s="74" t="str" cm="1">
        <f t="array" ref="O22">IFERROR(1/(1/SUM(COUNTIFS(
'YearA-AppDetails Current Date'!A:A,D22,
'YearA-AppDetails Current Date'!F:F,E22,
'YearA-AppDetails Current Date'!E:E,--F22,
'YearA-AppDetails Current Date'!T:T,{"CDMT","RQMT","WAIT"},
'YearA-AppDetails Current Date'!I:I,"WINTER"))), "")</f>
        <v/>
      </c>
      <c r="P22" s="74" t="str">
        <f>IFERROR(1/(1/COUNTIFS(
'YearA-AppDetails Current Date'!A:A,D22,
'YearA-AppDetails Current Date'!F:F,E22,
'YearA-AppDetails Current Date'!E:E,--F22,
'YearA-AppDetails Current Date'!Y:Y,"ENRO",
'YearA-AppDetails Current Date'!I:I,"WINTER")),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HC'!D:T,6,FALSE)),
N(VLOOKUP(D23&amp;F23,'Budgeted Projections Intl HC'!D:T,7,FALSE))
)
),"")</f>
        <v/>
      </c>
      <c r="I23" s="73" t="str">
        <f>IFERROR(1/(1/COUNTIFS(
'YearA-AppDetails Current Date'!A:A,D23,
'YearA-AppDetails Current Date'!F:F,E23,
'YearA-AppDetails Current Date'!E:E,--F23,
'YearA-AppDetails Current Date'!I:I,"WINTER")), "")</f>
        <v/>
      </c>
      <c r="J23" s="74" t="str" cm="1">
        <f t="array" ref="J23">IFERROR(1/(1/SUM(COUNTIFS(
'YearA-AppDetails Current Date'!A:A,D23,
'YearA-AppDetails Current Date'!F:F,E23,
'YearA-AppDetails Current Date'!E:E,--F23,
'YearA-AppDetails Current Date'!O:O,{"ACLN","ACPT","COND"},
'YearA-AppDetails Current Date'!S:S,"&lt;&gt;ACLN",
'YearA-AppDetails Current Date'!S:S,"&lt;&gt;ACPT",
'YearA-AppDetails Current Date'!S:S,"&lt;&gt;COND",
'YearA-AppDetails Current Date'!I:I,"WINTER"))), "")</f>
        <v/>
      </c>
      <c r="K23" s="73" t="str">
        <f>IFERROR(1/(1/SUM(COUNTIFS(
'YearA-AppDetails Current Date'!A:A,D23,
'YearA-AppDetails Current Date'!F:F,E23,
'YearA-AppDetails Current Date'!E:E,--F23,
'YearA-AppDetails Current Date'!R:R,"&lt;&gt;"&amp;"",
'YearA-AppDetails Current Date'!I:I,"WINTER"))), "")</f>
        <v/>
      </c>
      <c r="L23" s="74" t="str" cm="1">
        <f t="array" ref="L23">IFERROR(1/(1/SUM(COUNTIFS(
'YearA-AppDetails Current Date'!A:A,D23,
'YearA-AppDetails Current Date'!F:F,E23,
'YearA-AppDetails Current Date'!E:E,--F23,
'YearA-AppDetails Current Date'!T:T,{"APEX","DENY","NTSL"},
'YearA-AppDetails Current Date'!I:I,"WINTER"))), "")</f>
        <v/>
      </c>
      <c r="M23" s="74" t="str" cm="1">
        <f t="array" ref="M23">IFERROR(1/(1/SUM(COUNTIFS(
'YearA-AppDetails Current Date'!A:A,D23,
'YearA-AppDetails Current Date'!F:F,E23,
'YearA-AppDetails Current Date'!E:E,--F23,
'YearA-AppDetails Current Date'!U:U,{"CCAN","DECL"},
'YearA-AppDetails Current Date'!I:I,"WINTER"))), "")</f>
        <v/>
      </c>
      <c r="N23" s="74" t="str" cm="1">
        <f t="array" ref="N23">IFERROR(1/(1/SUM(COUNTIFS(
'YearA-AppDetails Current Date'!A:A,D23,
'YearA-AppDetails Current Date'!F:F,E23,
'YearA-AppDetails Current Date'!E:E,--F23,
'YearA-AppDetails Current Date'!V:V,{"APRO","NODE"},
'YearA-AppDetails Current Date'!I:I,"WINTER"))), "")</f>
        <v/>
      </c>
      <c r="O23" s="74" t="str" cm="1">
        <f t="array" ref="O23">IFERROR(1/(1/SUM(COUNTIFS(
'YearA-AppDetails Current Date'!A:A,D23,
'YearA-AppDetails Current Date'!F:F,E23,
'YearA-AppDetails Current Date'!E:E,--F23,
'YearA-AppDetails Current Date'!T:T,{"CDMT","RQMT","WAIT"},
'YearA-AppDetails Current Date'!I:I,"WINTER"))), "")</f>
        <v/>
      </c>
      <c r="P23" s="74" t="str">
        <f>IFERROR(1/(1/COUNTIFS(
'YearA-AppDetails Current Date'!A:A,D23,
'YearA-AppDetails Current Date'!F:F,E23,
'YearA-AppDetails Current Date'!E:E,--F23,
'YearA-AppDetails Current Date'!Y:Y,"ENRO",
'YearA-AppDetails Current Date'!I:I,"WINTER")),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HC'!D:T,6,FALSE)),
N(VLOOKUP(D24&amp;F24,'Budgeted Projections Dom HC'!D:T,7,FALSE))
)
),"")</f>
        <v/>
      </c>
      <c r="I24" s="73" t="str">
        <f>IFERROR(1/(1/COUNTIFS(
'YearA-AppDetails Current Date'!A:A,D24,
'YearA-AppDetails Current Date'!F:F,E24,
'YearA-AppDetails Current Date'!E:E,--F24,
'YearA-AppDetails Current Date'!I:I,"WINTER")), "")</f>
        <v/>
      </c>
      <c r="J24" s="74" t="str" cm="1">
        <f t="array" ref="J24">IFERROR(1/(1/SUM(COUNTIFS(
'YearA-AppDetails Current Date'!A:A,D24,
'YearA-AppDetails Current Date'!F:F,E24,
'YearA-AppDetails Current Date'!E:E,--F24,
'YearA-AppDetails Current Date'!O:O,{"ACLN","ACPT","COND"},
'YearA-AppDetails Current Date'!S:S,"&lt;&gt;ACLN",
'YearA-AppDetails Current Date'!S:S,"&lt;&gt;ACPT",
'YearA-AppDetails Current Date'!S:S,"&lt;&gt;COND",
'YearA-AppDetails Current Date'!I:I,"WINTER"))), "")</f>
        <v/>
      </c>
      <c r="K24" s="73" t="str">
        <f>IFERROR(1/(1/SUM(COUNTIFS(
'YearA-AppDetails Current Date'!A:A,D24,
'YearA-AppDetails Current Date'!F:F,E24,
'YearA-AppDetails Current Date'!E:E,--F24,
'YearA-AppDetails Current Date'!R:R,"&lt;&gt;"&amp;"",
'YearA-AppDetails Current Date'!I:I,"WINTER"))), "")</f>
        <v/>
      </c>
      <c r="L24" s="74" t="str" cm="1">
        <f t="array" ref="L24">IFERROR(1/(1/SUM(COUNTIFS(
'YearA-AppDetails Current Date'!A:A,D24,
'YearA-AppDetails Current Date'!F:F,E24,
'YearA-AppDetails Current Date'!E:E,--F24,
'YearA-AppDetails Current Date'!T:T,{"APEX","DENY","NTSL"},
'YearA-AppDetails Current Date'!I:I,"WINTER"))), "")</f>
        <v/>
      </c>
      <c r="M24" s="74" t="str" cm="1">
        <f t="array" ref="M24">IFERROR(1/(1/SUM(COUNTIFS(
'YearA-AppDetails Current Date'!A:A,D24,
'YearA-AppDetails Current Date'!F:F,E24,
'YearA-AppDetails Current Date'!E:E,--F24,
'YearA-AppDetails Current Date'!U:U,{"CCAN","DECL"},
'YearA-AppDetails Current Date'!I:I,"WINTER"))), "")</f>
        <v/>
      </c>
      <c r="N24" s="74" t="str" cm="1">
        <f t="array" ref="N24">IFERROR(1/(1/SUM(COUNTIFS(
'YearA-AppDetails Current Date'!A:A,D24,
'YearA-AppDetails Current Date'!F:F,E24,
'YearA-AppDetails Current Date'!E:E,--F24,
'YearA-AppDetails Current Date'!V:V,{"APRO","NODE"},
'YearA-AppDetails Current Date'!I:I,"WINTER"))), "")</f>
        <v/>
      </c>
      <c r="O24" s="74" t="str" cm="1">
        <f t="array" ref="O24">IFERROR(1/(1/SUM(COUNTIFS(
'YearA-AppDetails Current Date'!A:A,D24,
'YearA-AppDetails Current Date'!F:F,E24,
'YearA-AppDetails Current Date'!E:E,--F24,
'YearA-AppDetails Current Date'!T:T,{"CDMT","RQMT","WAIT"},
'YearA-AppDetails Current Date'!I:I,"WINTER"))), "")</f>
        <v/>
      </c>
      <c r="P24" s="74" t="str">
        <f>IFERROR(1/(1/COUNTIFS(
'YearA-AppDetails Current Date'!A:A,D24,
'YearA-AppDetails Current Date'!F:F,E24,
'YearA-AppDetails Current Date'!E:E,--F24,
'YearA-AppDetails Current Date'!Y:Y,"ENRO",
'YearA-AppDetails Current Date'!I:I,"WINTER")),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HC'!D:T,6,FALSE)),
N(VLOOKUP(D25&amp;F25,'Budgeted Projections Intl HC'!D:T,7,FALSE))
)
),"")</f>
        <v/>
      </c>
      <c r="I25" s="73" t="str">
        <f>IFERROR(1/(1/COUNTIFS(
'YearA-AppDetails Current Date'!A:A,D25,
'YearA-AppDetails Current Date'!F:F,E25,
'YearA-AppDetails Current Date'!E:E,--F25,
'YearA-AppDetails Current Date'!I:I,"WINTER")), "")</f>
        <v/>
      </c>
      <c r="J25" s="74" t="str" cm="1">
        <f t="array" ref="J25">IFERROR(1/(1/SUM(COUNTIFS(
'YearA-AppDetails Current Date'!A:A,D25,
'YearA-AppDetails Current Date'!F:F,E25,
'YearA-AppDetails Current Date'!E:E,--F25,
'YearA-AppDetails Current Date'!O:O,{"ACLN","ACPT","COND"},
'YearA-AppDetails Current Date'!S:S,"&lt;&gt;ACLN",
'YearA-AppDetails Current Date'!S:S,"&lt;&gt;ACPT",
'YearA-AppDetails Current Date'!S:S,"&lt;&gt;COND",
'YearA-AppDetails Current Date'!I:I,"WINTER"))), "")</f>
        <v/>
      </c>
      <c r="K25" s="73" t="str">
        <f>IFERROR(1/(1/SUM(COUNTIFS(
'YearA-AppDetails Current Date'!A:A,D25,
'YearA-AppDetails Current Date'!F:F,E25,
'YearA-AppDetails Current Date'!E:E,--F25,
'YearA-AppDetails Current Date'!R:R,"&lt;&gt;"&amp;"",
'YearA-AppDetails Current Date'!I:I,"WINTER"))), "")</f>
        <v/>
      </c>
      <c r="L25" s="74" t="str" cm="1">
        <f t="array" ref="L25">IFERROR(1/(1/SUM(COUNTIFS(
'YearA-AppDetails Current Date'!A:A,D25,
'YearA-AppDetails Current Date'!F:F,E25,
'YearA-AppDetails Current Date'!E:E,--F25,
'YearA-AppDetails Current Date'!T:T,{"APEX","DENY","NTSL"},
'YearA-AppDetails Current Date'!I:I,"WINTER"))), "")</f>
        <v/>
      </c>
      <c r="M25" s="74" t="str" cm="1">
        <f t="array" ref="M25">IFERROR(1/(1/SUM(COUNTIFS(
'YearA-AppDetails Current Date'!A:A,D25,
'YearA-AppDetails Current Date'!F:F,E25,
'YearA-AppDetails Current Date'!E:E,--F25,
'YearA-AppDetails Current Date'!U:U,{"CCAN","DECL"},
'YearA-AppDetails Current Date'!I:I,"WINTER"))), "")</f>
        <v/>
      </c>
      <c r="N25" s="74" t="str" cm="1">
        <f t="array" ref="N25">IFERROR(1/(1/SUM(COUNTIFS(
'YearA-AppDetails Current Date'!A:A,D25,
'YearA-AppDetails Current Date'!F:F,E25,
'YearA-AppDetails Current Date'!E:E,--F25,
'YearA-AppDetails Current Date'!V:V,{"APRO","NODE"},
'YearA-AppDetails Current Date'!I:I,"WINTER"))), "")</f>
        <v/>
      </c>
      <c r="O25" s="74" t="str" cm="1">
        <f t="array" ref="O25">IFERROR(1/(1/SUM(COUNTIFS(
'YearA-AppDetails Current Date'!A:A,D25,
'YearA-AppDetails Current Date'!F:F,E25,
'YearA-AppDetails Current Date'!E:E,--F25,
'YearA-AppDetails Current Date'!T:T,{"CDMT","RQMT","WAIT"},
'YearA-AppDetails Current Date'!I:I,"WINTER"))), "")</f>
        <v/>
      </c>
      <c r="P25" s="74" t="str">
        <f>IFERROR(1/(1/COUNTIFS(
'YearA-AppDetails Current Date'!A:A,D25,
'YearA-AppDetails Current Date'!F:F,E25,
'YearA-AppDetails Current Date'!E:E,--F25,
'YearA-AppDetails Current Date'!Y:Y,"ENRO",
'YearA-AppDetails Current Date'!I:I,"WINTER")),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HC'!D:T,6,FALSE)),
N(VLOOKUP(D26&amp;F26,'Budgeted Projections Dom HC'!D:T,7,FALSE))
)
),"")</f>
        <v/>
      </c>
      <c r="I26" s="73" t="str">
        <f>IFERROR(1/(1/COUNTIFS(
'YearA-AppDetails Current Date'!A:A,D26,
'YearA-AppDetails Current Date'!F:F,E26,
'YearA-AppDetails Current Date'!E:E,--F26,
'YearA-AppDetails Current Date'!I:I,"WINTER")), "")</f>
        <v/>
      </c>
      <c r="J26" s="74" t="str" cm="1">
        <f t="array" ref="J26">IFERROR(1/(1/SUM(COUNTIFS(
'YearA-AppDetails Current Date'!A:A,D26,
'YearA-AppDetails Current Date'!F:F,E26,
'YearA-AppDetails Current Date'!E:E,--F26,
'YearA-AppDetails Current Date'!O:O,{"ACLN","ACPT","COND"},
'YearA-AppDetails Current Date'!S:S,"&lt;&gt;ACLN",
'YearA-AppDetails Current Date'!S:S,"&lt;&gt;ACPT",
'YearA-AppDetails Current Date'!S:S,"&lt;&gt;COND",
'YearA-AppDetails Current Date'!I:I,"WINTER"))), "")</f>
        <v/>
      </c>
      <c r="K26" s="73" t="str">
        <f>IFERROR(1/(1/SUM(COUNTIFS(
'YearA-AppDetails Current Date'!A:A,D26,
'YearA-AppDetails Current Date'!F:F,E26,
'YearA-AppDetails Current Date'!E:E,--F26,
'YearA-AppDetails Current Date'!R:R,"&lt;&gt;"&amp;"",
'YearA-AppDetails Current Date'!I:I,"WINTER"))), "")</f>
        <v/>
      </c>
      <c r="L26" s="74" t="str" cm="1">
        <f t="array" ref="L26">IFERROR(1/(1/SUM(COUNTIFS(
'YearA-AppDetails Current Date'!A:A,D26,
'YearA-AppDetails Current Date'!F:F,E26,
'YearA-AppDetails Current Date'!E:E,--F26,
'YearA-AppDetails Current Date'!T:T,{"APEX","DENY","NTSL"},
'YearA-AppDetails Current Date'!I:I,"WINTER"))), "")</f>
        <v/>
      </c>
      <c r="M26" s="74" t="str" cm="1">
        <f t="array" ref="M26">IFERROR(1/(1/SUM(COUNTIFS(
'YearA-AppDetails Current Date'!A:A,D26,
'YearA-AppDetails Current Date'!F:F,E26,
'YearA-AppDetails Current Date'!E:E,--F26,
'YearA-AppDetails Current Date'!U:U,{"CCAN","DECL"},
'YearA-AppDetails Current Date'!I:I,"WINTER"))), "")</f>
        <v/>
      </c>
      <c r="N26" s="74" t="str" cm="1">
        <f t="array" ref="N26">IFERROR(1/(1/SUM(COUNTIFS(
'YearA-AppDetails Current Date'!A:A,D26,
'YearA-AppDetails Current Date'!F:F,E26,
'YearA-AppDetails Current Date'!E:E,--F26,
'YearA-AppDetails Current Date'!V:V,{"APRO","NODE"},
'YearA-AppDetails Current Date'!I:I,"WINTER"))), "")</f>
        <v/>
      </c>
      <c r="O26" s="74" t="str" cm="1">
        <f t="array" ref="O26">IFERROR(1/(1/SUM(COUNTIFS(
'YearA-AppDetails Current Date'!A:A,D26,
'YearA-AppDetails Current Date'!F:F,E26,
'YearA-AppDetails Current Date'!E:E,--F26,
'YearA-AppDetails Current Date'!T:T,{"CDMT","RQMT","WAIT"},
'YearA-AppDetails Current Date'!I:I,"WINTER"))), "")</f>
        <v/>
      </c>
      <c r="P26" s="74" t="str">
        <f>IFERROR(1/(1/COUNTIFS(
'YearA-AppDetails Current Date'!A:A,D26,
'YearA-AppDetails Current Date'!F:F,E26,
'YearA-AppDetails Current Date'!E:E,--F26,
'YearA-AppDetails Current Date'!Y:Y,"ENRO",
'YearA-AppDetails Current Date'!I:I,"WINTER")),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HC'!D:T,6,FALSE)),
N(VLOOKUP(D27&amp;F27,'Budgeted Projections Intl HC'!D:T,7,FALSE))
)
),"")</f>
        <v/>
      </c>
      <c r="I27" s="73" t="str">
        <f>IFERROR(1/(1/COUNTIFS(
'YearA-AppDetails Current Date'!A:A,D27,
'YearA-AppDetails Current Date'!F:F,E27,
'YearA-AppDetails Current Date'!E:E,--F27,
'YearA-AppDetails Current Date'!I:I,"WINTER")), "")</f>
        <v/>
      </c>
      <c r="J27" s="74" t="str" cm="1">
        <f t="array" ref="J27">IFERROR(1/(1/SUM(COUNTIFS(
'YearA-AppDetails Current Date'!A:A,D27,
'YearA-AppDetails Current Date'!F:F,E27,
'YearA-AppDetails Current Date'!E:E,--F27,
'YearA-AppDetails Current Date'!O:O,{"ACLN","ACPT","COND"},
'YearA-AppDetails Current Date'!S:S,"&lt;&gt;ACLN",
'YearA-AppDetails Current Date'!S:S,"&lt;&gt;ACPT",
'YearA-AppDetails Current Date'!S:S,"&lt;&gt;COND",
'YearA-AppDetails Current Date'!I:I,"WINTER"))), "")</f>
        <v/>
      </c>
      <c r="K27" s="73" t="str">
        <f>IFERROR(1/(1/SUM(COUNTIFS(
'YearA-AppDetails Current Date'!A:A,D27,
'YearA-AppDetails Current Date'!F:F,E27,
'YearA-AppDetails Current Date'!E:E,--F27,
'YearA-AppDetails Current Date'!R:R,"&lt;&gt;"&amp;"",
'YearA-AppDetails Current Date'!I:I,"WINTER"))), "")</f>
        <v/>
      </c>
      <c r="L27" s="74" t="str" cm="1">
        <f t="array" ref="L27">IFERROR(1/(1/SUM(COUNTIFS(
'YearA-AppDetails Current Date'!A:A,D27,
'YearA-AppDetails Current Date'!F:F,E27,
'YearA-AppDetails Current Date'!E:E,--F27,
'YearA-AppDetails Current Date'!T:T,{"APEX","DENY","NTSL"},
'YearA-AppDetails Current Date'!I:I,"WINTER"))), "")</f>
        <v/>
      </c>
      <c r="M27" s="74" t="str" cm="1">
        <f t="array" ref="M27">IFERROR(1/(1/SUM(COUNTIFS(
'YearA-AppDetails Current Date'!A:A,D27,
'YearA-AppDetails Current Date'!F:F,E27,
'YearA-AppDetails Current Date'!E:E,--F27,
'YearA-AppDetails Current Date'!U:U,{"CCAN","DECL"},
'YearA-AppDetails Current Date'!I:I,"WINTER"))), "")</f>
        <v/>
      </c>
      <c r="N27" s="74" t="str" cm="1">
        <f t="array" ref="N27">IFERROR(1/(1/SUM(COUNTIFS(
'YearA-AppDetails Current Date'!A:A,D27,
'YearA-AppDetails Current Date'!F:F,E27,
'YearA-AppDetails Current Date'!E:E,--F27,
'YearA-AppDetails Current Date'!V:V,{"APRO","NODE"},
'YearA-AppDetails Current Date'!I:I,"WINTER"))), "")</f>
        <v/>
      </c>
      <c r="O27" s="74" t="str" cm="1">
        <f t="array" ref="O27">IFERROR(1/(1/SUM(COUNTIFS(
'YearA-AppDetails Current Date'!A:A,D27,
'YearA-AppDetails Current Date'!F:F,E27,
'YearA-AppDetails Current Date'!E:E,--F27,
'YearA-AppDetails Current Date'!T:T,{"CDMT","RQMT","WAIT"},
'YearA-AppDetails Current Date'!I:I,"WINTER"))), "")</f>
        <v/>
      </c>
      <c r="P27" s="74" t="str">
        <f>IFERROR(1/(1/COUNTIFS(
'YearA-AppDetails Current Date'!A:A,D27,
'YearA-AppDetails Current Date'!F:F,E27,
'YearA-AppDetails Current Date'!E:E,--F27,
'YearA-AppDetails Current Date'!Y:Y,"ENRO",
'YearA-AppDetails Current Date'!I:I,"WINTER")),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HC'!D:T,6,FALSE)),
N(VLOOKUP(D29&amp;F29,'Budgeted Projections Dom HC'!D:T,7,FALSE))
)
),"")</f>
        <v/>
      </c>
      <c r="I29" s="73" t="str">
        <f>IFERROR(1/(1/COUNTIFS(
'YearA-AppDetails Current Date'!A:A,D29,
'YearA-AppDetails Current Date'!F:F,E29,
'YearA-AppDetails Current Date'!E:E,--F29,
'YearA-AppDetails Current Date'!I:I,"WINTER")), "")</f>
        <v/>
      </c>
      <c r="J29" s="74" t="str" cm="1">
        <f t="array" ref="J29">IFERROR(1/(1/SUM(COUNTIFS(
'YearA-AppDetails Current Date'!A:A,D29,
'YearA-AppDetails Current Date'!F:F,E29,
'YearA-AppDetails Current Date'!E:E,--F29,
'YearA-AppDetails Current Date'!O:O,{"ACLN","ACPT","COND"},
'YearA-AppDetails Current Date'!S:S,"&lt;&gt;ACLN",
'YearA-AppDetails Current Date'!S:S,"&lt;&gt;ACPT",
'YearA-AppDetails Current Date'!S:S,"&lt;&gt;COND",
'YearA-AppDetails Current Date'!I:I,"WINTER"))), "")</f>
        <v/>
      </c>
      <c r="K29" s="73" t="str">
        <f>IFERROR(1/(1/SUM(COUNTIFS(
'YearA-AppDetails Current Date'!A:A,D29,
'YearA-AppDetails Current Date'!F:F,E29,
'YearA-AppDetails Current Date'!E:E,--F29,
'YearA-AppDetails Current Date'!R:R,"&lt;&gt;"&amp;"",
'YearA-AppDetails Current Date'!I:I,"WINTER"))), "")</f>
        <v/>
      </c>
      <c r="L29" s="74" t="str" cm="1">
        <f t="array" ref="L29">IFERROR(1/(1/SUM(COUNTIFS(
'YearA-AppDetails Current Date'!A:A,D29,
'YearA-AppDetails Current Date'!F:F,E29,
'YearA-AppDetails Current Date'!E:E,--F29,
'YearA-AppDetails Current Date'!T:T,{"APEX","DENY","NTSL"},
'YearA-AppDetails Current Date'!I:I,"WINTER"))), "")</f>
        <v/>
      </c>
      <c r="M29" s="74" t="str" cm="1">
        <f t="array" ref="M29">IFERROR(1/(1/SUM(COUNTIFS(
'YearA-AppDetails Current Date'!A:A,D29,
'YearA-AppDetails Current Date'!F:F,E29,
'YearA-AppDetails Current Date'!E:E,--F29,
'YearA-AppDetails Current Date'!U:U,{"CCAN","DECL"},
'YearA-AppDetails Current Date'!I:I,"WINTER"))), "")</f>
        <v/>
      </c>
      <c r="N29" s="74" t="str" cm="1">
        <f t="array" ref="N29">IFERROR(1/(1/SUM(COUNTIFS(
'YearA-AppDetails Current Date'!A:A,D29,
'YearA-AppDetails Current Date'!F:F,E29,
'YearA-AppDetails Current Date'!E:E,--F29,
'YearA-AppDetails Current Date'!V:V,{"APRO","NODE"},
'YearA-AppDetails Current Date'!I:I,"WINTER"))), "")</f>
        <v/>
      </c>
      <c r="O29" s="74" t="str" cm="1">
        <f t="array" ref="O29">IFERROR(1/(1/SUM(COUNTIFS(
'YearA-AppDetails Current Date'!A:A,D29,
'YearA-AppDetails Current Date'!F:F,E29,
'YearA-AppDetails Current Date'!E:E,--F29,
'YearA-AppDetails Current Date'!T:T,{"CDMT","RQMT","WAIT"},
'YearA-AppDetails Current Date'!I:I,"WINTER"))), "")</f>
        <v/>
      </c>
      <c r="P29" s="74" t="str">
        <f>IFERROR(1/(1/COUNTIFS(
'YearA-AppDetails Current Date'!A:A,D29,
'YearA-AppDetails Current Date'!F:F,E29,
'YearA-AppDetails Current Date'!E:E,--F29,
'YearA-AppDetails Current Date'!Y:Y,"ENRO",
'YearA-AppDetails Current Date'!I:I,"WINTER")),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HC'!D:T,6,FALSE)),
N(VLOOKUP(D30&amp;F30,'Budgeted Projections Intl HC'!D:T,7,FALSE))
)
),"")</f>
        <v/>
      </c>
      <c r="I30" s="73" t="str">
        <f>IFERROR(1/(1/COUNTIFS(
'YearA-AppDetails Current Date'!A:A,D30,
'YearA-AppDetails Current Date'!F:F,E30,
'YearA-AppDetails Current Date'!E:E,--F30,
'YearA-AppDetails Current Date'!I:I,"WINTER")), "")</f>
        <v/>
      </c>
      <c r="J30" s="74" t="str" cm="1">
        <f t="array" ref="J30">IFERROR(1/(1/SUM(COUNTIFS(
'YearA-AppDetails Current Date'!A:A,D30,
'YearA-AppDetails Current Date'!F:F,E30,
'YearA-AppDetails Current Date'!E:E,--F30,
'YearA-AppDetails Current Date'!O:O,{"ACLN","ACPT","COND"},
'YearA-AppDetails Current Date'!S:S,"&lt;&gt;ACLN",
'YearA-AppDetails Current Date'!S:S,"&lt;&gt;ACPT",
'YearA-AppDetails Current Date'!S:S,"&lt;&gt;COND",
'YearA-AppDetails Current Date'!I:I,"WINTER"))), "")</f>
        <v/>
      </c>
      <c r="K30" s="73" t="str">
        <f>IFERROR(1/(1/SUM(COUNTIFS(
'YearA-AppDetails Current Date'!A:A,D30,
'YearA-AppDetails Current Date'!F:F,E30,
'YearA-AppDetails Current Date'!E:E,--F30,
'YearA-AppDetails Current Date'!R:R,"&lt;&gt;"&amp;"",
'YearA-AppDetails Current Date'!I:I,"WINTER"))), "")</f>
        <v/>
      </c>
      <c r="L30" s="74" t="str" cm="1">
        <f t="array" ref="L30">IFERROR(1/(1/SUM(COUNTIFS(
'YearA-AppDetails Current Date'!A:A,D30,
'YearA-AppDetails Current Date'!F:F,E30,
'YearA-AppDetails Current Date'!E:E,--F30,
'YearA-AppDetails Current Date'!T:T,{"APEX","DENY","NTSL"},
'YearA-AppDetails Current Date'!I:I,"WINTER"))), "")</f>
        <v/>
      </c>
      <c r="M30" s="74" t="str" cm="1">
        <f t="array" ref="M30">IFERROR(1/(1/SUM(COUNTIFS(
'YearA-AppDetails Current Date'!A:A,D30,
'YearA-AppDetails Current Date'!F:F,E30,
'YearA-AppDetails Current Date'!E:E,--F30,
'YearA-AppDetails Current Date'!U:U,{"CCAN","DECL"},
'YearA-AppDetails Current Date'!I:I,"WINTER"))), "")</f>
        <v/>
      </c>
      <c r="N30" s="74" t="str" cm="1">
        <f t="array" ref="N30">IFERROR(1/(1/SUM(COUNTIFS(
'YearA-AppDetails Current Date'!A:A,D30,
'YearA-AppDetails Current Date'!F:F,E30,
'YearA-AppDetails Current Date'!E:E,--F30,
'YearA-AppDetails Current Date'!V:V,{"APRO","NODE"},
'YearA-AppDetails Current Date'!I:I,"WINTER"))), "")</f>
        <v/>
      </c>
      <c r="O30" s="74" t="str" cm="1">
        <f t="array" ref="O30">IFERROR(1/(1/SUM(COUNTIFS(
'YearA-AppDetails Current Date'!A:A,D30,
'YearA-AppDetails Current Date'!F:F,E30,
'YearA-AppDetails Current Date'!E:E,--F30,
'YearA-AppDetails Current Date'!T:T,{"CDMT","RQMT","WAIT"},
'YearA-AppDetails Current Date'!I:I,"WINTER"))), "")</f>
        <v/>
      </c>
      <c r="P30" s="74" t="str">
        <f>IFERROR(1/(1/COUNTIFS(
'YearA-AppDetails Current Date'!A:A,D30,
'YearA-AppDetails Current Date'!F:F,E30,
'YearA-AppDetails Current Date'!E:E,--F30,
'YearA-AppDetails Current Date'!Y:Y,"ENRO",
'YearA-AppDetails Current Date'!I:I,"WINTER")),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HC'!D:T,6,FALSE)),
N(VLOOKUP(D31&amp;F31,'Budgeted Projections Dom HC'!D:T,7,FALSE))
)
),"")</f>
        <v/>
      </c>
      <c r="I31" s="73" t="str">
        <f>IFERROR(1/(1/COUNTIFS(
'YearA-AppDetails Current Date'!A:A,D31,
'YearA-AppDetails Current Date'!F:F,E31,
'YearA-AppDetails Current Date'!E:E,--F31,
'YearA-AppDetails Current Date'!I:I,"WINTER")), "")</f>
        <v/>
      </c>
      <c r="J31" s="74" t="str" cm="1">
        <f t="array" ref="J31">IFERROR(1/(1/SUM(COUNTIFS(
'YearA-AppDetails Current Date'!A:A,D31,
'YearA-AppDetails Current Date'!F:F,E31,
'YearA-AppDetails Current Date'!E:E,--F31,
'YearA-AppDetails Current Date'!O:O,{"ACLN","ACPT","COND"},
'YearA-AppDetails Current Date'!S:S,"&lt;&gt;ACLN",
'YearA-AppDetails Current Date'!S:S,"&lt;&gt;ACPT",
'YearA-AppDetails Current Date'!S:S,"&lt;&gt;COND",
'YearA-AppDetails Current Date'!I:I,"WINTER"))), "")</f>
        <v/>
      </c>
      <c r="K31" s="73" t="str">
        <f>IFERROR(1/(1/SUM(COUNTIFS(
'YearA-AppDetails Current Date'!A:A,D31,
'YearA-AppDetails Current Date'!F:F,E31,
'YearA-AppDetails Current Date'!E:E,--F31,
'YearA-AppDetails Current Date'!R:R,"&lt;&gt;"&amp;"",
'YearA-AppDetails Current Date'!I:I,"WINTER"))), "")</f>
        <v/>
      </c>
      <c r="L31" s="74" t="str" cm="1">
        <f t="array" ref="L31">IFERROR(1/(1/SUM(COUNTIFS(
'YearA-AppDetails Current Date'!A:A,D31,
'YearA-AppDetails Current Date'!F:F,E31,
'YearA-AppDetails Current Date'!E:E,--F31,
'YearA-AppDetails Current Date'!T:T,{"APEX","DENY","NTSL"},
'YearA-AppDetails Current Date'!I:I,"WINTER"))), "")</f>
        <v/>
      </c>
      <c r="M31" s="74" t="str" cm="1">
        <f t="array" ref="M31">IFERROR(1/(1/SUM(COUNTIFS(
'YearA-AppDetails Current Date'!A:A,D31,
'YearA-AppDetails Current Date'!F:F,E31,
'YearA-AppDetails Current Date'!E:E,--F31,
'YearA-AppDetails Current Date'!U:U,{"CCAN","DECL"},
'YearA-AppDetails Current Date'!I:I,"WINTER"))), "")</f>
        <v/>
      </c>
      <c r="N31" s="74" t="str" cm="1">
        <f t="array" ref="N31">IFERROR(1/(1/SUM(COUNTIFS(
'YearA-AppDetails Current Date'!A:A,D31,
'YearA-AppDetails Current Date'!F:F,E31,
'YearA-AppDetails Current Date'!E:E,--F31,
'YearA-AppDetails Current Date'!V:V,{"APRO","NODE"},
'YearA-AppDetails Current Date'!I:I,"WINTER"))), "")</f>
        <v/>
      </c>
      <c r="O31" s="74" t="str" cm="1">
        <f t="array" ref="O31">IFERROR(1/(1/SUM(COUNTIFS(
'YearA-AppDetails Current Date'!A:A,D31,
'YearA-AppDetails Current Date'!F:F,E31,
'YearA-AppDetails Current Date'!E:E,--F31,
'YearA-AppDetails Current Date'!T:T,{"CDMT","RQMT","WAIT"},
'YearA-AppDetails Current Date'!I:I,"WINTER"))), "")</f>
        <v/>
      </c>
      <c r="P31" s="74" t="str">
        <f>IFERROR(1/(1/COUNTIFS(
'YearA-AppDetails Current Date'!A:A,D31,
'YearA-AppDetails Current Date'!F:F,E31,
'YearA-AppDetails Current Date'!E:E,--F31,
'YearA-AppDetails Current Date'!Y:Y,"ENRO",
'YearA-AppDetails Current Date'!I:I,"WINTER")),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HC'!D:T,6,FALSE)),
N(VLOOKUP(D32&amp;F32,'Budgeted Projections Intl HC'!D:T,7,FALSE))
)
),"")</f>
        <v/>
      </c>
      <c r="I32" s="73" t="str">
        <f>IFERROR(1/(1/COUNTIFS(
'YearA-AppDetails Current Date'!A:A,D32,
'YearA-AppDetails Current Date'!F:F,E32,
'YearA-AppDetails Current Date'!E:E,--F32,
'YearA-AppDetails Current Date'!I:I,"WINTER")), "")</f>
        <v/>
      </c>
      <c r="J32" s="74" t="str" cm="1">
        <f t="array" ref="J32">IFERROR(1/(1/SUM(COUNTIFS(
'YearA-AppDetails Current Date'!A:A,D32,
'YearA-AppDetails Current Date'!F:F,E32,
'YearA-AppDetails Current Date'!E:E,--F32,
'YearA-AppDetails Current Date'!O:O,{"ACLN","ACPT","COND"},
'YearA-AppDetails Current Date'!S:S,"&lt;&gt;ACLN",
'YearA-AppDetails Current Date'!S:S,"&lt;&gt;ACPT",
'YearA-AppDetails Current Date'!S:S,"&lt;&gt;COND",
'YearA-AppDetails Current Date'!I:I,"WINTER"))), "")</f>
        <v/>
      </c>
      <c r="K32" s="73" t="str">
        <f>IFERROR(1/(1/SUM(COUNTIFS(
'YearA-AppDetails Current Date'!A:A,D32,
'YearA-AppDetails Current Date'!F:F,E32,
'YearA-AppDetails Current Date'!E:E,--F32,
'YearA-AppDetails Current Date'!R:R,"&lt;&gt;"&amp;"",
'YearA-AppDetails Current Date'!I:I,"WINTER"))), "")</f>
        <v/>
      </c>
      <c r="L32" s="74" t="str" cm="1">
        <f t="array" ref="L32">IFERROR(1/(1/SUM(COUNTIFS(
'YearA-AppDetails Current Date'!A:A,D32,
'YearA-AppDetails Current Date'!F:F,E32,
'YearA-AppDetails Current Date'!E:E,--F32,
'YearA-AppDetails Current Date'!T:T,{"APEX","DENY","NTSL"},
'YearA-AppDetails Current Date'!I:I,"WINTER"))), "")</f>
        <v/>
      </c>
      <c r="M32" s="74" t="str" cm="1">
        <f t="array" ref="M32">IFERROR(1/(1/SUM(COUNTIFS(
'YearA-AppDetails Current Date'!A:A,D32,
'YearA-AppDetails Current Date'!F:F,E32,
'YearA-AppDetails Current Date'!E:E,--F32,
'YearA-AppDetails Current Date'!U:U,{"CCAN","DECL"},
'YearA-AppDetails Current Date'!I:I,"WINTER"))), "")</f>
        <v/>
      </c>
      <c r="N32" s="74" t="str" cm="1">
        <f t="array" ref="N32">IFERROR(1/(1/SUM(COUNTIFS(
'YearA-AppDetails Current Date'!A:A,D32,
'YearA-AppDetails Current Date'!F:F,E32,
'YearA-AppDetails Current Date'!E:E,--F32,
'YearA-AppDetails Current Date'!V:V,{"APRO","NODE"},
'YearA-AppDetails Current Date'!I:I,"WINTER"))), "")</f>
        <v/>
      </c>
      <c r="O32" s="74" t="str" cm="1">
        <f t="array" ref="O32">IFERROR(1/(1/SUM(COUNTIFS(
'YearA-AppDetails Current Date'!A:A,D32,
'YearA-AppDetails Current Date'!F:F,E32,
'YearA-AppDetails Current Date'!E:E,--F32,
'YearA-AppDetails Current Date'!T:T,{"CDMT","RQMT","WAIT"},
'YearA-AppDetails Current Date'!I:I,"WINTER"))), "")</f>
        <v/>
      </c>
      <c r="P32" s="74" t="str">
        <f>IFERROR(1/(1/COUNTIFS(
'YearA-AppDetails Current Date'!A:A,D32,
'YearA-AppDetails Current Date'!F:F,E32,
'YearA-AppDetails Current Date'!E:E,--F32,
'YearA-AppDetails Current Date'!Y:Y,"ENRO",
'YearA-AppDetails Current Date'!I:I,"WINTER")),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HC'!D:T,6,FALSE)),
N(VLOOKUP(D35&amp;F35,'Budgeted Projections Dom HC'!D:T,7,FALSE))
)
),"")</f>
        <v/>
      </c>
      <c r="I35" s="73" t="str">
        <f>IFERROR(1/(1/COUNTIFS(
'YearA-AppDetails Current Date'!A:A,D35,
'YearA-AppDetails Current Date'!F:F,E35,
'YearA-AppDetails Current Date'!E:E,--F35,
'YearA-AppDetails Current Date'!I:I,"WINTER")), "")</f>
        <v/>
      </c>
      <c r="J35" s="74" t="str" cm="1">
        <f t="array" ref="J35">IFERROR(1/(1/SUM(COUNTIFS(
'YearA-AppDetails Current Date'!A:A,D35,
'YearA-AppDetails Current Date'!F:F,E35,
'YearA-AppDetails Current Date'!E:E,--F35,
'YearA-AppDetails Current Date'!O:O,{"ACLN","ACPT","COND"},
'YearA-AppDetails Current Date'!S:S,"&lt;&gt;ACLN",
'YearA-AppDetails Current Date'!S:S,"&lt;&gt;ACPT",
'YearA-AppDetails Current Date'!S:S,"&lt;&gt;COND",
'YearA-AppDetails Current Date'!I:I,"WINTER"))), "")</f>
        <v/>
      </c>
      <c r="K35" s="73" t="str">
        <f>IFERROR(1/(1/SUM(COUNTIFS(
'YearA-AppDetails Current Date'!A:A,D35,
'YearA-AppDetails Current Date'!F:F,E35,
'YearA-AppDetails Current Date'!E:E,--F35,
'YearA-AppDetails Current Date'!R:R,"&lt;&gt;"&amp;"",
'YearA-AppDetails Current Date'!I:I,"WINTER"))), "")</f>
        <v/>
      </c>
      <c r="L35" s="74" t="str" cm="1">
        <f t="array" ref="L35">IFERROR(1/(1/SUM(COUNTIFS(
'YearA-AppDetails Current Date'!A:A,D35,
'YearA-AppDetails Current Date'!F:F,E35,
'YearA-AppDetails Current Date'!E:E,--F35,
'YearA-AppDetails Current Date'!T:T,{"APEX","DENY","NTSL"},
'YearA-AppDetails Current Date'!I:I,"WINTER"))), "")</f>
        <v/>
      </c>
      <c r="M35" s="74" t="str" cm="1">
        <f t="array" ref="M35">IFERROR(1/(1/SUM(COUNTIFS(
'YearA-AppDetails Current Date'!A:A,D35,
'YearA-AppDetails Current Date'!F:F,E35,
'YearA-AppDetails Current Date'!E:E,--F35,
'YearA-AppDetails Current Date'!U:U,{"CCAN","DECL"},
'YearA-AppDetails Current Date'!I:I,"WINTER"))), "")</f>
        <v/>
      </c>
      <c r="N35" s="74" t="str" cm="1">
        <f t="array" ref="N35">IFERROR(1/(1/SUM(COUNTIFS(
'YearA-AppDetails Current Date'!A:A,D35,
'YearA-AppDetails Current Date'!F:F,E35,
'YearA-AppDetails Current Date'!E:E,--F35,
'YearA-AppDetails Current Date'!V:V,{"APRO","NODE"},
'YearA-AppDetails Current Date'!I:I,"WINTER"))), "")</f>
        <v/>
      </c>
      <c r="O35" s="74" t="str" cm="1">
        <f t="array" ref="O35">IFERROR(1/(1/SUM(COUNTIFS(
'YearA-AppDetails Current Date'!A:A,D35,
'YearA-AppDetails Current Date'!F:F,E35,
'YearA-AppDetails Current Date'!E:E,--F35,
'YearA-AppDetails Current Date'!T:T,{"CDMT","RQMT","WAIT"},
'YearA-AppDetails Current Date'!I:I,"WINTER"))), "")</f>
        <v/>
      </c>
      <c r="P35" s="74" t="str">
        <f>IFERROR(1/(1/COUNTIFS(
'YearA-AppDetails Current Date'!A:A,D35,
'YearA-AppDetails Current Date'!F:F,E35,
'YearA-AppDetails Current Date'!E:E,--F35,
'YearA-AppDetails Current Date'!Y:Y,"ENRO",
'YearA-AppDetails Current Date'!I:I,"WINTER")),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HC'!D:T,6,FALSE)),
N(VLOOKUP(D36&amp;F36,'Budgeted Projections Intl HC'!D:T,7,FALSE))
)
),"")</f>
        <v/>
      </c>
      <c r="I36" s="73" t="str">
        <f>IFERROR(1/(1/COUNTIFS(
'YearA-AppDetails Current Date'!A:A,D36,
'YearA-AppDetails Current Date'!F:F,E36,
'YearA-AppDetails Current Date'!E:E,--F36,
'YearA-AppDetails Current Date'!I:I,"WINTER")), "")</f>
        <v/>
      </c>
      <c r="J36" s="74" t="str" cm="1">
        <f t="array" ref="J36">IFERROR(1/(1/SUM(COUNTIFS(
'YearA-AppDetails Current Date'!A:A,D36,
'YearA-AppDetails Current Date'!F:F,E36,
'YearA-AppDetails Current Date'!E:E,--F36,
'YearA-AppDetails Current Date'!O:O,{"ACLN","ACPT","COND"},
'YearA-AppDetails Current Date'!S:S,"&lt;&gt;ACLN",
'YearA-AppDetails Current Date'!S:S,"&lt;&gt;ACPT",
'YearA-AppDetails Current Date'!S:S,"&lt;&gt;COND",
'YearA-AppDetails Current Date'!I:I,"WINTER"))), "")</f>
        <v/>
      </c>
      <c r="K36" s="73" t="str">
        <f>IFERROR(1/(1/SUM(COUNTIFS(
'YearA-AppDetails Current Date'!A:A,D36,
'YearA-AppDetails Current Date'!F:F,E36,
'YearA-AppDetails Current Date'!E:E,--F36,
'YearA-AppDetails Current Date'!R:R,"&lt;&gt;"&amp;"",
'YearA-AppDetails Current Date'!I:I,"WINTER"))), "")</f>
        <v/>
      </c>
      <c r="L36" s="74" t="str" cm="1">
        <f t="array" ref="L36">IFERROR(1/(1/SUM(COUNTIFS(
'YearA-AppDetails Current Date'!A:A,D36,
'YearA-AppDetails Current Date'!F:F,E36,
'YearA-AppDetails Current Date'!E:E,--F36,
'YearA-AppDetails Current Date'!T:T,{"APEX","DENY","NTSL"},
'YearA-AppDetails Current Date'!I:I,"WINTER"))), "")</f>
        <v/>
      </c>
      <c r="M36" s="74" t="str" cm="1">
        <f t="array" ref="M36">IFERROR(1/(1/SUM(COUNTIFS(
'YearA-AppDetails Current Date'!A:A,D36,
'YearA-AppDetails Current Date'!F:F,E36,
'YearA-AppDetails Current Date'!E:E,--F36,
'YearA-AppDetails Current Date'!U:U,{"CCAN","DECL"},
'YearA-AppDetails Current Date'!I:I,"WINTER"))), "")</f>
        <v/>
      </c>
      <c r="N36" s="74" t="str" cm="1">
        <f t="array" ref="N36">IFERROR(1/(1/SUM(COUNTIFS(
'YearA-AppDetails Current Date'!A:A,D36,
'YearA-AppDetails Current Date'!F:F,E36,
'YearA-AppDetails Current Date'!E:E,--F36,
'YearA-AppDetails Current Date'!V:V,{"APRO","NODE"},
'YearA-AppDetails Current Date'!I:I,"WINTER"))), "")</f>
        <v/>
      </c>
      <c r="O36" s="74" t="str" cm="1">
        <f t="array" ref="O36">IFERROR(1/(1/SUM(COUNTIFS(
'YearA-AppDetails Current Date'!A:A,D36,
'YearA-AppDetails Current Date'!F:F,E36,
'YearA-AppDetails Current Date'!E:E,--F36,
'YearA-AppDetails Current Date'!T:T,{"CDMT","RQMT","WAIT"},
'YearA-AppDetails Current Date'!I:I,"WINTER"))), "")</f>
        <v/>
      </c>
      <c r="P36" s="74" t="str">
        <f>IFERROR(1/(1/COUNTIFS(
'YearA-AppDetails Current Date'!A:A,D36,
'YearA-AppDetails Current Date'!F:F,E36,
'YearA-AppDetails Current Date'!E:E,--F36,
'YearA-AppDetails Current Date'!Y:Y,"ENRO",
'YearA-AppDetails Current Date'!I:I,"WINTER")),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HC'!D:T,6,FALSE)),
N(VLOOKUP(D37&amp;F37,'Budgeted Projections Dom HC'!D:T,7,FALSE))
)
),"")</f>
        <v/>
      </c>
      <c r="I37" s="73" t="str">
        <f>IFERROR(1/(1/COUNTIFS(
'YearA-AppDetails Current Date'!A:A,D37,
'YearA-AppDetails Current Date'!F:F,E37,
'YearA-AppDetails Current Date'!E:E,--F37,
'YearA-AppDetails Current Date'!I:I,"WINTER")), "")</f>
        <v/>
      </c>
      <c r="J37" s="74" t="str" cm="1">
        <f t="array" ref="J37">IFERROR(1/(1/SUM(COUNTIFS(
'YearA-AppDetails Current Date'!A:A,D37,
'YearA-AppDetails Current Date'!F:F,E37,
'YearA-AppDetails Current Date'!E:E,--F37,
'YearA-AppDetails Current Date'!O:O,{"ACLN","ACPT","COND"},
'YearA-AppDetails Current Date'!S:S,"&lt;&gt;ACLN",
'YearA-AppDetails Current Date'!S:S,"&lt;&gt;ACPT",
'YearA-AppDetails Current Date'!S:S,"&lt;&gt;COND",
'YearA-AppDetails Current Date'!I:I,"WINTER"))), "")</f>
        <v/>
      </c>
      <c r="K37" s="73" t="str">
        <f>IFERROR(1/(1/SUM(COUNTIFS(
'YearA-AppDetails Current Date'!A:A,D37,
'YearA-AppDetails Current Date'!F:F,E37,
'YearA-AppDetails Current Date'!E:E,--F37,
'YearA-AppDetails Current Date'!R:R,"&lt;&gt;"&amp;"",
'YearA-AppDetails Current Date'!I:I,"WINTER"))), "")</f>
        <v/>
      </c>
      <c r="L37" s="74" t="str" cm="1">
        <f t="array" ref="L37">IFERROR(1/(1/SUM(COUNTIFS(
'YearA-AppDetails Current Date'!A:A,D37,
'YearA-AppDetails Current Date'!F:F,E37,
'YearA-AppDetails Current Date'!E:E,--F37,
'YearA-AppDetails Current Date'!T:T,{"APEX","DENY","NTSL"},
'YearA-AppDetails Current Date'!I:I,"WINTER"))), "")</f>
        <v/>
      </c>
      <c r="M37" s="74" t="str" cm="1">
        <f t="array" ref="M37">IFERROR(1/(1/SUM(COUNTIFS(
'YearA-AppDetails Current Date'!A:A,D37,
'YearA-AppDetails Current Date'!F:F,E37,
'YearA-AppDetails Current Date'!E:E,--F37,
'YearA-AppDetails Current Date'!U:U,{"CCAN","DECL"},
'YearA-AppDetails Current Date'!I:I,"WINTER"))), "")</f>
        <v/>
      </c>
      <c r="N37" s="74" t="str" cm="1">
        <f t="array" ref="N37">IFERROR(1/(1/SUM(COUNTIFS(
'YearA-AppDetails Current Date'!A:A,D37,
'YearA-AppDetails Current Date'!F:F,E37,
'YearA-AppDetails Current Date'!E:E,--F37,
'YearA-AppDetails Current Date'!V:V,{"APRO","NODE"},
'YearA-AppDetails Current Date'!I:I,"WINTER"))), "")</f>
        <v/>
      </c>
      <c r="O37" s="74" t="str" cm="1">
        <f t="array" ref="O37">IFERROR(1/(1/SUM(COUNTIFS(
'YearA-AppDetails Current Date'!A:A,D37,
'YearA-AppDetails Current Date'!F:F,E37,
'YearA-AppDetails Current Date'!E:E,--F37,
'YearA-AppDetails Current Date'!T:T,{"CDMT","RQMT","WAIT"},
'YearA-AppDetails Current Date'!I:I,"WINTER"))), "")</f>
        <v/>
      </c>
      <c r="P37" s="74" t="str">
        <f>IFERROR(1/(1/COUNTIFS(
'YearA-AppDetails Current Date'!A:A,D37,
'YearA-AppDetails Current Date'!F:F,E37,
'YearA-AppDetails Current Date'!E:E,--F37,
'YearA-AppDetails Current Date'!Y:Y,"ENRO",
'YearA-AppDetails Current Date'!I:I,"WINTER")),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HC'!D:T,6,FALSE)),
N(VLOOKUP(D38&amp;F38,'Budgeted Projections Intl HC'!D:T,7,FALSE))
)
),"")</f>
        <v/>
      </c>
      <c r="I38" s="73" t="str">
        <f>IFERROR(1/(1/COUNTIFS(
'YearA-AppDetails Current Date'!A:A,D38,
'YearA-AppDetails Current Date'!F:F,E38,
'YearA-AppDetails Current Date'!E:E,--F38,
'YearA-AppDetails Current Date'!I:I,"WINTER")), "")</f>
        <v/>
      </c>
      <c r="J38" s="74" t="str" cm="1">
        <f t="array" ref="J38">IFERROR(1/(1/SUM(COUNTIFS(
'YearA-AppDetails Current Date'!A:A,D38,
'YearA-AppDetails Current Date'!F:F,E38,
'YearA-AppDetails Current Date'!E:E,--F38,
'YearA-AppDetails Current Date'!O:O,{"ACLN","ACPT","COND"},
'YearA-AppDetails Current Date'!S:S,"&lt;&gt;ACLN",
'YearA-AppDetails Current Date'!S:S,"&lt;&gt;ACPT",
'YearA-AppDetails Current Date'!S:S,"&lt;&gt;COND",
'YearA-AppDetails Current Date'!I:I,"WINTER"))), "")</f>
        <v/>
      </c>
      <c r="K38" s="73" t="str">
        <f>IFERROR(1/(1/SUM(COUNTIFS(
'YearA-AppDetails Current Date'!A:A,D38,
'YearA-AppDetails Current Date'!F:F,E38,
'YearA-AppDetails Current Date'!E:E,--F38,
'YearA-AppDetails Current Date'!R:R,"&lt;&gt;"&amp;"",
'YearA-AppDetails Current Date'!I:I,"WINTER"))), "")</f>
        <v/>
      </c>
      <c r="L38" s="74" t="str" cm="1">
        <f t="array" ref="L38">IFERROR(1/(1/SUM(COUNTIFS(
'YearA-AppDetails Current Date'!A:A,D38,
'YearA-AppDetails Current Date'!F:F,E38,
'YearA-AppDetails Current Date'!E:E,--F38,
'YearA-AppDetails Current Date'!T:T,{"APEX","DENY","NTSL"},
'YearA-AppDetails Current Date'!I:I,"WINTER"))), "")</f>
        <v/>
      </c>
      <c r="M38" s="74" t="str" cm="1">
        <f t="array" ref="M38">IFERROR(1/(1/SUM(COUNTIFS(
'YearA-AppDetails Current Date'!A:A,D38,
'YearA-AppDetails Current Date'!F:F,E38,
'YearA-AppDetails Current Date'!E:E,--F38,
'YearA-AppDetails Current Date'!U:U,{"CCAN","DECL"},
'YearA-AppDetails Current Date'!I:I,"WINTER"))), "")</f>
        <v/>
      </c>
      <c r="N38" s="74" t="str" cm="1">
        <f t="array" ref="N38">IFERROR(1/(1/SUM(COUNTIFS(
'YearA-AppDetails Current Date'!A:A,D38,
'YearA-AppDetails Current Date'!F:F,E38,
'YearA-AppDetails Current Date'!E:E,--F38,
'YearA-AppDetails Current Date'!V:V,{"APRO","NODE"},
'YearA-AppDetails Current Date'!I:I,"WINTER"))), "")</f>
        <v/>
      </c>
      <c r="O38" s="74" t="str" cm="1">
        <f t="array" ref="O38">IFERROR(1/(1/SUM(COUNTIFS(
'YearA-AppDetails Current Date'!A:A,D38,
'YearA-AppDetails Current Date'!F:F,E38,
'YearA-AppDetails Current Date'!E:E,--F38,
'YearA-AppDetails Current Date'!T:T,{"CDMT","RQMT","WAIT"},
'YearA-AppDetails Current Date'!I:I,"WINTER"))), "")</f>
        <v/>
      </c>
      <c r="P38" s="74" t="str">
        <f>IFERROR(1/(1/COUNTIFS(
'YearA-AppDetails Current Date'!A:A,D38,
'YearA-AppDetails Current Date'!F:F,E38,
'YearA-AppDetails Current Date'!E:E,--F38,
'YearA-AppDetails Current Date'!Y:Y,"ENRO",
'YearA-AppDetails Current Date'!I:I,"WINTER")),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HC'!D:T,6,FALSE)),
N(VLOOKUP(D39&amp;F39,'Budgeted Projections Dom HC'!D:T,7,FALSE))
)
),"")</f>
        <v/>
      </c>
      <c r="I39" s="73" t="str">
        <f>IFERROR(1/(1/COUNTIFS(
'YearA-AppDetails Current Date'!A:A,D39,
'YearA-AppDetails Current Date'!F:F,E39,
'YearA-AppDetails Current Date'!E:E,--F39,
'YearA-AppDetails Current Date'!I:I,"WINTER")), "")</f>
        <v/>
      </c>
      <c r="J39" s="74" t="str" cm="1">
        <f t="array" ref="J39">IFERROR(1/(1/SUM(COUNTIFS(
'YearA-AppDetails Current Date'!A:A,D39,
'YearA-AppDetails Current Date'!F:F,E39,
'YearA-AppDetails Current Date'!E:E,--F39,
'YearA-AppDetails Current Date'!O:O,{"ACLN","ACPT","COND"},
'YearA-AppDetails Current Date'!S:S,"&lt;&gt;ACLN",
'YearA-AppDetails Current Date'!S:S,"&lt;&gt;ACPT",
'YearA-AppDetails Current Date'!S:S,"&lt;&gt;COND",
'YearA-AppDetails Current Date'!I:I,"WINTER"))), "")</f>
        <v/>
      </c>
      <c r="K39" s="73" t="str">
        <f>IFERROR(1/(1/SUM(COUNTIFS(
'YearA-AppDetails Current Date'!A:A,D39,
'YearA-AppDetails Current Date'!F:F,E39,
'YearA-AppDetails Current Date'!E:E,--F39,
'YearA-AppDetails Current Date'!R:R,"&lt;&gt;"&amp;"",
'YearA-AppDetails Current Date'!I:I,"WINTER"))), "")</f>
        <v/>
      </c>
      <c r="L39" s="74" t="str" cm="1">
        <f t="array" ref="L39">IFERROR(1/(1/SUM(COUNTIFS(
'YearA-AppDetails Current Date'!A:A,D39,
'YearA-AppDetails Current Date'!F:F,E39,
'YearA-AppDetails Current Date'!E:E,--F39,
'YearA-AppDetails Current Date'!T:T,{"APEX","DENY","NTSL"},
'YearA-AppDetails Current Date'!I:I,"WINTER"))), "")</f>
        <v/>
      </c>
      <c r="M39" s="74" t="str" cm="1">
        <f t="array" ref="M39">IFERROR(1/(1/SUM(COUNTIFS(
'YearA-AppDetails Current Date'!A:A,D39,
'YearA-AppDetails Current Date'!F:F,E39,
'YearA-AppDetails Current Date'!E:E,--F39,
'YearA-AppDetails Current Date'!U:U,{"CCAN","DECL"},
'YearA-AppDetails Current Date'!I:I,"WINTER"))), "")</f>
        <v/>
      </c>
      <c r="N39" s="74" t="str" cm="1">
        <f t="array" ref="N39">IFERROR(1/(1/SUM(COUNTIFS(
'YearA-AppDetails Current Date'!A:A,D39,
'YearA-AppDetails Current Date'!F:F,E39,
'YearA-AppDetails Current Date'!E:E,--F39,
'YearA-AppDetails Current Date'!V:V,{"APRO","NODE"},
'YearA-AppDetails Current Date'!I:I,"WINTER"))), "")</f>
        <v/>
      </c>
      <c r="O39" s="74" t="str" cm="1">
        <f t="array" ref="O39">IFERROR(1/(1/SUM(COUNTIFS(
'YearA-AppDetails Current Date'!A:A,D39,
'YearA-AppDetails Current Date'!F:F,E39,
'YearA-AppDetails Current Date'!E:E,--F39,
'YearA-AppDetails Current Date'!T:T,{"CDMT","RQMT","WAIT"},
'YearA-AppDetails Current Date'!I:I,"WINTER"))), "")</f>
        <v/>
      </c>
      <c r="P39" s="74" t="str">
        <f>IFERROR(1/(1/COUNTIFS(
'YearA-AppDetails Current Date'!A:A,D39,
'YearA-AppDetails Current Date'!F:F,E39,
'YearA-AppDetails Current Date'!E:E,--F39,
'YearA-AppDetails Current Date'!Y:Y,"ENRO",
'YearA-AppDetails Current Date'!I:I,"WINTER")),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HC'!D:T,6,FALSE)),
N(VLOOKUP(D40&amp;F40,'Budgeted Projections Intl HC'!D:T,7,FALSE))
)
),"")</f>
        <v/>
      </c>
      <c r="I40" s="73" t="str">
        <f>IFERROR(1/(1/COUNTIFS(
'YearA-AppDetails Current Date'!A:A,D40,
'YearA-AppDetails Current Date'!F:F,E40,
'YearA-AppDetails Current Date'!E:E,--F40,
'YearA-AppDetails Current Date'!I:I,"WINTER")), "")</f>
        <v/>
      </c>
      <c r="J40" s="74" t="str" cm="1">
        <f t="array" ref="J40">IFERROR(1/(1/SUM(COUNTIFS(
'YearA-AppDetails Current Date'!A:A,D40,
'YearA-AppDetails Current Date'!F:F,E40,
'YearA-AppDetails Current Date'!E:E,--F40,
'YearA-AppDetails Current Date'!O:O,{"ACLN","ACPT","COND"},
'YearA-AppDetails Current Date'!S:S,"&lt;&gt;ACLN",
'YearA-AppDetails Current Date'!S:S,"&lt;&gt;ACPT",
'YearA-AppDetails Current Date'!S:S,"&lt;&gt;COND",
'YearA-AppDetails Current Date'!I:I,"WINTER"))), "")</f>
        <v/>
      </c>
      <c r="K40" s="73" t="str">
        <f>IFERROR(1/(1/SUM(COUNTIFS(
'YearA-AppDetails Current Date'!A:A,D40,
'YearA-AppDetails Current Date'!F:F,E40,
'YearA-AppDetails Current Date'!E:E,--F40,
'YearA-AppDetails Current Date'!R:R,"&lt;&gt;"&amp;"",
'YearA-AppDetails Current Date'!I:I,"WINTER"))), "")</f>
        <v/>
      </c>
      <c r="L40" s="74" t="str" cm="1">
        <f t="array" ref="L40">IFERROR(1/(1/SUM(COUNTIFS(
'YearA-AppDetails Current Date'!A:A,D40,
'YearA-AppDetails Current Date'!F:F,E40,
'YearA-AppDetails Current Date'!E:E,--F40,
'YearA-AppDetails Current Date'!T:T,{"APEX","DENY","NTSL"},
'YearA-AppDetails Current Date'!I:I,"WINTER"))), "")</f>
        <v/>
      </c>
      <c r="M40" s="74" t="str" cm="1">
        <f t="array" ref="M40">IFERROR(1/(1/SUM(COUNTIFS(
'YearA-AppDetails Current Date'!A:A,D40,
'YearA-AppDetails Current Date'!F:F,E40,
'YearA-AppDetails Current Date'!E:E,--F40,
'YearA-AppDetails Current Date'!U:U,{"CCAN","DECL"},
'YearA-AppDetails Current Date'!I:I,"WINTER"))), "")</f>
        <v/>
      </c>
      <c r="N40" s="74" t="str" cm="1">
        <f t="array" ref="N40">IFERROR(1/(1/SUM(COUNTIFS(
'YearA-AppDetails Current Date'!A:A,D40,
'YearA-AppDetails Current Date'!F:F,E40,
'YearA-AppDetails Current Date'!E:E,--F40,
'YearA-AppDetails Current Date'!V:V,{"APRO","NODE"},
'YearA-AppDetails Current Date'!I:I,"WINTER"))), "")</f>
        <v/>
      </c>
      <c r="O40" s="74" t="str" cm="1">
        <f t="array" ref="O40">IFERROR(1/(1/SUM(COUNTIFS(
'YearA-AppDetails Current Date'!A:A,D40,
'YearA-AppDetails Current Date'!F:F,E40,
'YearA-AppDetails Current Date'!E:E,--F40,
'YearA-AppDetails Current Date'!T:T,{"CDMT","RQMT","WAIT"},
'YearA-AppDetails Current Date'!I:I,"WINTER"))), "")</f>
        <v/>
      </c>
      <c r="P40" s="74" t="str">
        <f>IFERROR(1/(1/COUNTIFS(
'YearA-AppDetails Current Date'!A:A,D40,
'YearA-AppDetails Current Date'!F:F,E40,
'YearA-AppDetails Current Date'!E:E,--F40,
'YearA-AppDetails Current Date'!Y:Y,"ENRO",
'YearA-AppDetails Current Date'!I:I,"WINTER")),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HC'!D:T,6,FALSE)),
N(VLOOKUP(D41&amp;F41,'Budgeted Projections Dom HC'!D:T,7,FALSE))
)
),"")</f>
        <v/>
      </c>
      <c r="I41" s="73" t="str">
        <f>IFERROR(1/(1/COUNTIFS(
'YearA-AppDetails Current Date'!A:A,D41,
'YearA-AppDetails Current Date'!F:F,E41,
'YearA-AppDetails Current Date'!E:E,--F41,
'YearA-AppDetails Current Date'!I:I,"WINTER")), "")</f>
        <v/>
      </c>
      <c r="J41" s="74" t="str" cm="1">
        <f t="array" ref="J41">IFERROR(1/(1/SUM(COUNTIFS(
'YearA-AppDetails Current Date'!A:A,D41,
'YearA-AppDetails Current Date'!F:F,E41,
'YearA-AppDetails Current Date'!E:E,--F41,
'YearA-AppDetails Current Date'!O:O,{"ACLN","ACPT","COND"},
'YearA-AppDetails Current Date'!S:S,"&lt;&gt;ACLN",
'YearA-AppDetails Current Date'!S:S,"&lt;&gt;ACPT",
'YearA-AppDetails Current Date'!S:S,"&lt;&gt;COND",
'YearA-AppDetails Current Date'!I:I,"WINTER"))), "")</f>
        <v/>
      </c>
      <c r="K41" s="73" t="str">
        <f>IFERROR(1/(1/SUM(COUNTIFS(
'YearA-AppDetails Current Date'!A:A,D41,
'YearA-AppDetails Current Date'!F:F,E41,
'YearA-AppDetails Current Date'!E:E,--F41,
'YearA-AppDetails Current Date'!R:R,"&lt;&gt;"&amp;"",
'YearA-AppDetails Current Date'!I:I,"WINTER"))), "")</f>
        <v/>
      </c>
      <c r="L41" s="74" t="str" cm="1">
        <f t="array" ref="L41">IFERROR(1/(1/SUM(COUNTIFS(
'YearA-AppDetails Current Date'!A:A,D41,
'YearA-AppDetails Current Date'!F:F,E41,
'YearA-AppDetails Current Date'!E:E,--F41,
'YearA-AppDetails Current Date'!T:T,{"APEX","DENY","NTSL"},
'YearA-AppDetails Current Date'!I:I,"WINTER"))), "")</f>
        <v/>
      </c>
      <c r="M41" s="74" t="str" cm="1">
        <f t="array" ref="M41">IFERROR(1/(1/SUM(COUNTIFS(
'YearA-AppDetails Current Date'!A:A,D41,
'YearA-AppDetails Current Date'!F:F,E41,
'YearA-AppDetails Current Date'!E:E,--F41,
'YearA-AppDetails Current Date'!U:U,{"CCAN","DECL"},
'YearA-AppDetails Current Date'!I:I,"WINTER"))), "")</f>
        <v/>
      </c>
      <c r="N41" s="74" t="str" cm="1">
        <f t="array" ref="N41">IFERROR(1/(1/SUM(COUNTIFS(
'YearA-AppDetails Current Date'!A:A,D41,
'YearA-AppDetails Current Date'!F:F,E41,
'YearA-AppDetails Current Date'!E:E,--F41,
'YearA-AppDetails Current Date'!V:V,{"APRO","NODE"},
'YearA-AppDetails Current Date'!I:I,"WINTER"))), "")</f>
        <v/>
      </c>
      <c r="O41" s="74" t="str" cm="1">
        <f t="array" ref="O41">IFERROR(1/(1/SUM(COUNTIFS(
'YearA-AppDetails Current Date'!A:A,D41,
'YearA-AppDetails Current Date'!F:F,E41,
'YearA-AppDetails Current Date'!E:E,--F41,
'YearA-AppDetails Current Date'!T:T,{"CDMT","RQMT","WAIT"},
'YearA-AppDetails Current Date'!I:I,"WINTER"))), "")</f>
        <v/>
      </c>
      <c r="P41" s="74" t="str">
        <f>IFERROR(1/(1/COUNTIFS(
'YearA-AppDetails Current Date'!A:A,D41,
'YearA-AppDetails Current Date'!F:F,E41,
'YearA-AppDetails Current Date'!E:E,--F41,
'YearA-AppDetails Current Date'!Y:Y,"ENRO",
'YearA-AppDetails Current Date'!I:I,"WINTER")),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HC'!D:T,6,FALSE)),
N(VLOOKUP(D42&amp;F42,'Budgeted Projections Intl HC'!D:T,7,FALSE))
)
),"")</f>
        <v/>
      </c>
      <c r="I42" s="73" t="str">
        <f>IFERROR(1/(1/COUNTIFS(
'YearA-AppDetails Current Date'!A:A,D42,
'YearA-AppDetails Current Date'!F:F,E42,
'YearA-AppDetails Current Date'!E:E,--F42,
'YearA-AppDetails Current Date'!I:I,"WINTER")), "")</f>
        <v/>
      </c>
      <c r="J42" s="74" t="str" cm="1">
        <f t="array" ref="J42">IFERROR(1/(1/SUM(COUNTIFS(
'YearA-AppDetails Current Date'!A:A,D42,
'YearA-AppDetails Current Date'!F:F,E42,
'YearA-AppDetails Current Date'!E:E,--F42,
'YearA-AppDetails Current Date'!O:O,{"ACLN","ACPT","COND"},
'YearA-AppDetails Current Date'!S:S,"&lt;&gt;ACLN",
'YearA-AppDetails Current Date'!S:S,"&lt;&gt;ACPT",
'YearA-AppDetails Current Date'!S:S,"&lt;&gt;COND",
'YearA-AppDetails Current Date'!I:I,"WINTER"))), "")</f>
        <v/>
      </c>
      <c r="K42" s="73" t="str">
        <f>IFERROR(1/(1/SUM(COUNTIFS(
'YearA-AppDetails Current Date'!A:A,D42,
'YearA-AppDetails Current Date'!F:F,E42,
'YearA-AppDetails Current Date'!E:E,--F42,
'YearA-AppDetails Current Date'!R:R,"&lt;&gt;"&amp;"",
'YearA-AppDetails Current Date'!I:I,"WINTER"))), "")</f>
        <v/>
      </c>
      <c r="L42" s="74" t="str" cm="1">
        <f t="array" ref="L42">IFERROR(1/(1/SUM(COUNTIFS(
'YearA-AppDetails Current Date'!A:A,D42,
'YearA-AppDetails Current Date'!F:F,E42,
'YearA-AppDetails Current Date'!E:E,--F42,
'YearA-AppDetails Current Date'!T:T,{"APEX","DENY","NTSL"},
'YearA-AppDetails Current Date'!I:I,"WINTER"))), "")</f>
        <v/>
      </c>
      <c r="M42" s="74" t="str" cm="1">
        <f t="array" ref="M42">IFERROR(1/(1/SUM(COUNTIFS(
'YearA-AppDetails Current Date'!A:A,D42,
'YearA-AppDetails Current Date'!F:F,E42,
'YearA-AppDetails Current Date'!E:E,--F42,
'YearA-AppDetails Current Date'!U:U,{"CCAN","DECL"},
'YearA-AppDetails Current Date'!I:I,"WINTER"))), "")</f>
        <v/>
      </c>
      <c r="N42" s="74" t="str" cm="1">
        <f t="array" ref="N42">IFERROR(1/(1/SUM(COUNTIFS(
'YearA-AppDetails Current Date'!A:A,D42,
'YearA-AppDetails Current Date'!F:F,E42,
'YearA-AppDetails Current Date'!E:E,--F42,
'YearA-AppDetails Current Date'!V:V,{"APRO","NODE"},
'YearA-AppDetails Current Date'!I:I,"WINTER"))), "")</f>
        <v/>
      </c>
      <c r="O42" s="74" t="str" cm="1">
        <f t="array" ref="O42">IFERROR(1/(1/SUM(COUNTIFS(
'YearA-AppDetails Current Date'!A:A,D42,
'YearA-AppDetails Current Date'!F:F,E42,
'YearA-AppDetails Current Date'!E:E,--F42,
'YearA-AppDetails Current Date'!T:T,{"CDMT","RQMT","WAIT"},
'YearA-AppDetails Current Date'!I:I,"WINTER"))), "")</f>
        <v/>
      </c>
      <c r="P42" s="74" t="str">
        <f>IFERROR(1/(1/COUNTIFS(
'YearA-AppDetails Current Date'!A:A,D42,
'YearA-AppDetails Current Date'!F:F,E42,
'YearA-AppDetails Current Date'!E:E,--F42,
'YearA-AppDetails Current Date'!Y:Y,"ENRO",
'YearA-AppDetails Current Date'!I:I,"WINTER")),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HC'!D:T,6,FALSE)),
N(VLOOKUP(D43&amp;F43,'Budgeted Projections Dom HC'!D:T,7,FALSE))
)
),"")</f>
        <v/>
      </c>
      <c r="I43" s="73" t="str">
        <f>IFERROR(1/(1/COUNTIFS(
'YearA-AppDetails Current Date'!A:A,D43,
'YearA-AppDetails Current Date'!F:F,E43,
'YearA-AppDetails Current Date'!E:E,--F43,
'YearA-AppDetails Current Date'!I:I,"WINTER")), "")</f>
        <v/>
      </c>
      <c r="J43" s="74" t="str" cm="1">
        <f t="array" ref="J43">IFERROR(1/(1/SUM(COUNTIFS(
'YearA-AppDetails Current Date'!A:A,D43,
'YearA-AppDetails Current Date'!F:F,E43,
'YearA-AppDetails Current Date'!E:E,--F43,
'YearA-AppDetails Current Date'!O:O,{"ACLN","ACPT","COND"},
'YearA-AppDetails Current Date'!S:S,"&lt;&gt;ACLN",
'YearA-AppDetails Current Date'!S:S,"&lt;&gt;ACPT",
'YearA-AppDetails Current Date'!S:S,"&lt;&gt;COND",
'YearA-AppDetails Current Date'!I:I,"WINTER"))), "")</f>
        <v/>
      </c>
      <c r="K43" s="73" t="str">
        <f>IFERROR(1/(1/SUM(COUNTIFS(
'YearA-AppDetails Current Date'!A:A,D43,
'YearA-AppDetails Current Date'!F:F,E43,
'YearA-AppDetails Current Date'!E:E,--F43,
'YearA-AppDetails Current Date'!R:R,"&lt;&gt;"&amp;"",
'YearA-AppDetails Current Date'!I:I,"WINTER"))), "")</f>
        <v/>
      </c>
      <c r="L43" s="74" t="str" cm="1">
        <f t="array" ref="L43">IFERROR(1/(1/SUM(COUNTIFS(
'YearA-AppDetails Current Date'!A:A,D43,
'YearA-AppDetails Current Date'!F:F,E43,
'YearA-AppDetails Current Date'!E:E,--F43,
'YearA-AppDetails Current Date'!T:T,{"APEX","DENY","NTSL"},
'YearA-AppDetails Current Date'!I:I,"WINTER"))), "")</f>
        <v/>
      </c>
      <c r="M43" s="74" t="str" cm="1">
        <f t="array" ref="M43">IFERROR(1/(1/SUM(COUNTIFS(
'YearA-AppDetails Current Date'!A:A,D43,
'YearA-AppDetails Current Date'!F:F,E43,
'YearA-AppDetails Current Date'!E:E,--F43,
'YearA-AppDetails Current Date'!U:U,{"CCAN","DECL"},
'YearA-AppDetails Current Date'!I:I,"WINTER"))), "")</f>
        <v/>
      </c>
      <c r="N43" s="74" t="str" cm="1">
        <f t="array" ref="N43">IFERROR(1/(1/SUM(COUNTIFS(
'YearA-AppDetails Current Date'!A:A,D43,
'YearA-AppDetails Current Date'!F:F,E43,
'YearA-AppDetails Current Date'!E:E,--F43,
'YearA-AppDetails Current Date'!V:V,{"APRO","NODE"},
'YearA-AppDetails Current Date'!I:I,"WINTER"))), "")</f>
        <v/>
      </c>
      <c r="O43" s="74" t="str" cm="1">
        <f t="array" ref="O43">IFERROR(1/(1/SUM(COUNTIFS(
'YearA-AppDetails Current Date'!A:A,D43,
'YearA-AppDetails Current Date'!F:F,E43,
'YearA-AppDetails Current Date'!E:E,--F43,
'YearA-AppDetails Current Date'!T:T,{"CDMT","RQMT","WAIT"},
'YearA-AppDetails Current Date'!I:I,"WINTER"))), "")</f>
        <v/>
      </c>
      <c r="P43" s="74" t="str">
        <f>IFERROR(1/(1/COUNTIFS(
'YearA-AppDetails Current Date'!A:A,D43,
'YearA-AppDetails Current Date'!F:F,E43,
'YearA-AppDetails Current Date'!E:E,--F43,
'YearA-AppDetails Current Date'!Y:Y,"ENRO",
'YearA-AppDetails Current Date'!I:I,"WINTER")),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HC'!D:T,6,FALSE)),
N(VLOOKUP(D44&amp;F44,'Budgeted Projections Intl HC'!D:T,7,FALSE))
)
),"")</f>
        <v/>
      </c>
      <c r="I44" s="73" t="str">
        <f>IFERROR(1/(1/COUNTIFS(
'YearA-AppDetails Current Date'!A:A,D44,
'YearA-AppDetails Current Date'!F:F,E44,
'YearA-AppDetails Current Date'!E:E,--F44,
'YearA-AppDetails Current Date'!I:I,"WINTER")), "")</f>
        <v/>
      </c>
      <c r="J44" s="74" t="str" cm="1">
        <f t="array" ref="J44">IFERROR(1/(1/SUM(COUNTIFS(
'YearA-AppDetails Current Date'!A:A,D44,
'YearA-AppDetails Current Date'!F:F,E44,
'YearA-AppDetails Current Date'!E:E,--F44,
'YearA-AppDetails Current Date'!O:O,{"ACLN","ACPT","COND"},
'YearA-AppDetails Current Date'!S:S,"&lt;&gt;ACLN",
'YearA-AppDetails Current Date'!S:S,"&lt;&gt;ACPT",
'YearA-AppDetails Current Date'!S:S,"&lt;&gt;COND",
'YearA-AppDetails Current Date'!I:I,"WINTER"))), "")</f>
        <v/>
      </c>
      <c r="K44" s="73" t="str">
        <f>IFERROR(1/(1/SUM(COUNTIFS(
'YearA-AppDetails Current Date'!A:A,D44,
'YearA-AppDetails Current Date'!F:F,E44,
'YearA-AppDetails Current Date'!E:E,--F44,
'YearA-AppDetails Current Date'!R:R,"&lt;&gt;"&amp;"",
'YearA-AppDetails Current Date'!I:I,"WINTER"))), "")</f>
        <v/>
      </c>
      <c r="L44" s="74" t="str" cm="1">
        <f t="array" ref="L44">IFERROR(1/(1/SUM(COUNTIFS(
'YearA-AppDetails Current Date'!A:A,D44,
'YearA-AppDetails Current Date'!F:F,E44,
'YearA-AppDetails Current Date'!E:E,--F44,
'YearA-AppDetails Current Date'!T:T,{"APEX","DENY","NTSL"},
'YearA-AppDetails Current Date'!I:I,"WINTER"))), "")</f>
        <v/>
      </c>
      <c r="M44" s="74" t="str" cm="1">
        <f t="array" ref="M44">IFERROR(1/(1/SUM(COUNTIFS(
'YearA-AppDetails Current Date'!A:A,D44,
'YearA-AppDetails Current Date'!F:F,E44,
'YearA-AppDetails Current Date'!E:E,--F44,
'YearA-AppDetails Current Date'!U:U,{"CCAN","DECL"},
'YearA-AppDetails Current Date'!I:I,"WINTER"))), "")</f>
        <v/>
      </c>
      <c r="N44" s="74" t="str" cm="1">
        <f t="array" ref="N44">IFERROR(1/(1/SUM(COUNTIFS(
'YearA-AppDetails Current Date'!A:A,D44,
'YearA-AppDetails Current Date'!F:F,E44,
'YearA-AppDetails Current Date'!E:E,--F44,
'YearA-AppDetails Current Date'!V:V,{"APRO","NODE"},
'YearA-AppDetails Current Date'!I:I,"WINTER"))), "")</f>
        <v/>
      </c>
      <c r="O44" s="74" t="str" cm="1">
        <f t="array" ref="O44">IFERROR(1/(1/SUM(COUNTIFS(
'YearA-AppDetails Current Date'!A:A,D44,
'YearA-AppDetails Current Date'!F:F,E44,
'YearA-AppDetails Current Date'!E:E,--F44,
'YearA-AppDetails Current Date'!T:T,{"CDMT","RQMT","WAIT"},
'YearA-AppDetails Current Date'!I:I,"WINTER"))), "")</f>
        <v/>
      </c>
      <c r="P44" s="74" t="str">
        <f>IFERROR(1/(1/COUNTIFS(
'YearA-AppDetails Current Date'!A:A,D44,
'YearA-AppDetails Current Date'!F:F,E44,
'YearA-AppDetails Current Date'!E:E,--F44,
'YearA-AppDetails Current Date'!Y:Y,"ENRO",
'YearA-AppDetails Current Date'!I:I,"WINTER")),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HC'!D:T,6,FALSE)),
N(VLOOKUP(D45&amp;F45,'Budgeted Projections Dom HC'!D:T,7,FALSE))
)
),"")</f>
        <v/>
      </c>
      <c r="I45" s="73" t="str">
        <f>IFERROR(1/(1/COUNTIFS(
'YearA-AppDetails Current Date'!A:A,D45,
'YearA-AppDetails Current Date'!F:F,E45,
'YearA-AppDetails Current Date'!E:E,--F45,
'YearA-AppDetails Current Date'!I:I,"WINTER")), "")</f>
        <v/>
      </c>
      <c r="J45" s="74" t="str" cm="1">
        <f t="array" ref="J45">IFERROR(1/(1/SUM(COUNTIFS(
'YearA-AppDetails Current Date'!A:A,D45,
'YearA-AppDetails Current Date'!F:F,E45,
'YearA-AppDetails Current Date'!E:E,--F45,
'YearA-AppDetails Current Date'!O:O,{"ACLN","ACPT","COND"},
'YearA-AppDetails Current Date'!S:S,"&lt;&gt;ACLN",
'YearA-AppDetails Current Date'!S:S,"&lt;&gt;ACPT",
'YearA-AppDetails Current Date'!S:S,"&lt;&gt;COND",
'YearA-AppDetails Current Date'!I:I,"WINTER"))), "")</f>
        <v/>
      </c>
      <c r="K45" s="73" t="str">
        <f>IFERROR(1/(1/SUM(COUNTIFS(
'YearA-AppDetails Current Date'!A:A,D45,
'YearA-AppDetails Current Date'!F:F,E45,
'YearA-AppDetails Current Date'!E:E,--F45,
'YearA-AppDetails Current Date'!R:R,"&lt;&gt;"&amp;"",
'YearA-AppDetails Current Date'!I:I,"WINTER"))), "")</f>
        <v/>
      </c>
      <c r="L45" s="74" t="str" cm="1">
        <f t="array" ref="L45">IFERROR(1/(1/SUM(COUNTIFS(
'YearA-AppDetails Current Date'!A:A,D45,
'YearA-AppDetails Current Date'!F:F,E45,
'YearA-AppDetails Current Date'!E:E,--F45,
'YearA-AppDetails Current Date'!T:T,{"APEX","DENY","NTSL"},
'YearA-AppDetails Current Date'!I:I,"WINTER"))), "")</f>
        <v/>
      </c>
      <c r="M45" s="74" t="str" cm="1">
        <f t="array" ref="M45">IFERROR(1/(1/SUM(COUNTIFS(
'YearA-AppDetails Current Date'!A:A,D45,
'YearA-AppDetails Current Date'!F:F,E45,
'YearA-AppDetails Current Date'!E:E,--F45,
'YearA-AppDetails Current Date'!U:U,{"CCAN","DECL"},
'YearA-AppDetails Current Date'!I:I,"WINTER"))), "")</f>
        <v/>
      </c>
      <c r="N45" s="74" t="str" cm="1">
        <f t="array" ref="N45">IFERROR(1/(1/SUM(COUNTIFS(
'YearA-AppDetails Current Date'!A:A,D45,
'YearA-AppDetails Current Date'!F:F,E45,
'YearA-AppDetails Current Date'!E:E,--F45,
'YearA-AppDetails Current Date'!V:V,{"APRO","NODE"},
'YearA-AppDetails Current Date'!I:I,"WINTER"))), "")</f>
        <v/>
      </c>
      <c r="O45" s="74" t="str" cm="1">
        <f t="array" ref="O45">IFERROR(1/(1/SUM(COUNTIFS(
'YearA-AppDetails Current Date'!A:A,D45,
'YearA-AppDetails Current Date'!F:F,E45,
'YearA-AppDetails Current Date'!E:E,--F45,
'YearA-AppDetails Current Date'!T:T,{"CDMT","RQMT","WAIT"},
'YearA-AppDetails Current Date'!I:I,"WINTER"))), "")</f>
        <v/>
      </c>
      <c r="P45" s="74" t="str">
        <f>IFERROR(1/(1/COUNTIFS(
'YearA-AppDetails Current Date'!A:A,D45,
'YearA-AppDetails Current Date'!F:F,E45,
'YearA-AppDetails Current Date'!E:E,--F45,
'YearA-AppDetails Current Date'!Y:Y,"ENRO",
'YearA-AppDetails Current Date'!I:I,"WINTER")),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HC'!D:T,6,FALSE)),
N(VLOOKUP(D46&amp;F46,'Budgeted Projections Intl HC'!D:T,7,FALSE))
)
),"")</f>
        <v/>
      </c>
      <c r="I46" s="73" t="str">
        <f>IFERROR(1/(1/COUNTIFS(
'YearA-AppDetails Current Date'!A:A,D46,
'YearA-AppDetails Current Date'!F:F,E46,
'YearA-AppDetails Current Date'!E:E,--F46,
'YearA-AppDetails Current Date'!I:I,"WINTER")), "")</f>
        <v/>
      </c>
      <c r="J46" s="74" t="str" cm="1">
        <f t="array" ref="J46">IFERROR(1/(1/SUM(COUNTIFS(
'YearA-AppDetails Current Date'!A:A,D46,
'YearA-AppDetails Current Date'!F:F,E46,
'YearA-AppDetails Current Date'!E:E,--F46,
'YearA-AppDetails Current Date'!O:O,{"ACLN","ACPT","COND"},
'YearA-AppDetails Current Date'!S:S,"&lt;&gt;ACLN",
'YearA-AppDetails Current Date'!S:S,"&lt;&gt;ACPT",
'YearA-AppDetails Current Date'!S:S,"&lt;&gt;COND",
'YearA-AppDetails Current Date'!I:I,"WINTER"))), "")</f>
        <v/>
      </c>
      <c r="K46" s="73" t="str">
        <f>IFERROR(1/(1/SUM(COUNTIFS(
'YearA-AppDetails Current Date'!A:A,D46,
'YearA-AppDetails Current Date'!F:F,E46,
'YearA-AppDetails Current Date'!E:E,--F46,
'YearA-AppDetails Current Date'!R:R,"&lt;&gt;"&amp;"",
'YearA-AppDetails Current Date'!I:I,"WINTER"))), "")</f>
        <v/>
      </c>
      <c r="L46" s="74" t="str" cm="1">
        <f t="array" ref="L46">IFERROR(1/(1/SUM(COUNTIFS(
'YearA-AppDetails Current Date'!A:A,D46,
'YearA-AppDetails Current Date'!F:F,E46,
'YearA-AppDetails Current Date'!E:E,--F46,
'YearA-AppDetails Current Date'!T:T,{"APEX","DENY","NTSL"},
'YearA-AppDetails Current Date'!I:I,"WINTER"))), "")</f>
        <v/>
      </c>
      <c r="M46" s="74" t="str" cm="1">
        <f t="array" ref="M46">IFERROR(1/(1/SUM(COUNTIFS(
'YearA-AppDetails Current Date'!A:A,D46,
'YearA-AppDetails Current Date'!F:F,E46,
'YearA-AppDetails Current Date'!E:E,--F46,
'YearA-AppDetails Current Date'!U:U,{"CCAN","DECL"},
'YearA-AppDetails Current Date'!I:I,"WINTER"))), "")</f>
        <v/>
      </c>
      <c r="N46" s="74" t="str" cm="1">
        <f t="array" ref="N46">IFERROR(1/(1/SUM(COUNTIFS(
'YearA-AppDetails Current Date'!A:A,D46,
'YearA-AppDetails Current Date'!F:F,E46,
'YearA-AppDetails Current Date'!E:E,--F46,
'YearA-AppDetails Current Date'!V:V,{"APRO","NODE"},
'YearA-AppDetails Current Date'!I:I,"WINTER"))), "")</f>
        <v/>
      </c>
      <c r="O46" s="74" t="str" cm="1">
        <f t="array" ref="O46">IFERROR(1/(1/SUM(COUNTIFS(
'YearA-AppDetails Current Date'!A:A,D46,
'YearA-AppDetails Current Date'!F:F,E46,
'YearA-AppDetails Current Date'!E:E,--F46,
'YearA-AppDetails Current Date'!T:T,{"CDMT","RQMT","WAIT"},
'YearA-AppDetails Current Date'!I:I,"WINTER"))), "")</f>
        <v/>
      </c>
      <c r="P46" s="74" t="str">
        <f>IFERROR(1/(1/COUNTIFS(
'YearA-AppDetails Current Date'!A:A,D46,
'YearA-AppDetails Current Date'!F:F,E46,
'YearA-AppDetails Current Date'!E:E,--F46,
'YearA-AppDetails Current Date'!Y:Y,"ENRO",
'YearA-AppDetails Current Date'!I:I,"WINTER")),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HC'!D:T,6,FALSE)),
N(VLOOKUP(D47&amp;F47,'Budgeted Projections Dom HC'!D:T,7,FALSE))
)
),"")</f>
        <v/>
      </c>
      <c r="I47" s="73" t="str">
        <f>IFERROR(1/(1/COUNTIFS(
'YearA-AppDetails Current Date'!A:A,D47,
'YearA-AppDetails Current Date'!F:F,E47,
'YearA-AppDetails Current Date'!E:E,--F47,
'YearA-AppDetails Current Date'!I:I,"WINTER")), "")</f>
        <v/>
      </c>
      <c r="J47" s="74" t="str" cm="1">
        <f t="array" ref="J47">IFERROR(1/(1/SUM(COUNTIFS(
'YearA-AppDetails Current Date'!A:A,D47,
'YearA-AppDetails Current Date'!F:F,E47,
'YearA-AppDetails Current Date'!E:E,--F47,
'YearA-AppDetails Current Date'!O:O,{"ACLN","ACPT","COND"},
'YearA-AppDetails Current Date'!S:S,"&lt;&gt;ACLN",
'YearA-AppDetails Current Date'!S:S,"&lt;&gt;ACPT",
'YearA-AppDetails Current Date'!S:S,"&lt;&gt;COND",
'YearA-AppDetails Current Date'!I:I,"WINTER"))), "")</f>
        <v/>
      </c>
      <c r="K47" s="73" t="str">
        <f>IFERROR(1/(1/SUM(COUNTIFS(
'YearA-AppDetails Current Date'!A:A,D47,
'YearA-AppDetails Current Date'!F:F,E47,
'YearA-AppDetails Current Date'!E:E,--F47,
'YearA-AppDetails Current Date'!R:R,"&lt;&gt;"&amp;"",
'YearA-AppDetails Current Date'!I:I,"WINTER"))), "")</f>
        <v/>
      </c>
      <c r="L47" s="74" t="str" cm="1">
        <f t="array" ref="L47">IFERROR(1/(1/SUM(COUNTIFS(
'YearA-AppDetails Current Date'!A:A,D47,
'YearA-AppDetails Current Date'!F:F,E47,
'YearA-AppDetails Current Date'!E:E,--F47,
'YearA-AppDetails Current Date'!T:T,{"APEX","DENY","NTSL"},
'YearA-AppDetails Current Date'!I:I,"WINTER"))), "")</f>
        <v/>
      </c>
      <c r="M47" s="74" t="str" cm="1">
        <f t="array" ref="M47">IFERROR(1/(1/SUM(COUNTIFS(
'YearA-AppDetails Current Date'!A:A,D47,
'YearA-AppDetails Current Date'!F:F,E47,
'YearA-AppDetails Current Date'!E:E,--F47,
'YearA-AppDetails Current Date'!U:U,{"CCAN","DECL"},
'YearA-AppDetails Current Date'!I:I,"WINTER"))), "")</f>
        <v/>
      </c>
      <c r="N47" s="74" t="str" cm="1">
        <f t="array" ref="N47">IFERROR(1/(1/SUM(COUNTIFS(
'YearA-AppDetails Current Date'!A:A,D47,
'YearA-AppDetails Current Date'!F:F,E47,
'YearA-AppDetails Current Date'!E:E,--F47,
'YearA-AppDetails Current Date'!V:V,{"APRO","NODE"},
'YearA-AppDetails Current Date'!I:I,"WINTER"))), "")</f>
        <v/>
      </c>
      <c r="O47" s="74" t="str" cm="1">
        <f t="array" ref="O47">IFERROR(1/(1/SUM(COUNTIFS(
'YearA-AppDetails Current Date'!A:A,D47,
'YearA-AppDetails Current Date'!F:F,E47,
'YearA-AppDetails Current Date'!E:E,--F47,
'YearA-AppDetails Current Date'!T:T,{"CDMT","RQMT","WAIT"},
'YearA-AppDetails Current Date'!I:I,"WINTER"))), "")</f>
        <v/>
      </c>
      <c r="P47" s="74" t="str">
        <f>IFERROR(1/(1/COUNTIFS(
'YearA-AppDetails Current Date'!A:A,D47,
'YearA-AppDetails Current Date'!F:F,E47,
'YearA-AppDetails Current Date'!E:E,--F47,
'YearA-AppDetails Current Date'!Y:Y,"ENRO",
'YearA-AppDetails Current Date'!I:I,"WINTER")),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HC'!D:T,6,FALSE)),
N(VLOOKUP(D48&amp;F48,'Budgeted Projections Intl HC'!D:T,7,FALSE))
)
),"")</f>
        <v/>
      </c>
      <c r="I48" s="73" t="str">
        <f>IFERROR(1/(1/COUNTIFS(
'YearA-AppDetails Current Date'!A:A,D48,
'YearA-AppDetails Current Date'!F:F,E48,
'YearA-AppDetails Current Date'!E:E,--F48,
'YearA-AppDetails Current Date'!I:I,"WINTER")), "")</f>
        <v/>
      </c>
      <c r="J48" s="74" t="str" cm="1">
        <f t="array" ref="J48">IFERROR(1/(1/SUM(COUNTIFS(
'YearA-AppDetails Current Date'!A:A,D48,
'YearA-AppDetails Current Date'!F:F,E48,
'YearA-AppDetails Current Date'!E:E,--F48,
'YearA-AppDetails Current Date'!O:O,{"ACLN","ACPT","COND"},
'YearA-AppDetails Current Date'!S:S,"&lt;&gt;ACLN",
'YearA-AppDetails Current Date'!S:S,"&lt;&gt;ACPT",
'YearA-AppDetails Current Date'!S:S,"&lt;&gt;COND",
'YearA-AppDetails Current Date'!I:I,"WINTER"))), "")</f>
        <v/>
      </c>
      <c r="K48" s="73" t="str">
        <f>IFERROR(1/(1/SUM(COUNTIFS(
'YearA-AppDetails Current Date'!A:A,D48,
'YearA-AppDetails Current Date'!F:F,E48,
'YearA-AppDetails Current Date'!E:E,--F48,
'YearA-AppDetails Current Date'!R:R,"&lt;&gt;"&amp;"",
'YearA-AppDetails Current Date'!I:I,"WINTER"))), "")</f>
        <v/>
      </c>
      <c r="L48" s="74" t="str" cm="1">
        <f t="array" ref="L48">IFERROR(1/(1/SUM(COUNTIFS(
'YearA-AppDetails Current Date'!A:A,D48,
'YearA-AppDetails Current Date'!F:F,E48,
'YearA-AppDetails Current Date'!E:E,--F48,
'YearA-AppDetails Current Date'!T:T,{"APEX","DENY","NTSL"},
'YearA-AppDetails Current Date'!I:I,"WINTER"))), "")</f>
        <v/>
      </c>
      <c r="M48" s="74" t="str" cm="1">
        <f t="array" ref="M48">IFERROR(1/(1/SUM(COUNTIFS(
'YearA-AppDetails Current Date'!A:A,D48,
'YearA-AppDetails Current Date'!F:F,E48,
'YearA-AppDetails Current Date'!E:E,--F48,
'YearA-AppDetails Current Date'!U:U,{"CCAN","DECL"},
'YearA-AppDetails Current Date'!I:I,"WINTER"))), "")</f>
        <v/>
      </c>
      <c r="N48" s="74" t="str" cm="1">
        <f t="array" ref="N48">IFERROR(1/(1/SUM(COUNTIFS(
'YearA-AppDetails Current Date'!A:A,D48,
'YearA-AppDetails Current Date'!F:F,E48,
'YearA-AppDetails Current Date'!E:E,--F48,
'YearA-AppDetails Current Date'!V:V,{"APRO","NODE"},
'YearA-AppDetails Current Date'!I:I,"WINTER"))), "")</f>
        <v/>
      </c>
      <c r="O48" s="74" t="str" cm="1">
        <f t="array" ref="O48">IFERROR(1/(1/SUM(COUNTIFS(
'YearA-AppDetails Current Date'!A:A,D48,
'YearA-AppDetails Current Date'!F:F,E48,
'YearA-AppDetails Current Date'!E:E,--F48,
'YearA-AppDetails Current Date'!T:T,{"CDMT","RQMT","WAIT"},
'YearA-AppDetails Current Date'!I:I,"WINTER"))), "")</f>
        <v/>
      </c>
      <c r="P48" s="74" t="str">
        <f>IFERROR(1/(1/COUNTIFS(
'YearA-AppDetails Current Date'!A:A,D48,
'YearA-AppDetails Current Date'!F:F,E48,
'YearA-AppDetails Current Date'!E:E,--F48,
'YearA-AppDetails Current Date'!Y:Y,"ENRO",
'YearA-AppDetails Current Date'!I:I,"WINTER")),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HC'!D:T,6,FALSE)),
N(VLOOKUP(D50&amp;F50,'Budgeted Projections Dom HC'!D:T,7,FALSE))
)
),"")</f>
        <v/>
      </c>
      <c r="I50" s="73" t="str">
        <f>IFERROR(1/(1/COUNTIFS(
'YearA-AppDetails Current Date'!A:A,D50,
'YearA-AppDetails Current Date'!F:F,E50,
'YearA-AppDetails Current Date'!E:E,--F50,
'YearA-AppDetails Current Date'!I:I,"WINTER")), "")</f>
        <v/>
      </c>
      <c r="J50" s="74" t="str" cm="1">
        <f t="array" ref="J50">IFERROR(1/(1/SUM(COUNTIFS(
'YearA-AppDetails Current Date'!A:A,D50,
'YearA-AppDetails Current Date'!F:F,E50,
'YearA-AppDetails Current Date'!E:E,--F50,
'YearA-AppDetails Current Date'!O:O,{"ACLN","ACPT","COND"},
'YearA-AppDetails Current Date'!S:S,"&lt;&gt;ACLN",
'YearA-AppDetails Current Date'!S:S,"&lt;&gt;ACPT",
'YearA-AppDetails Current Date'!S:S,"&lt;&gt;COND",
'YearA-AppDetails Current Date'!I:I,"WINTER"))), "")</f>
        <v/>
      </c>
      <c r="K50" s="73" t="str">
        <f>IFERROR(1/(1/SUM(COUNTIFS(
'YearA-AppDetails Current Date'!A:A,D50,
'YearA-AppDetails Current Date'!F:F,E50,
'YearA-AppDetails Current Date'!E:E,--F50,
'YearA-AppDetails Current Date'!R:R,"&lt;&gt;"&amp;"",
'YearA-AppDetails Current Date'!I:I,"WINTER"))), "")</f>
        <v/>
      </c>
      <c r="L50" s="74" t="str" cm="1">
        <f t="array" ref="L50">IFERROR(1/(1/SUM(COUNTIFS(
'YearA-AppDetails Current Date'!A:A,D50,
'YearA-AppDetails Current Date'!F:F,E50,
'YearA-AppDetails Current Date'!E:E,--F50,
'YearA-AppDetails Current Date'!T:T,{"APEX","DENY","NTSL"},
'YearA-AppDetails Current Date'!I:I,"WINTER"))), "")</f>
        <v/>
      </c>
      <c r="M50" s="74" t="str" cm="1">
        <f t="array" ref="M50">IFERROR(1/(1/SUM(COUNTIFS(
'YearA-AppDetails Current Date'!A:A,D50,
'YearA-AppDetails Current Date'!F:F,E50,
'YearA-AppDetails Current Date'!E:E,--F50,
'YearA-AppDetails Current Date'!U:U,{"CCAN","DECL"},
'YearA-AppDetails Current Date'!I:I,"WINTER"))), "")</f>
        <v/>
      </c>
      <c r="N50" s="74" t="str" cm="1">
        <f t="array" ref="N50">IFERROR(1/(1/SUM(COUNTIFS(
'YearA-AppDetails Current Date'!A:A,D50,
'YearA-AppDetails Current Date'!F:F,E50,
'YearA-AppDetails Current Date'!E:E,--F50,
'YearA-AppDetails Current Date'!V:V,{"APRO","NODE"},
'YearA-AppDetails Current Date'!I:I,"WINTER"))), "")</f>
        <v/>
      </c>
      <c r="O50" s="74" t="str" cm="1">
        <f t="array" ref="O50">IFERROR(1/(1/SUM(COUNTIFS(
'YearA-AppDetails Current Date'!A:A,D50,
'YearA-AppDetails Current Date'!F:F,E50,
'YearA-AppDetails Current Date'!E:E,--F50,
'YearA-AppDetails Current Date'!T:T,{"CDMT","RQMT","WAIT"},
'YearA-AppDetails Current Date'!I:I,"WINTER"))), "")</f>
        <v/>
      </c>
      <c r="P50" s="74" t="str">
        <f>IFERROR(1/(1/COUNTIFS(
'YearA-AppDetails Current Date'!A:A,D50,
'YearA-AppDetails Current Date'!F:F,E50,
'YearA-AppDetails Current Date'!E:E,--F50,
'YearA-AppDetails Current Date'!Y:Y,"ENRO",
'YearA-AppDetails Current Date'!I:I,"WINTER")),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HC'!D:T,6,FALSE)),
N(VLOOKUP(D51&amp;F51,'Budgeted Projections Intl HC'!D:T,7,FALSE))
)
),"")</f>
        <v/>
      </c>
      <c r="I51" s="73" t="str">
        <f>IFERROR(1/(1/COUNTIFS(
'YearA-AppDetails Current Date'!A:A,D51,
'YearA-AppDetails Current Date'!F:F,E51,
'YearA-AppDetails Current Date'!E:E,--F51,
'YearA-AppDetails Current Date'!I:I,"WINTER")), "")</f>
        <v/>
      </c>
      <c r="J51" s="74" t="str" cm="1">
        <f t="array" ref="J51">IFERROR(1/(1/SUM(COUNTIFS(
'YearA-AppDetails Current Date'!A:A,D51,
'YearA-AppDetails Current Date'!F:F,E51,
'YearA-AppDetails Current Date'!E:E,--F51,
'YearA-AppDetails Current Date'!O:O,{"ACLN","ACPT","COND"},
'YearA-AppDetails Current Date'!S:S,"&lt;&gt;ACLN",
'YearA-AppDetails Current Date'!S:S,"&lt;&gt;ACPT",
'YearA-AppDetails Current Date'!S:S,"&lt;&gt;COND",
'YearA-AppDetails Current Date'!I:I,"WINTER"))), "")</f>
        <v/>
      </c>
      <c r="K51" s="73" t="str">
        <f>IFERROR(1/(1/SUM(COUNTIFS(
'YearA-AppDetails Current Date'!A:A,D51,
'YearA-AppDetails Current Date'!F:F,E51,
'YearA-AppDetails Current Date'!E:E,--F51,
'YearA-AppDetails Current Date'!R:R,"&lt;&gt;"&amp;"",
'YearA-AppDetails Current Date'!I:I,"WINTER"))), "")</f>
        <v/>
      </c>
      <c r="L51" s="74" t="str" cm="1">
        <f t="array" ref="L51">IFERROR(1/(1/SUM(COUNTIFS(
'YearA-AppDetails Current Date'!A:A,D51,
'YearA-AppDetails Current Date'!F:F,E51,
'YearA-AppDetails Current Date'!E:E,--F51,
'YearA-AppDetails Current Date'!T:T,{"APEX","DENY","NTSL"},
'YearA-AppDetails Current Date'!I:I,"WINTER"))), "")</f>
        <v/>
      </c>
      <c r="M51" s="74" t="str" cm="1">
        <f t="array" ref="M51">IFERROR(1/(1/SUM(COUNTIFS(
'YearA-AppDetails Current Date'!A:A,D51,
'YearA-AppDetails Current Date'!F:F,E51,
'YearA-AppDetails Current Date'!E:E,--F51,
'YearA-AppDetails Current Date'!U:U,{"CCAN","DECL"},
'YearA-AppDetails Current Date'!I:I,"WINTER"))), "")</f>
        <v/>
      </c>
      <c r="N51" s="74" t="str" cm="1">
        <f t="array" ref="N51">IFERROR(1/(1/SUM(COUNTIFS(
'YearA-AppDetails Current Date'!A:A,D51,
'YearA-AppDetails Current Date'!F:F,E51,
'YearA-AppDetails Current Date'!E:E,--F51,
'YearA-AppDetails Current Date'!V:V,{"APRO","NODE"},
'YearA-AppDetails Current Date'!I:I,"WINTER"))), "")</f>
        <v/>
      </c>
      <c r="O51" s="74" t="str" cm="1">
        <f t="array" ref="O51">IFERROR(1/(1/SUM(COUNTIFS(
'YearA-AppDetails Current Date'!A:A,D51,
'YearA-AppDetails Current Date'!F:F,E51,
'YearA-AppDetails Current Date'!E:E,--F51,
'YearA-AppDetails Current Date'!T:T,{"CDMT","RQMT","WAIT"},
'YearA-AppDetails Current Date'!I:I,"WINTER"))), "")</f>
        <v/>
      </c>
      <c r="P51" s="74" t="str">
        <f>IFERROR(1/(1/COUNTIFS(
'YearA-AppDetails Current Date'!A:A,D51,
'YearA-AppDetails Current Date'!F:F,E51,
'YearA-AppDetails Current Date'!E:E,--F51,
'YearA-AppDetails Current Date'!Y:Y,"ENRO",
'YearA-AppDetails Current Date'!I:I,"WINTER")),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HC'!D:T,6,FALSE)),
N(VLOOKUP(D52&amp;F52,'Budgeted Projections Dom HC'!D:T,7,FALSE))
)
),"")</f>
        <v/>
      </c>
      <c r="I52" s="73" t="str">
        <f>IFERROR(1/(1/COUNTIFS(
'YearA-AppDetails Current Date'!A:A,D52,
'YearA-AppDetails Current Date'!F:F,E52,
'YearA-AppDetails Current Date'!E:E,--F52,
'YearA-AppDetails Current Date'!I:I,"WINTER")), "")</f>
        <v/>
      </c>
      <c r="J52" s="74" t="str" cm="1">
        <f t="array" ref="J52">IFERROR(1/(1/SUM(COUNTIFS(
'YearA-AppDetails Current Date'!A:A,D52,
'YearA-AppDetails Current Date'!F:F,E52,
'YearA-AppDetails Current Date'!E:E,--F52,
'YearA-AppDetails Current Date'!O:O,{"ACLN","ACPT","COND"},
'YearA-AppDetails Current Date'!S:S,"&lt;&gt;ACLN",
'YearA-AppDetails Current Date'!S:S,"&lt;&gt;ACPT",
'YearA-AppDetails Current Date'!S:S,"&lt;&gt;COND",
'YearA-AppDetails Current Date'!I:I,"WINTER"))), "")</f>
        <v/>
      </c>
      <c r="K52" s="73" t="str">
        <f>IFERROR(1/(1/SUM(COUNTIFS(
'YearA-AppDetails Current Date'!A:A,D52,
'YearA-AppDetails Current Date'!F:F,E52,
'YearA-AppDetails Current Date'!E:E,--F52,
'YearA-AppDetails Current Date'!R:R,"&lt;&gt;"&amp;"",
'YearA-AppDetails Current Date'!I:I,"WINTER"))), "")</f>
        <v/>
      </c>
      <c r="L52" s="74" t="str" cm="1">
        <f t="array" ref="L52">IFERROR(1/(1/SUM(COUNTIFS(
'YearA-AppDetails Current Date'!A:A,D52,
'YearA-AppDetails Current Date'!F:F,E52,
'YearA-AppDetails Current Date'!E:E,--F52,
'YearA-AppDetails Current Date'!T:T,{"APEX","DENY","NTSL"},
'YearA-AppDetails Current Date'!I:I,"WINTER"))), "")</f>
        <v/>
      </c>
      <c r="M52" s="74" t="str" cm="1">
        <f t="array" ref="M52">IFERROR(1/(1/SUM(COUNTIFS(
'YearA-AppDetails Current Date'!A:A,D52,
'YearA-AppDetails Current Date'!F:F,E52,
'YearA-AppDetails Current Date'!E:E,--F52,
'YearA-AppDetails Current Date'!U:U,{"CCAN","DECL"},
'YearA-AppDetails Current Date'!I:I,"WINTER"))), "")</f>
        <v/>
      </c>
      <c r="N52" s="74" t="str" cm="1">
        <f t="array" ref="N52">IFERROR(1/(1/SUM(COUNTIFS(
'YearA-AppDetails Current Date'!A:A,D52,
'YearA-AppDetails Current Date'!F:F,E52,
'YearA-AppDetails Current Date'!E:E,--F52,
'YearA-AppDetails Current Date'!V:V,{"APRO","NODE"},
'YearA-AppDetails Current Date'!I:I,"WINTER"))), "")</f>
        <v/>
      </c>
      <c r="O52" s="74" t="str" cm="1">
        <f t="array" ref="O52">IFERROR(1/(1/SUM(COUNTIFS(
'YearA-AppDetails Current Date'!A:A,D52,
'YearA-AppDetails Current Date'!F:F,E52,
'YearA-AppDetails Current Date'!E:E,--F52,
'YearA-AppDetails Current Date'!T:T,{"CDMT","RQMT","WAIT"},
'YearA-AppDetails Current Date'!I:I,"WINTER"))), "")</f>
        <v/>
      </c>
      <c r="P52" s="74" t="str">
        <f>IFERROR(1/(1/COUNTIFS(
'YearA-AppDetails Current Date'!A:A,D52,
'YearA-AppDetails Current Date'!F:F,E52,
'YearA-AppDetails Current Date'!E:E,--F52,
'YearA-AppDetails Current Date'!Y:Y,"ENRO",
'YearA-AppDetails Current Date'!I:I,"WINTER")),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HC'!D:T,6,FALSE)),
N(VLOOKUP(D53&amp;F53,'Budgeted Projections Intl HC'!D:T,7,FALSE))
)
),"")</f>
        <v/>
      </c>
      <c r="I53" s="73" t="str">
        <f>IFERROR(1/(1/COUNTIFS(
'YearA-AppDetails Current Date'!A:A,D53,
'YearA-AppDetails Current Date'!F:F,E53,
'YearA-AppDetails Current Date'!E:E,--F53,
'YearA-AppDetails Current Date'!I:I,"WINTER")), "")</f>
        <v/>
      </c>
      <c r="J53" s="74" t="str" cm="1">
        <f t="array" ref="J53">IFERROR(1/(1/SUM(COUNTIFS(
'YearA-AppDetails Current Date'!A:A,D53,
'YearA-AppDetails Current Date'!F:F,E53,
'YearA-AppDetails Current Date'!E:E,--F53,
'YearA-AppDetails Current Date'!O:O,{"ACLN","ACPT","COND"},
'YearA-AppDetails Current Date'!S:S,"&lt;&gt;ACLN",
'YearA-AppDetails Current Date'!S:S,"&lt;&gt;ACPT",
'YearA-AppDetails Current Date'!S:S,"&lt;&gt;COND",
'YearA-AppDetails Current Date'!I:I,"WINTER"))), "")</f>
        <v/>
      </c>
      <c r="K53" s="73" t="str">
        <f>IFERROR(1/(1/SUM(COUNTIFS(
'YearA-AppDetails Current Date'!A:A,D53,
'YearA-AppDetails Current Date'!F:F,E53,
'YearA-AppDetails Current Date'!E:E,--F53,
'YearA-AppDetails Current Date'!R:R,"&lt;&gt;"&amp;"",
'YearA-AppDetails Current Date'!I:I,"WINTER"))), "")</f>
        <v/>
      </c>
      <c r="L53" s="74" t="str" cm="1">
        <f t="array" ref="L53">IFERROR(1/(1/SUM(COUNTIFS(
'YearA-AppDetails Current Date'!A:A,D53,
'YearA-AppDetails Current Date'!F:F,E53,
'YearA-AppDetails Current Date'!E:E,--F53,
'YearA-AppDetails Current Date'!T:T,{"APEX","DENY","NTSL"},
'YearA-AppDetails Current Date'!I:I,"WINTER"))), "")</f>
        <v/>
      </c>
      <c r="M53" s="74" t="str" cm="1">
        <f t="array" ref="M53">IFERROR(1/(1/SUM(COUNTIFS(
'YearA-AppDetails Current Date'!A:A,D53,
'YearA-AppDetails Current Date'!F:F,E53,
'YearA-AppDetails Current Date'!E:E,--F53,
'YearA-AppDetails Current Date'!U:U,{"CCAN","DECL"},
'YearA-AppDetails Current Date'!I:I,"WINTER"))), "")</f>
        <v/>
      </c>
      <c r="N53" s="74" t="str" cm="1">
        <f t="array" ref="N53">IFERROR(1/(1/SUM(COUNTIFS(
'YearA-AppDetails Current Date'!A:A,D53,
'YearA-AppDetails Current Date'!F:F,E53,
'YearA-AppDetails Current Date'!E:E,--F53,
'YearA-AppDetails Current Date'!V:V,{"APRO","NODE"},
'YearA-AppDetails Current Date'!I:I,"WINTER"))), "")</f>
        <v/>
      </c>
      <c r="O53" s="74" t="str" cm="1">
        <f t="array" ref="O53">IFERROR(1/(1/SUM(COUNTIFS(
'YearA-AppDetails Current Date'!A:A,D53,
'YearA-AppDetails Current Date'!F:F,E53,
'YearA-AppDetails Current Date'!E:E,--F53,
'YearA-AppDetails Current Date'!T:T,{"CDMT","RQMT","WAIT"},
'YearA-AppDetails Current Date'!I:I,"WINTER"))), "")</f>
        <v/>
      </c>
      <c r="P53" s="74" t="str">
        <f>IFERROR(1/(1/COUNTIFS(
'YearA-AppDetails Current Date'!A:A,D53,
'YearA-AppDetails Current Date'!F:F,E53,
'YearA-AppDetails Current Date'!E:E,--F53,
'YearA-AppDetails Current Date'!Y:Y,"ENRO",
'YearA-AppDetails Current Date'!I:I,"WINTER")),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HC'!D:T,6,FALSE)),
N(VLOOKUP(D55&amp;F55,'Budgeted Projections Dom HC'!D:T,7,FALSE))
)
),"")</f>
        <v/>
      </c>
      <c r="I55" s="73" t="str">
        <f>IFERROR(1/(1/COUNTIFS(
'YearA-AppDetails Current Date'!A:A,D55,
'YearA-AppDetails Current Date'!F:F,E55,
'YearA-AppDetails Current Date'!E:E,--F55,
'YearA-AppDetails Current Date'!I:I,"WINTER")), "")</f>
        <v/>
      </c>
      <c r="J55" s="74" t="str" cm="1">
        <f t="array" ref="J55">IFERROR(1/(1/SUM(COUNTIFS(
'YearA-AppDetails Current Date'!A:A,D55,
'YearA-AppDetails Current Date'!F:F,E55,
'YearA-AppDetails Current Date'!E:E,--F55,
'YearA-AppDetails Current Date'!O:O,{"ACLN","ACPT","COND"},
'YearA-AppDetails Current Date'!S:S,"&lt;&gt;ACLN",
'YearA-AppDetails Current Date'!S:S,"&lt;&gt;ACPT",
'YearA-AppDetails Current Date'!S:S,"&lt;&gt;COND",
'YearA-AppDetails Current Date'!I:I,"WINTER"))), "")</f>
        <v/>
      </c>
      <c r="K55" s="73" t="str">
        <f>IFERROR(1/(1/SUM(COUNTIFS(
'YearA-AppDetails Current Date'!A:A,D55,
'YearA-AppDetails Current Date'!F:F,E55,
'YearA-AppDetails Current Date'!E:E,--F55,
'YearA-AppDetails Current Date'!R:R,"&lt;&gt;"&amp;"",
'YearA-AppDetails Current Date'!I:I,"WINTER"))), "")</f>
        <v/>
      </c>
      <c r="L55" s="74" t="str" cm="1">
        <f t="array" ref="L55">IFERROR(1/(1/SUM(COUNTIFS(
'YearA-AppDetails Current Date'!A:A,D55,
'YearA-AppDetails Current Date'!F:F,E55,
'YearA-AppDetails Current Date'!E:E,--F55,
'YearA-AppDetails Current Date'!T:T,{"APEX","DENY","NTSL"},
'YearA-AppDetails Current Date'!I:I,"WINTER"))), "")</f>
        <v/>
      </c>
      <c r="M55" s="74" t="str" cm="1">
        <f t="array" ref="M55">IFERROR(1/(1/SUM(COUNTIFS(
'YearA-AppDetails Current Date'!A:A,D55,
'YearA-AppDetails Current Date'!F:F,E55,
'YearA-AppDetails Current Date'!E:E,--F55,
'YearA-AppDetails Current Date'!U:U,{"CCAN","DECL"},
'YearA-AppDetails Current Date'!I:I,"WINTER"))), "")</f>
        <v/>
      </c>
      <c r="N55" s="74" t="str" cm="1">
        <f t="array" ref="N55">IFERROR(1/(1/SUM(COUNTIFS(
'YearA-AppDetails Current Date'!A:A,D55,
'YearA-AppDetails Current Date'!F:F,E55,
'YearA-AppDetails Current Date'!E:E,--F55,
'YearA-AppDetails Current Date'!V:V,{"APRO","NODE"},
'YearA-AppDetails Current Date'!I:I,"WINTER"))), "")</f>
        <v/>
      </c>
      <c r="O55" s="74" t="str" cm="1">
        <f t="array" ref="O55">IFERROR(1/(1/SUM(COUNTIFS(
'YearA-AppDetails Current Date'!A:A,D55,
'YearA-AppDetails Current Date'!F:F,E55,
'YearA-AppDetails Current Date'!E:E,--F55,
'YearA-AppDetails Current Date'!T:T,{"CDMT","RQMT","WAIT"},
'YearA-AppDetails Current Date'!I:I,"WINTER"))), "")</f>
        <v/>
      </c>
      <c r="P55" s="74" t="str">
        <f>IFERROR(1/(1/COUNTIFS(
'YearA-AppDetails Current Date'!A:A,D55,
'YearA-AppDetails Current Date'!F:F,E55,
'YearA-AppDetails Current Date'!E:E,--F55,
'YearA-AppDetails Current Date'!Y:Y,"ENRO",
'YearA-AppDetails Current Date'!I:I,"WINTER")),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HC'!D:T,6,FALSE)),
N(VLOOKUP(D56&amp;F56,'Budgeted Projections Intl HC'!D:T,7,FALSE))
)
),"")</f>
        <v/>
      </c>
      <c r="I56" s="73" t="str">
        <f>IFERROR(1/(1/COUNTIFS(
'YearA-AppDetails Current Date'!A:A,D56,
'YearA-AppDetails Current Date'!F:F,E56,
'YearA-AppDetails Current Date'!E:E,--F56,
'YearA-AppDetails Current Date'!I:I,"WINTER")), "")</f>
        <v/>
      </c>
      <c r="J56" s="74" t="str" cm="1">
        <f t="array" ref="J56">IFERROR(1/(1/SUM(COUNTIFS(
'YearA-AppDetails Current Date'!A:A,D56,
'YearA-AppDetails Current Date'!F:F,E56,
'YearA-AppDetails Current Date'!E:E,--F56,
'YearA-AppDetails Current Date'!O:O,{"ACLN","ACPT","COND"},
'YearA-AppDetails Current Date'!S:S,"&lt;&gt;ACLN",
'YearA-AppDetails Current Date'!S:S,"&lt;&gt;ACPT",
'YearA-AppDetails Current Date'!S:S,"&lt;&gt;COND",
'YearA-AppDetails Current Date'!I:I,"WINTER"))), "")</f>
        <v/>
      </c>
      <c r="K56" s="73" t="str">
        <f>IFERROR(1/(1/SUM(COUNTIFS(
'YearA-AppDetails Current Date'!A:A,D56,
'YearA-AppDetails Current Date'!F:F,E56,
'YearA-AppDetails Current Date'!E:E,--F56,
'YearA-AppDetails Current Date'!R:R,"&lt;&gt;"&amp;"",
'YearA-AppDetails Current Date'!I:I,"WINTER"))), "")</f>
        <v/>
      </c>
      <c r="L56" s="74" t="str" cm="1">
        <f t="array" ref="L56">IFERROR(1/(1/SUM(COUNTIFS(
'YearA-AppDetails Current Date'!A:A,D56,
'YearA-AppDetails Current Date'!F:F,E56,
'YearA-AppDetails Current Date'!E:E,--F56,
'YearA-AppDetails Current Date'!T:T,{"APEX","DENY","NTSL"},
'YearA-AppDetails Current Date'!I:I,"WINTER"))), "")</f>
        <v/>
      </c>
      <c r="M56" s="74" t="str" cm="1">
        <f t="array" ref="M56">IFERROR(1/(1/SUM(COUNTIFS(
'YearA-AppDetails Current Date'!A:A,D56,
'YearA-AppDetails Current Date'!F:F,E56,
'YearA-AppDetails Current Date'!E:E,--F56,
'YearA-AppDetails Current Date'!U:U,{"CCAN","DECL"},
'YearA-AppDetails Current Date'!I:I,"WINTER"))), "")</f>
        <v/>
      </c>
      <c r="N56" s="74" t="str" cm="1">
        <f t="array" ref="N56">IFERROR(1/(1/SUM(COUNTIFS(
'YearA-AppDetails Current Date'!A:A,D56,
'YearA-AppDetails Current Date'!F:F,E56,
'YearA-AppDetails Current Date'!E:E,--F56,
'YearA-AppDetails Current Date'!V:V,{"APRO","NODE"},
'YearA-AppDetails Current Date'!I:I,"WINTER"))), "")</f>
        <v/>
      </c>
      <c r="O56" s="74" t="str" cm="1">
        <f t="array" ref="O56">IFERROR(1/(1/SUM(COUNTIFS(
'YearA-AppDetails Current Date'!A:A,D56,
'YearA-AppDetails Current Date'!F:F,E56,
'YearA-AppDetails Current Date'!E:E,--F56,
'YearA-AppDetails Current Date'!T:T,{"CDMT","RQMT","WAIT"},
'YearA-AppDetails Current Date'!I:I,"WINTER"))), "")</f>
        <v/>
      </c>
      <c r="P56" s="74" t="str">
        <f>IFERROR(1/(1/COUNTIFS(
'YearA-AppDetails Current Date'!A:A,D56,
'YearA-AppDetails Current Date'!F:F,E56,
'YearA-AppDetails Current Date'!E:E,--F56,
'YearA-AppDetails Current Date'!Y:Y,"ENRO",
'YearA-AppDetails Current Date'!I:I,"WINTER")),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HC'!D:T,6,FALSE)),
N(VLOOKUP(D57&amp;F57,'Budgeted Projections Dom HC'!D:T,7,FALSE))
)
),"")</f>
        <v/>
      </c>
      <c r="I57" s="73" t="str">
        <f>IFERROR(1/(1/COUNTIFS(
'YearA-AppDetails Current Date'!A:A,D57,
'YearA-AppDetails Current Date'!F:F,E57,
'YearA-AppDetails Current Date'!E:E,--F57,
'YearA-AppDetails Current Date'!I:I,"WINTER")), "")</f>
        <v/>
      </c>
      <c r="J57" s="74" t="str" cm="1">
        <f t="array" ref="J57">IFERROR(1/(1/SUM(COUNTIFS(
'YearA-AppDetails Current Date'!A:A,D57,
'YearA-AppDetails Current Date'!F:F,E57,
'YearA-AppDetails Current Date'!E:E,--F57,
'YearA-AppDetails Current Date'!O:O,{"ACLN","ACPT","COND"},
'YearA-AppDetails Current Date'!S:S,"&lt;&gt;ACLN",
'YearA-AppDetails Current Date'!S:S,"&lt;&gt;ACPT",
'YearA-AppDetails Current Date'!S:S,"&lt;&gt;COND",
'YearA-AppDetails Current Date'!I:I,"WINTER"))), "")</f>
        <v/>
      </c>
      <c r="K57" s="73" t="str">
        <f>IFERROR(1/(1/SUM(COUNTIFS(
'YearA-AppDetails Current Date'!A:A,D57,
'YearA-AppDetails Current Date'!F:F,E57,
'YearA-AppDetails Current Date'!E:E,--F57,
'YearA-AppDetails Current Date'!R:R,"&lt;&gt;"&amp;"",
'YearA-AppDetails Current Date'!I:I,"WINTER"))), "")</f>
        <v/>
      </c>
      <c r="L57" s="74" t="str" cm="1">
        <f t="array" ref="L57">IFERROR(1/(1/SUM(COUNTIFS(
'YearA-AppDetails Current Date'!A:A,D57,
'YearA-AppDetails Current Date'!F:F,E57,
'YearA-AppDetails Current Date'!E:E,--F57,
'YearA-AppDetails Current Date'!T:T,{"APEX","DENY","NTSL"},
'YearA-AppDetails Current Date'!I:I,"WINTER"))), "")</f>
        <v/>
      </c>
      <c r="M57" s="74" t="str" cm="1">
        <f t="array" ref="M57">IFERROR(1/(1/SUM(COUNTIFS(
'YearA-AppDetails Current Date'!A:A,D57,
'YearA-AppDetails Current Date'!F:F,E57,
'YearA-AppDetails Current Date'!E:E,--F57,
'YearA-AppDetails Current Date'!U:U,{"CCAN","DECL"},
'YearA-AppDetails Current Date'!I:I,"WINTER"))), "")</f>
        <v/>
      </c>
      <c r="N57" s="74" t="str" cm="1">
        <f t="array" ref="N57">IFERROR(1/(1/SUM(COUNTIFS(
'YearA-AppDetails Current Date'!A:A,D57,
'YearA-AppDetails Current Date'!F:F,E57,
'YearA-AppDetails Current Date'!E:E,--F57,
'YearA-AppDetails Current Date'!V:V,{"APRO","NODE"},
'YearA-AppDetails Current Date'!I:I,"WINTER"))), "")</f>
        <v/>
      </c>
      <c r="O57" s="74" t="str" cm="1">
        <f t="array" ref="O57">IFERROR(1/(1/SUM(COUNTIFS(
'YearA-AppDetails Current Date'!A:A,D57,
'YearA-AppDetails Current Date'!F:F,E57,
'YearA-AppDetails Current Date'!E:E,--F57,
'YearA-AppDetails Current Date'!T:T,{"CDMT","RQMT","WAIT"},
'YearA-AppDetails Current Date'!I:I,"WINTER"))), "")</f>
        <v/>
      </c>
      <c r="P57" s="74" t="str">
        <f>IFERROR(1/(1/COUNTIFS(
'YearA-AppDetails Current Date'!A:A,D57,
'YearA-AppDetails Current Date'!F:F,E57,
'YearA-AppDetails Current Date'!E:E,--F57,
'YearA-AppDetails Current Date'!Y:Y,"ENRO",
'YearA-AppDetails Current Date'!I:I,"WINTER")),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HC'!D:T,6,FALSE)),
N(VLOOKUP(D58&amp;F58,'Budgeted Projections Intl HC'!D:T,7,FALSE))
)
),"")</f>
        <v/>
      </c>
      <c r="I58" s="73" t="str">
        <f>IFERROR(1/(1/COUNTIFS(
'YearA-AppDetails Current Date'!A:A,D58,
'YearA-AppDetails Current Date'!F:F,E58,
'YearA-AppDetails Current Date'!E:E,--F58,
'YearA-AppDetails Current Date'!I:I,"WINTER")), "")</f>
        <v/>
      </c>
      <c r="J58" s="74" t="str" cm="1">
        <f t="array" ref="J58">IFERROR(1/(1/SUM(COUNTIFS(
'YearA-AppDetails Current Date'!A:A,D58,
'YearA-AppDetails Current Date'!F:F,E58,
'YearA-AppDetails Current Date'!E:E,--F58,
'YearA-AppDetails Current Date'!O:O,{"ACLN","ACPT","COND"},
'YearA-AppDetails Current Date'!S:S,"&lt;&gt;ACLN",
'YearA-AppDetails Current Date'!S:S,"&lt;&gt;ACPT",
'YearA-AppDetails Current Date'!S:S,"&lt;&gt;COND",
'YearA-AppDetails Current Date'!I:I,"WINTER"))), "")</f>
        <v/>
      </c>
      <c r="K58" s="73" t="str">
        <f>IFERROR(1/(1/SUM(COUNTIFS(
'YearA-AppDetails Current Date'!A:A,D58,
'YearA-AppDetails Current Date'!F:F,E58,
'YearA-AppDetails Current Date'!E:E,--F58,
'YearA-AppDetails Current Date'!R:R,"&lt;&gt;"&amp;"",
'YearA-AppDetails Current Date'!I:I,"WINTER"))), "")</f>
        <v/>
      </c>
      <c r="L58" s="74" t="str" cm="1">
        <f t="array" ref="L58">IFERROR(1/(1/SUM(COUNTIFS(
'YearA-AppDetails Current Date'!A:A,D58,
'YearA-AppDetails Current Date'!F:F,E58,
'YearA-AppDetails Current Date'!E:E,--F58,
'YearA-AppDetails Current Date'!T:T,{"APEX","DENY","NTSL"},
'YearA-AppDetails Current Date'!I:I,"WINTER"))), "")</f>
        <v/>
      </c>
      <c r="M58" s="74" t="str" cm="1">
        <f t="array" ref="M58">IFERROR(1/(1/SUM(COUNTIFS(
'YearA-AppDetails Current Date'!A:A,D58,
'YearA-AppDetails Current Date'!F:F,E58,
'YearA-AppDetails Current Date'!E:E,--F58,
'YearA-AppDetails Current Date'!U:U,{"CCAN","DECL"},
'YearA-AppDetails Current Date'!I:I,"WINTER"))), "")</f>
        <v/>
      </c>
      <c r="N58" s="74" t="str" cm="1">
        <f t="array" ref="N58">IFERROR(1/(1/SUM(COUNTIFS(
'YearA-AppDetails Current Date'!A:A,D58,
'YearA-AppDetails Current Date'!F:F,E58,
'YearA-AppDetails Current Date'!E:E,--F58,
'YearA-AppDetails Current Date'!V:V,{"APRO","NODE"},
'YearA-AppDetails Current Date'!I:I,"WINTER"))), "")</f>
        <v/>
      </c>
      <c r="O58" s="74" t="str" cm="1">
        <f t="array" ref="O58">IFERROR(1/(1/SUM(COUNTIFS(
'YearA-AppDetails Current Date'!A:A,D58,
'YearA-AppDetails Current Date'!F:F,E58,
'YearA-AppDetails Current Date'!E:E,--F58,
'YearA-AppDetails Current Date'!T:T,{"CDMT","RQMT","WAIT"},
'YearA-AppDetails Current Date'!I:I,"WINTER"))), "")</f>
        <v/>
      </c>
      <c r="P58" s="74" t="str">
        <f>IFERROR(1/(1/COUNTIFS(
'YearA-AppDetails Current Date'!A:A,D58,
'YearA-AppDetails Current Date'!F:F,E58,
'YearA-AppDetails Current Date'!E:E,--F58,
'YearA-AppDetails Current Date'!Y:Y,"ENRO",
'YearA-AppDetails Current Date'!I:I,"WINTER")),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HC'!D:T,6,FALSE)),
N(VLOOKUP(D59&amp;F59,'Budgeted Projections Dom HC'!D:T,7,FALSE))
)
),"")</f>
        <v/>
      </c>
      <c r="I59" s="73" t="str">
        <f>IFERROR(1/(1/COUNTIFS(
'YearA-AppDetails Current Date'!A:A,D59,
'YearA-AppDetails Current Date'!F:F,E59,
'YearA-AppDetails Current Date'!E:E,--F59,
'YearA-AppDetails Current Date'!I:I,"WINTER")), "")</f>
        <v/>
      </c>
      <c r="J59" s="74" t="str" cm="1">
        <f t="array" ref="J59">IFERROR(1/(1/SUM(COUNTIFS(
'YearA-AppDetails Current Date'!A:A,D59,
'YearA-AppDetails Current Date'!F:F,E59,
'YearA-AppDetails Current Date'!E:E,--F59,
'YearA-AppDetails Current Date'!O:O,{"ACLN","ACPT","COND"},
'YearA-AppDetails Current Date'!S:S,"&lt;&gt;ACLN",
'YearA-AppDetails Current Date'!S:S,"&lt;&gt;ACPT",
'YearA-AppDetails Current Date'!S:S,"&lt;&gt;COND",
'YearA-AppDetails Current Date'!I:I,"WINTER"))), "")</f>
        <v/>
      </c>
      <c r="K59" s="73" t="str">
        <f>IFERROR(1/(1/SUM(COUNTIFS(
'YearA-AppDetails Current Date'!A:A,D59,
'YearA-AppDetails Current Date'!F:F,E59,
'YearA-AppDetails Current Date'!E:E,--F59,
'YearA-AppDetails Current Date'!R:R,"&lt;&gt;"&amp;"",
'YearA-AppDetails Current Date'!I:I,"WINTER"))), "")</f>
        <v/>
      </c>
      <c r="L59" s="74" t="str" cm="1">
        <f t="array" ref="L59">IFERROR(1/(1/SUM(COUNTIFS(
'YearA-AppDetails Current Date'!A:A,D59,
'YearA-AppDetails Current Date'!F:F,E59,
'YearA-AppDetails Current Date'!E:E,--F59,
'YearA-AppDetails Current Date'!T:T,{"APEX","DENY","NTSL"},
'YearA-AppDetails Current Date'!I:I,"WINTER"))), "")</f>
        <v/>
      </c>
      <c r="M59" s="74" t="str" cm="1">
        <f t="array" ref="M59">IFERROR(1/(1/SUM(COUNTIFS(
'YearA-AppDetails Current Date'!A:A,D59,
'YearA-AppDetails Current Date'!F:F,E59,
'YearA-AppDetails Current Date'!E:E,--F59,
'YearA-AppDetails Current Date'!U:U,{"CCAN","DECL"},
'YearA-AppDetails Current Date'!I:I,"WINTER"))), "")</f>
        <v/>
      </c>
      <c r="N59" s="74" t="str" cm="1">
        <f t="array" ref="N59">IFERROR(1/(1/SUM(COUNTIFS(
'YearA-AppDetails Current Date'!A:A,D59,
'YearA-AppDetails Current Date'!F:F,E59,
'YearA-AppDetails Current Date'!E:E,--F59,
'YearA-AppDetails Current Date'!V:V,{"APRO","NODE"},
'YearA-AppDetails Current Date'!I:I,"WINTER"))), "")</f>
        <v/>
      </c>
      <c r="O59" s="74" t="str" cm="1">
        <f t="array" ref="O59">IFERROR(1/(1/SUM(COUNTIFS(
'YearA-AppDetails Current Date'!A:A,D59,
'YearA-AppDetails Current Date'!F:F,E59,
'YearA-AppDetails Current Date'!E:E,--F59,
'YearA-AppDetails Current Date'!T:T,{"CDMT","RQMT","WAIT"},
'YearA-AppDetails Current Date'!I:I,"WINTER"))), "")</f>
        <v/>
      </c>
      <c r="P59" s="74" t="str">
        <f>IFERROR(1/(1/COUNTIFS(
'YearA-AppDetails Current Date'!A:A,D59,
'YearA-AppDetails Current Date'!F:F,E59,
'YearA-AppDetails Current Date'!E:E,--F59,
'YearA-AppDetails Current Date'!Y:Y,"ENRO",
'YearA-AppDetails Current Date'!I:I,"WINTER")),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HC'!D:T,6,FALSE)),
N(VLOOKUP(D60&amp;F60,'Budgeted Projections Intl HC'!D:T,7,FALSE))
)
),"")</f>
        <v/>
      </c>
      <c r="I60" s="73" t="str">
        <f>IFERROR(1/(1/COUNTIFS(
'YearA-AppDetails Current Date'!A:A,D60,
'YearA-AppDetails Current Date'!F:F,E60,
'YearA-AppDetails Current Date'!E:E,--F60,
'YearA-AppDetails Current Date'!I:I,"WINTER")), "")</f>
        <v/>
      </c>
      <c r="J60" s="74" t="str" cm="1">
        <f t="array" ref="J60">IFERROR(1/(1/SUM(COUNTIFS(
'YearA-AppDetails Current Date'!A:A,D60,
'YearA-AppDetails Current Date'!F:F,E60,
'YearA-AppDetails Current Date'!E:E,--F60,
'YearA-AppDetails Current Date'!O:O,{"ACLN","ACPT","COND"},
'YearA-AppDetails Current Date'!S:S,"&lt;&gt;ACLN",
'YearA-AppDetails Current Date'!S:S,"&lt;&gt;ACPT",
'YearA-AppDetails Current Date'!S:S,"&lt;&gt;COND",
'YearA-AppDetails Current Date'!I:I,"WINTER"))), "")</f>
        <v/>
      </c>
      <c r="K60" s="73" t="str">
        <f>IFERROR(1/(1/SUM(COUNTIFS(
'YearA-AppDetails Current Date'!A:A,D60,
'YearA-AppDetails Current Date'!F:F,E60,
'YearA-AppDetails Current Date'!E:E,--F60,
'YearA-AppDetails Current Date'!R:R,"&lt;&gt;"&amp;"",
'YearA-AppDetails Current Date'!I:I,"WINTER"))), "")</f>
        <v/>
      </c>
      <c r="L60" s="74" t="str" cm="1">
        <f t="array" ref="L60">IFERROR(1/(1/SUM(COUNTIFS(
'YearA-AppDetails Current Date'!A:A,D60,
'YearA-AppDetails Current Date'!F:F,E60,
'YearA-AppDetails Current Date'!E:E,--F60,
'YearA-AppDetails Current Date'!T:T,{"APEX","DENY","NTSL"},
'YearA-AppDetails Current Date'!I:I,"WINTER"))), "")</f>
        <v/>
      </c>
      <c r="M60" s="74" t="str" cm="1">
        <f t="array" ref="M60">IFERROR(1/(1/SUM(COUNTIFS(
'YearA-AppDetails Current Date'!A:A,D60,
'YearA-AppDetails Current Date'!F:F,E60,
'YearA-AppDetails Current Date'!E:E,--F60,
'YearA-AppDetails Current Date'!U:U,{"CCAN","DECL"},
'YearA-AppDetails Current Date'!I:I,"WINTER"))), "")</f>
        <v/>
      </c>
      <c r="N60" s="74" t="str" cm="1">
        <f t="array" ref="N60">IFERROR(1/(1/SUM(COUNTIFS(
'YearA-AppDetails Current Date'!A:A,D60,
'YearA-AppDetails Current Date'!F:F,E60,
'YearA-AppDetails Current Date'!E:E,--F60,
'YearA-AppDetails Current Date'!V:V,{"APRO","NODE"},
'YearA-AppDetails Current Date'!I:I,"WINTER"))), "")</f>
        <v/>
      </c>
      <c r="O60" s="74" t="str" cm="1">
        <f t="array" ref="O60">IFERROR(1/(1/SUM(COUNTIFS(
'YearA-AppDetails Current Date'!A:A,D60,
'YearA-AppDetails Current Date'!F:F,E60,
'YearA-AppDetails Current Date'!E:E,--F60,
'YearA-AppDetails Current Date'!T:T,{"CDMT","RQMT","WAIT"},
'YearA-AppDetails Current Date'!I:I,"WINTER"))), "")</f>
        <v/>
      </c>
      <c r="P60" s="74" t="str">
        <f>IFERROR(1/(1/COUNTIFS(
'YearA-AppDetails Current Date'!A:A,D60,
'YearA-AppDetails Current Date'!F:F,E60,
'YearA-AppDetails Current Date'!E:E,--F60,
'YearA-AppDetails Current Date'!Y:Y,"ENRO",
'YearA-AppDetails Current Date'!I:I,"WINTER")),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HC'!D:T,6,FALSE)),
N(VLOOKUP(D61&amp;F61,'Budgeted Projections Dom HC'!D:T,7,FALSE))
)
),"")</f>
        <v/>
      </c>
      <c r="I61" s="73" t="str">
        <f>IFERROR(1/(1/COUNTIFS(
'YearA-AppDetails Current Date'!A:A,D61,
'YearA-AppDetails Current Date'!F:F,E61,
'YearA-AppDetails Current Date'!E:E,--F61,
'YearA-AppDetails Current Date'!I:I,"WINTER")), "")</f>
        <v/>
      </c>
      <c r="J61" s="74" t="str" cm="1">
        <f t="array" ref="J61">IFERROR(1/(1/SUM(COUNTIFS(
'YearA-AppDetails Current Date'!A:A,D61,
'YearA-AppDetails Current Date'!F:F,E61,
'YearA-AppDetails Current Date'!E:E,--F61,
'YearA-AppDetails Current Date'!O:O,{"ACLN","ACPT","COND"},
'YearA-AppDetails Current Date'!S:S,"&lt;&gt;ACLN",
'YearA-AppDetails Current Date'!S:S,"&lt;&gt;ACPT",
'YearA-AppDetails Current Date'!S:S,"&lt;&gt;COND",
'YearA-AppDetails Current Date'!I:I,"WINTER"))), "")</f>
        <v/>
      </c>
      <c r="K61" s="73" t="str">
        <f>IFERROR(1/(1/SUM(COUNTIFS(
'YearA-AppDetails Current Date'!A:A,D61,
'YearA-AppDetails Current Date'!F:F,E61,
'YearA-AppDetails Current Date'!E:E,--F61,
'YearA-AppDetails Current Date'!R:R,"&lt;&gt;"&amp;"",
'YearA-AppDetails Current Date'!I:I,"WINTER"))), "")</f>
        <v/>
      </c>
      <c r="L61" s="74" t="str" cm="1">
        <f t="array" ref="L61">IFERROR(1/(1/SUM(COUNTIFS(
'YearA-AppDetails Current Date'!A:A,D61,
'YearA-AppDetails Current Date'!F:F,E61,
'YearA-AppDetails Current Date'!E:E,--F61,
'YearA-AppDetails Current Date'!T:T,{"APEX","DENY","NTSL"},
'YearA-AppDetails Current Date'!I:I,"WINTER"))), "")</f>
        <v/>
      </c>
      <c r="M61" s="74" t="str" cm="1">
        <f t="array" ref="M61">IFERROR(1/(1/SUM(COUNTIFS(
'YearA-AppDetails Current Date'!A:A,D61,
'YearA-AppDetails Current Date'!F:F,E61,
'YearA-AppDetails Current Date'!E:E,--F61,
'YearA-AppDetails Current Date'!U:U,{"CCAN","DECL"},
'YearA-AppDetails Current Date'!I:I,"WINTER"))), "")</f>
        <v/>
      </c>
      <c r="N61" s="74" t="str" cm="1">
        <f t="array" ref="N61">IFERROR(1/(1/SUM(COUNTIFS(
'YearA-AppDetails Current Date'!A:A,D61,
'YearA-AppDetails Current Date'!F:F,E61,
'YearA-AppDetails Current Date'!E:E,--F61,
'YearA-AppDetails Current Date'!V:V,{"APRO","NODE"},
'YearA-AppDetails Current Date'!I:I,"WINTER"))), "")</f>
        <v/>
      </c>
      <c r="O61" s="74" t="str" cm="1">
        <f t="array" ref="O61">IFERROR(1/(1/SUM(COUNTIFS(
'YearA-AppDetails Current Date'!A:A,D61,
'YearA-AppDetails Current Date'!F:F,E61,
'YearA-AppDetails Current Date'!E:E,--F61,
'YearA-AppDetails Current Date'!T:T,{"CDMT","RQMT","WAIT"},
'YearA-AppDetails Current Date'!I:I,"WINTER"))), "")</f>
        <v/>
      </c>
      <c r="P61" s="74" t="str">
        <f>IFERROR(1/(1/COUNTIFS(
'YearA-AppDetails Current Date'!A:A,D61,
'YearA-AppDetails Current Date'!F:F,E61,
'YearA-AppDetails Current Date'!E:E,--F61,
'YearA-AppDetails Current Date'!Y:Y,"ENRO",
'YearA-AppDetails Current Date'!I:I,"WINTER")),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HC'!D:T,6,FALSE)),
N(VLOOKUP(D62&amp;F62,'Budgeted Projections Intl HC'!D:T,7,FALSE))
)
),"")</f>
        <v/>
      </c>
      <c r="I62" s="73" t="str">
        <f>IFERROR(1/(1/COUNTIFS(
'YearA-AppDetails Current Date'!A:A,D62,
'YearA-AppDetails Current Date'!F:F,E62,
'YearA-AppDetails Current Date'!E:E,--F62,
'YearA-AppDetails Current Date'!I:I,"WINTER")), "")</f>
        <v/>
      </c>
      <c r="J62" s="74" t="str" cm="1">
        <f t="array" ref="J62">IFERROR(1/(1/SUM(COUNTIFS(
'YearA-AppDetails Current Date'!A:A,D62,
'YearA-AppDetails Current Date'!F:F,E62,
'YearA-AppDetails Current Date'!E:E,--F62,
'YearA-AppDetails Current Date'!O:O,{"ACLN","ACPT","COND"},
'YearA-AppDetails Current Date'!S:S,"&lt;&gt;ACLN",
'YearA-AppDetails Current Date'!S:S,"&lt;&gt;ACPT",
'YearA-AppDetails Current Date'!S:S,"&lt;&gt;COND",
'YearA-AppDetails Current Date'!I:I,"WINTER"))), "")</f>
        <v/>
      </c>
      <c r="K62" s="73" t="str">
        <f>IFERROR(1/(1/SUM(COUNTIFS(
'YearA-AppDetails Current Date'!A:A,D62,
'YearA-AppDetails Current Date'!F:F,E62,
'YearA-AppDetails Current Date'!E:E,--F62,
'YearA-AppDetails Current Date'!R:R,"&lt;&gt;"&amp;"",
'YearA-AppDetails Current Date'!I:I,"WINTER"))), "")</f>
        <v/>
      </c>
      <c r="L62" s="74" t="str" cm="1">
        <f t="array" ref="L62">IFERROR(1/(1/SUM(COUNTIFS(
'YearA-AppDetails Current Date'!A:A,D62,
'YearA-AppDetails Current Date'!F:F,E62,
'YearA-AppDetails Current Date'!E:E,--F62,
'YearA-AppDetails Current Date'!T:T,{"APEX","DENY","NTSL"},
'YearA-AppDetails Current Date'!I:I,"WINTER"))), "")</f>
        <v/>
      </c>
      <c r="M62" s="74" t="str" cm="1">
        <f t="array" ref="M62">IFERROR(1/(1/SUM(COUNTIFS(
'YearA-AppDetails Current Date'!A:A,D62,
'YearA-AppDetails Current Date'!F:F,E62,
'YearA-AppDetails Current Date'!E:E,--F62,
'YearA-AppDetails Current Date'!U:U,{"CCAN","DECL"},
'YearA-AppDetails Current Date'!I:I,"WINTER"))), "")</f>
        <v/>
      </c>
      <c r="N62" s="74" t="str" cm="1">
        <f t="array" ref="N62">IFERROR(1/(1/SUM(COUNTIFS(
'YearA-AppDetails Current Date'!A:A,D62,
'YearA-AppDetails Current Date'!F:F,E62,
'YearA-AppDetails Current Date'!E:E,--F62,
'YearA-AppDetails Current Date'!V:V,{"APRO","NODE"},
'YearA-AppDetails Current Date'!I:I,"WINTER"))), "")</f>
        <v/>
      </c>
      <c r="O62" s="74" t="str" cm="1">
        <f t="array" ref="O62">IFERROR(1/(1/SUM(COUNTIFS(
'YearA-AppDetails Current Date'!A:A,D62,
'YearA-AppDetails Current Date'!F:F,E62,
'YearA-AppDetails Current Date'!E:E,--F62,
'YearA-AppDetails Current Date'!T:T,{"CDMT","RQMT","WAIT"},
'YearA-AppDetails Current Date'!I:I,"WINTER"))), "")</f>
        <v/>
      </c>
      <c r="P62" s="74" t="str">
        <f>IFERROR(1/(1/COUNTIFS(
'YearA-AppDetails Current Date'!A:A,D62,
'YearA-AppDetails Current Date'!F:F,E62,
'YearA-AppDetails Current Date'!E:E,--F62,
'YearA-AppDetails Current Date'!Y:Y,"ENRO",
'YearA-AppDetails Current Date'!I:I,"WINTER")),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HC'!D:T,6,FALSE)),
N(VLOOKUP(D64&amp;F64,'Budgeted Projections Dom HC'!D:T,7,FALSE))
)
),"")</f>
        <v/>
      </c>
      <c r="I64" s="73" t="str">
        <f>IFERROR(1/(1/COUNTIFS(
'YearA-AppDetails Current Date'!A:A,D64,
'YearA-AppDetails Current Date'!F:F,E64,
'YearA-AppDetails Current Date'!E:E,--F64,
'YearA-AppDetails Current Date'!I:I,"WINTER")), "")</f>
        <v/>
      </c>
      <c r="J64" s="74" t="str" cm="1">
        <f t="array" ref="J64">IFERROR(1/(1/SUM(COUNTIFS(
'YearA-AppDetails Current Date'!A:A,D64,
'YearA-AppDetails Current Date'!F:F,E64,
'YearA-AppDetails Current Date'!E:E,--F64,
'YearA-AppDetails Current Date'!O:O,{"ACLN","ACPT","COND"},
'YearA-AppDetails Current Date'!S:S,"&lt;&gt;ACLN",
'YearA-AppDetails Current Date'!S:S,"&lt;&gt;ACPT",
'YearA-AppDetails Current Date'!S:S,"&lt;&gt;COND",
'YearA-AppDetails Current Date'!I:I,"WINTER"))), "")</f>
        <v/>
      </c>
      <c r="K64" s="73" t="str">
        <f>IFERROR(1/(1/SUM(COUNTIFS(
'YearA-AppDetails Current Date'!A:A,D64,
'YearA-AppDetails Current Date'!F:F,E64,
'YearA-AppDetails Current Date'!E:E,--F64,
'YearA-AppDetails Current Date'!R:R,"&lt;&gt;"&amp;"",
'YearA-AppDetails Current Date'!I:I,"WINTER"))), "")</f>
        <v/>
      </c>
      <c r="L64" s="74" t="str" cm="1">
        <f t="array" ref="L64">IFERROR(1/(1/SUM(COUNTIFS(
'YearA-AppDetails Current Date'!A:A,D64,
'YearA-AppDetails Current Date'!F:F,E64,
'YearA-AppDetails Current Date'!E:E,--F64,
'YearA-AppDetails Current Date'!T:T,{"APEX","DENY","NTSL"},
'YearA-AppDetails Current Date'!I:I,"WINTER"))), "")</f>
        <v/>
      </c>
      <c r="M64" s="74" t="str" cm="1">
        <f t="array" ref="M64">IFERROR(1/(1/SUM(COUNTIFS(
'YearA-AppDetails Current Date'!A:A,D64,
'YearA-AppDetails Current Date'!F:F,E64,
'YearA-AppDetails Current Date'!E:E,--F64,
'YearA-AppDetails Current Date'!U:U,{"CCAN","DECL"},
'YearA-AppDetails Current Date'!I:I,"WINTER"))), "")</f>
        <v/>
      </c>
      <c r="N64" s="74" t="str" cm="1">
        <f t="array" ref="N64">IFERROR(1/(1/SUM(COUNTIFS(
'YearA-AppDetails Current Date'!A:A,D64,
'YearA-AppDetails Current Date'!F:F,E64,
'YearA-AppDetails Current Date'!E:E,--F64,
'YearA-AppDetails Current Date'!V:V,{"APRO","NODE"},
'YearA-AppDetails Current Date'!I:I,"WINTER"))), "")</f>
        <v/>
      </c>
      <c r="O64" s="74" t="str" cm="1">
        <f t="array" ref="O64">IFERROR(1/(1/SUM(COUNTIFS(
'YearA-AppDetails Current Date'!A:A,D64,
'YearA-AppDetails Current Date'!F:F,E64,
'YearA-AppDetails Current Date'!E:E,--F64,
'YearA-AppDetails Current Date'!T:T,{"CDMT","RQMT","WAIT"},
'YearA-AppDetails Current Date'!I:I,"WINTER"))), "")</f>
        <v/>
      </c>
      <c r="P64" s="74" t="str">
        <f>IFERROR(1/(1/COUNTIFS(
'YearA-AppDetails Current Date'!A:A,D64,
'YearA-AppDetails Current Date'!F:F,E64,
'YearA-AppDetails Current Date'!E:E,--F64,
'YearA-AppDetails Current Date'!Y:Y,"ENRO",
'YearA-AppDetails Current Date'!I:I,"WINTER")),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HC'!D:T,6,FALSE)),
N(VLOOKUP(D65&amp;F65,'Budgeted Projections Intl HC'!D:T,7,FALSE))
)
),"")</f>
        <v/>
      </c>
      <c r="I65" s="73" t="str">
        <f>IFERROR(1/(1/COUNTIFS(
'YearA-AppDetails Current Date'!A:A,D65,
'YearA-AppDetails Current Date'!F:F,E65,
'YearA-AppDetails Current Date'!E:E,--F65,
'YearA-AppDetails Current Date'!I:I,"WINTER")), "")</f>
        <v/>
      </c>
      <c r="J65" s="74" t="str" cm="1">
        <f t="array" ref="J65">IFERROR(1/(1/SUM(COUNTIFS(
'YearA-AppDetails Current Date'!A:A,D65,
'YearA-AppDetails Current Date'!F:F,E65,
'YearA-AppDetails Current Date'!E:E,--F65,
'YearA-AppDetails Current Date'!O:O,{"ACLN","ACPT","COND"},
'YearA-AppDetails Current Date'!S:S,"&lt;&gt;ACLN",
'YearA-AppDetails Current Date'!S:S,"&lt;&gt;ACPT",
'YearA-AppDetails Current Date'!S:S,"&lt;&gt;COND",
'YearA-AppDetails Current Date'!I:I,"WINTER"))), "")</f>
        <v/>
      </c>
      <c r="K65" s="73" t="str">
        <f>IFERROR(1/(1/SUM(COUNTIFS(
'YearA-AppDetails Current Date'!A:A,D65,
'YearA-AppDetails Current Date'!F:F,E65,
'YearA-AppDetails Current Date'!E:E,--F65,
'YearA-AppDetails Current Date'!R:R,"&lt;&gt;"&amp;"",
'YearA-AppDetails Current Date'!I:I,"WINTER"))), "")</f>
        <v/>
      </c>
      <c r="L65" s="74" t="str" cm="1">
        <f t="array" ref="L65">IFERROR(1/(1/SUM(COUNTIFS(
'YearA-AppDetails Current Date'!A:A,D65,
'YearA-AppDetails Current Date'!F:F,E65,
'YearA-AppDetails Current Date'!E:E,--F65,
'YearA-AppDetails Current Date'!T:T,{"APEX","DENY","NTSL"},
'YearA-AppDetails Current Date'!I:I,"WINTER"))), "")</f>
        <v/>
      </c>
      <c r="M65" s="74" t="str" cm="1">
        <f t="array" ref="M65">IFERROR(1/(1/SUM(COUNTIFS(
'YearA-AppDetails Current Date'!A:A,D65,
'YearA-AppDetails Current Date'!F:F,E65,
'YearA-AppDetails Current Date'!E:E,--F65,
'YearA-AppDetails Current Date'!U:U,{"CCAN","DECL"},
'YearA-AppDetails Current Date'!I:I,"WINTER"))), "")</f>
        <v/>
      </c>
      <c r="N65" s="74" t="str" cm="1">
        <f t="array" ref="N65">IFERROR(1/(1/SUM(COUNTIFS(
'YearA-AppDetails Current Date'!A:A,D65,
'YearA-AppDetails Current Date'!F:F,E65,
'YearA-AppDetails Current Date'!E:E,--F65,
'YearA-AppDetails Current Date'!V:V,{"APRO","NODE"},
'YearA-AppDetails Current Date'!I:I,"WINTER"))), "")</f>
        <v/>
      </c>
      <c r="O65" s="74" t="str" cm="1">
        <f t="array" ref="O65">IFERROR(1/(1/SUM(COUNTIFS(
'YearA-AppDetails Current Date'!A:A,D65,
'YearA-AppDetails Current Date'!F:F,E65,
'YearA-AppDetails Current Date'!E:E,--F65,
'YearA-AppDetails Current Date'!T:T,{"CDMT","RQMT","WAIT"},
'YearA-AppDetails Current Date'!I:I,"WINTER"))), "")</f>
        <v/>
      </c>
      <c r="P65" s="74" t="str">
        <f>IFERROR(1/(1/COUNTIFS(
'YearA-AppDetails Current Date'!A:A,D65,
'YearA-AppDetails Current Date'!F:F,E65,
'YearA-AppDetails Current Date'!E:E,--F65,
'YearA-AppDetails Current Date'!Y:Y,"ENRO",
'YearA-AppDetails Current Date'!I:I,"WINTER")),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HC'!D:T,6,FALSE)),
N(VLOOKUP(D66&amp;F66,'Budgeted Projections Dom HC'!D:T,7,FALSE))
)
),"")</f>
        <v/>
      </c>
      <c r="I66" s="73" t="str">
        <f>IFERROR(1/(1/COUNTIFS(
'YearA-AppDetails Current Date'!A:A,D66,
'YearA-AppDetails Current Date'!F:F,E66,
'YearA-AppDetails Current Date'!E:E,--F66,
'YearA-AppDetails Current Date'!I:I,"WINTER")), "")</f>
        <v/>
      </c>
      <c r="J66" s="74" t="str" cm="1">
        <f t="array" ref="J66">IFERROR(1/(1/SUM(COUNTIFS(
'YearA-AppDetails Current Date'!A:A,D66,
'YearA-AppDetails Current Date'!F:F,E66,
'YearA-AppDetails Current Date'!E:E,--F66,
'YearA-AppDetails Current Date'!O:O,{"ACLN","ACPT","COND"},
'YearA-AppDetails Current Date'!S:S,"&lt;&gt;ACLN",
'YearA-AppDetails Current Date'!S:S,"&lt;&gt;ACPT",
'YearA-AppDetails Current Date'!S:S,"&lt;&gt;COND",
'YearA-AppDetails Current Date'!I:I,"WINTER"))), "")</f>
        <v/>
      </c>
      <c r="K66" s="73" t="str">
        <f>IFERROR(1/(1/SUM(COUNTIFS(
'YearA-AppDetails Current Date'!A:A,D66,
'YearA-AppDetails Current Date'!F:F,E66,
'YearA-AppDetails Current Date'!E:E,--F66,
'YearA-AppDetails Current Date'!R:R,"&lt;&gt;"&amp;"",
'YearA-AppDetails Current Date'!I:I,"WINTER"))), "")</f>
        <v/>
      </c>
      <c r="L66" s="74" t="str" cm="1">
        <f t="array" ref="L66">IFERROR(1/(1/SUM(COUNTIFS(
'YearA-AppDetails Current Date'!A:A,D66,
'YearA-AppDetails Current Date'!F:F,E66,
'YearA-AppDetails Current Date'!E:E,--F66,
'YearA-AppDetails Current Date'!T:T,{"APEX","DENY","NTSL"},
'YearA-AppDetails Current Date'!I:I,"WINTER"))), "")</f>
        <v/>
      </c>
      <c r="M66" s="74" t="str" cm="1">
        <f t="array" ref="M66">IFERROR(1/(1/SUM(COUNTIFS(
'YearA-AppDetails Current Date'!A:A,D66,
'YearA-AppDetails Current Date'!F:F,E66,
'YearA-AppDetails Current Date'!E:E,--F66,
'YearA-AppDetails Current Date'!U:U,{"CCAN","DECL"},
'YearA-AppDetails Current Date'!I:I,"WINTER"))), "")</f>
        <v/>
      </c>
      <c r="N66" s="74" t="str" cm="1">
        <f t="array" ref="N66">IFERROR(1/(1/SUM(COUNTIFS(
'YearA-AppDetails Current Date'!A:A,D66,
'YearA-AppDetails Current Date'!F:F,E66,
'YearA-AppDetails Current Date'!E:E,--F66,
'YearA-AppDetails Current Date'!V:V,{"APRO","NODE"},
'YearA-AppDetails Current Date'!I:I,"WINTER"))), "")</f>
        <v/>
      </c>
      <c r="O66" s="74" t="str" cm="1">
        <f t="array" ref="O66">IFERROR(1/(1/SUM(COUNTIFS(
'YearA-AppDetails Current Date'!A:A,D66,
'YearA-AppDetails Current Date'!F:F,E66,
'YearA-AppDetails Current Date'!E:E,--F66,
'YearA-AppDetails Current Date'!T:T,{"CDMT","RQMT","WAIT"},
'YearA-AppDetails Current Date'!I:I,"WINTER"))), "")</f>
        <v/>
      </c>
      <c r="P66" s="74" t="str">
        <f>IFERROR(1/(1/COUNTIFS(
'YearA-AppDetails Current Date'!A:A,D66,
'YearA-AppDetails Current Date'!F:F,E66,
'YearA-AppDetails Current Date'!E:E,--F66,
'YearA-AppDetails Current Date'!Y:Y,"ENRO",
'YearA-AppDetails Current Date'!I:I,"WINTER")),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HC'!D:T,6,FALSE)),
N(VLOOKUP(D67&amp;F67,'Budgeted Projections Intl HC'!D:T,7,FALSE))
)
),"")</f>
        <v/>
      </c>
      <c r="I67" s="73" t="str">
        <f>IFERROR(1/(1/COUNTIFS(
'YearA-AppDetails Current Date'!A:A,D67,
'YearA-AppDetails Current Date'!F:F,E67,
'YearA-AppDetails Current Date'!E:E,--F67,
'YearA-AppDetails Current Date'!I:I,"WINTER")), "")</f>
        <v/>
      </c>
      <c r="J67" s="74" t="str" cm="1">
        <f t="array" ref="J67">IFERROR(1/(1/SUM(COUNTIFS(
'YearA-AppDetails Current Date'!A:A,D67,
'YearA-AppDetails Current Date'!F:F,E67,
'YearA-AppDetails Current Date'!E:E,--F67,
'YearA-AppDetails Current Date'!O:O,{"ACLN","ACPT","COND"},
'YearA-AppDetails Current Date'!S:S,"&lt;&gt;ACLN",
'YearA-AppDetails Current Date'!S:S,"&lt;&gt;ACPT",
'YearA-AppDetails Current Date'!S:S,"&lt;&gt;COND",
'YearA-AppDetails Current Date'!I:I,"WINTER"))), "")</f>
        <v/>
      </c>
      <c r="K67" s="73" t="str">
        <f>IFERROR(1/(1/SUM(COUNTIFS(
'YearA-AppDetails Current Date'!A:A,D67,
'YearA-AppDetails Current Date'!F:F,E67,
'YearA-AppDetails Current Date'!E:E,--F67,
'YearA-AppDetails Current Date'!R:R,"&lt;&gt;"&amp;"",
'YearA-AppDetails Current Date'!I:I,"WINTER"))), "")</f>
        <v/>
      </c>
      <c r="L67" s="74" t="str" cm="1">
        <f t="array" ref="L67">IFERROR(1/(1/SUM(COUNTIFS(
'YearA-AppDetails Current Date'!A:A,D67,
'YearA-AppDetails Current Date'!F:F,E67,
'YearA-AppDetails Current Date'!E:E,--F67,
'YearA-AppDetails Current Date'!T:T,{"APEX","DENY","NTSL"},
'YearA-AppDetails Current Date'!I:I,"WINTER"))), "")</f>
        <v/>
      </c>
      <c r="M67" s="74" t="str" cm="1">
        <f t="array" ref="M67">IFERROR(1/(1/SUM(COUNTIFS(
'YearA-AppDetails Current Date'!A:A,D67,
'YearA-AppDetails Current Date'!F:F,E67,
'YearA-AppDetails Current Date'!E:E,--F67,
'YearA-AppDetails Current Date'!U:U,{"CCAN","DECL"},
'YearA-AppDetails Current Date'!I:I,"WINTER"))), "")</f>
        <v/>
      </c>
      <c r="N67" s="74" t="str" cm="1">
        <f t="array" ref="N67">IFERROR(1/(1/SUM(COUNTIFS(
'YearA-AppDetails Current Date'!A:A,D67,
'YearA-AppDetails Current Date'!F:F,E67,
'YearA-AppDetails Current Date'!E:E,--F67,
'YearA-AppDetails Current Date'!V:V,{"APRO","NODE"},
'YearA-AppDetails Current Date'!I:I,"WINTER"))), "")</f>
        <v/>
      </c>
      <c r="O67" s="74" t="str" cm="1">
        <f t="array" ref="O67">IFERROR(1/(1/SUM(COUNTIFS(
'YearA-AppDetails Current Date'!A:A,D67,
'YearA-AppDetails Current Date'!F:F,E67,
'YearA-AppDetails Current Date'!E:E,--F67,
'YearA-AppDetails Current Date'!T:T,{"CDMT","RQMT","WAIT"},
'YearA-AppDetails Current Date'!I:I,"WINTER"))), "")</f>
        <v/>
      </c>
      <c r="P67" s="74" t="str">
        <f>IFERROR(1/(1/COUNTIFS(
'YearA-AppDetails Current Date'!A:A,D67,
'YearA-AppDetails Current Date'!F:F,E67,
'YearA-AppDetails Current Date'!E:E,--F67,
'YearA-AppDetails Current Date'!Y:Y,"ENRO",
'YearA-AppDetails Current Date'!I:I,"WINTER")),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HC'!D:T,6,FALSE)),
N(VLOOKUP(D68&amp;F68,'Budgeted Projections Dom HC'!D:T,7,FALSE))
)
),"")</f>
        <v/>
      </c>
      <c r="I68" s="73" t="str">
        <f>IFERROR(1/(1/COUNTIFS(
'YearA-AppDetails Current Date'!A:A,D68,
'YearA-AppDetails Current Date'!F:F,E68,
'YearA-AppDetails Current Date'!E:E,--F68,
'YearA-AppDetails Current Date'!I:I,"WINTER")), "")</f>
        <v/>
      </c>
      <c r="J68" s="74" t="str" cm="1">
        <f t="array" ref="J68">IFERROR(1/(1/SUM(COUNTIFS(
'YearA-AppDetails Current Date'!A:A,D68,
'YearA-AppDetails Current Date'!F:F,E68,
'YearA-AppDetails Current Date'!E:E,--F68,
'YearA-AppDetails Current Date'!O:O,{"ACLN","ACPT","COND"},
'YearA-AppDetails Current Date'!S:S,"&lt;&gt;ACLN",
'YearA-AppDetails Current Date'!S:S,"&lt;&gt;ACPT",
'YearA-AppDetails Current Date'!S:S,"&lt;&gt;COND",
'YearA-AppDetails Current Date'!I:I,"WINTER"))), "")</f>
        <v/>
      </c>
      <c r="K68" s="73" t="str">
        <f>IFERROR(1/(1/SUM(COUNTIFS(
'YearA-AppDetails Current Date'!A:A,D68,
'YearA-AppDetails Current Date'!F:F,E68,
'YearA-AppDetails Current Date'!E:E,--F68,
'YearA-AppDetails Current Date'!R:R,"&lt;&gt;"&amp;"",
'YearA-AppDetails Current Date'!I:I,"WINTER"))), "")</f>
        <v/>
      </c>
      <c r="L68" s="74" t="str" cm="1">
        <f t="array" ref="L68">IFERROR(1/(1/SUM(COUNTIFS(
'YearA-AppDetails Current Date'!A:A,D68,
'YearA-AppDetails Current Date'!F:F,E68,
'YearA-AppDetails Current Date'!E:E,--F68,
'YearA-AppDetails Current Date'!T:T,{"APEX","DENY","NTSL"},
'YearA-AppDetails Current Date'!I:I,"WINTER"))), "")</f>
        <v/>
      </c>
      <c r="M68" s="74" t="str" cm="1">
        <f t="array" ref="M68">IFERROR(1/(1/SUM(COUNTIFS(
'YearA-AppDetails Current Date'!A:A,D68,
'YearA-AppDetails Current Date'!F:F,E68,
'YearA-AppDetails Current Date'!E:E,--F68,
'YearA-AppDetails Current Date'!U:U,{"CCAN","DECL"},
'YearA-AppDetails Current Date'!I:I,"WINTER"))), "")</f>
        <v/>
      </c>
      <c r="N68" s="74" t="str" cm="1">
        <f t="array" ref="N68">IFERROR(1/(1/SUM(COUNTIFS(
'YearA-AppDetails Current Date'!A:A,D68,
'YearA-AppDetails Current Date'!F:F,E68,
'YearA-AppDetails Current Date'!E:E,--F68,
'YearA-AppDetails Current Date'!V:V,{"APRO","NODE"},
'YearA-AppDetails Current Date'!I:I,"WINTER"))), "")</f>
        <v/>
      </c>
      <c r="O68" s="74" t="str" cm="1">
        <f t="array" ref="O68">IFERROR(1/(1/SUM(COUNTIFS(
'YearA-AppDetails Current Date'!A:A,D68,
'YearA-AppDetails Current Date'!F:F,E68,
'YearA-AppDetails Current Date'!E:E,--F68,
'YearA-AppDetails Current Date'!T:T,{"CDMT","RQMT","WAIT"},
'YearA-AppDetails Current Date'!I:I,"WINTER"))), "")</f>
        <v/>
      </c>
      <c r="P68" s="74" t="str">
        <f>IFERROR(1/(1/COUNTIFS(
'YearA-AppDetails Current Date'!A:A,D68,
'YearA-AppDetails Current Date'!F:F,E68,
'YearA-AppDetails Current Date'!E:E,--F68,
'YearA-AppDetails Current Date'!Y:Y,"ENRO",
'YearA-AppDetails Current Date'!I:I,"WINTER")),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HC'!D:T,6,FALSE)),
N(VLOOKUP(D69&amp;F69,'Budgeted Projections Intl HC'!D:T,7,FALSE))
)
),"")</f>
        <v/>
      </c>
      <c r="I69" s="73" t="str">
        <f>IFERROR(1/(1/COUNTIFS(
'YearA-AppDetails Current Date'!A:A,D69,
'YearA-AppDetails Current Date'!F:F,E69,
'YearA-AppDetails Current Date'!E:E,--F69,
'YearA-AppDetails Current Date'!I:I,"WINTER")), "")</f>
        <v/>
      </c>
      <c r="J69" s="74" t="str" cm="1">
        <f t="array" ref="J69">IFERROR(1/(1/SUM(COUNTIFS(
'YearA-AppDetails Current Date'!A:A,D69,
'YearA-AppDetails Current Date'!F:F,E69,
'YearA-AppDetails Current Date'!E:E,--F69,
'YearA-AppDetails Current Date'!O:O,{"ACLN","ACPT","COND"},
'YearA-AppDetails Current Date'!S:S,"&lt;&gt;ACLN",
'YearA-AppDetails Current Date'!S:S,"&lt;&gt;ACPT",
'YearA-AppDetails Current Date'!S:S,"&lt;&gt;COND",
'YearA-AppDetails Current Date'!I:I,"WINTER"))), "")</f>
        <v/>
      </c>
      <c r="K69" s="73" t="str">
        <f>IFERROR(1/(1/SUM(COUNTIFS(
'YearA-AppDetails Current Date'!A:A,D69,
'YearA-AppDetails Current Date'!F:F,E69,
'YearA-AppDetails Current Date'!E:E,--F69,
'YearA-AppDetails Current Date'!R:R,"&lt;&gt;"&amp;"",
'YearA-AppDetails Current Date'!I:I,"WINTER"))), "")</f>
        <v/>
      </c>
      <c r="L69" s="74" t="str" cm="1">
        <f t="array" ref="L69">IFERROR(1/(1/SUM(COUNTIFS(
'YearA-AppDetails Current Date'!A:A,D69,
'YearA-AppDetails Current Date'!F:F,E69,
'YearA-AppDetails Current Date'!E:E,--F69,
'YearA-AppDetails Current Date'!T:T,{"APEX","DENY","NTSL"},
'YearA-AppDetails Current Date'!I:I,"WINTER"))), "")</f>
        <v/>
      </c>
      <c r="M69" s="74" t="str" cm="1">
        <f t="array" ref="M69">IFERROR(1/(1/SUM(COUNTIFS(
'YearA-AppDetails Current Date'!A:A,D69,
'YearA-AppDetails Current Date'!F:F,E69,
'YearA-AppDetails Current Date'!E:E,--F69,
'YearA-AppDetails Current Date'!U:U,{"CCAN","DECL"},
'YearA-AppDetails Current Date'!I:I,"WINTER"))), "")</f>
        <v/>
      </c>
      <c r="N69" s="74" t="str" cm="1">
        <f t="array" ref="N69">IFERROR(1/(1/SUM(COUNTIFS(
'YearA-AppDetails Current Date'!A:A,D69,
'YearA-AppDetails Current Date'!F:F,E69,
'YearA-AppDetails Current Date'!E:E,--F69,
'YearA-AppDetails Current Date'!V:V,{"APRO","NODE"},
'YearA-AppDetails Current Date'!I:I,"WINTER"))), "")</f>
        <v/>
      </c>
      <c r="O69" s="74" t="str" cm="1">
        <f t="array" ref="O69">IFERROR(1/(1/SUM(COUNTIFS(
'YearA-AppDetails Current Date'!A:A,D69,
'YearA-AppDetails Current Date'!F:F,E69,
'YearA-AppDetails Current Date'!E:E,--F69,
'YearA-AppDetails Current Date'!T:T,{"CDMT","RQMT","WAIT"},
'YearA-AppDetails Current Date'!I:I,"WINTER"))), "")</f>
        <v/>
      </c>
      <c r="P69" s="74" t="str">
        <f>IFERROR(1/(1/COUNTIFS(
'YearA-AppDetails Current Date'!A:A,D69,
'YearA-AppDetails Current Date'!F:F,E69,
'YearA-AppDetails Current Date'!E:E,--F69,
'YearA-AppDetails Current Date'!Y:Y,"ENRO",
'YearA-AppDetails Current Date'!I:I,"WINTER")),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HC'!D:T,6,FALSE)),
N(VLOOKUP(D70&amp;F70,'Budgeted Projections Dom HC'!D:T,7,FALSE))
)
),"")</f>
        <v/>
      </c>
      <c r="I70" s="73" t="str">
        <f>IFERROR(1/(1/COUNTIFS(
'YearA-AppDetails Current Date'!A:A,D70,
'YearA-AppDetails Current Date'!F:F,E70,
'YearA-AppDetails Current Date'!E:E,--F70,
'YearA-AppDetails Current Date'!I:I,"WINTER")), "")</f>
        <v/>
      </c>
      <c r="J70" s="74" t="str" cm="1">
        <f t="array" ref="J70">IFERROR(1/(1/SUM(COUNTIFS(
'YearA-AppDetails Current Date'!A:A,D70,
'YearA-AppDetails Current Date'!F:F,E70,
'YearA-AppDetails Current Date'!E:E,--F70,
'YearA-AppDetails Current Date'!O:O,{"ACLN","ACPT","COND"},
'YearA-AppDetails Current Date'!S:S,"&lt;&gt;ACLN",
'YearA-AppDetails Current Date'!S:S,"&lt;&gt;ACPT",
'YearA-AppDetails Current Date'!S:S,"&lt;&gt;COND",
'YearA-AppDetails Current Date'!I:I,"WINTER"))), "")</f>
        <v/>
      </c>
      <c r="K70" s="73" t="str">
        <f>IFERROR(1/(1/SUM(COUNTIFS(
'YearA-AppDetails Current Date'!A:A,D70,
'YearA-AppDetails Current Date'!F:F,E70,
'YearA-AppDetails Current Date'!E:E,--F70,
'YearA-AppDetails Current Date'!R:R,"&lt;&gt;"&amp;"",
'YearA-AppDetails Current Date'!I:I,"WINTER"))), "")</f>
        <v/>
      </c>
      <c r="L70" s="74" t="str" cm="1">
        <f t="array" ref="L70">IFERROR(1/(1/SUM(COUNTIFS(
'YearA-AppDetails Current Date'!A:A,D70,
'YearA-AppDetails Current Date'!F:F,E70,
'YearA-AppDetails Current Date'!E:E,--F70,
'YearA-AppDetails Current Date'!T:T,{"APEX","DENY","NTSL"},
'YearA-AppDetails Current Date'!I:I,"WINTER"))), "")</f>
        <v/>
      </c>
      <c r="M70" s="74" t="str" cm="1">
        <f t="array" ref="M70">IFERROR(1/(1/SUM(COUNTIFS(
'YearA-AppDetails Current Date'!A:A,D70,
'YearA-AppDetails Current Date'!F:F,E70,
'YearA-AppDetails Current Date'!E:E,--F70,
'YearA-AppDetails Current Date'!U:U,{"CCAN","DECL"},
'YearA-AppDetails Current Date'!I:I,"WINTER"))), "")</f>
        <v/>
      </c>
      <c r="N70" s="74" t="str" cm="1">
        <f t="array" ref="N70">IFERROR(1/(1/SUM(COUNTIFS(
'YearA-AppDetails Current Date'!A:A,D70,
'YearA-AppDetails Current Date'!F:F,E70,
'YearA-AppDetails Current Date'!E:E,--F70,
'YearA-AppDetails Current Date'!V:V,{"APRO","NODE"},
'YearA-AppDetails Current Date'!I:I,"WINTER"))), "")</f>
        <v/>
      </c>
      <c r="O70" s="74" t="str" cm="1">
        <f t="array" ref="O70">IFERROR(1/(1/SUM(COUNTIFS(
'YearA-AppDetails Current Date'!A:A,D70,
'YearA-AppDetails Current Date'!F:F,E70,
'YearA-AppDetails Current Date'!E:E,--F70,
'YearA-AppDetails Current Date'!T:T,{"CDMT","RQMT","WAIT"},
'YearA-AppDetails Current Date'!I:I,"WINTER"))), "")</f>
        <v/>
      </c>
      <c r="P70" s="74" t="str">
        <f>IFERROR(1/(1/COUNTIFS(
'YearA-AppDetails Current Date'!A:A,D70,
'YearA-AppDetails Current Date'!F:F,E70,
'YearA-AppDetails Current Date'!E:E,--F70,
'YearA-AppDetails Current Date'!Y:Y,"ENRO",
'YearA-AppDetails Current Date'!I:I,"WINTER")),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HC'!D:T,6,FALSE)),
N(VLOOKUP(D71&amp;F71,'Budgeted Projections Intl HC'!D:T,7,FALSE))
)
),"")</f>
        <v/>
      </c>
      <c r="I71" s="73" t="str">
        <f>IFERROR(1/(1/COUNTIFS(
'YearA-AppDetails Current Date'!A:A,D71,
'YearA-AppDetails Current Date'!F:F,E71,
'YearA-AppDetails Current Date'!E:E,--F71,
'YearA-AppDetails Current Date'!I:I,"WINTER")), "")</f>
        <v/>
      </c>
      <c r="J71" s="74" t="str" cm="1">
        <f t="array" ref="J71">IFERROR(1/(1/SUM(COUNTIFS(
'YearA-AppDetails Current Date'!A:A,D71,
'YearA-AppDetails Current Date'!F:F,E71,
'YearA-AppDetails Current Date'!E:E,--F71,
'YearA-AppDetails Current Date'!O:O,{"ACLN","ACPT","COND"},
'YearA-AppDetails Current Date'!S:S,"&lt;&gt;ACLN",
'YearA-AppDetails Current Date'!S:S,"&lt;&gt;ACPT",
'YearA-AppDetails Current Date'!S:S,"&lt;&gt;COND",
'YearA-AppDetails Current Date'!I:I,"WINTER"))), "")</f>
        <v/>
      </c>
      <c r="K71" s="73" t="str">
        <f>IFERROR(1/(1/SUM(COUNTIFS(
'YearA-AppDetails Current Date'!A:A,D71,
'YearA-AppDetails Current Date'!F:F,E71,
'YearA-AppDetails Current Date'!E:E,--F71,
'YearA-AppDetails Current Date'!R:R,"&lt;&gt;"&amp;"",
'YearA-AppDetails Current Date'!I:I,"WINTER"))), "")</f>
        <v/>
      </c>
      <c r="L71" s="74" t="str" cm="1">
        <f t="array" ref="L71">IFERROR(1/(1/SUM(COUNTIFS(
'YearA-AppDetails Current Date'!A:A,D71,
'YearA-AppDetails Current Date'!F:F,E71,
'YearA-AppDetails Current Date'!E:E,--F71,
'YearA-AppDetails Current Date'!T:T,{"APEX","DENY","NTSL"},
'YearA-AppDetails Current Date'!I:I,"WINTER"))), "")</f>
        <v/>
      </c>
      <c r="M71" s="74" t="str" cm="1">
        <f t="array" ref="M71">IFERROR(1/(1/SUM(COUNTIFS(
'YearA-AppDetails Current Date'!A:A,D71,
'YearA-AppDetails Current Date'!F:F,E71,
'YearA-AppDetails Current Date'!E:E,--F71,
'YearA-AppDetails Current Date'!U:U,{"CCAN","DECL"},
'YearA-AppDetails Current Date'!I:I,"WINTER"))), "")</f>
        <v/>
      </c>
      <c r="N71" s="74" t="str" cm="1">
        <f t="array" ref="N71">IFERROR(1/(1/SUM(COUNTIFS(
'YearA-AppDetails Current Date'!A:A,D71,
'YearA-AppDetails Current Date'!F:F,E71,
'YearA-AppDetails Current Date'!E:E,--F71,
'YearA-AppDetails Current Date'!V:V,{"APRO","NODE"},
'YearA-AppDetails Current Date'!I:I,"WINTER"))), "")</f>
        <v/>
      </c>
      <c r="O71" s="74" t="str" cm="1">
        <f t="array" ref="O71">IFERROR(1/(1/SUM(COUNTIFS(
'YearA-AppDetails Current Date'!A:A,D71,
'YearA-AppDetails Current Date'!F:F,E71,
'YearA-AppDetails Current Date'!E:E,--F71,
'YearA-AppDetails Current Date'!T:T,{"CDMT","RQMT","WAIT"},
'YearA-AppDetails Current Date'!I:I,"WINTER"))), "")</f>
        <v/>
      </c>
      <c r="P71" s="74" t="str">
        <f>IFERROR(1/(1/COUNTIFS(
'YearA-AppDetails Current Date'!A:A,D71,
'YearA-AppDetails Current Date'!F:F,E71,
'YearA-AppDetails Current Date'!E:E,--F71,
'YearA-AppDetails Current Date'!Y:Y,"ENRO",
'YearA-AppDetails Current Date'!I:I,"WINTER")),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HC'!D:T,6,FALSE)),
N(VLOOKUP("BSCACN,BSCAFT,BSCAEE3",'Budgeted Projections Dom HC'!D:T,7,FALSE))
)
),"")</f>
        <v/>
      </c>
      <c r="I72" s="73" t="str" cm="1">
        <f t="array" ref="I72">IFERROR(1/(1/SUM(COUNTIFS(
'YearA-AppDetails Current Date'!A:A,TRIM(_xlfn.TEXTSPLIT(D72,{"&amp;",","})),
'YearA-AppDetails Current Date'!F:F,E72,
'YearA-AppDetails Current Date'!E:E,--F72,
'YearA-AppDetails Current Date'!I:I,"WINTER"))), "")</f>
        <v/>
      </c>
      <c r="J72" s="74" t="str" cm="1">
        <f t="array" ref="J72">IFERROR(1/(1/SUM(
COUNTIFS(
'YearA-AppDetails Current Date'!A:A,"BSCN",
'YearA-AppDetails Current Date'!F:F,E72,
'YearA-AppDetails Current Date'!E:E,--F72,
'YearA-AppDetails Current Date'!O:O,{"ACLN","ACPT","COND"},
'YearA-AppDetails Current Date'!S:S,"&lt;&gt;ACLN",
'YearA-AppDetails Current Date'!S:S,"&lt;&gt;ACPT",
'YearA-AppDetails Current Date'!S:S,"&lt;&gt;COND",
'YearA-AppDetails Current Date'!I:I,"WINTER")
+
COUNTIFS(
'YearA-AppDetails Current Date'!A:A,"BSCACN",
'YearA-AppDetails Current Date'!F:F,E72,
'YearA-AppDetails Current Date'!E:E,--F72,
'YearA-AppDetails Current Date'!O:O,{"ACLN","ACPT","COND"},
'YearA-AppDetails Current Date'!S:S,"&lt;&gt;ACLN",
'YearA-AppDetails Current Date'!S:S,"&lt;&gt;ACPT",
'YearA-AppDetails Current Date'!S:S,"&lt;&gt;COND",
'YearA-AppDetails Current Date'!I:I,"WINTER")
+
COUNTIFS(
'YearA-AppDetails Current Date'!A:A,"BSCAFT",
'YearA-AppDetails Current Date'!F:F,E72,
'YearA-AppDetails Current Date'!E:E,--F72,
'YearA-AppDetails Current Date'!O:O,{"ACLN","ACPT","COND"},
'YearA-AppDetails Current Date'!S:S,"&lt;&gt;ACLN",
'YearA-AppDetails Current Date'!S:S,"&lt;&gt;ACPT",
'YearA-AppDetails Current Date'!S:S,"&lt;&gt;COND",
'YearA-AppDetails Current Date'!I:I,"WINTER")
+
COUNTIFS(
'YearA-AppDetails Current Date'!A:A,"BSCAEE",
'YearA-AppDetails Current Date'!F:F,E72,
'YearA-AppDetails Current Date'!E:E,--F72,
'YearA-AppDetails Current Date'!O:O,{"ACLN","ACPT","COND"},
'YearA-AppDetails Current Date'!S:S,"&lt;&gt;ACLN",
'YearA-AppDetails Current Date'!S:S,"&lt;&gt;ACPT",
'YearA-AppDetails Current Date'!S:S,"&lt;&gt;COND",
'YearA-AppDetails Current Date'!I:I,"WINTER")
)), "")</f>
        <v/>
      </c>
      <c r="K72" s="73" t="str">
        <f>IFERROR(1/(1/SUM(
COUNTIFS(
'YearA-AppDetails Current Date'!A:A,"BSCN",
'YearA-AppDetails Current Date'!F:F,E72,
'YearA-AppDetails Current Date'!E:E,--F72,
'YearA-AppDetails Current Date'!R:R,"&lt;&gt;"&amp;"",
'YearA-AppDetails Current Date'!I:I,"WINTER")
+
COUNTIFS(
'YearA-AppDetails Current Date'!A:A,"BSCACN",
'YearA-AppDetails Current Date'!F:F,E72,
'YearA-AppDetails Current Date'!E:E,--F72,
'YearA-AppDetails Current Date'!R:R,"&lt;&gt;"&amp;"",
'YearA-AppDetails Current Date'!I:I,"WINTER")
+
COUNTIFS(
'YearA-AppDetails Current Date'!A:A,"BSCAFT",
'YearA-AppDetails Current Date'!F:F,E72,
'YearA-AppDetails Current Date'!E:E,--F72,
'YearA-AppDetails Current Date'!R:R,"&lt;&gt;"&amp;"",
'YearA-AppDetails Current Date'!I:I,"WINTER")
+
COUNTIFS(
'YearA-AppDetails Current Date'!A:A,"BSCAEE",
'YearA-AppDetails Current Date'!F:F,E72,
'YearA-AppDetails Current Date'!E:E,--F72,
'YearA-AppDetails Current Date'!R:R,"&lt;&gt;"&amp;"",
'YearA-AppDetails Current Date'!I:I,"WINTER")
)), "")</f>
        <v/>
      </c>
      <c r="L72" s="74" t="str" cm="1">
        <f t="array" ref="L72">IFERROR(1/(1/SUM(
COUNTIFS(
'YearA-AppDetails Current Date'!A:A,"BSCN",
'YearA-AppDetails Current Date'!F:F,E72,
'YearA-AppDetails Current Date'!E:E,--F72,
'YearA-AppDetails Current Date'!T:T,{"APEX","DENY","NTSL"},
'YearA-AppDetails Current Date'!I:I,"WINTER")
+
COUNTIFS(
'YearA-AppDetails Current Date'!A:A,"BSCACN",
'YearA-AppDetails Current Date'!F:F,E72,
'YearA-AppDetails Current Date'!E:E,--F72,
'YearA-AppDetails Current Date'!T:T,{"APEX","DENY","NTSL"},
'YearA-AppDetails Current Date'!I:I,"WINTER")
+
COUNTIFS(
'YearA-AppDetails Current Date'!A:A,"BSCAFT",
'YearA-AppDetails Current Date'!F:F,E72,
'YearA-AppDetails Current Date'!E:E,--F72,
'YearA-AppDetails Current Date'!T:T,{"APEX","DENY","NTSL"},
'YearA-AppDetails Current Date'!I:I,"WINTER")
+
COUNTIFS(
'YearA-AppDetails Current Date'!A:A,"BSCAEE",
'YearA-AppDetails Current Date'!F:F,E72,
'YearA-AppDetails Current Date'!E:E,--F72,
'YearA-AppDetails Current Date'!T:T,{"APEX","DENY","NTSL"},
'YearA-AppDetails Current Date'!I:I,"WINTER")
)), "")</f>
        <v/>
      </c>
      <c r="M72" s="74" t="str" cm="1">
        <f t="array" ref="M72">IFERROR(1/(1/SUM(
COUNTIFS(
'YearA-AppDetails Current Date'!A:A,"BSCN",
'YearA-AppDetails Current Date'!F:F,E72,
'YearA-AppDetails Current Date'!E:E,--F72,
'YearA-AppDetails Current Date'!U:U,{"CCAN","DECL"},
'YearA-AppDetails Current Date'!I:I,"WINTER")
+
COUNTIFS(
'YearA-AppDetails Current Date'!A:A,"BSCACN",
'YearA-AppDetails Current Date'!F:F,E72,
'YearA-AppDetails Current Date'!E:E,--F72,
'YearA-AppDetails Current Date'!U:U,{"CCAN","DECL"},
'YearA-AppDetails Current Date'!I:I,"WINTER")
+
COUNTIFS(
'YearA-AppDetails Current Date'!A:A,"BSCAFT",
'YearA-AppDetails Current Date'!F:F,E72,
'YearA-AppDetails Current Date'!E:E,--F72,
'YearA-AppDetails Current Date'!U:U,{"CCAN","DECL"},
'YearA-AppDetails Current Date'!I:I,"WINTER")
+
COUNTIFS(
'YearA-AppDetails Current Date'!A:A,"BSCAEE",
'YearA-AppDetails Current Date'!F:F,E72,
'YearA-AppDetails Current Date'!E:E,--F72,
'YearA-AppDetails Current Date'!U:U,{"CCAN","DECL"},
'YearA-AppDetails Current Date'!I:I,"WINTER")
)), "")</f>
        <v/>
      </c>
      <c r="N72" s="74" t="str" cm="1">
        <f t="array" ref="N72">IFERROR(1/(1/SUM(
COUNTIFS(
'YearA-AppDetails Current Date'!A:A,"BSCN",
'YearA-AppDetails Current Date'!F:F,E72,
'YearA-AppDetails Current Date'!E:E,--F72,
'YearA-AppDetails Current Date'!V:V,{"APRO","NODE"},
'YearA-AppDetails Current Date'!I:I,"WINTER")
+
COUNTIFS(
'YearA-AppDetails Current Date'!A:A,"BSCACN",
'YearA-AppDetails Current Date'!F:F,E72,
'YearA-AppDetails Current Date'!E:E,--F72,
'YearA-AppDetails Current Date'!V:V,{"APRO","NODE"},
'YearA-AppDetails Current Date'!I:I,"WINTER")
+
COUNTIFS(
'YearA-AppDetails Current Date'!A:A,"BSCAFT",
'YearA-AppDetails Current Date'!F:F,E72,
'YearA-AppDetails Current Date'!E:E,--F72,
'YearA-AppDetails Current Date'!V:V,{"APRO","NODE"},
'YearA-AppDetails Current Date'!I:I,"WINTER")
+
COUNTIFS(
'YearA-AppDetails Current Date'!A:A,"BSCAEE",
'YearA-AppDetails Current Date'!F:F,E72,
'YearA-AppDetails Current Date'!E:E,--F72,
'YearA-AppDetails Current Date'!V:V,{"APRO","NODE"},
'YearA-AppDetails Current Date'!I:I,"WINTER")
)), "")</f>
        <v/>
      </c>
      <c r="O72" s="74" t="str" cm="1">
        <f t="array" ref="O72">IFERROR(1/(1/SUM(
COUNTIFS(
'YearA-AppDetails Current Date'!A:A,"BSCN",
'YearA-AppDetails Current Date'!F:F,E72,
'YearA-AppDetails Current Date'!E:E,--F72,
'YearA-AppDetails Current Date'!T:T,{"CDMT","RQMT","WAIT"},
'YearA-AppDetails Current Date'!I:I,"WINTER")
+
COUNTIFS(
'YearA-AppDetails Current Date'!A:A,"BSCACN",
'YearA-AppDetails Current Date'!F:F,E72,
'YearA-AppDetails Current Date'!E:E,--F72,
'YearA-AppDetails Current Date'!T:T,{"CDMT","RQMT","WAIT"},
'YearA-AppDetails Current Date'!I:I,"WINTER")
+
COUNTIFS(
'YearA-AppDetails Current Date'!A:A,"BSCAFT",
'YearA-AppDetails Current Date'!F:F,E72,
'YearA-AppDetails Current Date'!E:E,--F72,
'YearA-AppDetails Current Date'!T:T,{"CDMT","RQMT","WAIT"},
'YearA-AppDetails Current Date'!I:I,"WINTER")
+
COUNTIFS(
'YearA-AppDetails Current Date'!A:A,"BSCAEE",
'YearA-AppDetails Current Date'!F:F,E72,
'YearA-AppDetails Current Date'!E:E,--F72,
'YearA-AppDetails Current Date'!T:T,{"CDMT","RQMT","WAIT"},
'YearA-AppDetails Current Date'!I:I,"WINTER")
)), "")</f>
        <v/>
      </c>
      <c r="P72" s="74" t="str" cm="1">
        <f t="array" ref="P72">IFERROR(1/(1/SUM(COUNTIFS(
'YearA-AppDetails Current Date'!A:A,TRIM(_xlfn.TEXTSPLIT(D72,{"&amp;",","})),
'YearA-AppDetails Current Date'!F:F,E72,
'YearA-AppDetails Current Date'!E:E,--F72,
'YearA-AppDetails Current Date'!Y:Y,"ENRO",
'YearA-AppDetails Current Date'!I:I,"WINTER"))),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HC'!D:T,6,FALSE)),
N(VLOOKUP("BSCACN,BSCAFT,BSCAEE3",'Budgeted Projections Intl HC'!D:T,7,FALSE))
)
),"")</f>
        <v/>
      </c>
      <c r="I73" s="73" t="str" cm="1">
        <f t="array" ref="I73">IFERROR(1/(1/SUM(COUNTIFS(
'YearA-AppDetails Current Date'!A:A,TRIM(_xlfn.TEXTSPLIT(D73,{"&amp;",","})),
'YearA-AppDetails Current Date'!F:F,E73,
'YearA-AppDetails Current Date'!E:E,--F73,
'YearA-AppDetails Current Date'!I:I,"WINTER"))), "")</f>
        <v/>
      </c>
      <c r="J73" s="74" t="str" cm="1">
        <f t="array" ref="J73">IFERROR(1/(1/SUM(
COUNTIFS(
'YearA-AppDetails Current Date'!A:A,"BSCN",
'YearA-AppDetails Current Date'!F:F,E73,
'YearA-AppDetails Current Date'!E:E,--F73,
'YearA-AppDetails Current Date'!O:O,{"ACLN","ACPT","COND"},
'YearA-AppDetails Current Date'!S:S,"&lt;&gt;ACLN",
'YearA-AppDetails Current Date'!S:S,"&lt;&gt;ACPT",
'YearA-AppDetails Current Date'!S:S,"&lt;&gt;COND",
'YearA-AppDetails Current Date'!I:I,"WINTER")
+
COUNTIFS(
'YearA-AppDetails Current Date'!A:A,"BSCACN",
'YearA-AppDetails Current Date'!F:F,E73,
'YearA-AppDetails Current Date'!E:E,--F73,
'YearA-AppDetails Current Date'!O:O,{"ACLN","ACPT","COND"},
'YearA-AppDetails Current Date'!S:S,"&lt;&gt;ACLN",
'YearA-AppDetails Current Date'!S:S,"&lt;&gt;ACPT",
'YearA-AppDetails Current Date'!S:S,"&lt;&gt;COND",
'YearA-AppDetails Current Date'!I:I,"WINTER")
+
COUNTIFS(
'YearA-AppDetails Current Date'!A:A,"BSCAFT",
'YearA-AppDetails Current Date'!F:F,E73,
'YearA-AppDetails Current Date'!E:E,--F73,
'YearA-AppDetails Current Date'!O:O,{"ACLN","ACPT","COND"},
'YearA-AppDetails Current Date'!S:S,"&lt;&gt;ACLN",
'YearA-AppDetails Current Date'!S:S,"&lt;&gt;ACPT",
'YearA-AppDetails Current Date'!S:S,"&lt;&gt;COND",
'YearA-AppDetails Current Date'!I:I,"WINTER")
+
COUNTIFS(
'YearA-AppDetails Current Date'!A:A,"BSCAEE",
'YearA-AppDetails Current Date'!F:F,E73,
'YearA-AppDetails Current Date'!E:E,--F73,
'YearA-AppDetails Current Date'!O:O,{"ACLN","ACPT","COND"},
'YearA-AppDetails Current Date'!S:S,"&lt;&gt;ACLN",
'YearA-AppDetails Current Date'!S:S,"&lt;&gt;ACPT",
'YearA-AppDetails Current Date'!S:S,"&lt;&gt;COND",
'YearA-AppDetails Current Date'!I:I,"WINTER")
)), "")</f>
        <v/>
      </c>
      <c r="K73" s="73" t="str">
        <f>IFERROR(1/(1/SUM(
COUNTIFS(
'YearA-AppDetails Current Date'!A:A,"BSCN",
'YearA-AppDetails Current Date'!F:F,E73,
'YearA-AppDetails Current Date'!E:E,--F73,
'YearA-AppDetails Current Date'!R:R,"&lt;&gt;"&amp;"",
'YearA-AppDetails Current Date'!I:I,"WINTER")
+
COUNTIFS(
'YearA-AppDetails Current Date'!A:A,"BSCACN",
'YearA-AppDetails Current Date'!F:F,E73,
'YearA-AppDetails Current Date'!E:E,--F73,
'YearA-AppDetails Current Date'!R:R,"&lt;&gt;"&amp;"",
'YearA-AppDetails Current Date'!I:I,"WINTER")
+
COUNTIFS(
'YearA-AppDetails Current Date'!A:A,"BSCAFT",
'YearA-AppDetails Current Date'!F:F,E73,
'YearA-AppDetails Current Date'!E:E,--F73,
'YearA-AppDetails Current Date'!R:R,"&lt;&gt;"&amp;"",
'YearA-AppDetails Current Date'!I:I,"WINTER")
+
COUNTIFS(
'YearA-AppDetails Current Date'!A:A,"BSCAEE",
'YearA-AppDetails Current Date'!F:F,E73,
'YearA-AppDetails Current Date'!E:E,--F73,
'YearA-AppDetails Current Date'!R:R,"&lt;&gt;"&amp;"",
'YearA-AppDetails Current Date'!I:I,"WINTER")
)), "")</f>
        <v/>
      </c>
      <c r="L73" s="74" t="str" cm="1">
        <f t="array" ref="L73">IFERROR(1/(1/SUM(
COUNTIFS(
'YearA-AppDetails Current Date'!A:A,"BSCN",
'YearA-AppDetails Current Date'!F:F,E73,
'YearA-AppDetails Current Date'!E:E,--F73,
'YearA-AppDetails Current Date'!T:T,{"APEX","DENY","NTSL"},
'YearA-AppDetails Current Date'!I:I,"WINTER")
+
COUNTIFS(
'YearA-AppDetails Current Date'!A:A,"BSCACN",
'YearA-AppDetails Current Date'!F:F,E73,
'YearA-AppDetails Current Date'!E:E,--F73,
'YearA-AppDetails Current Date'!T:T,{"APEX","DENY","NTSL"},
'YearA-AppDetails Current Date'!I:I,"WINTER")
+
COUNTIFS(
'YearA-AppDetails Current Date'!A:A,"BSCAFT",
'YearA-AppDetails Current Date'!F:F,E73,
'YearA-AppDetails Current Date'!E:E,--F73,
'YearA-AppDetails Current Date'!T:T,{"APEX","DENY","NTSL"},
'YearA-AppDetails Current Date'!I:I,"WINTER")
+
COUNTIFS(
'YearA-AppDetails Current Date'!A:A,"BSCAEE",
'YearA-AppDetails Current Date'!F:F,E73,
'YearA-AppDetails Current Date'!E:E,--F73,
'YearA-AppDetails Current Date'!T:T,{"APEX","DENY","NTSL"},
'YearA-AppDetails Current Date'!I:I,"WINTER")
)), "")</f>
        <v/>
      </c>
      <c r="M73" s="74" t="str" cm="1">
        <f t="array" ref="M73">IFERROR(1/(1/SUM(
COUNTIFS(
'YearA-AppDetails Current Date'!A:A,"BSCN",
'YearA-AppDetails Current Date'!F:F,E73,
'YearA-AppDetails Current Date'!E:E,--F73,
'YearA-AppDetails Current Date'!U:U,{"CCAN","DECL"},
'YearA-AppDetails Current Date'!I:I,"WINTER")
+
COUNTIFS(
'YearA-AppDetails Current Date'!A:A,"BSCACN",
'YearA-AppDetails Current Date'!F:F,E73,
'YearA-AppDetails Current Date'!E:E,--F73,
'YearA-AppDetails Current Date'!U:U,{"CCAN","DECL"},
'YearA-AppDetails Current Date'!I:I,"WINTER")
+
COUNTIFS(
'YearA-AppDetails Current Date'!A:A,"BSCAFT",
'YearA-AppDetails Current Date'!F:F,E73,
'YearA-AppDetails Current Date'!E:E,--F73,
'YearA-AppDetails Current Date'!U:U,{"CCAN","DECL"},
'YearA-AppDetails Current Date'!I:I,"WINTER")
+
COUNTIFS(
'YearA-AppDetails Current Date'!A:A,"BSCAEE",
'YearA-AppDetails Current Date'!F:F,E73,
'YearA-AppDetails Current Date'!E:E,--F73,
'YearA-AppDetails Current Date'!U:U,{"CCAN","DECL"},
'YearA-AppDetails Current Date'!I:I,"WINTER")
)), "")</f>
        <v/>
      </c>
      <c r="N73" s="74" t="str" cm="1">
        <f t="array" ref="N73">IFERROR(1/(1/SUM(
COUNTIFS(
'YearA-AppDetails Current Date'!A:A,"BSCN",
'YearA-AppDetails Current Date'!F:F,E73,
'YearA-AppDetails Current Date'!E:E,--F73,
'YearA-AppDetails Current Date'!V:V,{"APRO","NODE"},
'YearA-AppDetails Current Date'!I:I,"WINTER")
+
COUNTIFS(
'YearA-AppDetails Current Date'!A:A,"BSCACN",
'YearA-AppDetails Current Date'!F:F,E73,
'YearA-AppDetails Current Date'!E:E,--F73,
'YearA-AppDetails Current Date'!V:V,{"APRO","NODE"},
'YearA-AppDetails Current Date'!I:I,"WINTER")
+
COUNTIFS(
'YearA-AppDetails Current Date'!A:A,"BSCAFT",
'YearA-AppDetails Current Date'!F:F,E73,
'YearA-AppDetails Current Date'!E:E,--F73,
'YearA-AppDetails Current Date'!V:V,{"APRO","NODE"},
'YearA-AppDetails Current Date'!I:I,"WINTER")
+
COUNTIFS(
'YearA-AppDetails Current Date'!A:A,"BSCAEE",
'YearA-AppDetails Current Date'!F:F,E73,
'YearA-AppDetails Current Date'!E:E,--F73,
'YearA-AppDetails Current Date'!V:V,{"APRO","NODE"},
'YearA-AppDetails Current Date'!I:I,"WINTER")
)), "")</f>
        <v/>
      </c>
      <c r="O73" s="74" t="str" cm="1">
        <f t="array" ref="O73">IFERROR(1/(1/SUM(
COUNTIFS(
'YearA-AppDetails Current Date'!A:A,"BSCN",
'YearA-AppDetails Current Date'!F:F,E73,
'YearA-AppDetails Current Date'!E:E,--F73,
'YearA-AppDetails Current Date'!T:T,{"CDMT","RQMT","WAIT"},
'YearA-AppDetails Current Date'!I:I,"WINTER")
+
COUNTIFS(
'YearA-AppDetails Current Date'!A:A,"BSCACN",
'YearA-AppDetails Current Date'!F:F,E73,
'YearA-AppDetails Current Date'!E:E,--F73,
'YearA-AppDetails Current Date'!T:T,{"CDMT","RQMT","WAIT"},
'YearA-AppDetails Current Date'!I:I,"WINTER")
+
COUNTIFS(
'YearA-AppDetails Current Date'!A:A,"BSCAFT",
'YearA-AppDetails Current Date'!F:F,E73,
'YearA-AppDetails Current Date'!E:E,--F73,
'YearA-AppDetails Current Date'!T:T,{"CDMT","RQMT","WAIT"},
'YearA-AppDetails Current Date'!I:I,"WINTER")
+
COUNTIFS(
'YearA-AppDetails Current Date'!A:A,"BSCAEE",
'YearA-AppDetails Current Date'!F:F,E73,
'YearA-AppDetails Current Date'!E:E,--F73,
'YearA-AppDetails Current Date'!T:T,{"CDMT","RQMT","WAIT"},
'YearA-AppDetails Current Date'!I:I,"WINTER")
)), "")</f>
        <v/>
      </c>
      <c r="P73" s="74" t="str" cm="1">
        <f t="array" ref="P73">IFERROR(1/(1/SUM(COUNTIFS(
'YearA-AppDetails Current Date'!A:A,TRIM(_xlfn.TEXTSPLIT(D73,{"&amp;",","})),
'YearA-AppDetails Current Date'!F:F,E73,
'YearA-AppDetails Current Date'!E:E,--F73,
'YearA-AppDetails Current Date'!Y:Y,"ENRO",
'YearA-AppDetails Current Date'!I:I,"WINTER"))),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HC'!D:T,6,FALSE)),
N(VLOOKUP(D74&amp;F74,'Budgeted Projections Dom HC'!D:T,7,FALSE))
)
),"")</f>
        <v/>
      </c>
      <c r="I74" s="73" t="str">
        <f>IFERROR(1/(1/COUNTIFS(
'YearA-AppDetails Current Date'!A:A,D74,
'YearA-AppDetails Current Date'!F:F,E74,
'YearA-AppDetails Current Date'!E:E,--F74,
'YearA-AppDetails Current Date'!I:I,"WINTER")), "")</f>
        <v/>
      </c>
      <c r="J74" s="74" t="str" cm="1">
        <f t="array" ref="J74">IFERROR(1/(1/SUM(COUNTIFS(
'YearA-AppDetails Current Date'!A:A,D74,
'YearA-AppDetails Current Date'!F:F,E74,
'YearA-AppDetails Current Date'!E:E,--F74,
'YearA-AppDetails Current Date'!O:O,{"ACLN","ACPT","COND"},
'YearA-AppDetails Current Date'!S:S,"&lt;&gt;ACLN",
'YearA-AppDetails Current Date'!S:S,"&lt;&gt;ACPT",
'YearA-AppDetails Current Date'!S:S,"&lt;&gt;COND",
'YearA-AppDetails Current Date'!I:I,"WINTER"))), "")</f>
        <v/>
      </c>
      <c r="K74" s="73" t="str">
        <f>IFERROR(1/(1/SUM(COUNTIFS(
'YearA-AppDetails Current Date'!A:A,D74,
'YearA-AppDetails Current Date'!F:F,E74,
'YearA-AppDetails Current Date'!E:E,--F74,
'YearA-AppDetails Current Date'!R:R,"&lt;&gt;"&amp;"",
'YearA-AppDetails Current Date'!I:I,"WINTER"))), "")</f>
        <v/>
      </c>
      <c r="L74" s="74" t="str" cm="1">
        <f t="array" ref="L74">IFERROR(1/(1/SUM(COUNTIFS(
'YearA-AppDetails Current Date'!A:A,D74,
'YearA-AppDetails Current Date'!F:F,E74,
'YearA-AppDetails Current Date'!E:E,--F74,
'YearA-AppDetails Current Date'!T:T,{"APEX","DENY","NTSL"},
'YearA-AppDetails Current Date'!I:I,"WINTER"))), "")</f>
        <v/>
      </c>
      <c r="M74" s="74" t="str" cm="1">
        <f t="array" ref="M74">IFERROR(1/(1/SUM(COUNTIFS(
'YearA-AppDetails Current Date'!A:A,D74,
'YearA-AppDetails Current Date'!F:F,E74,
'YearA-AppDetails Current Date'!E:E,--F74,
'YearA-AppDetails Current Date'!U:U,{"CCAN","DECL"},
'YearA-AppDetails Current Date'!I:I,"WINTER"))), "")</f>
        <v/>
      </c>
      <c r="N74" s="74" t="str" cm="1">
        <f t="array" ref="N74">IFERROR(1/(1/SUM(COUNTIFS(
'YearA-AppDetails Current Date'!A:A,D74,
'YearA-AppDetails Current Date'!F:F,E74,
'YearA-AppDetails Current Date'!E:E,--F74,
'YearA-AppDetails Current Date'!V:V,{"APRO","NODE"},
'YearA-AppDetails Current Date'!I:I,"WINTER"))), "")</f>
        <v/>
      </c>
      <c r="O74" s="74" t="str" cm="1">
        <f t="array" ref="O74">IFERROR(1/(1/SUM(COUNTIFS(
'YearA-AppDetails Current Date'!A:A,D74,
'YearA-AppDetails Current Date'!F:F,E74,
'YearA-AppDetails Current Date'!E:E,--F74,
'YearA-AppDetails Current Date'!T:T,{"CDMT","RQMT","WAIT"},
'YearA-AppDetails Current Date'!I:I,"WINTER"))), "")</f>
        <v/>
      </c>
      <c r="P74" s="74" t="str">
        <f>IFERROR(1/(1/COUNTIFS(
'YearA-AppDetails Current Date'!A:A,D74,
'YearA-AppDetails Current Date'!F:F,E74,
'YearA-AppDetails Current Date'!E:E,--F74,
'YearA-AppDetails Current Date'!Y:Y,"ENRO",
'YearA-AppDetails Current Date'!I:I,"WINTER")),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HC'!D:T,6,FALSE)),
N(VLOOKUP(D75&amp;F75,'Budgeted Projections Intl HC'!D:T,7,FALSE))
)
),"")</f>
        <v/>
      </c>
      <c r="I75" s="73" t="str">
        <f>IFERROR(1/(1/COUNTIFS(
'YearA-AppDetails Current Date'!A:A,D75,
'YearA-AppDetails Current Date'!F:F,E75,
'YearA-AppDetails Current Date'!E:E,--F75,
'YearA-AppDetails Current Date'!I:I,"WINTER")), "")</f>
        <v/>
      </c>
      <c r="J75" s="74" t="str" cm="1">
        <f t="array" ref="J75">IFERROR(1/(1/SUM(COUNTIFS(
'YearA-AppDetails Current Date'!A:A,D75,
'YearA-AppDetails Current Date'!F:F,E75,
'YearA-AppDetails Current Date'!E:E,--F75,
'YearA-AppDetails Current Date'!O:O,{"ACLN","ACPT","COND"},
'YearA-AppDetails Current Date'!S:S,"&lt;&gt;ACLN",
'YearA-AppDetails Current Date'!S:S,"&lt;&gt;ACPT",
'YearA-AppDetails Current Date'!S:S,"&lt;&gt;COND",
'YearA-AppDetails Current Date'!I:I,"WINTER"))), "")</f>
        <v/>
      </c>
      <c r="K75" s="73" t="str">
        <f>IFERROR(1/(1/SUM(COUNTIFS(
'YearA-AppDetails Current Date'!A:A,D75,
'YearA-AppDetails Current Date'!F:F,E75,
'YearA-AppDetails Current Date'!E:E,--F75,
'YearA-AppDetails Current Date'!R:R,"&lt;&gt;"&amp;"",
'YearA-AppDetails Current Date'!I:I,"WINTER"))), "")</f>
        <v/>
      </c>
      <c r="L75" s="74" t="str" cm="1">
        <f t="array" ref="L75">IFERROR(1/(1/SUM(COUNTIFS(
'YearA-AppDetails Current Date'!A:A,D75,
'YearA-AppDetails Current Date'!F:F,E75,
'YearA-AppDetails Current Date'!E:E,--F75,
'YearA-AppDetails Current Date'!T:T,{"APEX","DENY","NTSL"},
'YearA-AppDetails Current Date'!I:I,"WINTER"))), "")</f>
        <v/>
      </c>
      <c r="M75" s="74" t="str" cm="1">
        <f t="array" ref="M75">IFERROR(1/(1/SUM(COUNTIFS(
'YearA-AppDetails Current Date'!A:A,D75,
'YearA-AppDetails Current Date'!F:F,E75,
'YearA-AppDetails Current Date'!E:E,--F75,
'YearA-AppDetails Current Date'!U:U,{"CCAN","DECL"},
'YearA-AppDetails Current Date'!I:I,"WINTER"))), "")</f>
        <v/>
      </c>
      <c r="N75" s="74" t="str" cm="1">
        <f t="array" ref="N75">IFERROR(1/(1/SUM(COUNTIFS(
'YearA-AppDetails Current Date'!A:A,D75,
'YearA-AppDetails Current Date'!F:F,E75,
'YearA-AppDetails Current Date'!E:E,--F75,
'YearA-AppDetails Current Date'!V:V,{"APRO","NODE"},
'YearA-AppDetails Current Date'!I:I,"WINTER"))), "")</f>
        <v/>
      </c>
      <c r="O75" s="74" t="str" cm="1">
        <f t="array" ref="O75">IFERROR(1/(1/SUM(COUNTIFS(
'YearA-AppDetails Current Date'!A:A,D75,
'YearA-AppDetails Current Date'!F:F,E75,
'YearA-AppDetails Current Date'!E:E,--F75,
'YearA-AppDetails Current Date'!T:T,{"CDMT","RQMT","WAIT"},
'YearA-AppDetails Current Date'!I:I,"WINTER"))), "")</f>
        <v/>
      </c>
      <c r="P75" s="74" t="str">
        <f>IFERROR(1/(1/COUNTIFS(
'YearA-AppDetails Current Date'!A:A,D75,
'YearA-AppDetails Current Date'!F:F,E75,
'YearA-AppDetails Current Date'!E:E,--F75,
'YearA-AppDetails Current Date'!Y:Y,"ENRO",
'YearA-AppDetails Current Date'!I:I,"WINTER")),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HC'!D:T,6,FALSE)),
N(VLOOKUP(D78&amp;F78,'Budgeted Projections Dom HC'!D:T,7,FALSE))
)
),"")</f>
        <v/>
      </c>
      <c r="I78" s="73" t="str">
        <f>IFERROR(1/(1/COUNTIFS(
'YearA-AppDetails Current Date'!A:A,D78,
'YearA-AppDetails Current Date'!F:F,E78,
'YearA-AppDetails Current Date'!E:E,--F78,
'YearA-AppDetails Current Date'!I:I,"WINTER")), "")</f>
        <v/>
      </c>
      <c r="J78" s="74" t="str" cm="1">
        <f t="array" ref="J78">IFERROR(1/(1/SUM(COUNTIFS(
'YearA-AppDetails Current Date'!A:A,D78,
'YearA-AppDetails Current Date'!F:F,E78,
'YearA-AppDetails Current Date'!E:E,--F78,
'YearA-AppDetails Current Date'!O:O,{"ACLN","ACPT","COND"},
'YearA-AppDetails Current Date'!S:S,"&lt;&gt;ACLN",
'YearA-AppDetails Current Date'!S:S,"&lt;&gt;ACPT",
'YearA-AppDetails Current Date'!S:S,"&lt;&gt;COND",
'YearA-AppDetails Current Date'!I:I,"WINTER"))), "")</f>
        <v/>
      </c>
      <c r="K78" s="73" t="str">
        <f>IFERROR(1/(1/SUM(COUNTIFS(
'YearA-AppDetails Current Date'!A:A,D78,
'YearA-AppDetails Current Date'!F:F,E78,
'YearA-AppDetails Current Date'!E:E,--F78,
'YearA-AppDetails Current Date'!R:R,"&lt;&gt;"&amp;"",
'YearA-AppDetails Current Date'!I:I,"WINTER"))), "")</f>
        <v/>
      </c>
      <c r="L78" s="74" t="str" cm="1">
        <f t="array" ref="L78">IFERROR(1/(1/SUM(COUNTIFS(
'YearA-AppDetails Current Date'!A:A,D78,
'YearA-AppDetails Current Date'!F:F,E78,
'YearA-AppDetails Current Date'!E:E,--F78,
'YearA-AppDetails Current Date'!T:T,{"APEX","DENY","NTSL"},
'YearA-AppDetails Current Date'!I:I,"WINTER"))), "")</f>
        <v/>
      </c>
      <c r="M78" s="74" t="str" cm="1">
        <f t="array" ref="M78">IFERROR(1/(1/SUM(COUNTIFS(
'YearA-AppDetails Current Date'!A:A,D78,
'YearA-AppDetails Current Date'!F:F,E78,
'YearA-AppDetails Current Date'!E:E,--F78,
'YearA-AppDetails Current Date'!U:U,{"CCAN","DECL"},
'YearA-AppDetails Current Date'!I:I,"WINTER"))), "")</f>
        <v/>
      </c>
      <c r="N78" s="74" t="str" cm="1">
        <f t="array" ref="N78">IFERROR(1/(1/SUM(COUNTIFS(
'YearA-AppDetails Current Date'!A:A,D78,
'YearA-AppDetails Current Date'!F:F,E78,
'YearA-AppDetails Current Date'!E:E,--F78,
'YearA-AppDetails Current Date'!V:V,{"APRO","NODE"},
'YearA-AppDetails Current Date'!I:I,"WINTER"))), "")</f>
        <v/>
      </c>
      <c r="O78" s="74" t="str" cm="1">
        <f t="array" ref="O78">IFERROR(1/(1/SUM(COUNTIFS(
'YearA-AppDetails Current Date'!A:A,D78,
'YearA-AppDetails Current Date'!F:F,E78,
'YearA-AppDetails Current Date'!E:E,--F78,
'YearA-AppDetails Current Date'!T:T,{"CDMT","RQMT","WAIT"},
'YearA-AppDetails Current Date'!I:I,"WINTER"))), "")</f>
        <v/>
      </c>
      <c r="P78" s="74" t="str">
        <f>IFERROR(1/(1/COUNTIFS(
'YearA-AppDetails Current Date'!A:A,D78,
'YearA-AppDetails Current Date'!F:F,E78,
'YearA-AppDetails Current Date'!E:E,--F78,
'YearA-AppDetails Current Date'!Y:Y,"ENRO",
'YearA-AppDetails Current Date'!I:I,"WINTER")),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HC'!D:T,6,FALSE)),
N(VLOOKUP(D79&amp;F79,'Budgeted Projections Intl HC'!D:T,7,FALSE))
)
),"")</f>
        <v/>
      </c>
      <c r="I79" s="73" t="str">
        <f>IFERROR(1/(1/COUNTIFS(
'YearA-AppDetails Current Date'!A:A,D79,
'YearA-AppDetails Current Date'!F:F,E79,
'YearA-AppDetails Current Date'!E:E,--F79,
'YearA-AppDetails Current Date'!I:I,"WINTER")), "")</f>
        <v/>
      </c>
      <c r="J79" s="74" t="str" cm="1">
        <f t="array" ref="J79">IFERROR(1/(1/SUM(COUNTIFS(
'YearA-AppDetails Current Date'!A:A,D79,
'YearA-AppDetails Current Date'!F:F,E79,
'YearA-AppDetails Current Date'!E:E,--F79,
'YearA-AppDetails Current Date'!O:O,{"ACLN","ACPT","COND"},
'YearA-AppDetails Current Date'!S:S,"&lt;&gt;ACLN",
'YearA-AppDetails Current Date'!S:S,"&lt;&gt;ACPT",
'YearA-AppDetails Current Date'!S:S,"&lt;&gt;COND",
'YearA-AppDetails Current Date'!I:I,"WINTER"))), "")</f>
        <v/>
      </c>
      <c r="K79" s="73" t="str">
        <f>IFERROR(1/(1/SUM(COUNTIFS(
'YearA-AppDetails Current Date'!A:A,D79,
'YearA-AppDetails Current Date'!F:F,E79,
'YearA-AppDetails Current Date'!E:E,--F79,
'YearA-AppDetails Current Date'!R:R,"&lt;&gt;"&amp;"",
'YearA-AppDetails Current Date'!I:I,"WINTER"))), "")</f>
        <v/>
      </c>
      <c r="L79" s="74" t="str" cm="1">
        <f t="array" ref="L79">IFERROR(1/(1/SUM(COUNTIFS(
'YearA-AppDetails Current Date'!A:A,D79,
'YearA-AppDetails Current Date'!F:F,E79,
'YearA-AppDetails Current Date'!E:E,--F79,
'YearA-AppDetails Current Date'!T:T,{"APEX","DENY","NTSL"},
'YearA-AppDetails Current Date'!I:I,"WINTER"))), "")</f>
        <v/>
      </c>
      <c r="M79" s="74" t="str" cm="1">
        <f t="array" ref="M79">IFERROR(1/(1/SUM(COUNTIFS(
'YearA-AppDetails Current Date'!A:A,D79,
'YearA-AppDetails Current Date'!F:F,E79,
'YearA-AppDetails Current Date'!E:E,--F79,
'YearA-AppDetails Current Date'!U:U,{"CCAN","DECL"},
'YearA-AppDetails Current Date'!I:I,"WINTER"))), "")</f>
        <v/>
      </c>
      <c r="N79" s="74" t="str" cm="1">
        <f t="array" ref="N79">IFERROR(1/(1/SUM(COUNTIFS(
'YearA-AppDetails Current Date'!A:A,D79,
'YearA-AppDetails Current Date'!F:F,E79,
'YearA-AppDetails Current Date'!E:E,--F79,
'YearA-AppDetails Current Date'!V:V,{"APRO","NODE"},
'YearA-AppDetails Current Date'!I:I,"WINTER"))), "")</f>
        <v/>
      </c>
      <c r="O79" s="74" t="str" cm="1">
        <f t="array" ref="O79">IFERROR(1/(1/SUM(COUNTIFS(
'YearA-AppDetails Current Date'!A:A,D79,
'YearA-AppDetails Current Date'!F:F,E79,
'YearA-AppDetails Current Date'!E:E,--F79,
'YearA-AppDetails Current Date'!T:T,{"CDMT","RQMT","WAIT"},
'YearA-AppDetails Current Date'!I:I,"WINTER"))), "")</f>
        <v/>
      </c>
      <c r="P79" s="74" t="str">
        <f>IFERROR(1/(1/COUNTIFS(
'YearA-AppDetails Current Date'!A:A,D79,
'YearA-AppDetails Current Date'!F:F,E79,
'YearA-AppDetails Current Date'!E:E,--F79,
'YearA-AppDetails Current Date'!Y:Y,"ENRO",
'YearA-AppDetails Current Date'!I:I,"WINTER")),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HC'!D:T,6,FALSE)),
N(VLOOKUP(D80&amp;F80,'Budgeted Projections Dom HC'!D:T,7,FALSE))
)
),"")</f>
        <v/>
      </c>
      <c r="I80" s="73" t="str">
        <f>IFERROR(1/(1/COUNTIFS(
'YearA-AppDetails Current Date'!A:A,D80,
'YearA-AppDetails Current Date'!F:F,E80,
'YearA-AppDetails Current Date'!E:E,--F80,
'YearA-AppDetails Current Date'!I:I,"WINTER")), "")</f>
        <v/>
      </c>
      <c r="J80" s="74" t="str" cm="1">
        <f t="array" ref="J80">IFERROR(1/(1/SUM(COUNTIFS(
'YearA-AppDetails Current Date'!A:A,D80,
'YearA-AppDetails Current Date'!F:F,E80,
'YearA-AppDetails Current Date'!E:E,--F80,
'YearA-AppDetails Current Date'!O:O,{"ACLN","ACPT","COND"},
'YearA-AppDetails Current Date'!S:S,"&lt;&gt;ACLN",
'YearA-AppDetails Current Date'!S:S,"&lt;&gt;ACPT",
'YearA-AppDetails Current Date'!S:S,"&lt;&gt;COND",
'YearA-AppDetails Current Date'!I:I,"WINTER"))), "")</f>
        <v/>
      </c>
      <c r="K80" s="73" t="str">
        <f>IFERROR(1/(1/SUM(COUNTIFS(
'YearA-AppDetails Current Date'!A:A,D80,
'YearA-AppDetails Current Date'!F:F,E80,
'YearA-AppDetails Current Date'!E:E,--F80,
'YearA-AppDetails Current Date'!R:R,"&lt;&gt;"&amp;"",
'YearA-AppDetails Current Date'!I:I,"WINTER"))), "")</f>
        <v/>
      </c>
      <c r="L80" s="74" t="str" cm="1">
        <f t="array" ref="L80">IFERROR(1/(1/SUM(COUNTIFS(
'YearA-AppDetails Current Date'!A:A,D80,
'YearA-AppDetails Current Date'!F:F,E80,
'YearA-AppDetails Current Date'!E:E,--F80,
'YearA-AppDetails Current Date'!T:T,{"APEX","DENY","NTSL"},
'YearA-AppDetails Current Date'!I:I,"WINTER"))), "")</f>
        <v/>
      </c>
      <c r="M80" s="74" t="str" cm="1">
        <f t="array" ref="M80">IFERROR(1/(1/SUM(COUNTIFS(
'YearA-AppDetails Current Date'!A:A,D80,
'YearA-AppDetails Current Date'!F:F,E80,
'YearA-AppDetails Current Date'!E:E,--F80,
'YearA-AppDetails Current Date'!U:U,{"CCAN","DECL"},
'YearA-AppDetails Current Date'!I:I,"WINTER"))), "")</f>
        <v/>
      </c>
      <c r="N80" s="74" t="str" cm="1">
        <f t="array" ref="N80">IFERROR(1/(1/SUM(COUNTIFS(
'YearA-AppDetails Current Date'!A:A,D80,
'YearA-AppDetails Current Date'!F:F,E80,
'YearA-AppDetails Current Date'!E:E,--F80,
'YearA-AppDetails Current Date'!V:V,{"APRO","NODE"},
'YearA-AppDetails Current Date'!I:I,"WINTER"))), "")</f>
        <v/>
      </c>
      <c r="O80" s="74" t="str" cm="1">
        <f t="array" ref="O80">IFERROR(1/(1/SUM(COUNTIFS(
'YearA-AppDetails Current Date'!A:A,D80,
'YearA-AppDetails Current Date'!F:F,E80,
'YearA-AppDetails Current Date'!E:E,--F80,
'YearA-AppDetails Current Date'!T:T,{"CDMT","RQMT","WAIT"},
'YearA-AppDetails Current Date'!I:I,"WINTER"))), "")</f>
        <v/>
      </c>
      <c r="P80" s="74" t="str">
        <f>IFERROR(1/(1/COUNTIFS(
'YearA-AppDetails Current Date'!A:A,D80,
'YearA-AppDetails Current Date'!F:F,E80,
'YearA-AppDetails Current Date'!E:E,--F80,
'YearA-AppDetails Current Date'!Y:Y,"ENRO",
'YearA-AppDetails Current Date'!I:I,"WINTER")),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HC'!D:T,6,FALSE)),
N(VLOOKUP(D81&amp;F81,'Budgeted Projections Intl HC'!D:T,7,FALSE))
)
),"")</f>
        <v/>
      </c>
      <c r="I81" s="73" t="str">
        <f>IFERROR(1/(1/COUNTIFS(
'YearA-AppDetails Current Date'!A:A,D81,
'YearA-AppDetails Current Date'!F:F,E81,
'YearA-AppDetails Current Date'!E:E,--F81,
'YearA-AppDetails Current Date'!I:I,"WINTER")), "")</f>
        <v/>
      </c>
      <c r="J81" s="74" t="str" cm="1">
        <f t="array" ref="J81">IFERROR(1/(1/SUM(COUNTIFS(
'YearA-AppDetails Current Date'!A:A,D81,
'YearA-AppDetails Current Date'!F:F,E81,
'YearA-AppDetails Current Date'!E:E,--F81,
'YearA-AppDetails Current Date'!O:O,{"ACLN","ACPT","COND"},
'YearA-AppDetails Current Date'!S:S,"&lt;&gt;ACLN",
'YearA-AppDetails Current Date'!S:S,"&lt;&gt;ACPT",
'YearA-AppDetails Current Date'!S:S,"&lt;&gt;COND",
'YearA-AppDetails Current Date'!I:I,"WINTER"))), "")</f>
        <v/>
      </c>
      <c r="K81" s="73" t="str">
        <f>IFERROR(1/(1/SUM(COUNTIFS(
'YearA-AppDetails Current Date'!A:A,D81,
'YearA-AppDetails Current Date'!F:F,E81,
'YearA-AppDetails Current Date'!E:E,--F81,
'YearA-AppDetails Current Date'!R:R,"&lt;&gt;"&amp;"",
'YearA-AppDetails Current Date'!I:I,"WINTER"))), "")</f>
        <v/>
      </c>
      <c r="L81" s="74" t="str" cm="1">
        <f t="array" ref="L81">IFERROR(1/(1/SUM(COUNTIFS(
'YearA-AppDetails Current Date'!A:A,D81,
'YearA-AppDetails Current Date'!F:F,E81,
'YearA-AppDetails Current Date'!E:E,--F81,
'YearA-AppDetails Current Date'!T:T,{"APEX","DENY","NTSL"},
'YearA-AppDetails Current Date'!I:I,"WINTER"))), "")</f>
        <v/>
      </c>
      <c r="M81" s="74" t="str" cm="1">
        <f t="array" ref="M81">IFERROR(1/(1/SUM(COUNTIFS(
'YearA-AppDetails Current Date'!A:A,D81,
'YearA-AppDetails Current Date'!F:F,E81,
'YearA-AppDetails Current Date'!E:E,--F81,
'YearA-AppDetails Current Date'!U:U,{"CCAN","DECL"},
'YearA-AppDetails Current Date'!I:I,"WINTER"))), "")</f>
        <v/>
      </c>
      <c r="N81" s="74" t="str" cm="1">
        <f t="array" ref="N81">IFERROR(1/(1/SUM(COUNTIFS(
'YearA-AppDetails Current Date'!A:A,D81,
'YearA-AppDetails Current Date'!F:F,E81,
'YearA-AppDetails Current Date'!E:E,--F81,
'YearA-AppDetails Current Date'!V:V,{"APRO","NODE"},
'YearA-AppDetails Current Date'!I:I,"WINTER"))), "")</f>
        <v/>
      </c>
      <c r="O81" s="74" t="str" cm="1">
        <f t="array" ref="O81">IFERROR(1/(1/SUM(COUNTIFS(
'YearA-AppDetails Current Date'!A:A,D81,
'YearA-AppDetails Current Date'!F:F,E81,
'YearA-AppDetails Current Date'!E:E,--F81,
'YearA-AppDetails Current Date'!T:T,{"CDMT","RQMT","WAIT"},
'YearA-AppDetails Current Date'!I:I,"WINTER"))), "")</f>
        <v/>
      </c>
      <c r="P81" s="74" t="str">
        <f>IFERROR(1/(1/COUNTIFS(
'YearA-AppDetails Current Date'!A:A,D81,
'YearA-AppDetails Current Date'!F:F,E81,
'YearA-AppDetails Current Date'!E:E,--F81,
'YearA-AppDetails Current Date'!Y:Y,"ENRO",
'YearA-AppDetails Current Date'!I:I,"WINTER")),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HC'!D:T,6,FALSE)),
N(VLOOKUP(D82&amp;F82,'Budgeted Projections Dom HC'!D:T,7,FALSE))
)
),"")</f>
        <v/>
      </c>
      <c r="I82" s="73" t="str">
        <f>IFERROR(1/(1/COUNTIFS(
'YearA-AppDetails Current Date'!A:A,D82,
'YearA-AppDetails Current Date'!F:F,E82,
'YearA-AppDetails Current Date'!E:E,--F82,
'YearA-AppDetails Current Date'!I:I,"WINTER")), "")</f>
        <v/>
      </c>
      <c r="J82" s="74" t="str" cm="1">
        <f t="array" ref="J82">IFERROR(1/(1/SUM(COUNTIFS(
'YearA-AppDetails Current Date'!A:A,D82,
'YearA-AppDetails Current Date'!F:F,E82,
'YearA-AppDetails Current Date'!E:E,--F82,
'YearA-AppDetails Current Date'!O:O,{"ACLN","ACPT","COND"},
'YearA-AppDetails Current Date'!S:S,"&lt;&gt;ACLN",
'YearA-AppDetails Current Date'!S:S,"&lt;&gt;ACPT",
'YearA-AppDetails Current Date'!S:S,"&lt;&gt;COND",
'YearA-AppDetails Current Date'!I:I,"WINTER"))), "")</f>
        <v/>
      </c>
      <c r="K82" s="73" t="str">
        <f>IFERROR(1/(1/SUM(COUNTIFS(
'YearA-AppDetails Current Date'!A:A,D82,
'YearA-AppDetails Current Date'!F:F,E82,
'YearA-AppDetails Current Date'!E:E,--F82,
'YearA-AppDetails Current Date'!R:R,"&lt;&gt;"&amp;"",
'YearA-AppDetails Current Date'!I:I,"WINTER"))), "")</f>
        <v/>
      </c>
      <c r="L82" s="74" t="str" cm="1">
        <f t="array" ref="L82">IFERROR(1/(1/SUM(COUNTIFS(
'YearA-AppDetails Current Date'!A:A,D82,
'YearA-AppDetails Current Date'!F:F,E82,
'YearA-AppDetails Current Date'!E:E,--F82,
'YearA-AppDetails Current Date'!T:T,{"APEX","DENY","NTSL"},
'YearA-AppDetails Current Date'!I:I,"WINTER"))), "")</f>
        <v/>
      </c>
      <c r="M82" s="74" t="str" cm="1">
        <f t="array" ref="M82">IFERROR(1/(1/SUM(COUNTIFS(
'YearA-AppDetails Current Date'!A:A,D82,
'YearA-AppDetails Current Date'!F:F,E82,
'YearA-AppDetails Current Date'!E:E,--F82,
'YearA-AppDetails Current Date'!U:U,{"CCAN","DECL"},
'YearA-AppDetails Current Date'!I:I,"WINTER"))), "")</f>
        <v/>
      </c>
      <c r="N82" s="74" t="str" cm="1">
        <f t="array" ref="N82">IFERROR(1/(1/SUM(COUNTIFS(
'YearA-AppDetails Current Date'!A:A,D82,
'YearA-AppDetails Current Date'!F:F,E82,
'YearA-AppDetails Current Date'!E:E,--F82,
'YearA-AppDetails Current Date'!V:V,{"APRO","NODE"},
'YearA-AppDetails Current Date'!I:I,"WINTER"))), "")</f>
        <v/>
      </c>
      <c r="O82" s="74" t="str" cm="1">
        <f t="array" ref="O82">IFERROR(1/(1/SUM(COUNTIFS(
'YearA-AppDetails Current Date'!A:A,D82,
'YearA-AppDetails Current Date'!F:F,E82,
'YearA-AppDetails Current Date'!E:E,--F82,
'YearA-AppDetails Current Date'!T:T,{"CDMT","RQMT","WAIT"},
'YearA-AppDetails Current Date'!I:I,"WINTER"))), "")</f>
        <v/>
      </c>
      <c r="P82" s="74" t="str">
        <f>IFERROR(1/(1/COUNTIFS(
'YearA-AppDetails Current Date'!A:A,D82,
'YearA-AppDetails Current Date'!F:F,E82,
'YearA-AppDetails Current Date'!E:E,--F82,
'YearA-AppDetails Current Date'!Y:Y,"ENRO",
'YearA-AppDetails Current Date'!I:I,"WINTER")),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HC'!D:T,6,FALSE)),
N(VLOOKUP(D83&amp;F83,'Budgeted Projections Intl HC'!D:T,7,FALSE))
)
),"")</f>
        <v/>
      </c>
      <c r="I83" s="73" t="str">
        <f>IFERROR(1/(1/COUNTIFS(
'YearA-AppDetails Current Date'!A:A,D83,
'YearA-AppDetails Current Date'!F:F,E83,
'YearA-AppDetails Current Date'!E:E,--F83,
'YearA-AppDetails Current Date'!I:I,"WINTER")), "")</f>
        <v/>
      </c>
      <c r="J83" s="74" t="str" cm="1">
        <f t="array" ref="J83">IFERROR(1/(1/SUM(COUNTIFS(
'YearA-AppDetails Current Date'!A:A,D83,
'YearA-AppDetails Current Date'!F:F,E83,
'YearA-AppDetails Current Date'!E:E,--F83,
'YearA-AppDetails Current Date'!O:O,{"ACLN","ACPT","COND"},
'YearA-AppDetails Current Date'!S:S,"&lt;&gt;ACLN",
'YearA-AppDetails Current Date'!S:S,"&lt;&gt;ACPT",
'YearA-AppDetails Current Date'!S:S,"&lt;&gt;COND",
'YearA-AppDetails Current Date'!I:I,"WINTER"))), "")</f>
        <v/>
      </c>
      <c r="K83" s="73" t="str">
        <f>IFERROR(1/(1/SUM(COUNTIFS(
'YearA-AppDetails Current Date'!A:A,D83,
'YearA-AppDetails Current Date'!F:F,E83,
'YearA-AppDetails Current Date'!E:E,--F83,
'YearA-AppDetails Current Date'!R:R,"&lt;&gt;"&amp;"",
'YearA-AppDetails Current Date'!I:I,"WINTER"))), "")</f>
        <v/>
      </c>
      <c r="L83" s="74" t="str" cm="1">
        <f t="array" ref="L83">IFERROR(1/(1/SUM(COUNTIFS(
'YearA-AppDetails Current Date'!A:A,D83,
'YearA-AppDetails Current Date'!F:F,E83,
'YearA-AppDetails Current Date'!E:E,--F83,
'YearA-AppDetails Current Date'!T:T,{"APEX","DENY","NTSL"},
'YearA-AppDetails Current Date'!I:I,"WINTER"))), "")</f>
        <v/>
      </c>
      <c r="M83" s="74" t="str" cm="1">
        <f t="array" ref="M83">IFERROR(1/(1/SUM(COUNTIFS(
'YearA-AppDetails Current Date'!A:A,D83,
'YearA-AppDetails Current Date'!F:F,E83,
'YearA-AppDetails Current Date'!E:E,--F83,
'YearA-AppDetails Current Date'!U:U,{"CCAN","DECL"},
'YearA-AppDetails Current Date'!I:I,"WINTER"))), "")</f>
        <v/>
      </c>
      <c r="N83" s="74" t="str" cm="1">
        <f t="array" ref="N83">IFERROR(1/(1/SUM(COUNTIFS(
'YearA-AppDetails Current Date'!A:A,D83,
'YearA-AppDetails Current Date'!F:F,E83,
'YearA-AppDetails Current Date'!E:E,--F83,
'YearA-AppDetails Current Date'!V:V,{"APRO","NODE"},
'YearA-AppDetails Current Date'!I:I,"WINTER"))), "")</f>
        <v/>
      </c>
      <c r="O83" s="74" t="str" cm="1">
        <f t="array" ref="O83">IFERROR(1/(1/SUM(COUNTIFS(
'YearA-AppDetails Current Date'!A:A,D83,
'YearA-AppDetails Current Date'!F:F,E83,
'YearA-AppDetails Current Date'!E:E,--F83,
'YearA-AppDetails Current Date'!T:T,{"CDMT","RQMT","WAIT"},
'YearA-AppDetails Current Date'!I:I,"WINTER"))), "")</f>
        <v/>
      </c>
      <c r="P83" s="74" t="str">
        <f>IFERROR(1/(1/COUNTIFS(
'YearA-AppDetails Current Date'!A:A,D83,
'YearA-AppDetails Current Date'!F:F,E83,
'YearA-AppDetails Current Date'!E:E,--F83,
'YearA-AppDetails Current Date'!Y:Y,"ENRO",
'YearA-AppDetails Current Date'!I:I,"WINTER")),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HC'!D:T,6,FALSE)),
N(VLOOKUP(D84&amp;F84,'Budgeted Projections Dom HC'!D:T,7,FALSE))
)
),"")</f>
        <v/>
      </c>
      <c r="I84" s="73" t="str">
        <f>IFERROR(1/(1/COUNTIFS(
'YearA-AppDetails Current Date'!A:A,D84,
'YearA-AppDetails Current Date'!F:F,E84,
'YearA-AppDetails Current Date'!E:E,--F84,
'YearA-AppDetails Current Date'!I:I,"WINTER")), "")</f>
        <v/>
      </c>
      <c r="J84" s="74" t="str" cm="1">
        <f t="array" ref="J84">IFERROR(1/(1/SUM(COUNTIFS(
'YearA-AppDetails Current Date'!A:A,D84,
'YearA-AppDetails Current Date'!F:F,E84,
'YearA-AppDetails Current Date'!E:E,--F84,
'YearA-AppDetails Current Date'!O:O,{"ACLN","ACPT","COND"},
'YearA-AppDetails Current Date'!S:S,"&lt;&gt;ACLN",
'YearA-AppDetails Current Date'!S:S,"&lt;&gt;ACPT",
'YearA-AppDetails Current Date'!S:S,"&lt;&gt;COND",
'YearA-AppDetails Current Date'!I:I,"WINTER"))), "")</f>
        <v/>
      </c>
      <c r="K84" s="73" t="str">
        <f>IFERROR(1/(1/SUM(COUNTIFS(
'YearA-AppDetails Current Date'!A:A,D84,
'YearA-AppDetails Current Date'!F:F,E84,
'YearA-AppDetails Current Date'!E:E,--F84,
'YearA-AppDetails Current Date'!R:R,"&lt;&gt;"&amp;"",
'YearA-AppDetails Current Date'!I:I,"WINTER"))), "")</f>
        <v/>
      </c>
      <c r="L84" s="74" t="str" cm="1">
        <f t="array" ref="L84">IFERROR(1/(1/SUM(COUNTIFS(
'YearA-AppDetails Current Date'!A:A,D84,
'YearA-AppDetails Current Date'!F:F,E84,
'YearA-AppDetails Current Date'!E:E,--F84,
'YearA-AppDetails Current Date'!T:T,{"APEX","DENY","NTSL"},
'YearA-AppDetails Current Date'!I:I,"WINTER"))), "")</f>
        <v/>
      </c>
      <c r="M84" s="74" t="str" cm="1">
        <f t="array" ref="M84">IFERROR(1/(1/SUM(COUNTIFS(
'YearA-AppDetails Current Date'!A:A,D84,
'YearA-AppDetails Current Date'!F:F,E84,
'YearA-AppDetails Current Date'!E:E,--F84,
'YearA-AppDetails Current Date'!U:U,{"CCAN","DECL"},
'YearA-AppDetails Current Date'!I:I,"WINTER"))), "")</f>
        <v/>
      </c>
      <c r="N84" s="74" t="str" cm="1">
        <f t="array" ref="N84">IFERROR(1/(1/SUM(COUNTIFS(
'YearA-AppDetails Current Date'!A:A,D84,
'YearA-AppDetails Current Date'!F:F,E84,
'YearA-AppDetails Current Date'!E:E,--F84,
'YearA-AppDetails Current Date'!V:V,{"APRO","NODE"},
'YearA-AppDetails Current Date'!I:I,"WINTER"))), "")</f>
        <v/>
      </c>
      <c r="O84" s="74" t="str" cm="1">
        <f t="array" ref="O84">IFERROR(1/(1/SUM(COUNTIFS(
'YearA-AppDetails Current Date'!A:A,D84,
'YearA-AppDetails Current Date'!F:F,E84,
'YearA-AppDetails Current Date'!E:E,--F84,
'YearA-AppDetails Current Date'!T:T,{"CDMT","RQMT","WAIT"},
'YearA-AppDetails Current Date'!I:I,"WINTER"))), "")</f>
        <v/>
      </c>
      <c r="P84" s="74" t="str">
        <f>IFERROR(1/(1/COUNTIFS(
'YearA-AppDetails Current Date'!A:A,D84,
'YearA-AppDetails Current Date'!F:F,E84,
'YearA-AppDetails Current Date'!E:E,--F84,
'YearA-AppDetails Current Date'!Y:Y,"ENRO",
'YearA-AppDetails Current Date'!I:I,"WINTER")),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HC'!D:T,6,FALSE)),
N(VLOOKUP(D85&amp;F85,'Budgeted Projections Intl HC'!D:T,7,FALSE))
)
),"")</f>
        <v/>
      </c>
      <c r="I85" s="73" t="str">
        <f>IFERROR(1/(1/COUNTIFS(
'YearA-AppDetails Current Date'!A:A,D85,
'YearA-AppDetails Current Date'!F:F,E85,
'YearA-AppDetails Current Date'!E:E,--F85,
'YearA-AppDetails Current Date'!I:I,"WINTER")), "")</f>
        <v/>
      </c>
      <c r="J85" s="74" t="str" cm="1">
        <f t="array" ref="J85">IFERROR(1/(1/SUM(COUNTIFS(
'YearA-AppDetails Current Date'!A:A,D85,
'YearA-AppDetails Current Date'!F:F,E85,
'YearA-AppDetails Current Date'!E:E,--F85,
'YearA-AppDetails Current Date'!O:O,{"ACLN","ACPT","COND"},
'YearA-AppDetails Current Date'!S:S,"&lt;&gt;ACLN",
'YearA-AppDetails Current Date'!S:S,"&lt;&gt;ACPT",
'YearA-AppDetails Current Date'!S:S,"&lt;&gt;COND",
'YearA-AppDetails Current Date'!I:I,"WINTER"))), "")</f>
        <v/>
      </c>
      <c r="K85" s="73" t="str">
        <f>IFERROR(1/(1/SUM(COUNTIFS(
'YearA-AppDetails Current Date'!A:A,D85,
'YearA-AppDetails Current Date'!F:F,E85,
'YearA-AppDetails Current Date'!E:E,--F85,
'YearA-AppDetails Current Date'!R:R,"&lt;&gt;"&amp;"",
'YearA-AppDetails Current Date'!I:I,"WINTER"))), "")</f>
        <v/>
      </c>
      <c r="L85" s="74" t="str" cm="1">
        <f t="array" ref="L85">IFERROR(1/(1/SUM(COUNTIFS(
'YearA-AppDetails Current Date'!A:A,D85,
'YearA-AppDetails Current Date'!F:F,E85,
'YearA-AppDetails Current Date'!E:E,--F85,
'YearA-AppDetails Current Date'!T:T,{"APEX","DENY","NTSL"},
'YearA-AppDetails Current Date'!I:I,"WINTER"))), "")</f>
        <v/>
      </c>
      <c r="M85" s="74" t="str" cm="1">
        <f t="array" ref="M85">IFERROR(1/(1/SUM(COUNTIFS(
'YearA-AppDetails Current Date'!A:A,D85,
'YearA-AppDetails Current Date'!F:F,E85,
'YearA-AppDetails Current Date'!E:E,--F85,
'YearA-AppDetails Current Date'!U:U,{"CCAN","DECL"},
'YearA-AppDetails Current Date'!I:I,"WINTER"))), "")</f>
        <v/>
      </c>
      <c r="N85" s="74" t="str" cm="1">
        <f t="array" ref="N85">IFERROR(1/(1/SUM(COUNTIFS(
'YearA-AppDetails Current Date'!A:A,D85,
'YearA-AppDetails Current Date'!F:F,E85,
'YearA-AppDetails Current Date'!E:E,--F85,
'YearA-AppDetails Current Date'!V:V,{"APRO","NODE"},
'YearA-AppDetails Current Date'!I:I,"WINTER"))), "")</f>
        <v/>
      </c>
      <c r="O85" s="74" t="str" cm="1">
        <f t="array" ref="O85">IFERROR(1/(1/SUM(COUNTIFS(
'YearA-AppDetails Current Date'!A:A,D85,
'YearA-AppDetails Current Date'!F:F,E85,
'YearA-AppDetails Current Date'!E:E,--F85,
'YearA-AppDetails Current Date'!T:T,{"CDMT","RQMT","WAIT"},
'YearA-AppDetails Current Date'!I:I,"WINTER"))), "")</f>
        <v/>
      </c>
      <c r="P85" s="74" t="str">
        <f>IFERROR(1/(1/COUNTIFS(
'YearA-AppDetails Current Date'!A:A,D85,
'YearA-AppDetails Current Date'!F:F,E85,
'YearA-AppDetails Current Date'!E:E,--F85,
'YearA-AppDetails Current Date'!Y:Y,"ENRO",
'YearA-AppDetails Current Date'!I:I,"WINTER")),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HC'!D:T,6,FALSE)),
N(VLOOKUP(D86&amp;F86,'Budgeted Projections Dom HC'!D:T,7,FALSE))
)
),"")</f>
        <v/>
      </c>
      <c r="I86" s="73" t="str">
        <f>IFERROR(1/(1/COUNTIFS(
'YearA-AppDetails Current Date'!A:A,D86,
'YearA-AppDetails Current Date'!F:F,E86,
'YearA-AppDetails Current Date'!E:E,--F86,
'YearA-AppDetails Current Date'!I:I,"WINTER")), "")</f>
        <v/>
      </c>
      <c r="J86" s="74" t="str" cm="1">
        <f t="array" ref="J86">IFERROR(1/(1/SUM(COUNTIFS(
'YearA-AppDetails Current Date'!A:A,D86,
'YearA-AppDetails Current Date'!F:F,E86,
'YearA-AppDetails Current Date'!E:E,--F86,
'YearA-AppDetails Current Date'!O:O,{"ACLN","ACPT","COND"},
'YearA-AppDetails Current Date'!S:S,"&lt;&gt;ACLN",
'YearA-AppDetails Current Date'!S:S,"&lt;&gt;ACPT",
'YearA-AppDetails Current Date'!S:S,"&lt;&gt;COND",
'YearA-AppDetails Current Date'!I:I,"WINTER"))), "")</f>
        <v/>
      </c>
      <c r="K86" s="73" t="str">
        <f>IFERROR(1/(1/SUM(COUNTIFS(
'YearA-AppDetails Current Date'!A:A,D86,
'YearA-AppDetails Current Date'!F:F,E86,
'YearA-AppDetails Current Date'!E:E,--F86,
'YearA-AppDetails Current Date'!R:R,"&lt;&gt;"&amp;"",
'YearA-AppDetails Current Date'!I:I,"WINTER"))), "")</f>
        <v/>
      </c>
      <c r="L86" s="74" t="str" cm="1">
        <f t="array" ref="L86">IFERROR(1/(1/SUM(COUNTIFS(
'YearA-AppDetails Current Date'!A:A,D86,
'YearA-AppDetails Current Date'!F:F,E86,
'YearA-AppDetails Current Date'!E:E,--F86,
'YearA-AppDetails Current Date'!T:T,{"APEX","DENY","NTSL"},
'YearA-AppDetails Current Date'!I:I,"WINTER"))), "")</f>
        <v/>
      </c>
      <c r="M86" s="74" t="str" cm="1">
        <f t="array" ref="M86">IFERROR(1/(1/SUM(COUNTIFS(
'YearA-AppDetails Current Date'!A:A,D86,
'YearA-AppDetails Current Date'!F:F,E86,
'YearA-AppDetails Current Date'!E:E,--F86,
'YearA-AppDetails Current Date'!U:U,{"CCAN","DECL"},
'YearA-AppDetails Current Date'!I:I,"WINTER"))), "")</f>
        <v/>
      </c>
      <c r="N86" s="74" t="str" cm="1">
        <f t="array" ref="N86">IFERROR(1/(1/SUM(COUNTIFS(
'YearA-AppDetails Current Date'!A:A,D86,
'YearA-AppDetails Current Date'!F:F,E86,
'YearA-AppDetails Current Date'!E:E,--F86,
'YearA-AppDetails Current Date'!V:V,{"APRO","NODE"},
'YearA-AppDetails Current Date'!I:I,"WINTER"))), "")</f>
        <v/>
      </c>
      <c r="O86" s="74" t="str" cm="1">
        <f t="array" ref="O86">IFERROR(1/(1/SUM(COUNTIFS(
'YearA-AppDetails Current Date'!A:A,D86,
'YearA-AppDetails Current Date'!F:F,E86,
'YearA-AppDetails Current Date'!E:E,--F86,
'YearA-AppDetails Current Date'!T:T,{"CDMT","RQMT","WAIT"},
'YearA-AppDetails Current Date'!I:I,"WINTER"))), "")</f>
        <v/>
      </c>
      <c r="P86" s="74" t="str">
        <f>IFERROR(1/(1/COUNTIFS(
'YearA-AppDetails Current Date'!A:A,D86,
'YearA-AppDetails Current Date'!F:F,E86,
'YearA-AppDetails Current Date'!E:E,--F86,
'YearA-AppDetails Current Date'!Y:Y,"ENRO",
'YearA-AppDetails Current Date'!I:I,"WINTER")),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HC'!D:T,6,FALSE)),
N(VLOOKUP(D87&amp;F87,'Budgeted Projections Intl HC'!D:T,7,FALSE))
)
),"")</f>
        <v/>
      </c>
      <c r="I87" s="73" t="str">
        <f>IFERROR(1/(1/COUNTIFS(
'YearA-AppDetails Current Date'!A:A,D87,
'YearA-AppDetails Current Date'!F:F,E87,
'YearA-AppDetails Current Date'!E:E,--F87,
'YearA-AppDetails Current Date'!I:I,"WINTER")), "")</f>
        <v/>
      </c>
      <c r="J87" s="74" t="str" cm="1">
        <f t="array" ref="J87">IFERROR(1/(1/SUM(COUNTIFS(
'YearA-AppDetails Current Date'!A:A,D87,
'YearA-AppDetails Current Date'!F:F,E87,
'YearA-AppDetails Current Date'!E:E,--F87,
'YearA-AppDetails Current Date'!O:O,{"ACLN","ACPT","COND"},
'YearA-AppDetails Current Date'!S:S,"&lt;&gt;ACLN",
'YearA-AppDetails Current Date'!S:S,"&lt;&gt;ACPT",
'YearA-AppDetails Current Date'!S:S,"&lt;&gt;COND",
'YearA-AppDetails Current Date'!I:I,"WINTER"))), "")</f>
        <v/>
      </c>
      <c r="K87" s="73" t="str">
        <f>IFERROR(1/(1/SUM(COUNTIFS(
'YearA-AppDetails Current Date'!A:A,D87,
'YearA-AppDetails Current Date'!F:F,E87,
'YearA-AppDetails Current Date'!E:E,--F87,
'YearA-AppDetails Current Date'!R:R,"&lt;&gt;"&amp;"",
'YearA-AppDetails Current Date'!I:I,"WINTER"))), "")</f>
        <v/>
      </c>
      <c r="L87" s="74" t="str" cm="1">
        <f t="array" ref="L87">IFERROR(1/(1/SUM(COUNTIFS(
'YearA-AppDetails Current Date'!A:A,D87,
'YearA-AppDetails Current Date'!F:F,E87,
'YearA-AppDetails Current Date'!E:E,--F87,
'YearA-AppDetails Current Date'!T:T,{"APEX","DENY","NTSL"},
'YearA-AppDetails Current Date'!I:I,"WINTER"))), "")</f>
        <v/>
      </c>
      <c r="M87" s="74" t="str" cm="1">
        <f t="array" ref="M87">IFERROR(1/(1/SUM(COUNTIFS(
'YearA-AppDetails Current Date'!A:A,D87,
'YearA-AppDetails Current Date'!F:F,E87,
'YearA-AppDetails Current Date'!E:E,--F87,
'YearA-AppDetails Current Date'!U:U,{"CCAN","DECL"},
'YearA-AppDetails Current Date'!I:I,"WINTER"))), "")</f>
        <v/>
      </c>
      <c r="N87" s="74" t="str" cm="1">
        <f t="array" ref="N87">IFERROR(1/(1/SUM(COUNTIFS(
'YearA-AppDetails Current Date'!A:A,D87,
'YearA-AppDetails Current Date'!F:F,E87,
'YearA-AppDetails Current Date'!E:E,--F87,
'YearA-AppDetails Current Date'!V:V,{"APRO","NODE"},
'YearA-AppDetails Current Date'!I:I,"WINTER"))), "")</f>
        <v/>
      </c>
      <c r="O87" s="74" t="str" cm="1">
        <f t="array" ref="O87">IFERROR(1/(1/SUM(COUNTIFS(
'YearA-AppDetails Current Date'!A:A,D87,
'YearA-AppDetails Current Date'!F:F,E87,
'YearA-AppDetails Current Date'!E:E,--F87,
'YearA-AppDetails Current Date'!T:T,{"CDMT","RQMT","WAIT"},
'YearA-AppDetails Current Date'!I:I,"WINTER"))), "")</f>
        <v/>
      </c>
      <c r="P87" s="74" t="str">
        <f>IFERROR(1/(1/COUNTIFS(
'YearA-AppDetails Current Date'!A:A,D87,
'YearA-AppDetails Current Date'!F:F,E87,
'YearA-AppDetails Current Date'!E:E,--F87,
'YearA-AppDetails Current Date'!Y:Y,"ENRO",
'YearA-AppDetails Current Date'!I:I,"WINTER")),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HC'!D:T,6,FALSE)),
N(VLOOKUP(D88&amp;F88,'Budgeted Projections Dom HC'!D:T,7,FALSE))
)
),"")</f>
        <v/>
      </c>
      <c r="I88" s="73" t="str">
        <f>IFERROR(1/(1/COUNTIFS(
'YearA-AppDetails Current Date'!A:A,D88,
'YearA-AppDetails Current Date'!F:F,E88,
'YearA-AppDetails Current Date'!E:E,--F88,
'YearA-AppDetails Current Date'!I:I,"WINTER")), "")</f>
        <v/>
      </c>
      <c r="J88" s="74" t="str" cm="1">
        <f t="array" ref="J88">IFERROR(1/(1/SUM(COUNTIFS(
'YearA-AppDetails Current Date'!A:A,D88,
'YearA-AppDetails Current Date'!F:F,E88,
'YearA-AppDetails Current Date'!E:E,--F88,
'YearA-AppDetails Current Date'!O:O,{"ACLN","ACPT","COND"},
'YearA-AppDetails Current Date'!S:S,"&lt;&gt;ACLN",
'YearA-AppDetails Current Date'!S:S,"&lt;&gt;ACPT",
'YearA-AppDetails Current Date'!S:S,"&lt;&gt;COND",
'YearA-AppDetails Current Date'!I:I,"WINTER"))), "")</f>
        <v/>
      </c>
      <c r="K88" s="73" t="str">
        <f>IFERROR(1/(1/SUM(COUNTIFS(
'YearA-AppDetails Current Date'!A:A,D88,
'YearA-AppDetails Current Date'!F:F,E88,
'YearA-AppDetails Current Date'!E:E,--F88,
'YearA-AppDetails Current Date'!R:R,"&lt;&gt;"&amp;"",
'YearA-AppDetails Current Date'!I:I,"WINTER"))), "")</f>
        <v/>
      </c>
      <c r="L88" s="74" t="str" cm="1">
        <f t="array" ref="L88">IFERROR(1/(1/SUM(COUNTIFS(
'YearA-AppDetails Current Date'!A:A,D88,
'YearA-AppDetails Current Date'!F:F,E88,
'YearA-AppDetails Current Date'!E:E,--F88,
'YearA-AppDetails Current Date'!T:T,{"APEX","DENY","NTSL"},
'YearA-AppDetails Current Date'!I:I,"WINTER"))), "")</f>
        <v/>
      </c>
      <c r="M88" s="74" t="str" cm="1">
        <f t="array" ref="M88">IFERROR(1/(1/SUM(COUNTIFS(
'YearA-AppDetails Current Date'!A:A,D88,
'YearA-AppDetails Current Date'!F:F,E88,
'YearA-AppDetails Current Date'!E:E,--F88,
'YearA-AppDetails Current Date'!U:U,{"CCAN","DECL"},
'YearA-AppDetails Current Date'!I:I,"WINTER"))), "")</f>
        <v/>
      </c>
      <c r="N88" s="74" t="str" cm="1">
        <f t="array" ref="N88">IFERROR(1/(1/SUM(COUNTIFS(
'YearA-AppDetails Current Date'!A:A,D88,
'YearA-AppDetails Current Date'!F:F,E88,
'YearA-AppDetails Current Date'!E:E,--F88,
'YearA-AppDetails Current Date'!V:V,{"APRO","NODE"},
'YearA-AppDetails Current Date'!I:I,"WINTER"))), "")</f>
        <v/>
      </c>
      <c r="O88" s="74" t="str" cm="1">
        <f t="array" ref="O88">IFERROR(1/(1/SUM(COUNTIFS(
'YearA-AppDetails Current Date'!A:A,D88,
'YearA-AppDetails Current Date'!F:F,E88,
'YearA-AppDetails Current Date'!E:E,--F88,
'YearA-AppDetails Current Date'!T:T,{"CDMT","RQMT","WAIT"},
'YearA-AppDetails Current Date'!I:I,"WINTER"))), "")</f>
        <v/>
      </c>
      <c r="P88" s="74" t="str">
        <f>IFERROR(1/(1/COUNTIFS(
'YearA-AppDetails Current Date'!A:A,D88,
'YearA-AppDetails Current Date'!F:F,E88,
'YearA-AppDetails Current Date'!E:E,--F88,
'YearA-AppDetails Current Date'!Y:Y,"ENRO",
'YearA-AppDetails Current Date'!I:I,"WINTER")),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HC'!D:T,6,FALSE)),
N(VLOOKUP(D89&amp;F89,'Budgeted Projections Intl HC'!D:T,7,FALSE))
)
),"")</f>
        <v/>
      </c>
      <c r="I89" s="73" t="str">
        <f>IFERROR(1/(1/COUNTIFS(
'YearA-AppDetails Current Date'!A:A,D89,
'YearA-AppDetails Current Date'!F:F,E89,
'YearA-AppDetails Current Date'!E:E,--F89,
'YearA-AppDetails Current Date'!I:I,"WINTER")), "")</f>
        <v/>
      </c>
      <c r="J89" s="74" t="str" cm="1">
        <f t="array" ref="J89">IFERROR(1/(1/SUM(COUNTIFS(
'YearA-AppDetails Current Date'!A:A,D89,
'YearA-AppDetails Current Date'!F:F,E89,
'YearA-AppDetails Current Date'!E:E,--F89,
'YearA-AppDetails Current Date'!O:O,{"ACLN","ACPT","COND"},
'YearA-AppDetails Current Date'!S:S,"&lt;&gt;ACLN",
'YearA-AppDetails Current Date'!S:S,"&lt;&gt;ACPT",
'YearA-AppDetails Current Date'!S:S,"&lt;&gt;COND",
'YearA-AppDetails Current Date'!I:I,"WINTER"))), "")</f>
        <v/>
      </c>
      <c r="K89" s="73" t="str">
        <f>IFERROR(1/(1/SUM(COUNTIFS(
'YearA-AppDetails Current Date'!A:A,D89,
'YearA-AppDetails Current Date'!F:F,E89,
'YearA-AppDetails Current Date'!E:E,--F89,
'YearA-AppDetails Current Date'!R:R,"&lt;&gt;"&amp;"",
'YearA-AppDetails Current Date'!I:I,"WINTER"))), "")</f>
        <v/>
      </c>
      <c r="L89" s="74" t="str" cm="1">
        <f t="array" ref="L89">IFERROR(1/(1/SUM(COUNTIFS(
'YearA-AppDetails Current Date'!A:A,D89,
'YearA-AppDetails Current Date'!F:F,E89,
'YearA-AppDetails Current Date'!E:E,--F89,
'YearA-AppDetails Current Date'!T:T,{"APEX","DENY","NTSL"},
'YearA-AppDetails Current Date'!I:I,"WINTER"))), "")</f>
        <v/>
      </c>
      <c r="M89" s="74" t="str" cm="1">
        <f t="array" ref="M89">IFERROR(1/(1/SUM(COUNTIFS(
'YearA-AppDetails Current Date'!A:A,D89,
'YearA-AppDetails Current Date'!F:F,E89,
'YearA-AppDetails Current Date'!E:E,--F89,
'YearA-AppDetails Current Date'!U:U,{"CCAN","DECL"},
'YearA-AppDetails Current Date'!I:I,"WINTER"))), "")</f>
        <v/>
      </c>
      <c r="N89" s="74" t="str" cm="1">
        <f t="array" ref="N89">IFERROR(1/(1/SUM(COUNTIFS(
'YearA-AppDetails Current Date'!A:A,D89,
'YearA-AppDetails Current Date'!F:F,E89,
'YearA-AppDetails Current Date'!E:E,--F89,
'YearA-AppDetails Current Date'!V:V,{"APRO","NODE"},
'YearA-AppDetails Current Date'!I:I,"WINTER"))), "")</f>
        <v/>
      </c>
      <c r="O89" s="74" t="str" cm="1">
        <f t="array" ref="O89">IFERROR(1/(1/SUM(COUNTIFS(
'YearA-AppDetails Current Date'!A:A,D89,
'YearA-AppDetails Current Date'!F:F,E89,
'YearA-AppDetails Current Date'!E:E,--F89,
'YearA-AppDetails Current Date'!T:T,{"CDMT","RQMT","WAIT"},
'YearA-AppDetails Current Date'!I:I,"WINTER"))), "")</f>
        <v/>
      </c>
      <c r="P89" s="74" t="str">
        <f>IFERROR(1/(1/COUNTIFS(
'YearA-AppDetails Current Date'!A:A,D89,
'YearA-AppDetails Current Date'!F:F,E89,
'YearA-AppDetails Current Date'!E:E,--F89,
'YearA-AppDetails Current Date'!Y:Y,"ENRO",
'YearA-AppDetails Current Date'!I:I,"WINTER")),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HC'!D:T,6,FALSE)),
N(VLOOKUP(D90&amp;F90,'Budgeted Projections Dom HC'!D:T,7,FALSE))
)
),"")</f>
        <v/>
      </c>
      <c r="I90" s="73" t="str">
        <f>IFERROR(1/(1/COUNTIFS(
'YearA-AppDetails Current Date'!A:A,D90,
'YearA-AppDetails Current Date'!F:F,E90,
'YearA-AppDetails Current Date'!E:E,--F90,
'YearA-AppDetails Current Date'!I:I,"WINTER")), "")</f>
        <v/>
      </c>
      <c r="J90" s="74" t="str" cm="1">
        <f t="array" ref="J90">IFERROR(1/(1/SUM(COUNTIFS(
'YearA-AppDetails Current Date'!A:A,D90,
'YearA-AppDetails Current Date'!F:F,E90,
'YearA-AppDetails Current Date'!E:E,--F90,
'YearA-AppDetails Current Date'!O:O,{"ACLN","ACPT","COND"},
'YearA-AppDetails Current Date'!S:S,"&lt;&gt;ACLN",
'YearA-AppDetails Current Date'!S:S,"&lt;&gt;ACPT",
'YearA-AppDetails Current Date'!S:S,"&lt;&gt;COND",
'YearA-AppDetails Current Date'!I:I,"WINTER"))), "")</f>
        <v/>
      </c>
      <c r="K90" s="73" t="str">
        <f>IFERROR(1/(1/SUM(COUNTIFS(
'YearA-AppDetails Current Date'!A:A,D90,
'YearA-AppDetails Current Date'!F:F,E90,
'YearA-AppDetails Current Date'!E:E,--F90,
'YearA-AppDetails Current Date'!R:R,"&lt;&gt;"&amp;"",
'YearA-AppDetails Current Date'!I:I,"WINTER"))), "")</f>
        <v/>
      </c>
      <c r="L90" s="74" t="str" cm="1">
        <f t="array" ref="L90">IFERROR(1/(1/SUM(COUNTIFS(
'YearA-AppDetails Current Date'!A:A,D90,
'YearA-AppDetails Current Date'!F:F,E90,
'YearA-AppDetails Current Date'!E:E,--F90,
'YearA-AppDetails Current Date'!T:T,{"APEX","DENY","NTSL"},
'YearA-AppDetails Current Date'!I:I,"WINTER"))), "")</f>
        <v/>
      </c>
      <c r="M90" s="74" t="str" cm="1">
        <f t="array" ref="M90">IFERROR(1/(1/SUM(COUNTIFS(
'YearA-AppDetails Current Date'!A:A,D90,
'YearA-AppDetails Current Date'!F:F,E90,
'YearA-AppDetails Current Date'!E:E,--F90,
'YearA-AppDetails Current Date'!U:U,{"CCAN","DECL"},
'YearA-AppDetails Current Date'!I:I,"WINTER"))), "")</f>
        <v/>
      </c>
      <c r="N90" s="74" t="str" cm="1">
        <f t="array" ref="N90">IFERROR(1/(1/SUM(COUNTIFS(
'YearA-AppDetails Current Date'!A:A,D90,
'YearA-AppDetails Current Date'!F:F,E90,
'YearA-AppDetails Current Date'!E:E,--F90,
'YearA-AppDetails Current Date'!V:V,{"APRO","NODE"},
'YearA-AppDetails Current Date'!I:I,"WINTER"))), "")</f>
        <v/>
      </c>
      <c r="O90" s="74" t="str" cm="1">
        <f t="array" ref="O90">IFERROR(1/(1/SUM(COUNTIFS(
'YearA-AppDetails Current Date'!A:A,D90,
'YearA-AppDetails Current Date'!F:F,E90,
'YearA-AppDetails Current Date'!E:E,--F90,
'YearA-AppDetails Current Date'!T:T,{"CDMT","RQMT","WAIT"},
'YearA-AppDetails Current Date'!I:I,"WINTER"))), "")</f>
        <v/>
      </c>
      <c r="P90" s="74" t="str">
        <f>IFERROR(1/(1/COUNTIFS(
'YearA-AppDetails Current Date'!A:A,D90,
'YearA-AppDetails Current Date'!F:F,E90,
'YearA-AppDetails Current Date'!E:E,--F90,
'YearA-AppDetails Current Date'!Y:Y,"ENRO",
'YearA-AppDetails Current Date'!I:I,"WINTER")),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HC'!D:T,6,FALSE)),
N(VLOOKUP(D91&amp;F91,'Budgeted Projections Intl HC'!D:T,7,FALSE))
)
),"")</f>
        <v/>
      </c>
      <c r="I91" s="73" t="str">
        <f>IFERROR(1/(1/COUNTIFS(
'YearA-AppDetails Current Date'!A:A,D91,
'YearA-AppDetails Current Date'!F:F,E91,
'YearA-AppDetails Current Date'!E:E,--F91,
'YearA-AppDetails Current Date'!I:I,"WINTER")), "")</f>
        <v/>
      </c>
      <c r="J91" s="74" t="str" cm="1">
        <f t="array" ref="J91">IFERROR(1/(1/SUM(COUNTIFS(
'YearA-AppDetails Current Date'!A:A,D91,
'YearA-AppDetails Current Date'!F:F,E91,
'YearA-AppDetails Current Date'!E:E,--F91,
'YearA-AppDetails Current Date'!O:O,{"ACLN","ACPT","COND"},
'YearA-AppDetails Current Date'!S:S,"&lt;&gt;ACLN",
'YearA-AppDetails Current Date'!S:S,"&lt;&gt;ACPT",
'YearA-AppDetails Current Date'!S:S,"&lt;&gt;COND",
'YearA-AppDetails Current Date'!I:I,"WINTER"))), "")</f>
        <v/>
      </c>
      <c r="K91" s="73" t="str">
        <f>IFERROR(1/(1/SUM(COUNTIFS(
'YearA-AppDetails Current Date'!A:A,D91,
'YearA-AppDetails Current Date'!F:F,E91,
'YearA-AppDetails Current Date'!E:E,--F91,
'YearA-AppDetails Current Date'!R:R,"&lt;&gt;"&amp;"",
'YearA-AppDetails Current Date'!I:I,"WINTER"))), "")</f>
        <v/>
      </c>
      <c r="L91" s="74" t="str" cm="1">
        <f t="array" ref="L91">IFERROR(1/(1/SUM(COUNTIFS(
'YearA-AppDetails Current Date'!A:A,D91,
'YearA-AppDetails Current Date'!F:F,E91,
'YearA-AppDetails Current Date'!E:E,--F91,
'YearA-AppDetails Current Date'!T:T,{"APEX","DENY","NTSL"},
'YearA-AppDetails Current Date'!I:I,"WINTER"))), "")</f>
        <v/>
      </c>
      <c r="M91" s="74" t="str" cm="1">
        <f t="array" ref="M91">IFERROR(1/(1/SUM(COUNTIFS(
'YearA-AppDetails Current Date'!A:A,D91,
'YearA-AppDetails Current Date'!F:F,E91,
'YearA-AppDetails Current Date'!E:E,--F91,
'YearA-AppDetails Current Date'!U:U,{"CCAN","DECL"},
'YearA-AppDetails Current Date'!I:I,"WINTER"))), "")</f>
        <v/>
      </c>
      <c r="N91" s="74" t="str" cm="1">
        <f t="array" ref="N91">IFERROR(1/(1/SUM(COUNTIFS(
'YearA-AppDetails Current Date'!A:A,D91,
'YearA-AppDetails Current Date'!F:F,E91,
'YearA-AppDetails Current Date'!E:E,--F91,
'YearA-AppDetails Current Date'!V:V,{"APRO","NODE"},
'YearA-AppDetails Current Date'!I:I,"WINTER"))), "")</f>
        <v/>
      </c>
      <c r="O91" s="74" t="str" cm="1">
        <f t="array" ref="O91">IFERROR(1/(1/SUM(COUNTIFS(
'YearA-AppDetails Current Date'!A:A,D91,
'YearA-AppDetails Current Date'!F:F,E91,
'YearA-AppDetails Current Date'!E:E,--F91,
'YearA-AppDetails Current Date'!T:T,{"CDMT","RQMT","WAIT"},
'YearA-AppDetails Current Date'!I:I,"WINTER"))), "")</f>
        <v/>
      </c>
      <c r="P91" s="74" t="str">
        <f>IFERROR(1/(1/COUNTIFS(
'YearA-AppDetails Current Date'!A:A,D91,
'YearA-AppDetails Current Date'!F:F,E91,
'YearA-AppDetails Current Date'!E:E,--F91,
'YearA-AppDetails Current Date'!Y:Y,"ENRO",
'YearA-AppDetails Current Date'!I:I,"WINTER")),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HC'!D:T,6,FALSE)),
N(VLOOKUP(D92&amp;F92,'Budgeted Projections Dom HC'!D:T,7,FALSE))
)
),"")</f>
        <v/>
      </c>
      <c r="I92" s="73" t="str">
        <f>IFERROR(1/(1/COUNTIFS(
'YearA-AppDetails Current Date'!A:A,D92,
'YearA-AppDetails Current Date'!F:F,E92,
'YearA-AppDetails Current Date'!E:E,--F92,
'YearA-AppDetails Current Date'!I:I,"WINTER")), "")</f>
        <v/>
      </c>
      <c r="J92" s="74" t="str" cm="1">
        <f t="array" ref="J92">IFERROR(1/(1/SUM(COUNTIFS(
'YearA-AppDetails Current Date'!A:A,D92,
'YearA-AppDetails Current Date'!F:F,E92,
'YearA-AppDetails Current Date'!E:E,--F92,
'YearA-AppDetails Current Date'!O:O,{"ACLN","ACPT","COND"},
'YearA-AppDetails Current Date'!S:S,"&lt;&gt;ACLN",
'YearA-AppDetails Current Date'!S:S,"&lt;&gt;ACPT",
'YearA-AppDetails Current Date'!S:S,"&lt;&gt;COND",
'YearA-AppDetails Current Date'!I:I,"WINTER"))), "")</f>
        <v/>
      </c>
      <c r="K92" s="73" t="str">
        <f>IFERROR(1/(1/SUM(COUNTIFS(
'YearA-AppDetails Current Date'!A:A,D92,
'YearA-AppDetails Current Date'!F:F,E92,
'YearA-AppDetails Current Date'!E:E,--F92,
'YearA-AppDetails Current Date'!R:R,"&lt;&gt;"&amp;"",
'YearA-AppDetails Current Date'!I:I,"WINTER"))), "")</f>
        <v/>
      </c>
      <c r="L92" s="74" t="str" cm="1">
        <f t="array" ref="L92">IFERROR(1/(1/SUM(COUNTIFS(
'YearA-AppDetails Current Date'!A:A,D92,
'YearA-AppDetails Current Date'!F:F,E92,
'YearA-AppDetails Current Date'!E:E,--F92,
'YearA-AppDetails Current Date'!T:T,{"APEX","DENY","NTSL"},
'YearA-AppDetails Current Date'!I:I,"WINTER"))), "")</f>
        <v/>
      </c>
      <c r="M92" s="74" t="str" cm="1">
        <f t="array" ref="M92">IFERROR(1/(1/SUM(COUNTIFS(
'YearA-AppDetails Current Date'!A:A,D92,
'YearA-AppDetails Current Date'!F:F,E92,
'YearA-AppDetails Current Date'!E:E,--F92,
'YearA-AppDetails Current Date'!U:U,{"CCAN","DECL"},
'YearA-AppDetails Current Date'!I:I,"WINTER"))), "")</f>
        <v/>
      </c>
      <c r="N92" s="74" t="str" cm="1">
        <f t="array" ref="N92">IFERROR(1/(1/SUM(COUNTIFS(
'YearA-AppDetails Current Date'!A:A,D92,
'YearA-AppDetails Current Date'!F:F,E92,
'YearA-AppDetails Current Date'!E:E,--F92,
'YearA-AppDetails Current Date'!V:V,{"APRO","NODE"},
'YearA-AppDetails Current Date'!I:I,"WINTER"))), "")</f>
        <v/>
      </c>
      <c r="O92" s="74" t="str" cm="1">
        <f t="array" ref="O92">IFERROR(1/(1/SUM(COUNTIFS(
'YearA-AppDetails Current Date'!A:A,D92,
'YearA-AppDetails Current Date'!F:F,E92,
'YearA-AppDetails Current Date'!E:E,--F92,
'YearA-AppDetails Current Date'!T:T,{"CDMT","RQMT","WAIT"},
'YearA-AppDetails Current Date'!I:I,"WINTER"))), "")</f>
        <v/>
      </c>
      <c r="P92" s="74" t="str">
        <f>IFERROR(1/(1/COUNTIFS(
'YearA-AppDetails Current Date'!A:A,D92,
'YearA-AppDetails Current Date'!F:F,E92,
'YearA-AppDetails Current Date'!E:E,--F92,
'YearA-AppDetails Current Date'!Y:Y,"ENRO",
'YearA-AppDetails Current Date'!I:I,"WINTER")),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HC'!D:T,6,FALSE)),
N(VLOOKUP(D93&amp;F93,'Budgeted Projections Intl HC'!D:T,7,FALSE))
)
),"")</f>
        <v/>
      </c>
      <c r="I93" s="73" t="str">
        <f>IFERROR(1/(1/COUNTIFS(
'YearA-AppDetails Current Date'!A:A,D93,
'YearA-AppDetails Current Date'!F:F,E93,
'YearA-AppDetails Current Date'!E:E,--F93,
'YearA-AppDetails Current Date'!I:I,"WINTER")), "")</f>
        <v/>
      </c>
      <c r="J93" s="74" t="str" cm="1">
        <f t="array" ref="J93">IFERROR(1/(1/SUM(COUNTIFS(
'YearA-AppDetails Current Date'!A:A,D93,
'YearA-AppDetails Current Date'!F:F,E93,
'YearA-AppDetails Current Date'!E:E,--F93,
'YearA-AppDetails Current Date'!O:O,{"ACLN","ACPT","COND"},
'YearA-AppDetails Current Date'!S:S,"&lt;&gt;ACLN",
'YearA-AppDetails Current Date'!S:S,"&lt;&gt;ACPT",
'YearA-AppDetails Current Date'!S:S,"&lt;&gt;COND",
'YearA-AppDetails Current Date'!I:I,"WINTER"))), "")</f>
        <v/>
      </c>
      <c r="K93" s="73" t="str">
        <f>IFERROR(1/(1/SUM(COUNTIFS(
'YearA-AppDetails Current Date'!A:A,D93,
'YearA-AppDetails Current Date'!F:F,E93,
'YearA-AppDetails Current Date'!E:E,--F93,
'YearA-AppDetails Current Date'!R:R,"&lt;&gt;"&amp;"",
'YearA-AppDetails Current Date'!I:I,"WINTER"))), "")</f>
        <v/>
      </c>
      <c r="L93" s="74" t="str" cm="1">
        <f t="array" ref="L93">IFERROR(1/(1/SUM(COUNTIFS(
'YearA-AppDetails Current Date'!A:A,D93,
'YearA-AppDetails Current Date'!F:F,E93,
'YearA-AppDetails Current Date'!E:E,--F93,
'YearA-AppDetails Current Date'!T:T,{"APEX","DENY","NTSL"},
'YearA-AppDetails Current Date'!I:I,"WINTER"))), "")</f>
        <v/>
      </c>
      <c r="M93" s="74" t="str" cm="1">
        <f t="array" ref="M93">IFERROR(1/(1/SUM(COUNTIFS(
'YearA-AppDetails Current Date'!A:A,D93,
'YearA-AppDetails Current Date'!F:F,E93,
'YearA-AppDetails Current Date'!E:E,--F93,
'YearA-AppDetails Current Date'!U:U,{"CCAN","DECL"},
'YearA-AppDetails Current Date'!I:I,"WINTER"))), "")</f>
        <v/>
      </c>
      <c r="N93" s="74" t="str" cm="1">
        <f t="array" ref="N93">IFERROR(1/(1/SUM(COUNTIFS(
'YearA-AppDetails Current Date'!A:A,D93,
'YearA-AppDetails Current Date'!F:F,E93,
'YearA-AppDetails Current Date'!E:E,--F93,
'YearA-AppDetails Current Date'!V:V,{"APRO","NODE"},
'YearA-AppDetails Current Date'!I:I,"WINTER"))), "")</f>
        <v/>
      </c>
      <c r="O93" s="74" t="str" cm="1">
        <f t="array" ref="O93">IFERROR(1/(1/SUM(COUNTIFS(
'YearA-AppDetails Current Date'!A:A,D93,
'YearA-AppDetails Current Date'!F:F,E93,
'YearA-AppDetails Current Date'!E:E,--F93,
'YearA-AppDetails Current Date'!T:T,{"CDMT","RQMT","WAIT"},
'YearA-AppDetails Current Date'!I:I,"WINTER"))), "")</f>
        <v/>
      </c>
      <c r="P93" s="74" t="str">
        <f>IFERROR(1/(1/COUNTIFS(
'YearA-AppDetails Current Date'!A:A,D93,
'YearA-AppDetails Current Date'!F:F,E93,
'YearA-AppDetails Current Date'!E:E,--F93,
'YearA-AppDetails Current Date'!Y:Y,"ENRO",
'YearA-AppDetails Current Date'!I:I,"WINTER")),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HC'!D:T,6,FALSE)),
N(VLOOKUP(D94&amp;F94,'Budgeted Projections Dom HC'!D:T,7,FALSE))
)
),"")</f>
        <v/>
      </c>
      <c r="I94" s="73" t="str">
        <f>IFERROR(1/(1/COUNTIFS(
'YearA-AppDetails Current Date'!A:A,D94,
'YearA-AppDetails Current Date'!F:F,E94,
'YearA-AppDetails Current Date'!E:E,--F94,
'YearA-AppDetails Current Date'!I:I,"WINTER")), "")</f>
        <v/>
      </c>
      <c r="J94" s="74" t="str" cm="1">
        <f t="array" ref="J94">IFERROR(1/(1/SUM(COUNTIFS(
'YearA-AppDetails Current Date'!A:A,D94,
'YearA-AppDetails Current Date'!F:F,E94,
'YearA-AppDetails Current Date'!E:E,--F94,
'YearA-AppDetails Current Date'!O:O,{"ACLN","ACPT","COND"},
'YearA-AppDetails Current Date'!S:S,"&lt;&gt;ACLN",
'YearA-AppDetails Current Date'!S:S,"&lt;&gt;ACPT",
'YearA-AppDetails Current Date'!S:S,"&lt;&gt;COND",
'YearA-AppDetails Current Date'!I:I,"WINTER"))), "")</f>
        <v/>
      </c>
      <c r="K94" s="73" t="str">
        <f>IFERROR(1/(1/SUM(COUNTIFS(
'YearA-AppDetails Current Date'!A:A,D94,
'YearA-AppDetails Current Date'!F:F,E94,
'YearA-AppDetails Current Date'!E:E,--F94,
'YearA-AppDetails Current Date'!R:R,"&lt;&gt;"&amp;"",
'YearA-AppDetails Current Date'!I:I,"WINTER"))), "")</f>
        <v/>
      </c>
      <c r="L94" s="74" t="str" cm="1">
        <f t="array" ref="L94">IFERROR(1/(1/SUM(COUNTIFS(
'YearA-AppDetails Current Date'!A:A,D94,
'YearA-AppDetails Current Date'!F:F,E94,
'YearA-AppDetails Current Date'!E:E,--F94,
'YearA-AppDetails Current Date'!T:T,{"APEX","DENY","NTSL"},
'YearA-AppDetails Current Date'!I:I,"WINTER"))), "")</f>
        <v/>
      </c>
      <c r="M94" s="74" t="str" cm="1">
        <f t="array" ref="M94">IFERROR(1/(1/SUM(COUNTIFS(
'YearA-AppDetails Current Date'!A:A,D94,
'YearA-AppDetails Current Date'!F:F,E94,
'YearA-AppDetails Current Date'!E:E,--F94,
'YearA-AppDetails Current Date'!U:U,{"CCAN","DECL"},
'YearA-AppDetails Current Date'!I:I,"WINTER"))), "")</f>
        <v/>
      </c>
      <c r="N94" s="74" t="str" cm="1">
        <f t="array" ref="N94">IFERROR(1/(1/SUM(COUNTIFS(
'YearA-AppDetails Current Date'!A:A,D94,
'YearA-AppDetails Current Date'!F:F,E94,
'YearA-AppDetails Current Date'!E:E,--F94,
'YearA-AppDetails Current Date'!V:V,{"APRO","NODE"},
'YearA-AppDetails Current Date'!I:I,"WINTER"))), "")</f>
        <v/>
      </c>
      <c r="O94" s="74" t="str" cm="1">
        <f t="array" ref="O94">IFERROR(1/(1/SUM(COUNTIFS(
'YearA-AppDetails Current Date'!A:A,D94,
'YearA-AppDetails Current Date'!F:F,E94,
'YearA-AppDetails Current Date'!E:E,--F94,
'YearA-AppDetails Current Date'!T:T,{"CDMT","RQMT","WAIT"},
'YearA-AppDetails Current Date'!I:I,"WINTER"))), "")</f>
        <v/>
      </c>
      <c r="P94" s="74" t="str">
        <f>IFERROR(1/(1/COUNTIFS(
'YearA-AppDetails Current Date'!A:A,D94,
'YearA-AppDetails Current Date'!F:F,E94,
'YearA-AppDetails Current Date'!E:E,--F94,
'YearA-AppDetails Current Date'!Y:Y,"ENRO",
'YearA-AppDetails Current Date'!I:I,"WINTER")),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HC'!D:T,6,FALSE)),
N(VLOOKUP(D95&amp;F95,'Budgeted Projections Intl HC'!D:T,7,FALSE))
)
),"")</f>
        <v/>
      </c>
      <c r="I95" s="73" t="str">
        <f>IFERROR(1/(1/COUNTIFS(
'YearA-AppDetails Current Date'!A:A,D95,
'YearA-AppDetails Current Date'!F:F,E95,
'YearA-AppDetails Current Date'!E:E,--F95,
'YearA-AppDetails Current Date'!I:I,"WINTER")), "")</f>
        <v/>
      </c>
      <c r="J95" s="74" t="str" cm="1">
        <f t="array" ref="J95">IFERROR(1/(1/SUM(COUNTIFS(
'YearA-AppDetails Current Date'!A:A,D95,
'YearA-AppDetails Current Date'!F:F,E95,
'YearA-AppDetails Current Date'!E:E,--F95,
'YearA-AppDetails Current Date'!O:O,{"ACLN","ACPT","COND"},
'YearA-AppDetails Current Date'!S:S,"&lt;&gt;ACLN",
'YearA-AppDetails Current Date'!S:S,"&lt;&gt;ACPT",
'YearA-AppDetails Current Date'!S:S,"&lt;&gt;COND",
'YearA-AppDetails Current Date'!I:I,"WINTER"))), "")</f>
        <v/>
      </c>
      <c r="K95" s="73" t="str">
        <f>IFERROR(1/(1/SUM(COUNTIFS(
'YearA-AppDetails Current Date'!A:A,D95,
'YearA-AppDetails Current Date'!F:F,E95,
'YearA-AppDetails Current Date'!E:E,--F95,
'YearA-AppDetails Current Date'!R:R,"&lt;&gt;"&amp;"",
'YearA-AppDetails Current Date'!I:I,"WINTER"))), "")</f>
        <v/>
      </c>
      <c r="L95" s="74" t="str" cm="1">
        <f t="array" ref="L95">IFERROR(1/(1/SUM(COUNTIFS(
'YearA-AppDetails Current Date'!A:A,D95,
'YearA-AppDetails Current Date'!F:F,E95,
'YearA-AppDetails Current Date'!E:E,--F95,
'YearA-AppDetails Current Date'!T:T,{"APEX","DENY","NTSL"},
'YearA-AppDetails Current Date'!I:I,"WINTER"))), "")</f>
        <v/>
      </c>
      <c r="M95" s="74" t="str" cm="1">
        <f t="array" ref="M95">IFERROR(1/(1/SUM(COUNTIFS(
'YearA-AppDetails Current Date'!A:A,D95,
'YearA-AppDetails Current Date'!F:F,E95,
'YearA-AppDetails Current Date'!E:E,--F95,
'YearA-AppDetails Current Date'!U:U,{"CCAN","DECL"},
'YearA-AppDetails Current Date'!I:I,"WINTER"))), "")</f>
        <v/>
      </c>
      <c r="N95" s="74" t="str" cm="1">
        <f t="array" ref="N95">IFERROR(1/(1/SUM(COUNTIFS(
'YearA-AppDetails Current Date'!A:A,D95,
'YearA-AppDetails Current Date'!F:F,E95,
'YearA-AppDetails Current Date'!E:E,--F95,
'YearA-AppDetails Current Date'!V:V,{"APRO","NODE"},
'YearA-AppDetails Current Date'!I:I,"WINTER"))), "")</f>
        <v/>
      </c>
      <c r="O95" s="74" t="str" cm="1">
        <f t="array" ref="O95">IFERROR(1/(1/SUM(COUNTIFS(
'YearA-AppDetails Current Date'!A:A,D95,
'YearA-AppDetails Current Date'!F:F,E95,
'YearA-AppDetails Current Date'!E:E,--F95,
'YearA-AppDetails Current Date'!T:T,{"CDMT","RQMT","WAIT"},
'YearA-AppDetails Current Date'!I:I,"WINTER"))), "")</f>
        <v/>
      </c>
      <c r="P95" s="74" t="str">
        <f>IFERROR(1/(1/COUNTIFS(
'YearA-AppDetails Current Date'!A:A,D95,
'YearA-AppDetails Current Date'!F:F,E95,
'YearA-AppDetails Current Date'!E:E,--F95,
'YearA-AppDetails Current Date'!Y:Y,"ENRO",
'YearA-AppDetails Current Date'!I:I,"WINTER")),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HC'!D:T,6,FALSE)),
N(VLOOKUP(D96&amp;F96,'Budgeted Projections Dom HC'!D:T,7,FALSE))
)
),"")</f>
        <v/>
      </c>
      <c r="I96" s="73" t="str">
        <f>IFERROR(1/(1/COUNTIFS(
'YearA-AppDetails Current Date'!A:A,D96,
'YearA-AppDetails Current Date'!F:F,E96,
'YearA-AppDetails Current Date'!E:E,--F96,
'YearA-AppDetails Current Date'!I:I,"WINTER")), "")</f>
        <v/>
      </c>
      <c r="J96" s="74" t="str" cm="1">
        <f t="array" ref="J96">IFERROR(1/(1/SUM(COUNTIFS(
'YearA-AppDetails Current Date'!A:A,D96,
'YearA-AppDetails Current Date'!F:F,E96,
'YearA-AppDetails Current Date'!E:E,--F96,
'YearA-AppDetails Current Date'!O:O,{"ACLN","ACPT","COND"},
'YearA-AppDetails Current Date'!S:S,"&lt;&gt;ACLN",
'YearA-AppDetails Current Date'!S:S,"&lt;&gt;ACPT",
'YearA-AppDetails Current Date'!S:S,"&lt;&gt;COND",
'YearA-AppDetails Current Date'!I:I,"WINTER"))), "")</f>
        <v/>
      </c>
      <c r="K96" s="73" t="str">
        <f>IFERROR(1/(1/SUM(COUNTIFS(
'YearA-AppDetails Current Date'!A:A,D96,
'YearA-AppDetails Current Date'!F:F,E96,
'YearA-AppDetails Current Date'!E:E,--F96,
'YearA-AppDetails Current Date'!R:R,"&lt;&gt;"&amp;"",
'YearA-AppDetails Current Date'!I:I,"WINTER"))), "")</f>
        <v/>
      </c>
      <c r="L96" s="74" t="str" cm="1">
        <f t="array" ref="L96">IFERROR(1/(1/SUM(COUNTIFS(
'YearA-AppDetails Current Date'!A:A,D96,
'YearA-AppDetails Current Date'!F:F,E96,
'YearA-AppDetails Current Date'!E:E,--F96,
'YearA-AppDetails Current Date'!T:T,{"APEX","DENY","NTSL"},
'YearA-AppDetails Current Date'!I:I,"WINTER"))), "")</f>
        <v/>
      </c>
      <c r="M96" s="74" t="str" cm="1">
        <f t="array" ref="M96">IFERROR(1/(1/SUM(COUNTIFS(
'YearA-AppDetails Current Date'!A:A,D96,
'YearA-AppDetails Current Date'!F:F,E96,
'YearA-AppDetails Current Date'!E:E,--F96,
'YearA-AppDetails Current Date'!U:U,{"CCAN","DECL"},
'YearA-AppDetails Current Date'!I:I,"WINTER"))), "")</f>
        <v/>
      </c>
      <c r="N96" s="74" t="str" cm="1">
        <f t="array" ref="N96">IFERROR(1/(1/SUM(COUNTIFS(
'YearA-AppDetails Current Date'!A:A,D96,
'YearA-AppDetails Current Date'!F:F,E96,
'YearA-AppDetails Current Date'!E:E,--F96,
'YearA-AppDetails Current Date'!V:V,{"APRO","NODE"},
'YearA-AppDetails Current Date'!I:I,"WINTER"))), "")</f>
        <v/>
      </c>
      <c r="O96" s="74" t="str" cm="1">
        <f t="array" ref="O96">IFERROR(1/(1/SUM(COUNTIFS(
'YearA-AppDetails Current Date'!A:A,D96,
'YearA-AppDetails Current Date'!F:F,E96,
'YearA-AppDetails Current Date'!E:E,--F96,
'YearA-AppDetails Current Date'!T:T,{"CDMT","RQMT","WAIT"},
'YearA-AppDetails Current Date'!I:I,"WINTER"))), "")</f>
        <v/>
      </c>
      <c r="P96" s="74" t="str">
        <f>IFERROR(1/(1/COUNTIFS(
'YearA-AppDetails Current Date'!A:A,D96,
'YearA-AppDetails Current Date'!F:F,E96,
'YearA-AppDetails Current Date'!E:E,--F96,
'YearA-AppDetails Current Date'!Y:Y,"ENRO",
'YearA-AppDetails Current Date'!I:I,"WINTER")),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HC'!D:T,6,FALSE)),
N(VLOOKUP(D97&amp;F97,'Budgeted Projections Intl HC'!D:T,7,FALSE))
)
),"")</f>
        <v/>
      </c>
      <c r="I97" s="73" t="str">
        <f>IFERROR(1/(1/COUNTIFS(
'YearA-AppDetails Current Date'!A:A,D97,
'YearA-AppDetails Current Date'!F:F,E97,
'YearA-AppDetails Current Date'!E:E,--F97,
'YearA-AppDetails Current Date'!I:I,"WINTER")), "")</f>
        <v/>
      </c>
      <c r="J97" s="74" t="str" cm="1">
        <f t="array" ref="J97">IFERROR(1/(1/SUM(COUNTIFS(
'YearA-AppDetails Current Date'!A:A,D97,
'YearA-AppDetails Current Date'!F:F,E97,
'YearA-AppDetails Current Date'!E:E,--F97,
'YearA-AppDetails Current Date'!O:O,{"ACLN","ACPT","COND"},
'YearA-AppDetails Current Date'!S:S,"&lt;&gt;ACLN",
'YearA-AppDetails Current Date'!S:S,"&lt;&gt;ACPT",
'YearA-AppDetails Current Date'!S:S,"&lt;&gt;COND",
'YearA-AppDetails Current Date'!I:I,"WINTER"))), "")</f>
        <v/>
      </c>
      <c r="K97" s="73" t="str">
        <f>IFERROR(1/(1/SUM(COUNTIFS(
'YearA-AppDetails Current Date'!A:A,D97,
'YearA-AppDetails Current Date'!F:F,E97,
'YearA-AppDetails Current Date'!E:E,--F97,
'YearA-AppDetails Current Date'!R:R,"&lt;&gt;"&amp;"",
'YearA-AppDetails Current Date'!I:I,"WINTER"))), "")</f>
        <v/>
      </c>
      <c r="L97" s="74" t="str" cm="1">
        <f t="array" ref="L97">IFERROR(1/(1/SUM(COUNTIFS(
'YearA-AppDetails Current Date'!A:A,D97,
'YearA-AppDetails Current Date'!F:F,E97,
'YearA-AppDetails Current Date'!E:E,--F97,
'YearA-AppDetails Current Date'!T:T,{"APEX","DENY","NTSL"},
'YearA-AppDetails Current Date'!I:I,"WINTER"))), "")</f>
        <v/>
      </c>
      <c r="M97" s="74" t="str" cm="1">
        <f t="array" ref="M97">IFERROR(1/(1/SUM(COUNTIFS(
'YearA-AppDetails Current Date'!A:A,D97,
'YearA-AppDetails Current Date'!F:F,E97,
'YearA-AppDetails Current Date'!E:E,--F97,
'YearA-AppDetails Current Date'!U:U,{"CCAN","DECL"},
'YearA-AppDetails Current Date'!I:I,"WINTER"))), "")</f>
        <v/>
      </c>
      <c r="N97" s="74" t="str" cm="1">
        <f t="array" ref="N97">IFERROR(1/(1/SUM(COUNTIFS(
'YearA-AppDetails Current Date'!A:A,D97,
'YearA-AppDetails Current Date'!F:F,E97,
'YearA-AppDetails Current Date'!E:E,--F97,
'YearA-AppDetails Current Date'!V:V,{"APRO","NODE"},
'YearA-AppDetails Current Date'!I:I,"WINTER"))), "")</f>
        <v/>
      </c>
      <c r="O97" s="74" t="str" cm="1">
        <f t="array" ref="O97">IFERROR(1/(1/SUM(COUNTIFS(
'YearA-AppDetails Current Date'!A:A,D97,
'YearA-AppDetails Current Date'!F:F,E97,
'YearA-AppDetails Current Date'!E:E,--F97,
'YearA-AppDetails Current Date'!T:T,{"CDMT","RQMT","WAIT"},
'YearA-AppDetails Current Date'!I:I,"WINTER"))), "")</f>
        <v/>
      </c>
      <c r="P97" s="74" t="str">
        <f>IFERROR(1/(1/COUNTIFS(
'YearA-AppDetails Current Date'!A:A,D97,
'YearA-AppDetails Current Date'!F:F,E97,
'YearA-AppDetails Current Date'!E:E,--F97,
'YearA-AppDetails Current Date'!Y:Y,"ENRO",
'YearA-AppDetails Current Date'!I:I,"WINTER")),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HC'!D:T,6,FALSE)),
N(VLOOKUP(D98&amp;F98,'Budgeted Projections Dom HC'!D:T,7,FALSE))
)
),"")</f>
        <v/>
      </c>
      <c r="I98" s="73" t="str">
        <f>IFERROR(1/(1/COUNTIFS(
'YearA-AppDetails Current Date'!A:A,D98,
'YearA-AppDetails Current Date'!F:F,E98,
'YearA-AppDetails Current Date'!E:E,--F98,
'YearA-AppDetails Current Date'!I:I,"WINTER")), "")</f>
        <v/>
      </c>
      <c r="J98" s="74" t="str" cm="1">
        <f t="array" ref="J98">IFERROR(1/(1/SUM(COUNTIFS(
'YearA-AppDetails Current Date'!A:A,D98,
'YearA-AppDetails Current Date'!F:F,E98,
'YearA-AppDetails Current Date'!E:E,--F98,
'YearA-AppDetails Current Date'!O:O,{"ACLN","ACPT","COND"},
'YearA-AppDetails Current Date'!S:S,"&lt;&gt;ACLN",
'YearA-AppDetails Current Date'!S:S,"&lt;&gt;ACPT",
'YearA-AppDetails Current Date'!S:S,"&lt;&gt;COND",
'YearA-AppDetails Current Date'!I:I,"WINTER"))), "")</f>
        <v/>
      </c>
      <c r="K98" s="73" t="str">
        <f>IFERROR(1/(1/SUM(COUNTIFS(
'YearA-AppDetails Current Date'!A:A,D98,
'YearA-AppDetails Current Date'!F:F,E98,
'YearA-AppDetails Current Date'!E:E,--F98,
'YearA-AppDetails Current Date'!R:R,"&lt;&gt;"&amp;"",
'YearA-AppDetails Current Date'!I:I,"WINTER"))), "")</f>
        <v/>
      </c>
      <c r="L98" s="74" t="str" cm="1">
        <f t="array" ref="L98">IFERROR(1/(1/SUM(COUNTIFS(
'YearA-AppDetails Current Date'!A:A,D98,
'YearA-AppDetails Current Date'!F:F,E98,
'YearA-AppDetails Current Date'!E:E,--F98,
'YearA-AppDetails Current Date'!T:T,{"APEX","DENY","NTSL"},
'YearA-AppDetails Current Date'!I:I,"WINTER"))), "")</f>
        <v/>
      </c>
      <c r="M98" s="74" t="str" cm="1">
        <f t="array" ref="M98">IFERROR(1/(1/SUM(COUNTIFS(
'YearA-AppDetails Current Date'!A:A,D98,
'YearA-AppDetails Current Date'!F:F,E98,
'YearA-AppDetails Current Date'!E:E,--F98,
'YearA-AppDetails Current Date'!U:U,{"CCAN","DECL"},
'YearA-AppDetails Current Date'!I:I,"WINTER"))), "")</f>
        <v/>
      </c>
      <c r="N98" s="74" t="str" cm="1">
        <f t="array" ref="N98">IFERROR(1/(1/SUM(COUNTIFS(
'YearA-AppDetails Current Date'!A:A,D98,
'YearA-AppDetails Current Date'!F:F,E98,
'YearA-AppDetails Current Date'!E:E,--F98,
'YearA-AppDetails Current Date'!V:V,{"APRO","NODE"},
'YearA-AppDetails Current Date'!I:I,"WINTER"))), "")</f>
        <v/>
      </c>
      <c r="O98" s="74" t="str" cm="1">
        <f t="array" ref="O98">IFERROR(1/(1/SUM(COUNTIFS(
'YearA-AppDetails Current Date'!A:A,D98,
'YearA-AppDetails Current Date'!F:F,E98,
'YearA-AppDetails Current Date'!E:E,--F98,
'YearA-AppDetails Current Date'!T:T,{"CDMT","RQMT","WAIT"},
'YearA-AppDetails Current Date'!I:I,"WINTER"))), "")</f>
        <v/>
      </c>
      <c r="P98" s="74" t="str">
        <f>IFERROR(1/(1/COUNTIFS(
'YearA-AppDetails Current Date'!A:A,D98,
'YearA-AppDetails Current Date'!F:F,E98,
'YearA-AppDetails Current Date'!E:E,--F98,
'YearA-AppDetails Current Date'!Y:Y,"ENRO",
'YearA-AppDetails Current Date'!I:I,"WINTER")),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HC'!D:T,6,FALSE)),
N(VLOOKUP(D99&amp;F99,'Budgeted Projections Intl HC'!D:T,7,FALSE))
)
),"")</f>
        <v/>
      </c>
      <c r="I99" s="73" t="str">
        <f>IFERROR(1/(1/COUNTIFS(
'YearA-AppDetails Current Date'!A:A,D99,
'YearA-AppDetails Current Date'!F:F,E99,
'YearA-AppDetails Current Date'!E:E,--F99,
'YearA-AppDetails Current Date'!I:I,"WINTER")), "")</f>
        <v/>
      </c>
      <c r="J99" s="74" t="str" cm="1">
        <f t="array" ref="J99">IFERROR(1/(1/SUM(COUNTIFS(
'YearA-AppDetails Current Date'!A:A,D99,
'YearA-AppDetails Current Date'!F:F,E99,
'YearA-AppDetails Current Date'!E:E,--F99,
'YearA-AppDetails Current Date'!O:O,{"ACLN","ACPT","COND"},
'YearA-AppDetails Current Date'!S:S,"&lt;&gt;ACLN",
'YearA-AppDetails Current Date'!S:S,"&lt;&gt;ACPT",
'YearA-AppDetails Current Date'!S:S,"&lt;&gt;COND",
'YearA-AppDetails Current Date'!I:I,"WINTER"))), "")</f>
        <v/>
      </c>
      <c r="K99" s="73" t="str">
        <f>IFERROR(1/(1/SUM(COUNTIFS(
'YearA-AppDetails Current Date'!A:A,D99,
'YearA-AppDetails Current Date'!F:F,E99,
'YearA-AppDetails Current Date'!E:E,--F99,
'YearA-AppDetails Current Date'!R:R,"&lt;&gt;"&amp;"",
'YearA-AppDetails Current Date'!I:I,"WINTER"))), "")</f>
        <v/>
      </c>
      <c r="L99" s="74" t="str" cm="1">
        <f t="array" ref="L99">IFERROR(1/(1/SUM(COUNTIFS(
'YearA-AppDetails Current Date'!A:A,D99,
'YearA-AppDetails Current Date'!F:F,E99,
'YearA-AppDetails Current Date'!E:E,--F99,
'YearA-AppDetails Current Date'!T:T,{"APEX","DENY","NTSL"},
'YearA-AppDetails Current Date'!I:I,"WINTER"))), "")</f>
        <v/>
      </c>
      <c r="M99" s="74" t="str" cm="1">
        <f t="array" ref="M99">IFERROR(1/(1/SUM(COUNTIFS(
'YearA-AppDetails Current Date'!A:A,D99,
'YearA-AppDetails Current Date'!F:F,E99,
'YearA-AppDetails Current Date'!E:E,--F99,
'YearA-AppDetails Current Date'!U:U,{"CCAN","DECL"},
'YearA-AppDetails Current Date'!I:I,"WINTER"))), "")</f>
        <v/>
      </c>
      <c r="N99" s="74" t="str" cm="1">
        <f t="array" ref="N99">IFERROR(1/(1/SUM(COUNTIFS(
'YearA-AppDetails Current Date'!A:A,D99,
'YearA-AppDetails Current Date'!F:F,E99,
'YearA-AppDetails Current Date'!E:E,--F99,
'YearA-AppDetails Current Date'!V:V,{"APRO","NODE"},
'YearA-AppDetails Current Date'!I:I,"WINTER"))), "")</f>
        <v/>
      </c>
      <c r="O99" s="74" t="str" cm="1">
        <f t="array" ref="O99">IFERROR(1/(1/SUM(COUNTIFS(
'YearA-AppDetails Current Date'!A:A,D99,
'YearA-AppDetails Current Date'!F:F,E99,
'YearA-AppDetails Current Date'!E:E,--F99,
'YearA-AppDetails Current Date'!T:T,{"CDMT","RQMT","WAIT"},
'YearA-AppDetails Current Date'!I:I,"WINTER"))), "")</f>
        <v/>
      </c>
      <c r="P99" s="74" t="str">
        <f>IFERROR(1/(1/COUNTIFS(
'YearA-AppDetails Current Date'!A:A,D99,
'YearA-AppDetails Current Date'!F:F,E99,
'YearA-AppDetails Current Date'!E:E,--F99,
'YearA-AppDetails Current Date'!Y:Y,"ENRO",
'YearA-AppDetails Current Date'!I:I,"WINTER")),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HC'!D:T,6,FALSE)),
N(VLOOKUP(D100&amp;F100,'Budgeted Projections Dom HC'!D:T,7,FALSE))
)
),"")</f>
        <v/>
      </c>
      <c r="I100" s="73" t="str">
        <f>IFERROR(1/(1/COUNTIFS(
'YearA-AppDetails Current Date'!A:A,D100,
'YearA-AppDetails Current Date'!F:F,E100,
'YearA-AppDetails Current Date'!E:E,--F100,
'YearA-AppDetails Current Date'!I:I,"WINTER")), "")</f>
        <v/>
      </c>
      <c r="J100" s="74" t="str" cm="1">
        <f t="array" ref="J100">IFERROR(1/(1/SUM(COUNTIFS(
'YearA-AppDetails Current Date'!A:A,D100,
'YearA-AppDetails Current Date'!F:F,E100,
'YearA-AppDetails Current Date'!E:E,--F100,
'YearA-AppDetails Current Date'!O:O,{"ACLN","ACPT","COND"},
'YearA-AppDetails Current Date'!S:S,"&lt;&gt;ACLN",
'YearA-AppDetails Current Date'!S:S,"&lt;&gt;ACPT",
'YearA-AppDetails Current Date'!S:S,"&lt;&gt;COND",
'YearA-AppDetails Current Date'!I:I,"WINTER"))), "")</f>
        <v/>
      </c>
      <c r="K100" s="73" t="str">
        <f>IFERROR(1/(1/SUM(COUNTIFS(
'YearA-AppDetails Current Date'!A:A,D100,
'YearA-AppDetails Current Date'!F:F,E100,
'YearA-AppDetails Current Date'!E:E,--F100,
'YearA-AppDetails Current Date'!R:R,"&lt;&gt;"&amp;"",
'YearA-AppDetails Current Date'!I:I,"WINTER"))), "")</f>
        <v/>
      </c>
      <c r="L100" s="74" t="str" cm="1">
        <f t="array" ref="L100">IFERROR(1/(1/SUM(COUNTIFS(
'YearA-AppDetails Current Date'!A:A,D100,
'YearA-AppDetails Current Date'!F:F,E100,
'YearA-AppDetails Current Date'!E:E,--F100,
'YearA-AppDetails Current Date'!T:T,{"APEX","DENY","NTSL"},
'YearA-AppDetails Current Date'!I:I,"WINTER"))), "")</f>
        <v/>
      </c>
      <c r="M100" s="74" t="str" cm="1">
        <f t="array" ref="M100">IFERROR(1/(1/SUM(COUNTIFS(
'YearA-AppDetails Current Date'!A:A,D100,
'YearA-AppDetails Current Date'!F:F,E100,
'YearA-AppDetails Current Date'!E:E,--F100,
'YearA-AppDetails Current Date'!U:U,{"CCAN","DECL"},
'YearA-AppDetails Current Date'!I:I,"WINTER"))), "")</f>
        <v/>
      </c>
      <c r="N100" s="74" t="str" cm="1">
        <f t="array" ref="N100">IFERROR(1/(1/SUM(COUNTIFS(
'YearA-AppDetails Current Date'!A:A,D100,
'YearA-AppDetails Current Date'!F:F,E100,
'YearA-AppDetails Current Date'!E:E,--F100,
'YearA-AppDetails Current Date'!V:V,{"APRO","NODE"},
'YearA-AppDetails Current Date'!I:I,"WINTER"))), "")</f>
        <v/>
      </c>
      <c r="O100" s="74" t="str" cm="1">
        <f t="array" ref="O100">IFERROR(1/(1/SUM(COUNTIFS(
'YearA-AppDetails Current Date'!A:A,D100,
'YearA-AppDetails Current Date'!F:F,E100,
'YearA-AppDetails Current Date'!E:E,--F100,
'YearA-AppDetails Current Date'!T:T,{"CDMT","RQMT","WAIT"},
'YearA-AppDetails Current Date'!I:I,"WINTER"))), "")</f>
        <v/>
      </c>
      <c r="P100" s="74" t="str">
        <f>IFERROR(1/(1/COUNTIFS(
'YearA-AppDetails Current Date'!A:A,D100,
'YearA-AppDetails Current Date'!F:F,E100,
'YearA-AppDetails Current Date'!E:E,--F100,
'YearA-AppDetails Current Date'!Y:Y,"ENRO",
'YearA-AppDetails Current Date'!I:I,"WINTER")),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HC'!D:T,6,FALSE)),
N(VLOOKUP(D101&amp;F101,'Budgeted Projections Intl HC'!D:T,7,FALSE))
)
),"")</f>
        <v/>
      </c>
      <c r="I101" s="73" t="str">
        <f>IFERROR(1/(1/COUNTIFS(
'YearA-AppDetails Current Date'!A:A,D101,
'YearA-AppDetails Current Date'!F:F,E101,
'YearA-AppDetails Current Date'!E:E,--F101,
'YearA-AppDetails Current Date'!I:I,"WINTER")), "")</f>
        <v/>
      </c>
      <c r="J101" s="74" t="str" cm="1">
        <f t="array" ref="J101">IFERROR(1/(1/SUM(COUNTIFS(
'YearA-AppDetails Current Date'!A:A,D101,
'YearA-AppDetails Current Date'!F:F,E101,
'YearA-AppDetails Current Date'!E:E,--F101,
'YearA-AppDetails Current Date'!O:O,{"ACLN","ACPT","COND"},
'YearA-AppDetails Current Date'!S:S,"&lt;&gt;ACLN",
'YearA-AppDetails Current Date'!S:S,"&lt;&gt;ACPT",
'YearA-AppDetails Current Date'!S:S,"&lt;&gt;COND",
'YearA-AppDetails Current Date'!I:I,"WINTER"))), "")</f>
        <v/>
      </c>
      <c r="K101" s="73" t="str">
        <f>IFERROR(1/(1/SUM(COUNTIFS(
'YearA-AppDetails Current Date'!A:A,D101,
'YearA-AppDetails Current Date'!F:F,E101,
'YearA-AppDetails Current Date'!E:E,--F101,
'YearA-AppDetails Current Date'!R:R,"&lt;&gt;"&amp;"",
'YearA-AppDetails Current Date'!I:I,"WINTER"))), "")</f>
        <v/>
      </c>
      <c r="L101" s="74" t="str" cm="1">
        <f t="array" ref="L101">IFERROR(1/(1/SUM(COUNTIFS(
'YearA-AppDetails Current Date'!A:A,D101,
'YearA-AppDetails Current Date'!F:F,E101,
'YearA-AppDetails Current Date'!E:E,--F101,
'YearA-AppDetails Current Date'!T:T,{"APEX","DENY","NTSL"},
'YearA-AppDetails Current Date'!I:I,"WINTER"))), "")</f>
        <v/>
      </c>
      <c r="M101" s="74" t="str" cm="1">
        <f t="array" ref="M101">IFERROR(1/(1/SUM(COUNTIFS(
'YearA-AppDetails Current Date'!A:A,D101,
'YearA-AppDetails Current Date'!F:F,E101,
'YearA-AppDetails Current Date'!E:E,--F101,
'YearA-AppDetails Current Date'!U:U,{"CCAN","DECL"},
'YearA-AppDetails Current Date'!I:I,"WINTER"))), "")</f>
        <v/>
      </c>
      <c r="N101" s="74" t="str" cm="1">
        <f t="array" ref="N101">IFERROR(1/(1/SUM(COUNTIFS(
'YearA-AppDetails Current Date'!A:A,D101,
'YearA-AppDetails Current Date'!F:F,E101,
'YearA-AppDetails Current Date'!E:E,--F101,
'YearA-AppDetails Current Date'!V:V,{"APRO","NODE"},
'YearA-AppDetails Current Date'!I:I,"WINTER"))), "")</f>
        <v/>
      </c>
      <c r="O101" s="74" t="str" cm="1">
        <f t="array" ref="O101">IFERROR(1/(1/SUM(COUNTIFS(
'YearA-AppDetails Current Date'!A:A,D101,
'YearA-AppDetails Current Date'!F:F,E101,
'YearA-AppDetails Current Date'!E:E,--F101,
'YearA-AppDetails Current Date'!T:T,{"CDMT","RQMT","WAIT"},
'YearA-AppDetails Current Date'!I:I,"WINTER"))), "")</f>
        <v/>
      </c>
      <c r="P101" s="74" t="str">
        <f>IFERROR(1/(1/COUNTIFS(
'YearA-AppDetails Current Date'!A:A,D101,
'YearA-AppDetails Current Date'!F:F,E101,
'YearA-AppDetails Current Date'!E:E,--F101,
'YearA-AppDetails Current Date'!Y:Y,"ENRO",
'YearA-AppDetails Current Date'!I:I,"WINTER")),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HC'!D:T,6,FALSE)),
N(VLOOKUP(D102&amp;F102,'Budgeted Projections Dom HC'!D:T,7,FALSE))
)
),"")</f>
        <v/>
      </c>
      <c r="I102" s="73" t="str">
        <f>IFERROR(1/(1/COUNTIFS(
'YearA-AppDetails Current Date'!A:A,D102,
'YearA-AppDetails Current Date'!F:F,E102,
'YearA-AppDetails Current Date'!E:E,--F102,
'YearA-AppDetails Current Date'!I:I,"WINTER")), "")</f>
        <v/>
      </c>
      <c r="J102" s="74" t="str" cm="1">
        <f t="array" ref="J102">IFERROR(1/(1/SUM(COUNTIFS(
'YearA-AppDetails Current Date'!A:A,D102,
'YearA-AppDetails Current Date'!F:F,E102,
'YearA-AppDetails Current Date'!E:E,--F102,
'YearA-AppDetails Current Date'!O:O,{"ACLN","ACPT","COND"},
'YearA-AppDetails Current Date'!S:S,"&lt;&gt;ACLN",
'YearA-AppDetails Current Date'!S:S,"&lt;&gt;ACPT",
'YearA-AppDetails Current Date'!S:S,"&lt;&gt;COND",
'YearA-AppDetails Current Date'!I:I,"WINTER"))), "")</f>
        <v/>
      </c>
      <c r="K102" s="73" t="str">
        <f>IFERROR(1/(1/SUM(COUNTIFS(
'YearA-AppDetails Current Date'!A:A,D102,
'YearA-AppDetails Current Date'!F:F,E102,
'YearA-AppDetails Current Date'!E:E,--F102,
'YearA-AppDetails Current Date'!R:R,"&lt;&gt;"&amp;"",
'YearA-AppDetails Current Date'!I:I,"WINTER"))), "")</f>
        <v/>
      </c>
      <c r="L102" s="74" t="str" cm="1">
        <f t="array" ref="L102">IFERROR(1/(1/SUM(COUNTIFS(
'YearA-AppDetails Current Date'!A:A,D102,
'YearA-AppDetails Current Date'!F:F,E102,
'YearA-AppDetails Current Date'!E:E,--F102,
'YearA-AppDetails Current Date'!T:T,{"APEX","DENY","NTSL"},
'YearA-AppDetails Current Date'!I:I,"WINTER"))), "")</f>
        <v/>
      </c>
      <c r="M102" s="74" t="str" cm="1">
        <f t="array" ref="M102">IFERROR(1/(1/SUM(COUNTIFS(
'YearA-AppDetails Current Date'!A:A,D102,
'YearA-AppDetails Current Date'!F:F,E102,
'YearA-AppDetails Current Date'!E:E,--F102,
'YearA-AppDetails Current Date'!U:U,{"CCAN","DECL"},
'YearA-AppDetails Current Date'!I:I,"WINTER"))), "")</f>
        <v/>
      </c>
      <c r="N102" s="74" t="str" cm="1">
        <f t="array" ref="N102">IFERROR(1/(1/SUM(COUNTIFS(
'YearA-AppDetails Current Date'!A:A,D102,
'YearA-AppDetails Current Date'!F:F,E102,
'YearA-AppDetails Current Date'!E:E,--F102,
'YearA-AppDetails Current Date'!V:V,{"APRO","NODE"},
'YearA-AppDetails Current Date'!I:I,"WINTER"))), "")</f>
        <v/>
      </c>
      <c r="O102" s="74" t="str" cm="1">
        <f t="array" ref="O102">IFERROR(1/(1/SUM(COUNTIFS(
'YearA-AppDetails Current Date'!A:A,D102,
'YearA-AppDetails Current Date'!F:F,E102,
'YearA-AppDetails Current Date'!E:E,--F102,
'YearA-AppDetails Current Date'!T:T,{"CDMT","RQMT","WAIT"},
'YearA-AppDetails Current Date'!I:I,"WINTER"))), "")</f>
        <v/>
      </c>
      <c r="P102" s="74" t="str">
        <f>IFERROR(1/(1/COUNTIFS(
'YearA-AppDetails Current Date'!A:A,D102,
'YearA-AppDetails Current Date'!F:F,E102,
'YearA-AppDetails Current Date'!E:E,--F102,
'YearA-AppDetails Current Date'!Y:Y,"ENRO",
'YearA-AppDetails Current Date'!I:I,"WINTER")),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HC'!D:T,6,FALSE)),
N(VLOOKUP(D103&amp;F103,'Budgeted Projections Intl HC'!D:T,7,FALSE))
)
),"")</f>
        <v/>
      </c>
      <c r="I103" s="73" t="str">
        <f>IFERROR(1/(1/COUNTIFS(
'YearA-AppDetails Current Date'!A:A,D103,
'YearA-AppDetails Current Date'!F:F,E103,
'YearA-AppDetails Current Date'!E:E,--F103,
'YearA-AppDetails Current Date'!I:I,"WINTER")), "")</f>
        <v/>
      </c>
      <c r="J103" s="74" t="str" cm="1">
        <f t="array" ref="J103">IFERROR(1/(1/SUM(COUNTIFS(
'YearA-AppDetails Current Date'!A:A,D103,
'YearA-AppDetails Current Date'!F:F,E103,
'YearA-AppDetails Current Date'!E:E,--F103,
'YearA-AppDetails Current Date'!O:O,{"ACLN","ACPT","COND"},
'YearA-AppDetails Current Date'!S:S,"&lt;&gt;ACLN",
'YearA-AppDetails Current Date'!S:S,"&lt;&gt;ACPT",
'YearA-AppDetails Current Date'!S:S,"&lt;&gt;COND",
'YearA-AppDetails Current Date'!I:I,"WINTER"))), "")</f>
        <v/>
      </c>
      <c r="K103" s="73" t="str">
        <f>IFERROR(1/(1/SUM(COUNTIFS(
'YearA-AppDetails Current Date'!A:A,D103,
'YearA-AppDetails Current Date'!F:F,E103,
'YearA-AppDetails Current Date'!E:E,--F103,
'YearA-AppDetails Current Date'!R:R,"&lt;&gt;"&amp;"",
'YearA-AppDetails Current Date'!I:I,"WINTER"))), "")</f>
        <v/>
      </c>
      <c r="L103" s="74" t="str" cm="1">
        <f t="array" ref="L103">IFERROR(1/(1/SUM(COUNTIFS(
'YearA-AppDetails Current Date'!A:A,D103,
'YearA-AppDetails Current Date'!F:F,E103,
'YearA-AppDetails Current Date'!E:E,--F103,
'YearA-AppDetails Current Date'!T:T,{"APEX","DENY","NTSL"},
'YearA-AppDetails Current Date'!I:I,"WINTER"))), "")</f>
        <v/>
      </c>
      <c r="M103" s="74" t="str" cm="1">
        <f t="array" ref="M103">IFERROR(1/(1/SUM(COUNTIFS(
'YearA-AppDetails Current Date'!A:A,D103,
'YearA-AppDetails Current Date'!F:F,E103,
'YearA-AppDetails Current Date'!E:E,--F103,
'YearA-AppDetails Current Date'!U:U,{"CCAN","DECL"},
'YearA-AppDetails Current Date'!I:I,"WINTER"))), "")</f>
        <v/>
      </c>
      <c r="N103" s="74" t="str" cm="1">
        <f t="array" ref="N103">IFERROR(1/(1/SUM(COUNTIFS(
'YearA-AppDetails Current Date'!A:A,D103,
'YearA-AppDetails Current Date'!F:F,E103,
'YearA-AppDetails Current Date'!E:E,--F103,
'YearA-AppDetails Current Date'!V:V,{"APRO","NODE"},
'YearA-AppDetails Current Date'!I:I,"WINTER"))), "")</f>
        <v/>
      </c>
      <c r="O103" s="74" t="str" cm="1">
        <f t="array" ref="O103">IFERROR(1/(1/SUM(COUNTIFS(
'YearA-AppDetails Current Date'!A:A,D103,
'YearA-AppDetails Current Date'!F:F,E103,
'YearA-AppDetails Current Date'!E:E,--F103,
'YearA-AppDetails Current Date'!T:T,{"CDMT","RQMT","WAIT"},
'YearA-AppDetails Current Date'!I:I,"WINTER"))), "")</f>
        <v/>
      </c>
      <c r="P103" s="74" t="str">
        <f>IFERROR(1/(1/COUNTIFS(
'YearA-AppDetails Current Date'!A:A,D103,
'YearA-AppDetails Current Date'!F:F,E103,
'YearA-AppDetails Current Date'!E:E,--F103,
'YearA-AppDetails Current Date'!Y:Y,"ENRO",
'YearA-AppDetails Current Date'!I:I,"WINTER")),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HC'!D:T,6,FALSE)),
N(VLOOKUP(D104&amp;F104,'Budgeted Projections Dom HC'!D:T,7,FALSE))
)
),"")</f>
        <v/>
      </c>
      <c r="I104" s="73" t="str">
        <f>IFERROR(1/(1/COUNTIFS(
'YearA-AppDetails Current Date'!A:A,D104,
'YearA-AppDetails Current Date'!F:F,E104,
'YearA-AppDetails Current Date'!E:E,--F104,
'YearA-AppDetails Current Date'!I:I,"WINTER")), "")</f>
        <v/>
      </c>
      <c r="J104" s="74" t="str" cm="1">
        <f t="array" ref="J104">IFERROR(1/(1/SUM(COUNTIFS(
'YearA-AppDetails Current Date'!A:A,D104,
'YearA-AppDetails Current Date'!F:F,E104,
'YearA-AppDetails Current Date'!E:E,--F104,
'YearA-AppDetails Current Date'!O:O,{"ACLN","ACPT","COND"},
'YearA-AppDetails Current Date'!S:S,"&lt;&gt;ACLN",
'YearA-AppDetails Current Date'!S:S,"&lt;&gt;ACPT",
'YearA-AppDetails Current Date'!S:S,"&lt;&gt;COND",
'YearA-AppDetails Current Date'!I:I,"WINTER"))), "")</f>
        <v/>
      </c>
      <c r="K104" s="73" t="str">
        <f>IFERROR(1/(1/SUM(COUNTIFS(
'YearA-AppDetails Current Date'!A:A,D104,
'YearA-AppDetails Current Date'!F:F,E104,
'YearA-AppDetails Current Date'!E:E,--F104,
'YearA-AppDetails Current Date'!R:R,"&lt;&gt;"&amp;"",
'YearA-AppDetails Current Date'!I:I,"WINTER"))), "")</f>
        <v/>
      </c>
      <c r="L104" s="74" t="str" cm="1">
        <f t="array" ref="L104">IFERROR(1/(1/SUM(COUNTIFS(
'YearA-AppDetails Current Date'!A:A,D104,
'YearA-AppDetails Current Date'!F:F,E104,
'YearA-AppDetails Current Date'!E:E,--F104,
'YearA-AppDetails Current Date'!T:T,{"APEX","DENY","NTSL"},
'YearA-AppDetails Current Date'!I:I,"WINTER"))), "")</f>
        <v/>
      </c>
      <c r="M104" s="74" t="str" cm="1">
        <f t="array" ref="M104">IFERROR(1/(1/SUM(COUNTIFS(
'YearA-AppDetails Current Date'!A:A,D104,
'YearA-AppDetails Current Date'!F:F,E104,
'YearA-AppDetails Current Date'!E:E,--F104,
'YearA-AppDetails Current Date'!U:U,{"CCAN","DECL"},
'YearA-AppDetails Current Date'!I:I,"WINTER"))), "")</f>
        <v/>
      </c>
      <c r="N104" s="74" t="str" cm="1">
        <f t="array" ref="N104">IFERROR(1/(1/SUM(COUNTIFS(
'YearA-AppDetails Current Date'!A:A,D104,
'YearA-AppDetails Current Date'!F:F,E104,
'YearA-AppDetails Current Date'!E:E,--F104,
'YearA-AppDetails Current Date'!V:V,{"APRO","NODE"},
'YearA-AppDetails Current Date'!I:I,"WINTER"))), "")</f>
        <v/>
      </c>
      <c r="O104" s="74" t="str" cm="1">
        <f t="array" ref="O104">IFERROR(1/(1/SUM(COUNTIFS(
'YearA-AppDetails Current Date'!A:A,D104,
'YearA-AppDetails Current Date'!F:F,E104,
'YearA-AppDetails Current Date'!E:E,--F104,
'YearA-AppDetails Current Date'!T:T,{"CDMT","RQMT","WAIT"},
'YearA-AppDetails Current Date'!I:I,"WINTER"))), "")</f>
        <v/>
      </c>
      <c r="P104" s="74" t="str">
        <f>IFERROR(1/(1/COUNTIFS(
'YearA-AppDetails Current Date'!A:A,D104,
'YearA-AppDetails Current Date'!F:F,E104,
'YearA-AppDetails Current Date'!E:E,--F104,
'YearA-AppDetails Current Date'!Y:Y,"ENRO",
'YearA-AppDetails Current Date'!I:I,"WINTER")),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HC'!D:T,6,FALSE)),
N(VLOOKUP(D105&amp;F105,'Budgeted Projections Intl HC'!D:T,7,FALSE))
)
),"")</f>
        <v/>
      </c>
      <c r="I105" s="73" t="str">
        <f>IFERROR(1/(1/COUNTIFS(
'YearA-AppDetails Current Date'!A:A,D105,
'YearA-AppDetails Current Date'!F:F,E105,
'YearA-AppDetails Current Date'!E:E,--F105,
'YearA-AppDetails Current Date'!I:I,"WINTER")), "")</f>
        <v/>
      </c>
      <c r="J105" s="74" t="str" cm="1">
        <f t="array" ref="J105">IFERROR(1/(1/SUM(COUNTIFS(
'YearA-AppDetails Current Date'!A:A,D105,
'YearA-AppDetails Current Date'!F:F,E105,
'YearA-AppDetails Current Date'!E:E,--F105,
'YearA-AppDetails Current Date'!O:O,{"ACLN","ACPT","COND"},
'YearA-AppDetails Current Date'!S:S,"&lt;&gt;ACLN",
'YearA-AppDetails Current Date'!S:S,"&lt;&gt;ACPT",
'YearA-AppDetails Current Date'!S:S,"&lt;&gt;COND",
'YearA-AppDetails Current Date'!I:I,"WINTER"))), "")</f>
        <v/>
      </c>
      <c r="K105" s="73" t="str">
        <f>IFERROR(1/(1/SUM(COUNTIFS(
'YearA-AppDetails Current Date'!A:A,D105,
'YearA-AppDetails Current Date'!F:F,E105,
'YearA-AppDetails Current Date'!E:E,--F105,
'YearA-AppDetails Current Date'!R:R,"&lt;&gt;"&amp;"",
'YearA-AppDetails Current Date'!I:I,"WINTER"))), "")</f>
        <v/>
      </c>
      <c r="L105" s="74" t="str" cm="1">
        <f t="array" ref="L105">IFERROR(1/(1/SUM(COUNTIFS(
'YearA-AppDetails Current Date'!A:A,D105,
'YearA-AppDetails Current Date'!F:F,E105,
'YearA-AppDetails Current Date'!E:E,--F105,
'YearA-AppDetails Current Date'!T:T,{"APEX","DENY","NTSL"},
'YearA-AppDetails Current Date'!I:I,"WINTER"))), "")</f>
        <v/>
      </c>
      <c r="M105" s="74" t="str" cm="1">
        <f t="array" ref="M105">IFERROR(1/(1/SUM(COUNTIFS(
'YearA-AppDetails Current Date'!A:A,D105,
'YearA-AppDetails Current Date'!F:F,E105,
'YearA-AppDetails Current Date'!E:E,--F105,
'YearA-AppDetails Current Date'!U:U,{"CCAN","DECL"},
'YearA-AppDetails Current Date'!I:I,"WINTER"))), "")</f>
        <v/>
      </c>
      <c r="N105" s="74" t="str" cm="1">
        <f t="array" ref="N105">IFERROR(1/(1/SUM(COUNTIFS(
'YearA-AppDetails Current Date'!A:A,D105,
'YearA-AppDetails Current Date'!F:F,E105,
'YearA-AppDetails Current Date'!E:E,--F105,
'YearA-AppDetails Current Date'!V:V,{"APRO","NODE"},
'YearA-AppDetails Current Date'!I:I,"WINTER"))), "")</f>
        <v/>
      </c>
      <c r="O105" s="74" t="str" cm="1">
        <f t="array" ref="O105">IFERROR(1/(1/SUM(COUNTIFS(
'YearA-AppDetails Current Date'!A:A,D105,
'YearA-AppDetails Current Date'!F:F,E105,
'YearA-AppDetails Current Date'!E:E,--F105,
'YearA-AppDetails Current Date'!T:T,{"CDMT","RQMT","WAIT"},
'YearA-AppDetails Current Date'!I:I,"WINTER"))), "")</f>
        <v/>
      </c>
      <c r="P105" s="74" t="str">
        <f>IFERROR(1/(1/COUNTIFS(
'YearA-AppDetails Current Date'!A:A,D105,
'YearA-AppDetails Current Date'!F:F,E105,
'YearA-AppDetails Current Date'!E:E,--F105,
'YearA-AppDetails Current Date'!Y:Y,"ENRO",
'YearA-AppDetails Current Date'!I:I,"WINTER")),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HC'!D:T,6,FALSE)),
N(VLOOKUP(D106&amp;F106,'Budgeted Projections Dom HC'!D:T,7,FALSE))
)
),"")</f>
        <v/>
      </c>
      <c r="I106" s="73" t="str">
        <f>IFERROR(1/(1/COUNTIFS(
'YearA-AppDetails Current Date'!A:A,D106,
'YearA-AppDetails Current Date'!F:F,E106,
'YearA-AppDetails Current Date'!E:E,--F106,
'YearA-AppDetails Current Date'!I:I,"WINTER")), "")</f>
        <v/>
      </c>
      <c r="J106" s="74" t="str" cm="1">
        <f t="array" ref="J106">IFERROR(1/(1/SUM(COUNTIFS(
'YearA-AppDetails Current Date'!A:A,D106,
'YearA-AppDetails Current Date'!F:F,E106,
'YearA-AppDetails Current Date'!E:E,--F106,
'YearA-AppDetails Current Date'!O:O,{"ACLN","ACPT","COND"},
'YearA-AppDetails Current Date'!S:S,"&lt;&gt;ACLN",
'YearA-AppDetails Current Date'!S:S,"&lt;&gt;ACPT",
'YearA-AppDetails Current Date'!S:S,"&lt;&gt;COND",
'YearA-AppDetails Current Date'!I:I,"WINTER"))), "")</f>
        <v/>
      </c>
      <c r="K106" s="73" t="str">
        <f>IFERROR(1/(1/SUM(COUNTIFS(
'YearA-AppDetails Current Date'!A:A,D106,
'YearA-AppDetails Current Date'!F:F,E106,
'YearA-AppDetails Current Date'!E:E,--F106,
'YearA-AppDetails Current Date'!R:R,"&lt;&gt;"&amp;"",
'YearA-AppDetails Current Date'!I:I,"WINTER"))), "")</f>
        <v/>
      </c>
      <c r="L106" s="74" t="str" cm="1">
        <f t="array" ref="L106">IFERROR(1/(1/SUM(COUNTIFS(
'YearA-AppDetails Current Date'!A:A,D106,
'YearA-AppDetails Current Date'!F:F,E106,
'YearA-AppDetails Current Date'!E:E,--F106,
'YearA-AppDetails Current Date'!T:T,{"APEX","DENY","NTSL"},
'YearA-AppDetails Current Date'!I:I,"WINTER"))), "")</f>
        <v/>
      </c>
      <c r="M106" s="74" t="str" cm="1">
        <f t="array" ref="M106">IFERROR(1/(1/SUM(COUNTIFS(
'YearA-AppDetails Current Date'!A:A,D106,
'YearA-AppDetails Current Date'!F:F,E106,
'YearA-AppDetails Current Date'!E:E,--F106,
'YearA-AppDetails Current Date'!U:U,{"CCAN","DECL"},
'YearA-AppDetails Current Date'!I:I,"WINTER"))), "")</f>
        <v/>
      </c>
      <c r="N106" s="74" t="str" cm="1">
        <f t="array" ref="N106">IFERROR(1/(1/SUM(COUNTIFS(
'YearA-AppDetails Current Date'!A:A,D106,
'YearA-AppDetails Current Date'!F:F,E106,
'YearA-AppDetails Current Date'!E:E,--F106,
'YearA-AppDetails Current Date'!V:V,{"APRO","NODE"},
'YearA-AppDetails Current Date'!I:I,"WINTER"))), "")</f>
        <v/>
      </c>
      <c r="O106" s="74" t="str" cm="1">
        <f t="array" ref="O106">IFERROR(1/(1/SUM(COUNTIFS(
'YearA-AppDetails Current Date'!A:A,D106,
'YearA-AppDetails Current Date'!F:F,E106,
'YearA-AppDetails Current Date'!E:E,--F106,
'YearA-AppDetails Current Date'!T:T,{"CDMT","RQMT","WAIT"},
'YearA-AppDetails Current Date'!I:I,"WINTER"))), "")</f>
        <v/>
      </c>
      <c r="P106" s="74" t="str">
        <f>IFERROR(1/(1/COUNTIFS(
'YearA-AppDetails Current Date'!A:A,D106,
'YearA-AppDetails Current Date'!F:F,E106,
'YearA-AppDetails Current Date'!E:E,--F106,
'YearA-AppDetails Current Date'!Y:Y,"ENRO",
'YearA-AppDetails Current Date'!I:I,"WINTER")),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HC'!D:T,6,FALSE)),
N(VLOOKUP(D107&amp;F107,'Budgeted Projections Intl HC'!D:T,7,FALSE))
)
),"")</f>
        <v/>
      </c>
      <c r="I107" s="73" t="str">
        <f>IFERROR(1/(1/COUNTIFS(
'YearA-AppDetails Current Date'!A:A,D107,
'YearA-AppDetails Current Date'!F:F,E107,
'YearA-AppDetails Current Date'!E:E,--F107,
'YearA-AppDetails Current Date'!I:I,"WINTER")), "")</f>
        <v/>
      </c>
      <c r="J107" s="74" t="str" cm="1">
        <f t="array" ref="J107">IFERROR(1/(1/SUM(COUNTIFS(
'YearA-AppDetails Current Date'!A:A,D107,
'YearA-AppDetails Current Date'!F:F,E107,
'YearA-AppDetails Current Date'!E:E,--F107,
'YearA-AppDetails Current Date'!O:O,{"ACLN","ACPT","COND"},
'YearA-AppDetails Current Date'!S:S,"&lt;&gt;ACLN",
'YearA-AppDetails Current Date'!S:S,"&lt;&gt;ACPT",
'YearA-AppDetails Current Date'!S:S,"&lt;&gt;COND",
'YearA-AppDetails Current Date'!I:I,"WINTER"))), "")</f>
        <v/>
      </c>
      <c r="K107" s="73" t="str">
        <f>IFERROR(1/(1/SUM(COUNTIFS(
'YearA-AppDetails Current Date'!A:A,D107,
'YearA-AppDetails Current Date'!F:F,E107,
'YearA-AppDetails Current Date'!E:E,--F107,
'YearA-AppDetails Current Date'!R:R,"&lt;&gt;"&amp;"",
'YearA-AppDetails Current Date'!I:I,"WINTER"))), "")</f>
        <v/>
      </c>
      <c r="L107" s="74" t="str" cm="1">
        <f t="array" ref="L107">IFERROR(1/(1/SUM(COUNTIFS(
'YearA-AppDetails Current Date'!A:A,D107,
'YearA-AppDetails Current Date'!F:F,E107,
'YearA-AppDetails Current Date'!E:E,--F107,
'YearA-AppDetails Current Date'!T:T,{"APEX","DENY","NTSL"},
'YearA-AppDetails Current Date'!I:I,"WINTER"))), "")</f>
        <v/>
      </c>
      <c r="M107" s="74" t="str" cm="1">
        <f t="array" ref="M107">IFERROR(1/(1/SUM(COUNTIFS(
'YearA-AppDetails Current Date'!A:A,D107,
'YearA-AppDetails Current Date'!F:F,E107,
'YearA-AppDetails Current Date'!E:E,--F107,
'YearA-AppDetails Current Date'!U:U,{"CCAN","DECL"},
'YearA-AppDetails Current Date'!I:I,"WINTER"))), "")</f>
        <v/>
      </c>
      <c r="N107" s="74" t="str" cm="1">
        <f t="array" ref="N107">IFERROR(1/(1/SUM(COUNTIFS(
'YearA-AppDetails Current Date'!A:A,D107,
'YearA-AppDetails Current Date'!F:F,E107,
'YearA-AppDetails Current Date'!E:E,--F107,
'YearA-AppDetails Current Date'!V:V,{"APRO","NODE"},
'YearA-AppDetails Current Date'!I:I,"WINTER"))), "")</f>
        <v/>
      </c>
      <c r="O107" s="74" t="str" cm="1">
        <f t="array" ref="O107">IFERROR(1/(1/SUM(COUNTIFS(
'YearA-AppDetails Current Date'!A:A,D107,
'YearA-AppDetails Current Date'!F:F,E107,
'YearA-AppDetails Current Date'!E:E,--F107,
'YearA-AppDetails Current Date'!T:T,{"CDMT","RQMT","WAIT"},
'YearA-AppDetails Current Date'!I:I,"WINTER"))), "")</f>
        <v/>
      </c>
      <c r="P107" s="74" t="str">
        <f>IFERROR(1/(1/COUNTIFS(
'YearA-AppDetails Current Date'!A:A,D107,
'YearA-AppDetails Current Date'!F:F,E107,
'YearA-AppDetails Current Date'!E:E,--F107,
'YearA-AppDetails Current Date'!Y:Y,"ENRO",
'YearA-AppDetails Current Date'!I:I,"WINTER")),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HC'!D:T,6,FALSE)),
N(VLOOKUP(D108&amp;F108,'Budgeted Projections Dom HC'!D:T,7,FALSE))
)
),"")</f>
        <v/>
      </c>
      <c r="I108" s="73" t="str">
        <f>IFERROR(1/(1/COUNTIFS(
'YearA-AppDetails Current Date'!A:A,D108,
'YearA-AppDetails Current Date'!F:F,E108,
'YearA-AppDetails Current Date'!E:E,--F108,
'YearA-AppDetails Current Date'!I:I,"WINTER")), "")</f>
        <v/>
      </c>
      <c r="J108" s="74" t="str" cm="1">
        <f t="array" ref="J108">IFERROR(1/(1/SUM(COUNTIFS(
'YearA-AppDetails Current Date'!A:A,D108,
'YearA-AppDetails Current Date'!F:F,E108,
'YearA-AppDetails Current Date'!E:E,--F108,
'YearA-AppDetails Current Date'!O:O,{"ACLN","ACPT","COND"},
'YearA-AppDetails Current Date'!S:S,"&lt;&gt;ACLN",
'YearA-AppDetails Current Date'!S:S,"&lt;&gt;ACPT",
'YearA-AppDetails Current Date'!S:S,"&lt;&gt;COND",
'YearA-AppDetails Current Date'!I:I,"WINTER"))), "")</f>
        <v/>
      </c>
      <c r="K108" s="73" t="str">
        <f>IFERROR(1/(1/SUM(COUNTIFS(
'YearA-AppDetails Current Date'!A:A,D108,
'YearA-AppDetails Current Date'!F:F,E108,
'YearA-AppDetails Current Date'!E:E,--F108,
'YearA-AppDetails Current Date'!R:R,"&lt;&gt;"&amp;"",
'YearA-AppDetails Current Date'!I:I,"WINTER"))), "")</f>
        <v/>
      </c>
      <c r="L108" s="74" t="str" cm="1">
        <f t="array" ref="L108">IFERROR(1/(1/SUM(COUNTIFS(
'YearA-AppDetails Current Date'!A:A,D108,
'YearA-AppDetails Current Date'!F:F,E108,
'YearA-AppDetails Current Date'!E:E,--F108,
'YearA-AppDetails Current Date'!T:T,{"APEX","DENY","NTSL"},
'YearA-AppDetails Current Date'!I:I,"WINTER"))), "")</f>
        <v/>
      </c>
      <c r="M108" s="74" t="str" cm="1">
        <f t="array" ref="M108">IFERROR(1/(1/SUM(COUNTIFS(
'YearA-AppDetails Current Date'!A:A,D108,
'YearA-AppDetails Current Date'!F:F,E108,
'YearA-AppDetails Current Date'!E:E,--F108,
'YearA-AppDetails Current Date'!U:U,{"CCAN","DECL"},
'YearA-AppDetails Current Date'!I:I,"WINTER"))), "")</f>
        <v/>
      </c>
      <c r="N108" s="74" t="str" cm="1">
        <f t="array" ref="N108">IFERROR(1/(1/SUM(COUNTIFS(
'YearA-AppDetails Current Date'!A:A,D108,
'YearA-AppDetails Current Date'!F:F,E108,
'YearA-AppDetails Current Date'!E:E,--F108,
'YearA-AppDetails Current Date'!V:V,{"APRO","NODE"},
'YearA-AppDetails Current Date'!I:I,"WINTER"))), "")</f>
        <v/>
      </c>
      <c r="O108" s="74" t="str" cm="1">
        <f t="array" ref="O108">IFERROR(1/(1/SUM(COUNTIFS(
'YearA-AppDetails Current Date'!A:A,D108,
'YearA-AppDetails Current Date'!F:F,E108,
'YearA-AppDetails Current Date'!E:E,--F108,
'YearA-AppDetails Current Date'!T:T,{"CDMT","RQMT","WAIT"},
'YearA-AppDetails Current Date'!I:I,"WINTER"))), "")</f>
        <v/>
      </c>
      <c r="P108" s="74" t="str">
        <f>IFERROR(1/(1/COUNTIFS(
'YearA-AppDetails Current Date'!A:A,D108,
'YearA-AppDetails Current Date'!F:F,E108,
'YearA-AppDetails Current Date'!E:E,--F108,
'YearA-AppDetails Current Date'!Y:Y,"ENRO",
'YearA-AppDetails Current Date'!I:I,"WINTER")),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HC'!D:T,6,FALSE)),
N(VLOOKUP(D109&amp;F109,'Budgeted Projections Intl HC'!D:T,7,FALSE))
)
),"")</f>
        <v/>
      </c>
      <c r="I109" s="73" t="str">
        <f>IFERROR(1/(1/COUNTIFS(
'YearA-AppDetails Current Date'!A:A,D109,
'YearA-AppDetails Current Date'!F:F,E109,
'YearA-AppDetails Current Date'!E:E,--F109,
'YearA-AppDetails Current Date'!I:I,"WINTER")), "")</f>
        <v/>
      </c>
      <c r="J109" s="74" t="str" cm="1">
        <f t="array" ref="J109">IFERROR(1/(1/SUM(COUNTIFS(
'YearA-AppDetails Current Date'!A:A,D109,
'YearA-AppDetails Current Date'!F:F,E109,
'YearA-AppDetails Current Date'!E:E,--F109,
'YearA-AppDetails Current Date'!O:O,{"ACLN","ACPT","COND"},
'YearA-AppDetails Current Date'!S:S,"&lt;&gt;ACLN",
'YearA-AppDetails Current Date'!S:S,"&lt;&gt;ACPT",
'YearA-AppDetails Current Date'!S:S,"&lt;&gt;COND",
'YearA-AppDetails Current Date'!I:I,"WINTER"))), "")</f>
        <v/>
      </c>
      <c r="K109" s="73" t="str">
        <f>IFERROR(1/(1/SUM(COUNTIFS(
'YearA-AppDetails Current Date'!A:A,D109,
'YearA-AppDetails Current Date'!F:F,E109,
'YearA-AppDetails Current Date'!E:E,--F109,
'YearA-AppDetails Current Date'!R:R,"&lt;&gt;"&amp;"",
'YearA-AppDetails Current Date'!I:I,"WINTER"))), "")</f>
        <v/>
      </c>
      <c r="L109" s="74" t="str" cm="1">
        <f t="array" ref="L109">IFERROR(1/(1/SUM(COUNTIFS(
'YearA-AppDetails Current Date'!A:A,D109,
'YearA-AppDetails Current Date'!F:F,E109,
'YearA-AppDetails Current Date'!E:E,--F109,
'YearA-AppDetails Current Date'!T:T,{"APEX","DENY","NTSL"},
'YearA-AppDetails Current Date'!I:I,"WINTER"))), "")</f>
        <v/>
      </c>
      <c r="M109" s="74" t="str" cm="1">
        <f t="array" ref="M109">IFERROR(1/(1/SUM(COUNTIFS(
'YearA-AppDetails Current Date'!A:A,D109,
'YearA-AppDetails Current Date'!F:F,E109,
'YearA-AppDetails Current Date'!E:E,--F109,
'YearA-AppDetails Current Date'!U:U,{"CCAN","DECL"},
'YearA-AppDetails Current Date'!I:I,"WINTER"))), "")</f>
        <v/>
      </c>
      <c r="N109" s="74" t="str" cm="1">
        <f t="array" ref="N109">IFERROR(1/(1/SUM(COUNTIFS(
'YearA-AppDetails Current Date'!A:A,D109,
'YearA-AppDetails Current Date'!F:F,E109,
'YearA-AppDetails Current Date'!E:E,--F109,
'YearA-AppDetails Current Date'!V:V,{"APRO","NODE"},
'YearA-AppDetails Current Date'!I:I,"WINTER"))), "")</f>
        <v/>
      </c>
      <c r="O109" s="74" t="str" cm="1">
        <f t="array" ref="O109">IFERROR(1/(1/SUM(COUNTIFS(
'YearA-AppDetails Current Date'!A:A,D109,
'YearA-AppDetails Current Date'!F:F,E109,
'YearA-AppDetails Current Date'!E:E,--F109,
'YearA-AppDetails Current Date'!T:T,{"CDMT","RQMT","WAIT"},
'YearA-AppDetails Current Date'!I:I,"WINTER"))), "")</f>
        <v/>
      </c>
      <c r="P109" s="74" t="str">
        <f>IFERROR(1/(1/COUNTIFS(
'YearA-AppDetails Current Date'!A:A,D109,
'YearA-AppDetails Current Date'!F:F,E109,
'YearA-AppDetails Current Date'!E:E,--F109,
'YearA-AppDetails Current Date'!Y:Y,"ENRO",
'YearA-AppDetails Current Date'!I:I,"WINTER")),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HC'!D:T,6,FALSE)),
N(VLOOKUP(D110&amp;F110,'Budgeted Projections Dom HC'!D:T,7,FALSE))
)
),"")</f>
        <v/>
      </c>
      <c r="I110" s="73" t="str">
        <f>IFERROR(1/(1/COUNTIFS(
'YearA-AppDetails Current Date'!A:A,D110,
'YearA-AppDetails Current Date'!F:F,E110,
'YearA-AppDetails Current Date'!E:E,--F110,
'YearA-AppDetails Current Date'!I:I,"WINTER")), "")</f>
        <v/>
      </c>
      <c r="J110" s="74" t="str" cm="1">
        <f t="array" ref="J110">IFERROR(1/(1/SUM(COUNTIFS(
'YearA-AppDetails Current Date'!A:A,D110,
'YearA-AppDetails Current Date'!F:F,E110,
'YearA-AppDetails Current Date'!E:E,--F110,
'YearA-AppDetails Current Date'!O:O,{"ACLN","ACPT","COND"},
'YearA-AppDetails Current Date'!S:S,"&lt;&gt;ACLN",
'YearA-AppDetails Current Date'!S:S,"&lt;&gt;ACPT",
'YearA-AppDetails Current Date'!S:S,"&lt;&gt;COND",
'YearA-AppDetails Current Date'!I:I,"WINTER"))), "")</f>
        <v/>
      </c>
      <c r="K110" s="73" t="str">
        <f>IFERROR(1/(1/SUM(COUNTIFS(
'YearA-AppDetails Current Date'!A:A,D110,
'YearA-AppDetails Current Date'!F:F,E110,
'YearA-AppDetails Current Date'!E:E,--F110,
'YearA-AppDetails Current Date'!R:R,"&lt;&gt;"&amp;"",
'YearA-AppDetails Current Date'!I:I,"WINTER"))), "")</f>
        <v/>
      </c>
      <c r="L110" s="74" t="str" cm="1">
        <f t="array" ref="L110">IFERROR(1/(1/SUM(COUNTIFS(
'YearA-AppDetails Current Date'!A:A,D110,
'YearA-AppDetails Current Date'!F:F,E110,
'YearA-AppDetails Current Date'!E:E,--F110,
'YearA-AppDetails Current Date'!T:T,{"APEX","DENY","NTSL"},
'YearA-AppDetails Current Date'!I:I,"WINTER"))), "")</f>
        <v/>
      </c>
      <c r="M110" s="74" t="str" cm="1">
        <f t="array" ref="M110">IFERROR(1/(1/SUM(COUNTIFS(
'YearA-AppDetails Current Date'!A:A,D110,
'YearA-AppDetails Current Date'!F:F,E110,
'YearA-AppDetails Current Date'!E:E,--F110,
'YearA-AppDetails Current Date'!U:U,{"CCAN","DECL"},
'YearA-AppDetails Current Date'!I:I,"WINTER"))), "")</f>
        <v/>
      </c>
      <c r="N110" s="74" t="str" cm="1">
        <f t="array" ref="N110">IFERROR(1/(1/SUM(COUNTIFS(
'YearA-AppDetails Current Date'!A:A,D110,
'YearA-AppDetails Current Date'!F:F,E110,
'YearA-AppDetails Current Date'!E:E,--F110,
'YearA-AppDetails Current Date'!V:V,{"APRO","NODE"},
'YearA-AppDetails Current Date'!I:I,"WINTER"))), "")</f>
        <v/>
      </c>
      <c r="O110" s="74" t="str" cm="1">
        <f t="array" ref="O110">IFERROR(1/(1/SUM(COUNTIFS(
'YearA-AppDetails Current Date'!A:A,D110,
'YearA-AppDetails Current Date'!F:F,E110,
'YearA-AppDetails Current Date'!E:E,--F110,
'YearA-AppDetails Current Date'!T:T,{"CDMT","RQMT","WAIT"},
'YearA-AppDetails Current Date'!I:I,"WINTER"))), "")</f>
        <v/>
      </c>
      <c r="P110" s="74" t="str">
        <f>IFERROR(1/(1/COUNTIFS(
'YearA-AppDetails Current Date'!A:A,D110,
'YearA-AppDetails Current Date'!F:F,E110,
'YearA-AppDetails Current Date'!E:E,--F110,
'YearA-AppDetails Current Date'!Y:Y,"ENRO",
'YearA-AppDetails Current Date'!I:I,"WINTER")),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HC'!D:T,6,FALSE)),
N(VLOOKUP(D111&amp;F111,'Budgeted Projections Intl HC'!D:T,7,FALSE))
)
),"")</f>
        <v/>
      </c>
      <c r="I111" s="73" t="str">
        <f>IFERROR(1/(1/COUNTIFS(
'YearA-AppDetails Current Date'!A:A,D111,
'YearA-AppDetails Current Date'!F:F,E111,
'YearA-AppDetails Current Date'!E:E,--F111,
'YearA-AppDetails Current Date'!I:I,"WINTER")), "")</f>
        <v/>
      </c>
      <c r="J111" s="74" t="str" cm="1">
        <f t="array" ref="J111">IFERROR(1/(1/SUM(COUNTIFS(
'YearA-AppDetails Current Date'!A:A,D111,
'YearA-AppDetails Current Date'!F:F,E111,
'YearA-AppDetails Current Date'!E:E,--F111,
'YearA-AppDetails Current Date'!O:O,{"ACLN","ACPT","COND"},
'YearA-AppDetails Current Date'!S:S,"&lt;&gt;ACLN",
'YearA-AppDetails Current Date'!S:S,"&lt;&gt;ACPT",
'YearA-AppDetails Current Date'!S:S,"&lt;&gt;COND",
'YearA-AppDetails Current Date'!I:I,"WINTER"))), "")</f>
        <v/>
      </c>
      <c r="K111" s="73" t="str">
        <f>IFERROR(1/(1/SUM(COUNTIFS(
'YearA-AppDetails Current Date'!A:A,D111,
'YearA-AppDetails Current Date'!F:F,E111,
'YearA-AppDetails Current Date'!E:E,--F111,
'YearA-AppDetails Current Date'!R:R,"&lt;&gt;"&amp;"",
'YearA-AppDetails Current Date'!I:I,"WINTER"))), "")</f>
        <v/>
      </c>
      <c r="L111" s="74" t="str" cm="1">
        <f t="array" ref="L111">IFERROR(1/(1/SUM(COUNTIFS(
'YearA-AppDetails Current Date'!A:A,D111,
'YearA-AppDetails Current Date'!F:F,E111,
'YearA-AppDetails Current Date'!E:E,--F111,
'YearA-AppDetails Current Date'!T:T,{"APEX","DENY","NTSL"},
'YearA-AppDetails Current Date'!I:I,"WINTER"))), "")</f>
        <v/>
      </c>
      <c r="M111" s="74" t="str" cm="1">
        <f t="array" ref="M111">IFERROR(1/(1/SUM(COUNTIFS(
'YearA-AppDetails Current Date'!A:A,D111,
'YearA-AppDetails Current Date'!F:F,E111,
'YearA-AppDetails Current Date'!E:E,--F111,
'YearA-AppDetails Current Date'!U:U,{"CCAN","DECL"},
'YearA-AppDetails Current Date'!I:I,"WINTER"))), "")</f>
        <v/>
      </c>
      <c r="N111" s="74" t="str" cm="1">
        <f t="array" ref="N111">IFERROR(1/(1/SUM(COUNTIFS(
'YearA-AppDetails Current Date'!A:A,D111,
'YearA-AppDetails Current Date'!F:F,E111,
'YearA-AppDetails Current Date'!E:E,--F111,
'YearA-AppDetails Current Date'!V:V,{"APRO","NODE"},
'YearA-AppDetails Current Date'!I:I,"WINTER"))), "")</f>
        <v/>
      </c>
      <c r="O111" s="74" t="str" cm="1">
        <f t="array" ref="O111">IFERROR(1/(1/SUM(COUNTIFS(
'YearA-AppDetails Current Date'!A:A,D111,
'YearA-AppDetails Current Date'!F:F,E111,
'YearA-AppDetails Current Date'!E:E,--F111,
'YearA-AppDetails Current Date'!T:T,{"CDMT","RQMT","WAIT"},
'YearA-AppDetails Current Date'!I:I,"WINTER"))), "")</f>
        <v/>
      </c>
      <c r="P111" s="74" t="str">
        <f>IFERROR(1/(1/COUNTIFS(
'YearA-AppDetails Current Date'!A:A,D111,
'YearA-AppDetails Current Date'!F:F,E111,
'YearA-AppDetails Current Date'!E:E,--F111,
'YearA-AppDetails Current Date'!Y:Y,"ENRO",
'YearA-AppDetails Current Date'!I:I,"WINTER")),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HC'!D:T,6,FALSE)),
N(VLOOKUP(D112&amp;F112,'Budgeted Projections Dom HC'!D:T,7,FALSE))
)
),"")</f>
        <v/>
      </c>
      <c r="I112" s="73" t="str">
        <f>IFERROR(1/(1/COUNTIFS(
'YearA-AppDetails Current Date'!A:A,D112,
'YearA-AppDetails Current Date'!F:F,E112,
'YearA-AppDetails Current Date'!E:E,--F112,
'YearA-AppDetails Current Date'!I:I,"WINTER")), "")</f>
        <v/>
      </c>
      <c r="J112" s="74" t="str" cm="1">
        <f t="array" ref="J112">IFERROR(1/(1/SUM(COUNTIFS(
'YearA-AppDetails Current Date'!A:A,D112,
'YearA-AppDetails Current Date'!F:F,E112,
'YearA-AppDetails Current Date'!E:E,--F112,
'YearA-AppDetails Current Date'!O:O,{"ACLN","ACPT","COND"},
'YearA-AppDetails Current Date'!S:S,"&lt;&gt;ACLN",
'YearA-AppDetails Current Date'!S:S,"&lt;&gt;ACPT",
'YearA-AppDetails Current Date'!S:S,"&lt;&gt;COND",
'YearA-AppDetails Current Date'!I:I,"WINTER"))), "")</f>
        <v/>
      </c>
      <c r="K112" s="73" t="str">
        <f>IFERROR(1/(1/SUM(COUNTIFS(
'YearA-AppDetails Current Date'!A:A,D112,
'YearA-AppDetails Current Date'!F:F,E112,
'YearA-AppDetails Current Date'!E:E,--F112,
'YearA-AppDetails Current Date'!R:R,"&lt;&gt;"&amp;"",
'YearA-AppDetails Current Date'!I:I,"WINTER"))), "")</f>
        <v/>
      </c>
      <c r="L112" s="74" t="str" cm="1">
        <f t="array" ref="L112">IFERROR(1/(1/SUM(COUNTIFS(
'YearA-AppDetails Current Date'!A:A,D112,
'YearA-AppDetails Current Date'!F:F,E112,
'YearA-AppDetails Current Date'!E:E,--F112,
'YearA-AppDetails Current Date'!T:T,{"APEX","DENY","NTSL"},
'YearA-AppDetails Current Date'!I:I,"WINTER"))), "")</f>
        <v/>
      </c>
      <c r="M112" s="74" t="str" cm="1">
        <f t="array" ref="M112">IFERROR(1/(1/SUM(COUNTIFS(
'YearA-AppDetails Current Date'!A:A,D112,
'YearA-AppDetails Current Date'!F:F,E112,
'YearA-AppDetails Current Date'!E:E,--F112,
'YearA-AppDetails Current Date'!U:U,{"CCAN","DECL"},
'YearA-AppDetails Current Date'!I:I,"WINTER"))), "")</f>
        <v/>
      </c>
      <c r="N112" s="74" t="str" cm="1">
        <f t="array" ref="N112">IFERROR(1/(1/SUM(COUNTIFS(
'YearA-AppDetails Current Date'!A:A,D112,
'YearA-AppDetails Current Date'!F:F,E112,
'YearA-AppDetails Current Date'!E:E,--F112,
'YearA-AppDetails Current Date'!V:V,{"APRO","NODE"},
'YearA-AppDetails Current Date'!I:I,"WINTER"))), "")</f>
        <v/>
      </c>
      <c r="O112" s="74" t="str" cm="1">
        <f t="array" ref="O112">IFERROR(1/(1/SUM(COUNTIFS(
'YearA-AppDetails Current Date'!A:A,D112,
'YearA-AppDetails Current Date'!F:F,E112,
'YearA-AppDetails Current Date'!E:E,--F112,
'YearA-AppDetails Current Date'!T:T,{"CDMT","RQMT","WAIT"},
'YearA-AppDetails Current Date'!I:I,"WINTER"))), "")</f>
        <v/>
      </c>
      <c r="P112" s="74" t="str">
        <f>IFERROR(1/(1/COUNTIFS(
'YearA-AppDetails Current Date'!A:A,D112,
'YearA-AppDetails Current Date'!F:F,E112,
'YearA-AppDetails Current Date'!E:E,--F112,
'YearA-AppDetails Current Date'!Y:Y,"ENRO",
'YearA-AppDetails Current Date'!I:I,"WINTER")),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HC'!D:T,6,FALSE)),
N(VLOOKUP(D113&amp;F113,'Budgeted Projections Intl HC'!D:T,7,FALSE))
)
),"")</f>
        <v/>
      </c>
      <c r="I113" s="73" t="str">
        <f>IFERROR(1/(1/COUNTIFS(
'YearA-AppDetails Current Date'!A:A,D113,
'YearA-AppDetails Current Date'!F:F,E113,
'YearA-AppDetails Current Date'!E:E,--F113,
'YearA-AppDetails Current Date'!I:I,"WINTER")), "")</f>
        <v/>
      </c>
      <c r="J113" s="74" t="str" cm="1">
        <f t="array" ref="J113">IFERROR(1/(1/SUM(COUNTIFS(
'YearA-AppDetails Current Date'!A:A,D113,
'YearA-AppDetails Current Date'!F:F,E113,
'YearA-AppDetails Current Date'!E:E,--F113,
'YearA-AppDetails Current Date'!O:O,{"ACLN","ACPT","COND"},
'YearA-AppDetails Current Date'!S:S,"&lt;&gt;ACLN",
'YearA-AppDetails Current Date'!S:S,"&lt;&gt;ACPT",
'YearA-AppDetails Current Date'!S:S,"&lt;&gt;COND",
'YearA-AppDetails Current Date'!I:I,"WINTER"))), "")</f>
        <v/>
      </c>
      <c r="K113" s="73" t="str">
        <f>IFERROR(1/(1/SUM(COUNTIFS(
'YearA-AppDetails Current Date'!A:A,D113,
'YearA-AppDetails Current Date'!F:F,E113,
'YearA-AppDetails Current Date'!E:E,--F113,
'YearA-AppDetails Current Date'!R:R,"&lt;&gt;"&amp;"",
'YearA-AppDetails Current Date'!I:I,"WINTER"))), "")</f>
        <v/>
      </c>
      <c r="L113" s="74" t="str" cm="1">
        <f t="array" ref="L113">IFERROR(1/(1/SUM(COUNTIFS(
'YearA-AppDetails Current Date'!A:A,D113,
'YearA-AppDetails Current Date'!F:F,E113,
'YearA-AppDetails Current Date'!E:E,--F113,
'YearA-AppDetails Current Date'!T:T,{"APEX","DENY","NTSL"},
'YearA-AppDetails Current Date'!I:I,"WINTER"))), "")</f>
        <v/>
      </c>
      <c r="M113" s="74" t="str" cm="1">
        <f t="array" ref="M113">IFERROR(1/(1/SUM(COUNTIFS(
'YearA-AppDetails Current Date'!A:A,D113,
'YearA-AppDetails Current Date'!F:F,E113,
'YearA-AppDetails Current Date'!E:E,--F113,
'YearA-AppDetails Current Date'!U:U,{"CCAN","DECL"},
'YearA-AppDetails Current Date'!I:I,"WINTER"))), "")</f>
        <v/>
      </c>
      <c r="N113" s="74" t="str" cm="1">
        <f t="array" ref="N113">IFERROR(1/(1/SUM(COUNTIFS(
'YearA-AppDetails Current Date'!A:A,D113,
'YearA-AppDetails Current Date'!F:F,E113,
'YearA-AppDetails Current Date'!E:E,--F113,
'YearA-AppDetails Current Date'!V:V,{"APRO","NODE"},
'YearA-AppDetails Current Date'!I:I,"WINTER"))), "")</f>
        <v/>
      </c>
      <c r="O113" s="74" t="str" cm="1">
        <f t="array" ref="O113">IFERROR(1/(1/SUM(COUNTIFS(
'YearA-AppDetails Current Date'!A:A,D113,
'YearA-AppDetails Current Date'!F:F,E113,
'YearA-AppDetails Current Date'!E:E,--F113,
'YearA-AppDetails Current Date'!T:T,{"CDMT","RQMT","WAIT"},
'YearA-AppDetails Current Date'!I:I,"WINTER"))), "")</f>
        <v/>
      </c>
      <c r="P113" s="74" t="str">
        <f>IFERROR(1/(1/COUNTIFS(
'YearA-AppDetails Current Date'!A:A,D113,
'YearA-AppDetails Current Date'!F:F,E113,
'YearA-AppDetails Current Date'!E:E,--F113,
'YearA-AppDetails Current Date'!Y:Y,"ENRO",
'YearA-AppDetails Current Date'!I:I,"WINTER")),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HC'!D:T,6,FALSE)),
N(VLOOKUP(D114&amp;F114,'Budgeted Projections Dom HC'!D:T,7,FALSE))
)
),"")</f>
        <v/>
      </c>
      <c r="I114" s="73" t="str">
        <f>IFERROR(1/(1/COUNTIFS(
'YearA-AppDetails Current Date'!A:A,D114,
'YearA-AppDetails Current Date'!F:F,E114,
'YearA-AppDetails Current Date'!E:E,--F114,
'YearA-AppDetails Current Date'!I:I,"WINTER")), "")</f>
        <v/>
      </c>
      <c r="J114" s="74" t="str" cm="1">
        <f t="array" ref="J114">IFERROR(1/(1/SUM(COUNTIFS(
'YearA-AppDetails Current Date'!A:A,D114,
'YearA-AppDetails Current Date'!F:F,E114,
'YearA-AppDetails Current Date'!E:E,--F114,
'YearA-AppDetails Current Date'!O:O,{"ACLN","ACPT","COND"},
'YearA-AppDetails Current Date'!S:S,"&lt;&gt;ACLN",
'YearA-AppDetails Current Date'!S:S,"&lt;&gt;ACPT",
'YearA-AppDetails Current Date'!S:S,"&lt;&gt;COND",
'YearA-AppDetails Current Date'!I:I,"WINTER"))), "")</f>
        <v/>
      </c>
      <c r="K114" s="73" t="str">
        <f>IFERROR(1/(1/SUM(COUNTIFS(
'YearA-AppDetails Current Date'!A:A,D114,
'YearA-AppDetails Current Date'!F:F,E114,
'YearA-AppDetails Current Date'!E:E,--F114,
'YearA-AppDetails Current Date'!R:R,"&lt;&gt;"&amp;"",
'YearA-AppDetails Current Date'!I:I,"WINTER"))), "")</f>
        <v/>
      </c>
      <c r="L114" s="74" t="str" cm="1">
        <f t="array" ref="L114">IFERROR(1/(1/SUM(COUNTIFS(
'YearA-AppDetails Current Date'!A:A,D114,
'YearA-AppDetails Current Date'!F:F,E114,
'YearA-AppDetails Current Date'!E:E,--F114,
'YearA-AppDetails Current Date'!T:T,{"APEX","DENY","NTSL"},
'YearA-AppDetails Current Date'!I:I,"WINTER"))), "")</f>
        <v/>
      </c>
      <c r="M114" s="74" t="str" cm="1">
        <f t="array" ref="M114">IFERROR(1/(1/SUM(COUNTIFS(
'YearA-AppDetails Current Date'!A:A,D114,
'YearA-AppDetails Current Date'!F:F,E114,
'YearA-AppDetails Current Date'!E:E,--F114,
'YearA-AppDetails Current Date'!U:U,{"CCAN","DECL"},
'YearA-AppDetails Current Date'!I:I,"WINTER"))), "")</f>
        <v/>
      </c>
      <c r="N114" s="74" t="str" cm="1">
        <f t="array" ref="N114">IFERROR(1/(1/SUM(COUNTIFS(
'YearA-AppDetails Current Date'!A:A,D114,
'YearA-AppDetails Current Date'!F:F,E114,
'YearA-AppDetails Current Date'!E:E,--F114,
'YearA-AppDetails Current Date'!V:V,{"APRO","NODE"},
'YearA-AppDetails Current Date'!I:I,"WINTER"))), "")</f>
        <v/>
      </c>
      <c r="O114" s="74" t="str" cm="1">
        <f t="array" ref="O114">IFERROR(1/(1/SUM(COUNTIFS(
'YearA-AppDetails Current Date'!A:A,D114,
'YearA-AppDetails Current Date'!F:F,E114,
'YearA-AppDetails Current Date'!E:E,--F114,
'YearA-AppDetails Current Date'!T:T,{"CDMT","RQMT","WAIT"},
'YearA-AppDetails Current Date'!I:I,"WINTER"))), "")</f>
        <v/>
      </c>
      <c r="P114" s="74" t="str">
        <f>IFERROR(1/(1/COUNTIFS(
'YearA-AppDetails Current Date'!A:A,D114,
'YearA-AppDetails Current Date'!F:F,E114,
'YearA-AppDetails Current Date'!E:E,--F114,
'YearA-AppDetails Current Date'!Y:Y,"ENRO",
'YearA-AppDetails Current Date'!I:I,"WINTER")),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HC'!D:T,6,FALSE)),
N(VLOOKUP(D115&amp;F115,'Budgeted Projections Intl HC'!D:T,7,FALSE))
)
),"")</f>
        <v/>
      </c>
      <c r="I115" s="73" t="str">
        <f>IFERROR(1/(1/COUNTIFS(
'YearA-AppDetails Current Date'!A:A,D115,
'YearA-AppDetails Current Date'!F:F,E115,
'YearA-AppDetails Current Date'!E:E,--F115,
'YearA-AppDetails Current Date'!I:I,"WINTER")), "")</f>
        <v/>
      </c>
      <c r="J115" s="74" t="str" cm="1">
        <f t="array" ref="J115">IFERROR(1/(1/SUM(COUNTIFS(
'YearA-AppDetails Current Date'!A:A,D115,
'YearA-AppDetails Current Date'!F:F,E115,
'YearA-AppDetails Current Date'!E:E,--F115,
'YearA-AppDetails Current Date'!O:O,{"ACLN","ACPT","COND"},
'YearA-AppDetails Current Date'!S:S,"&lt;&gt;ACLN",
'YearA-AppDetails Current Date'!S:S,"&lt;&gt;ACPT",
'YearA-AppDetails Current Date'!S:S,"&lt;&gt;COND",
'YearA-AppDetails Current Date'!I:I,"WINTER"))), "")</f>
        <v/>
      </c>
      <c r="K115" s="73" t="str">
        <f>IFERROR(1/(1/SUM(COUNTIFS(
'YearA-AppDetails Current Date'!A:A,D115,
'YearA-AppDetails Current Date'!F:F,E115,
'YearA-AppDetails Current Date'!E:E,--F115,
'YearA-AppDetails Current Date'!R:R,"&lt;&gt;"&amp;"",
'YearA-AppDetails Current Date'!I:I,"WINTER"))), "")</f>
        <v/>
      </c>
      <c r="L115" s="74" t="str" cm="1">
        <f t="array" ref="L115">IFERROR(1/(1/SUM(COUNTIFS(
'YearA-AppDetails Current Date'!A:A,D115,
'YearA-AppDetails Current Date'!F:F,E115,
'YearA-AppDetails Current Date'!E:E,--F115,
'YearA-AppDetails Current Date'!T:T,{"APEX","DENY","NTSL"},
'YearA-AppDetails Current Date'!I:I,"WINTER"))), "")</f>
        <v/>
      </c>
      <c r="M115" s="74" t="str" cm="1">
        <f t="array" ref="M115">IFERROR(1/(1/SUM(COUNTIFS(
'YearA-AppDetails Current Date'!A:A,D115,
'YearA-AppDetails Current Date'!F:F,E115,
'YearA-AppDetails Current Date'!E:E,--F115,
'YearA-AppDetails Current Date'!U:U,{"CCAN","DECL"},
'YearA-AppDetails Current Date'!I:I,"WINTER"))), "")</f>
        <v/>
      </c>
      <c r="N115" s="74" t="str" cm="1">
        <f t="array" ref="N115">IFERROR(1/(1/SUM(COUNTIFS(
'YearA-AppDetails Current Date'!A:A,D115,
'YearA-AppDetails Current Date'!F:F,E115,
'YearA-AppDetails Current Date'!E:E,--F115,
'YearA-AppDetails Current Date'!V:V,{"APRO","NODE"},
'YearA-AppDetails Current Date'!I:I,"WINTER"))), "")</f>
        <v/>
      </c>
      <c r="O115" s="74" t="str" cm="1">
        <f t="array" ref="O115">IFERROR(1/(1/SUM(COUNTIFS(
'YearA-AppDetails Current Date'!A:A,D115,
'YearA-AppDetails Current Date'!F:F,E115,
'YearA-AppDetails Current Date'!E:E,--F115,
'YearA-AppDetails Current Date'!T:T,{"CDMT","RQMT","WAIT"},
'YearA-AppDetails Current Date'!I:I,"WINTER"))), "")</f>
        <v/>
      </c>
      <c r="P115" s="74" t="str">
        <f>IFERROR(1/(1/COUNTIFS(
'YearA-AppDetails Current Date'!A:A,D115,
'YearA-AppDetails Current Date'!F:F,E115,
'YearA-AppDetails Current Date'!E:E,--F115,
'YearA-AppDetails Current Date'!Y:Y,"ENRO",
'YearA-AppDetails Current Date'!I:I,"WINTER")),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HC'!D:T,6,FALSE)),
N(VLOOKUP(D116&amp;F116,'Budgeted Projections Dom HC'!D:T,7,FALSE))
)
),"")</f>
        <v/>
      </c>
      <c r="I116" s="73" t="str">
        <f>IFERROR(1/(1/COUNTIFS(
'YearA-AppDetails Current Date'!A:A,D116,
'YearA-AppDetails Current Date'!F:F,E116,
'YearA-AppDetails Current Date'!E:E,--F116,
'YearA-AppDetails Current Date'!I:I,"WINTER")), "")</f>
        <v/>
      </c>
      <c r="J116" s="74" t="str" cm="1">
        <f t="array" ref="J116">IFERROR(1/(1/SUM(COUNTIFS(
'YearA-AppDetails Current Date'!A:A,D116,
'YearA-AppDetails Current Date'!F:F,E116,
'YearA-AppDetails Current Date'!E:E,--F116,
'YearA-AppDetails Current Date'!O:O,{"ACLN","ACPT","COND"},
'YearA-AppDetails Current Date'!S:S,"&lt;&gt;ACLN",
'YearA-AppDetails Current Date'!S:S,"&lt;&gt;ACPT",
'YearA-AppDetails Current Date'!S:S,"&lt;&gt;COND",
'YearA-AppDetails Current Date'!I:I,"WINTER"))), "")</f>
        <v/>
      </c>
      <c r="K116" s="73" t="str">
        <f>IFERROR(1/(1/SUM(COUNTIFS(
'YearA-AppDetails Current Date'!A:A,D116,
'YearA-AppDetails Current Date'!F:F,E116,
'YearA-AppDetails Current Date'!E:E,--F116,
'YearA-AppDetails Current Date'!R:R,"&lt;&gt;"&amp;"",
'YearA-AppDetails Current Date'!I:I,"WINTER"))), "")</f>
        <v/>
      </c>
      <c r="L116" s="74" t="str" cm="1">
        <f t="array" ref="L116">IFERROR(1/(1/SUM(COUNTIFS(
'YearA-AppDetails Current Date'!A:A,D116,
'YearA-AppDetails Current Date'!F:F,E116,
'YearA-AppDetails Current Date'!E:E,--F116,
'YearA-AppDetails Current Date'!T:T,{"APEX","DENY","NTSL"},
'YearA-AppDetails Current Date'!I:I,"WINTER"))), "")</f>
        <v/>
      </c>
      <c r="M116" s="74" t="str" cm="1">
        <f t="array" ref="M116">IFERROR(1/(1/SUM(COUNTIFS(
'YearA-AppDetails Current Date'!A:A,D116,
'YearA-AppDetails Current Date'!F:F,E116,
'YearA-AppDetails Current Date'!E:E,--F116,
'YearA-AppDetails Current Date'!U:U,{"CCAN","DECL"},
'YearA-AppDetails Current Date'!I:I,"WINTER"))), "")</f>
        <v/>
      </c>
      <c r="N116" s="74" t="str" cm="1">
        <f t="array" ref="N116">IFERROR(1/(1/SUM(COUNTIFS(
'YearA-AppDetails Current Date'!A:A,D116,
'YearA-AppDetails Current Date'!F:F,E116,
'YearA-AppDetails Current Date'!E:E,--F116,
'YearA-AppDetails Current Date'!V:V,{"APRO","NODE"},
'YearA-AppDetails Current Date'!I:I,"WINTER"))), "")</f>
        <v/>
      </c>
      <c r="O116" s="74" t="str" cm="1">
        <f t="array" ref="O116">IFERROR(1/(1/SUM(COUNTIFS(
'YearA-AppDetails Current Date'!A:A,D116,
'YearA-AppDetails Current Date'!F:F,E116,
'YearA-AppDetails Current Date'!E:E,--F116,
'YearA-AppDetails Current Date'!T:T,{"CDMT","RQMT","WAIT"},
'YearA-AppDetails Current Date'!I:I,"WINTER"))), "")</f>
        <v/>
      </c>
      <c r="P116" s="74" t="str">
        <f>IFERROR(1/(1/COUNTIFS(
'YearA-AppDetails Current Date'!A:A,D116,
'YearA-AppDetails Current Date'!F:F,E116,
'YearA-AppDetails Current Date'!E:E,--F116,
'YearA-AppDetails Current Date'!Y:Y,"ENRO",
'YearA-AppDetails Current Date'!I:I,"WINTER")),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HC'!D:T,6,FALSE)),
N(VLOOKUP(D117&amp;F117,'Budgeted Projections Intl HC'!D:T,7,FALSE))
)
),"")</f>
        <v/>
      </c>
      <c r="I117" s="73" t="str">
        <f>IFERROR(1/(1/COUNTIFS(
'YearA-AppDetails Current Date'!A:A,D117,
'YearA-AppDetails Current Date'!F:F,E117,
'YearA-AppDetails Current Date'!E:E,--F117,
'YearA-AppDetails Current Date'!I:I,"WINTER")), "")</f>
        <v/>
      </c>
      <c r="J117" s="74" t="str" cm="1">
        <f t="array" ref="J117">IFERROR(1/(1/SUM(COUNTIFS(
'YearA-AppDetails Current Date'!A:A,D117,
'YearA-AppDetails Current Date'!F:F,E117,
'YearA-AppDetails Current Date'!E:E,--F117,
'YearA-AppDetails Current Date'!O:O,{"ACLN","ACPT","COND"},
'YearA-AppDetails Current Date'!S:S,"&lt;&gt;ACLN",
'YearA-AppDetails Current Date'!S:S,"&lt;&gt;ACPT",
'YearA-AppDetails Current Date'!S:S,"&lt;&gt;COND",
'YearA-AppDetails Current Date'!I:I,"WINTER"))), "")</f>
        <v/>
      </c>
      <c r="K117" s="73" t="str">
        <f>IFERROR(1/(1/SUM(COUNTIFS(
'YearA-AppDetails Current Date'!A:A,D117,
'YearA-AppDetails Current Date'!F:F,E117,
'YearA-AppDetails Current Date'!E:E,--F117,
'YearA-AppDetails Current Date'!R:R,"&lt;&gt;"&amp;"",
'YearA-AppDetails Current Date'!I:I,"WINTER"))), "")</f>
        <v/>
      </c>
      <c r="L117" s="74" t="str" cm="1">
        <f t="array" ref="L117">IFERROR(1/(1/SUM(COUNTIFS(
'YearA-AppDetails Current Date'!A:A,D117,
'YearA-AppDetails Current Date'!F:F,E117,
'YearA-AppDetails Current Date'!E:E,--F117,
'YearA-AppDetails Current Date'!T:T,{"APEX","DENY","NTSL"},
'YearA-AppDetails Current Date'!I:I,"WINTER"))), "")</f>
        <v/>
      </c>
      <c r="M117" s="74" t="str" cm="1">
        <f t="array" ref="M117">IFERROR(1/(1/SUM(COUNTIFS(
'YearA-AppDetails Current Date'!A:A,D117,
'YearA-AppDetails Current Date'!F:F,E117,
'YearA-AppDetails Current Date'!E:E,--F117,
'YearA-AppDetails Current Date'!U:U,{"CCAN","DECL"},
'YearA-AppDetails Current Date'!I:I,"WINTER"))), "")</f>
        <v/>
      </c>
      <c r="N117" s="74" t="str" cm="1">
        <f t="array" ref="N117">IFERROR(1/(1/SUM(COUNTIFS(
'YearA-AppDetails Current Date'!A:A,D117,
'YearA-AppDetails Current Date'!F:F,E117,
'YearA-AppDetails Current Date'!E:E,--F117,
'YearA-AppDetails Current Date'!V:V,{"APRO","NODE"},
'YearA-AppDetails Current Date'!I:I,"WINTER"))), "")</f>
        <v/>
      </c>
      <c r="O117" s="74" t="str" cm="1">
        <f t="array" ref="O117">IFERROR(1/(1/SUM(COUNTIFS(
'YearA-AppDetails Current Date'!A:A,D117,
'YearA-AppDetails Current Date'!F:F,E117,
'YearA-AppDetails Current Date'!E:E,--F117,
'YearA-AppDetails Current Date'!T:T,{"CDMT","RQMT","WAIT"},
'YearA-AppDetails Current Date'!I:I,"WINTER"))), "")</f>
        <v/>
      </c>
      <c r="P117" s="74" t="str">
        <f>IFERROR(1/(1/COUNTIFS(
'YearA-AppDetails Current Date'!A:A,D117,
'YearA-AppDetails Current Date'!F:F,E117,
'YearA-AppDetails Current Date'!E:E,--F117,
'YearA-AppDetails Current Date'!Y:Y,"ENRO",
'YearA-AppDetails Current Date'!I:I,"WINTER")),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HC'!D:T,6,FALSE)),
N(VLOOKUP(D118&amp;F118,'Budgeted Projections Dom HC'!D:T,7,FALSE))
)
),"")</f>
        <v/>
      </c>
      <c r="I118" s="73" t="str">
        <f>IFERROR(1/(1/COUNTIFS(
'YearA-AppDetails Current Date'!A:A,D118,
'YearA-AppDetails Current Date'!F:F,E118,
'YearA-AppDetails Current Date'!E:E,--F118,
'YearA-AppDetails Current Date'!I:I,"WINTER")), "")</f>
        <v/>
      </c>
      <c r="J118" s="74" t="str" cm="1">
        <f t="array" ref="J118">IFERROR(1/(1/SUM(COUNTIFS(
'YearA-AppDetails Current Date'!A:A,D118,
'YearA-AppDetails Current Date'!F:F,E118,
'YearA-AppDetails Current Date'!E:E,--F118,
'YearA-AppDetails Current Date'!O:O,{"ACLN","ACPT","COND"},
'YearA-AppDetails Current Date'!S:S,"&lt;&gt;ACLN",
'YearA-AppDetails Current Date'!S:S,"&lt;&gt;ACPT",
'YearA-AppDetails Current Date'!S:S,"&lt;&gt;COND",
'YearA-AppDetails Current Date'!I:I,"WINTER"))), "")</f>
        <v/>
      </c>
      <c r="K118" s="73" t="str">
        <f>IFERROR(1/(1/SUM(COUNTIFS(
'YearA-AppDetails Current Date'!A:A,D118,
'YearA-AppDetails Current Date'!F:F,E118,
'YearA-AppDetails Current Date'!E:E,--F118,
'YearA-AppDetails Current Date'!R:R,"&lt;&gt;"&amp;"",
'YearA-AppDetails Current Date'!I:I,"WINTER"))), "")</f>
        <v/>
      </c>
      <c r="L118" s="74" t="str" cm="1">
        <f t="array" ref="L118">IFERROR(1/(1/SUM(COUNTIFS(
'YearA-AppDetails Current Date'!A:A,D118,
'YearA-AppDetails Current Date'!F:F,E118,
'YearA-AppDetails Current Date'!E:E,--F118,
'YearA-AppDetails Current Date'!T:T,{"APEX","DENY","NTSL"},
'YearA-AppDetails Current Date'!I:I,"WINTER"))), "")</f>
        <v/>
      </c>
      <c r="M118" s="74" t="str" cm="1">
        <f t="array" ref="M118">IFERROR(1/(1/SUM(COUNTIFS(
'YearA-AppDetails Current Date'!A:A,D118,
'YearA-AppDetails Current Date'!F:F,E118,
'YearA-AppDetails Current Date'!E:E,--F118,
'YearA-AppDetails Current Date'!U:U,{"CCAN","DECL"},
'YearA-AppDetails Current Date'!I:I,"WINTER"))), "")</f>
        <v/>
      </c>
      <c r="N118" s="74" t="str" cm="1">
        <f t="array" ref="N118">IFERROR(1/(1/SUM(COUNTIFS(
'YearA-AppDetails Current Date'!A:A,D118,
'YearA-AppDetails Current Date'!F:F,E118,
'YearA-AppDetails Current Date'!E:E,--F118,
'YearA-AppDetails Current Date'!V:V,{"APRO","NODE"},
'YearA-AppDetails Current Date'!I:I,"WINTER"))), "")</f>
        <v/>
      </c>
      <c r="O118" s="74" t="str" cm="1">
        <f t="array" ref="O118">IFERROR(1/(1/SUM(COUNTIFS(
'YearA-AppDetails Current Date'!A:A,D118,
'YearA-AppDetails Current Date'!F:F,E118,
'YearA-AppDetails Current Date'!E:E,--F118,
'YearA-AppDetails Current Date'!T:T,{"CDMT","RQMT","WAIT"},
'YearA-AppDetails Current Date'!I:I,"WINTER"))), "")</f>
        <v/>
      </c>
      <c r="P118" s="74" t="str">
        <f>IFERROR(1/(1/COUNTIFS(
'YearA-AppDetails Current Date'!A:A,D118,
'YearA-AppDetails Current Date'!F:F,E118,
'YearA-AppDetails Current Date'!E:E,--F118,
'YearA-AppDetails Current Date'!Y:Y,"ENRO",
'YearA-AppDetails Current Date'!I:I,"WINTER")),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HC'!D:T,6,FALSE)),
N(VLOOKUP(D119&amp;F119,'Budgeted Projections Intl HC'!D:T,7,FALSE))
)
),"")</f>
        <v/>
      </c>
      <c r="I119" s="73" t="str">
        <f>IFERROR(1/(1/COUNTIFS(
'YearA-AppDetails Current Date'!A:A,D119,
'YearA-AppDetails Current Date'!F:F,E119,
'YearA-AppDetails Current Date'!E:E,--F119,
'YearA-AppDetails Current Date'!I:I,"WINTER")), "")</f>
        <v/>
      </c>
      <c r="J119" s="74" t="str" cm="1">
        <f t="array" ref="J119">IFERROR(1/(1/SUM(COUNTIFS(
'YearA-AppDetails Current Date'!A:A,D119,
'YearA-AppDetails Current Date'!F:F,E119,
'YearA-AppDetails Current Date'!E:E,--F119,
'YearA-AppDetails Current Date'!O:O,{"ACLN","ACPT","COND"},
'YearA-AppDetails Current Date'!S:S,"&lt;&gt;ACLN",
'YearA-AppDetails Current Date'!S:S,"&lt;&gt;ACPT",
'YearA-AppDetails Current Date'!S:S,"&lt;&gt;COND",
'YearA-AppDetails Current Date'!I:I,"WINTER"))), "")</f>
        <v/>
      </c>
      <c r="K119" s="73" t="str">
        <f>IFERROR(1/(1/SUM(COUNTIFS(
'YearA-AppDetails Current Date'!A:A,D119,
'YearA-AppDetails Current Date'!F:F,E119,
'YearA-AppDetails Current Date'!E:E,--F119,
'YearA-AppDetails Current Date'!R:R,"&lt;&gt;"&amp;"",
'YearA-AppDetails Current Date'!I:I,"WINTER"))), "")</f>
        <v/>
      </c>
      <c r="L119" s="74" t="str" cm="1">
        <f t="array" ref="L119">IFERROR(1/(1/SUM(COUNTIFS(
'YearA-AppDetails Current Date'!A:A,D119,
'YearA-AppDetails Current Date'!F:F,E119,
'YearA-AppDetails Current Date'!E:E,--F119,
'YearA-AppDetails Current Date'!T:T,{"APEX","DENY","NTSL"},
'YearA-AppDetails Current Date'!I:I,"WINTER"))), "")</f>
        <v/>
      </c>
      <c r="M119" s="74" t="str" cm="1">
        <f t="array" ref="M119">IFERROR(1/(1/SUM(COUNTIFS(
'YearA-AppDetails Current Date'!A:A,D119,
'YearA-AppDetails Current Date'!F:F,E119,
'YearA-AppDetails Current Date'!E:E,--F119,
'YearA-AppDetails Current Date'!U:U,{"CCAN","DECL"},
'YearA-AppDetails Current Date'!I:I,"WINTER"))), "")</f>
        <v/>
      </c>
      <c r="N119" s="74" t="str" cm="1">
        <f t="array" ref="N119">IFERROR(1/(1/SUM(COUNTIFS(
'YearA-AppDetails Current Date'!A:A,D119,
'YearA-AppDetails Current Date'!F:F,E119,
'YearA-AppDetails Current Date'!E:E,--F119,
'YearA-AppDetails Current Date'!V:V,{"APRO","NODE"},
'YearA-AppDetails Current Date'!I:I,"WINTER"))), "")</f>
        <v/>
      </c>
      <c r="O119" s="74" t="str" cm="1">
        <f t="array" ref="O119">IFERROR(1/(1/SUM(COUNTIFS(
'YearA-AppDetails Current Date'!A:A,D119,
'YearA-AppDetails Current Date'!F:F,E119,
'YearA-AppDetails Current Date'!E:E,--F119,
'YearA-AppDetails Current Date'!T:T,{"CDMT","RQMT","WAIT"},
'YearA-AppDetails Current Date'!I:I,"WINTER"))), "")</f>
        <v/>
      </c>
      <c r="P119" s="74" t="str">
        <f>IFERROR(1/(1/COUNTIFS(
'YearA-AppDetails Current Date'!A:A,D119,
'YearA-AppDetails Current Date'!F:F,E119,
'YearA-AppDetails Current Date'!E:E,--F119,
'YearA-AppDetails Current Date'!Y:Y,"ENRO",
'YearA-AppDetails Current Date'!I:I,"WINTER")),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HC'!D:T,6,FALSE)),
N(VLOOKUP(D120&amp;F120,'Budgeted Projections Dom HC'!D:T,7,FALSE))
)
),"")</f>
        <v/>
      </c>
      <c r="I120" s="73" t="str">
        <f>IFERROR(1/(1/COUNTIFS(
'YearA-AppDetails Current Date'!A:A,D120,
'YearA-AppDetails Current Date'!F:F,E120,
'YearA-AppDetails Current Date'!E:E,--F120,
'YearA-AppDetails Current Date'!I:I,"WINTER")), "")</f>
        <v/>
      </c>
      <c r="J120" s="74" t="str" cm="1">
        <f t="array" ref="J120">IFERROR(1/(1/SUM(COUNTIFS(
'YearA-AppDetails Current Date'!A:A,D120,
'YearA-AppDetails Current Date'!F:F,E120,
'YearA-AppDetails Current Date'!E:E,--F120,
'YearA-AppDetails Current Date'!O:O,{"ACLN","ACPT","COND"},
'YearA-AppDetails Current Date'!S:S,"&lt;&gt;ACLN",
'YearA-AppDetails Current Date'!S:S,"&lt;&gt;ACPT",
'YearA-AppDetails Current Date'!S:S,"&lt;&gt;COND",
'YearA-AppDetails Current Date'!I:I,"WINTER"))), "")</f>
        <v/>
      </c>
      <c r="K120" s="73" t="str">
        <f>IFERROR(1/(1/SUM(COUNTIFS(
'YearA-AppDetails Current Date'!A:A,D120,
'YearA-AppDetails Current Date'!F:F,E120,
'YearA-AppDetails Current Date'!E:E,--F120,
'YearA-AppDetails Current Date'!R:R,"&lt;&gt;"&amp;"",
'YearA-AppDetails Current Date'!I:I,"WINTER"))), "")</f>
        <v/>
      </c>
      <c r="L120" s="74" t="str" cm="1">
        <f t="array" ref="L120">IFERROR(1/(1/SUM(COUNTIFS(
'YearA-AppDetails Current Date'!A:A,D120,
'YearA-AppDetails Current Date'!F:F,E120,
'YearA-AppDetails Current Date'!E:E,--F120,
'YearA-AppDetails Current Date'!T:T,{"APEX","DENY","NTSL"},
'YearA-AppDetails Current Date'!I:I,"WINTER"))), "")</f>
        <v/>
      </c>
      <c r="M120" s="74" t="str" cm="1">
        <f t="array" ref="M120">IFERROR(1/(1/SUM(COUNTIFS(
'YearA-AppDetails Current Date'!A:A,D120,
'YearA-AppDetails Current Date'!F:F,E120,
'YearA-AppDetails Current Date'!E:E,--F120,
'YearA-AppDetails Current Date'!U:U,{"CCAN","DECL"},
'YearA-AppDetails Current Date'!I:I,"WINTER"))), "")</f>
        <v/>
      </c>
      <c r="N120" s="74" t="str" cm="1">
        <f t="array" ref="N120">IFERROR(1/(1/SUM(COUNTIFS(
'YearA-AppDetails Current Date'!A:A,D120,
'YearA-AppDetails Current Date'!F:F,E120,
'YearA-AppDetails Current Date'!E:E,--F120,
'YearA-AppDetails Current Date'!V:V,{"APRO","NODE"},
'YearA-AppDetails Current Date'!I:I,"WINTER"))), "")</f>
        <v/>
      </c>
      <c r="O120" s="74" t="str" cm="1">
        <f t="array" ref="O120">IFERROR(1/(1/SUM(COUNTIFS(
'YearA-AppDetails Current Date'!A:A,D120,
'YearA-AppDetails Current Date'!F:F,E120,
'YearA-AppDetails Current Date'!E:E,--F120,
'YearA-AppDetails Current Date'!T:T,{"CDMT","RQMT","WAIT"},
'YearA-AppDetails Current Date'!I:I,"WINTER"))), "")</f>
        <v/>
      </c>
      <c r="P120" s="74" t="str">
        <f>IFERROR(1/(1/COUNTIFS(
'YearA-AppDetails Current Date'!A:A,D120,
'YearA-AppDetails Current Date'!F:F,E120,
'YearA-AppDetails Current Date'!E:E,--F120,
'YearA-AppDetails Current Date'!Y:Y,"ENRO",
'YearA-AppDetails Current Date'!I:I,"WINTER")),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HC'!D:T,6,FALSE)),
N(VLOOKUP(D121&amp;F121,'Budgeted Projections Intl HC'!D:T,7,FALSE))
)
),"")</f>
        <v/>
      </c>
      <c r="I121" s="73" t="str">
        <f>IFERROR(1/(1/COUNTIFS(
'YearA-AppDetails Current Date'!A:A,D121,
'YearA-AppDetails Current Date'!F:F,E121,
'YearA-AppDetails Current Date'!E:E,--F121,
'YearA-AppDetails Current Date'!I:I,"WINTER")), "")</f>
        <v/>
      </c>
      <c r="J121" s="74" t="str" cm="1">
        <f t="array" ref="J121">IFERROR(1/(1/SUM(COUNTIFS(
'YearA-AppDetails Current Date'!A:A,D121,
'YearA-AppDetails Current Date'!F:F,E121,
'YearA-AppDetails Current Date'!E:E,--F121,
'YearA-AppDetails Current Date'!O:O,{"ACLN","ACPT","COND"},
'YearA-AppDetails Current Date'!S:S,"&lt;&gt;ACLN",
'YearA-AppDetails Current Date'!S:S,"&lt;&gt;ACPT",
'YearA-AppDetails Current Date'!S:S,"&lt;&gt;COND",
'YearA-AppDetails Current Date'!I:I,"WINTER"))), "")</f>
        <v/>
      </c>
      <c r="K121" s="73" t="str">
        <f>IFERROR(1/(1/SUM(COUNTIFS(
'YearA-AppDetails Current Date'!A:A,D121,
'YearA-AppDetails Current Date'!F:F,E121,
'YearA-AppDetails Current Date'!E:E,--F121,
'YearA-AppDetails Current Date'!R:R,"&lt;&gt;"&amp;"",
'YearA-AppDetails Current Date'!I:I,"WINTER"))), "")</f>
        <v/>
      </c>
      <c r="L121" s="74" t="str" cm="1">
        <f t="array" ref="L121">IFERROR(1/(1/SUM(COUNTIFS(
'YearA-AppDetails Current Date'!A:A,D121,
'YearA-AppDetails Current Date'!F:F,E121,
'YearA-AppDetails Current Date'!E:E,--F121,
'YearA-AppDetails Current Date'!T:T,{"APEX","DENY","NTSL"},
'YearA-AppDetails Current Date'!I:I,"WINTER"))), "")</f>
        <v/>
      </c>
      <c r="M121" s="74" t="str" cm="1">
        <f t="array" ref="M121">IFERROR(1/(1/SUM(COUNTIFS(
'YearA-AppDetails Current Date'!A:A,D121,
'YearA-AppDetails Current Date'!F:F,E121,
'YearA-AppDetails Current Date'!E:E,--F121,
'YearA-AppDetails Current Date'!U:U,{"CCAN","DECL"},
'YearA-AppDetails Current Date'!I:I,"WINTER"))), "")</f>
        <v/>
      </c>
      <c r="N121" s="74" t="str" cm="1">
        <f t="array" ref="N121">IFERROR(1/(1/SUM(COUNTIFS(
'YearA-AppDetails Current Date'!A:A,D121,
'YearA-AppDetails Current Date'!F:F,E121,
'YearA-AppDetails Current Date'!E:E,--F121,
'YearA-AppDetails Current Date'!V:V,{"APRO","NODE"},
'YearA-AppDetails Current Date'!I:I,"WINTER"))), "")</f>
        <v/>
      </c>
      <c r="O121" s="74" t="str" cm="1">
        <f t="array" ref="O121">IFERROR(1/(1/SUM(COUNTIFS(
'YearA-AppDetails Current Date'!A:A,D121,
'YearA-AppDetails Current Date'!F:F,E121,
'YearA-AppDetails Current Date'!E:E,--F121,
'YearA-AppDetails Current Date'!T:T,{"CDMT","RQMT","WAIT"},
'YearA-AppDetails Current Date'!I:I,"WINTER"))), "")</f>
        <v/>
      </c>
      <c r="P121" s="74" t="str">
        <f>IFERROR(1/(1/COUNTIFS(
'YearA-AppDetails Current Date'!A:A,D121,
'YearA-AppDetails Current Date'!F:F,E121,
'YearA-AppDetails Current Date'!E:E,--F121,
'YearA-AppDetails Current Date'!Y:Y,"ENRO",
'YearA-AppDetails Current Date'!I:I,"WINTER")),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HC'!D:T,6,FALSE)),
N(VLOOKUP(D122&amp;F122,'Budgeted Projections Dom HC'!D:T,7,FALSE))
)
),"")</f>
        <v/>
      </c>
      <c r="I122" s="73" t="str">
        <f>IFERROR(1/(1/COUNTIFS(
'YearA-AppDetails Current Date'!A:A,D122,
'YearA-AppDetails Current Date'!F:F,E122,
'YearA-AppDetails Current Date'!E:E,--F122,
'YearA-AppDetails Current Date'!I:I,"WINTER")), "")</f>
        <v/>
      </c>
      <c r="J122" s="74" t="str" cm="1">
        <f t="array" ref="J122">IFERROR(1/(1/SUM(COUNTIFS(
'YearA-AppDetails Current Date'!A:A,D122,
'YearA-AppDetails Current Date'!F:F,E122,
'YearA-AppDetails Current Date'!E:E,--F122,
'YearA-AppDetails Current Date'!O:O,{"ACLN","ACPT","COND"},
'YearA-AppDetails Current Date'!S:S,"&lt;&gt;ACLN",
'YearA-AppDetails Current Date'!S:S,"&lt;&gt;ACPT",
'YearA-AppDetails Current Date'!S:S,"&lt;&gt;COND",
'YearA-AppDetails Current Date'!I:I,"WINTER"))), "")</f>
        <v/>
      </c>
      <c r="K122" s="73" t="str">
        <f>IFERROR(1/(1/SUM(COUNTIFS(
'YearA-AppDetails Current Date'!A:A,D122,
'YearA-AppDetails Current Date'!F:F,E122,
'YearA-AppDetails Current Date'!E:E,--F122,
'YearA-AppDetails Current Date'!R:R,"&lt;&gt;"&amp;"",
'YearA-AppDetails Current Date'!I:I,"WINTER"))), "")</f>
        <v/>
      </c>
      <c r="L122" s="74" t="str" cm="1">
        <f t="array" ref="L122">IFERROR(1/(1/SUM(COUNTIFS(
'YearA-AppDetails Current Date'!A:A,D122,
'YearA-AppDetails Current Date'!F:F,E122,
'YearA-AppDetails Current Date'!E:E,--F122,
'YearA-AppDetails Current Date'!T:T,{"APEX","DENY","NTSL"},
'YearA-AppDetails Current Date'!I:I,"WINTER"))), "")</f>
        <v/>
      </c>
      <c r="M122" s="74" t="str" cm="1">
        <f t="array" ref="M122">IFERROR(1/(1/SUM(COUNTIFS(
'YearA-AppDetails Current Date'!A:A,D122,
'YearA-AppDetails Current Date'!F:F,E122,
'YearA-AppDetails Current Date'!E:E,--F122,
'YearA-AppDetails Current Date'!U:U,{"CCAN","DECL"},
'YearA-AppDetails Current Date'!I:I,"WINTER"))), "")</f>
        <v/>
      </c>
      <c r="N122" s="74" t="str" cm="1">
        <f t="array" ref="N122">IFERROR(1/(1/SUM(COUNTIFS(
'YearA-AppDetails Current Date'!A:A,D122,
'YearA-AppDetails Current Date'!F:F,E122,
'YearA-AppDetails Current Date'!E:E,--F122,
'YearA-AppDetails Current Date'!V:V,{"APRO","NODE"},
'YearA-AppDetails Current Date'!I:I,"WINTER"))), "")</f>
        <v/>
      </c>
      <c r="O122" s="74" t="str" cm="1">
        <f t="array" ref="O122">IFERROR(1/(1/SUM(COUNTIFS(
'YearA-AppDetails Current Date'!A:A,D122,
'YearA-AppDetails Current Date'!F:F,E122,
'YearA-AppDetails Current Date'!E:E,--F122,
'YearA-AppDetails Current Date'!T:T,{"CDMT","RQMT","WAIT"},
'YearA-AppDetails Current Date'!I:I,"WINTER"))), "")</f>
        <v/>
      </c>
      <c r="P122" s="74" t="str">
        <f>IFERROR(1/(1/COUNTIFS(
'YearA-AppDetails Current Date'!A:A,D122,
'YearA-AppDetails Current Date'!F:F,E122,
'YearA-AppDetails Current Date'!E:E,--F122,
'YearA-AppDetails Current Date'!Y:Y,"ENRO",
'YearA-AppDetails Current Date'!I:I,"WINTER")),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HC'!D:T,6,FALSE)),
N(VLOOKUP(D123&amp;F123,'Budgeted Projections Intl HC'!D:T,7,FALSE))
)
),"")</f>
        <v/>
      </c>
      <c r="I123" s="73" t="str">
        <f>IFERROR(1/(1/COUNTIFS(
'YearA-AppDetails Current Date'!A:A,D123,
'YearA-AppDetails Current Date'!F:F,E123,
'YearA-AppDetails Current Date'!E:E,--F123,
'YearA-AppDetails Current Date'!I:I,"WINTER")), "")</f>
        <v/>
      </c>
      <c r="J123" s="74" t="str" cm="1">
        <f t="array" ref="J123">IFERROR(1/(1/SUM(COUNTIFS(
'YearA-AppDetails Current Date'!A:A,D123,
'YearA-AppDetails Current Date'!F:F,E123,
'YearA-AppDetails Current Date'!E:E,--F123,
'YearA-AppDetails Current Date'!O:O,{"ACLN","ACPT","COND"},
'YearA-AppDetails Current Date'!S:S,"&lt;&gt;ACLN",
'YearA-AppDetails Current Date'!S:S,"&lt;&gt;ACPT",
'YearA-AppDetails Current Date'!S:S,"&lt;&gt;COND",
'YearA-AppDetails Current Date'!I:I,"WINTER"))), "")</f>
        <v/>
      </c>
      <c r="K123" s="73" t="str">
        <f>IFERROR(1/(1/SUM(COUNTIFS(
'YearA-AppDetails Current Date'!A:A,D123,
'YearA-AppDetails Current Date'!F:F,E123,
'YearA-AppDetails Current Date'!E:E,--F123,
'YearA-AppDetails Current Date'!R:R,"&lt;&gt;"&amp;"",
'YearA-AppDetails Current Date'!I:I,"WINTER"))), "")</f>
        <v/>
      </c>
      <c r="L123" s="74" t="str" cm="1">
        <f t="array" ref="L123">IFERROR(1/(1/SUM(COUNTIFS(
'YearA-AppDetails Current Date'!A:A,D123,
'YearA-AppDetails Current Date'!F:F,E123,
'YearA-AppDetails Current Date'!E:E,--F123,
'YearA-AppDetails Current Date'!T:T,{"APEX","DENY","NTSL"},
'YearA-AppDetails Current Date'!I:I,"WINTER"))), "")</f>
        <v/>
      </c>
      <c r="M123" s="74" t="str" cm="1">
        <f t="array" ref="M123">IFERROR(1/(1/SUM(COUNTIFS(
'YearA-AppDetails Current Date'!A:A,D123,
'YearA-AppDetails Current Date'!F:F,E123,
'YearA-AppDetails Current Date'!E:E,--F123,
'YearA-AppDetails Current Date'!U:U,{"CCAN","DECL"},
'YearA-AppDetails Current Date'!I:I,"WINTER"))), "")</f>
        <v/>
      </c>
      <c r="N123" s="74" t="str" cm="1">
        <f t="array" ref="N123">IFERROR(1/(1/SUM(COUNTIFS(
'YearA-AppDetails Current Date'!A:A,D123,
'YearA-AppDetails Current Date'!F:F,E123,
'YearA-AppDetails Current Date'!E:E,--F123,
'YearA-AppDetails Current Date'!V:V,{"APRO","NODE"},
'YearA-AppDetails Current Date'!I:I,"WINTER"))), "")</f>
        <v/>
      </c>
      <c r="O123" s="74" t="str" cm="1">
        <f t="array" ref="O123">IFERROR(1/(1/SUM(COUNTIFS(
'YearA-AppDetails Current Date'!A:A,D123,
'YearA-AppDetails Current Date'!F:F,E123,
'YearA-AppDetails Current Date'!E:E,--F123,
'YearA-AppDetails Current Date'!T:T,{"CDMT","RQMT","WAIT"},
'YearA-AppDetails Current Date'!I:I,"WINTER"))), "")</f>
        <v/>
      </c>
      <c r="P123" s="74" t="str">
        <f>IFERROR(1/(1/COUNTIFS(
'YearA-AppDetails Current Date'!A:A,D123,
'YearA-AppDetails Current Date'!F:F,E123,
'YearA-AppDetails Current Date'!E:E,--F123,
'YearA-AppDetails Current Date'!Y:Y,"ENRO",
'YearA-AppDetails Current Date'!I:I,"WINTER")),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HC'!D:T,6,FALSE)),
N(VLOOKUP(D124&amp;F124,'Budgeted Projections Dom HC'!D:T,7,FALSE))
)
),"")</f>
        <v/>
      </c>
      <c r="I124" s="73" t="str">
        <f>IFERROR(1/(1/COUNTIFS(
'YearA-AppDetails Current Date'!A:A,D124,
'YearA-AppDetails Current Date'!F:F,E124,
'YearA-AppDetails Current Date'!E:E,--F124,
'YearA-AppDetails Current Date'!I:I,"WINTER")), "")</f>
        <v/>
      </c>
      <c r="J124" s="74" t="str" cm="1">
        <f t="array" ref="J124">IFERROR(1/(1/SUM(COUNTIFS(
'YearA-AppDetails Current Date'!A:A,D124,
'YearA-AppDetails Current Date'!F:F,E124,
'YearA-AppDetails Current Date'!E:E,--F124,
'YearA-AppDetails Current Date'!O:O,{"ACLN","ACPT","COND"},
'YearA-AppDetails Current Date'!S:S,"&lt;&gt;ACLN",
'YearA-AppDetails Current Date'!S:S,"&lt;&gt;ACPT",
'YearA-AppDetails Current Date'!S:S,"&lt;&gt;COND",
'YearA-AppDetails Current Date'!I:I,"WINTER"))), "")</f>
        <v/>
      </c>
      <c r="K124" s="73" t="str">
        <f>IFERROR(1/(1/SUM(COUNTIFS(
'YearA-AppDetails Current Date'!A:A,D124,
'YearA-AppDetails Current Date'!F:F,E124,
'YearA-AppDetails Current Date'!E:E,--F124,
'YearA-AppDetails Current Date'!R:R,"&lt;&gt;"&amp;"",
'YearA-AppDetails Current Date'!I:I,"WINTER"))), "")</f>
        <v/>
      </c>
      <c r="L124" s="74" t="str" cm="1">
        <f t="array" ref="L124">IFERROR(1/(1/SUM(COUNTIFS(
'YearA-AppDetails Current Date'!A:A,D124,
'YearA-AppDetails Current Date'!F:F,E124,
'YearA-AppDetails Current Date'!E:E,--F124,
'YearA-AppDetails Current Date'!T:T,{"APEX","DENY","NTSL"},
'YearA-AppDetails Current Date'!I:I,"WINTER"))), "")</f>
        <v/>
      </c>
      <c r="M124" s="74" t="str" cm="1">
        <f t="array" ref="M124">IFERROR(1/(1/SUM(COUNTIFS(
'YearA-AppDetails Current Date'!A:A,D124,
'YearA-AppDetails Current Date'!F:F,E124,
'YearA-AppDetails Current Date'!E:E,--F124,
'YearA-AppDetails Current Date'!U:U,{"CCAN","DECL"},
'YearA-AppDetails Current Date'!I:I,"WINTER"))), "")</f>
        <v/>
      </c>
      <c r="N124" s="74" t="str" cm="1">
        <f t="array" ref="N124">IFERROR(1/(1/SUM(COUNTIFS(
'YearA-AppDetails Current Date'!A:A,D124,
'YearA-AppDetails Current Date'!F:F,E124,
'YearA-AppDetails Current Date'!E:E,--F124,
'YearA-AppDetails Current Date'!V:V,{"APRO","NODE"},
'YearA-AppDetails Current Date'!I:I,"WINTER"))), "")</f>
        <v/>
      </c>
      <c r="O124" s="74" t="str" cm="1">
        <f t="array" ref="O124">IFERROR(1/(1/SUM(COUNTIFS(
'YearA-AppDetails Current Date'!A:A,D124,
'YearA-AppDetails Current Date'!F:F,E124,
'YearA-AppDetails Current Date'!E:E,--F124,
'YearA-AppDetails Current Date'!T:T,{"CDMT","RQMT","WAIT"},
'YearA-AppDetails Current Date'!I:I,"WINTER"))), "")</f>
        <v/>
      </c>
      <c r="P124" s="74" t="str">
        <f>IFERROR(1/(1/COUNTIFS(
'YearA-AppDetails Current Date'!A:A,D124,
'YearA-AppDetails Current Date'!F:F,E124,
'YearA-AppDetails Current Date'!E:E,--F124,
'YearA-AppDetails Current Date'!Y:Y,"ENRO",
'YearA-AppDetails Current Date'!I:I,"WINTER")),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HC'!D:T,6,FALSE)),
N(VLOOKUP(D125&amp;F125,'Budgeted Projections Intl HC'!D:T,7,FALSE))
)
),"")</f>
        <v/>
      </c>
      <c r="I125" s="73" t="str">
        <f>IFERROR(1/(1/COUNTIFS(
'YearA-AppDetails Current Date'!A:A,D125,
'YearA-AppDetails Current Date'!F:F,E125,
'YearA-AppDetails Current Date'!E:E,--F125,
'YearA-AppDetails Current Date'!I:I,"WINTER")), "")</f>
        <v/>
      </c>
      <c r="J125" s="74" t="str" cm="1">
        <f t="array" ref="J125">IFERROR(1/(1/SUM(COUNTIFS(
'YearA-AppDetails Current Date'!A:A,D125,
'YearA-AppDetails Current Date'!F:F,E125,
'YearA-AppDetails Current Date'!E:E,--F125,
'YearA-AppDetails Current Date'!O:O,{"ACLN","ACPT","COND"},
'YearA-AppDetails Current Date'!S:S,"&lt;&gt;ACLN",
'YearA-AppDetails Current Date'!S:S,"&lt;&gt;ACPT",
'YearA-AppDetails Current Date'!S:S,"&lt;&gt;COND",
'YearA-AppDetails Current Date'!I:I,"WINTER"))), "")</f>
        <v/>
      </c>
      <c r="K125" s="73" t="str">
        <f>IFERROR(1/(1/SUM(COUNTIFS(
'YearA-AppDetails Current Date'!A:A,D125,
'YearA-AppDetails Current Date'!F:F,E125,
'YearA-AppDetails Current Date'!E:E,--F125,
'YearA-AppDetails Current Date'!R:R,"&lt;&gt;"&amp;"",
'YearA-AppDetails Current Date'!I:I,"WINTER"))), "")</f>
        <v/>
      </c>
      <c r="L125" s="74" t="str" cm="1">
        <f t="array" ref="L125">IFERROR(1/(1/SUM(COUNTIFS(
'YearA-AppDetails Current Date'!A:A,D125,
'YearA-AppDetails Current Date'!F:F,E125,
'YearA-AppDetails Current Date'!E:E,--F125,
'YearA-AppDetails Current Date'!T:T,{"APEX","DENY","NTSL"},
'YearA-AppDetails Current Date'!I:I,"WINTER"))), "")</f>
        <v/>
      </c>
      <c r="M125" s="74" t="str" cm="1">
        <f t="array" ref="M125">IFERROR(1/(1/SUM(COUNTIFS(
'YearA-AppDetails Current Date'!A:A,D125,
'YearA-AppDetails Current Date'!F:F,E125,
'YearA-AppDetails Current Date'!E:E,--F125,
'YearA-AppDetails Current Date'!U:U,{"CCAN","DECL"},
'YearA-AppDetails Current Date'!I:I,"WINTER"))), "")</f>
        <v/>
      </c>
      <c r="N125" s="74" t="str" cm="1">
        <f t="array" ref="N125">IFERROR(1/(1/SUM(COUNTIFS(
'YearA-AppDetails Current Date'!A:A,D125,
'YearA-AppDetails Current Date'!F:F,E125,
'YearA-AppDetails Current Date'!E:E,--F125,
'YearA-AppDetails Current Date'!V:V,{"APRO","NODE"},
'YearA-AppDetails Current Date'!I:I,"WINTER"))), "")</f>
        <v/>
      </c>
      <c r="O125" s="74" t="str" cm="1">
        <f t="array" ref="O125">IFERROR(1/(1/SUM(COUNTIFS(
'YearA-AppDetails Current Date'!A:A,D125,
'YearA-AppDetails Current Date'!F:F,E125,
'YearA-AppDetails Current Date'!E:E,--F125,
'YearA-AppDetails Current Date'!T:T,{"CDMT","RQMT","WAIT"},
'YearA-AppDetails Current Date'!I:I,"WINTER"))), "")</f>
        <v/>
      </c>
      <c r="P125" s="74" t="str">
        <f>IFERROR(1/(1/COUNTIFS(
'YearA-AppDetails Current Date'!A:A,D125,
'YearA-AppDetails Current Date'!F:F,E125,
'YearA-AppDetails Current Date'!E:E,--F125,
'YearA-AppDetails Current Date'!Y:Y,"ENRO",
'YearA-AppDetails Current Date'!I:I,"WINTER")),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HC'!D:T,6,FALSE)),
N(VLOOKUP(D126&amp;F126,'Budgeted Projections Dom HC'!D:T,7,FALSE))
)
),"")</f>
        <v/>
      </c>
      <c r="I126" s="73" t="str">
        <f>IFERROR(1/(1/COUNTIFS(
'YearA-AppDetails Current Date'!A:A,D126,
'YearA-AppDetails Current Date'!F:F,E126,
'YearA-AppDetails Current Date'!E:E,--F126,
'YearA-AppDetails Current Date'!I:I,"WINTER")), "")</f>
        <v/>
      </c>
      <c r="J126" s="74" t="str" cm="1">
        <f t="array" ref="J126">IFERROR(1/(1/SUM(COUNTIFS(
'YearA-AppDetails Current Date'!A:A,D126,
'YearA-AppDetails Current Date'!F:F,E126,
'YearA-AppDetails Current Date'!E:E,--F126,
'YearA-AppDetails Current Date'!O:O,{"ACLN","ACPT","COND"},
'YearA-AppDetails Current Date'!S:S,"&lt;&gt;ACLN",
'YearA-AppDetails Current Date'!S:S,"&lt;&gt;ACPT",
'YearA-AppDetails Current Date'!S:S,"&lt;&gt;COND",
'YearA-AppDetails Current Date'!I:I,"WINTER"))), "")</f>
        <v/>
      </c>
      <c r="K126" s="73" t="str">
        <f>IFERROR(1/(1/SUM(COUNTIFS(
'YearA-AppDetails Current Date'!A:A,D126,
'YearA-AppDetails Current Date'!F:F,E126,
'YearA-AppDetails Current Date'!E:E,--F126,
'YearA-AppDetails Current Date'!R:R,"&lt;&gt;"&amp;"",
'YearA-AppDetails Current Date'!I:I,"WINTER"))), "")</f>
        <v/>
      </c>
      <c r="L126" s="74" t="str" cm="1">
        <f t="array" ref="L126">IFERROR(1/(1/SUM(COUNTIFS(
'YearA-AppDetails Current Date'!A:A,D126,
'YearA-AppDetails Current Date'!F:F,E126,
'YearA-AppDetails Current Date'!E:E,--F126,
'YearA-AppDetails Current Date'!T:T,{"APEX","DENY","NTSL"},
'YearA-AppDetails Current Date'!I:I,"WINTER"))), "")</f>
        <v/>
      </c>
      <c r="M126" s="74" t="str" cm="1">
        <f t="array" ref="M126">IFERROR(1/(1/SUM(COUNTIFS(
'YearA-AppDetails Current Date'!A:A,D126,
'YearA-AppDetails Current Date'!F:F,E126,
'YearA-AppDetails Current Date'!E:E,--F126,
'YearA-AppDetails Current Date'!U:U,{"CCAN","DECL"},
'YearA-AppDetails Current Date'!I:I,"WINTER"))), "")</f>
        <v/>
      </c>
      <c r="N126" s="74" t="str" cm="1">
        <f t="array" ref="N126">IFERROR(1/(1/SUM(COUNTIFS(
'YearA-AppDetails Current Date'!A:A,D126,
'YearA-AppDetails Current Date'!F:F,E126,
'YearA-AppDetails Current Date'!E:E,--F126,
'YearA-AppDetails Current Date'!V:V,{"APRO","NODE"},
'YearA-AppDetails Current Date'!I:I,"WINTER"))), "")</f>
        <v/>
      </c>
      <c r="O126" s="74" t="str" cm="1">
        <f t="array" ref="O126">IFERROR(1/(1/SUM(COUNTIFS(
'YearA-AppDetails Current Date'!A:A,D126,
'YearA-AppDetails Current Date'!F:F,E126,
'YearA-AppDetails Current Date'!E:E,--F126,
'YearA-AppDetails Current Date'!T:T,{"CDMT","RQMT","WAIT"},
'YearA-AppDetails Current Date'!I:I,"WINTER"))), "")</f>
        <v/>
      </c>
      <c r="P126" s="74" t="str">
        <f>IFERROR(1/(1/COUNTIFS(
'YearA-AppDetails Current Date'!A:A,D126,
'YearA-AppDetails Current Date'!F:F,E126,
'YearA-AppDetails Current Date'!E:E,--F126,
'YearA-AppDetails Current Date'!Y:Y,"ENRO",
'YearA-AppDetails Current Date'!I:I,"WINTER")),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HC'!D:T,6,FALSE)),
N(VLOOKUP(D127&amp;F127,'Budgeted Projections Intl HC'!D:T,7,FALSE))
)
),"")</f>
        <v/>
      </c>
      <c r="I127" s="73" t="str">
        <f>IFERROR(1/(1/COUNTIFS(
'YearA-AppDetails Current Date'!A:A,D127,
'YearA-AppDetails Current Date'!F:F,E127,
'YearA-AppDetails Current Date'!E:E,--F127,
'YearA-AppDetails Current Date'!I:I,"WINTER")), "")</f>
        <v/>
      </c>
      <c r="J127" s="74" t="str" cm="1">
        <f t="array" ref="J127">IFERROR(1/(1/SUM(COUNTIFS(
'YearA-AppDetails Current Date'!A:A,D127,
'YearA-AppDetails Current Date'!F:F,E127,
'YearA-AppDetails Current Date'!E:E,--F127,
'YearA-AppDetails Current Date'!O:O,{"ACLN","ACPT","COND"},
'YearA-AppDetails Current Date'!S:S,"&lt;&gt;ACLN",
'YearA-AppDetails Current Date'!S:S,"&lt;&gt;ACPT",
'YearA-AppDetails Current Date'!S:S,"&lt;&gt;COND",
'YearA-AppDetails Current Date'!I:I,"WINTER"))), "")</f>
        <v/>
      </c>
      <c r="K127" s="73" t="str">
        <f>IFERROR(1/(1/SUM(COUNTIFS(
'YearA-AppDetails Current Date'!A:A,D127,
'YearA-AppDetails Current Date'!F:F,E127,
'YearA-AppDetails Current Date'!E:E,--F127,
'YearA-AppDetails Current Date'!R:R,"&lt;&gt;"&amp;"",
'YearA-AppDetails Current Date'!I:I,"WINTER"))), "")</f>
        <v/>
      </c>
      <c r="L127" s="74" t="str" cm="1">
        <f t="array" ref="L127">IFERROR(1/(1/SUM(COUNTIFS(
'YearA-AppDetails Current Date'!A:A,D127,
'YearA-AppDetails Current Date'!F:F,E127,
'YearA-AppDetails Current Date'!E:E,--F127,
'YearA-AppDetails Current Date'!T:T,{"APEX","DENY","NTSL"},
'YearA-AppDetails Current Date'!I:I,"WINTER"))), "")</f>
        <v/>
      </c>
      <c r="M127" s="74" t="str" cm="1">
        <f t="array" ref="M127">IFERROR(1/(1/SUM(COUNTIFS(
'YearA-AppDetails Current Date'!A:A,D127,
'YearA-AppDetails Current Date'!F:F,E127,
'YearA-AppDetails Current Date'!E:E,--F127,
'YearA-AppDetails Current Date'!U:U,{"CCAN","DECL"},
'YearA-AppDetails Current Date'!I:I,"WINTER"))), "")</f>
        <v/>
      </c>
      <c r="N127" s="74" t="str" cm="1">
        <f t="array" ref="N127">IFERROR(1/(1/SUM(COUNTIFS(
'YearA-AppDetails Current Date'!A:A,D127,
'YearA-AppDetails Current Date'!F:F,E127,
'YearA-AppDetails Current Date'!E:E,--F127,
'YearA-AppDetails Current Date'!V:V,{"APRO","NODE"},
'YearA-AppDetails Current Date'!I:I,"WINTER"))), "")</f>
        <v/>
      </c>
      <c r="O127" s="74" t="str" cm="1">
        <f t="array" ref="O127">IFERROR(1/(1/SUM(COUNTIFS(
'YearA-AppDetails Current Date'!A:A,D127,
'YearA-AppDetails Current Date'!F:F,E127,
'YearA-AppDetails Current Date'!E:E,--F127,
'YearA-AppDetails Current Date'!T:T,{"CDMT","RQMT","WAIT"},
'YearA-AppDetails Current Date'!I:I,"WINTER"))), "")</f>
        <v/>
      </c>
      <c r="P127" s="74" t="str">
        <f>IFERROR(1/(1/COUNTIFS(
'YearA-AppDetails Current Date'!A:A,D127,
'YearA-AppDetails Current Date'!F:F,E127,
'YearA-AppDetails Current Date'!E:E,--F127,
'YearA-AppDetails Current Date'!Y:Y,"ENRO",
'YearA-AppDetails Current Date'!I:I,"WINTER")),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HC'!D:T,6,FALSE)),
N(VLOOKUP(D129&amp;F129,'Budgeted Projections Dom HC'!D:T,7,FALSE))
)
),"")</f>
        <v/>
      </c>
      <c r="I129" s="73" t="str">
        <f>IFERROR(1/(1/COUNTIFS(
'YearA-AppDetails Current Date'!A:A,D129,
'YearA-AppDetails Current Date'!F:F,E129,
'YearA-AppDetails Current Date'!E:E,--F129,
'YearA-AppDetails Current Date'!I:I,"WINTER")), "")</f>
        <v/>
      </c>
      <c r="J129" s="74" t="str" cm="1">
        <f t="array" ref="J129">IFERROR(1/(1/SUM(COUNTIFS(
'YearA-AppDetails Current Date'!A:A,D129,
'YearA-AppDetails Current Date'!F:F,E129,
'YearA-AppDetails Current Date'!E:E,--F129,
'YearA-AppDetails Current Date'!O:O,{"ACLN","ACPT","COND"},
'YearA-AppDetails Current Date'!S:S,"&lt;&gt;ACLN",
'YearA-AppDetails Current Date'!S:S,"&lt;&gt;ACPT",
'YearA-AppDetails Current Date'!S:S,"&lt;&gt;COND",
'YearA-AppDetails Current Date'!I:I,"WINTER"))), "")</f>
        <v/>
      </c>
      <c r="K129" s="73" t="str">
        <f>IFERROR(1/(1/SUM(COUNTIFS(
'YearA-AppDetails Current Date'!A:A,D129,
'YearA-AppDetails Current Date'!F:F,E129,
'YearA-AppDetails Current Date'!E:E,--F129,
'YearA-AppDetails Current Date'!R:R,"&lt;&gt;"&amp;"",
'YearA-AppDetails Current Date'!I:I,"WINTER"))), "")</f>
        <v/>
      </c>
      <c r="L129" s="74" t="str" cm="1">
        <f t="array" ref="L129">IFERROR(1/(1/SUM(COUNTIFS(
'YearA-AppDetails Current Date'!A:A,D129,
'YearA-AppDetails Current Date'!F:F,E129,
'YearA-AppDetails Current Date'!E:E,--F129,
'YearA-AppDetails Current Date'!T:T,{"APEX","DENY","NTSL"},
'YearA-AppDetails Current Date'!I:I,"WINTER"))), "")</f>
        <v/>
      </c>
      <c r="M129" s="74" t="str" cm="1">
        <f t="array" ref="M129">IFERROR(1/(1/SUM(COUNTIFS(
'YearA-AppDetails Current Date'!A:A,D129,
'YearA-AppDetails Current Date'!F:F,E129,
'YearA-AppDetails Current Date'!E:E,--F129,
'YearA-AppDetails Current Date'!U:U,{"CCAN","DECL"},
'YearA-AppDetails Current Date'!I:I,"WINTER"))), "")</f>
        <v/>
      </c>
      <c r="N129" s="74" t="str" cm="1">
        <f t="array" ref="N129">IFERROR(1/(1/SUM(COUNTIFS(
'YearA-AppDetails Current Date'!A:A,D129,
'YearA-AppDetails Current Date'!F:F,E129,
'YearA-AppDetails Current Date'!E:E,--F129,
'YearA-AppDetails Current Date'!V:V,{"APRO","NODE"},
'YearA-AppDetails Current Date'!I:I,"WINTER"))), "")</f>
        <v/>
      </c>
      <c r="O129" s="74" t="str" cm="1">
        <f t="array" ref="O129">IFERROR(1/(1/SUM(COUNTIFS(
'YearA-AppDetails Current Date'!A:A,D129,
'YearA-AppDetails Current Date'!F:F,E129,
'YearA-AppDetails Current Date'!E:E,--F129,
'YearA-AppDetails Current Date'!T:T,{"CDMT","RQMT","WAIT"},
'YearA-AppDetails Current Date'!I:I,"WINTER"))), "")</f>
        <v/>
      </c>
      <c r="P129" s="74" t="str">
        <f>IFERROR(1/(1/COUNTIFS(
'YearA-AppDetails Current Date'!A:A,D129,
'YearA-AppDetails Current Date'!F:F,E129,
'YearA-AppDetails Current Date'!E:E,--F129,
'YearA-AppDetails Current Date'!Y:Y,"ENRO",
'YearA-AppDetails Current Date'!I:I,"WINTER")),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HC'!D:T,6,FALSE)),
N(VLOOKUP(D130&amp;F130,'Budgeted Projections Intl HC'!D:T,7,FALSE))
)
),"")</f>
        <v/>
      </c>
      <c r="I130" s="73" t="str">
        <f>IFERROR(1/(1/COUNTIFS(
'YearA-AppDetails Current Date'!A:A,D130,
'YearA-AppDetails Current Date'!F:F,E130,
'YearA-AppDetails Current Date'!E:E,--F130,
'YearA-AppDetails Current Date'!I:I,"WINTER")), "")</f>
        <v/>
      </c>
      <c r="J130" s="74" t="str" cm="1">
        <f t="array" ref="J130">IFERROR(1/(1/SUM(COUNTIFS(
'YearA-AppDetails Current Date'!A:A,D130,
'YearA-AppDetails Current Date'!F:F,E130,
'YearA-AppDetails Current Date'!E:E,--F130,
'YearA-AppDetails Current Date'!O:O,{"ACLN","ACPT","COND"},
'YearA-AppDetails Current Date'!S:S,"&lt;&gt;ACLN",
'YearA-AppDetails Current Date'!S:S,"&lt;&gt;ACPT",
'YearA-AppDetails Current Date'!S:S,"&lt;&gt;COND",
'YearA-AppDetails Current Date'!I:I,"WINTER"))), "")</f>
        <v/>
      </c>
      <c r="K130" s="73" t="str">
        <f>IFERROR(1/(1/SUM(COUNTIFS(
'YearA-AppDetails Current Date'!A:A,D130,
'YearA-AppDetails Current Date'!F:F,E130,
'YearA-AppDetails Current Date'!E:E,--F130,
'YearA-AppDetails Current Date'!R:R,"&lt;&gt;"&amp;"",
'YearA-AppDetails Current Date'!I:I,"WINTER"))), "")</f>
        <v/>
      </c>
      <c r="L130" s="74" t="str" cm="1">
        <f t="array" ref="L130">IFERROR(1/(1/SUM(COUNTIFS(
'YearA-AppDetails Current Date'!A:A,D130,
'YearA-AppDetails Current Date'!F:F,E130,
'YearA-AppDetails Current Date'!E:E,--F130,
'YearA-AppDetails Current Date'!T:T,{"APEX","DENY","NTSL"},
'YearA-AppDetails Current Date'!I:I,"WINTER"))), "")</f>
        <v/>
      </c>
      <c r="M130" s="74" t="str" cm="1">
        <f t="array" ref="M130">IFERROR(1/(1/SUM(COUNTIFS(
'YearA-AppDetails Current Date'!A:A,D130,
'YearA-AppDetails Current Date'!F:F,E130,
'YearA-AppDetails Current Date'!E:E,--F130,
'YearA-AppDetails Current Date'!U:U,{"CCAN","DECL"},
'YearA-AppDetails Current Date'!I:I,"WINTER"))), "")</f>
        <v/>
      </c>
      <c r="N130" s="74" t="str" cm="1">
        <f t="array" ref="N130">IFERROR(1/(1/SUM(COUNTIFS(
'YearA-AppDetails Current Date'!A:A,D130,
'YearA-AppDetails Current Date'!F:F,E130,
'YearA-AppDetails Current Date'!E:E,--F130,
'YearA-AppDetails Current Date'!V:V,{"APRO","NODE"},
'YearA-AppDetails Current Date'!I:I,"WINTER"))), "")</f>
        <v/>
      </c>
      <c r="O130" s="74" t="str" cm="1">
        <f t="array" ref="O130">IFERROR(1/(1/SUM(COUNTIFS(
'YearA-AppDetails Current Date'!A:A,D130,
'YearA-AppDetails Current Date'!F:F,E130,
'YearA-AppDetails Current Date'!E:E,--F130,
'YearA-AppDetails Current Date'!T:T,{"CDMT","RQMT","WAIT"},
'YearA-AppDetails Current Date'!I:I,"WINTER"))), "")</f>
        <v/>
      </c>
      <c r="P130" s="74" t="str">
        <f>IFERROR(1/(1/COUNTIFS(
'YearA-AppDetails Current Date'!A:A,D130,
'YearA-AppDetails Current Date'!F:F,E130,
'YearA-AppDetails Current Date'!E:E,--F130,
'YearA-AppDetails Current Date'!Y:Y,"ENRO",
'YearA-AppDetails Current Date'!I:I,"WINTER")),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HC'!D:T,6,FALSE)),
N(VLOOKUP(D131&amp;F131,'Budgeted Projections Dom HC'!D:T,7,FALSE))
)
),"")</f>
        <v/>
      </c>
      <c r="I131" s="73" t="str">
        <f>IFERROR(1/(1/COUNTIFS(
'YearA-AppDetails Current Date'!A:A,D131,
'YearA-AppDetails Current Date'!F:F,E131,
'YearA-AppDetails Current Date'!E:E,--F131,
'YearA-AppDetails Current Date'!I:I,"WINTER")), "")</f>
        <v/>
      </c>
      <c r="J131" s="74" t="str" cm="1">
        <f t="array" ref="J131">IFERROR(1/(1/SUM(COUNTIFS(
'YearA-AppDetails Current Date'!A:A,D131,
'YearA-AppDetails Current Date'!F:F,E131,
'YearA-AppDetails Current Date'!E:E,--F131,
'YearA-AppDetails Current Date'!O:O,{"ACLN","ACPT","COND"},
'YearA-AppDetails Current Date'!S:S,"&lt;&gt;ACLN",
'YearA-AppDetails Current Date'!S:S,"&lt;&gt;ACPT",
'YearA-AppDetails Current Date'!S:S,"&lt;&gt;COND",
'YearA-AppDetails Current Date'!I:I,"WINTER"))), "")</f>
        <v/>
      </c>
      <c r="K131" s="73" t="str">
        <f>IFERROR(1/(1/SUM(COUNTIFS(
'YearA-AppDetails Current Date'!A:A,D131,
'YearA-AppDetails Current Date'!F:F,E131,
'YearA-AppDetails Current Date'!E:E,--F131,
'YearA-AppDetails Current Date'!R:R,"&lt;&gt;"&amp;"",
'YearA-AppDetails Current Date'!I:I,"WINTER"))), "")</f>
        <v/>
      </c>
      <c r="L131" s="74" t="str" cm="1">
        <f t="array" ref="L131">IFERROR(1/(1/SUM(COUNTIFS(
'YearA-AppDetails Current Date'!A:A,D131,
'YearA-AppDetails Current Date'!F:F,E131,
'YearA-AppDetails Current Date'!E:E,--F131,
'YearA-AppDetails Current Date'!T:T,{"APEX","DENY","NTSL"},
'YearA-AppDetails Current Date'!I:I,"WINTER"))), "")</f>
        <v/>
      </c>
      <c r="M131" s="74" t="str" cm="1">
        <f t="array" ref="M131">IFERROR(1/(1/SUM(COUNTIFS(
'YearA-AppDetails Current Date'!A:A,D131,
'YearA-AppDetails Current Date'!F:F,E131,
'YearA-AppDetails Current Date'!E:E,--F131,
'YearA-AppDetails Current Date'!U:U,{"CCAN","DECL"},
'YearA-AppDetails Current Date'!I:I,"WINTER"))), "")</f>
        <v/>
      </c>
      <c r="N131" s="74" t="str" cm="1">
        <f t="array" ref="N131">IFERROR(1/(1/SUM(COUNTIFS(
'YearA-AppDetails Current Date'!A:A,D131,
'YearA-AppDetails Current Date'!F:F,E131,
'YearA-AppDetails Current Date'!E:E,--F131,
'YearA-AppDetails Current Date'!V:V,{"APRO","NODE"},
'YearA-AppDetails Current Date'!I:I,"WINTER"))), "")</f>
        <v/>
      </c>
      <c r="O131" s="74" t="str" cm="1">
        <f t="array" ref="O131">IFERROR(1/(1/SUM(COUNTIFS(
'YearA-AppDetails Current Date'!A:A,D131,
'YearA-AppDetails Current Date'!F:F,E131,
'YearA-AppDetails Current Date'!E:E,--F131,
'YearA-AppDetails Current Date'!T:T,{"CDMT","RQMT","WAIT"},
'YearA-AppDetails Current Date'!I:I,"WINTER"))), "")</f>
        <v/>
      </c>
      <c r="P131" s="74" t="str">
        <f>IFERROR(1/(1/COUNTIFS(
'YearA-AppDetails Current Date'!A:A,D131,
'YearA-AppDetails Current Date'!F:F,E131,
'YearA-AppDetails Current Date'!E:E,--F131,
'YearA-AppDetails Current Date'!Y:Y,"ENRO",
'YearA-AppDetails Current Date'!I:I,"WINTER")),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HC'!D:T,6,FALSE)),
N(VLOOKUP(D132&amp;F132,'Budgeted Projections Intl HC'!D:T,7,FALSE))
)
),"")</f>
        <v/>
      </c>
      <c r="I132" s="73" t="str">
        <f>IFERROR(1/(1/COUNTIFS(
'YearA-AppDetails Current Date'!A:A,D132,
'YearA-AppDetails Current Date'!F:F,E132,
'YearA-AppDetails Current Date'!E:E,--F132,
'YearA-AppDetails Current Date'!I:I,"WINTER")), "")</f>
        <v/>
      </c>
      <c r="J132" s="74" t="str" cm="1">
        <f t="array" ref="J132">IFERROR(1/(1/SUM(COUNTIFS(
'YearA-AppDetails Current Date'!A:A,D132,
'YearA-AppDetails Current Date'!F:F,E132,
'YearA-AppDetails Current Date'!E:E,--F132,
'YearA-AppDetails Current Date'!O:O,{"ACLN","ACPT","COND"},
'YearA-AppDetails Current Date'!S:S,"&lt;&gt;ACLN",
'YearA-AppDetails Current Date'!S:S,"&lt;&gt;ACPT",
'YearA-AppDetails Current Date'!S:S,"&lt;&gt;COND",
'YearA-AppDetails Current Date'!I:I,"WINTER"))), "")</f>
        <v/>
      </c>
      <c r="K132" s="73" t="str">
        <f>IFERROR(1/(1/SUM(COUNTIFS(
'YearA-AppDetails Current Date'!A:A,D132,
'YearA-AppDetails Current Date'!F:F,E132,
'YearA-AppDetails Current Date'!E:E,--F132,
'YearA-AppDetails Current Date'!R:R,"&lt;&gt;"&amp;"",
'YearA-AppDetails Current Date'!I:I,"WINTER"))), "")</f>
        <v/>
      </c>
      <c r="L132" s="74" t="str" cm="1">
        <f t="array" ref="L132">IFERROR(1/(1/SUM(COUNTIFS(
'YearA-AppDetails Current Date'!A:A,D132,
'YearA-AppDetails Current Date'!F:F,E132,
'YearA-AppDetails Current Date'!E:E,--F132,
'YearA-AppDetails Current Date'!T:T,{"APEX","DENY","NTSL"},
'YearA-AppDetails Current Date'!I:I,"WINTER"))), "")</f>
        <v/>
      </c>
      <c r="M132" s="74" t="str" cm="1">
        <f t="array" ref="M132">IFERROR(1/(1/SUM(COUNTIFS(
'YearA-AppDetails Current Date'!A:A,D132,
'YearA-AppDetails Current Date'!F:F,E132,
'YearA-AppDetails Current Date'!E:E,--F132,
'YearA-AppDetails Current Date'!U:U,{"CCAN","DECL"},
'YearA-AppDetails Current Date'!I:I,"WINTER"))), "")</f>
        <v/>
      </c>
      <c r="N132" s="74" t="str" cm="1">
        <f t="array" ref="N132">IFERROR(1/(1/SUM(COUNTIFS(
'YearA-AppDetails Current Date'!A:A,D132,
'YearA-AppDetails Current Date'!F:F,E132,
'YearA-AppDetails Current Date'!E:E,--F132,
'YearA-AppDetails Current Date'!V:V,{"APRO","NODE"},
'YearA-AppDetails Current Date'!I:I,"WINTER"))), "")</f>
        <v/>
      </c>
      <c r="O132" s="74" t="str" cm="1">
        <f t="array" ref="O132">IFERROR(1/(1/SUM(COUNTIFS(
'YearA-AppDetails Current Date'!A:A,D132,
'YearA-AppDetails Current Date'!F:F,E132,
'YearA-AppDetails Current Date'!E:E,--F132,
'YearA-AppDetails Current Date'!T:T,{"CDMT","RQMT","WAIT"},
'YearA-AppDetails Current Date'!I:I,"WINTER"))), "")</f>
        <v/>
      </c>
      <c r="P132" s="74" t="str">
        <f>IFERROR(1/(1/COUNTIFS(
'YearA-AppDetails Current Date'!A:A,D132,
'YearA-AppDetails Current Date'!F:F,E132,
'YearA-AppDetails Current Date'!E:E,--F132,
'YearA-AppDetails Current Date'!Y:Y,"ENRO",
'YearA-AppDetails Current Date'!I:I,"WINTER")),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HC'!D:T,6,FALSE)),
N(VLOOKUP(D133&amp;F133,'Budgeted Projections Dom HC'!D:T,7,FALSE))
)
),"")</f>
        <v/>
      </c>
      <c r="I133" s="73" t="str">
        <f>IFERROR(1/(1/COUNTIFS(
'YearA-AppDetails Current Date'!A:A,D133,
'YearA-AppDetails Current Date'!F:F,E133,
'YearA-AppDetails Current Date'!E:E,--F133,
'YearA-AppDetails Current Date'!I:I,"WINTER")), "")</f>
        <v/>
      </c>
      <c r="J133" s="74" t="str" cm="1">
        <f t="array" ref="J133">IFERROR(1/(1/SUM(COUNTIFS(
'YearA-AppDetails Current Date'!A:A,D133,
'YearA-AppDetails Current Date'!F:F,E133,
'YearA-AppDetails Current Date'!E:E,--F133,
'YearA-AppDetails Current Date'!O:O,{"ACLN","ACPT","COND"},
'YearA-AppDetails Current Date'!S:S,"&lt;&gt;ACLN",
'YearA-AppDetails Current Date'!S:S,"&lt;&gt;ACPT",
'YearA-AppDetails Current Date'!S:S,"&lt;&gt;COND",
'YearA-AppDetails Current Date'!I:I,"WINTER"))), "")</f>
        <v/>
      </c>
      <c r="K133" s="73" t="str">
        <f>IFERROR(1/(1/SUM(COUNTIFS(
'YearA-AppDetails Current Date'!A:A,D133,
'YearA-AppDetails Current Date'!F:F,E133,
'YearA-AppDetails Current Date'!E:E,--F133,
'YearA-AppDetails Current Date'!R:R,"&lt;&gt;"&amp;"",
'YearA-AppDetails Current Date'!I:I,"WINTER"))), "")</f>
        <v/>
      </c>
      <c r="L133" s="74" t="str" cm="1">
        <f t="array" ref="L133">IFERROR(1/(1/SUM(COUNTIFS(
'YearA-AppDetails Current Date'!A:A,D133,
'YearA-AppDetails Current Date'!F:F,E133,
'YearA-AppDetails Current Date'!E:E,--F133,
'YearA-AppDetails Current Date'!T:T,{"APEX","DENY","NTSL"},
'YearA-AppDetails Current Date'!I:I,"WINTER"))), "")</f>
        <v/>
      </c>
      <c r="M133" s="74" t="str" cm="1">
        <f t="array" ref="M133">IFERROR(1/(1/SUM(COUNTIFS(
'YearA-AppDetails Current Date'!A:A,D133,
'YearA-AppDetails Current Date'!F:F,E133,
'YearA-AppDetails Current Date'!E:E,--F133,
'YearA-AppDetails Current Date'!U:U,{"CCAN","DECL"},
'YearA-AppDetails Current Date'!I:I,"WINTER"))), "")</f>
        <v/>
      </c>
      <c r="N133" s="74" t="str" cm="1">
        <f t="array" ref="N133">IFERROR(1/(1/SUM(COUNTIFS(
'YearA-AppDetails Current Date'!A:A,D133,
'YearA-AppDetails Current Date'!F:F,E133,
'YearA-AppDetails Current Date'!E:E,--F133,
'YearA-AppDetails Current Date'!V:V,{"APRO","NODE"},
'YearA-AppDetails Current Date'!I:I,"WINTER"))), "")</f>
        <v/>
      </c>
      <c r="O133" s="74" t="str" cm="1">
        <f t="array" ref="O133">IFERROR(1/(1/SUM(COUNTIFS(
'YearA-AppDetails Current Date'!A:A,D133,
'YearA-AppDetails Current Date'!F:F,E133,
'YearA-AppDetails Current Date'!E:E,--F133,
'YearA-AppDetails Current Date'!T:T,{"CDMT","RQMT","WAIT"},
'YearA-AppDetails Current Date'!I:I,"WINTER"))), "")</f>
        <v/>
      </c>
      <c r="P133" s="74" t="str">
        <f>IFERROR(1/(1/COUNTIFS(
'YearA-AppDetails Current Date'!A:A,D133,
'YearA-AppDetails Current Date'!F:F,E133,
'YearA-AppDetails Current Date'!E:E,--F133,
'YearA-AppDetails Current Date'!Y:Y,"ENRO",
'YearA-AppDetails Current Date'!I:I,"WINTER")),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HC'!D:T,6,FALSE)),
N(VLOOKUP(D134&amp;F134,'Budgeted Projections Intl HC'!D:T,7,FALSE))
)
),"")</f>
        <v/>
      </c>
      <c r="I134" s="73" t="str">
        <f>IFERROR(1/(1/COUNTIFS(
'YearA-AppDetails Current Date'!A:A,D134,
'YearA-AppDetails Current Date'!F:F,E134,
'YearA-AppDetails Current Date'!E:E,--F134,
'YearA-AppDetails Current Date'!I:I,"WINTER")), "")</f>
        <v/>
      </c>
      <c r="J134" s="74" t="str" cm="1">
        <f t="array" ref="J134">IFERROR(1/(1/SUM(COUNTIFS(
'YearA-AppDetails Current Date'!A:A,D134,
'YearA-AppDetails Current Date'!F:F,E134,
'YearA-AppDetails Current Date'!E:E,--F134,
'YearA-AppDetails Current Date'!O:O,{"ACLN","ACPT","COND"},
'YearA-AppDetails Current Date'!S:S,"&lt;&gt;ACLN",
'YearA-AppDetails Current Date'!S:S,"&lt;&gt;ACPT",
'YearA-AppDetails Current Date'!S:S,"&lt;&gt;COND",
'YearA-AppDetails Current Date'!I:I,"WINTER"))), "")</f>
        <v/>
      </c>
      <c r="K134" s="73" t="str">
        <f>IFERROR(1/(1/SUM(COUNTIFS(
'YearA-AppDetails Current Date'!A:A,D134,
'YearA-AppDetails Current Date'!F:F,E134,
'YearA-AppDetails Current Date'!E:E,--F134,
'YearA-AppDetails Current Date'!R:R,"&lt;&gt;"&amp;"",
'YearA-AppDetails Current Date'!I:I,"WINTER"))), "")</f>
        <v/>
      </c>
      <c r="L134" s="74" t="str" cm="1">
        <f t="array" ref="L134">IFERROR(1/(1/SUM(COUNTIFS(
'YearA-AppDetails Current Date'!A:A,D134,
'YearA-AppDetails Current Date'!F:F,E134,
'YearA-AppDetails Current Date'!E:E,--F134,
'YearA-AppDetails Current Date'!T:T,{"APEX","DENY","NTSL"},
'YearA-AppDetails Current Date'!I:I,"WINTER"))), "")</f>
        <v/>
      </c>
      <c r="M134" s="74" t="str" cm="1">
        <f t="array" ref="M134">IFERROR(1/(1/SUM(COUNTIFS(
'YearA-AppDetails Current Date'!A:A,D134,
'YearA-AppDetails Current Date'!F:F,E134,
'YearA-AppDetails Current Date'!E:E,--F134,
'YearA-AppDetails Current Date'!U:U,{"CCAN","DECL"},
'YearA-AppDetails Current Date'!I:I,"WINTER"))), "")</f>
        <v/>
      </c>
      <c r="N134" s="74" t="str" cm="1">
        <f t="array" ref="N134">IFERROR(1/(1/SUM(COUNTIFS(
'YearA-AppDetails Current Date'!A:A,D134,
'YearA-AppDetails Current Date'!F:F,E134,
'YearA-AppDetails Current Date'!E:E,--F134,
'YearA-AppDetails Current Date'!V:V,{"APRO","NODE"},
'YearA-AppDetails Current Date'!I:I,"WINTER"))), "")</f>
        <v/>
      </c>
      <c r="O134" s="74" t="str" cm="1">
        <f t="array" ref="O134">IFERROR(1/(1/SUM(COUNTIFS(
'YearA-AppDetails Current Date'!A:A,D134,
'YearA-AppDetails Current Date'!F:F,E134,
'YearA-AppDetails Current Date'!E:E,--F134,
'YearA-AppDetails Current Date'!T:T,{"CDMT","RQMT","WAIT"},
'YearA-AppDetails Current Date'!I:I,"WINTER"))), "")</f>
        <v/>
      </c>
      <c r="P134" s="74" t="str">
        <f>IFERROR(1/(1/COUNTIFS(
'YearA-AppDetails Current Date'!A:A,D134,
'YearA-AppDetails Current Date'!F:F,E134,
'YearA-AppDetails Current Date'!E:E,--F134,
'YearA-AppDetails Current Date'!Y:Y,"ENRO",
'YearA-AppDetails Current Date'!I:I,"WINTER")),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HC'!D:T,6,FALSE)),
N(VLOOKUP(D135&amp;F135,'Budgeted Projections Dom HC'!D:T,7,FALSE))
)
),"")</f>
        <v/>
      </c>
      <c r="I135" s="73" t="str">
        <f>IFERROR(1/(1/COUNTIFS(
'YearA-AppDetails Current Date'!A:A,D135,
'YearA-AppDetails Current Date'!F:F,E135,
'YearA-AppDetails Current Date'!E:E,--F135,
'YearA-AppDetails Current Date'!I:I,"WINTER")), "")</f>
        <v/>
      </c>
      <c r="J135" s="74" t="str" cm="1">
        <f t="array" ref="J135">IFERROR(1/(1/SUM(COUNTIFS(
'YearA-AppDetails Current Date'!A:A,D135,
'YearA-AppDetails Current Date'!F:F,E135,
'YearA-AppDetails Current Date'!E:E,--F135,
'YearA-AppDetails Current Date'!O:O,{"ACLN","ACPT","COND"},
'YearA-AppDetails Current Date'!S:S,"&lt;&gt;ACLN",
'YearA-AppDetails Current Date'!S:S,"&lt;&gt;ACPT",
'YearA-AppDetails Current Date'!S:S,"&lt;&gt;COND",
'YearA-AppDetails Current Date'!I:I,"WINTER"))), "")</f>
        <v/>
      </c>
      <c r="K135" s="73" t="str">
        <f>IFERROR(1/(1/SUM(COUNTIFS(
'YearA-AppDetails Current Date'!A:A,D135,
'YearA-AppDetails Current Date'!F:F,E135,
'YearA-AppDetails Current Date'!E:E,--F135,
'YearA-AppDetails Current Date'!R:R,"&lt;&gt;"&amp;"",
'YearA-AppDetails Current Date'!I:I,"WINTER"))), "")</f>
        <v/>
      </c>
      <c r="L135" s="74" t="str" cm="1">
        <f t="array" ref="L135">IFERROR(1/(1/SUM(COUNTIFS(
'YearA-AppDetails Current Date'!A:A,D135,
'YearA-AppDetails Current Date'!F:F,E135,
'YearA-AppDetails Current Date'!E:E,--F135,
'YearA-AppDetails Current Date'!T:T,{"APEX","DENY","NTSL"},
'YearA-AppDetails Current Date'!I:I,"WINTER"))), "")</f>
        <v/>
      </c>
      <c r="M135" s="74" t="str" cm="1">
        <f t="array" ref="M135">IFERROR(1/(1/SUM(COUNTIFS(
'YearA-AppDetails Current Date'!A:A,D135,
'YearA-AppDetails Current Date'!F:F,E135,
'YearA-AppDetails Current Date'!E:E,--F135,
'YearA-AppDetails Current Date'!U:U,{"CCAN","DECL"},
'YearA-AppDetails Current Date'!I:I,"WINTER"))), "")</f>
        <v/>
      </c>
      <c r="N135" s="74" t="str" cm="1">
        <f t="array" ref="N135">IFERROR(1/(1/SUM(COUNTIFS(
'YearA-AppDetails Current Date'!A:A,D135,
'YearA-AppDetails Current Date'!F:F,E135,
'YearA-AppDetails Current Date'!E:E,--F135,
'YearA-AppDetails Current Date'!V:V,{"APRO","NODE"},
'YearA-AppDetails Current Date'!I:I,"WINTER"))), "")</f>
        <v/>
      </c>
      <c r="O135" s="74" t="str" cm="1">
        <f t="array" ref="O135">IFERROR(1/(1/SUM(COUNTIFS(
'YearA-AppDetails Current Date'!A:A,D135,
'YearA-AppDetails Current Date'!F:F,E135,
'YearA-AppDetails Current Date'!E:E,--F135,
'YearA-AppDetails Current Date'!T:T,{"CDMT","RQMT","WAIT"},
'YearA-AppDetails Current Date'!I:I,"WINTER"))), "")</f>
        <v/>
      </c>
      <c r="P135" s="74" t="str">
        <f>IFERROR(1/(1/COUNTIFS(
'YearA-AppDetails Current Date'!A:A,D135,
'YearA-AppDetails Current Date'!F:F,E135,
'YearA-AppDetails Current Date'!E:E,--F135,
'YearA-AppDetails Current Date'!Y:Y,"ENRO",
'YearA-AppDetails Current Date'!I:I,"WINTER")),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HC'!D:T,6,FALSE)),
N(VLOOKUP(D136&amp;F136,'Budgeted Projections Intl HC'!D:T,7,FALSE))
)
),"")</f>
        <v/>
      </c>
      <c r="I136" s="73" t="str">
        <f>IFERROR(1/(1/COUNTIFS(
'YearA-AppDetails Current Date'!A:A,D136,
'YearA-AppDetails Current Date'!F:F,E136,
'YearA-AppDetails Current Date'!E:E,--F136,
'YearA-AppDetails Current Date'!I:I,"WINTER")), "")</f>
        <v/>
      </c>
      <c r="J136" s="74" t="str" cm="1">
        <f t="array" ref="J136">IFERROR(1/(1/SUM(COUNTIFS(
'YearA-AppDetails Current Date'!A:A,D136,
'YearA-AppDetails Current Date'!F:F,E136,
'YearA-AppDetails Current Date'!E:E,--F136,
'YearA-AppDetails Current Date'!O:O,{"ACLN","ACPT","COND"},
'YearA-AppDetails Current Date'!S:S,"&lt;&gt;ACLN",
'YearA-AppDetails Current Date'!S:S,"&lt;&gt;ACPT",
'YearA-AppDetails Current Date'!S:S,"&lt;&gt;COND",
'YearA-AppDetails Current Date'!I:I,"WINTER"))), "")</f>
        <v/>
      </c>
      <c r="K136" s="73" t="str">
        <f>IFERROR(1/(1/SUM(COUNTIFS(
'YearA-AppDetails Current Date'!A:A,D136,
'YearA-AppDetails Current Date'!F:F,E136,
'YearA-AppDetails Current Date'!E:E,--F136,
'YearA-AppDetails Current Date'!R:R,"&lt;&gt;"&amp;"",
'YearA-AppDetails Current Date'!I:I,"WINTER"))), "")</f>
        <v/>
      </c>
      <c r="L136" s="74" t="str" cm="1">
        <f t="array" ref="L136">IFERROR(1/(1/SUM(COUNTIFS(
'YearA-AppDetails Current Date'!A:A,D136,
'YearA-AppDetails Current Date'!F:F,E136,
'YearA-AppDetails Current Date'!E:E,--F136,
'YearA-AppDetails Current Date'!T:T,{"APEX","DENY","NTSL"},
'YearA-AppDetails Current Date'!I:I,"WINTER"))), "")</f>
        <v/>
      </c>
      <c r="M136" s="74" t="str" cm="1">
        <f t="array" ref="M136">IFERROR(1/(1/SUM(COUNTIFS(
'YearA-AppDetails Current Date'!A:A,D136,
'YearA-AppDetails Current Date'!F:F,E136,
'YearA-AppDetails Current Date'!E:E,--F136,
'YearA-AppDetails Current Date'!U:U,{"CCAN","DECL"},
'YearA-AppDetails Current Date'!I:I,"WINTER"))), "")</f>
        <v/>
      </c>
      <c r="N136" s="74" t="str" cm="1">
        <f t="array" ref="N136">IFERROR(1/(1/SUM(COUNTIFS(
'YearA-AppDetails Current Date'!A:A,D136,
'YearA-AppDetails Current Date'!F:F,E136,
'YearA-AppDetails Current Date'!E:E,--F136,
'YearA-AppDetails Current Date'!V:V,{"APRO","NODE"},
'YearA-AppDetails Current Date'!I:I,"WINTER"))), "")</f>
        <v/>
      </c>
      <c r="O136" s="74" t="str" cm="1">
        <f t="array" ref="O136">IFERROR(1/(1/SUM(COUNTIFS(
'YearA-AppDetails Current Date'!A:A,D136,
'YearA-AppDetails Current Date'!F:F,E136,
'YearA-AppDetails Current Date'!E:E,--F136,
'YearA-AppDetails Current Date'!T:T,{"CDMT","RQMT","WAIT"},
'YearA-AppDetails Current Date'!I:I,"WINTER"))), "")</f>
        <v/>
      </c>
      <c r="P136" s="74" t="str">
        <f>IFERROR(1/(1/COUNTIFS(
'YearA-AppDetails Current Date'!A:A,D136,
'YearA-AppDetails Current Date'!F:F,E136,
'YearA-AppDetails Current Date'!E:E,--F136,
'YearA-AppDetails Current Date'!Y:Y,"ENRO",
'YearA-AppDetails Current Date'!I:I,"WINTER")),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HC'!D:T,6,FALSE)),
N(VLOOKUP(D137&amp;F137,'Budgeted Projections Dom HC'!D:T,7,FALSE))
)
),"")</f>
        <v/>
      </c>
      <c r="I137" s="73" t="str">
        <f>IFERROR(1/(1/COUNTIFS(
'YearA-AppDetails Current Date'!A:A,D137,
'YearA-AppDetails Current Date'!F:F,E137,
'YearA-AppDetails Current Date'!E:E,--F137,
'YearA-AppDetails Current Date'!I:I,"WINTER")), "")</f>
        <v/>
      </c>
      <c r="J137" s="74" t="str" cm="1">
        <f t="array" ref="J137">IFERROR(1/(1/SUM(COUNTIFS(
'YearA-AppDetails Current Date'!A:A,D137,
'YearA-AppDetails Current Date'!F:F,E137,
'YearA-AppDetails Current Date'!E:E,--F137,
'YearA-AppDetails Current Date'!O:O,{"ACLN","ACPT","COND"},
'YearA-AppDetails Current Date'!S:S,"&lt;&gt;ACLN",
'YearA-AppDetails Current Date'!S:S,"&lt;&gt;ACPT",
'YearA-AppDetails Current Date'!S:S,"&lt;&gt;COND",
'YearA-AppDetails Current Date'!I:I,"WINTER"))), "")</f>
        <v/>
      </c>
      <c r="K137" s="73" t="str">
        <f>IFERROR(1/(1/SUM(COUNTIFS(
'YearA-AppDetails Current Date'!A:A,D137,
'YearA-AppDetails Current Date'!F:F,E137,
'YearA-AppDetails Current Date'!E:E,--F137,
'YearA-AppDetails Current Date'!R:R,"&lt;&gt;"&amp;"",
'YearA-AppDetails Current Date'!I:I,"WINTER"))), "")</f>
        <v/>
      </c>
      <c r="L137" s="74" t="str" cm="1">
        <f t="array" ref="L137">IFERROR(1/(1/SUM(COUNTIFS(
'YearA-AppDetails Current Date'!A:A,D137,
'YearA-AppDetails Current Date'!F:F,E137,
'YearA-AppDetails Current Date'!E:E,--F137,
'YearA-AppDetails Current Date'!T:T,{"APEX","DENY","NTSL"},
'YearA-AppDetails Current Date'!I:I,"WINTER"))), "")</f>
        <v/>
      </c>
      <c r="M137" s="74" t="str" cm="1">
        <f t="array" ref="M137">IFERROR(1/(1/SUM(COUNTIFS(
'YearA-AppDetails Current Date'!A:A,D137,
'YearA-AppDetails Current Date'!F:F,E137,
'YearA-AppDetails Current Date'!E:E,--F137,
'YearA-AppDetails Current Date'!U:U,{"CCAN","DECL"},
'YearA-AppDetails Current Date'!I:I,"WINTER"))), "")</f>
        <v/>
      </c>
      <c r="N137" s="74" t="str" cm="1">
        <f t="array" ref="N137">IFERROR(1/(1/SUM(COUNTIFS(
'YearA-AppDetails Current Date'!A:A,D137,
'YearA-AppDetails Current Date'!F:F,E137,
'YearA-AppDetails Current Date'!E:E,--F137,
'YearA-AppDetails Current Date'!V:V,{"APRO","NODE"},
'YearA-AppDetails Current Date'!I:I,"WINTER"))), "")</f>
        <v/>
      </c>
      <c r="O137" s="74" t="str" cm="1">
        <f t="array" ref="O137">IFERROR(1/(1/SUM(COUNTIFS(
'YearA-AppDetails Current Date'!A:A,D137,
'YearA-AppDetails Current Date'!F:F,E137,
'YearA-AppDetails Current Date'!E:E,--F137,
'YearA-AppDetails Current Date'!T:T,{"CDMT","RQMT","WAIT"},
'YearA-AppDetails Current Date'!I:I,"WINTER"))), "")</f>
        <v/>
      </c>
      <c r="P137" s="74" t="str">
        <f>IFERROR(1/(1/COUNTIFS(
'YearA-AppDetails Current Date'!A:A,D137,
'YearA-AppDetails Current Date'!F:F,E137,
'YearA-AppDetails Current Date'!E:E,--F137,
'YearA-AppDetails Current Date'!Y:Y,"ENRO",
'YearA-AppDetails Current Date'!I:I,"WINTER")),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HC'!D:T,6,FALSE)),
N(VLOOKUP(D138&amp;F138,'Budgeted Projections Intl HC'!D:T,7,FALSE))
)
),"")</f>
        <v/>
      </c>
      <c r="I138" s="73" t="str">
        <f>IFERROR(1/(1/COUNTIFS(
'YearA-AppDetails Current Date'!A:A,D138,
'YearA-AppDetails Current Date'!F:F,E138,
'YearA-AppDetails Current Date'!E:E,--F138,
'YearA-AppDetails Current Date'!I:I,"WINTER")), "")</f>
        <v/>
      </c>
      <c r="J138" s="74" t="str" cm="1">
        <f t="array" ref="J138">IFERROR(1/(1/SUM(COUNTIFS(
'YearA-AppDetails Current Date'!A:A,D138,
'YearA-AppDetails Current Date'!F:F,E138,
'YearA-AppDetails Current Date'!E:E,--F138,
'YearA-AppDetails Current Date'!O:O,{"ACLN","ACPT","COND"},
'YearA-AppDetails Current Date'!S:S,"&lt;&gt;ACLN",
'YearA-AppDetails Current Date'!S:S,"&lt;&gt;ACPT",
'YearA-AppDetails Current Date'!S:S,"&lt;&gt;COND",
'YearA-AppDetails Current Date'!I:I,"WINTER"))), "")</f>
        <v/>
      </c>
      <c r="K138" s="73" t="str">
        <f>IFERROR(1/(1/SUM(COUNTIFS(
'YearA-AppDetails Current Date'!A:A,D138,
'YearA-AppDetails Current Date'!F:F,E138,
'YearA-AppDetails Current Date'!E:E,--F138,
'YearA-AppDetails Current Date'!R:R,"&lt;&gt;"&amp;"",
'YearA-AppDetails Current Date'!I:I,"WINTER"))), "")</f>
        <v/>
      </c>
      <c r="L138" s="74" t="str" cm="1">
        <f t="array" ref="L138">IFERROR(1/(1/SUM(COUNTIFS(
'YearA-AppDetails Current Date'!A:A,D138,
'YearA-AppDetails Current Date'!F:F,E138,
'YearA-AppDetails Current Date'!E:E,--F138,
'YearA-AppDetails Current Date'!T:T,{"APEX","DENY","NTSL"},
'YearA-AppDetails Current Date'!I:I,"WINTER"))), "")</f>
        <v/>
      </c>
      <c r="M138" s="74" t="str" cm="1">
        <f t="array" ref="M138">IFERROR(1/(1/SUM(COUNTIFS(
'YearA-AppDetails Current Date'!A:A,D138,
'YearA-AppDetails Current Date'!F:F,E138,
'YearA-AppDetails Current Date'!E:E,--F138,
'YearA-AppDetails Current Date'!U:U,{"CCAN","DECL"},
'YearA-AppDetails Current Date'!I:I,"WINTER"))), "")</f>
        <v/>
      </c>
      <c r="N138" s="74" t="str" cm="1">
        <f t="array" ref="N138">IFERROR(1/(1/SUM(COUNTIFS(
'YearA-AppDetails Current Date'!A:A,D138,
'YearA-AppDetails Current Date'!F:F,E138,
'YearA-AppDetails Current Date'!E:E,--F138,
'YearA-AppDetails Current Date'!V:V,{"APRO","NODE"},
'YearA-AppDetails Current Date'!I:I,"WINTER"))), "")</f>
        <v/>
      </c>
      <c r="O138" s="74" t="str" cm="1">
        <f t="array" ref="O138">IFERROR(1/(1/SUM(COUNTIFS(
'YearA-AppDetails Current Date'!A:A,D138,
'YearA-AppDetails Current Date'!F:F,E138,
'YearA-AppDetails Current Date'!E:E,--F138,
'YearA-AppDetails Current Date'!T:T,{"CDMT","RQMT","WAIT"},
'YearA-AppDetails Current Date'!I:I,"WINTER"))), "")</f>
        <v/>
      </c>
      <c r="P138" s="74" t="str">
        <f>IFERROR(1/(1/COUNTIFS(
'YearA-AppDetails Current Date'!A:A,D138,
'YearA-AppDetails Current Date'!F:F,E138,
'YearA-AppDetails Current Date'!E:E,--F138,
'YearA-AppDetails Current Date'!Y:Y,"ENRO",
'YearA-AppDetails Current Date'!I:I,"WINTER")),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HC'!D:T,6,FALSE)),
N(VLOOKUP(D140&amp;F140,'Budgeted Projections Dom HC'!D:T,7,FALSE))
)
),"")</f>
        <v/>
      </c>
      <c r="I140" s="73" t="str">
        <f>IFERROR(1/(1/COUNTIFS(
'YearA-AppDetails Current Date'!A:A,D140,
'YearA-AppDetails Current Date'!F:F,E140,
'YearA-AppDetails Current Date'!E:E,--F140,
'YearA-AppDetails Current Date'!I:I,"WINTER")), "")</f>
        <v/>
      </c>
      <c r="J140" s="74" t="str" cm="1">
        <f t="array" ref="J140">IFERROR(1/(1/SUM(COUNTIFS(
'YearA-AppDetails Current Date'!A:A,D140,
'YearA-AppDetails Current Date'!F:F,E140,
'YearA-AppDetails Current Date'!E:E,--F140,
'YearA-AppDetails Current Date'!O:O,{"ACLN","ACPT","COND"},
'YearA-AppDetails Current Date'!S:S,"&lt;&gt;ACLN",
'YearA-AppDetails Current Date'!S:S,"&lt;&gt;ACPT",
'YearA-AppDetails Current Date'!S:S,"&lt;&gt;COND",
'YearA-AppDetails Current Date'!I:I,"WINTER"))), "")</f>
        <v/>
      </c>
      <c r="K140" s="73" t="str">
        <f>IFERROR(1/(1/SUM(COUNTIFS(
'YearA-AppDetails Current Date'!A:A,D140,
'YearA-AppDetails Current Date'!F:F,E140,
'YearA-AppDetails Current Date'!E:E,--F140,
'YearA-AppDetails Current Date'!R:R,"&lt;&gt;"&amp;"",
'YearA-AppDetails Current Date'!I:I,"WINTER"))), "")</f>
        <v/>
      </c>
      <c r="L140" s="74" t="str" cm="1">
        <f t="array" ref="L140">IFERROR(1/(1/SUM(COUNTIFS(
'YearA-AppDetails Current Date'!A:A,D140,
'YearA-AppDetails Current Date'!F:F,E140,
'YearA-AppDetails Current Date'!E:E,--F140,
'YearA-AppDetails Current Date'!T:T,{"APEX","DENY","NTSL"},
'YearA-AppDetails Current Date'!I:I,"WINTER"))), "")</f>
        <v/>
      </c>
      <c r="M140" s="74" t="str" cm="1">
        <f t="array" ref="M140">IFERROR(1/(1/SUM(COUNTIFS(
'YearA-AppDetails Current Date'!A:A,D140,
'YearA-AppDetails Current Date'!F:F,E140,
'YearA-AppDetails Current Date'!E:E,--F140,
'YearA-AppDetails Current Date'!U:U,{"CCAN","DECL"},
'YearA-AppDetails Current Date'!I:I,"WINTER"))), "")</f>
        <v/>
      </c>
      <c r="N140" s="74" t="str" cm="1">
        <f t="array" ref="N140">IFERROR(1/(1/SUM(COUNTIFS(
'YearA-AppDetails Current Date'!A:A,D140,
'YearA-AppDetails Current Date'!F:F,E140,
'YearA-AppDetails Current Date'!E:E,--F140,
'YearA-AppDetails Current Date'!V:V,{"APRO","NODE"},
'YearA-AppDetails Current Date'!I:I,"WINTER"))), "")</f>
        <v/>
      </c>
      <c r="O140" s="74" t="str" cm="1">
        <f t="array" ref="O140">IFERROR(1/(1/SUM(COUNTIFS(
'YearA-AppDetails Current Date'!A:A,D140,
'YearA-AppDetails Current Date'!F:F,E140,
'YearA-AppDetails Current Date'!E:E,--F140,
'YearA-AppDetails Current Date'!T:T,{"CDMT","RQMT","WAIT"},
'YearA-AppDetails Current Date'!I:I,"WINTER"))), "")</f>
        <v/>
      </c>
      <c r="P140" s="74" t="str">
        <f>IFERROR(1/(1/COUNTIFS(
'YearA-AppDetails Current Date'!A:A,D140,
'YearA-AppDetails Current Date'!F:F,E140,
'YearA-AppDetails Current Date'!E:E,--F140,
'YearA-AppDetails Current Date'!Y:Y,"ENRO",
'YearA-AppDetails Current Date'!I:I,"WINTER")),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HC'!D:T,6,FALSE)),
N(VLOOKUP(D141&amp;F141,'Budgeted Projections Intl HC'!D:T,7,FALSE))
)
),"")</f>
        <v/>
      </c>
      <c r="I141" s="73" t="str">
        <f>IFERROR(1/(1/COUNTIFS(
'YearA-AppDetails Current Date'!A:A,D141,
'YearA-AppDetails Current Date'!F:F,E141,
'YearA-AppDetails Current Date'!E:E,--F141,
'YearA-AppDetails Current Date'!I:I,"WINTER")), "")</f>
        <v/>
      </c>
      <c r="J141" s="74" t="str" cm="1">
        <f t="array" ref="J141">IFERROR(1/(1/SUM(COUNTIFS(
'YearA-AppDetails Current Date'!A:A,D141,
'YearA-AppDetails Current Date'!F:F,E141,
'YearA-AppDetails Current Date'!E:E,--F141,
'YearA-AppDetails Current Date'!O:O,{"ACLN","ACPT","COND"},
'YearA-AppDetails Current Date'!S:S,"&lt;&gt;ACLN",
'YearA-AppDetails Current Date'!S:S,"&lt;&gt;ACPT",
'YearA-AppDetails Current Date'!S:S,"&lt;&gt;COND",
'YearA-AppDetails Current Date'!I:I,"WINTER"))), "")</f>
        <v/>
      </c>
      <c r="K141" s="73" t="str">
        <f>IFERROR(1/(1/SUM(COUNTIFS(
'YearA-AppDetails Current Date'!A:A,D141,
'YearA-AppDetails Current Date'!F:F,E141,
'YearA-AppDetails Current Date'!E:E,--F141,
'YearA-AppDetails Current Date'!R:R,"&lt;&gt;"&amp;"",
'YearA-AppDetails Current Date'!I:I,"WINTER"))), "")</f>
        <v/>
      </c>
      <c r="L141" s="74" t="str" cm="1">
        <f t="array" ref="L141">IFERROR(1/(1/SUM(COUNTIFS(
'YearA-AppDetails Current Date'!A:A,D141,
'YearA-AppDetails Current Date'!F:F,E141,
'YearA-AppDetails Current Date'!E:E,--F141,
'YearA-AppDetails Current Date'!T:T,{"APEX","DENY","NTSL"},
'YearA-AppDetails Current Date'!I:I,"WINTER"))), "")</f>
        <v/>
      </c>
      <c r="M141" s="74" t="str" cm="1">
        <f t="array" ref="M141">IFERROR(1/(1/SUM(COUNTIFS(
'YearA-AppDetails Current Date'!A:A,D141,
'YearA-AppDetails Current Date'!F:F,E141,
'YearA-AppDetails Current Date'!E:E,--F141,
'YearA-AppDetails Current Date'!U:U,{"CCAN","DECL"},
'YearA-AppDetails Current Date'!I:I,"WINTER"))), "")</f>
        <v/>
      </c>
      <c r="N141" s="74" t="str" cm="1">
        <f t="array" ref="N141">IFERROR(1/(1/SUM(COUNTIFS(
'YearA-AppDetails Current Date'!A:A,D141,
'YearA-AppDetails Current Date'!F:F,E141,
'YearA-AppDetails Current Date'!E:E,--F141,
'YearA-AppDetails Current Date'!V:V,{"APRO","NODE"},
'YearA-AppDetails Current Date'!I:I,"WINTER"))), "")</f>
        <v/>
      </c>
      <c r="O141" s="74" t="str" cm="1">
        <f t="array" ref="O141">IFERROR(1/(1/SUM(COUNTIFS(
'YearA-AppDetails Current Date'!A:A,D141,
'YearA-AppDetails Current Date'!F:F,E141,
'YearA-AppDetails Current Date'!E:E,--F141,
'YearA-AppDetails Current Date'!T:T,{"CDMT","RQMT","WAIT"},
'YearA-AppDetails Current Date'!I:I,"WINTER"))), "")</f>
        <v/>
      </c>
      <c r="P141" s="74" t="str">
        <f>IFERROR(1/(1/COUNTIFS(
'YearA-AppDetails Current Date'!A:A,D141,
'YearA-AppDetails Current Date'!F:F,E141,
'YearA-AppDetails Current Date'!E:E,--F141,
'YearA-AppDetails Current Date'!Y:Y,"ENRO",
'YearA-AppDetails Current Date'!I:I,"WINTER")),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HC'!D:T,6,FALSE)),
N(VLOOKUP(D142&amp;F142,'Budgeted Projections Dom HC'!D:T,7,FALSE))
)
),"")</f>
        <v/>
      </c>
      <c r="I142" s="73" t="str">
        <f>IFERROR(1/(1/COUNTIFS(
'YearA-AppDetails Current Date'!A:A,D142,
'YearA-AppDetails Current Date'!F:F,E142,
'YearA-AppDetails Current Date'!E:E,--F142,
'YearA-AppDetails Current Date'!I:I,"WINTER")), "")</f>
        <v/>
      </c>
      <c r="J142" s="74" t="str" cm="1">
        <f t="array" ref="J142">IFERROR(1/(1/SUM(COUNTIFS(
'YearA-AppDetails Current Date'!A:A,D142,
'YearA-AppDetails Current Date'!F:F,E142,
'YearA-AppDetails Current Date'!E:E,--F142,
'YearA-AppDetails Current Date'!O:O,{"ACLN","ACPT","COND"},
'YearA-AppDetails Current Date'!S:S,"&lt;&gt;ACLN",
'YearA-AppDetails Current Date'!S:S,"&lt;&gt;ACPT",
'YearA-AppDetails Current Date'!S:S,"&lt;&gt;COND",
'YearA-AppDetails Current Date'!I:I,"WINTER"))), "")</f>
        <v/>
      </c>
      <c r="K142" s="73" t="str">
        <f>IFERROR(1/(1/SUM(COUNTIFS(
'YearA-AppDetails Current Date'!A:A,D142,
'YearA-AppDetails Current Date'!F:F,E142,
'YearA-AppDetails Current Date'!E:E,--F142,
'YearA-AppDetails Current Date'!R:R,"&lt;&gt;"&amp;"",
'YearA-AppDetails Current Date'!I:I,"WINTER"))), "")</f>
        <v/>
      </c>
      <c r="L142" s="74" t="str" cm="1">
        <f t="array" ref="L142">IFERROR(1/(1/SUM(COUNTIFS(
'YearA-AppDetails Current Date'!A:A,D142,
'YearA-AppDetails Current Date'!F:F,E142,
'YearA-AppDetails Current Date'!E:E,--F142,
'YearA-AppDetails Current Date'!T:T,{"APEX","DENY","NTSL"},
'YearA-AppDetails Current Date'!I:I,"WINTER"))), "")</f>
        <v/>
      </c>
      <c r="M142" s="74" t="str" cm="1">
        <f t="array" ref="M142">IFERROR(1/(1/SUM(COUNTIFS(
'YearA-AppDetails Current Date'!A:A,D142,
'YearA-AppDetails Current Date'!F:F,E142,
'YearA-AppDetails Current Date'!E:E,--F142,
'YearA-AppDetails Current Date'!U:U,{"CCAN","DECL"},
'YearA-AppDetails Current Date'!I:I,"WINTER"))), "")</f>
        <v/>
      </c>
      <c r="N142" s="74" t="str" cm="1">
        <f t="array" ref="N142">IFERROR(1/(1/SUM(COUNTIFS(
'YearA-AppDetails Current Date'!A:A,D142,
'YearA-AppDetails Current Date'!F:F,E142,
'YearA-AppDetails Current Date'!E:E,--F142,
'YearA-AppDetails Current Date'!V:V,{"APRO","NODE"},
'YearA-AppDetails Current Date'!I:I,"WINTER"))), "")</f>
        <v/>
      </c>
      <c r="O142" s="74" t="str" cm="1">
        <f t="array" ref="O142">IFERROR(1/(1/SUM(COUNTIFS(
'YearA-AppDetails Current Date'!A:A,D142,
'YearA-AppDetails Current Date'!F:F,E142,
'YearA-AppDetails Current Date'!E:E,--F142,
'YearA-AppDetails Current Date'!T:T,{"CDMT","RQMT","WAIT"},
'YearA-AppDetails Current Date'!I:I,"WINTER"))), "")</f>
        <v/>
      </c>
      <c r="P142" s="74" t="str">
        <f>IFERROR(1/(1/COUNTIFS(
'YearA-AppDetails Current Date'!A:A,D142,
'YearA-AppDetails Current Date'!F:F,E142,
'YearA-AppDetails Current Date'!E:E,--F142,
'YearA-AppDetails Current Date'!Y:Y,"ENRO",
'YearA-AppDetails Current Date'!I:I,"WINTER")),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HC'!D:T,6,FALSE)),
N(VLOOKUP(D143&amp;F143,'Budgeted Projections Intl HC'!D:T,7,FALSE))
)
),"")</f>
        <v/>
      </c>
      <c r="I143" s="73" t="str">
        <f>IFERROR(1/(1/COUNTIFS(
'YearA-AppDetails Current Date'!A:A,D143,
'YearA-AppDetails Current Date'!F:F,E143,
'YearA-AppDetails Current Date'!E:E,--F143,
'YearA-AppDetails Current Date'!I:I,"WINTER")), "")</f>
        <v/>
      </c>
      <c r="J143" s="74" t="str" cm="1">
        <f t="array" ref="J143">IFERROR(1/(1/SUM(COUNTIFS(
'YearA-AppDetails Current Date'!A:A,D143,
'YearA-AppDetails Current Date'!F:F,E143,
'YearA-AppDetails Current Date'!E:E,--F143,
'YearA-AppDetails Current Date'!O:O,{"ACLN","ACPT","COND"},
'YearA-AppDetails Current Date'!S:S,"&lt;&gt;ACLN",
'YearA-AppDetails Current Date'!S:S,"&lt;&gt;ACPT",
'YearA-AppDetails Current Date'!S:S,"&lt;&gt;COND",
'YearA-AppDetails Current Date'!I:I,"WINTER"))), "")</f>
        <v/>
      </c>
      <c r="K143" s="73" t="str">
        <f>IFERROR(1/(1/SUM(COUNTIFS(
'YearA-AppDetails Current Date'!A:A,D143,
'YearA-AppDetails Current Date'!F:F,E143,
'YearA-AppDetails Current Date'!E:E,--F143,
'YearA-AppDetails Current Date'!R:R,"&lt;&gt;"&amp;"",
'YearA-AppDetails Current Date'!I:I,"WINTER"))), "")</f>
        <v/>
      </c>
      <c r="L143" s="74" t="str" cm="1">
        <f t="array" ref="L143">IFERROR(1/(1/SUM(COUNTIFS(
'YearA-AppDetails Current Date'!A:A,D143,
'YearA-AppDetails Current Date'!F:F,E143,
'YearA-AppDetails Current Date'!E:E,--F143,
'YearA-AppDetails Current Date'!T:T,{"APEX","DENY","NTSL"},
'YearA-AppDetails Current Date'!I:I,"WINTER"))), "")</f>
        <v/>
      </c>
      <c r="M143" s="74" t="str" cm="1">
        <f t="array" ref="M143">IFERROR(1/(1/SUM(COUNTIFS(
'YearA-AppDetails Current Date'!A:A,D143,
'YearA-AppDetails Current Date'!F:F,E143,
'YearA-AppDetails Current Date'!E:E,--F143,
'YearA-AppDetails Current Date'!U:U,{"CCAN","DECL"},
'YearA-AppDetails Current Date'!I:I,"WINTER"))), "")</f>
        <v/>
      </c>
      <c r="N143" s="74" t="str" cm="1">
        <f t="array" ref="N143">IFERROR(1/(1/SUM(COUNTIFS(
'YearA-AppDetails Current Date'!A:A,D143,
'YearA-AppDetails Current Date'!F:F,E143,
'YearA-AppDetails Current Date'!E:E,--F143,
'YearA-AppDetails Current Date'!V:V,{"APRO","NODE"},
'YearA-AppDetails Current Date'!I:I,"WINTER"))), "")</f>
        <v/>
      </c>
      <c r="O143" s="74" t="str" cm="1">
        <f t="array" ref="O143">IFERROR(1/(1/SUM(COUNTIFS(
'YearA-AppDetails Current Date'!A:A,D143,
'YearA-AppDetails Current Date'!F:F,E143,
'YearA-AppDetails Current Date'!E:E,--F143,
'YearA-AppDetails Current Date'!T:T,{"CDMT","RQMT","WAIT"},
'YearA-AppDetails Current Date'!I:I,"WINTER"))), "")</f>
        <v/>
      </c>
      <c r="P143" s="74" t="str">
        <f>IFERROR(1/(1/COUNTIFS(
'YearA-AppDetails Current Date'!A:A,D143,
'YearA-AppDetails Current Date'!F:F,E143,
'YearA-AppDetails Current Date'!E:E,--F143,
'YearA-AppDetails Current Date'!Y:Y,"ENRO",
'YearA-AppDetails Current Date'!I:I,"WINTER")),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HC'!D:T,6,FALSE)),
N(VLOOKUP(D144&amp;F144,'Budgeted Projections Dom HC'!D:T,7,FALSE))
)
),"")</f>
        <v/>
      </c>
      <c r="I144" s="73" t="str">
        <f>IFERROR(1/(1/COUNTIFS(
'YearA-AppDetails Current Date'!A:A,D144,
'YearA-AppDetails Current Date'!F:F,E144,
'YearA-AppDetails Current Date'!E:E,--F144,
'YearA-AppDetails Current Date'!I:I,"WINTER")), "")</f>
        <v/>
      </c>
      <c r="J144" s="74" t="str" cm="1">
        <f t="array" ref="J144">IFERROR(1/(1/SUM(COUNTIFS(
'YearA-AppDetails Current Date'!A:A,D144,
'YearA-AppDetails Current Date'!F:F,E144,
'YearA-AppDetails Current Date'!E:E,--F144,
'YearA-AppDetails Current Date'!O:O,{"ACLN","ACPT","COND"},
'YearA-AppDetails Current Date'!S:S,"&lt;&gt;ACLN",
'YearA-AppDetails Current Date'!S:S,"&lt;&gt;ACPT",
'YearA-AppDetails Current Date'!S:S,"&lt;&gt;COND",
'YearA-AppDetails Current Date'!I:I,"WINTER"))), "")</f>
        <v/>
      </c>
      <c r="K144" s="73" t="str">
        <f>IFERROR(1/(1/SUM(COUNTIFS(
'YearA-AppDetails Current Date'!A:A,D144,
'YearA-AppDetails Current Date'!F:F,E144,
'YearA-AppDetails Current Date'!E:E,--F144,
'YearA-AppDetails Current Date'!R:R,"&lt;&gt;"&amp;"",
'YearA-AppDetails Current Date'!I:I,"WINTER"))), "")</f>
        <v/>
      </c>
      <c r="L144" s="74" t="str" cm="1">
        <f t="array" ref="L144">IFERROR(1/(1/SUM(COUNTIFS(
'YearA-AppDetails Current Date'!A:A,D144,
'YearA-AppDetails Current Date'!F:F,E144,
'YearA-AppDetails Current Date'!E:E,--F144,
'YearA-AppDetails Current Date'!T:T,{"APEX","DENY","NTSL"},
'YearA-AppDetails Current Date'!I:I,"WINTER"))), "")</f>
        <v/>
      </c>
      <c r="M144" s="74" t="str" cm="1">
        <f t="array" ref="M144">IFERROR(1/(1/SUM(COUNTIFS(
'YearA-AppDetails Current Date'!A:A,D144,
'YearA-AppDetails Current Date'!F:F,E144,
'YearA-AppDetails Current Date'!E:E,--F144,
'YearA-AppDetails Current Date'!U:U,{"CCAN","DECL"},
'YearA-AppDetails Current Date'!I:I,"WINTER"))), "")</f>
        <v/>
      </c>
      <c r="N144" s="74" t="str" cm="1">
        <f t="array" ref="N144">IFERROR(1/(1/SUM(COUNTIFS(
'YearA-AppDetails Current Date'!A:A,D144,
'YearA-AppDetails Current Date'!F:F,E144,
'YearA-AppDetails Current Date'!E:E,--F144,
'YearA-AppDetails Current Date'!V:V,{"APRO","NODE"},
'YearA-AppDetails Current Date'!I:I,"WINTER"))), "")</f>
        <v/>
      </c>
      <c r="O144" s="74" t="str" cm="1">
        <f t="array" ref="O144">IFERROR(1/(1/SUM(COUNTIFS(
'YearA-AppDetails Current Date'!A:A,D144,
'YearA-AppDetails Current Date'!F:F,E144,
'YearA-AppDetails Current Date'!E:E,--F144,
'YearA-AppDetails Current Date'!T:T,{"CDMT","RQMT","WAIT"},
'YearA-AppDetails Current Date'!I:I,"WINTER"))), "")</f>
        <v/>
      </c>
      <c r="P144" s="74" t="str">
        <f>IFERROR(1/(1/COUNTIFS(
'YearA-AppDetails Current Date'!A:A,D144,
'YearA-AppDetails Current Date'!F:F,E144,
'YearA-AppDetails Current Date'!E:E,--F144,
'YearA-AppDetails Current Date'!Y:Y,"ENRO",
'YearA-AppDetails Current Date'!I:I,"WINTER")),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HC'!D:T,6,FALSE)),
N(VLOOKUP(D145&amp;F145,'Budgeted Projections Intl HC'!D:T,7,FALSE))
)
),"")</f>
        <v/>
      </c>
      <c r="I145" s="73" t="str">
        <f>IFERROR(1/(1/COUNTIFS(
'YearA-AppDetails Current Date'!A:A,D145,
'YearA-AppDetails Current Date'!F:F,E145,
'YearA-AppDetails Current Date'!E:E,--F145,
'YearA-AppDetails Current Date'!I:I,"WINTER")), "")</f>
        <v/>
      </c>
      <c r="J145" s="74" t="str" cm="1">
        <f t="array" ref="J145">IFERROR(1/(1/SUM(COUNTIFS(
'YearA-AppDetails Current Date'!A:A,D145,
'YearA-AppDetails Current Date'!F:F,E145,
'YearA-AppDetails Current Date'!E:E,--F145,
'YearA-AppDetails Current Date'!O:O,{"ACLN","ACPT","COND"},
'YearA-AppDetails Current Date'!S:S,"&lt;&gt;ACLN",
'YearA-AppDetails Current Date'!S:S,"&lt;&gt;ACPT",
'YearA-AppDetails Current Date'!S:S,"&lt;&gt;COND",
'YearA-AppDetails Current Date'!I:I,"WINTER"))), "")</f>
        <v/>
      </c>
      <c r="K145" s="73" t="str">
        <f>IFERROR(1/(1/SUM(COUNTIFS(
'YearA-AppDetails Current Date'!A:A,D145,
'YearA-AppDetails Current Date'!F:F,E145,
'YearA-AppDetails Current Date'!E:E,--F145,
'YearA-AppDetails Current Date'!R:R,"&lt;&gt;"&amp;"",
'YearA-AppDetails Current Date'!I:I,"WINTER"))), "")</f>
        <v/>
      </c>
      <c r="L145" s="74" t="str" cm="1">
        <f t="array" ref="L145">IFERROR(1/(1/SUM(COUNTIFS(
'YearA-AppDetails Current Date'!A:A,D145,
'YearA-AppDetails Current Date'!F:F,E145,
'YearA-AppDetails Current Date'!E:E,--F145,
'YearA-AppDetails Current Date'!T:T,{"APEX","DENY","NTSL"},
'YearA-AppDetails Current Date'!I:I,"WINTER"))), "")</f>
        <v/>
      </c>
      <c r="M145" s="74" t="str" cm="1">
        <f t="array" ref="M145">IFERROR(1/(1/SUM(COUNTIFS(
'YearA-AppDetails Current Date'!A:A,D145,
'YearA-AppDetails Current Date'!F:F,E145,
'YearA-AppDetails Current Date'!E:E,--F145,
'YearA-AppDetails Current Date'!U:U,{"CCAN","DECL"},
'YearA-AppDetails Current Date'!I:I,"WINTER"))), "")</f>
        <v/>
      </c>
      <c r="N145" s="74" t="str" cm="1">
        <f t="array" ref="N145">IFERROR(1/(1/SUM(COUNTIFS(
'YearA-AppDetails Current Date'!A:A,D145,
'YearA-AppDetails Current Date'!F:F,E145,
'YearA-AppDetails Current Date'!E:E,--F145,
'YearA-AppDetails Current Date'!V:V,{"APRO","NODE"},
'YearA-AppDetails Current Date'!I:I,"WINTER"))), "")</f>
        <v/>
      </c>
      <c r="O145" s="74" t="str" cm="1">
        <f t="array" ref="O145">IFERROR(1/(1/SUM(COUNTIFS(
'YearA-AppDetails Current Date'!A:A,D145,
'YearA-AppDetails Current Date'!F:F,E145,
'YearA-AppDetails Current Date'!E:E,--F145,
'YearA-AppDetails Current Date'!T:T,{"CDMT","RQMT","WAIT"},
'YearA-AppDetails Current Date'!I:I,"WINTER"))), "")</f>
        <v/>
      </c>
      <c r="P145" s="74" t="str">
        <f>IFERROR(1/(1/COUNTIFS(
'YearA-AppDetails Current Date'!A:A,D145,
'YearA-AppDetails Current Date'!F:F,E145,
'YearA-AppDetails Current Date'!E:E,--F145,
'YearA-AppDetails Current Date'!Y:Y,"ENRO",
'YearA-AppDetails Current Date'!I:I,"WINTER")),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HC'!D:T,6,FALSE)),
N(VLOOKUP(D146&amp;F146,'Budgeted Projections Dom HC'!D:T,7,FALSE))
)
),"")</f>
        <v/>
      </c>
      <c r="I146" s="73" t="str">
        <f>IFERROR(1/(1/COUNTIFS(
'YearA-AppDetails Current Date'!A:A,D146,
'YearA-AppDetails Current Date'!F:F,E146,
'YearA-AppDetails Current Date'!E:E,--F146,
'YearA-AppDetails Current Date'!I:I,"WINTER")), "")</f>
        <v/>
      </c>
      <c r="J146" s="74" t="str" cm="1">
        <f t="array" ref="J146">IFERROR(1/(1/SUM(COUNTIFS(
'YearA-AppDetails Current Date'!A:A,D146,
'YearA-AppDetails Current Date'!F:F,E146,
'YearA-AppDetails Current Date'!E:E,--F146,
'YearA-AppDetails Current Date'!O:O,{"ACLN","ACPT","COND"},
'YearA-AppDetails Current Date'!S:S,"&lt;&gt;ACLN",
'YearA-AppDetails Current Date'!S:S,"&lt;&gt;ACPT",
'YearA-AppDetails Current Date'!S:S,"&lt;&gt;COND",
'YearA-AppDetails Current Date'!I:I,"WINTER"))), "")</f>
        <v/>
      </c>
      <c r="K146" s="73" t="str">
        <f>IFERROR(1/(1/SUM(COUNTIFS(
'YearA-AppDetails Current Date'!A:A,D146,
'YearA-AppDetails Current Date'!F:F,E146,
'YearA-AppDetails Current Date'!E:E,--F146,
'YearA-AppDetails Current Date'!R:R,"&lt;&gt;"&amp;"",
'YearA-AppDetails Current Date'!I:I,"WINTER"))), "")</f>
        <v/>
      </c>
      <c r="L146" s="74" t="str" cm="1">
        <f t="array" ref="L146">IFERROR(1/(1/SUM(COUNTIFS(
'YearA-AppDetails Current Date'!A:A,D146,
'YearA-AppDetails Current Date'!F:F,E146,
'YearA-AppDetails Current Date'!E:E,--F146,
'YearA-AppDetails Current Date'!T:T,{"APEX","DENY","NTSL"},
'YearA-AppDetails Current Date'!I:I,"WINTER"))), "")</f>
        <v/>
      </c>
      <c r="M146" s="74" t="str" cm="1">
        <f t="array" ref="M146">IFERROR(1/(1/SUM(COUNTIFS(
'YearA-AppDetails Current Date'!A:A,D146,
'YearA-AppDetails Current Date'!F:F,E146,
'YearA-AppDetails Current Date'!E:E,--F146,
'YearA-AppDetails Current Date'!U:U,{"CCAN","DECL"},
'YearA-AppDetails Current Date'!I:I,"WINTER"))), "")</f>
        <v/>
      </c>
      <c r="N146" s="74" t="str" cm="1">
        <f t="array" ref="N146">IFERROR(1/(1/SUM(COUNTIFS(
'YearA-AppDetails Current Date'!A:A,D146,
'YearA-AppDetails Current Date'!F:F,E146,
'YearA-AppDetails Current Date'!E:E,--F146,
'YearA-AppDetails Current Date'!V:V,{"APRO","NODE"},
'YearA-AppDetails Current Date'!I:I,"WINTER"))), "")</f>
        <v/>
      </c>
      <c r="O146" s="74" t="str" cm="1">
        <f t="array" ref="O146">IFERROR(1/(1/SUM(COUNTIFS(
'YearA-AppDetails Current Date'!A:A,D146,
'YearA-AppDetails Current Date'!F:F,E146,
'YearA-AppDetails Current Date'!E:E,--F146,
'YearA-AppDetails Current Date'!T:T,{"CDMT","RQMT","WAIT"},
'YearA-AppDetails Current Date'!I:I,"WINTER"))), "")</f>
        <v/>
      </c>
      <c r="P146" s="74" t="str">
        <f>IFERROR(1/(1/COUNTIFS(
'YearA-AppDetails Current Date'!A:A,D146,
'YearA-AppDetails Current Date'!F:F,E146,
'YearA-AppDetails Current Date'!E:E,--F146,
'YearA-AppDetails Current Date'!Y:Y,"ENRO",
'YearA-AppDetails Current Date'!I:I,"WINTER")),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HC'!D:T,6,FALSE)),
N(VLOOKUP(D147&amp;F147,'Budgeted Projections Intl HC'!D:T,7,FALSE))
)
),"")</f>
        <v/>
      </c>
      <c r="I147" s="73" t="str">
        <f>IFERROR(1/(1/COUNTIFS(
'YearA-AppDetails Current Date'!A:A,D147,
'YearA-AppDetails Current Date'!F:F,E147,
'YearA-AppDetails Current Date'!E:E,--F147,
'YearA-AppDetails Current Date'!I:I,"WINTER")), "")</f>
        <v/>
      </c>
      <c r="J147" s="74" t="str" cm="1">
        <f t="array" ref="J147">IFERROR(1/(1/SUM(COUNTIFS(
'YearA-AppDetails Current Date'!A:A,D147,
'YearA-AppDetails Current Date'!F:F,E147,
'YearA-AppDetails Current Date'!E:E,--F147,
'YearA-AppDetails Current Date'!O:O,{"ACLN","ACPT","COND"},
'YearA-AppDetails Current Date'!S:S,"&lt;&gt;ACLN",
'YearA-AppDetails Current Date'!S:S,"&lt;&gt;ACPT",
'YearA-AppDetails Current Date'!S:S,"&lt;&gt;COND",
'YearA-AppDetails Current Date'!I:I,"WINTER"))), "")</f>
        <v/>
      </c>
      <c r="K147" s="73" t="str">
        <f>IFERROR(1/(1/SUM(COUNTIFS(
'YearA-AppDetails Current Date'!A:A,D147,
'YearA-AppDetails Current Date'!F:F,E147,
'YearA-AppDetails Current Date'!E:E,--F147,
'YearA-AppDetails Current Date'!R:R,"&lt;&gt;"&amp;"",
'YearA-AppDetails Current Date'!I:I,"WINTER"))), "")</f>
        <v/>
      </c>
      <c r="L147" s="74" t="str" cm="1">
        <f t="array" ref="L147">IFERROR(1/(1/SUM(COUNTIFS(
'YearA-AppDetails Current Date'!A:A,D147,
'YearA-AppDetails Current Date'!F:F,E147,
'YearA-AppDetails Current Date'!E:E,--F147,
'YearA-AppDetails Current Date'!T:T,{"APEX","DENY","NTSL"},
'YearA-AppDetails Current Date'!I:I,"WINTER"))), "")</f>
        <v/>
      </c>
      <c r="M147" s="74" t="str" cm="1">
        <f t="array" ref="M147">IFERROR(1/(1/SUM(COUNTIFS(
'YearA-AppDetails Current Date'!A:A,D147,
'YearA-AppDetails Current Date'!F:F,E147,
'YearA-AppDetails Current Date'!E:E,--F147,
'YearA-AppDetails Current Date'!U:U,{"CCAN","DECL"},
'YearA-AppDetails Current Date'!I:I,"WINTER"))), "")</f>
        <v/>
      </c>
      <c r="N147" s="74" t="str" cm="1">
        <f t="array" ref="N147">IFERROR(1/(1/SUM(COUNTIFS(
'YearA-AppDetails Current Date'!A:A,D147,
'YearA-AppDetails Current Date'!F:F,E147,
'YearA-AppDetails Current Date'!E:E,--F147,
'YearA-AppDetails Current Date'!V:V,{"APRO","NODE"},
'YearA-AppDetails Current Date'!I:I,"WINTER"))), "")</f>
        <v/>
      </c>
      <c r="O147" s="74" t="str" cm="1">
        <f t="array" ref="O147">IFERROR(1/(1/SUM(COUNTIFS(
'YearA-AppDetails Current Date'!A:A,D147,
'YearA-AppDetails Current Date'!F:F,E147,
'YearA-AppDetails Current Date'!E:E,--F147,
'YearA-AppDetails Current Date'!T:T,{"CDMT","RQMT","WAIT"},
'YearA-AppDetails Current Date'!I:I,"WINTER"))), "")</f>
        <v/>
      </c>
      <c r="P147" s="74" t="str">
        <f>IFERROR(1/(1/COUNTIFS(
'YearA-AppDetails Current Date'!A:A,D147,
'YearA-AppDetails Current Date'!F:F,E147,
'YearA-AppDetails Current Date'!E:E,--F147,
'YearA-AppDetails Current Date'!Y:Y,"ENRO",
'YearA-AppDetails Current Date'!I:I,"WINTER")),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HC'!D:T,6,FALSE)),
N(VLOOKUP(D149&amp;F149,'Budgeted Projections Dom HC'!D:T,7,FALSE))
)
),"")</f>
        <v/>
      </c>
      <c r="I149" s="73" t="str">
        <f>IFERROR(1/(1/COUNTIFS(
'YearA-AppDetails Current Date'!A:A,D149,
'YearA-AppDetails Current Date'!F:F,E149,
'YearA-AppDetails Current Date'!E:E,--F149,
'YearA-AppDetails Current Date'!I:I,"WINTER")), "")</f>
        <v/>
      </c>
      <c r="J149" s="74" t="str" cm="1">
        <f t="array" ref="J149">IFERROR(1/(1/SUM(COUNTIFS(
'YearA-AppDetails Current Date'!A:A,D149,
'YearA-AppDetails Current Date'!F:F,E149,
'YearA-AppDetails Current Date'!E:E,--F149,
'YearA-AppDetails Current Date'!O:O,{"ACLN","ACPT","COND"},
'YearA-AppDetails Current Date'!S:S,"&lt;&gt;ACLN",
'YearA-AppDetails Current Date'!S:S,"&lt;&gt;ACPT",
'YearA-AppDetails Current Date'!S:S,"&lt;&gt;COND",
'YearA-AppDetails Current Date'!I:I,"WINTER"))), "")</f>
        <v/>
      </c>
      <c r="K149" s="73" t="str">
        <f>IFERROR(1/(1/SUM(COUNTIFS(
'YearA-AppDetails Current Date'!A:A,D149,
'YearA-AppDetails Current Date'!F:F,E149,
'YearA-AppDetails Current Date'!E:E,--F149,
'YearA-AppDetails Current Date'!R:R,"&lt;&gt;"&amp;"",
'YearA-AppDetails Current Date'!I:I,"WINTER"))), "")</f>
        <v/>
      </c>
      <c r="L149" s="74" t="str" cm="1">
        <f t="array" ref="L149">IFERROR(1/(1/SUM(COUNTIFS(
'YearA-AppDetails Current Date'!A:A,D149,
'YearA-AppDetails Current Date'!F:F,E149,
'YearA-AppDetails Current Date'!E:E,--F149,
'YearA-AppDetails Current Date'!T:T,{"APEX","DENY","NTSL"},
'YearA-AppDetails Current Date'!I:I,"WINTER"))), "")</f>
        <v/>
      </c>
      <c r="M149" s="74" t="str" cm="1">
        <f t="array" ref="M149">IFERROR(1/(1/SUM(COUNTIFS(
'YearA-AppDetails Current Date'!A:A,D149,
'YearA-AppDetails Current Date'!F:F,E149,
'YearA-AppDetails Current Date'!E:E,--F149,
'YearA-AppDetails Current Date'!U:U,{"CCAN","DECL"},
'YearA-AppDetails Current Date'!I:I,"WINTER"))), "")</f>
        <v/>
      </c>
      <c r="N149" s="74" t="str" cm="1">
        <f t="array" ref="N149">IFERROR(1/(1/SUM(COUNTIFS(
'YearA-AppDetails Current Date'!A:A,D149,
'YearA-AppDetails Current Date'!F:F,E149,
'YearA-AppDetails Current Date'!E:E,--F149,
'YearA-AppDetails Current Date'!V:V,{"APRO","NODE"},
'YearA-AppDetails Current Date'!I:I,"WINTER"))), "")</f>
        <v/>
      </c>
      <c r="O149" s="74" t="str" cm="1">
        <f t="array" ref="O149">IFERROR(1/(1/SUM(COUNTIFS(
'YearA-AppDetails Current Date'!A:A,D149,
'YearA-AppDetails Current Date'!F:F,E149,
'YearA-AppDetails Current Date'!E:E,--F149,
'YearA-AppDetails Current Date'!T:T,{"CDMT","RQMT","WAIT"},
'YearA-AppDetails Current Date'!I:I,"WINTER"))), "")</f>
        <v/>
      </c>
      <c r="P149" s="74" t="str">
        <f>IFERROR(1/(1/COUNTIFS(
'YearA-AppDetails Current Date'!A:A,D149,
'YearA-AppDetails Current Date'!F:F,E149,
'YearA-AppDetails Current Date'!E:E,--F149,
'YearA-AppDetails Current Date'!Y:Y,"ENRO",
'YearA-AppDetails Current Date'!I:I,"WINTER")),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HC'!D:T,6,FALSE)),
N(VLOOKUP(D150&amp;F150,'Budgeted Projections Intl HC'!D:T,7,FALSE))
)
),"")</f>
        <v/>
      </c>
      <c r="I150" s="73" t="str">
        <f>IFERROR(1/(1/COUNTIFS(
'YearA-AppDetails Current Date'!A:A,D150,
'YearA-AppDetails Current Date'!F:F,E150,
'YearA-AppDetails Current Date'!E:E,--F150,
'YearA-AppDetails Current Date'!I:I,"WINTER")), "")</f>
        <v/>
      </c>
      <c r="J150" s="74" t="str" cm="1">
        <f t="array" ref="J150">IFERROR(1/(1/SUM(COUNTIFS(
'YearA-AppDetails Current Date'!A:A,D150,
'YearA-AppDetails Current Date'!F:F,E150,
'YearA-AppDetails Current Date'!E:E,--F150,
'YearA-AppDetails Current Date'!O:O,{"ACLN","ACPT","COND"},
'YearA-AppDetails Current Date'!S:S,"&lt;&gt;ACLN",
'YearA-AppDetails Current Date'!S:S,"&lt;&gt;ACPT",
'YearA-AppDetails Current Date'!S:S,"&lt;&gt;COND",
'YearA-AppDetails Current Date'!I:I,"WINTER"))), "")</f>
        <v/>
      </c>
      <c r="K150" s="73" t="str">
        <f>IFERROR(1/(1/SUM(COUNTIFS(
'YearA-AppDetails Current Date'!A:A,D150,
'YearA-AppDetails Current Date'!F:F,E150,
'YearA-AppDetails Current Date'!E:E,--F150,
'YearA-AppDetails Current Date'!R:R,"&lt;&gt;"&amp;"",
'YearA-AppDetails Current Date'!I:I,"WINTER"))), "")</f>
        <v/>
      </c>
      <c r="L150" s="74" t="str" cm="1">
        <f t="array" ref="L150">IFERROR(1/(1/SUM(COUNTIFS(
'YearA-AppDetails Current Date'!A:A,D150,
'YearA-AppDetails Current Date'!F:F,E150,
'YearA-AppDetails Current Date'!E:E,--F150,
'YearA-AppDetails Current Date'!T:T,{"APEX","DENY","NTSL"},
'YearA-AppDetails Current Date'!I:I,"WINTER"))), "")</f>
        <v/>
      </c>
      <c r="M150" s="74" t="str" cm="1">
        <f t="array" ref="M150">IFERROR(1/(1/SUM(COUNTIFS(
'YearA-AppDetails Current Date'!A:A,D150,
'YearA-AppDetails Current Date'!F:F,E150,
'YearA-AppDetails Current Date'!E:E,--F150,
'YearA-AppDetails Current Date'!U:U,{"CCAN","DECL"},
'YearA-AppDetails Current Date'!I:I,"WINTER"))), "")</f>
        <v/>
      </c>
      <c r="N150" s="74" t="str" cm="1">
        <f t="array" ref="N150">IFERROR(1/(1/SUM(COUNTIFS(
'YearA-AppDetails Current Date'!A:A,D150,
'YearA-AppDetails Current Date'!F:F,E150,
'YearA-AppDetails Current Date'!E:E,--F150,
'YearA-AppDetails Current Date'!V:V,{"APRO","NODE"},
'YearA-AppDetails Current Date'!I:I,"WINTER"))), "")</f>
        <v/>
      </c>
      <c r="O150" s="74" t="str" cm="1">
        <f t="array" ref="O150">IFERROR(1/(1/SUM(COUNTIFS(
'YearA-AppDetails Current Date'!A:A,D150,
'YearA-AppDetails Current Date'!F:F,E150,
'YearA-AppDetails Current Date'!E:E,--F150,
'YearA-AppDetails Current Date'!T:T,{"CDMT","RQMT","WAIT"},
'YearA-AppDetails Current Date'!I:I,"WINTER"))), "")</f>
        <v/>
      </c>
      <c r="P150" s="74" t="str">
        <f>IFERROR(1/(1/COUNTIFS(
'YearA-AppDetails Current Date'!A:A,D150,
'YearA-AppDetails Current Date'!F:F,E150,
'YearA-AppDetails Current Date'!E:E,--F150,
'YearA-AppDetails Current Date'!Y:Y,"ENRO",
'YearA-AppDetails Current Date'!I:I,"WINTER")),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HC'!D:T,6,FALSE)),
N(VLOOKUP(D151&amp;F151,'Budgeted Projections Dom HC'!D:T,7,FALSE))
)
),"")</f>
        <v/>
      </c>
      <c r="I151" s="73" t="str">
        <f>IFERROR(1/(1/COUNTIFS(
'YearA-AppDetails Current Date'!A:A,D151,
'YearA-AppDetails Current Date'!F:F,E151,
'YearA-AppDetails Current Date'!E:E,--F151,
'YearA-AppDetails Current Date'!I:I,"WINTER")), "")</f>
        <v/>
      </c>
      <c r="J151" s="74" t="str" cm="1">
        <f t="array" ref="J151">IFERROR(1/(1/SUM(COUNTIFS(
'YearA-AppDetails Current Date'!A:A,D151,
'YearA-AppDetails Current Date'!F:F,E151,
'YearA-AppDetails Current Date'!E:E,--F151,
'YearA-AppDetails Current Date'!O:O,{"ACLN","ACPT","COND"},
'YearA-AppDetails Current Date'!S:S,"&lt;&gt;ACLN",
'YearA-AppDetails Current Date'!S:S,"&lt;&gt;ACPT",
'YearA-AppDetails Current Date'!S:S,"&lt;&gt;COND",
'YearA-AppDetails Current Date'!I:I,"WINTER"))), "")</f>
        <v/>
      </c>
      <c r="K151" s="73" t="str">
        <f>IFERROR(1/(1/SUM(COUNTIFS(
'YearA-AppDetails Current Date'!A:A,D151,
'YearA-AppDetails Current Date'!F:F,E151,
'YearA-AppDetails Current Date'!E:E,--F151,
'YearA-AppDetails Current Date'!R:R,"&lt;&gt;"&amp;"",
'YearA-AppDetails Current Date'!I:I,"WINTER"))), "")</f>
        <v/>
      </c>
      <c r="L151" s="74" t="str" cm="1">
        <f t="array" ref="L151">IFERROR(1/(1/SUM(COUNTIFS(
'YearA-AppDetails Current Date'!A:A,D151,
'YearA-AppDetails Current Date'!F:F,E151,
'YearA-AppDetails Current Date'!E:E,--F151,
'YearA-AppDetails Current Date'!T:T,{"APEX","DENY","NTSL"},
'YearA-AppDetails Current Date'!I:I,"WINTER"))), "")</f>
        <v/>
      </c>
      <c r="M151" s="74" t="str" cm="1">
        <f t="array" ref="M151">IFERROR(1/(1/SUM(COUNTIFS(
'YearA-AppDetails Current Date'!A:A,D151,
'YearA-AppDetails Current Date'!F:F,E151,
'YearA-AppDetails Current Date'!E:E,--F151,
'YearA-AppDetails Current Date'!U:U,{"CCAN","DECL"},
'YearA-AppDetails Current Date'!I:I,"WINTER"))), "")</f>
        <v/>
      </c>
      <c r="N151" s="74" t="str" cm="1">
        <f t="array" ref="N151">IFERROR(1/(1/SUM(COUNTIFS(
'YearA-AppDetails Current Date'!A:A,D151,
'YearA-AppDetails Current Date'!F:F,E151,
'YearA-AppDetails Current Date'!E:E,--F151,
'YearA-AppDetails Current Date'!V:V,{"APRO","NODE"},
'YearA-AppDetails Current Date'!I:I,"WINTER"))), "")</f>
        <v/>
      </c>
      <c r="O151" s="74" t="str" cm="1">
        <f t="array" ref="O151">IFERROR(1/(1/SUM(COUNTIFS(
'YearA-AppDetails Current Date'!A:A,D151,
'YearA-AppDetails Current Date'!F:F,E151,
'YearA-AppDetails Current Date'!E:E,--F151,
'YearA-AppDetails Current Date'!T:T,{"CDMT","RQMT","WAIT"},
'YearA-AppDetails Current Date'!I:I,"WINTER"))), "")</f>
        <v/>
      </c>
      <c r="P151" s="74" t="str">
        <f>IFERROR(1/(1/COUNTIFS(
'YearA-AppDetails Current Date'!A:A,D151,
'YearA-AppDetails Current Date'!F:F,E151,
'YearA-AppDetails Current Date'!E:E,--F151,
'YearA-AppDetails Current Date'!Y:Y,"ENRO",
'YearA-AppDetails Current Date'!I:I,"WINTER")),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HC'!D:T,6,FALSE)),
N(VLOOKUP(D152&amp;F152,'Budgeted Projections Intl HC'!D:T,7,FALSE))
)
),"")</f>
        <v/>
      </c>
      <c r="I152" s="73" t="str">
        <f>IFERROR(1/(1/COUNTIFS(
'YearA-AppDetails Current Date'!A:A,D152,
'YearA-AppDetails Current Date'!F:F,E152,
'YearA-AppDetails Current Date'!E:E,--F152,
'YearA-AppDetails Current Date'!I:I,"WINTER")), "")</f>
        <v/>
      </c>
      <c r="J152" s="74" t="str" cm="1">
        <f t="array" ref="J152">IFERROR(1/(1/SUM(COUNTIFS(
'YearA-AppDetails Current Date'!A:A,D152,
'YearA-AppDetails Current Date'!F:F,E152,
'YearA-AppDetails Current Date'!E:E,--F152,
'YearA-AppDetails Current Date'!O:O,{"ACLN","ACPT","COND"},
'YearA-AppDetails Current Date'!S:S,"&lt;&gt;ACLN",
'YearA-AppDetails Current Date'!S:S,"&lt;&gt;ACPT",
'YearA-AppDetails Current Date'!S:S,"&lt;&gt;COND",
'YearA-AppDetails Current Date'!I:I,"WINTER"))), "")</f>
        <v/>
      </c>
      <c r="K152" s="73" t="str">
        <f>IFERROR(1/(1/SUM(COUNTIFS(
'YearA-AppDetails Current Date'!A:A,D152,
'YearA-AppDetails Current Date'!F:F,E152,
'YearA-AppDetails Current Date'!E:E,--F152,
'YearA-AppDetails Current Date'!R:R,"&lt;&gt;"&amp;"",
'YearA-AppDetails Current Date'!I:I,"WINTER"))), "")</f>
        <v/>
      </c>
      <c r="L152" s="74" t="str" cm="1">
        <f t="array" ref="L152">IFERROR(1/(1/SUM(COUNTIFS(
'YearA-AppDetails Current Date'!A:A,D152,
'YearA-AppDetails Current Date'!F:F,E152,
'YearA-AppDetails Current Date'!E:E,--F152,
'YearA-AppDetails Current Date'!T:T,{"APEX","DENY","NTSL"},
'YearA-AppDetails Current Date'!I:I,"WINTER"))), "")</f>
        <v/>
      </c>
      <c r="M152" s="74" t="str" cm="1">
        <f t="array" ref="M152">IFERROR(1/(1/SUM(COUNTIFS(
'YearA-AppDetails Current Date'!A:A,D152,
'YearA-AppDetails Current Date'!F:F,E152,
'YearA-AppDetails Current Date'!E:E,--F152,
'YearA-AppDetails Current Date'!U:U,{"CCAN","DECL"},
'YearA-AppDetails Current Date'!I:I,"WINTER"))), "")</f>
        <v/>
      </c>
      <c r="N152" s="74" t="str" cm="1">
        <f t="array" ref="N152">IFERROR(1/(1/SUM(COUNTIFS(
'YearA-AppDetails Current Date'!A:A,D152,
'YearA-AppDetails Current Date'!F:F,E152,
'YearA-AppDetails Current Date'!E:E,--F152,
'YearA-AppDetails Current Date'!V:V,{"APRO","NODE"},
'YearA-AppDetails Current Date'!I:I,"WINTER"))), "")</f>
        <v/>
      </c>
      <c r="O152" s="74" t="str" cm="1">
        <f t="array" ref="O152">IFERROR(1/(1/SUM(COUNTIFS(
'YearA-AppDetails Current Date'!A:A,D152,
'YearA-AppDetails Current Date'!F:F,E152,
'YearA-AppDetails Current Date'!E:E,--F152,
'YearA-AppDetails Current Date'!T:T,{"CDMT","RQMT","WAIT"},
'YearA-AppDetails Current Date'!I:I,"WINTER"))), "")</f>
        <v/>
      </c>
      <c r="P152" s="74" t="str">
        <f>IFERROR(1/(1/COUNTIFS(
'YearA-AppDetails Current Date'!A:A,D152,
'YearA-AppDetails Current Date'!F:F,E152,
'YearA-AppDetails Current Date'!E:E,--F152,
'YearA-AppDetails Current Date'!Y:Y,"ENRO",
'YearA-AppDetails Current Date'!I:I,"WINTER")),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HC'!D:T,6,FALSE)),
N(VLOOKUP(D153&amp;F153,'Budgeted Projections Dom HC'!D:T,7,FALSE))
)
),"")</f>
        <v/>
      </c>
      <c r="I153" s="73" t="str">
        <f>IFERROR(1/(1/COUNTIFS(
'YearA-AppDetails Current Date'!A:A,D153,
'YearA-AppDetails Current Date'!F:F,E153,
'YearA-AppDetails Current Date'!E:E,--F153,
'YearA-AppDetails Current Date'!I:I,"WINTER")), "")</f>
        <v/>
      </c>
      <c r="J153" s="74" t="str" cm="1">
        <f t="array" ref="J153">IFERROR(1/(1/SUM(COUNTIFS(
'YearA-AppDetails Current Date'!A:A,D153,
'YearA-AppDetails Current Date'!F:F,E153,
'YearA-AppDetails Current Date'!E:E,--F153,
'YearA-AppDetails Current Date'!O:O,{"ACLN","ACPT","COND"},
'YearA-AppDetails Current Date'!S:S,"&lt;&gt;ACLN",
'YearA-AppDetails Current Date'!S:S,"&lt;&gt;ACPT",
'YearA-AppDetails Current Date'!S:S,"&lt;&gt;COND",
'YearA-AppDetails Current Date'!I:I,"WINTER"))), "")</f>
        <v/>
      </c>
      <c r="K153" s="73" t="str">
        <f>IFERROR(1/(1/SUM(COUNTIFS(
'YearA-AppDetails Current Date'!A:A,D153,
'YearA-AppDetails Current Date'!F:F,E153,
'YearA-AppDetails Current Date'!E:E,--F153,
'YearA-AppDetails Current Date'!R:R,"&lt;&gt;"&amp;"",
'YearA-AppDetails Current Date'!I:I,"WINTER"))), "")</f>
        <v/>
      </c>
      <c r="L153" s="74" t="str" cm="1">
        <f t="array" ref="L153">IFERROR(1/(1/SUM(COUNTIFS(
'YearA-AppDetails Current Date'!A:A,D153,
'YearA-AppDetails Current Date'!F:F,E153,
'YearA-AppDetails Current Date'!E:E,--F153,
'YearA-AppDetails Current Date'!T:T,{"APEX","DENY","NTSL"},
'YearA-AppDetails Current Date'!I:I,"WINTER"))), "")</f>
        <v/>
      </c>
      <c r="M153" s="74" t="str" cm="1">
        <f t="array" ref="M153">IFERROR(1/(1/SUM(COUNTIFS(
'YearA-AppDetails Current Date'!A:A,D153,
'YearA-AppDetails Current Date'!F:F,E153,
'YearA-AppDetails Current Date'!E:E,--F153,
'YearA-AppDetails Current Date'!U:U,{"CCAN","DECL"},
'YearA-AppDetails Current Date'!I:I,"WINTER"))), "")</f>
        <v/>
      </c>
      <c r="N153" s="74" t="str" cm="1">
        <f t="array" ref="N153">IFERROR(1/(1/SUM(COUNTIFS(
'YearA-AppDetails Current Date'!A:A,D153,
'YearA-AppDetails Current Date'!F:F,E153,
'YearA-AppDetails Current Date'!E:E,--F153,
'YearA-AppDetails Current Date'!V:V,{"APRO","NODE"},
'YearA-AppDetails Current Date'!I:I,"WINTER"))), "")</f>
        <v/>
      </c>
      <c r="O153" s="74" t="str" cm="1">
        <f t="array" ref="O153">IFERROR(1/(1/SUM(COUNTIFS(
'YearA-AppDetails Current Date'!A:A,D153,
'YearA-AppDetails Current Date'!F:F,E153,
'YearA-AppDetails Current Date'!E:E,--F153,
'YearA-AppDetails Current Date'!T:T,{"CDMT","RQMT","WAIT"},
'YearA-AppDetails Current Date'!I:I,"WINTER"))), "")</f>
        <v/>
      </c>
      <c r="P153" s="74" t="str">
        <f>IFERROR(1/(1/COUNTIFS(
'YearA-AppDetails Current Date'!A:A,D153,
'YearA-AppDetails Current Date'!F:F,E153,
'YearA-AppDetails Current Date'!E:E,--F153,
'YearA-AppDetails Current Date'!Y:Y,"ENRO",
'YearA-AppDetails Current Date'!I:I,"WINTER")),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HC'!D:T,6,FALSE)),
N(VLOOKUP(D154&amp;F154,'Budgeted Projections Intl HC'!D:T,7,FALSE))
)
),"")</f>
        <v/>
      </c>
      <c r="I154" s="73" t="str">
        <f>IFERROR(1/(1/COUNTIFS(
'YearA-AppDetails Current Date'!A:A,D154,
'YearA-AppDetails Current Date'!F:F,E154,
'YearA-AppDetails Current Date'!E:E,--F154,
'YearA-AppDetails Current Date'!I:I,"WINTER")), "")</f>
        <v/>
      </c>
      <c r="J154" s="74" t="str" cm="1">
        <f t="array" ref="J154">IFERROR(1/(1/SUM(COUNTIFS(
'YearA-AppDetails Current Date'!A:A,D154,
'YearA-AppDetails Current Date'!F:F,E154,
'YearA-AppDetails Current Date'!E:E,--F154,
'YearA-AppDetails Current Date'!O:O,{"ACLN","ACPT","COND"},
'YearA-AppDetails Current Date'!S:S,"&lt;&gt;ACLN",
'YearA-AppDetails Current Date'!S:S,"&lt;&gt;ACPT",
'YearA-AppDetails Current Date'!S:S,"&lt;&gt;COND",
'YearA-AppDetails Current Date'!I:I,"WINTER"))), "")</f>
        <v/>
      </c>
      <c r="K154" s="73" t="str">
        <f>IFERROR(1/(1/SUM(COUNTIFS(
'YearA-AppDetails Current Date'!A:A,D154,
'YearA-AppDetails Current Date'!F:F,E154,
'YearA-AppDetails Current Date'!E:E,--F154,
'YearA-AppDetails Current Date'!R:R,"&lt;&gt;"&amp;"",
'YearA-AppDetails Current Date'!I:I,"WINTER"))), "")</f>
        <v/>
      </c>
      <c r="L154" s="74" t="str" cm="1">
        <f t="array" ref="L154">IFERROR(1/(1/SUM(COUNTIFS(
'YearA-AppDetails Current Date'!A:A,D154,
'YearA-AppDetails Current Date'!F:F,E154,
'YearA-AppDetails Current Date'!E:E,--F154,
'YearA-AppDetails Current Date'!T:T,{"APEX","DENY","NTSL"},
'YearA-AppDetails Current Date'!I:I,"WINTER"))), "")</f>
        <v/>
      </c>
      <c r="M154" s="74" t="str" cm="1">
        <f t="array" ref="M154">IFERROR(1/(1/SUM(COUNTIFS(
'YearA-AppDetails Current Date'!A:A,D154,
'YearA-AppDetails Current Date'!F:F,E154,
'YearA-AppDetails Current Date'!E:E,--F154,
'YearA-AppDetails Current Date'!U:U,{"CCAN","DECL"},
'YearA-AppDetails Current Date'!I:I,"WINTER"))), "")</f>
        <v/>
      </c>
      <c r="N154" s="74" t="str" cm="1">
        <f t="array" ref="N154">IFERROR(1/(1/SUM(COUNTIFS(
'YearA-AppDetails Current Date'!A:A,D154,
'YearA-AppDetails Current Date'!F:F,E154,
'YearA-AppDetails Current Date'!E:E,--F154,
'YearA-AppDetails Current Date'!V:V,{"APRO","NODE"},
'YearA-AppDetails Current Date'!I:I,"WINTER"))), "")</f>
        <v/>
      </c>
      <c r="O154" s="74" t="str" cm="1">
        <f t="array" ref="O154">IFERROR(1/(1/SUM(COUNTIFS(
'YearA-AppDetails Current Date'!A:A,D154,
'YearA-AppDetails Current Date'!F:F,E154,
'YearA-AppDetails Current Date'!E:E,--F154,
'YearA-AppDetails Current Date'!T:T,{"CDMT","RQMT","WAIT"},
'YearA-AppDetails Current Date'!I:I,"WINTER"))), "")</f>
        <v/>
      </c>
      <c r="P154" s="74" t="str">
        <f>IFERROR(1/(1/COUNTIFS(
'YearA-AppDetails Current Date'!A:A,D154,
'YearA-AppDetails Current Date'!F:F,E154,
'YearA-AppDetails Current Date'!E:E,--F154,
'YearA-AppDetails Current Date'!Y:Y,"ENRO",
'YearA-AppDetails Current Date'!I:I,"WINTER")),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HC'!D:T,6,FALSE)),
N(VLOOKUP(D155&amp;F155,'Budgeted Projections Dom HC'!D:T,7,FALSE))
)
),"")</f>
        <v/>
      </c>
      <c r="I155" s="73" t="str">
        <f>IFERROR(1/(1/COUNTIFS(
'YearA-AppDetails Current Date'!A:A,D155,
'YearA-AppDetails Current Date'!F:F,E155,
'YearA-AppDetails Current Date'!E:E,--F155,
'YearA-AppDetails Current Date'!I:I,"WINTER")), "")</f>
        <v/>
      </c>
      <c r="J155" s="74" t="str" cm="1">
        <f t="array" ref="J155">IFERROR(1/(1/SUM(COUNTIFS(
'YearA-AppDetails Current Date'!A:A,D155,
'YearA-AppDetails Current Date'!F:F,E155,
'YearA-AppDetails Current Date'!E:E,--F155,
'YearA-AppDetails Current Date'!O:O,{"ACLN","ACPT","COND"},
'YearA-AppDetails Current Date'!S:S,"&lt;&gt;ACLN",
'YearA-AppDetails Current Date'!S:S,"&lt;&gt;ACPT",
'YearA-AppDetails Current Date'!S:S,"&lt;&gt;COND",
'YearA-AppDetails Current Date'!I:I,"WINTER"))), "")</f>
        <v/>
      </c>
      <c r="K155" s="73" t="str">
        <f>IFERROR(1/(1/SUM(COUNTIFS(
'YearA-AppDetails Current Date'!A:A,D155,
'YearA-AppDetails Current Date'!F:F,E155,
'YearA-AppDetails Current Date'!E:E,--F155,
'YearA-AppDetails Current Date'!R:R,"&lt;&gt;"&amp;"",
'YearA-AppDetails Current Date'!I:I,"WINTER"))), "")</f>
        <v/>
      </c>
      <c r="L155" s="74" t="str" cm="1">
        <f t="array" ref="L155">IFERROR(1/(1/SUM(COUNTIFS(
'YearA-AppDetails Current Date'!A:A,D155,
'YearA-AppDetails Current Date'!F:F,E155,
'YearA-AppDetails Current Date'!E:E,--F155,
'YearA-AppDetails Current Date'!T:T,{"APEX","DENY","NTSL"},
'YearA-AppDetails Current Date'!I:I,"WINTER"))), "")</f>
        <v/>
      </c>
      <c r="M155" s="74" t="str" cm="1">
        <f t="array" ref="M155">IFERROR(1/(1/SUM(COUNTIFS(
'YearA-AppDetails Current Date'!A:A,D155,
'YearA-AppDetails Current Date'!F:F,E155,
'YearA-AppDetails Current Date'!E:E,--F155,
'YearA-AppDetails Current Date'!U:U,{"CCAN","DECL"},
'YearA-AppDetails Current Date'!I:I,"WINTER"))), "")</f>
        <v/>
      </c>
      <c r="N155" s="74" t="str" cm="1">
        <f t="array" ref="N155">IFERROR(1/(1/SUM(COUNTIFS(
'YearA-AppDetails Current Date'!A:A,D155,
'YearA-AppDetails Current Date'!F:F,E155,
'YearA-AppDetails Current Date'!E:E,--F155,
'YearA-AppDetails Current Date'!V:V,{"APRO","NODE"},
'YearA-AppDetails Current Date'!I:I,"WINTER"))), "")</f>
        <v/>
      </c>
      <c r="O155" s="74" t="str" cm="1">
        <f t="array" ref="O155">IFERROR(1/(1/SUM(COUNTIFS(
'YearA-AppDetails Current Date'!A:A,D155,
'YearA-AppDetails Current Date'!F:F,E155,
'YearA-AppDetails Current Date'!E:E,--F155,
'YearA-AppDetails Current Date'!T:T,{"CDMT","RQMT","WAIT"},
'YearA-AppDetails Current Date'!I:I,"WINTER"))), "")</f>
        <v/>
      </c>
      <c r="P155" s="74" t="str">
        <f>IFERROR(1/(1/COUNTIFS(
'YearA-AppDetails Current Date'!A:A,D155,
'YearA-AppDetails Current Date'!F:F,E155,
'YearA-AppDetails Current Date'!E:E,--F155,
'YearA-AppDetails Current Date'!Y:Y,"ENRO",
'YearA-AppDetails Current Date'!I:I,"WINTER")),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HC'!D:T,6,FALSE)),
N(VLOOKUP(D156&amp;F156,'Budgeted Projections Intl HC'!D:T,7,FALSE))
)
),"")</f>
        <v/>
      </c>
      <c r="I156" s="73" t="str">
        <f>IFERROR(1/(1/COUNTIFS(
'YearA-AppDetails Current Date'!A:A,D156,
'YearA-AppDetails Current Date'!F:F,E156,
'YearA-AppDetails Current Date'!E:E,--F156,
'YearA-AppDetails Current Date'!I:I,"WINTER")), "")</f>
        <v/>
      </c>
      <c r="J156" s="74" t="str" cm="1">
        <f t="array" ref="J156">IFERROR(1/(1/SUM(COUNTIFS(
'YearA-AppDetails Current Date'!A:A,D156,
'YearA-AppDetails Current Date'!F:F,E156,
'YearA-AppDetails Current Date'!E:E,--F156,
'YearA-AppDetails Current Date'!O:O,{"ACLN","ACPT","COND"},
'YearA-AppDetails Current Date'!S:S,"&lt;&gt;ACLN",
'YearA-AppDetails Current Date'!S:S,"&lt;&gt;ACPT",
'YearA-AppDetails Current Date'!S:S,"&lt;&gt;COND",
'YearA-AppDetails Current Date'!I:I,"WINTER"))), "")</f>
        <v/>
      </c>
      <c r="K156" s="73" t="str">
        <f>IFERROR(1/(1/SUM(COUNTIFS(
'YearA-AppDetails Current Date'!A:A,D156,
'YearA-AppDetails Current Date'!F:F,E156,
'YearA-AppDetails Current Date'!E:E,--F156,
'YearA-AppDetails Current Date'!R:R,"&lt;&gt;"&amp;"",
'YearA-AppDetails Current Date'!I:I,"WINTER"))), "")</f>
        <v/>
      </c>
      <c r="L156" s="74" t="str" cm="1">
        <f t="array" ref="L156">IFERROR(1/(1/SUM(COUNTIFS(
'YearA-AppDetails Current Date'!A:A,D156,
'YearA-AppDetails Current Date'!F:F,E156,
'YearA-AppDetails Current Date'!E:E,--F156,
'YearA-AppDetails Current Date'!T:T,{"APEX","DENY","NTSL"},
'YearA-AppDetails Current Date'!I:I,"WINTER"))), "")</f>
        <v/>
      </c>
      <c r="M156" s="74" t="str" cm="1">
        <f t="array" ref="M156">IFERROR(1/(1/SUM(COUNTIFS(
'YearA-AppDetails Current Date'!A:A,D156,
'YearA-AppDetails Current Date'!F:F,E156,
'YearA-AppDetails Current Date'!E:E,--F156,
'YearA-AppDetails Current Date'!U:U,{"CCAN","DECL"},
'YearA-AppDetails Current Date'!I:I,"WINTER"))), "")</f>
        <v/>
      </c>
      <c r="N156" s="74" t="str" cm="1">
        <f t="array" ref="N156">IFERROR(1/(1/SUM(COUNTIFS(
'YearA-AppDetails Current Date'!A:A,D156,
'YearA-AppDetails Current Date'!F:F,E156,
'YearA-AppDetails Current Date'!E:E,--F156,
'YearA-AppDetails Current Date'!V:V,{"APRO","NODE"},
'YearA-AppDetails Current Date'!I:I,"WINTER"))), "")</f>
        <v/>
      </c>
      <c r="O156" s="74" t="str" cm="1">
        <f t="array" ref="O156">IFERROR(1/(1/SUM(COUNTIFS(
'YearA-AppDetails Current Date'!A:A,D156,
'YearA-AppDetails Current Date'!F:F,E156,
'YearA-AppDetails Current Date'!E:E,--F156,
'YearA-AppDetails Current Date'!T:T,{"CDMT","RQMT","WAIT"},
'YearA-AppDetails Current Date'!I:I,"WINTER"))), "")</f>
        <v/>
      </c>
      <c r="P156" s="74" t="str">
        <f>IFERROR(1/(1/COUNTIFS(
'YearA-AppDetails Current Date'!A:A,D156,
'YearA-AppDetails Current Date'!F:F,E156,
'YearA-AppDetails Current Date'!E:E,--F156,
'YearA-AppDetails Current Date'!Y:Y,"ENRO",
'YearA-AppDetails Current Date'!I:I,"WINTER")),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HC'!D:T,6,FALSE)),
N(VLOOKUP(D158&amp;F158,'Budgeted Projections Dom HC'!D:T,7,FALSE))
)
),"")</f>
        <v/>
      </c>
      <c r="I158" s="73" t="str">
        <f>IFERROR(1/(1/COUNTIFS(
'YearA-AppDetails Current Date'!A:A,D158,
'YearA-AppDetails Current Date'!F:F,E158,
'YearA-AppDetails Current Date'!E:E,--F158,
'YearA-AppDetails Current Date'!I:I,"WINTER")), "")</f>
        <v/>
      </c>
      <c r="J158" s="74" t="str" cm="1">
        <f t="array" ref="J158">IFERROR(1/(1/SUM(COUNTIFS(
'YearA-AppDetails Current Date'!A:A,D158,
'YearA-AppDetails Current Date'!F:F,E158,
'YearA-AppDetails Current Date'!E:E,--F158,
'YearA-AppDetails Current Date'!O:O,{"ACLN","ACPT","COND"},
'YearA-AppDetails Current Date'!S:S,"&lt;&gt;ACLN",
'YearA-AppDetails Current Date'!S:S,"&lt;&gt;ACPT",
'YearA-AppDetails Current Date'!S:S,"&lt;&gt;COND",
'YearA-AppDetails Current Date'!I:I,"WINTER"))), "")</f>
        <v/>
      </c>
      <c r="K158" s="73" t="str">
        <f>IFERROR(1/(1/SUM(COUNTIFS(
'YearA-AppDetails Current Date'!A:A,D158,
'YearA-AppDetails Current Date'!F:F,E158,
'YearA-AppDetails Current Date'!E:E,--F158,
'YearA-AppDetails Current Date'!R:R,"&lt;&gt;"&amp;"",
'YearA-AppDetails Current Date'!I:I,"WINTER"))), "")</f>
        <v/>
      </c>
      <c r="L158" s="74" t="str" cm="1">
        <f t="array" ref="L158">IFERROR(1/(1/SUM(COUNTIFS(
'YearA-AppDetails Current Date'!A:A,D158,
'YearA-AppDetails Current Date'!F:F,E158,
'YearA-AppDetails Current Date'!E:E,--F158,
'YearA-AppDetails Current Date'!T:T,{"APEX","DENY","NTSL"},
'YearA-AppDetails Current Date'!I:I,"WINTER"))), "")</f>
        <v/>
      </c>
      <c r="M158" s="74" t="str" cm="1">
        <f t="array" ref="M158">IFERROR(1/(1/SUM(COUNTIFS(
'YearA-AppDetails Current Date'!A:A,D158,
'YearA-AppDetails Current Date'!F:F,E158,
'YearA-AppDetails Current Date'!E:E,--F158,
'YearA-AppDetails Current Date'!U:U,{"CCAN","DECL"},
'YearA-AppDetails Current Date'!I:I,"WINTER"))), "")</f>
        <v/>
      </c>
      <c r="N158" s="74" t="str" cm="1">
        <f t="array" ref="N158">IFERROR(1/(1/SUM(COUNTIFS(
'YearA-AppDetails Current Date'!A:A,D158,
'YearA-AppDetails Current Date'!F:F,E158,
'YearA-AppDetails Current Date'!E:E,--F158,
'YearA-AppDetails Current Date'!V:V,{"APRO","NODE"},
'YearA-AppDetails Current Date'!I:I,"WINTER"))), "")</f>
        <v/>
      </c>
      <c r="O158" s="74" t="str" cm="1">
        <f t="array" ref="O158">IFERROR(1/(1/SUM(COUNTIFS(
'YearA-AppDetails Current Date'!A:A,D158,
'YearA-AppDetails Current Date'!F:F,E158,
'YearA-AppDetails Current Date'!E:E,--F158,
'YearA-AppDetails Current Date'!T:T,{"CDMT","RQMT","WAIT"},
'YearA-AppDetails Current Date'!I:I,"WINTER"))), "")</f>
        <v/>
      </c>
      <c r="P158" s="74" t="str">
        <f>IFERROR(1/(1/COUNTIFS(
'YearA-AppDetails Current Date'!A:A,D158,
'YearA-AppDetails Current Date'!F:F,E158,
'YearA-AppDetails Current Date'!E:E,--F158,
'YearA-AppDetails Current Date'!Y:Y,"ENRO",
'YearA-AppDetails Current Date'!I:I,"WINTER")),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HC'!D:T,6,FALSE)),
N(VLOOKUP(D159&amp;F159,'Budgeted Projections Intl HC'!D:T,7,FALSE))
)
),"")</f>
        <v/>
      </c>
      <c r="I159" s="73" t="str">
        <f>IFERROR(1/(1/COUNTIFS(
'YearA-AppDetails Current Date'!A:A,D159,
'YearA-AppDetails Current Date'!F:F,E159,
'YearA-AppDetails Current Date'!E:E,--F159,
'YearA-AppDetails Current Date'!I:I,"WINTER")), "")</f>
        <v/>
      </c>
      <c r="J159" s="74" t="str" cm="1">
        <f t="array" ref="J159">IFERROR(1/(1/SUM(COUNTIFS(
'YearA-AppDetails Current Date'!A:A,D159,
'YearA-AppDetails Current Date'!F:F,E159,
'YearA-AppDetails Current Date'!E:E,--F159,
'YearA-AppDetails Current Date'!O:O,{"ACLN","ACPT","COND"},
'YearA-AppDetails Current Date'!S:S,"&lt;&gt;ACLN",
'YearA-AppDetails Current Date'!S:S,"&lt;&gt;ACPT",
'YearA-AppDetails Current Date'!S:S,"&lt;&gt;COND",
'YearA-AppDetails Current Date'!I:I,"WINTER"))), "")</f>
        <v/>
      </c>
      <c r="K159" s="73" t="str">
        <f>IFERROR(1/(1/SUM(COUNTIFS(
'YearA-AppDetails Current Date'!A:A,D159,
'YearA-AppDetails Current Date'!F:F,E159,
'YearA-AppDetails Current Date'!E:E,--F159,
'YearA-AppDetails Current Date'!R:R,"&lt;&gt;"&amp;"",
'YearA-AppDetails Current Date'!I:I,"WINTER"))), "")</f>
        <v/>
      </c>
      <c r="L159" s="74" t="str" cm="1">
        <f t="array" ref="L159">IFERROR(1/(1/SUM(COUNTIFS(
'YearA-AppDetails Current Date'!A:A,D159,
'YearA-AppDetails Current Date'!F:F,E159,
'YearA-AppDetails Current Date'!E:E,--F159,
'YearA-AppDetails Current Date'!T:T,{"APEX","DENY","NTSL"},
'YearA-AppDetails Current Date'!I:I,"WINTER"))), "")</f>
        <v/>
      </c>
      <c r="M159" s="74" t="str" cm="1">
        <f t="array" ref="M159">IFERROR(1/(1/SUM(COUNTIFS(
'YearA-AppDetails Current Date'!A:A,D159,
'YearA-AppDetails Current Date'!F:F,E159,
'YearA-AppDetails Current Date'!E:E,--F159,
'YearA-AppDetails Current Date'!U:U,{"CCAN","DECL"},
'YearA-AppDetails Current Date'!I:I,"WINTER"))), "")</f>
        <v/>
      </c>
      <c r="N159" s="74" t="str" cm="1">
        <f t="array" ref="N159">IFERROR(1/(1/SUM(COUNTIFS(
'YearA-AppDetails Current Date'!A:A,D159,
'YearA-AppDetails Current Date'!F:F,E159,
'YearA-AppDetails Current Date'!E:E,--F159,
'YearA-AppDetails Current Date'!V:V,{"APRO","NODE"},
'YearA-AppDetails Current Date'!I:I,"WINTER"))), "")</f>
        <v/>
      </c>
      <c r="O159" s="74" t="str" cm="1">
        <f t="array" ref="O159">IFERROR(1/(1/SUM(COUNTIFS(
'YearA-AppDetails Current Date'!A:A,D159,
'YearA-AppDetails Current Date'!F:F,E159,
'YearA-AppDetails Current Date'!E:E,--F159,
'YearA-AppDetails Current Date'!T:T,{"CDMT","RQMT","WAIT"},
'YearA-AppDetails Current Date'!I:I,"WINTER"))), "")</f>
        <v/>
      </c>
      <c r="P159" s="74" t="str">
        <f>IFERROR(1/(1/COUNTIFS(
'YearA-AppDetails Current Date'!A:A,D159,
'YearA-AppDetails Current Date'!F:F,E159,
'YearA-AppDetails Current Date'!E:E,--F159,
'YearA-AppDetails Current Date'!Y:Y,"ENRO",
'YearA-AppDetails Current Date'!I:I,"WINTER")),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HC'!D:T,6,FALSE)),
N(VLOOKUP(D160&amp;F160,'Budgeted Projections Dom HC'!D:T,7,FALSE))
)
),"")</f>
        <v/>
      </c>
      <c r="I160" s="73" t="str">
        <f>IFERROR(1/(1/COUNTIFS(
'YearA-AppDetails Current Date'!A:A,D160,
'YearA-AppDetails Current Date'!F:F,E160,
'YearA-AppDetails Current Date'!E:E,--F160,
'YearA-AppDetails Current Date'!I:I,"WINTER")), "")</f>
        <v/>
      </c>
      <c r="J160" s="74" t="str" cm="1">
        <f t="array" ref="J160">IFERROR(1/(1/SUM(COUNTIFS(
'YearA-AppDetails Current Date'!A:A,D160,
'YearA-AppDetails Current Date'!F:F,E160,
'YearA-AppDetails Current Date'!E:E,--F160,
'YearA-AppDetails Current Date'!O:O,{"ACLN","ACPT","COND"},
'YearA-AppDetails Current Date'!S:S,"&lt;&gt;ACLN",
'YearA-AppDetails Current Date'!S:S,"&lt;&gt;ACPT",
'YearA-AppDetails Current Date'!S:S,"&lt;&gt;COND",
'YearA-AppDetails Current Date'!I:I,"WINTER"))), "")</f>
        <v/>
      </c>
      <c r="K160" s="73" t="str">
        <f>IFERROR(1/(1/SUM(COUNTIFS(
'YearA-AppDetails Current Date'!A:A,D160,
'YearA-AppDetails Current Date'!F:F,E160,
'YearA-AppDetails Current Date'!E:E,--F160,
'YearA-AppDetails Current Date'!R:R,"&lt;&gt;"&amp;"",
'YearA-AppDetails Current Date'!I:I,"WINTER"))), "")</f>
        <v/>
      </c>
      <c r="L160" s="74" t="str" cm="1">
        <f t="array" ref="L160">IFERROR(1/(1/SUM(COUNTIFS(
'YearA-AppDetails Current Date'!A:A,D160,
'YearA-AppDetails Current Date'!F:F,E160,
'YearA-AppDetails Current Date'!E:E,--F160,
'YearA-AppDetails Current Date'!T:T,{"APEX","DENY","NTSL"},
'YearA-AppDetails Current Date'!I:I,"WINTER"))), "")</f>
        <v/>
      </c>
      <c r="M160" s="74" t="str" cm="1">
        <f t="array" ref="M160">IFERROR(1/(1/SUM(COUNTIFS(
'YearA-AppDetails Current Date'!A:A,D160,
'YearA-AppDetails Current Date'!F:F,E160,
'YearA-AppDetails Current Date'!E:E,--F160,
'YearA-AppDetails Current Date'!U:U,{"CCAN","DECL"},
'YearA-AppDetails Current Date'!I:I,"WINTER"))), "")</f>
        <v/>
      </c>
      <c r="N160" s="74" t="str" cm="1">
        <f t="array" ref="N160">IFERROR(1/(1/SUM(COUNTIFS(
'YearA-AppDetails Current Date'!A:A,D160,
'YearA-AppDetails Current Date'!F:F,E160,
'YearA-AppDetails Current Date'!E:E,--F160,
'YearA-AppDetails Current Date'!V:V,{"APRO","NODE"},
'YearA-AppDetails Current Date'!I:I,"WINTER"))), "")</f>
        <v/>
      </c>
      <c r="O160" s="74" t="str" cm="1">
        <f t="array" ref="O160">IFERROR(1/(1/SUM(COUNTIFS(
'YearA-AppDetails Current Date'!A:A,D160,
'YearA-AppDetails Current Date'!F:F,E160,
'YearA-AppDetails Current Date'!E:E,--F160,
'YearA-AppDetails Current Date'!T:T,{"CDMT","RQMT","WAIT"},
'YearA-AppDetails Current Date'!I:I,"WINTER"))), "")</f>
        <v/>
      </c>
      <c r="P160" s="74" t="str">
        <f>IFERROR(1/(1/COUNTIFS(
'YearA-AppDetails Current Date'!A:A,D160,
'YearA-AppDetails Current Date'!F:F,E160,
'YearA-AppDetails Current Date'!E:E,--F160,
'YearA-AppDetails Current Date'!Y:Y,"ENRO",
'YearA-AppDetails Current Date'!I:I,"WINTER")),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HC'!D:T,6,FALSE)),
N(VLOOKUP(D161&amp;F161,'Budgeted Projections Intl HC'!D:T,7,FALSE))
)
),"")</f>
        <v/>
      </c>
      <c r="I161" s="73" t="str">
        <f>IFERROR(1/(1/COUNTIFS(
'YearA-AppDetails Current Date'!A:A,D161,
'YearA-AppDetails Current Date'!F:F,E161,
'YearA-AppDetails Current Date'!E:E,--F161,
'YearA-AppDetails Current Date'!I:I,"WINTER")), "")</f>
        <v/>
      </c>
      <c r="J161" s="74" t="str" cm="1">
        <f t="array" ref="J161">IFERROR(1/(1/SUM(COUNTIFS(
'YearA-AppDetails Current Date'!A:A,D161,
'YearA-AppDetails Current Date'!F:F,E161,
'YearA-AppDetails Current Date'!E:E,--F161,
'YearA-AppDetails Current Date'!O:O,{"ACLN","ACPT","COND"},
'YearA-AppDetails Current Date'!S:S,"&lt;&gt;ACLN",
'YearA-AppDetails Current Date'!S:S,"&lt;&gt;ACPT",
'YearA-AppDetails Current Date'!S:S,"&lt;&gt;COND",
'YearA-AppDetails Current Date'!I:I,"WINTER"))), "")</f>
        <v/>
      </c>
      <c r="K161" s="73" t="str">
        <f>IFERROR(1/(1/SUM(COUNTIFS(
'YearA-AppDetails Current Date'!A:A,D161,
'YearA-AppDetails Current Date'!F:F,E161,
'YearA-AppDetails Current Date'!E:E,--F161,
'YearA-AppDetails Current Date'!R:R,"&lt;&gt;"&amp;"",
'YearA-AppDetails Current Date'!I:I,"WINTER"))), "")</f>
        <v/>
      </c>
      <c r="L161" s="74" t="str" cm="1">
        <f t="array" ref="L161">IFERROR(1/(1/SUM(COUNTIFS(
'YearA-AppDetails Current Date'!A:A,D161,
'YearA-AppDetails Current Date'!F:F,E161,
'YearA-AppDetails Current Date'!E:E,--F161,
'YearA-AppDetails Current Date'!T:T,{"APEX","DENY","NTSL"},
'YearA-AppDetails Current Date'!I:I,"WINTER"))), "")</f>
        <v/>
      </c>
      <c r="M161" s="74" t="str" cm="1">
        <f t="array" ref="M161">IFERROR(1/(1/SUM(COUNTIFS(
'YearA-AppDetails Current Date'!A:A,D161,
'YearA-AppDetails Current Date'!F:F,E161,
'YearA-AppDetails Current Date'!E:E,--F161,
'YearA-AppDetails Current Date'!U:U,{"CCAN","DECL"},
'YearA-AppDetails Current Date'!I:I,"WINTER"))), "")</f>
        <v/>
      </c>
      <c r="N161" s="74" t="str" cm="1">
        <f t="array" ref="N161">IFERROR(1/(1/SUM(COUNTIFS(
'YearA-AppDetails Current Date'!A:A,D161,
'YearA-AppDetails Current Date'!F:F,E161,
'YearA-AppDetails Current Date'!E:E,--F161,
'YearA-AppDetails Current Date'!V:V,{"APRO","NODE"},
'YearA-AppDetails Current Date'!I:I,"WINTER"))), "")</f>
        <v/>
      </c>
      <c r="O161" s="74" t="str" cm="1">
        <f t="array" ref="O161">IFERROR(1/(1/SUM(COUNTIFS(
'YearA-AppDetails Current Date'!A:A,D161,
'YearA-AppDetails Current Date'!F:F,E161,
'YearA-AppDetails Current Date'!E:E,--F161,
'YearA-AppDetails Current Date'!T:T,{"CDMT","RQMT","WAIT"},
'YearA-AppDetails Current Date'!I:I,"WINTER"))), "")</f>
        <v/>
      </c>
      <c r="P161" s="74" t="str">
        <f>IFERROR(1/(1/COUNTIFS(
'YearA-AppDetails Current Date'!A:A,D161,
'YearA-AppDetails Current Date'!F:F,E161,
'YearA-AppDetails Current Date'!E:E,--F161,
'YearA-AppDetails Current Date'!Y:Y,"ENRO",
'YearA-AppDetails Current Date'!I:I,"WINTER")),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HC'!D:T,6,FALSE)),
N(VLOOKUP(D162&amp;F162,'Budgeted Projections Dom HC'!D:T,7,FALSE))
)
),"")</f>
        <v/>
      </c>
      <c r="I162" s="73" t="str">
        <f>IFERROR(1/(1/COUNTIFS(
'YearA-AppDetails Current Date'!A:A,D162,
'YearA-AppDetails Current Date'!F:F,E162,
'YearA-AppDetails Current Date'!E:E,--F162,
'YearA-AppDetails Current Date'!I:I,"WINTER")), "")</f>
        <v/>
      </c>
      <c r="J162" s="74" t="str" cm="1">
        <f t="array" ref="J162">IFERROR(1/(1/SUM(COUNTIFS(
'YearA-AppDetails Current Date'!A:A,D162,
'YearA-AppDetails Current Date'!F:F,E162,
'YearA-AppDetails Current Date'!E:E,--F162,
'YearA-AppDetails Current Date'!O:O,{"ACLN","ACPT","COND"},
'YearA-AppDetails Current Date'!S:S,"&lt;&gt;ACLN",
'YearA-AppDetails Current Date'!S:S,"&lt;&gt;ACPT",
'YearA-AppDetails Current Date'!S:S,"&lt;&gt;COND",
'YearA-AppDetails Current Date'!I:I,"WINTER"))), "")</f>
        <v/>
      </c>
      <c r="K162" s="73" t="str">
        <f>IFERROR(1/(1/SUM(COUNTIFS(
'YearA-AppDetails Current Date'!A:A,D162,
'YearA-AppDetails Current Date'!F:F,E162,
'YearA-AppDetails Current Date'!E:E,--F162,
'YearA-AppDetails Current Date'!R:R,"&lt;&gt;"&amp;"",
'YearA-AppDetails Current Date'!I:I,"WINTER"))), "")</f>
        <v/>
      </c>
      <c r="L162" s="74" t="str" cm="1">
        <f t="array" ref="L162">IFERROR(1/(1/SUM(COUNTIFS(
'YearA-AppDetails Current Date'!A:A,D162,
'YearA-AppDetails Current Date'!F:F,E162,
'YearA-AppDetails Current Date'!E:E,--F162,
'YearA-AppDetails Current Date'!T:T,{"APEX","DENY","NTSL"},
'YearA-AppDetails Current Date'!I:I,"WINTER"))), "")</f>
        <v/>
      </c>
      <c r="M162" s="74" t="str" cm="1">
        <f t="array" ref="M162">IFERROR(1/(1/SUM(COUNTIFS(
'YearA-AppDetails Current Date'!A:A,D162,
'YearA-AppDetails Current Date'!F:F,E162,
'YearA-AppDetails Current Date'!E:E,--F162,
'YearA-AppDetails Current Date'!U:U,{"CCAN","DECL"},
'YearA-AppDetails Current Date'!I:I,"WINTER"))), "")</f>
        <v/>
      </c>
      <c r="N162" s="74" t="str" cm="1">
        <f t="array" ref="N162">IFERROR(1/(1/SUM(COUNTIFS(
'YearA-AppDetails Current Date'!A:A,D162,
'YearA-AppDetails Current Date'!F:F,E162,
'YearA-AppDetails Current Date'!E:E,--F162,
'YearA-AppDetails Current Date'!V:V,{"APRO","NODE"},
'YearA-AppDetails Current Date'!I:I,"WINTER"))), "")</f>
        <v/>
      </c>
      <c r="O162" s="74" t="str" cm="1">
        <f t="array" ref="O162">IFERROR(1/(1/SUM(COUNTIFS(
'YearA-AppDetails Current Date'!A:A,D162,
'YearA-AppDetails Current Date'!F:F,E162,
'YearA-AppDetails Current Date'!E:E,--F162,
'YearA-AppDetails Current Date'!T:T,{"CDMT","RQMT","WAIT"},
'YearA-AppDetails Current Date'!I:I,"WINTER"))), "")</f>
        <v/>
      </c>
      <c r="P162" s="74" t="str">
        <f>IFERROR(1/(1/COUNTIFS(
'YearA-AppDetails Current Date'!A:A,D162,
'YearA-AppDetails Current Date'!F:F,E162,
'YearA-AppDetails Current Date'!E:E,--F162,
'YearA-AppDetails Current Date'!Y:Y,"ENRO",
'YearA-AppDetails Current Date'!I:I,"WINTER")),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HC'!D:T,6,FALSE)),
N(VLOOKUP(D163&amp;F163,'Budgeted Projections Intl HC'!D:T,7,FALSE))
)
),"")</f>
        <v/>
      </c>
      <c r="I163" s="73" t="str">
        <f>IFERROR(1/(1/COUNTIFS(
'YearA-AppDetails Current Date'!A:A,D163,
'YearA-AppDetails Current Date'!F:F,E163,
'YearA-AppDetails Current Date'!E:E,--F163,
'YearA-AppDetails Current Date'!I:I,"WINTER")), "")</f>
        <v/>
      </c>
      <c r="J163" s="74" t="str" cm="1">
        <f t="array" ref="J163">IFERROR(1/(1/SUM(COUNTIFS(
'YearA-AppDetails Current Date'!A:A,D163,
'YearA-AppDetails Current Date'!F:F,E163,
'YearA-AppDetails Current Date'!E:E,--F163,
'YearA-AppDetails Current Date'!O:O,{"ACLN","ACPT","COND"},
'YearA-AppDetails Current Date'!S:S,"&lt;&gt;ACLN",
'YearA-AppDetails Current Date'!S:S,"&lt;&gt;ACPT",
'YearA-AppDetails Current Date'!S:S,"&lt;&gt;COND",
'YearA-AppDetails Current Date'!I:I,"WINTER"))), "")</f>
        <v/>
      </c>
      <c r="K163" s="73" t="str">
        <f>IFERROR(1/(1/SUM(COUNTIFS(
'YearA-AppDetails Current Date'!A:A,D163,
'YearA-AppDetails Current Date'!F:F,E163,
'YearA-AppDetails Current Date'!E:E,--F163,
'YearA-AppDetails Current Date'!R:R,"&lt;&gt;"&amp;"",
'YearA-AppDetails Current Date'!I:I,"WINTER"))), "")</f>
        <v/>
      </c>
      <c r="L163" s="74" t="str" cm="1">
        <f t="array" ref="L163">IFERROR(1/(1/SUM(COUNTIFS(
'YearA-AppDetails Current Date'!A:A,D163,
'YearA-AppDetails Current Date'!F:F,E163,
'YearA-AppDetails Current Date'!E:E,--F163,
'YearA-AppDetails Current Date'!T:T,{"APEX","DENY","NTSL"},
'YearA-AppDetails Current Date'!I:I,"WINTER"))), "")</f>
        <v/>
      </c>
      <c r="M163" s="74" t="str" cm="1">
        <f t="array" ref="M163">IFERROR(1/(1/SUM(COUNTIFS(
'YearA-AppDetails Current Date'!A:A,D163,
'YearA-AppDetails Current Date'!F:F,E163,
'YearA-AppDetails Current Date'!E:E,--F163,
'YearA-AppDetails Current Date'!U:U,{"CCAN","DECL"},
'YearA-AppDetails Current Date'!I:I,"WINTER"))), "")</f>
        <v/>
      </c>
      <c r="N163" s="74" t="str" cm="1">
        <f t="array" ref="N163">IFERROR(1/(1/SUM(COUNTIFS(
'YearA-AppDetails Current Date'!A:A,D163,
'YearA-AppDetails Current Date'!F:F,E163,
'YearA-AppDetails Current Date'!E:E,--F163,
'YearA-AppDetails Current Date'!V:V,{"APRO","NODE"},
'YearA-AppDetails Current Date'!I:I,"WINTER"))), "")</f>
        <v/>
      </c>
      <c r="O163" s="74" t="str" cm="1">
        <f t="array" ref="O163">IFERROR(1/(1/SUM(COUNTIFS(
'YearA-AppDetails Current Date'!A:A,D163,
'YearA-AppDetails Current Date'!F:F,E163,
'YearA-AppDetails Current Date'!E:E,--F163,
'YearA-AppDetails Current Date'!T:T,{"CDMT","RQMT","WAIT"},
'YearA-AppDetails Current Date'!I:I,"WINTER"))), "")</f>
        <v/>
      </c>
      <c r="P163" s="74" t="str">
        <f>IFERROR(1/(1/COUNTIFS(
'YearA-AppDetails Current Date'!A:A,D163,
'YearA-AppDetails Current Date'!F:F,E163,
'YearA-AppDetails Current Date'!E:E,--F163,
'YearA-AppDetails Current Date'!Y:Y,"ENRO",
'YearA-AppDetails Current Date'!I:I,"WINTER")),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HC'!D:T,6,FALSE)),
N(VLOOKUP(D164&amp;F164,'Budgeted Projections Dom HC'!D:T,7,FALSE))
)
),"")</f>
        <v/>
      </c>
      <c r="I164" s="73" t="str">
        <f>IFERROR(1/(1/COUNTIFS(
'YearA-AppDetails Current Date'!A:A,D164,
'YearA-AppDetails Current Date'!F:F,E164,
'YearA-AppDetails Current Date'!E:E,--F164,
'YearA-AppDetails Current Date'!I:I,"WINTER")), "")</f>
        <v/>
      </c>
      <c r="J164" s="74" t="str" cm="1">
        <f t="array" ref="J164">IFERROR(1/(1/SUM(COUNTIFS(
'YearA-AppDetails Current Date'!A:A,D164,
'YearA-AppDetails Current Date'!F:F,E164,
'YearA-AppDetails Current Date'!E:E,--F164,
'YearA-AppDetails Current Date'!O:O,{"ACLN","ACPT","COND"},
'YearA-AppDetails Current Date'!S:S,"&lt;&gt;ACLN",
'YearA-AppDetails Current Date'!S:S,"&lt;&gt;ACPT",
'YearA-AppDetails Current Date'!S:S,"&lt;&gt;COND",
'YearA-AppDetails Current Date'!I:I,"WINTER"))), "")</f>
        <v/>
      </c>
      <c r="K164" s="73" t="str">
        <f>IFERROR(1/(1/SUM(COUNTIFS(
'YearA-AppDetails Current Date'!A:A,D164,
'YearA-AppDetails Current Date'!F:F,E164,
'YearA-AppDetails Current Date'!E:E,--F164,
'YearA-AppDetails Current Date'!R:R,"&lt;&gt;"&amp;"",
'YearA-AppDetails Current Date'!I:I,"WINTER"))), "")</f>
        <v/>
      </c>
      <c r="L164" s="74" t="str" cm="1">
        <f t="array" ref="L164">IFERROR(1/(1/SUM(COUNTIFS(
'YearA-AppDetails Current Date'!A:A,D164,
'YearA-AppDetails Current Date'!F:F,E164,
'YearA-AppDetails Current Date'!E:E,--F164,
'YearA-AppDetails Current Date'!T:T,{"APEX","DENY","NTSL"},
'YearA-AppDetails Current Date'!I:I,"WINTER"))), "")</f>
        <v/>
      </c>
      <c r="M164" s="74" t="str" cm="1">
        <f t="array" ref="M164">IFERROR(1/(1/SUM(COUNTIFS(
'YearA-AppDetails Current Date'!A:A,D164,
'YearA-AppDetails Current Date'!F:F,E164,
'YearA-AppDetails Current Date'!E:E,--F164,
'YearA-AppDetails Current Date'!U:U,{"CCAN","DECL"},
'YearA-AppDetails Current Date'!I:I,"WINTER"))), "")</f>
        <v/>
      </c>
      <c r="N164" s="74" t="str" cm="1">
        <f t="array" ref="N164">IFERROR(1/(1/SUM(COUNTIFS(
'YearA-AppDetails Current Date'!A:A,D164,
'YearA-AppDetails Current Date'!F:F,E164,
'YearA-AppDetails Current Date'!E:E,--F164,
'YearA-AppDetails Current Date'!V:V,{"APRO","NODE"},
'YearA-AppDetails Current Date'!I:I,"WINTER"))), "")</f>
        <v/>
      </c>
      <c r="O164" s="74" t="str" cm="1">
        <f t="array" ref="O164">IFERROR(1/(1/SUM(COUNTIFS(
'YearA-AppDetails Current Date'!A:A,D164,
'YearA-AppDetails Current Date'!F:F,E164,
'YearA-AppDetails Current Date'!E:E,--F164,
'YearA-AppDetails Current Date'!T:T,{"CDMT","RQMT","WAIT"},
'YearA-AppDetails Current Date'!I:I,"WINTER"))), "")</f>
        <v/>
      </c>
      <c r="P164" s="74" t="str">
        <f>IFERROR(1/(1/COUNTIFS(
'YearA-AppDetails Current Date'!A:A,D164,
'YearA-AppDetails Current Date'!F:F,E164,
'YearA-AppDetails Current Date'!E:E,--F164,
'YearA-AppDetails Current Date'!Y:Y,"ENRO",
'YearA-AppDetails Current Date'!I:I,"WINTER")),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HC'!D:T,6,FALSE)),
N(VLOOKUP(D165&amp;F165,'Budgeted Projections Intl HC'!D:T,7,FALSE))
)
),"")</f>
        <v/>
      </c>
      <c r="I165" s="73" t="str">
        <f>IFERROR(1/(1/COUNTIFS(
'YearA-AppDetails Current Date'!A:A,D165,
'YearA-AppDetails Current Date'!F:F,E165,
'YearA-AppDetails Current Date'!E:E,--F165,
'YearA-AppDetails Current Date'!I:I,"WINTER")), "")</f>
        <v/>
      </c>
      <c r="J165" s="74" t="str" cm="1">
        <f t="array" ref="J165">IFERROR(1/(1/SUM(COUNTIFS(
'YearA-AppDetails Current Date'!A:A,D165,
'YearA-AppDetails Current Date'!F:F,E165,
'YearA-AppDetails Current Date'!E:E,--F165,
'YearA-AppDetails Current Date'!O:O,{"ACLN","ACPT","COND"},
'YearA-AppDetails Current Date'!S:S,"&lt;&gt;ACLN",
'YearA-AppDetails Current Date'!S:S,"&lt;&gt;ACPT",
'YearA-AppDetails Current Date'!S:S,"&lt;&gt;COND",
'YearA-AppDetails Current Date'!I:I,"WINTER"))), "")</f>
        <v/>
      </c>
      <c r="K165" s="73" t="str">
        <f>IFERROR(1/(1/SUM(COUNTIFS(
'YearA-AppDetails Current Date'!A:A,D165,
'YearA-AppDetails Current Date'!F:F,E165,
'YearA-AppDetails Current Date'!E:E,--F165,
'YearA-AppDetails Current Date'!R:R,"&lt;&gt;"&amp;"",
'YearA-AppDetails Current Date'!I:I,"WINTER"))), "")</f>
        <v/>
      </c>
      <c r="L165" s="74" t="str" cm="1">
        <f t="array" ref="L165">IFERROR(1/(1/SUM(COUNTIFS(
'YearA-AppDetails Current Date'!A:A,D165,
'YearA-AppDetails Current Date'!F:F,E165,
'YearA-AppDetails Current Date'!E:E,--F165,
'YearA-AppDetails Current Date'!T:T,{"APEX","DENY","NTSL"},
'YearA-AppDetails Current Date'!I:I,"WINTER"))), "")</f>
        <v/>
      </c>
      <c r="M165" s="74" t="str" cm="1">
        <f t="array" ref="M165">IFERROR(1/(1/SUM(COUNTIFS(
'YearA-AppDetails Current Date'!A:A,D165,
'YearA-AppDetails Current Date'!F:F,E165,
'YearA-AppDetails Current Date'!E:E,--F165,
'YearA-AppDetails Current Date'!U:U,{"CCAN","DECL"},
'YearA-AppDetails Current Date'!I:I,"WINTER"))), "")</f>
        <v/>
      </c>
      <c r="N165" s="74" t="str" cm="1">
        <f t="array" ref="N165">IFERROR(1/(1/SUM(COUNTIFS(
'YearA-AppDetails Current Date'!A:A,D165,
'YearA-AppDetails Current Date'!F:F,E165,
'YearA-AppDetails Current Date'!E:E,--F165,
'YearA-AppDetails Current Date'!V:V,{"APRO","NODE"},
'YearA-AppDetails Current Date'!I:I,"WINTER"))), "")</f>
        <v/>
      </c>
      <c r="O165" s="74" t="str" cm="1">
        <f t="array" ref="O165">IFERROR(1/(1/SUM(COUNTIFS(
'YearA-AppDetails Current Date'!A:A,D165,
'YearA-AppDetails Current Date'!F:F,E165,
'YearA-AppDetails Current Date'!E:E,--F165,
'YearA-AppDetails Current Date'!T:T,{"CDMT","RQMT","WAIT"},
'YearA-AppDetails Current Date'!I:I,"WINTER"))), "")</f>
        <v/>
      </c>
      <c r="P165" s="74" t="str">
        <f>IFERROR(1/(1/COUNTIFS(
'YearA-AppDetails Current Date'!A:A,D165,
'YearA-AppDetails Current Date'!F:F,E165,
'YearA-AppDetails Current Date'!E:E,--F165,
'YearA-AppDetails Current Date'!Y:Y,"ENRO",
'YearA-AppDetails Current Date'!I:I,"WINTER")),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HC'!D:T,6,FALSE)),
N(VLOOKUP(D166&amp;F166,'Budgeted Projections Dom HC'!D:T,7,FALSE))
)
),"")</f>
        <v/>
      </c>
      <c r="I166" s="73" t="str">
        <f>IFERROR(1/(1/COUNTIFS(
'YearA-AppDetails Current Date'!A:A,D166,
'YearA-AppDetails Current Date'!F:F,E166,
'YearA-AppDetails Current Date'!E:E,--F166,
'YearA-AppDetails Current Date'!I:I,"WINTER")), "")</f>
        <v/>
      </c>
      <c r="J166" s="74" t="str" cm="1">
        <f t="array" ref="J166">IFERROR(1/(1/SUM(COUNTIFS(
'YearA-AppDetails Current Date'!A:A,D166,
'YearA-AppDetails Current Date'!F:F,E166,
'YearA-AppDetails Current Date'!E:E,--F166,
'YearA-AppDetails Current Date'!O:O,{"ACLN","ACPT","COND"},
'YearA-AppDetails Current Date'!S:S,"&lt;&gt;ACLN",
'YearA-AppDetails Current Date'!S:S,"&lt;&gt;ACPT",
'YearA-AppDetails Current Date'!S:S,"&lt;&gt;COND",
'YearA-AppDetails Current Date'!I:I,"WINTER"))), "")</f>
        <v/>
      </c>
      <c r="K166" s="73" t="str">
        <f>IFERROR(1/(1/SUM(COUNTIFS(
'YearA-AppDetails Current Date'!A:A,D166,
'YearA-AppDetails Current Date'!F:F,E166,
'YearA-AppDetails Current Date'!E:E,--F166,
'YearA-AppDetails Current Date'!R:R,"&lt;&gt;"&amp;"",
'YearA-AppDetails Current Date'!I:I,"WINTER"))), "")</f>
        <v/>
      </c>
      <c r="L166" s="74" t="str" cm="1">
        <f t="array" ref="L166">IFERROR(1/(1/SUM(COUNTIFS(
'YearA-AppDetails Current Date'!A:A,D166,
'YearA-AppDetails Current Date'!F:F,E166,
'YearA-AppDetails Current Date'!E:E,--F166,
'YearA-AppDetails Current Date'!T:T,{"APEX","DENY","NTSL"},
'YearA-AppDetails Current Date'!I:I,"WINTER"))), "")</f>
        <v/>
      </c>
      <c r="M166" s="74" t="str" cm="1">
        <f t="array" ref="M166">IFERROR(1/(1/SUM(COUNTIFS(
'YearA-AppDetails Current Date'!A:A,D166,
'YearA-AppDetails Current Date'!F:F,E166,
'YearA-AppDetails Current Date'!E:E,--F166,
'YearA-AppDetails Current Date'!U:U,{"CCAN","DECL"},
'YearA-AppDetails Current Date'!I:I,"WINTER"))), "")</f>
        <v/>
      </c>
      <c r="N166" s="74" t="str" cm="1">
        <f t="array" ref="N166">IFERROR(1/(1/SUM(COUNTIFS(
'YearA-AppDetails Current Date'!A:A,D166,
'YearA-AppDetails Current Date'!F:F,E166,
'YearA-AppDetails Current Date'!E:E,--F166,
'YearA-AppDetails Current Date'!V:V,{"APRO","NODE"},
'YearA-AppDetails Current Date'!I:I,"WINTER"))), "")</f>
        <v/>
      </c>
      <c r="O166" s="74" t="str" cm="1">
        <f t="array" ref="O166">IFERROR(1/(1/SUM(COUNTIFS(
'YearA-AppDetails Current Date'!A:A,D166,
'YearA-AppDetails Current Date'!F:F,E166,
'YearA-AppDetails Current Date'!E:E,--F166,
'YearA-AppDetails Current Date'!T:T,{"CDMT","RQMT","WAIT"},
'YearA-AppDetails Current Date'!I:I,"WINTER"))), "")</f>
        <v/>
      </c>
      <c r="P166" s="74" t="str">
        <f>IFERROR(1/(1/COUNTIFS(
'YearA-AppDetails Current Date'!A:A,D166,
'YearA-AppDetails Current Date'!F:F,E166,
'YearA-AppDetails Current Date'!E:E,--F166,
'YearA-AppDetails Current Date'!Y:Y,"ENRO",
'YearA-AppDetails Current Date'!I:I,"WINTER")),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HC'!D:T,6,FALSE)),
N(VLOOKUP(D167&amp;F167,'Budgeted Projections Intl HC'!D:T,7,FALSE))
)
),"")</f>
        <v/>
      </c>
      <c r="I167" s="73" t="str">
        <f>IFERROR(1/(1/COUNTIFS(
'YearA-AppDetails Current Date'!A:A,D167,
'YearA-AppDetails Current Date'!F:F,E167,
'YearA-AppDetails Current Date'!E:E,--F167,
'YearA-AppDetails Current Date'!I:I,"WINTER")), "")</f>
        <v/>
      </c>
      <c r="J167" s="74" t="str" cm="1">
        <f t="array" ref="J167">IFERROR(1/(1/SUM(COUNTIFS(
'YearA-AppDetails Current Date'!A:A,D167,
'YearA-AppDetails Current Date'!F:F,E167,
'YearA-AppDetails Current Date'!E:E,--F167,
'YearA-AppDetails Current Date'!O:O,{"ACLN","ACPT","COND"},
'YearA-AppDetails Current Date'!S:S,"&lt;&gt;ACLN",
'YearA-AppDetails Current Date'!S:S,"&lt;&gt;ACPT",
'YearA-AppDetails Current Date'!S:S,"&lt;&gt;COND",
'YearA-AppDetails Current Date'!I:I,"WINTER"))), "")</f>
        <v/>
      </c>
      <c r="K167" s="73" t="str">
        <f>IFERROR(1/(1/SUM(COUNTIFS(
'YearA-AppDetails Current Date'!A:A,D167,
'YearA-AppDetails Current Date'!F:F,E167,
'YearA-AppDetails Current Date'!E:E,--F167,
'YearA-AppDetails Current Date'!R:R,"&lt;&gt;"&amp;"",
'YearA-AppDetails Current Date'!I:I,"WINTER"))), "")</f>
        <v/>
      </c>
      <c r="L167" s="74" t="str" cm="1">
        <f t="array" ref="L167">IFERROR(1/(1/SUM(COUNTIFS(
'YearA-AppDetails Current Date'!A:A,D167,
'YearA-AppDetails Current Date'!F:F,E167,
'YearA-AppDetails Current Date'!E:E,--F167,
'YearA-AppDetails Current Date'!T:T,{"APEX","DENY","NTSL"},
'YearA-AppDetails Current Date'!I:I,"WINTER"))), "")</f>
        <v/>
      </c>
      <c r="M167" s="74" t="str" cm="1">
        <f t="array" ref="M167">IFERROR(1/(1/SUM(COUNTIFS(
'YearA-AppDetails Current Date'!A:A,D167,
'YearA-AppDetails Current Date'!F:F,E167,
'YearA-AppDetails Current Date'!E:E,--F167,
'YearA-AppDetails Current Date'!U:U,{"CCAN","DECL"},
'YearA-AppDetails Current Date'!I:I,"WINTER"))), "")</f>
        <v/>
      </c>
      <c r="N167" s="74" t="str" cm="1">
        <f t="array" ref="N167">IFERROR(1/(1/SUM(COUNTIFS(
'YearA-AppDetails Current Date'!A:A,D167,
'YearA-AppDetails Current Date'!F:F,E167,
'YearA-AppDetails Current Date'!E:E,--F167,
'YearA-AppDetails Current Date'!V:V,{"APRO","NODE"},
'YearA-AppDetails Current Date'!I:I,"WINTER"))), "")</f>
        <v/>
      </c>
      <c r="O167" s="74" t="str" cm="1">
        <f t="array" ref="O167">IFERROR(1/(1/SUM(COUNTIFS(
'YearA-AppDetails Current Date'!A:A,D167,
'YearA-AppDetails Current Date'!F:F,E167,
'YearA-AppDetails Current Date'!E:E,--F167,
'YearA-AppDetails Current Date'!T:T,{"CDMT","RQMT","WAIT"},
'YearA-AppDetails Current Date'!I:I,"WINTER"))), "")</f>
        <v/>
      </c>
      <c r="P167" s="74" t="str">
        <f>IFERROR(1/(1/COUNTIFS(
'YearA-AppDetails Current Date'!A:A,D167,
'YearA-AppDetails Current Date'!F:F,E167,
'YearA-AppDetails Current Date'!E:E,--F167,
'YearA-AppDetails Current Date'!Y:Y,"ENRO",
'YearA-AppDetails Current Date'!I:I,"WINTER")),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HC'!D:T,6,FALSE)),
N(VLOOKUP(D168&amp;F168,'Budgeted Projections Dom HC'!D:T,7,FALSE))
)
),"")</f>
        <v/>
      </c>
      <c r="I168" s="73" t="str">
        <f>IFERROR(1/(1/COUNTIFS(
'YearA-AppDetails Current Date'!A:A,D168,
'YearA-AppDetails Current Date'!F:F,E168,
'YearA-AppDetails Current Date'!E:E,--F168,
'YearA-AppDetails Current Date'!I:I,"WINTER")), "")</f>
        <v/>
      </c>
      <c r="J168" s="74" t="str" cm="1">
        <f t="array" ref="J168">IFERROR(1/(1/SUM(COUNTIFS(
'YearA-AppDetails Current Date'!A:A,D168,
'YearA-AppDetails Current Date'!F:F,E168,
'YearA-AppDetails Current Date'!E:E,--F168,
'YearA-AppDetails Current Date'!O:O,{"ACLN","ACPT","COND"},
'YearA-AppDetails Current Date'!S:S,"&lt;&gt;ACLN",
'YearA-AppDetails Current Date'!S:S,"&lt;&gt;ACPT",
'YearA-AppDetails Current Date'!S:S,"&lt;&gt;COND",
'YearA-AppDetails Current Date'!I:I,"WINTER"))), "")</f>
        <v/>
      </c>
      <c r="K168" s="73" t="str">
        <f>IFERROR(1/(1/SUM(COUNTIFS(
'YearA-AppDetails Current Date'!A:A,D168,
'YearA-AppDetails Current Date'!F:F,E168,
'YearA-AppDetails Current Date'!E:E,--F168,
'YearA-AppDetails Current Date'!R:R,"&lt;&gt;"&amp;"",
'YearA-AppDetails Current Date'!I:I,"WINTER"))), "")</f>
        <v/>
      </c>
      <c r="L168" s="74" t="str" cm="1">
        <f t="array" ref="L168">IFERROR(1/(1/SUM(COUNTIFS(
'YearA-AppDetails Current Date'!A:A,D168,
'YearA-AppDetails Current Date'!F:F,E168,
'YearA-AppDetails Current Date'!E:E,--F168,
'YearA-AppDetails Current Date'!T:T,{"APEX","DENY","NTSL"},
'YearA-AppDetails Current Date'!I:I,"WINTER"))), "")</f>
        <v/>
      </c>
      <c r="M168" s="74" t="str" cm="1">
        <f t="array" ref="M168">IFERROR(1/(1/SUM(COUNTIFS(
'YearA-AppDetails Current Date'!A:A,D168,
'YearA-AppDetails Current Date'!F:F,E168,
'YearA-AppDetails Current Date'!E:E,--F168,
'YearA-AppDetails Current Date'!U:U,{"CCAN","DECL"},
'YearA-AppDetails Current Date'!I:I,"WINTER"))), "")</f>
        <v/>
      </c>
      <c r="N168" s="74" t="str" cm="1">
        <f t="array" ref="N168">IFERROR(1/(1/SUM(COUNTIFS(
'YearA-AppDetails Current Date'!A:A,D168,
'YearA-AppDetails Current Date'!F:F,E168,
'YearA-AppDetails Current Date'!E:E,--F168,
'YearA-AppDetails Current Date'!V:V,{"APRO","NODE"},
'YearA-AppDetails Current Date'!I:I,"WINTER"))), "")</f>
        <v/>
      </c>
      <c r="O168" s="74" t="str" cm="1">
        <f t="array" ref="O168">IFERROR(1/(1/SUM(COUNTIFS(
'YearA-AppDetails Current Date'!A:A,D168,
'YearA-AppDetails Current Date'!F:F,E168,
'YearA-AppDetails Current Date'!E:E,--F168,
'YearA-AppDetails Current Date'!T:T,{"CDMT","RQMT","WAIT"},
'YearA-AppDetails Current Date'!I:I,"WINTER"))), "")</f>
        <v/>
      </c>
      <c r="P168" s="74" t="str">
        <f>IFERROR(1/(1/COUNTIFS(
'YearA-AppDetails Current Date'!A:A,D168,
'YearA-AppDetails Current Date'!F:F,E168,
'YearA-AppDetails Current Date'!E:E,--F168,
'YearA-AppDetails Current Date'!Y:Y,"ENRO",
'YearA-AppDetails Current Date'!I:I,"WINTER")),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HC'!D:T,6,FALSE)),
N(VLOOKUP(D169&amp;F169,'Budgeted Projections Intl HC'!D:T,7,FALSE))
)
),"")</f>
        <v/>
      </c>
      <c r="I169" s="73" t="str">
        <f>IFERROR(1/(1/COUNTIFS(
'YearA-AppDetails Current Date'!A:A,D169,
'YearA-AppDetails Current Date'!F:F,E169,
'YearA-AppDetails Current Date'!E:E,--F169,
'YearA-AppDetails Current Date'!I:I,"WINTER")), "")</f>
        <v/>
      </c>
      <c r="J169" s="74" t="str" cm="1">
        <f t="array" ref="J169">IFERROR(1/(1/SUM(COUNTIFS(
'YearA-AppDetails Current Date'!A:A,D169,
'YearA-AppDetails Current Date'!F:F,E169,
'YearA-AppDetails Current Date'!E:E,--F169,
'YearA-AppDetails Current Date'!O:O,{"ACLN","ACPT","COND"},
'YearA-AppDetails Current Date'!S:S,"&lt;&gt;ACLN",
'YearA-AppDetails Current Date'!S:S,"&lt;&gt;ACPT",
'YearA-AppDetails Current Date'!S:S,"&lt;&gt;COND",
'YearA-AppDetails Current Date'!I:I,"WINTER"))), "")</f>
        <v/>
      </c>
      <c r="K169" s="73" t="str">
        <f>IFERROR(1/(1/SUM(COUNTIFS(
'YearA-AppDetails Current Date'!A:A,D169,
'YearA-AppDetails Current Date'!F:F,E169,
'YearA-AppDetails Current Date'!E:E,--F169,
'YearA-AppDetails Current Date'!R:R,"&lt;&gt;"&amp;"",
'YearA-AppDetails Current Date'!I:I,"WINTER"))), "")</f>
        <v/>
      </c>
      <c r="L169" s="74" t="str" cm="1">
        <f t="array" ref="L169">IFERROR(1/(1/SUM(COUNTIFS(
'YearA-AppDetails Current Date'!A:A,D169,
'YearA-AppDetails Current Date'!F:F,E169,
'YearA-AppDetails Current Date'!E:E,--F169,
'YearA-AppDetails Current Date'!T:T,{"APEX","DENY","NTSL"},
'YearA-AppDetails Current Date'!I:I,"WINTER"))), "")</f>
        <v/>
      </c>
      <c r="M169" s="74" t="str" cm="1">
        <f t="array" ref="M169">IFERROR(1/(1/SUM(COUNTIFS(
'YearA-AppDetails Current Date'!A:A,D169,
'YearA-AppDetails Current Date'!F:F,E169,
'YearA-AppDetails Current Date'!E:E,--F169,
'YearA-AppDetails Current Date'!U:U,{"CCAN","DECL"},
'YearA-AppDetails Current Date'!I:I,"WINTER"))), "")</f>
        <v/>
      </c>
      <c r="N169" s="74" t="str" cm="1">
        <f t="array" ref="N169">IFERROR(1/(1/SUM(COUNTIFS(
'YearA-AppDetails Current Date'!A:A,D169,
'YearA-AppDetails Current Date'!F:F,E169,
'YearA-AppDetails Current Date'!E:E,--F169,
'YearA-AppDetails Current Date'!V:V,{"APRO","NODE"},
'YearA-AppDetails Current Date'!I:I,"WINTER"))), "")</f>
        <v/>
      </c>
      <c r="O169" s="74" t="str" cm="1">
        <f t="array" ref="O169">IFERROR(1/(1/SUM(COUNTIFS(
'YearA-AppDetails Current Date'!A:A,D169,
'YearA-AppDetails Current Date'!F:F,E169,
'YearA-AppDetails Current Date'!E:E,--F169,
'YearA-AppDetails Current Date'!T:T,{"CDMT","RQMT","WAIT"},
'YearA-AppDetails Current Date'!I:I,"WINTER"))), "")</f>
        <v/>
      </c>
      <c r="P169" s="74" t="str">
        <f>IFERROR(1/(1/COUNTIFS(
'YearA-AppDetails Current Date'!A:A,D169,
'YearA-AppDetails Current Date'!F:F,E169,
'YearA-AppDetails Current Date'!E:E,--F169,
'YearA-AppDetails Current Date'!Y:Y,"ENRO",
'YearA-AppDetails Current Date'!I:I,"WINTER")),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HC'!D:T,6,FALSE)),
N(VLOOKUP(D170&amp;F170,'Budgeted Projections Dom HC'!D:T,7,FALSE))
)
),"")</f>
        <v/>
      </c>
      <c r="I170" s="73" t="str">
        <f>IFERROR(1/(1/COUNTIFS(
'YearA-AppDetails Current Date'!A:A,D170,
'YearA-AppDetails Current Date'!F:F,E170,
'YearA-AppDetails Current Date'!E:E,--F170,
'YearA-AppDetails Current Date'!I:I,"WINTER")), "")</f>
        <v/>
      </c>
      <c r="J170" s="74" t="str" cm="1">
        <f t="array" ref="J170">IFERROR(1/(1/SUM(COUNTIFS(
'YearA-AppDetails Current Date'!A:A,D170,
'YearA-AppDetails Current Date'!F:F,E170,
'YearA-AppDetails Current Date'!E:E,--F170,
'YearA-AppDetails Current Date'!O:O,{"ACLN","ACPT","COND"},
'YearA-AppDetails Current Date'!S:S,"&lt;&gt;ACLN",
'YearA-AppDetails Current Date'!S:S,"&lt;&gt;ACPT",
'YearA-AppDetails Current Date'!S:S,"&lt;&gt;COND",
'YearA-AppDetails Current Date'!I:I,"WINTER"))), "")</f>
        <v/>
      </c>
      <c r="K170" s="73" t="str">
        <f>IFERROR(1/(1/SUM(COUNTIFS(
'YearA-AppDetails Current Date'!A:A,D170,
'YearA-AppDetails Current Date'!F:F,E170,
'YearA-AppDetails Current Date'!E:E,--F170,
'YearA-AppDetails Current Date'!R:R,"&lt;&gt;"&amp;"",
'YearA-AppDetails Current Date'!I:I,"WINTER"))), "")</f>
        <v/>
      </c>
      <c r="L170" s="74" t="str" cm="1">
        <f t="array" ref="L170">IFERROR(1/(1/SUM(COUNTIFS(
'YearA-AppDetails Current Date'!A:A,D170,
'YearA-AppDetails Current Date'!F:F,E170,
'YearA-AppDetails Current Date'!E:E,--F170,
'YearA-AppDetails Current Date'!T:T,{"APEX","DENY","NTSL"},
'YearA-AppDetails Current Date'!I:I,"WINTER"))), "")</f>
        <v/>
      </c>
      <c r="M170" s="74" t="str" cm="1">
        <f t="array" ref="M170">IFERROR(1/(1/SUM(COUNTIFS(
'YearA-AppDetails Current Date'!A:A,D170,
'YearA-AppDetails Current Date'!F:F,E170,
'YearA-AppDetails Current Date'!E:E,--F170,
'YearA-AppDetails Current Date'!U:U,{"CCAN","DECL"},
'YearA-AppDetails Current Date'!I:I,"WINTER"))), "")</f>
        <v/>
      </c>
      <c r="N170" s="74" t="str" cm="1">
        <f t="array" ref="N170">IFERROR(1/(1/SUM(COUNTIFS(
'YearA-AppDetails Current Date'!A:A,D170,
'YearA-AppDetails Current Date'!F:F,E170,
'YearA-AppDetails Current Date'!E:E,--F170,
'YearA-AppDetails Current Date'!V:V,{"APRO","NODE"},
'YearA-AppDetails Current Date'!I:I,"WINTER"))), "")</f>
        <v/>
      </c>
      <c r="O170" s="74" t="str" cm="1">
        <f t="array" ref="O170">IFERROR(1/(1/SUM(COUNTIFS(
'YearA-AppDetails Current Date'!A:A,D170,
'YearA-AppDetails Current Date'!F:F,E170,
'YearA-AppDetails Current Date'!E:E,--F170,
'YearA-AppDetails Current Date'!T:T,{"CDMT","RQMT","WAIT"},
'YearA-AppDetails Current Date'!I:I,"WINTER"))), "")</f>
        <v/>
      </c>
      <c r="P170" s="74" t="str">
        <f>IFERROR(1/(1/COUNTIFS(
'YearA-AppDetails Current Date'!A:A,D170,
'YearA-AppDetails Current Date'!F:F,E170,
'YearA-AppDetails Current Date'!E:E,--F170,
'YearA-AppDetails Current Date'!Y:Y,"ENRO",
'YearA-AppDetails Current Date'!I:I,"WINTER")),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HC'!D:T,6,FALSE)),
N(VLOOKUP(D171&amp;F171,'Budgeted Projections Intl HC'!D:T,7,FALSE))
)
),"")</f>
        <v/>
      </c>
      <c r="I171" s="73" t="str">
        <f>IFERROR(1/(1/COUNTIFS(
'YearA-AppDetails Current Date'!A:A,D171,
'YearA-AppDetails Current Date'!F:F,E171,
'YearA-AppDetails Current Date'!E:E,--F171,
'YearA-AppDetails Current Date'!I:I,"WINTER")), "")</f>
        <v/>
      </c>
      <c r="J171" s="74" t="str" cm="1">
        <f t="array" ref="J171">IFERROR(1/(1/SUM(COUNTIFS(
'YearA-AppDetails Current Date'!A:A,D171,
'YearA-AppDetails Current Date'!F:F,E171,
'YearA-AppDetails Current Date'!E:E,--F171,
'YearA-AppDetails Current Date'!O:O,{"ACLN","ACPT","COND"},
'YearA-AppDetails Current Date'!S:S,"&lt;&gt;ACLN",
'YearA-AppDetails Current Date'!S:S,"&lt;&gt;ACPT",
'YearA-AppDetails Current Date'!S:S,"&lt;&gt;COND",
'YearA-AppDetails Current Date'!I:I,"WINTER"))), "")</f>
        <v/>
      </c>
      <c r="K171" s="73" t="str">
        <f>IFERROR(1/(1/SUM(COUNTIFS(
'YearA-AppDetails Current Date'!A:A,D171,
'YearA-AppDetails Current Date'!F:F,E171,
'YearA-AppDetails Current Date'!E:E,--F171,
'YearA-AppDetails Current Date'!R:R,"&lt;&gt;"&amp;"",
'YearA-AppDetails Current Date'!I:I,"WINTER"))), "")</f>
        <v/>
      </c>
      <c r="L171" s="74" t="str" cm="1">
        <f t="array" ref="L171">IFERROR(1/(1/SUM(COUNTIFS(
'YearA-AppDetails Current Date'!A:A,D171,
'YearA-AppDetails Current Date'!F:F,E171,
'YearA-AppDetails Current Date'!E:E,--F171,
'YearA-AppDetails Current Date'!T:T,{"APEX","DENY","NTSL"},
'YearA-AppDetails Current Date'!I:I,"WINTER"))), "")</f>
        <v/>
      </c>
      <c r="M171" s="74" t="str" cm="1">
        <f t="array" ref="M171">IFERROR(1/(1/SUM(COUNTIFS(
'YearA-AppDetails Current Date'!A:A,D171,
'YearA-AppDetails Current Date'!F:F,E171,
'YearA-AppDetails Current Date'!E:E,--F171,
'YearA-AppDetails Current Date'!U:U,{"CCAN","DECL"},
'YearA-AppDetails Current Date'!I:I,"WINTER"))), "")</f>
        <v/>
      </c>
      <c r="N171" s="74" t="str" cm="1">
        <f t="array" ref="N171">IFERROR(1/(1/SUM(COUNTIFS(
'YearA-AppDetails Current Date'!A:A,D171,
'YearA-AppDetails Current Date'!F:F,E171,
'YearA-AppDetails Current Date'!E:E,--F171,
'YearA-AppDetails Current Date'!V:V,{"APRO","NODE"},
'YearA-AppDetails Current Date'!I:I,"WINTER"))), "")</f>
        <v/>
      </c>
      <c r="O171" s="74" t="str" cm="1">
        <f t="array" ref="O171">IFERROR(1/(1/SUM(COUNTIFS(
'YearA-AppDetails Current Date'!A:A,D171,
'YearA-AppDetails Current Date'!F:F,E171,
'YearA-AppDetails Current Date'!E:E,--F171,
'YearA-AppDetails Current Date'!T:T,{"CDMT","RQMT","WAIT"},
'YearA-AppDetails Current Date'!I:I,"WINTER"))), "")</f>
        <v/>
      </c>
      <c r="P171" s="74" t="str">
        <f>IFERROR(1/(1/COUNTIFS(
'YearA-AppDetails Current Date'!A:A,D171,
'YearA-AppDetails Current Date'!F:F,E171,
'YearA-AppDetails Current Date'!E:E,--F171,
'YearA-AppDetails Current Date'!Y:Y,"ENRO",
'YearA-AppDetails Current Date'!I:I,"WINTER")),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HC'!D:T,6,FALSE)),
N(VLOOKUP(D172&amp;F172,'Budgeted Projections Dom HC'!D:T,7,FALSE))
)
),"")</f>
        <v/>
      </c>
      <c r="I172" s="73" t="str">
        <f>IFERROR(1/(1/COUNTIFS(
'YearA-AppDetails Current Date'!A:A,D172,
'YearA-AppDetails Current Date'!F:F,E172,
'YearA-AppDetails Current Date'!E:E,--F172,
'YearA-AppDetails Current Date'!I:I,"WINTER")), "")</f>
        <v/>
      </c>
      <c r="J172" s="74" t="str" cm="1">
        <f t="array" ref="J172">IFERROR(1/(1/SUM(COUNTIFS(
'YearA-AppDetails Current Date'!A:A,D172,
'YearA-AppDetails Current Date'!F:F,E172,
'YearA-AppDetails Current Date'!E:E,--F172,
'YearA-AppDetails Current Date'!O:O,{"ACLN","ACPT","COND"},
'YearA-AppDetails Current Date'!S:S,"&lt;&gt;ACLN",
'YearA-AppDetails Current Date'!S:S,"&lt;&gt;ACPT",
'YearA-AppDetails Current Date'!S:S,"&lt;&gt;COND",
'YearA-AppDetails Current Date'!I:I,"WINTER"))), "")</f>
        <v/>
      </c>
      <c r="K172" s="73" t="str">
        <f>IFERROR(1/(1/SUM(COUNTIFS(
'YearA-AppDetails Current Date'!A:A,D172,
'YearA-AppDetails Current Date'!F:F,E172,
'YearA-AppDetails Current Date'!E:E,--F172,
'YearA-AppDetails Current Date'!R:R,"&lt;&gt;"&amp;"",
'YearA-AppDetails Current Date'!I:I,"WINTER"))), "")</f>
        <v/>
      </c>
      <c r="L172" s="74" t="str" cm="1">
        <f t="array" ref="L172">IFERROR(1/(1/SUM(COUNTIFS(
'YearA-AppDetails Current Date'!A:A,D172,
'YearA-AppDetails Current Date'!F:F,E172,
'YearA-AppDetails Current Date'!E:E,--F172,
'YearA-AppDetails Current Date'!T:T,{"APEX","DENY","NTSL"},
'YearA-AppDetails Current Date'!I:I,"WINTER"))), "")</f>
        <v/>
      </c>
      <c r="M172" s="74" t="str" cm="1">
        <f t="array" ref="M172">IFERROR(1/(1/SUM(COUNTIFS(
'YearA-AppDetails Current Date'!A:A,D172,
'YearA-AppDetails Current Date'!F:F,E172,
'YearA-AppDetails Current Date'!E:E,--F172,
'YearA-AppDetails Current Date'!U:U,{"CCAN","DECL"},
'YearA-AppDetails Current Date'!I:I,"WINTER"))), "")</f>
        <v/>
      </c>
      <c r="N172" s="74" t="str" cm="1">
        <f t="array" ref="N172">IFERROR(1/(1/SUM(COUNTIFS(
'YearA-AppDetails Current Date'!A:A,D172,
'YearA-AppDetails Current Date'!F:F,E172,
'YearA-AppDetails Current Date'!E:E,--F172,
'YearA-AppDetails Current Date'!V:V,{"APRO","NODE"},
'YearA-AppDetails Current Date'!I:I,"WINTER"))), "")</f>
        <v/>
      </c>
      <c r="O172" s="74" t="str" cm="1">
        <f t="array" ref="O172">IFERROR(1/(1/SUM(COUNTIFS(
'YearA-AppDetails Current Date'!A:A,D172,
'YearA-AppDetails Current Date'!F:F,E172,
'YearA-AppDetails Current Date'!E:E,--F172,
'YearA-AppDetails Current Date'!T:T,{"CDMT","RQMT","WAIT"},
'YearA-AppDetails Current Date'!I:I,"WINTER"))), "")</f>
        <v/>
      </c>
      <c r="P172" s="74" t="str">
        <f>IFERROR(1/(1/COUNTIFS(
'YearA-AppDetails Current Date'!A:A,D172,
'YearA-AppDetails Current Date'!F:F,E172,
'YearA-AppDetails Current Date'!E:E,--F172,
'YearA-AppDetails Current Date'!Y:Y,"ENRO",
'YearA-AppDetails Current Date'!I:I,"WINTER")),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HC'!D:T,6,FALSE)),
N(VLOOKUP(D173&amp;F173,'Budgeted Projections Intl HC'!D:T,7,FALSE))
)
),"")</f>
        <v/>
      </c>
      <c r="I173" s="73" t="str">
        <f>IFERROR(1/(1/COUNTIFS(
'YearA-AppDetails Current Date'!A:A,D173,
'YearA-AppDetails Current Date'!F:F,E173,
'YearA-AppDetails Current Date'!E:E,--F173,
'YearA-AppDetails Current Date'!I:I,"WINTER")), "")</f>
        <v/>
      </c>
      <c r="J173" s="74" t="str" cm="1">
        <f t="array" ref="J173">IFERROR(1/(1/SUM(COUNTIFS(
'YearA-AppDetails Current Date'!A:A,D173,
'YearA-AppDetails Current Date'!F:F,E173,
'YearA-AppDetails Current Date'!E:E,--F173,
'YearA-AppDetails Current Date'!O:O,{"ACLN","ACPT","COND"},
'YearA-AppDetails Current Date'!S:S,"&lt;&gt;ACLN",
'YearA-AppDetails Current Date'!S:S,"&lt;&gt;ACPT",
'YearA-AppDetails Current Date'!S:S,"&lt;&gt;COND",
'YearA-AppDetails Current Date'!I:I,"WINTER"))), "")</f>
        <v/>
      </c>
      <c r="K173" s="73" t="str">
        <f>IFERROR(1/(1/SUM(COUNTIFS(
'YearA-AppDetails Current Date'!A:A,D173,
'YearA-AppDetails Current Date'!F:F,E173,
'YearA-AppDetails Current Date'!E:E,--F173,
'YearA-AppDetails Current Date'!R:R,"&lt;&gt;"&amp;"",
'YearA-AppDetails Current Date'!I:I,"WINTER"))), "")</f>
        <v/>
      </c>
      <c r="L173" s="74" t="str" cm="1">
        <f t="array" ref="L173">IFERROR(1/(1/SUM(COUNTIFS(
'YearA-AppDetails Current Date'!A:A,D173,
'YearA-AppDetails Current Date'!F:F,E173,
'YearA-AppDetails Current Date'!E:E,--F173,
'YearA-AppDetails Current Date'!T:T,{"APEX","DENY","NTSL"},
'YearA-AppDetails Current Date'!I:I,"WINTER"))), "")</f>
        <v/>
      </c>
      <c r="M173" s="74" t="str" cm="1">
        <f t="array" ref="M173">IFERROR(1/(1/SUM(COUNTIFS(
'YearA-AppDetails Current Date'!A:A,D173,
'YearA-AppDetails Current Date'!F:F,E173,
'YearA-AppDetails Current Date'!E:E,--F173,
'YearA-AppDetails Current Date'!U:U,{"CCAN","DECL"},
'YearA-AppDetails Current Date'!I:I,"WINTER"))), "")</f>
        <v/>
      </c>
      <c r="N173" s="74" t="str" cm="1">
        <f t="array" ref="N173">IFERROR(1/(1/SUM(COUNTIFS(
'YearA-AppDetails Current Date'!A:A,D173,
'YearA-AppDetails Current Date'!F:F,E173,
'YearA-AppDetails Current Date'!E:E,--F173,
'YearA-AppDetails Current Date'!V:V,{"APRO","NODE"},
'YearA-AppDetails Current Date'!I:I,"WINTER"))), "")</f>
        <v/>
      </c>
      <c r="O173" s="74" t="str" cm="1">
        <f t="array" ref="O173">IFERROR(1/(1/SUM(COUNTIFS(
'YearA-AppDetails Current Date'!A:A,D173,
'YearA-AppDetails Current Date'!F:F,E173,
'YearA-AppDetails Current Date'!E:E,--F173,
'YearA-AppDetails Current Date'!T:T,{"CDMT","RQMT","WAIT"},
'YearA-AppDetails Current Date'!I:I,"WINTER"))), "")</f>
        <v/>
      </c>
      <c r="P173" s="74" t="str">
        <f>IFERROR(1/(1/COUNTIFS(
'YearA-AppDetails Current Date'!A:A,D173,
'YearA-AppDetails Current Date'!F:F,E173,
'YearA-AppDetails Current Date'!E:E,--F173,
'YearA-AppDetails Current Date'!Y:Y,"ENRO",
'YearA-AppDetails Current Date'!I:I,"WINTER")),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HC'!D:T,6,FALSE)),
N(VLOOKUP(D174&amp;F174,'Budgeted Projections Dom HC'!D:T,7,FALSE))
)
),"")</f>
        <v/>
      </c>
      <c r="I174" s="73" t="str">
        <f>IFERROR(1/(1/COUNTIFS(
'YearA-AppDetails Current Date'!A:A,D174,
'YearA-AppDetails Current Date'!F:F,E174,
'YearA-AppDetails Current Date'!E:E,--F174,
'YearA-AppDetails Current Date'!I:I,"WINTER")), "")</f>
        <v/>
      </c>
      <c r="J174" s="74" t="str" cm="1">
        <f t="array" ref="J174">IFERROR(1/(1/SUM(COUNTIFS(
'YearA-AppDetails Current Date'!A:A,D174,
'YearA-AppDetails Current Date'!F:F,E174,
'YearA-AppDetails Current Date'!E:E,--F174,
'YearA-AppDetails Current Date'!O:O,{"ACLN","ACPT","COND"},
'YearA-AppDetails Current Date'!S:S,"&lt;&gt;ACLN",
'YearA-AppDetails Current Date'!S:S,"&lt;&gt;ACPT",
'YearA-AppDetails Current Date'!S:S,"&lt;&gt;COND",
'YearA-AppDetails Current Date'!I:I,"WINTER"))), "")</f>
        <v/>
      </c>
      <c r="K174" s="73" t="str">
        <f>IFERROR(1/(1/SUM(COUNTIFS(
'YearA-AppDetails Current Date'!A:A,D174,
'YearA-AppDetails Current Date'!F:F,E174,
'YearA-AppDetails Current Date'!E:E,--F174,
'YearA-AppDetails Current Date'!R:R,"&lt;&gt;"&amp;"",
'YearA-AppDetails Current Date'!I:I,"WINTER"))), "")</f>
        <v/>
      </c>
      <c r="L174" s="74" t="str" cm="1">
        <f t="array" ref="L174">IFERROR(1/(1/SUM(COUNTIFS(
'YearA-AppDetails Current Date'!A:A,D174,
'YearA-AppDetails Current Date'!F:F,E174,
'YearA-AppDetails Current Date'!E:E,--F174,
'YearA-AppDetails Current Date'!T:T,{"APEX","DENY","NTSL"},
'YearA-AppDetails Current Date'!I:I,"WINTER"))), "")</f>
        <v/>
      </c>
      <c r="M174" s="74" t="str" cm="1">
        <f t="array" ref="M174">IFERROR(1/(1/SUM(COUNTIFS(
'YearA-AppDetails Current Date'!A:A,D174,
'YearA-AppDetails Current Date'!F:F,E174,
'YearA-AppDetails Current Date'!E:E,--F174,
'YearA-AppDetails Current Date'!U:U,{"CCAN","DECL"},
'YearA-AppDetails Current Date'!I:I,"WINTER"))), "")</f>
        <v/>
      </c>
      <c r="N174" s="74" t="str" cm="1">
        <f t="array" ref="N174">IFERROR(1/(1/SUM(COUNTIFS(
'YearA-AppDetails Current Date'!A:A,D174,
'YearA-AppDetails Current Date'!F:F,E174,
'YearA-AppDetails Current Date'!E:E,--F174,
'YearA-AppDetails Current Date'!V:V,{"APRO","NODE"},
'YearA-AppDetails Current Date'!I:I,"WINTER"))), "")</f>
        <v/>
      </c>
      <c r="O174" s="74" t="str" cm="1">
        <f t="array" ref="O174">IFERROR(1/(1/SUM(COUNTIFS(
'YearA-AppDetails Current Date'!A:A,D174,
'YearA-AppDetails Current Date'!F:F,E174,
'YearA-AppDetails Current Date'!E:E,--F174,
'YearA-AppDetails Current Date'!T:T,{"CDMT","RQMT","WAIT"},
'YearA-AppDetails Current Date'!I:I,"WINTER"))), "")</f>
        <v/>
      </c>
      <c r="P174" s="74" t="str">
        <f>IFERROR(1/(1/COUNTIFS(
'YearA-AppDetails Current Date'!A:A,D174,
'YearA-AppDetails Current Date'!F:F,E174,
'YearA-AppDetails Current Date'!E:E,--F174,
'YearA-AppDetails Current Date'!Y:Y,"ENRO",
'YearA-AppDetails Current Date'!I:I,"WINTER")),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HC'!D:T,6,FALSE)),
N(VLOOKUP(D175&amp;F175,'Budgeted Projections Intl HC'!D:T,7,FALSE))
)
),"")</f>
        <v/>
      </c>
      <c r="I175" s="73" t="str">
        <f>IFERROR(1/(1/COUNTIFS(
'YearA-AppDetails Current Date'!A:A,D175,
'YearA-AppDetails Current Date'!F:F,E175,
'YearA-AppDetails Current Date'!E:E,--F175,
'YearA-AppDetails Current Date'!I:I,"WINTER")), "")</f>
        <v/>
      </c>
      <c r="J175" s="74" t="str" cm="1">
        <f t="array" ref="J175">IFERROR(1/(1/SUM(COUNTIFS(
'YearA-AppDetails Current Date'!A:A,D175,
'YearA-AppDetails Current Date'!F:F,E175,
'YearA-AppDetails Current Date'!E:E,--F175,
'YearA-AppDetails Current Date'!O:O,{"ACLN","ACPT","COND"},
'YearA-AppDetails Current Date'!S:S,"&lt;&gt;ACLN",
'YearA-AppDetails Current Date'!S:S,"&lt;&gt;ACPT",
'YearA-AppDetails Current Date'!S:S,"&lt;&gt;COND",
'YearA-AppDetails Current Date'!I:I,"WINTER"))), "")</f>
        <v/>
      </c>
      <c r="K175" s="73" t="str">
        <f>IFERROR(1/(1/SUM(COUNTIFS(
'YearA-AppDetails Current Date'!A:A,D175,
'YearA-AppDetails Current Date'!F:F,E175,
'YearA-AppDetails Current Date'!E:E,--F175,
'YearA-AppDetails Current Date'!R:R,"&lt;&gt;"&amp;"",
'YearA-AppDetails Current Date'!I:I,"WINTER"))), "")</f>
        <v/>
      </c>
      <c r="L175" s="74" t="str" cm="1">
        <f t="array" ref="L175">IFERROR(1/(1/SUM(COUNTIFS(
'YearA-AppDetails Current Date'!A:A,D175,
'YearA-AppDetails Current Date'!F:F,E175,
'YearA-AppDetails Current Date'!E:E,--F175,
'YearA-AppDetails Current Date'!T:T,{"APEX","DENY","NTSL"},
'YearA-AppDetails Current Date'!I:I,"WINTER"))), "")</f>
        <v/>
      </c>
      <c r="M175" s="74" t="str" cm="1">
        <f t="array" ref="M175">IFERROR(1/(1/SUM(COUNTIFS(
'YearA-AppDetails Current Date'!A:A,D175,
'YearA-AppDetails Current Date'!F:F,E175,
'YearA-AppDetails Current Date'!E:E,--F175,
'YearA-AppDetails Current Date'!U:U,{"CCAN","DECL"},
'YearA-AppDetails Current Date'!I:I,"WINTER"))), "")</f>
        <v/>
      </c>
      <c r="N175" s="74" t="str" cm="1">
        <f t="array" ref="N175">IFERROR(1/(1/SUM(COUNTIFS(
'YearA-AppDetails Current Date'!A:A,D175,
'YearA-AppDetails Current Date'!F:F,E175,
'YearA-AppDetails Current Date'!E:E,--F175,
'YearA-AppDetails Current Date'!V:V,{"APRO","NODE"},
'YearA-AppDetails Current Date'!I:I,"WINTER"))), "")</f>
        <v/>
      </c>
      <c r="O175" s="74" t="str" cm="1">
        <f t="array" ref="O175">IFERROR(1/(1/SUM(COUNTIFS(
'YearA-AppDetails Current Date'!A:A,D175,
'YearA-AppDetails Current Date'!F:F,E175,
'YearA-AppDetails Current Date'!E:E,--F175,
'YearA-AppDetails Current Date'!T:T,{"CDMT","RQMT","WAIT"},
'YearA-AppDetails Current Date'!I:I,"WINTER"))), "")</f>
        <v/>
      </c>
      <c r="P175" s="74" t="str">
        <f>IFERROR(1/(1/COUNTIFS(
'YearA-AppDetails Current Date'!A:A,D175,
'YearA-AppDetails Current Date'!F:F,E175,
'YearA-AppDetails Current Date'!E:E,--F175,
'YearA-AppDetails Current Date'!Y:Y,"ENRO",
'YearA-AppDetails Current Date'!I:I,"WINTER")),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HC'!D:T,6,FALSE)),
N(VLOOKUP(D176&amp;F176,'Budgeted Projections Dom HC'!D:T,7,FALSE))
)
),"")</f>
        <v/>
      </c>
      <c r="I176" s="73" t="str">
        <f>IFERROR(1/(1/COUNTIFS(
'YearA-AppDetails Current Date'!A:A,D176,
'YearA-AppDetails Current Date'!F:F,E176,
'YearA-AppDetails Current Date'!E:E,--F176,
'YearA-AppDetails Current Date'!I:I,"WINTER")), "")</f>
        <v/>
      </c>
      <c r="J176" s="74" t="str" cm="1">
        <f t="array" ref="J176">IFERROR(1/(1/SUM(COUNTIFS(
'YearA-AppDetails Current Date'!A:A,D176,
'YearA-AppDetails Current Date'!F:F,E176,
'YearA-AppDetails Current Date'!E:E,--F176,
'YearA-AppDetails Current Date'!O:O,{"ACLN","ACPT","COND"},
'YearA-AppDetails Current Date'!S:S,"&lt;&gt;ACLN",
'YearA-AppDetails Current Date'!S:S,"&lt;&gt;ACPT",
'YearA-AppDetails Current Date'!S:S,"&lt;&gt;COND",
'YearA-AppDetails Current Date'!I:I,"WINTER"))), "")</f>
        <v/>
      </c>
      <c r="K176" s="73" t="str">
        <f>IFERROR(1/(1/SUM(COUNTIFS(
'YearA-AppDetails Current Date'!A:A,D176,
'YearA-AppDetails Current Date'!F:F,E176,
'YearA-AppDetails Current Date'!E:E,--F176,
'YearA-AppDetails Current Date'!R:R,"&lt;&gt;"&amp;"",
'YearA-AppDetails Current Date'!I:I,"WINTER"))), "")</f>
        <v/>
      </c>
      <c r="L176" s="74" t="str" cm="1">
        <f t="array" ref="L176">IFERROR(1/(1/SUM(COUNTIFS(
'YearA-AppDetails Current Date'!A:A,D176,
'YearA-AppDetails Current Date'!F:F,E176,
'YearA-AppDetails Current Date'!E:E,--F176,
'YearA-AppDetails Current Date'!T:T,{"APEX","DENY","NTSL"},
'YearA-AppDetails Current Date'!I:I,"WINTER"))), "")</f>
        <v/>
      </c>
      <c r="M176" s="74" t="str" cm="1">
        <f t="array" ref="M176">IFERROR(1/(1/SUM(COUNTIFS(
'YearA-AppDetails Current Date'!A:A,D176,
'YearA-AppDetails Current Date'!F:F,E176,
'YearA-AppDetails Current Date'!E:E,--F176,
'YearA-AppDetails Current Date'!U:U,{"CCAN","DECL"},
'YearA-AppDetails Current Date'!I:I,"WINTER"))), "")</f>
        <v/>
      </c>
      <c r="N176" s="74" t="str" cm="1">
        <f t="array" ref="N176">IFERROR(1/(1/SUM(COUNTIFS(
'YearA-AppDetails Current Date'!A:A,D176,
'YearA-AppDetails Current Date'!F:F,E176,
'YearA-AppDetails Current Date'!E:E,--F176,
'YearA-AppDetails Current Date'!V:V,{"APRO","NODE"},
'YearA-AppDetails Current Date'!I:I,"WINTER"))), "")</f>
        <v/>
      </c>
      <c r="O176" s="74" t="str" cm="1">
        <f t="array" ref="O176">IFERROR(1/(1/SUM(COUNTIFS(
'YearA-AppDetails Current Date'!A:A,D176,
'YearA-AppDetails Current Date'!F:F,E176,
'YearA-AppDetails Current Date'!E:E,--F176,
'YearA-AppDetails Current Date'!T:T,{"CDMT","RQMT","WAIT"},
'YearA-AppDetails Current Date'!I:I,"WINTER"))), "")</f>
        <v/>
      </c>
      <c r="P176" s="74" t="str">
        <f>IFERROR(1/(1/COUNTIFS(
'YearA-AppDetails Current Date'!A:A,D176,
'YearA-AppDetails Current Date'!F:F,E176,
'YearA-AppDetails Current Date'!E:E,--F176,
'YearA-AppDetails Current Date'!Y:Y,"ENRO",
'YearA-AppDetails Current Date'!I:I,"WINTER")),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HC'!D:T,6,FALSE)),
N(VLOOKUP(D177&amp;F177,'Budgeted Projections Intl HC'!D:T,7,FALSE))
)
),"")</f>
        <v/>
      </c>
      <c r="I177" s="73" t="str">
        <f>IFERROR(1/(1/COUNTIFS(
'YearA-AppDetails Current Date'!A:A,D177,
'YearA-AppDetails Current Date'!F:F,E177,
'YearA-AppDetails Current Date'!E:E,--F177,
'YearA-AppDetails Current Date'!I:I,"WINTER")), "")</f>
        <v/>
      </c>
      <c r="J177" s="74" t="str" cm="1">
        <f t="array" ref="J177">IFERROR(1/(1/SUM(COUNTIFS(
'YearA-AppDetails Current Date'!A:A,D177,
'YearA-AppDetails Current Date'!F:F,E177,
'YearA-AppDetails Current Date'!E:E,--F177,
'YearA-AppDetails Current Date'!O:O,{"ACLN","ACPT","COND"},
'YearA-AppDetails Current Date'!S:S,"&lt;&gt;ACLN",
'YearA-AppDetails Current Date'!S:S,"&lt;&gt;ACPT",
'YearA-AppDetails Current Date'!S:S,"&lt;&gt;COND",
'YearA-AppDetails Current Date'!I:I,"WINTER"))), "")</f>
        <v/>
      </c>
      <c r="K177" s="73" t="str">
        <f>IFERROR(1/(1/SUM(COUNTIFS(
'YearA-AppDetails Current Date'!A:A,D177,
'YearA-AppDetails Current Date'!F:F,E177,
'YearA-AppDetails Current Date'!E:E,--F177,
'YearA-AppDetails Current Date'!R:R,"&lt;&gt;"&amp;"",
'YearA-AppDetails Current Date'!I:I,"WINTER"))), "")</f>
        <v/>
      </c>
      <c r="L177" s="74" t="str" cm="1">
        <f t="array" ref="L177">IFERROR(1/(1/SUM(COUNTIFS(
'YearA-AppDetails Current Date'!A:A,D177,
'YearA-AppDetails Current Date'!F:F,E177,
'YearA-AppDetails Current Date'!E:E,--F177,
'YearA-AppDetails Current Date'!T:T,{"APEX","DENY","NTSL"},
'YearA-AppDetails Current Date'!I:I,"WINTER"))), "")</f>
        <v/>
      </c>
      <c r="M177" s="74" t="str" cm="1">
        <f t="array" ref="M177">IFERROR(1/(1/SUM(COUNTIFS(
'YearA-AppDetails Current Date'!A:A,D177,
'YearA-AppDetails Current Date'!F:F,E177,
'YearA-AppDetails Current Date'!E:E,--F177,
'YearA-AppDetails Current Date'!U:U,{"CCAN","DECL"},
'YearA-AppDetails Current Date'!I:I,"WINTER"))), "")</f>
        <v/>
      </c>
      <c r="N177" s="74" t="str" cm="1">
        <f t="array" ref="N177">IFERROR(1/(1/SUM(COUNTIFS(
'YearA-AppDetails Current Date'!A:A,D177,
'YearA-AppDetails Current Date'!F:F,E177,
'YearA-AppDetails Current Date'!E:E,--F177,
'YearA-AppDetails Current Date'!V:V,{"APRO","NODE"},
'YearA-AppDetails Current Date'!I:I,"WINTER"))), "")</f>
        <v/>
      </c>
      <c r="O177" s="74" t="str" cm="1">
        <f t="array" ref="O177">IFERROR(1/(1/SUM(COUNTIFS(
'YearA-AppDetails Current Date'!A:A,D177,
'YearA-AppDetails Current Date'!F:F,E177,
'YearA-AppDetails Current Date'!E:E,--F177,
'YearA-AppDetails Current Date'!T:T,{"CDMT","RQMT","WAIT"},
'YearA-AppDetails Current Date'!I:I,"WINTER"))), "")</f>
        <v/>
      </c>
      <c r="P177" s="74" t="str">
        <f>IFERROR(1/(1/COUNTIFS(
'YearA-AppDetails Current Date'!A:A,D177,
'YearA-AppDetails Current Date'!F:F,E177,
'YearA-AppDetails Current Date'!E:E,--F177,
'YearA-AppDetails Current Date'!Y:Y,"ENRO",
'YearA-AppDetails Current Date'!I:I,"WINTER")),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HC'!D:T,6,FALSE)),
N(VLOOKUP(D178&amp;F178,'Budgeted Projections Dom HC'!D:T,7,FALSE))
)
),"")</f>
        <v/>
      </c>
      <c r="I178" s="73" t="str">
        <f>IFERROR(1/(1/COUNTIFS(
'YearA-AppDetails Current Date'!A:A,D178,
'YearA-AppDetails Current Date'!F:F,E178,
'YearA-AppDetails Current Date'!E:E,--F178,
'YearA-AppDetails Current Date'!I:I,"WINTER")), "")</f>
        <v/>
      </c>
      <c r="J178" s="74" t="str" cm="1">
        <f t="array" ref="J178">IFERROR(1/(1/SUM(COUNTIFS(
'YearA-AppDetails Current Date'!A:A,D178,
'YearA-AppDetails Current Date'!F:F,E178,
'YearA-AppDetails Current Date'!E:E,--F178,
'YearA-AppDetails Current Date'!O:O,{"ACLN","ACPT","COND"},
'YearA-AppDetails Current Date'!S:S,"&lt;&gt;ACLN",
'YearA-AppDetails Current Date'!S:S,"&lt;&gt;ACPT",
'YearA-AppDetails Current Date'!S:S,"&lt;&gt;COND",
'YearA-AppDetails Current Date'!I:I,"WINTER"))), "")</f>
        <v/>
      </c>
      <c r="K178" s="73" t="str">
        <f>IFERROR(1/(1/SUM(COUNTIFS(
'YearA-AppDetails Current Date'!A:A,D178,
'YearA-AppDetails Current Date'!F:F,E178,
'YearA-AppDetails Current Date'!E:E,--F178,
'YearA-AppDetails Current Date'!R:R,"&lt;&gt;"&amp;"",
'YearA-AppDetails Current Date'!I:I,"WINTER"))), "")</f>
        <v/>
      </c>
      <c r="L178" s="74" t="str" cm="1">
        <f t="array" ref="L178">IFERROR(1/(1/SUM(COUNTIFS(
'YearA-AppDetails Current Date'!A:A,D178,
'YearA-AppDetails Current Date'!F:F,E178,
'YearA-AppDetails Current Date'!E:E,--F178,
'YearA-AppDetails Current Date'!T:T,{"APEX","DENY","NTSL"},
'YearA-AppDetails Current Date'!I:I,"WINTER"))), "")</f>
        <v/>
      </c>
      <c r="M178" s="74" t="str" cm="1">
        <f t="array" ref="M178">IFERROR(1/(1/SUM(COUNTIFS(
'YearA-AppDetails Current Date'!A:A,D178,
'YearA-AppDetails Current Date'!F:F,E178,
'YearA-AppDetails Current Date'!E:E,--F178,
'YearA-AppDetails Current Date'!U:U,{"CCAN","DECL"},
'YearA-AppDetails Current Date'!I:I,"WINTER"))), "")</f>
        <v/>
      </c>
      <c r="N178" s="74" t="str" cm="1">
        <f t="array" ref="N178">IFERROR(1/(1/SUM(COUNTIFS(
'YearA-AppDetails Current Date'!A:A,D178,
'YearA-AppDetails Current Date'!F:F,E178,
'YearA-AppDetails Current Date'!E:E,--F178,
'YearA-AppDetails Current Date'!V:V,{"APRO","NODE"},
'YearA-AppDetails Current Date'!I:I,"WINTER"))), "")</f>
        <v/>
      </c>
      <c r="O178" s="74" t="str" cm="1">
        <f t="array" ref="O178">IFERROR(1/(1/SUM(COUNTIFS(
'YearA-AppDetails Current Date'!A:A,D178,
'YearA-AppDetails Current Date'!F:F,E178,
'YearA-AppDetails Current Date'!E:E,--F178,
'YearA-AppDetails Current Date'!T:T,{"CDMT","RQMT","WAIT"},
'YearA-AppDetails Current Date'!I:I,"WINTER"))), "")</f>
        <v/>
      </c>
      <c r="P178" s="74" t="str">
        <f>IFERROR(1/(1/COUNTIFS(
'YearA-AppDetails Current Date'!A:A,D178,
'YearA-AppDetails Current Date'!F:F,E178,
'YearA-AppDetails Current Date'!E:E,--F178,
'YearA-AppDetails Current Date'!Y:Y,"ENRO",
'YearA-AppDetails Current Date'!I:I,"WINTER")),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HC'!D:T,6,FALSE)),
N(VLOOKUP(D179&amp;F179,'Budgeted Projections Intl HC'!D:T,7,FALSE))
)
),"")</f>
        <v/>
      </c>
      <c r="I179" s="73" t="str">
        <f>IFERROR(1/(1/COUNTIFS(
'YearA-AppDetails Current Date'!A:A,D179,
'YearA-AppDetails Current Date'!F:F,E179,
'YearA-AppDetails Current Date'!E:E,--F179,
'YearA-AppDetails Current Date'!I:I,"WINTER")), "")</f>
        <v/>
      </c>
      <c r="J179" s="74" t="str" cm="1">
        <f t="array" ref="J179">IFERROR(1/(1/SUM(COUNTIFS(
'YearA-AppDetails Current Date'!A:A,D179,
'YearA-AppDetails Current Date'!F:F,E179,
'YearA-AppDetails Current Date'!E:E,--F179,
'YearA-AppDetails Current Date'!O:O,{"ACLN","ACPT","COND"},
'YearA-AppDetails Current Date'!S:S,"&lt;&gt;ACLN",
'YearA-AppDetails Current Date'!S:S,"&lt;&gt;ACPT",
'YearA-AppDetails Current Date'!S:S,"&lt;&gt;COND",
'YearA-AppDetails Current Date'!I:I,"WINTER"))), "")</f>
        <v/>
      </c>
      <c r="K179" s="73" t="str">
        <f>IFERROR(1/(1/SUM(COUNTIFS(
'YearA-AppDetails Current Date'!A:A,D179,
'YearA-AppDetails Current Date'!F:F,E179,
'YearA-AppDetails Current Date'!E:E,--F179,
'YearA-AppDetails Current Date'!R:R,"&lt;&gt;"&amp;"",
'YearA-AppDetails Current Date'!I:I,"WINTER"))), "")</f>
        <v/>
      </c>
      <c r="L179" s="74" t="str" cm="1">
        <f t="array" ref="L179">IFERROR(1/(1/SUM(COUNTIFS(
'YearA-AppDetails Current Date'!A:A,D179,
'YearA-AppDetails Current Date'!F:F,E179,
'YearA-AppDetails Current Date'!E:E,--F179,
'YearA-AppDetails Current Date'!T:T,{"APEX","DENY","NTSL"},
'YearA-AppDetails Current Date'!I:I,"WINTER"))), "")</f>
        <v/>
      </c>
      <c r="M179" s="74" t="str" cm="1">
        <f t="array" ref="M179">IFERROR(1/(1/SUM(COUNTIFS(
'YearA-AppDetails Current Date'!A:A,D179,
'YearA-AppDetails Current Date'!F:F,E179,
'YearA-AppDetails Current Date'!E:E,--F179,
'YearA-AppDetails Current Date'!U:U,{"CCAN","DECL"},
'YearA-AppDetails Current Date'!I:I,"WINTER"))), "")</f>
        <v/>
      </c>
      <c r="N179" s="74" t="str" cm="1">
        <f t="array" ref="N179">IFERROR(1/(1/SUM(COUNTIFS(
'YearA-AppDetails Current Date'!A:A,D179,
'YearA-AppDetails Current Date'!F:F,E179,
'YearA-AppDetails Current Date'!E:E,--F179,
'YearA-AppDetails Current Date'!V:V,{"APRO","NODE"},
'YearA-AppDetails Current Date'!I:I,"WINTER"))), "")</f>
        <v/>
      </c>
      <c r="O179" s="74" t="str" cm="1">
        <f t="array" ref="O179">IFERROR(1/(1/SUM(COUNTIFS(
'YearA-AppDetails Current Date'!A:A,D179,
'YearA-AppDetails Current Date'!F:F,E179,
'YearA-AppDetails Current Date'!E:E,--F179,
'YearA-AppDetails Current Date'!T:T,{"CDMT","RQMT","WAIT"},
'YearA-AppDetails Current Date'!I:I,"WINTER"))), "")</f>
        <v/>
      </c>
      <c r="P179" s="74" t="str">
        <f>IFERROR(1/(1/COUNTIFS(
'YearA-AppDetails Current Date'!A:A,D179,
'YearA-AppDetails Current Date'!F:F,E179,
'YearA-AppDetails Current Date'!E:E,--F179,
'YearA-AppDetails Current Date'!Y:Y,"ENRO",
'YearA-AppDetails Current Date'!I:I,"WINTER")),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HC'!D:T,6,FALSE)),
N(VLOOKUP(D180&amp;F180,'Budgeted Projections Dom HC'!D:T,7,FALSE))
)
),"")</f>
        <v/>
      </c>
      <c r="I180" s="73" t="str">
        <f>IFERROR(1/(1/COUNTIFS(
'YearA-AppDetails Current Date'!A:A,D180,
'YearA-AppDetails Current Date'!F:F,E180,
'YearA-AppDetails Current Date'!E:E,--F180,
'YearA-AppDetails Current Date'!I:I,"WINTER")), "")</f>
        <v/>
      </c>
      <c r="J180" s="74" t="str" cm="1">
        <f t="array" ref="J180">IFERROR(1/(1/SUM(COUNTIFS(
'YearA-AppDetails Current Date'!A:A,D180,
'YearA-AppDetails Current Date'!F:F,E180,
'YearA-AppDetails Current Date'!E:E,--F180,
'YearA-AppDetails Current Date'!O:O,{"ACLN","ACPT","COND"},
'YearA-AppDetails Current Date'!S:S,"&lt;&gt;ACLN",
'YearA-AppDetails Current Date'!S:S,"&lt;&gt;ACPT",
'YearA-AppDetails Current Date'!S:S,"&lt;&gt;COND",
'YearA-AppDetails Current Date'!I:I,"WINTER"))), "")</f>
        <v/>
      </c>
      <c r="K180" s="73" t="str">
        <f>IFERROR(1/(1/SUM(COUNTIFS(
'YearA-AppDetails Current Date'!A:A,D180,
'YearA-AppDetails Current Date'!F:F,E180,
'YearA-AppDetails Current Date'!E:E,--F180,
'YearA-AppDetails Current Date'!R:R,"&lt;&gt;"&amp;"",
'YearA-AppDetails Current Date'!I:I,"WINTER"))), "")</f>
        <v/>
      </c>
      <c r="L180" s="74" t="str" cm="1">
        <f t="array" ref="L180">IFERROR(1/(1/SUM(COUNTIFS(
'YearA-AppDetails Current Date'!A:A,D180,
'YearA-AppDetails Current Date'!F:F,E180,
'YearA-AppDetails Current Date'!E:E,--F180,
'YearA-AppDetails Current Date'!T:T,{"APEX","DENY","NTSL"},
'YearA-AppDetails Current Date'!I:I,"WINTER"))), "")</f>
        <v/>
      </c>
      <c r="M180" s="74" t="str" cm="1">
        <f t="array" ref="M180">IFERROR(1/(1/SUM(COUNTIFS(
'YearA-AppDetails Current Date'!A:A,D180,
'YearA-AppDetails Current Date'!F:F,E180,
'YearA-AppDetails Current Date'!E:E,--F180,
'YearA-AppDetails Current Date'!U:U,{"CCAN","DECL"},
'YearA-AppDetails Current Date'!I:I,"WINTER"))), "")</f>
        <v/>
      </c>
      <c r="N180" s="74" t="str" cm="1">
        <f t="array" ref="N180">IFERROR(1/(1/SUM(COUNTIFS(
'YearA-AppDetails Current Date'!A:A,D180,
'YearA-AppDetails Current Date'!F:F,E180,
'YearA-AppDetails Current Date'!E:E,--F180,
'YearA-AppDetails Current Date'!V:V,{"APRO","NODE"},
'YearA-AppDetails Current Date'!I:I,"WINTER"))), "")</f>
        <v/>
      </c>
      <c r="O180" s="74" t="str" cm="1">
        <f t="array" ref="O180">IFERROR(1/(1/SUM(COUNTIFS(
'YearA-AppDetails Current Date'!A:A,D180,
'YearA-AppDetails Current Date'!F:F,E180,
'YearA-AppDetails Current Date'!E:E,--F180,
'YearA-AppDetails Current Date'!T:T,{"CDMT","RQMT","WAIT"},
'YearA-AppDetails Current Date'!I:I,"WINTER"))), "")</f>
        <v/>
      </c>
      <c r="P180" s="74" t="str">
        <f>IFERROR(1/(1/COUNTIFS(
'YearA-AppDetails Current Date'!A:A,D180,
'YearA-AppDetails Current Date'!F:F,E180,
'YearA-AppDetails Current Date'!E:E,--F180,
'YearA-AppDetails Current Date'!Y:Y,"ENRO",
'YearA-AppDetails Current Date'!I:I,"WINTER")),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HC'!D:T,6,FALSE)),
N(VLOOKUP(D181&amp;F181,'Budgeted Projections Intl HC'!D:T,7,FALSE))
)
),"")</f>
        <v/>
      </c>
      <c r="I181" s="73" t="str">
        <f>IFERROR(1/(1/COUNTIFS(
'YearA-AppDetails Current Date'!A:A,D181,
'YearA-AppDetails Current Date'!F:F,E181,
'YearA-AppDetails Current Date'!E:E,--F181,
'YearA-AppDetails Current Date'!I:I,"WINTER")), "")</f>
        <v/>
      </c>
      <c r="J181" s="74" t="str" cm="1">
        <f t="array" ref="J181">IFERROR(1/(1/SUM(COUNTIFS(
'YearA-AppDetails Current Date'!A:A,D181,
'YearA-AppDetails Current Date'!F:F,E181,
'YearA-AppDetails Current Date'!E:E,--F181,
'YearA-AppDetails Current Date'!O:O,{"ACLN","ACPT","COND"},
'YearA-AppDetails Current Date'!S:S,"&lt;&gt;ACLN",
'YearA-AppDetails Current Date'!S:S,"&lt;&gt;ACPT",
'YearA-AppDetails Current Date'!S:S,"&lt;&gt;COND",
'YearA-AppDetails Current Date'!I:I,"WINTER"))), "")</f>
        <v/>
      </c>
      <c r="K181" s="73" t="str">
        <f>IFERROR(1/(1/SUM(COUNTIFS(
'YearA-AppDetails Current Date'!A:A,D181,
'YearA-AppDetails Current Date'!F:F,E181,
'YearA-AppDetails Current Date'!E:E,--F181,
'YearA-AppDetails Current Date'!R:R,"&lt;&gt;"&amp;"",
'YearA-AppDetails Current Date'!I:I,"WINTER"))), "")</f>
        <v/>
      </c>
      <c r="L181" s="74" t="str" cm="1">
        <f t="array" ref="L181">IFERROR(1/(1/SUM(COUNTIFS(
'YearA-AppDetails Current Date'!A:A,D181,
'YearA-AppDetails Current Date'!F:F,E181,
'YearA-AppDetails Current Date'!E:E,--F181,
'YearA-AppDetails Current Date'!T:T,{"APEX","DENY","NTSL"},
'YearA-AppDetails Current Date'!I:I,"WINTER"))), "")</f>
        <v/>
      </c>
      <c r="M181" s="74" t="str" cm="1">
        <f t="array" ref="M181">IFERROR(1/(1/SUM(COUNTIFS(
'YearA-AppDetails Current Date'!A:A,D181,
'YearA-AppDetails Current Date'!F:F,E181,
'YearA-AppDetails Current Date'!E:E,--F181,
'YearA-AppDetails Current Date'!U:U,{"CCAN","DECL"},
'YearA-AppDetails Current Date'!I:I,"WINTER"))), "")</f>
        <v/>
      </c>
      <c r="N181" s="74" t="str" cm="1">
        <f t="array" ref="N181">IFERROR(1/(1/SUM(COUNTIFS(
'YearA-AppDetails Current Date'!A:A,D181,
'YearA-AppDetails Current Date'!F:F,E181,
'YearA-AppDetails Current Date'!E:E,--F181,
'YearA-AppDetails Current Date'!V:V,{"APRO","NODE"},
'YearA-AppDetails Current Date'!I:I,"WINTER"))), "")</f>
        <v/>
      </c>
      <c r="O181" s="74" t="str" cm="1">
        <f t="array" ref="O181">IFERROR(1/(1/SUM(COUNTIFS(
'YearA-AppDetails Current Date'!A:A,D181,
'YearA-AppDetails Current Date'!F:F,E181,
'YearA-AppDetails Current Date'!E:E,--F181,
'YearA-AppDetails Current Date'!T:T,{"CDMT","RQMT","WAIT"},
'YearA-AppDetails Current Date'!I:I,"WINTER"))), "")</f>
        <v/>
      </c>
      <c r="P181" s="74" t="str">
        <f>IFERROR(1/(1/COUNTIFS(
'YearA-AppDetails Current Date'!A:A,D181,
'YearA-AppDetails Current Date'!F:F,E181,
'YearA-AppDetails Current Date'!E:E,--F181,
'YearA-AppDetails Current Date'!Y:Y,"ENRO",
'YearA-AppDetails Current Date'!I:I,"WINTER")),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HC'!D:T,6,FALSE)),
N(VLOOKUP(D182&amp;F182,'Budgeted Projections Dom HC'!D:T,7,FALSE))
)
),"")</f>
        <v/>
      </c>
      <c r="I182" s="73" t="str">
        <f>IFERROR(1/(1/COUNTIFS(
'YearA-AppDetails Current Date'!A:A,D182,
'YearA-AppDetails Current Date'!F:F,E182,
'YearA-AppDetails Current Date'!E:E,--F182,
'YearA-AppDetails Current Date'!I:I,"WINTER")), "")</f>
        <v/>
      </c>
      <c r="J182" s="74" t="str" cm="1">
        <f t="array" ref="J182">IFERROR(1/(1/SUM(COUNTIFS(
'YearA-AppDetails Current Date'!A:A,D182,
'YearA-AppDetails Current Date'!F:F,E182,
'YearA-AppDetails Current Date'!E:E,--F182,
'YearA-AppDetails Current Date'!O:O,{"ACLN","ACPT","COND"},
'YearA-AppDetails Current Date'!S:S,"&lt;&gt;ACLN",
'YearA-AppDetails Current Date'!S:S,"&lt;&gt;ACPT",
'YearA-AppDetails Current Date'!S:S,"&lt;&gt;COND",
'YearA-AppDetails Current Date'!I:I,"WINTER"))), "")</f>
        <v/>
      </c>
      <c r="K182" s="73" t="str">
        <f>IFERROR(1/(1/SUM(COUNTIFS(
'YearA-AppDetails Current Date'!A:A,D182,
'YearA-AppDetails Current Date'!F:F,E182,
'YearA-AppDetails Current Date'!E:E,--F182,
'YearA-AppDetails Current Date'!R:R,"&lt;&gt;"&amp;"",
'YearA-AppDetails Current Date'!I:I,"WINTER"))), "")</f>
        <v/>
      </c>
      <c r="L182" s="74" t="str" cm="1">
        <f t="array" ref="L182">IFERROR(1/(1/SUM(COUNTIFS(
'YearA-AppDetails Current Date'!A:A,D182,
'YearA-AppDetails Current Date'!F:F,E182,
'YearA-AppDetails Current Date'!E:E,--F182,
'YearA-AppDetails Current Date'!T:T,{"APEX","DENY","NTSL"},
'YearA-AppDetails Current Date'!I:I,"WINTER"))), "")</f>
        <v/>
      </c>
      <c r="M182" s="74" t="str" cm="1">
        <f t="array" ref="M182">IFERROR(1/(1/SUM(COUNTIFS(
'YearA-AppDetails Current Date'!A:A,D182,
'YearA-AppDetails Current Date'!F:F,E182,
'YearA-AppDetails Current Date'!E:E,--F182,
'YearA-AppDetails Current Date'!U:U,{"CCAN","DECL"},
'YearA-AppDetails Current Date'!I:I,"WINTER"))), "")</f>
        <v/>
      </c>
      <c r="N182" s="74" t="str" cm="1">
        <f t="array" ref="N182">IFERROR(1/(1/SUM(COUNTIFS(
'YearA-AppDetails Current Date'!A:A,D182,
'YearA-AppDetails Current Date'!F:F,E182,
'YearA-AppDetails Current Date'!E:E,--F182,
'YearA-AppDetails Current Date'!V:V,{"APRO","NODE"},
'YearA-AppDetails Current Date'!I:I,"WINTER"))), "")</f>
        <v/>
      </c>
      <c r="O182" s="74" t="str" cm="1">
        <f t="array" ref="O182">IFERROR(1/(1/SUM(COUNTIFS(
'YearA-AppDetails Current Date'!A:A,D182,
'YearA-AppDetails Current Date'!F:F,E182,
'YearA-AppDetails Current Date'!E:E,--F182,
'YearA-AppDetails Current Date'!T:T,{"CDMT","RQMT","WAIT"},
'YearA-AppDetails Current Date'!I:I,"WINTER"))), "")</f>
        <v/>
      </c>
      <c r="P182" s="74" t="str">
        <f>IFERROR(1/(1/COUNTIFS(
'YearA-AppDetails Current Date'!A:A,D182,
'YearA-AppDetails Current Date'!F:F,E182,
'YearA-AppDetails Current Date'!E:E,--F182,
'YearA-AppDetails Current Date'!Y:Y,"ENRO",
'YearA-AppDetails Current Date'!I:I,"WINTER")),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HC'!D:T,6,FALSE)),
N(VLOOKUP(D183&amp;F183,'Budgeted Projections Intl HC'!D:T,7,FALSE))
)
),"")</f>
        <v/>
      </c>
      <c r="I183" s="73" t="str">
        <f>IFERROR(1/(1/COUNTIFS(
'YearA-AppDetails Current Date'!A:A,D183,
'YearA-AppDetails Current Date'!F:F,E183,
'YearA-AppDetails Current Date'!E:E,--F183,
'YearA-AppDetails Current Date'!I:I,"WINTER")), "")</f>
        <v/>
      </c>
      <c r="J183" s="74" t="str" cm="1">
        <f t="array" ref="J183">IFERROR(1/(1/SUM(COUNTIFS(
'YearA-AppDetails Current Date'!A:A,D183,
'YearA-AppDetails Current Date'!F:F,E183,
'YearA-AppDetails Current Date'!E:E,--F183,
'YearA-AppDetails Current Date'!O:O,{"ACLN","ACPT","COND"},
'YearA-AppDetails Current Date'!S:S,"&lt;&gt;ACLN",
'YearA-AppDetails Current Date'!S:S,"&lt;&gt;ACPT",
'YearA-AppDetails Current Date'!S:S,"&lt;&gt;COND",
'YearA-AppDetails Current Date'!I:I,"WINTER"))), "")</f>
        <v/>
      </c>
      <c r="K183" s="73" t="str">
        <f>IFERROR(1/(1/SUM(COUNTIFS(
'YearA-AppDetails Current Date'!A:A,D183,
'YearA-AppDetails Current Date'!F:F,E183,
'YearA-AppDetails Current Date'!E:E,--F183,
'YearA-AppDetails Current Date'!R:R,"&lt;&gt;"&amp;"",
'YearA-AppDetails Current Date'!I:I,"WINTER"))), "")</f>
        <v/>
      </c>
      <c r="L183" s="74" t="str" cm="1">
        <f t="array" ref="L183">IFERROR(1/(1/SUM(COUNTIFS(
'YearA-AppDetails Current Date'!A:A,D183,
'YearA-AppDetails Current Date'!F:F,E183,
'YearA-AppDetails Current Date'!E:E,--F183,
'YearA-AppDetails Current Date'!T:T,{"APEX","DENY","NTSL"},
'YearA-AppDetails Current Date'!I:I,"WINTER"))), "")</f>
        <v/>
      </c>
      <c r="M183" s="74" t="str" cm="1">
        <f t="array" ref="M183">IFERROR(1/(1/SUM(COUNTIFS(
'YearA-AppDetails Current Date'!A:A,D183,
'YearA-AppDetails Current Date'!F:F,E183,
'YearA-AppDetails Current Date'!E:E,--F183,
'YearA-AppDetails Current Date'!U:U,{"CCAN","DECL"},
'YearA-AppDetails Current Date'!I:I,"WINTER"))), "")</f>
        <v/>
      </c>
      <c r="N183" s="74" t="str" cm="1">
        <f t="array" ref="N183">IFERROR(1/(1/SUM(COUNTIFS(
'YearA-AppDetails Current Date'!A:A,D183,
'YearA-AppDetails Current Date'!F:F,E183,
'YearA-AppDetails Current Date'!E:E,--F183,
'YearA-AppDetails Current Date'!V:V,{"APRO","NODE"},
'YearA-AppDetails Current Date'!I:I,"WINTER"))), "")</f>
        <v/>
      </c>
      <c r="O183" s="74" t="str" cm="1">
        <f t="array" ref="O183">IFERROR(1/(1/SUM(COUNTIFS(
'YearA-AppDetails Current Date'!A:A,D183,
'YearA-AppDetails Current Date'!F:F,E183,
'YearA-AppDetails Current Date'!E:E,--F183,
'YearA-AppDetails Current Date'!T:T,{"CDMT","RQMT","WAIT"},
'YearA-AppDetails Current Date'!I:I,"WINTER"))), "")</f>
        <v/>
      </c>
      <c r="P183" s="74" t="str">
        <f>IFERROR(1/(1/COUNTIFS(
'YearA-AppDetails Current Date'!A:A,D183,
'YearA-AppDetails Current Date'!F:F,E183,
'YearA-AppDetails Current Date'!E:E,--F183,
'YearA-AppDetails Current Date'!Y:Y,"ENRO",
'YearA-AppDetails Current Date'!I:I,"WINTER")),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HC'!D:T,6,FALSE)),
N(VLOOKUP(D184&amp;F184,'Budgeted Projections Dom HC'!D:T,7,FALSE))
)
),"")</f>
        <v/>
      </c>
      <c r="I184" s="73" t="str">
        <f>IFERROR(1/(1/COUNTIFS(
'YearA-AppDetails Current Date'!A:A,D184,
'YearA-AppDetails Current Date'!F:F,E184,
'YearA-AppDetails Current Date'!E:E,--F184,
'YearA-AppDetails Current Date'!I:I,"WINTER")), "")</f>
        <v/>
      </c>
      <c r="J184" s="74" t="str" cm="1">
        <f t="array" ref="J184">IFERROR(1/(1/SUM(COUNTIFS(
'YearA-AppDetails Current Date'!A:A,D184,
'YearA-AppDetails Current Date'!F:F,E184,
'YearA-AppDetails Current Date'!E:E,--F184,
'YearA-AppDetails Current Date'!O:O,{"ACLN","ACPT","COND"},
'YearA-AppDetails Current Date'!S:S,"&lt;&gt;ACLN",
'YearA-AppDetails Current Date'!S:S,"&lt;&gt;ACPT",
'YearA-AppDetails Current Date'!S:S,"&lt;&gt;COND",
'YearA-AppDetails Current Date'!I:I,"WINTER"))), "")</f>
        <v/>
      </c>
      <c r="K184" s="73" t="str">
        <f>IFERROR(1/(1/SUM(COUNTIFS(
'YearA-AppDetails Current Date'!A:A,D184,
'YearA-AppDetails Current Date'!F:F,E184,
'YearA-AppDetails Current Date'!E:E,--F184,
'YearA-AppDetails Current Date'!R:R,"&lt;&gt;"&amp;"",
'YearA-AppDetails Current Date'!I:I,"WINTER"))), "")</f>
        <v/>
      </c>
      <c r="L184" s="74" t="str" cm="1">
        <f t="array" ref="L184">IFERROR(1/(1/SUM(COUNTIFS(
'YearA-AppDetails Current Date'!A:A,D184,
'YearA-AppDetails Current Date'!F:F,E184,
'YearA-AppDetails Current Date'!E:E,--F184,
'YearA-AppDetails Current Date'!T:T,{"APEX","DENY","NTSL"},
'YearA-AppDetails Current Date'!I:I,"WINTER"))), "")</f>
        <v/>
      </c>
      <c r="M184" s="74" t="str" cm="1">
        <f t="array" ref="M184">IFERROR(1/(1/SUM(COUNTIFS(
'YearA-AppDetails Current Date'!A:A,D184,
'YearA-AppDetails Current Date'!F:F,E184,
'YearA-AppDetails Current Date'!E:E,--F184,
'YearA-AppDetails Current Date'!U:U,{"CCAN","DECL"},
'YearA-AppDetails Current Date'!I:I,"WINTER"))), "")</f>
        <v/>
      </c>
      <c r="N184" s="74" t="str" cm="1">
        <f t="array" ref="N184">IFERROR(1/(1/SUM(COUNTIFS(
'YearA-AppDetails Current Date'!A:A,D184,
'YearA-AppDetails Current Date'!F:F,E184,
'YearA-AppDetails Current Date'!E:E,--F184,
'YearA-AppDetails Current Date'!V:V,{"APRO","NODE"},
'YearA-AppDetails Current Date'!I:I,"WINTER"))), "")</f>
        <v/>
      </c>
      <c r="O184" s="74" t="str" cm="1">
        <f t="array" ref="O184">IFERROR(1/(1/SUM(COUNTIFS(
'YearA-AppDetails Current Date'!A:A,D184,
'YearA-AppDetails Current Date'!F:F,E184,
'YearA-AppDetails Current Date'!E:E,--F184,
'YearA-AppDetails Current Date'!T:T,{"CDMT","RQMT","WAIT"},
'YearA-AppDetails Current Date'!I:I,"WINTER"))), "")</f>
        <v/>
      </c>
      <c r="P184" s="74" t="str">
        <f>IFERROR(1/(1/COUNTIFS(
'YearA-AppDetails Current Date'!A:A,D184,
'YearA-AppDetails Current Date'!F:F,E184,
'YearA-AppDetails Current Date'!E:E,--F184,
'YearA-AppDetails Current Date'!Y:Y,"ENRO",
'YearA-AppDetails Current Date'!I:I,"WINTER")),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HC'!D:T,6,FALSE)),
N(VLOOKUP(D185&amp;F185,'Budgeted Projections Intl HC'!D:T,7,FALSE))
)
),"")</f>
        <v/>
      </c>
      <c r="I185" s="73" t="str">
        <f>IFERROR(1/(1/COUNTIFS(
'YearA-AppDetails Current Date'!A:A,D185,
'YearA-AppDetails Current Date'!F:F,E185,
'YearA-AppDetails Current Date'!E:E,--F185,
'YearA-AppDetails Current Date'!I:I,"WINTER")), "")</f>
        <v/>
      </c>
      <c r="J185" s="74" t="str" cm="1">
        <f t="array" ref="J185">IFERROR(1/(1/SUM(COUNTIFS(
'YearA-AppDetails Current Date'!A:A,D185,
'YearA-AppDetails Current Date'!F:F,E185,
'YearA-AppDetails Current Date'!E:E,--F185,
'YearA-AppDetails Current Date'!O:O,{"ACLN","ACPT","COND"},
'YearA-AppDetails Current Date'!S:S,"&lt;&gt;ACLN",
'YearA-AppDetails Current Date'!S:S,"&lt;&gt;ACPT",
'YearA-AppDetails Current Date'!S:S,"&lt;&gt;COND",
'YearA-AppDetails Current Date'!I:I,"WINTER"))), "")</f>
        <v/>
      </c>
      <c r="K185" s="73" t="str">
        <f>IFERROR(1/(1/SUM(COUNTIFS(
'YearA-AppDetails Current Date'!A:A,D185,
'YearA-AppDetails Current Date'!F:F,E185,
'YearA-AppDetails Current Date'!E:E,--F185,
'YearA-AppDetails Current Date'!R:R,"&lt;&gt;"&amp;"",
'YearA-AppDetails Current Date'!I:I,"WINTER"))), "")</f>
        <v/>
      </c>
      <c r="L185" s="74" t="str" cm="1">
        <f t="array" ref="L185">IFERROR(1/(1/SUM(COUNTIFS(
'YearA-AppDetails Current Date'!A:A,D185,
'YearA-AppDetails Current Date'!F:F,E185,
'YearA-AppDetails Current Date'!E:E,--F185,
'YearA-AppDetails Current Date'!T:T,{"APEX","DENY","NTSL"},
'YearA-AppDetails Current Date'!I:I,"WINTER"))), "")</f>
        <v/>
      </c>
      <c r="M185" s="74" t="str" cm="1">
        <f t="array" ref="M185">IFERROR(1/(1/SUM(COUNTIFS(
'YearA-AppDetails Current Date'!A:A,D185,
'YearA-AppDetails Current Date'!F:F,E185,
'YearA-AppDetails Current Date'!E:E,--F185,
'YearA-AppDetails Current Date'!U:U,{"CCAN","DECL"},
'YearA-AppDetails Current Date'!I:I,"WINTER"))), "")</f>
        <v/>
      </c>
      <c r="N185" s="74" t="str" cm="1">
        <f t="array" ref="N185">IFERROR(1/(1/SUM(COUNTIFS(
'YearA-AppDetails Current Date'!A:A,D185,
'YearA-AppDetails Current Date'!F:F,E185,
'YearA-AppDetails Current Date'!E:E,--F185,
'YearA-AppDetails Current Date'!V:V,{"APRO","NODE"},
'YearA-AppDetails Current Date'!I:I,"WINTER"))), "")</f>
        <v/>
      </c>
      <c r="O185" s="74" t="str" cm="1">
        <f t="array" ref="O185">IFERROR(1/(1/SUM(COUNTIFS(
'YearA-AppDetails Current Date'!A:A,D185,
'YearA-AppDetails Current Date'!F:F,E185,
'YearA-AppDetails Current Date'!E:E,--F185,
'YearA-AppDetails Current Date'!T:T,{"CDMT","RQMT","WAIT"},
'YearA-AppDetails Current Date'!I:I,"WINTER"))), "")</f>
        <v/>
      </c>
      <c r="P185" s="74" t="str">
        <f>IFERROR(1/(1/COUNTIFS(
'YearA-AppDetails Current Date'!A:A,D185,
'YearA-AppDetails Current Date'!F:F,E185,
'YearA-AppDetails Current Date'!E:E,--F185,
'YearA-AppDetails Current Date'!Y:Y,"ENRO",
'YearA-AppDetails Current Date'!I:I,"WINTER")),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HC'!D:T,6,FALSE)),
N(VLOOKUP(D186&amp;F186,'Budgeted Projections Dom HC'!D:T,7,FALSE))
)
),"")</f>
        <v/>
      </c>
      <c r="I186" s="73" t="str">
        <f>IFERROR(1/(1/COUNTIFS(
'YearA-AppDetails Current Date'!A:A,D186,
'YearA-AppDetails Current Date'!F:F,E186,
'YearA-AppDetails Current Date'!E:E,--F186,
'YearA-AppDetails Current Date'!I:I,"WINTER")), "")</f>
        <v/>
      </c>
      <c r="J186" s="74" t="str" cm="1">
        <f t="array" ref="J186">IFERROR(1/(1/SUM(COUNTIFS(
'YearA-AppDetails Current Date'!A:A,D186,
'YearA-AppDetails Current Date'!F:F,E186,
'YearA-AppDetails Current Date'!E:E,--F186,
'YearA-AppDetails Current Date'!O:O,{"ACLN","ACPT","COND"},
'YearA-AppDetails Current Date'!S:S,"&lt;&gt;ACLN",
'YearA-AppDetails Current Date'!S:S,"&lt;&gt;ACPT",
'YearA-AppDetails Current Date'!S:S,"&lt;&gt;COND",
'YearA-AppDetails Current Date'!I:I,"WINTER"))), "")</f>
        <v/>
      </c>
      <c r="K186" s="73" t="str">
        <f>IFERROR(1/(1/SUM(COUNTIFS(
'YearA-AppDetails Current Date'!A:A,D186,
'YearA-AppDetails Current Date'!F:F,E186,
'YearA-AppDetails Current Date'!E:E,--F186,
'YearA-AppDetails Current Date'!R:R,"&lt;&gt;"&amp;"",
'YearA-AppDetails Current Date'!I:I,"WINTER"))), "")</f>
        <v/>
      </c>
      <c r="L186" s="74" t="str" cm="1">
        <f t="array" ref="L186">IFERROR(1/(1/SUM(COUNTIFS(
'YearA-AppDetails Current Date'!A:A,D186,
'YearA-AppDetails Current Date'!F:F,E186,
'YearA-AppDetails Current Date'!E:E,--F186,
'YearA-AppDetails Current Date'!T:T,{"APEX","DENY","NTSL"},
'YearA-AppDetails Current Date'!I:I,"WINTER"))), "")</f>
        <v/>
      </c>
      <c r="M186" s="74" t="str" cm="1">
        <f t="array" ref="M186">IFERROR(1/(1/SUM(COUNTIFS(
'YearA-AppDetails Current Date'!A:A,D186,
'YearA-AppDetails Current Date'!F:F,E186,
'YearA-AppDetails Current Date'!E:E,--F186,
'YearA-AppDetails Current Date'!U:U,{"CCAN","DECL"},
'YearA-AppDetails Current Date'!I:I,"WINTER"))), "")</f>
        <v/>
      </c>
      <c r="N186" s="74" t="str" cm="1">
        <f t="array" ref="N186">IFERROR(1/(1/SUM(COUNTIFS(
'YearA-AppDetails Current Date'!A:A,D186,
'YearA-AppDetails Current Date'!F:F,E186,
'YearA-AppDetails Current Date'!E:E,--F186,
'YearA-AppDetails Current Date'!V:V,{"APRO","NODE"},
'YearA-AppDetails Current Date'!I:I,"WINTER"))), "")</f>
        <v/>
      </c>
      <c r="O186" s="74" t="str" cm="1">
        <f t="array" ref="O186">IFERROR(1/(1/SUM(COUNTIFS(
'YearA-AppDetails Current Date'!A:A,D186,
'YearA-AppDetails Current Date'!F:F,E186,
'YearA-AppDetails Current Date'!E:E,--F186,
'YearA-AppDetails Current Date'!T:T,{"CDMT","RQMT","WAIT"},
'YearA-AppDetails Current Date'!I:I,"WINTER"))), "")</f>
        <v/>
      </c>
      <c r="P186" s="74" t="str">
        <f>IFERROR(1/(1/COUNTIFS(
'YearA-AppDetails Current Date'!A:A,D186,
'YearA-AppDetails Current Date'!F:F,E186,
'YearA-AppDetails Current Date'!E:E,--F186,
'YearA-AppDetails Current Date'!Y:Y,"ENRO",
'YearA-AppDetails Current Date'!I:I,"WINTER")),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HC'!D:T,6,FALSE)),
N(VLOOKUP(D187&amp;F187,'Budgeted Projections Intl HC'!D:T,7,FALSE))
)
),"")</f>
        <v/>
      </c>
      <c r="I187" s="73" t="str">
        <f>IFERROR(1/(1/COUNTIFS(
'YearA-AppDetails Current Date'!A:A,D187,
'YearA-AppDetails Current Date'!F:F,E187,
'YearA-AppDetails Current Date'!E:E,--F187,
'YearA-AppDetails Current Date'!I:I,"WINTER")), "")</f>
        <v/>
      </c>
      <c r="J187" s="74" t="str" cm="1">
        <f t="array" ref="J187">IFERROR(1/(1/SUM(COUNTIFS(
'YearA-AppDetails Current Date'!A:A,D187,
'YearA-AppDetails Current Date'!F:F,E187,
'YearA-AppDetails Current Date'!E:E,--F187,
'YearA-AppDetails Current Date'!O:O,{"ACLN","ACPT","COND"},
'YearA-AppDetails Current Date'!S:S,"&lt;&gt;ACLN",
'YearA-AppDetails Current Date'!S:S,"&lt;&gt;ACPT",
'YearA-AppDetails Current Date'!S:S,"&lt;&gt;COND",
'YearA-AppDetails Current Date'!I:I,"WINTER"))), "")</f>
        <v/>
      </c>
      <c r="K187" s="73" t="str">
        <f>IFERROR(1/(1/SUM(COUNTIFS(
'YearA-AppDetails Current Date'!A:A,D187,
'YearA-AppDetails Current Date'!F:F,E187,
'YearA-AppDetails Current Date'!E:E,--F187,
'YearA-AppDetails Current Date'!R:R,"&lt;&gt;"&amp;"",
'YearA-AppDetails Current Date'!I:I,"WINTER"))), "")</f>
        <v/>
      </c>
      <c r="L187" s="74" t="str" cm="1">
        <f t="array" ref="L187">IFERROR(1/(1/SUM(COUNTIFS(
'YearA-AppDetails Current Date'!A:A,D187,
'YearA-AppDetails Current Date'!F:F,E187,
'YearA-AppDetails Current Date'!E:E,--F187,
'YearA-AppDetails Current Date'!T:T,{"APEX","DENY","NTSL"},
'YearA-AppDetails Current Date'!I:I,"WINTER"))), "")</f>
        <v/>
      </c>
      <c r="M187" s="74" t="str" cm="1">
        <f t="array" ref="M187">IFERROR(1/(1/SUM(COUNTIFS(
'YearA-AppDetails Current Date'!A:A,D187,
'YearA-AppDetails Current Date'!F:F,E187,
'YearA-AppDetails Current Date'!E:E,--F187,
'YearA-AppDetails Current Date'!U:U,{"CCAN","DECL"},
'YearA-AppDetails Current Date'!I:I,"WINTER"))), "")</f>
        <v/>
      </c>
      <c r="N187" s="74" t="str" cm="1">
        <f t="array" ref="N187">IFERROR(1/(1/SUM(COUNTIFS(
'YearA-AppDetails Current Date'!A:A,D187,
'YearA-AppDetails Current Date'!F:F,E187,
'YearA-AppDetails Current Date'!E:E,--F187,
'YearA-AppDetails Current Date'!V:V,{"APRO","NODE"},
'YearA-AppDetails Current Date'!I:I,"WINTER"))), "")</f>
        <v/>
      </c>
      <c r="O187" s="74" t="str" cm="1">
        <f t="array" ref="O187">IFERROR(1/(1/SUM(COUNTIFS(
'YearA-AppDetails Current Date'!A:A,D187,
'YearA-AppDetails Current Date'!F:F,E187,
'YearA-AppDetails Current Date'!E:E,--F187,
'YearA-AppDetails Current Date'!T:T,{"CDMT","RQMT","WAIT"},
'YearA-AppDetails Current Date'!I:I,"WINTER"))), "")</f>
        <v/>
      </c>
      <c r="P187" s="74" t="str">
        <f>IFERROR(1/(1/COUNTIFS(
'YearA-AppDetails Current Date'!A:A,D187,
'YearA-AppDetails Current Date'!F:F,E187,
'YearA-AppDetails Current Date'!E:E,--F187,
'YearA-AppDetails Current Date'!Y:Y,"ENRO",
'YearA-AppDetails Current Date'!I:I,"WINTER")),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HC'!D:T,6,FALSE)),
N(VLOOKUP(D188&amp;F188,'Budgeted Projections Dom HC'!D:T,7,FALSE))
)
),"")</f>
        <v/>
      </c>
      <c r="I188" s="73" t="str">
        <f>IFERROR(1/(1/COUNTIFS(
'YearA-AppDetails Current Date'!A:A,D188,
'YearA-AppDetails Current Date'!F:F,E188,
'YearA-AppDetails Current Date'!E:E,--F188,
'YearA-AppDetails Current Date'!I:I,"WINTER")), "")</f>
        <v/>
      </c>
      <c r="J188" s="74" t="str" cm="1">
        <f t="array" ref="J188">IFERROR(1/(1/SUM(COUNTIFS(
'YearA-AppDetails Current Date'!A:A,D188,
'YearA-AppDetails Current Date'!F:F,E188,
'YearA-AppDetails Current Date'!E:E,--F188,
'YearA-AppDetails Current Date'!O:O,{"ACLN","ACPT","COND"},
'YearA-AppDetails Current Date'!S:S,"&lt;&gt;ACLN",
'YearA-AppDetails Current Date'!S:S,"&lt;&gt;ACPT",
'YearA-AppDetails Current Date'!S:S,"&lt;&gt;COND",
'YearA-AppDetails Current Date'!I:I,"WINTER"))), "")</f>
        <v/>
      </c>
      <c r="K188" s="73" t="str">
        <f>IFERROR(1/(1/SUM(COUNTIFS(
'YearA-AppDetails Current Date'!A:A,D188,
'YearA-AppDetails Current Date'!F:F,E188,
'YearA-AppDetails Current Date'!E:E,--F188,
'YearA-AppDetails Current Date'!R:R,"&lt;&gt;"&amp;"",
'YearA-AppDetails Current Date'!I:I,"WINTER"))), "")</f>
        <v/>
      </c>
      <c r="L188" s="74" t="str" cm="1">
        <f t="array" ref="L188">IFERROR(1/(1/SUM(COUNTIFS(
'YearA-AppDetails Current Date'!A:A,D188,
'YearA-AppDetails Current Date'!F:F,E188,
'YearA-AppDetails Current Date'!E:E,--F188,
'YearA-AppDetails Current Date'!T:T,{"APEX","DENY","NTSL"},
'YearA-AppDetails Current Date'!I:I,"WINTER"))), "")</f>
        <v/>
      </c>
      <c r="M188" s="74" t="str" cm="1">
        <f t="array" ref="M188">IFERROR(1/(1/SUM(COUNTIFS(
'YearA-AppDetails Current Date'!A:A,D188,
'YearA-AppDetails Current Date'!F:F,E188,
'YearA-AppDetails Current Date'!E:E,--F188,
'YearA-AppDetails Current Date'!U:U,{"CCAN","DECL"},
'YearA-AppDetails Current Date'!I:I,"WINTER"))), "")</f>
        <v/>
      </c>
      <c r="N188" s="74" t="str" cm="1">
        <f t="array" ref="N188">IFERROR(1/(1/SUM(COUNTIFS(
'YearA-AppDetails Current Date'!A:A,D188,
'YearA-AppDetails Current Date'!F:F,E188,
'YearA-AppDetails Current Date'!E:E,--F188,
'YearA-AppDetails Current Date'!V:V,{"APRO","NODE"},
'YearA-AppDetails Current Date'!I:I,"WINTER"))), "")</f>
        <v/>
      </c>
      <c r="O188" s="74" t="str" cm="1">
        <f t="array" ref="O188">IFERROR(1/(1/SUM(COUNTIFS(
'YearA-AppDetails Current Date'!A:A,D188,
'YearA-AppDetails Current Date'!F:F,E188,
'YearA-AppDetails Current Date'!E:E,--F188,
'YearA-AppDetails Current Date'!T:T,{"CDMT","RQMT","WAIT"},
'YearA-AppDetails Current Date'!I:I,"WINTER"))), "")</f>
        <v/>
      </c>
      <c r="P188" s="74" t="str">
        <f>IFERROR(1/(1/COUNTIFS(
'YearA-AppDetails Current Date'!A:A,D188,
'YearA-AppDetails Current Date'!F:F,E188,
'YearA-AppDetails Current Date'!E:E,--F188,
'YearA-AppDetails Current Date'!Y:Y,"ENRO",
'YearA-AppDetails Current Date'!I:I,"WINTER")),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HC'!D:T,6,FALSE)),
N(VLOOKUP(D189&amp;F189,'Budgeted Projections Intl HC'!D:T,7,FALSE))
)
),"")</f>
        <v/>
      </c>
      <c r="I189" s="73" t="str">
        <f>IFERROR(1/(1/COUNTIFS(
'YearA-AppDetails Current Date'!A:A,D189,
'YearA-AppDetails Current Date'!F:F,E189,
'YearA-AppDetails Current Date'!E:E,--F189,
'YearA-AppDetails Current Date'!I:I,"WINTER")), "")</f>
        <v/>
      </c>
      <c r="J189" s="74" t="str" cm="1">
        <f t="array" ref="J189">IFERROR(1/(1/SUM(COUNTIFS(
'YearA-AppDetails Current Date'!A:A,D189,
'YearA-AppDetails Current Date'!F:F,E189,
'YearA-AppDetails Current Date'!E:E,--F189,
'YearA-AppDetails Current Date'!O:O,{"ACLN","ACPT","COND"},
'YearA-AppDetails Current Date'!S:S,"&lt;&gt;ACLN",
'YearA-AppDetails Current Date'!S:S,"&lt;&gt;ACPT",
'YearA-AppDetails Current Date'!S:S,"&lt;&gt;COND",
'YearA-AppDetails Current Date'!I:I,"WINTER"))), "")</f>
        <v/>
      </c>
      <c r="K189" s="73" t="str">
        <f>IFERROR(1/(1/SUM(COUNTIFS(
'YearA-AppDetails Current Date'!A:A,D189,
'YearA-AppDetails Current Date'!F:F,E189,
'YearA-AppDetails Current Date'!E:E,--F189,
'YearA-AppDetails Current Date'!R:R,"&lt;&gt;"&amp;"",
'YearA-AppDetails Current Date'!I:I,"WINTER"))), "")</f>
        <v/>
      </c>
      <c r="L189" s="74" t="str" cm="1">
        <f t="array" ref="L189">IFERROR(1/(1/SUM(COUNTIFS(
'YearA-AppDetails Current Date'!A:A,D189,
'YearA-AppDetails Current Date'!F:F,E189,
'YearA-AppDetails Current Date'!E:E,--F189,
'YearA-AppDetails Current Date'!T:T,{"APEX","DENY","NTSL"},
'YearA-AppDetails Current Date'!I:I,"WINTER"))), "")</f>
        <v/>
      </c>
      <c r="M189" s="74" t="str" cm="1">
        <f t="array" ref="M189">IFERROR(1/(1/SUM(COUNTIFS(
'YearA-AppDetails Current Date'!A:A,D189,
'YearA-AppDetails Current Date'!F:F,E189,
'YearA-AppDetails Current Date'!E:E,--F189,
'YearA-AppDetails Current Date'!U:U,{"CCAN","DECL"},
'YearA-AppDetails Current Date'!I:I,"WINTER"))), "")</f>
        <v/>
      </c>
      <c r="N189" s="74" t="str" cm="1">
        <f t="array" ref="N189">IFERROR(1/(1/SUM(COUNTIFS(
'YearA-AppDetails Current Date'!A:A,D189,
'YearA-AppDetails Current Date'!F:F,E189,
'YearA-AppDetails Current Date'!E:E,--F189,
'YearA-AppDetails Current Date'!V:V,{"APRO","NODE"},
'YearA-AppDetails Current Date'!I:I,"WINTER"))), "")</f>
        <v/>
      </c>
      <c r="O189" s="74" t="str" cm="1">
        <f t="array" ref="O189">IFERROR(1/(1/SUM(COUNTIFS(
'YearA-AppDetails Current Date'!A:A,D189,
'YearA-AppDetails Current Date'!F:F,E189,
'YearA-AppDetails Current Date'!E:E,--F189,
'YearA-AppDetails Current Date'!T:T,{"CDMT","RQMT","WAIT"},
'YearA-AppDetails Current Date'!I:I,"WINTER"))), "")</f>
        <v/>
      </c>
      <c r="P189" s="74" t="str">
        <f>IFERROR(1/(1/COUNTIFS(
'YearA-AppDetails Current Date'!A:A,D189,
'YearA-AppDetails Current Date'!F:F,E189,
'YearA-AppDetails Current Date'!E:E,--F189,
'YearA-AppDetails Current Date'!Y:Y,"ENRO",
'YearA-AppDetails Current Date'!I:I,"WINTER")),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HC'!D:T,6,FALSE)),
N(VLOOKUP(D190&amp;F190,'Budgeted Projections Dom HC'!D:T,7,FALSE))
)
),"")</f>
        <v/>
      </c>
      <c r="I190" s="73" t="str">
        <f>IFERROR(1/(1/COUNTIFS(
'YearA-AppDetails Current Date'!A:A,D190,
'YearA-AppDetails Current Date'!F:F,E190,
'YearA-AppDetails Current Date'!E:E,--F190,
'YearA-AppDetails Current Date'!I:I,"WINTER")), "")</f>
        <v/>
      </c>
      <c r="J190" s="74" t="str" cm="1">
        <f t="array" ref="J190">IFERROR(1/(1/SUM(COUNTIFS(
'YearA-AppDetails Current Date'!A:A,D190,
'YearA-AppDetails Current Date'!F:F,E190,
'YearA-AppDetails Current Date'!E:E,--F190,
'YearA-AppDetails Current Date'!O:O,{"ACLN","ACPT","COND"},
'YearA-AppDetails Current Date'!S:S,"&lt;&gt;ACLN",
'YearA-AppDetails Current Date'!S:S,"&lt;&gt;ACPT",
'YearA-AppDetails Current Date'!S:S,"&lt;&gt;COND",
'YearA-AppDetails Current Date'!I:I,"WINTER"))), "")</f>
        <v/>
      </c>
      <c r="K190" s="73" t="str">
        <f>IFERROR(1/(1/SUM(COUNTIFS(
'YearA-AppDetails Current Date'!A:A,D190,
'YearA-AppDetails Current Date'!F:F,E190,
'YearA-AppDetails Current Date'!E:E,--F190,
'YearA-AppDetails Current Date'!R:R,"&lt;&gt;"&amp;"",
'YearA-AppDetails Current Date'!I:I,"WINTER"))), "")</f>
        <v/>
      </c>
      <c r="L190" s="74" t="str" cm="1">
        <f t="array" ref="L190">IFERROR(1/(1/SUM(COUNTIFS(
'YearA-AppDetails Current Date'!A:A,D190,
'YearA-AppDetails Current Date'!F:F,E190,
'YearA-AppDetails Current Date'!E:E,--F190,
'YearA-AppDetails Current Date'!T:T,{"APEX","DENY","NTSL"},
'YearA-AppDetails Current Date'!I:I,"WINTER"))), "")</f>
        <v/>
      </c>
      <c r="M190" s="74" t="str" cm="1">
        <f t="array" ref="M190">IFERROR(1/(1/SUM(COUNTIFS(
'YearA-AppDetails Current Date'!A:A,D190,
'YearA-AppDetails Current Date'!F:F,E190,
'YearA-AppDetails Current Date'!E:E,--F190,
'YearA-AppDetails Current Date'!U:U,{"CCAN","DECL"},
'YearA-AppDetails Current Date'!I:I,"WINTER"))), "")</f>
        <v/>
      </c>
      <c r="N190" s="74" t="str" cm="1">
        <f t="array" ref="N190">IFERROR(1/(1/SUM(COUNTIFS(
'YearA-AppDetails Current Date'!A:A,D190,
'YearA-AppDetails Current Date'!F:F,E190,
'YearA-AppDetails Current Date'!E:E,--F190,
'YearA-AppDetails Current Date'!V:V,{"APRO","NODE"},
'YearA-AppDetails Current Date'!I:I,"WINTER"))), "")</f>
        <v/>
      </c>
      <c r="O190" s="74" t="str" cm="1">
        <f t="array" ref="O190">IFERROR(1/(1/SUM(COUNTIFS(
'YearA-AppDetails Current Date'!A:A,D190,
'YearA-AppDetails Current Date'!F:F,E190,
'YearA-AppDetails Current Date'!E:E,--F190,
'YearA-AppDetails Current Date'!T:T,{"CDMT","RQMT","WAIT"},
'YearA-AppDetails Current Date'!I:I,"WINTER"))), "")</f>
        <v/>
      </c>
      <c r="P190" s="74" t="str">
        <f>IFERROR(1/(1/COUNTIFS(
'YearA-AppDetails Current Date'!A:A,D190,
'YearA-AppDetails Current Date'!F:F,E190,
'YearA-AppDetails Current Date'!E:E,--F190,
'YearA-AppDetails Current Date'!Y:Y,"ENRO",
'YearA-AppDetails Current Date'!I:I,"WINTER")),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HC'!D:T,6,FALSE)),
N(VLOOKUP(D191&amp;F191,'Budgeted Projections Intl HC'!D:T,7,FALSE))
)
),"")</f>
        <v/>
      </c>
      <c r="I191" s="73" t="str">
        <f>IFERROR(1/(1/COUNTIFS(
'YearA-AppDetails Current Date'!A:A,D191,
'YearA-AppDetails Current Date'!F:F,E191,
'YearA-AppDetails Current Date'!E:E,--F191,
'YearA-AppDetails Current Date'!I:I,"WINTER")), "")</f>
        <v/>
      </c>
      <c r="J191" s="74" t="str" cm="1">
        <f t="array" ref="J191">IFERROR(1/(1/SUM(COUNTIFS(
'YearA-AppDetails Current Date'!A:A,D191,
'YearA-AppDetails Current Date'!F:F,E191,
'YearA-AppDetails Current Date'!E:E,--F191,
'YearA-AppDetails Current Date'!O:O,{"ACLN","ACPT","COND"},
'YearA-AppDetails Current Date'!S:S,"&lt;&gt;ACLN",
'YearA-AppDetails Current Date'!S:S,"&lt;&gt;ACPT",
'YearA-AppDetails Current Date'!S:S,"&lt;&gt;COND",
'YearA-AppDetails Current Date'!I:I,"WINTER"))), "")</f>
        <v/>
      </c>
      <c r="K191" s="73" t="str">
        <f>IFERROR(1/(1/SUM(COUNTIFS(
'YearA-AppDetails Current Date'!A:A,D191,
'YearA-AppDetails Current Date'!F:F,E191,
'YearA-AppDetails Current Date'!E:E,--F191,
'YearA-AppDetails Current Date'!R:R,"&lt;&gt;"&amp;"",
'YearA-AppDetails Current Date'!I:I,"WINTER"))), "")</f>
        <v/>
      </c>
      <c r="L191" s="74" t="str" cm="1">
        <f t="array" ref="L191">IFERROR(1/(1/SUM(COUNTIFS(
'YearA-AppDetails Current Date'!A:A,D191,
'YearA-AppDetails Current Date'!F:F,E191,
'YearA-AppDetails Current Date'!E:E,--F191,
'YearA-AppDetails Current Date'!T:T,{"APEX","DENY","NTSL"},
'YearA-AppDetails Current Date'!I:I,"WINTER"))), "")</f>
        <v/>
      </c>
      <c r="M191" s="74" t="str" cm="1">
        <f t="array" ref="M191">IFERROR(1/(1/SUM(COUNTIFS(
'YearA-AppDetails Current Date'!A:A,D191,
'YearA-AppDetails Current Date'!F:F,E191,
'YearA-AppDetails Current Date'!E:E,--F191,
'YearA-AppDetails Current Date'!U:U,{"CCAN","DECL"},
'YearA-AppDetails Current Date'!I:I,"WINTER"))), "")</f>
        <v/>
      </c>
      <c r="N191" s="74" t="str" cm="1">
        <f t="array" ref="N191">IFERROR(1/(1/SUM(COUNTIFS(
'YearA-AppDetails Current Date'!A:A,D191,
'YearA-AppDetails Current Date'!F:F,E191,
'YearA-AppDetails Current Date'!E:E,--F191,
'YearA-AppDetails Current Date'!V:V,{"APRO","NODE"},
'YearA-AppDetails Current Date'!I:I,"WINTER"))), "")</f>
        <v/>
      </c>
      <c r="O191" s="74" t="str" cm="1">
        <f t="array" ref="O191">IFERROR(1/(1/SUM(COUNTIFS(
'YearA-AppDetails Current Date'!A:A,D191,
'YearA-AppDetails Current Date'!F:F,E191,
'YearA-AppDetails Current Date'!E:E,--F191,
'YearA-AppDetails Current Date'!T:T,{"CDMT","RQMT","WAIT"},
'YearA-AppDetails Current Date'!I:I,"WINTER"))), "")</f>
        <v/>
      </c>
      <c r="P191" s="74" t="str">
        <f>IFERROR(1/(1/COUNTIFS(
'YearA-AppDetails Current Date'!A:A,D191,
'YearA-AppDetails Current Date'!F:F,E191,
'YearA-AppDetails Current Date'!E:E,--F191,
'YearA-AppDetails Current Date'!Y:Y,"ENRO",
'YearA-AppDetails Current Date'!I:I,"WINTER")),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HC'!D:T,6,FALSE)),
N(VLOOKUP(D192&amp;F192,'Budgeted Projections Dom HC'!D:T,7,FALSE))
)
),"")</f>
        <v/>
      </c>
      <c r="I192" s="73" t="str">
        <f>IFERROR(1/(1/COUNTIFS(
'YearA-AppDetails Current Date'!A:A,D192,
'YearA-AppDetails Current Date'!F:F,E192,
'YearA-AppDetails Current Date'!E:E,--F192,
'YearA-AppDetails Current Date'!I:I,"WINTER")), "")</f>
        <v/>
      </c>
      <c r="J192" s="74" t="str" cm="1">
        <f t="array" ref="J192">IFERROR(1/(1/SUM(COUNTIFS(
'YearA-AppDetails Current Date'!A:A,D192,
'YearA-AppDetails Current Date'!F:F,E192,
'YearA-AppDetails Current Date'!E:E,--F192,
'YearA-AppDetails Current Date'!O:O,{"ACLN","ACPT","COND"},
'YearA-AppDetails Current Date'!S:S,"&lt;&gt;ACLN",
'YearA-AppDetails Current Date'!S:S,"&lt;&gt;ACPT",
'YearA-AppDetails Current Date'!S:S,"&lt;&gt;COND",
'YearA-AppDetails Current Date'!I:I,"WINTER"))), "")</f>
        <v/>
      </c>
      <c r="K192" s="73" t="str">
        <f>IFERROR(1/(1/SUM(COUNTIFS(
'YearA-AppDetails Current Date'!A:A,D192,
'YearA-AppDetails Current Date'!F:F,E192,
'YearA-AppDetails Current Date'!E:E,--F192,
'YearA-AppDetails Current Date'!R:R,"&lt;&gt;"&amp;"",
'YearA-AppDetails Current Date'!I:I,"WINTER"))), "")</f>
        <v/>
      </c>
      <c r="L192" s="74" t="str" cm="1">
        <f t="array" ref="L192">IFERROR(1/(1/SUM(COUNTIFS(
'YearA-AppDetails Current Date'!A:A,D192,
'YearA-AppDetails Current Date'!F:F,E192,
'YearA-AppDetails Current Date'!E:E,--F192,
'YearA-AppDetails Current Date'!T:T,{"APEX","DENY","NTSL"},
'YearA-AppDetails Current Date'!I:I,"WINTER"))), "")</f>
        <v/>
      </c>
      <c r="M192" s="74" t="str" cm="1">
        <f t="array" ref="M192">IFERROR(1/(1/SUM(COUNTIFS(
'YearA-AppDetails Current Date'!A:A,D192,
'YearA-AppDetails Current Date'!F:F,E192,
'YearA-AppDetails Current Date'!E:E,--F192,
'YearA-AppDetails Current Date'!U:U,{"CCAN","DECL"},
'YearA-AppDetails Current Date'!I:I,"WINTER"))), "")</f>
        <v/>
      </c>
      <c r="N192" s="74" t="str" cm="1">
        <f t="array" ref="N192">IFERROR(1/(1/SUM(COUNTIFS(
'YearA-AppDetails Current Date'!A:A,D192,
'YearA-AppDetails Current Date'!F:F,E192,
'YearA-AppDetails Current Date'!E:E,--F192,
'YearA-AppDetails Current Date'!V:V,{"APRO","NODE"},
'YearA-AppDetails Current Date'!I:I,"WINTER"))), "")</f>
        <v/>
      </c>
      <c r="O192" s="74" t="str" cm="1">
        <f t="array" ref="O192">IFERROR(1/(1/SUM(COUNTIFS(
'YearA-AppDetails Current Date'!A:A,D192,
'YearA-AppDetails Current Date'!F:F,E192,
'YearA-AppDetails Current Date'!E:E,--F192,
'YearA-AppDetails Current Date'!T:T,{"CDMT","RQMT","WAIT"},
'YearA-AppDetails Current Date'!I:I,"WINTER"))), "")</f>
        <v/>
      </c>
      <c r="P192" s="74" t="str">
        <f>IFERROR(1/(1/COUNTIFS(
'YearA-AppDetails Current Date'!A:A,D192,
'YearA-AppDetails Current Date'!F:F,E192,
'YearA-AppDetails Current Date'!E:E,--F192,
'YearA-AppDetails Current Date'!Y:Y,"ENRO",
'YearA-AppDetails Current Date'!I:I,"WINTER")),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HC'!D:T,6,FALSE)),
N(VLOOKUP(D193&amp;F193,'Budgeted Projections Intl HC'!D:T,7,FALSE))
)
),"")</f>
        <v/>
      </c>
      <c r="I193" s="73" t="str">
        <f>IFERROR(1/(1/COUNTIFS(
'YearA-AppDetails Current Date'!A:A,D193,
'YearA-AppDetails Current Date'!F:F,E193,
'YearA-AppDetails Current Date'!E:E,--F193,
'YearA-AppDetails Current Date'!I:I,"WINTER")), "")</f>
        <v/>
      </c>
      <c r="J193" s="74" t="str" cm="1">
        <f t="array" ref="J193">IFERROR(1/(1/SUM(COUNTIFS(
'YearA-AppDetails Current Date'!A:A,D193,
'YearA-AppDetails Current Date'!F:F,E193,
'YearA-AppDetails Current Date'!E:E,--F193,
'YearA-AppDetails Current Date'!O:O,{"ACLN","ACPT","COND"},
'YearA-AppDetails Current Date'!S:S,"&lt;&gt;ACLN",
'YearA-AppDetails Current Date'!S:S,"&lt;&gt;ACPT",
'YearA-AppDetails Current Date'!S:S,"&lt;&gt;COND",
'YearA-AppDetails Current Date'!I:I,"WINTER"))), "")</f>
        <v/>
      </c>
      <c r="K193" s="73" t="str">
        <f>IFERROR(1/(1/SUM(COUNTIFS(
'YearA-AppDetails Current Date'!A:A,D193,
'YearA-AppDetails Current Date'!F:F,E193,
'YearA-AppDetails Current Date'!E:E,--F193,
'YearA-AppDetails Current Date'!R:R,"&lt;&gt;"&amp;"",
'YearA-AppDetails Current Date'!I:I,"WINTER"))), "")</f>
        <v/>
      </c>
      <c r="L193" s="74" t="str" cm="1">
        <f t="array" ref="L193">IFERROR(1/(1/SUM(COUNTIFS(
'YearA-AppDetails Current Date'!A:A,D193,
'YearA-AppDetails Current Date'!F:F,E193,
'YearA-AppDetails Current Date'!E:E,--F193,
'YearA-AppDetails Current Date'!T:T,{"APEX","DENY","NTSL"},
'YearA-AppDetails Current Date'!I:I,"WINTER"))), "")</f>
        <v/>
      </c>
      <c r="M193" s="74" t="str" cm="1">
        <f t="array" ref="M193">IFERROR(1/(1/SUM(COUNTIFS(
'YearA-AppDetails Current Date'!A:A,D193,
'YearA-AppDetails Current Date'!F:F,E193,
'YearA-AppDetails Current Date'!E:E,--F193,
'YearA-AppDetails Current Date'!U:U,{"CCAN","DECL"},
'YearA-AppDetails Current Date'!I:I,"WINTER"))), "")</f>
        <v/>
      </c>
      <c r="N193" s="74" t="str" cm="1">
        <f t="array" ref="N193">IFERROR(1/(1/SUM(COUNTIFS(
'YearA-AppDetails Current Date'!A:A,D193,
'YearA-AppDetails Current Date'!F:F,E193,
'YearA-AppDetails Current Date'!E:E,--F193,
'YearA-AppDetails Current Date'!V:V,{"APRO","NODE"},
'YearA-AppDetails Current Date'!I:I,"WINTER"))), "")</f>
        <v/>
      </c>
      <c r="O193" s="74" t="str" cm="1">
        <f t="array" ref="O193">IFERROR(1/(1/SUM(COUNTIFS(
'YearA-AppDetails Current Date'!A:A,D193,
'YearA-AppDetails Current Date'!F:F,E193,
'YearA-AppDetails Current Date'!E:E,--F193,
'YearA-AppDetails Current Date'!T:T,{"CDMT","RQMT","WAIT"},
'YearA-AppDetails Current Date'!I:I,"WINTER"))), "")</f>
        <v/>
      </c>
      <c r="P193" s="74" t="str">
        <f>IFERROR(1/(1/COUNTIFS(
'YearA-AppDetails Current Date'!A:A,D193,
'YearA-AppDetails Current Date'!F:F,E193,
'YearA-AppDetails Current Date'!E:E,--F193,
'YearA-AppDetails Current Date'!Y:Y,"ENRO",
'YearA-AppDetails Current Date'!I:I,"WINTER")),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HC'!D:T,6,FALSE)),
N(VLOOKUP(D195&amp;F195,'Budgeted Projections Dom HC'!D:T,7,FALSE))
)
),"")</f>
        <v/>
      </c>
      <c r="I195" s="73" t="str">
        <f>IFERROR(1/(1/COUNTIFS(
'YearA-AppDetails Current Date'!A:A,D195,
'YearA-AppDetails Current Date'!F:F,E195,
'YearA-AppDetails Current Date'!E:E,--F195,
'YearA-AppDetails Current Date'!I:I,"WINTER")), "")</f>
        <v/>
      </c>
      <c r="J195" s="74" t="str" cm="1">
        <f t="array" ref="J195">IFERROR(1/(1/SUM(COUNTIFS(
'YearA-AppDetails Current Date'!A:A,D195,
'YearA-AppDetails Current Date'!F:F,E195,
'YearA-AppDetails Current Date'!E:E,--F195,
'YearA-AppDetails Current Date'!O:O,{"ACLN","ACPT","COND"},
'YearA-AppDetails Current Date'!S:S,"&lt;&gt;ACLN",
'YearA-AppDetails Current Date'!S:S,"&lt;&gt;ACPT",
'YearA-AppDetails Current Date'!S:S,"&lt;&gt;COND",
'YearA-AppDetails Current Date'!I:I,"WINTER"))), "")</f>
        <v/>
      </c>
      <c r="K195" s="73" t="str">
        <f>IFERROR(1/(1/SUM(COUNTIFS(
'YearA-AppDetails Current Date'!A:A,D195,
'YearA-AppDetails Current Date'!F:F,E195,
'YearA-AppDetails Current Date'!E:E,--F195,
'YearA-AppDetails Current Date'!R:R,"&lt;&gt;"&amp;"",
'YearA-AppDetails Current Date'!I:I,"WINTER"))), "")</f>
        <v/>
      </c>
      <c r="L195" s="74" t="str" cm="1">
        <f t="array" ref="L195">IFERROR(1/(1/SUM(COUNTIFS(
'YearA-AppDetails Current Date'!A:A,D195,
'YearA-AppDetails Current Date'!F:F,E195,
'YearA-AppDetails Current Date'!E:E,--F195,
'YearA-AppDetails Current Date'!T:T,{"APEX","DENY","NTSL"},
'YearA-AppDetails Current Date'!I:I,"WINTER"))), "")</f>
        <v/>
      </c>
      <c r="M195" s="74" t="str" cm="1">
        <f t="array" ref="M195">IFERROR(1/(1/SUM(COUNTIFS(
'YearA-AppDetails Current Date'!A:A,D195,
'YearA-AppDetails Current Date'!F:F,E195,
'YearA-AppDetails Current Date'!E:E,--F195,
'YearA-AppDetails Current Date'!U:U,{"CCAN","DECL"},
'YearA-AppDetails Current Date'!I:I,"WINTER"))), "")</f>
        <v/>
      </c>
      <c r="N195" s="74" t="str" cm="1">
        <f t="array" ref="N195">IFERROR(1/(1/SUM(COUNTIFS(
'YearA-AppDetails Current Date'!A:A,D195,
'YearA-AppDetails Current Date'!F:F,E195,
'YearA-AppDetails Current Date'!E:E,--F195,
'YearA-AppDetails Current Date'!V:V,{"APRO","NODE"},
'YearA-AppDetails Current Date'!I:I,"WINTER"))), "")</f>
        <v/>
      </c>
      <c r="O195" s="74" t="str" cm="1">
        <f t="array" ref="O195">IFERROR(1/(1/SUM(COUNTIFS(
'YearA-AppDetails Current Date'!A:A,D195,
'YearA-AppDetails Current Date'!F:F,E195,
'YearA-AppDetails Current Date'!E:E,--F195,
'YearA-AppDetails Current Date'!T:T,{"CDMT","RQMT","WAIT"},
'YearA-AppDetails Current Date'!I:I,"WINTER"))), "")</f>
        <v/>
      </c>
      <c r="P195" s="74" t="str">
        <f>IFERROR(1/(1/COUNTIFS(
'YearA-AppDetails Current Date'!A:A,D195,
'YearA-AppDetails Current Date'!F:F,E195,
'YearA-AppDetails Current Date'!E:E,--F195,
'YearA-AppDetails Current Date'!Y:Y,"ENRO",
'YearA-AppDetails Current Date'!I:I,"WINTER")),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HC'!D:T,6,FALSE)),
N(VLOOKUP(D196&amp;F196,'Budgeted Projections Intl HC'!D:T,7,FALSE))
)
),"")</f>
        <v/>
      </c>
      <c r="I196" s="73" t="str">
        <f>IFERROR(1/(1/COUNTIFS(
'YearA-AppDetails Current Date'!A:A,D196,
'YearA-AppDetails Current Date'!F:F,E196,
'YearA-AppDetails Current Date'!E:E,--F196,
'YearA-AppDetails Current Date'!I:I,"WINTER")), "")</f>
        <v/>
      </c>
      <c r="J196" s="74" t="str" cm="1">
        <f t="array" ref="J196">IFERROR(1/(1/SUM(COUNTIFS(
'YearA-AppDetails Current Date'!A:A,D196,
'YearA-AppDetails Current Date'!F:F,E196,
'YearA-AppDetails Current Date'!E:E,--F196,
'YearA-AppDetails Current Date'!O:O,{"ACLN","ACPT","COND"},
'YearA-AppDetails Current Date'!S:S,"&lt;&gt;ACLN",
'YearA-AppDetails Current Date'!S:S,"&lt;&gt;ACPT",
'YearA-AppDetails Current Date'!S:S,"&lt;&gt;COND",
'YearA-AppDetails Current Date'!I:I,"WINTER"))), "")</f>
        <v/>
      </c>
      <c r="K196" s="73" t="str">
        <f>IFERROR(1/(1/SUM(COUNTIFS(
'YearA-AppDetails Current Date'!A:A,D196,
'YearA-AppDetails Current Date'!F:F,E196,
'YearA-AppDetails Current Date'!E:E,--F196,
'YearA-AppDetails Current Date'!R:R,"&lt;&gt;"&amp;"",
'YearA-AppDetails Current Date'!I:I,"WINTER"))), "")</f>
        <v/>
      </c>
      <c r="L196" s="74" t="str" cm="1">
        <f t="array" ref="L196">IFERROR(1/(1/SUM(COUNTIFS(
'YearA-AppDetails Current Date'!A:A,D196,
'YearA-AppDetails Current Date'!F:F,E196,
'YearA-AppDetails Current Date'!E:E,--F196,
'YearA-AppDetails Current Date'!T:T,{"APEX","DENY","NTSL"},
'YearA-AppDetails Current Date'!I:I,"WINTER"))), "")</f>
        <v/>
      </c>
      <c r="M196" s="74" t="str" cm="1">
        <f t="array" ref="M196">IFERROR(1/(1/SUM(COUNTIFS(
'YearA-AppDetails Current Date'!A:A,D196,
'YearA-AppDetails Current Date'!F:F,E196,
'YearA-AppDetails Current Date'!E:E,--F196,
'YearA-AppDetails Current Date'!U:U,{"CCAN","DECL"},
'YearA-AppDetails Current Date'!I:I,"WINTER"))), "")</f>
        <v/>
      </c>
      <c r="N196" s="74" t="str" cm="1">
        <f t="array" ref="N196">IFERROR(1/(1/SUM(COUNTIFS(
'YearA-AppDetails Current Date'!A:A,D196,
'YearA-AppDetails Current Date'!F:F,E196,
'YearA-AppDetails Current Date'!E:E,--F196,
'YearA-AppDetails Current Date'!V:V,{"APRO","NODE"},
'YearA-AppDetails Current Date'!I:I,"WINTER"))), "")</f>
        <v/>
      </c>
      <c r="O196" s="74" t="str" cm="1">
        <f t="array" ref="O196">IFERROR(1/(1/SUM(COUNTIFS(
'YearA-AppDetails Current Date'!A:A,D196,
'YearA-AppDetails Current Date'!F:F,E196,
'YearA-AppDetails Current Date'!E:E,--F196,
'YearA-AppDetails Current Date'!T:T,{"CDMT","RQMT","WAIT"},
'YearA-AppDetails Current Date'!I:I,"WINTER"))), "")</f>
        <v/>
      </c>
      <c r="P196" s="74" t="str">
        <f>IFERROR(1/(1/COUNTIFS(
'YearA-AppDetails Current Date'!A:A,D196,
'YearA-AppDetails Current Date'!F:F,E196,
'YearA-AppDetails Current Date'!E:E,--F196,
'YearA-AppDetails Current Date'!Y:Y,"ENRO",
'YearA-AppDetails Current Date'!I:I,"WINTER")),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HC'!D:T,2,FALSE)),
N(VLOOKUP(D199&amp;F199,'Budgeted Projections Dom HC'!D:T,3,FALSE))
)/4)
),"")</f>
        <v/>
      </c>
      <c r="I199" s="73" t="str">
        <f>IFERROR(1/(1/COUNTIFS(
'YearA-AppDetails Current Date'!A:A,D199,
'YearA-AppDetails Current Date'!F:F,E199,
'YearA-AppDetails Current Date'!E:E,--F199,
'YearA-AppDetails Current Date'!I:I,"WINTER")), "")</f>
        <v/>
      </c>
      <c r="J199" s="74" t="str" cm="1">
        <f t="array" ref="J199">IFERROR(1/(1/SUM(COUNTIFS(
'YearA-AppDetails Current Date'!A:A,D199,
'YearA-AppDetails Current Date'!F:F,E199,
'YearA-AppDetails Current Date'!E:E,--F199,
'YearA-AppDetails Current Date'!O:O,{"ACLN","ACPT","COND"},
'YearA-AppDetails Current Date'!S:S,"&lt;&gt;ACLN",
'YearA-AppDetails Current Date'!S:S,"&lt;&gt;ACPT",
'YearA-AppDetails Current Date'!S:S,"&lt;&gt;COND",
'YearA-AppDetails Current Date'!I:I,"WINTER"))), "")</f>
        <v/>
      </c>
      <c r="K199" s="73" t="str">
        <f>IFERROR(1/(1/SUM(COUNTIFS(
'YearA-AppDetails Current Date'!A:A,D199,
'YearA-AppDetails Current Date'!F:F,E199,
'YearA-AppDetails Current Date'!E:E,--F199,
'YearA-AppDetails Current Date'!R:R,"&lt;&gt;"&amp;"",
'YearA-AppDetails Current Date'!I:I,"WINTER"))), "")</f>
        <v/>
      </c>
      <c r="L199" s="74" t="str" cm="1">
        <f t="array" ref="L199">IFERROR(1/(1/SUM(COUNTIFS(
'YearA-AppDetails Current Date'!A:A,D199,
'YearA-AppDetails Current Date'!F:F,E199,
'YearA-AppDetails Current Date'!E:E,--F199,
'YearA-AppDetails Current Date'!T:T,{"APEX","DENY","NTSL"},
'YearA-AppDetails Current Date'!I:I,"WINTER"))), "")</f>
        <v/>
      </c>
      <c r="M199" s="74" t="str" cm="1">
        <f t="array" ref="M199">IFERROR(1/(1/SUM(COUNTIFS(
'YearA-AppDetails Current Date'!A:A,D199,
'YearA-AppDetails Current Date'!F:F,E199,
'YearA-AppDetails Current Date'!E:E,--F199,
'YearA-AppDetails Current Date'!U:U,{"CCAN","DECL"},
'YearA-AppDetails Current Date'!I:I,"WINTER"))), "")</f>
        <v/>
      </c>
      <c r="N199" s="74" t="str" cm="1">
        <f t="array" ref="N199">IFERROR(1/(1/SUM(COUNTIFS(
'YearA-AppDetails Current Date'!A:A,D199,
'YearA-AppDetails Current Date'!F:F,E199,
'YearA-AppDetails Current Date'!E:E,--F199,
'YearA-AppDetails Current Date'!V:V,{"APRO","NODE"},
'YearA-AppDetails Current Date'!I:I,"WINTER"))), "")</f>
        <v/>
      </c>
      <c r="O199" s="74" t="str" cm="1">
        <f t="array" ref="O199">IFERROR(1/(1/SUM(COUNTIFS(
'YearA-AppDetails Current Date'!A:A,D199,
'YearA-AppDetails Current Date'!F:F,E199,
'YearA-AppDetails Current Date'!E:E,--F199,
'YearA-AppDetails Current Date'!T:T,{"CDMT","RQMT","WAIT"},
'YearA-AppDetails Current Date'!I:I,"WINTER"))), "")</f>
        <v/>
      </c>
      <c r="P199" s="74" t="str">
        <f>IFERROR(1/(1/COUNTIFS(
'YearA-AppDetails Current Date'!A:A,D199,
'YearA-AppDetails Current Date'!F:F,E199,
'YearA-AppDetails Current Date'!E:E,--F199,
'YearA-AppDetails Current Date'!Y:Y,"ENRO",
'YearA-AppDetails Current Date'!I:I,"WINTER")),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HC'!D:T,2,FALSE)),
N(VLOOKUP(D200&amp;F200,'Budgeted Projections Intl HC'!D:T,3,FALSE))
)/4)
),"")</f>
        <v/>
      </c>
      <c r="I200" s="73" t="str">
        <f>IFERROR(1/(1/COUNTIFS(
'YearA-AppDetails Current Date'!A:A,D200,
'YearA-AppDetails Current Date'!F:F,E200,
'YearA-AppDetails Current Date'!E:E,--F200,
'YearA-AppDetails Current Date'!I:I,"WINTER")), "")</f>
        <v/>
      </c>
      <c r="J200" s="74" t="str" cm="1">
        <f t="array" ref="J200">IFERROR(1/(1/SUM(COUNTIFS(
'YearA-AppDetails Current Date'!A:A,D200,
'YearA-AppDetails Current Date'!F:F,E200,
'YearA-AppDetails Current Date'!E:E,--F200,
'YearA-AppDetails Current Date'!O:O,{"ACLN","ACPT","COND"},
'YearA-AppDetails Current Date'!S:S,"&lt;&gt;ACLN",
'YearA-AppDetails Current Date'!S:S,"&lt;&gt;ACPT",
'YearA-AppDetails Current Date'!S:S,"&lt;&gt;COND",
'YearA-AppDetails Current Date'!I:I,"WINTER"))), "")</f>
        <v/>
      </c>
      <c r="K200" s="73" t="str">
        <f>IFERROR(1/(1/SUM(COUNTIFS(
'YearA-AppDetails Current Date'!A:A,D200,
'YearA-AppDetails Current Date'!F:F,E200,
'YearA-AppDetails Current Date'!E:E,--F200,
'YearA-AppDetails Current Date'!R:R,"&lt;&gt;"&amp;"",
'YearA-AppDetails Current Date'!I:I,"WINTER"))), "")</f>
        <v/>
      </c>
      <c r="L200" s="74" t="str" cm="1">
        <f t="array" ref="L200">IFERROR(1/(1/SUM(COUNTIFS(
'YearA-AppDetails Current Date'!A:A,D200,
'YearA-AppDetails Current Date'!F:F,E200,
'YearA-AppDetails Current Date'!E:E,--F200,
'YearA-AppDetails Current Date'!T:T,{"APEX","DENY","NTSL"},
'YearA-AppDetails Current Date'!I:I,"WINTER"))), "")</f>
        <v/>
      </c>
      <c r="M200" s="74" t="str" cm="1">
        <f t="array" ref="M200">IFERROR(1/(1/SUM(COUNTIFS(
'YearA-AppDetails Current Date'!A:A,D200,
'YearA-AppDetails Current Date'!F:F,E200,
'YearA-AppDetails Current Date'!E:E,--F200,
'YearA-AppDetails Current Date'!U:U,{"CCAN","DECL"},
'YearA-AppDetails Current Date'!I:I,"WINTER"))), "")</f>
        <v/>
      </c>
      <c r="N200" s="74" t="str" cm="1">
        <f t="array" ref="N200">IFERROR(1/(1/SUM(COUNTIFS(
'YearA-AppDetails Current Date'!A:A,D200,
'YearA-AppDetails Current Date'!F:F,E200,
'YearA-AppDetails Current Date'!E:E,--F200,
'YearA-AppDetails Current Date'!V:V,{"APRO","NODE"},
'YearA-AppDetails Current Date'!I:I,"WINTER"))), "")</f>
        <v/>
      </c>
      <c r="O200" s="74" t="str" cm="1">
        <f t="array" ref="O200">IFERROR(1/(1/SUM(COUNTIFS(
'YearA-AppDetails Current Date'!A:A,D200,
'YearA-AppDetails Current Date'!F:F,E200,
'YearA-AppDetails Current Date'!E:E,--F200,
'YearA-AppDetails Current Date'!T:T,{"CDMT","RQMT","WAIT"},
'YearA-AppDetails Current Date'!I:I,"WINTER"))), "")</f>
        <v/>
      </c>
      <c r="P200" s="74" t="str">
        <f>IFERROR(1/(1/COUNTIFS(
'YearA-AppDetails Current Date'!A:A,D200,
'YearA-AppDetails Current Date'!F:F,E200,
'YearA-AppDetails Current Date'!E:E,--F200,
'YearA-AppDetails Current Date'!Y:Y,"ENRO",
'YearA-AppDetails Current Date'!I:I,"WINTER")),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B18:B28"/>
    <mergeCell ref="A3:A33"/>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35" priority="5" operator="between">
      <formula>10</formula>
      <formula>100000000</formula>
    </cfRule>
    <cfRule type="cellIs" dxfId="34" priority="6" operator="between">
      <formula>1</formula>
      <formula>9</formula>
    </cfRule>
    <cfRule type="expression" dxfId="33" priority="7">
      <formula>AND(J3=0, J3&lt;&gt;"")</formula>
    </cfRule>
  </conditionalFormatting>
  <conditionalFormatting sqref="J29:J32">
    <cfRule type="cellIs" dxfId="32" priority="1" operator="between">
      <formula>10</formula>
      <formula>100000000</formula>
    </cfRule>
    <cfRule type="cellIs" dxfId="31" priority="2" operator="between">
      <formula>1</formula>
      <formula>9</formula>
    </cfRule>
    <cfRule type="expression" dxfId="30"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22A-176A-4640-9C12-A085C3363CFF}">
  <sheetPr codeName="Sheet7">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"Spring "&amp;'YearA-AppDetails Current Date'!$J$2+1</f>
        <v>Spring 1</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HC'!D:T,2,FALSE)),
N(VLOOKUP(D3&amp;F3,'Budgeted Projections Dom HC'!D:T,3,FALSE))
)/4)
),"")</f>
        <v/>
      </c>
      <c r="I3" s="73" t="str">
        <f>IFERROR(1/(1/COUNTIFS(
'YearA-AppDetails Current Date'!A:A,D3,
'YearA-AppDetails Current Date'!F:F,E3,
'YearA-AppDetails Current Date'!E:E,--F3,
'YearA-AppDetails Current Date'!I:I,"SPRING")), "")</f>
        <v/>
      </c>
      <c r="J3" s="74" t="str" cm="1">
        <f t="array" ref="J3">IFERROR(1/(1/SUM(COUNTIFS(
'YearA-AppDetails Current Date'!A:A,D3,
'YearA-AppDetails Current Date'!F:F,E3,
'YearA-AppDetails Current Date'!E:E,--F3,
'YearA-AppDetails Current Date'!O:O,{"ACLN","ACPT","COND"},
'YearA-AppDetails Current Date'!S:S,"&lt;&gt;ACLN",
'YearA-AppDetails Current Date'!S:S,"&lt;&gt;ACPT",
'YearA-AppDetails Current Date'!S:S,"&lt;&gt;COND",
'YearA-AppDetails Current Date'!I:I,"SPRING"))), "")</f>
        <v/>
      </c>
      <c r="K3" s="73" t="str">
        <f>IFERROR(1/(1/SUM(COUNTIFS(
'YearA-AppDetails Current Date'!A:A,D3,
'YearA-AppDetails Current Date'!F:F,E3,
'YearA-AppDetails Current Date'!E:E,--F3,
'YearA-AppDetails Current Date'!R:R,"&lt;&gt;"&amp;"",
'YearA-AppDetails Current Date'!I:I,"SPRING"))), "")</f>
        <v/>
      </c>
      <c r="L3" s="74" t="str" cm="1">
        <f t="array" ref="L3">IFERROR(1/(1/SUM(COUNTIFS(
'YearA-AppDetails Current Date'!A:A,D3,
'YearA-AppDetails Current Date'!F:F,E3,
'YearA-AppDetails Current Date'!E:E,--F3,
'YearA-AppDetails Current Date'!T:T,{"APEX","DENY","NTSL"},
'YearA-AppDetails Current Date'!I:I,"SPRING"))), "")</f>
        <v/>
      </c>
      <c r="M3" s="74" t="str" cm="1">
        <f t="array" ref="M3">IFERROR(1/(1/SUM(COUNTIFS(
'YearA-AppDetails Current Date'!A:A,D3,
'YearA-AppDetails Current Date'!F:F,E3,
'YearA-AppDetails Current Date'!E:E,--F3,
'YearA-AppDetails Current Date'!U:U,{"CCAN","DECL"},
'YearA-AppDetails Current Date'!I:I,"SPRING"))), "")</f>
        <v/>
      </c>
      <c r="N3" s="74" t="str" cm="1">
        <f t="array" ref="N3">IFERROR(1/(1/SUM(COUNTIFS(
'YearA-AppDetails Current Date'!A:A,D3,
'YearA-AppDetails Current Date'!F:F,E3,
'YearA-AppDetails Current Date'!E:E,--F3,
'YearA-AppDetails Current Date'!V:V,{"APRO","NODE"},
'YearA-AppDetails Current Date'!I:I,"SPRING"))), "")</f>
        <v/>
      </c>
      <c r="O3" s="74" t="str" cm="1">
        <f t="array" ref="O3">IFERROR(1/(1/SUM(COUNTIFS(
'YearA-AppDetails Current Date'!A:A,D3,
'YearA-AppDetails Current Date'!F:F,E3,
'YearA-AppDetails Current Date'!E:E,--F3,
'YearA-AppDetails Current Date'!T:T,{"CDMT","RQMT","WAIT"},
'YearA-AppDetails Current Date'!I:I,"SPRING"))), "")</f>
        <v/>
      </c>
      <c r="P3" s="74" t="str">
        <f>IFERROR(1/(1/COUNTIFS(
'YearA-AppDetails Current Date'!A:A,D3,
'YearA-AppDetails Current Date'!F:F,E3,
'YearA-AppDetails Current Date'!E:E,--F3,
'YearA-AppDetails Current Date'!Y:Y,"ENRO",
'YearA-AppDetails Current Date'!I:I,"SPRING")), "")</f>
        <v/>
      </c>
      <c r="Q3" s="3" t="str">
        <f>IFERROR(P3/J3,"")</f>
        <v/>
      </c>
    </row>
    <row r="4" spans="1:17" ht="15.75" customHeight="1" x14ac:dyDescent="0.25">
      <c r="A4" s="170"/>
      <c r="B4" s="122"/>
      <c r="C4" s="125"/>
      <c r="D4" s="2" t="s">
        <v>47</v>
      </c>
      <c r="E4" s="2" t="s">
        <v>43</v>
      </c>
      <c r="F4" s="31">
        <v>1</v>
      </c>
      <c r="G4" s="140"/>
      <c r="H4" s="73" t="str">
        <f>IFERROR(1/(1/(
SUM(
N(VLOOKUP(D4&amp;F4,'Budgeted Projections Intl HC'!D:T,2,FALSE)),
N(VLOOKUP(D4&amp;F4,'Budgeted Projections Intl HC'!D:T,3,FALSE))
)/4)
),"")</f>
        <v/>
      </c>
      <c r="I4" s="73" t="str">
        <f>IFERROR(1/(1/COUNTIFS(
'YearA-AppDetails Current Date'!A:A,D4,
'YearA-AppDetails Current Date'!F:F,E4,
'YearA-AppDetails Current Date'!E:E,--F4,
'YearA-AppDetails Current Date'!I:I,"SPRING")), "")</f>
        <v/>
      </c>
      <c r="J4" s="74" t="str" cm="1">
        <f t="array" ref="J4">IFERROR(1/(1/SUM(COUNTIFS(
'YearA-AppDetails Current Date'!A:A,D4,
'YearA-AppDetails Current Date'!F:F,E4,
'YearA-AppDetails Current Date'!E:E,--F4,
'YearA-AppDetails Current Date'!O:O,{"ACLN","ACPT","COND"},
'YearA-AppDetails Current Date'!S:S,"&lt;&gt;ACLN",
'YearA-AppDetails Current Date'!S:S,"&lt;&gt;ACPT",
'YearA-AppDetails Current Date'!S:S,"&lt;&gt;COND",
'YearA-AppDetails Current Date'!I:I,"SPRING"))), "")</f>
        <v/>
      </c>
      <c r="K4" s="73" t="str">
        <f>IFERROR(1/(1/SUM(COUNTIFS(
'YearA-AppDetails Current Date'!A:A,D4,
'YearA-AppDetails Current Date'!F:F,E4,
'YearA-AppDetails Current Date'!E:E,--F4,
'YearA-AppDetails Current Date'!R:R,"&lt;&gt;"&amp;"",
'YearA-AppDetails Current Date'!I:I,"SPRING"))), "")</f>
        <v/>
      </c>
      <c r="L4" s="74" t="str" cm="1">
        <f t="array" ref="L4">IFERROR(1/(1/SUM(COUNTIFS(
'YearA-AppDetails Current Date'!A:A,D4,
'YearA-AppDetails Current Date'!F:F,E4,
'YearA-AppDetails Current Date'!E:E,--F4,
'YearA-AppDetails Current Date'!T:T,{"APEX","DENY","NTSL"},
'YearA-AppDetails Current Date'!I:I,"SPRING"))), "")</f>
        <v/>
      </c>
      <c r="M4" s="74" t="str" cm="1">
        <f t="array" ref="M4">IFERROR(1/(1/SUM(COUNTIFS(
'YearA-AppDetails Current Date'!A:A,D4,
'YearA-AppDetails Current Date'!F:F,E4,
'YearA-AppDetails Current Date'!E:E,--F4,
'YearA-AppDetails Current Date'!U:U,{"CCAN","DECL"},
'YearA-AppDetails Current Date'!I:I,"SPRING"))), "")</f>
        <v/>
      </c>
      <c r="N4" s="74" t="str" cm="1">
        <f t="array" ref="N4">IFERROR(1/(1/SUM(COUNTIFS(
'YearA-AppDetails Current Date'!A:A,D4,
'YearA-AppDetails Current Date'!F:F,E4,
'YearA-AppDetails Current Date'!E:E,--F4,
'YearA-AppDetails Current Date'!V:V,{"APRO","NODE"},
'YearA-AppDetails Current Date'!I:I,"SPRING"))), "")</f>
        <v/>
      </c>
      <c r="O4" s="74" t="str" cm="1">
        <f t="array" ref="O4">IFERROR(1/(1/SUM(COUNTIFS(
'YearA-AppDetails Current Date'!A:A,D4,
'YearA-AppDetails Current Date'!F:F,E4,
'YearA-AppDetails Current Date'!E:E,--F4,
'YearA-AppDetails Current Date'!T:T,{"CDMT","RQMT","WAIT"},
'YearA-AppDetails Current Date'!I:I,"SPRING"))), "")</f>
        <v/>
      </c>
      <c r="P4" s="74" t="str">
        <f>IFERROR(1/(1/COUNTIFS(
'YearA-AppDetails Current Date'!A:A,D4,
'YearA-AppDetails Current Date'!F:F,E4,
'YearA-AppDetails Current Date'!E:E,--F4,
'YearA-AppDetails Current Date'!Y:Y,"ENRO",
'YearA-AppDetails Current Date'!I:I,"SPRING")),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HC'!D:T,2,FALSE)),
N(VLOOKUP(D5&amp;F5,'Budgeted Projections Dom HC'!D:T,3,FALSE))
)/4)
),"")</f>
        <v/>
      </c>
      <c r="I5" s="73" t="str">
        <f>IFERROR(1/(1/COUNTIFS(
'YearA-AppDetails Current Date'!A:A,D5,
'YearA-AppDetails Current Date'!F:F,E5,
'YearA-AppDetails Current Date'!E:E,--F5,
'YearA-AppDetails Current Date'!I:I,"SPRING")), "")</f>
        <v/>
      </c>
      <c r="J5" s="74" t="str" cm="1">
        <f t="array" ref="J5">IFERROR(1/(1/SUM(COUNTIFS(
'YearA-AppDetails Current Date'!A:A,D5,
'YearA-AppDetails Current Date'!F:F,E5,
'YearA-AppDetails Current Date'!E:E,--F5,
'YearA-AppDetails Current Date'!O:O,{"ACLN","ACPT","COND"},
'YearA-AppDetails Current Date'!S:S,"&lt;&gt;ACLN",
'YearA-AppDetails Current Date'!S:S,"&lt;&gt;ACPT",
'YearA-AppDetails Current Date'!S:S,"&lt;&gt;COND",
'YearA-AppDetails Current Date'!I:I,"SPRING"))), "")</f>
        <v/>
      </c>
      <c r="K5" s="73" t="str">
        <f>IFERROR(1/(1/SUM(COUNTIFS(
'YearA-AppDetails Current Date'!A:A,D5,
'YearA-AppDetails Current Date'!F:F,E5,
'YearA-AppDetails Current Date'!E:E,--F5,
'YearA-AppDetails Current Date'!R:R,"&lt;&gt;"&amp;"",
'YearA-AppDetails Current Date'!I:I,"SPRING"))), "")</f>
        <v/>
      </c>
      <c r="L5" s="74" t="str" cm="1">
        <f t="array" ref="L5">IFERROR(1/(1/SUM(COUNTIFS(
'YearA-AppDetails Current Date'!A:A,D5,
'YearA-AppDetails Current Date'!F:F,E5,
'YearA-AppDetails Current Date'!E:E,--F5,
'YearA-AppDetails Current Date'!T:T,{"APEX","DENY","NTSL"},
'YearA-AppDetails Current Date'!I:I,"SPRING"))), "")</f>
        <v/>
      </c>
      <c r="M5" s="74" t="str" cm="1">
        <f t="array" ref="M5">IFERROR(1/(1/SUM(COUNTIFS(
'YearA-AppDetails Current Date'!A:A,D5,
'YearA-AppDetails Current Date'!F:F,E5,
'YearA-AppDetails Current Date'!E:E,--F5,
'YearA-AppDetails Current Date'!U:U,{"CCAN","DECL"},
'YearA-AppDetails Current Date'!I:I,"SPRING"))), "")</f>
        <v/>
      </c>
      <c r="N5" s="74" t="str" cm="1">
        <f t="array" ref="N5">IFERROR(1/(1/SUM(COUNTIFS(
'YearA-AppDetails Current Date'!A:A,D5,
'YearA-AppDetails Current Date'!F:F,E5,
'YearA-AppDetails Current Date'!E:E,--F5,
'YearA-AppDetails Current Date'!V:V,{"APRO","NODE"},
'YearA-AppDetails Current Date'!I:I,"SPRING"))), "")</f>
        <v/>
      </c>
      <c r="O5" s="74" t="str" cm="1">
        <f t="array" ref="O5">IFERROR(1/(1/SUM(COUNTIFS(
'YearA-AppDetails Current Date'!A:A,D5,
'YearA-AppDetails Current Date'!F:F,E5,
'YearA-AppDetails Current Date'!E:E,--F5,
'YearA-AppDetails Current Date'!T:T,{"CDMT","RQMT","WAIT"},
'YearA-AppDetails Current Date'!I:I,"SPRING"))), "")</f>
        <v/>
      </c>
      <c r="P5" s="74" t="str">
        <f>IFERROR(1/(1/COUNTIFS(
'YearA-AppDetails Current Date'!A:A,D5,
'YearA-AppDetails Current Date'!F:F,E5,
'YearA-AppDetails Current Date'!E:E,--F5,
'YearA-AppDetails Current Date'!Y:Y,"ENRO",
'YearA-AppDetails Current Date'!I:I,"SPRING")), "")</f>
        <v/>
      </c>
      <c r="Q5" s="3" t="str">
        <f t="shared" si="0"/>
        <v/>
      </c>
    </row>
    <row r="6" spans="1:17" ht="15.75" customHeight="1" x14ac:dyDescent="0.25">
      <c r="A6" s="170"/>
      <c r="B6" s="122"/>
      <c r="C6" s="125"/>
      <c r="D6" s="2" t="s">
        <v>50</v>
      </c>
      <c r="E6" s="2" t="s">
        <v>43</v>
      </c>
      <c r="F6" s="31">
        <v>1</v>
      </c>
      <c r="G6" s="140"/>
      <c r="H6" s="73" t="str">
        <f>IFERROR(1/(1/(
SUM(
N(VLOOKUP(D6&amp;F6,'Budgeted Projections Intl HC'!D:T,2,FALSE)),
N(VLOOKUP(D6&amp;F6,'Budgeted Projections Intl HC'!D:T,3,FALSE))
)/4)
),"")</f>
        <v/>
      </c>
      <c r="I6" s="73" t="str">
        <f>IFERROR(1/(1/COUNTIFS(
'YearA-AppDetails Current Date'!A:A,D6,
'YearA-AppDetails Current Date'!F:F,E6,
'YearA-AppDetails Current Date'!E:E,--F6,
'YearA-AppDetails Current Date'!I:I,"SPRING")), "")</f>
        <v/>
      </c>
      <c r="J6" s="74" t="str" cm="1">
        <f t="array" ref="J6">IFERROR(1/(1/SUM(COUNTIFS(
'YearA-AppDetails Current Date'!A:A,D6,
'YearA-AppDetails Current Date'!F:F,E6,
'YearA-AppDetails Current Date'!E:E,--F6,
'YearA-AppDetails Current Date'!O:O,{"ACLN","ACPT","COND"},
'YearA-AppDetails Current Date'!S:S,"&lt;&gt;ACLN",
'YearA-AppDetails Current Date'!S:S,"&lt;&gt;ACPT",
'YearA-AppDetails Current Date'!S:S,"&lt;&gt;COND",
'YearA-AppDetails Current Date'!I:I,"SPRING"))), "")</f>
        <v/>
      </c>
      <c r="K6" s="73" t="str">
        <f>IFERROR(1/(1/SUM(COUNTIFS(
'YearA-AppDetails Current Date'!A:A,D6,
'YearA-AppDetails Current Date'!F:F,E6,
'YearA-AppDetails Current Date'!E:E,--F6,
'YearA-AppDetails Current Date'!R:R,"&lt;&gt;"&amp;"",
'YearA-AppDetails Current Date'!I:I,"SPRING"))), "")</f>
        <v/>
      </c>
      <c r="L6" s="74" t="str" cm="1">
        <f t="array" ref="L6">IFERROR(1/(1/SUM(COUNTIFS(
'YearA-AppDetails Current Date'!A:A,D6,
'YearA-AppDetails Current Date'!F:F,E6,
'YearA-AppDetails Current Date'!E:E,--F6,
'YearA-AppDetails Current Date'!T:T,{"APEX","DENY","NTSL"},
'YearA-AppDetails Current Date'!I:I,"SPRING"))), "")</f>
        <v/>
      </c>
      <c r="M6" s="74" t="str" cm="1">
        <f t="array" ref="M6">IFERROR(1/(1/SUM(COUNTIFS(
'YearA-AppDetails Current Date'!A:A,D6,
'YearA-AppDetails Current Date'!F:F,E6,
'YearA-AppDetails Current Date'!E:E,--F6,
'YearA-AppDetails Current Date'!U:U,{"CCAN","DECL"},
'YearA-AppDetails Current Date'!I:I,"SPRING"))), "")</f>
        <v/>
      </c>
      <c r="N6" s="74" t="str" cm="1">
        <f t="array" ref="N6">IFERROR(1/(1/SUM(COUNTIFS(
'YearA-AppDetails Current Date'!A:A,D6,
'YearA-AppDetails Current Date'!F:F,E6,
'YearA-AppDetails Current Date'!E:E,--F6,
'YearA-AppDetails Current Date'!V:V,{"APRO","NODE"},
'YearA-AppDetails Current Date'!I:I,"SPRING"))), "")</f>
        <v/>
      </c>
      <c r="O6" s="74" t="str" cm="1">
        <f t="array" ref="O6">IFERROR(1/(1/SUM(COUNTIFS(
'YearA-AppDetails Current Date'!A:A,D6,
'YearA-AppDetails Current Date'!F:F,E6,
'YearA-AppDetails Current Date'!E:E,--F6,
'YearA-AppDetails Current Date'!T:T,{"CDMT","RQMT","WAIT"},
'YearA-AppDetails Current Date'!I:I,"SPRING"))), "")</f>
        <v/>
      </c>
      <c r="P6" s="74" t="str">
        <f>IFERROR(1/(1/COUNTIFS(
'YearA-AppDetails Current Date'!A:A,D6,
'YearA-AppDetails Current Date'!F:F,E6,
'YearA-AppDetails Current Date'!E:E,--F6,
'YearA-AppDetails Current Date'!Y:Y,"ENRO",
'YearA-AppDetails Current Date'!I:I,"SPRING")),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HC'!D:T,8,FALSE)),
N(VLOOKUP(D7&amp;F7,'Budgeted Projections Dom HC'!D:T,9,FALSE))
)
),"")</f>
        <v/>
      </c>
      <c r="I7" s="73" t="str">
        <f>IFERROR(1/(1/COUNTIFS(
'YearA-AppDetails Current Date'!A:A,D7,
'YearA-AppDetails Current Date'!F:F,E7,
'YearA-AppDetails Current Date'!E:E,--F7,
'YearA-AppDetails Current Date'!I:I,"SPRING")), "")</f>
        <v/>
      </c>
      <c r="J7" s="74" t="str" cm="1">
        <f t="array" ref="J7">IFERROR(1/(1/SUM(COUNTIFS(
'YearA-AppDetails Current Date'!A:A,D7,
'YearA-AppDetails Current Date'!F:F,E7,
'YearA-AppDetails Current Date'!E:E,--F7,
'YearA-AppDetails Current Date'!O:O,{"ACLN","ACPT","COND"},
'YearA-AppDetails Current Date'!S:S,"&lt;&gt;ACLN",
'YearA-AppDetails Current Date'!S:S,"&lt;&gt;ACPT",
'YearA-AppDetails Current Date'!S:S,"&lt;&gt;COND",
'YearA-AppDetails Current Date'!I:I,"SPRING"))), "")</f>
        <v/>
      </c>
      <c r="K7" s="73" t="str">
        <f>IFERROR(1/(1/SUM(COUNTIFS(
'YearA-AppDetails Current Date'!A:A,D7,
'YearA-AppDetails Current Date'!F:F,E7,
'YearA-AppDetails Current Date'!E:E,--F7,
'YearA-AppDetails Current Date'!R:R,"&lt;&gt;"&amp;"",
'YearA-AppDetails Current Date'!I:I,"SPRING"))), "")</f>
        <v/>
      </c>
      <c r="L7" s="74" t="str" cm="1">
        <f t="array" ref="L7">IFERROR(1/(1/SUM(COUNTIFS(
'YearA-AppDetails Current Date'!A:A,D7,
'YearA-AppDetails Current Date'!F:F,E7,
'YearA-AppDetails Current Date'!E:E,--F7,
'YearA-AppDetails Current Date'!T:T,{"APEX","DENY","NTSL"},
'YearA-AppDetails Current Date'!I:I,"SPRING"))), "")</f>
        <v/>
      </c>
      <c r="M7" s="74" t="str" cm="1">
        <f t="array" ref="M7">IFERROR(1/(1/SUM(COUNTIFS(
'YearA-AppDetails Current Date'!A:A,D7,
'YearA-AppDetails Current Date'!F:F,E7,
'YearA-AppDetails Current Date'!E:E,--F7,
'YearA-AppDetails Current Date'!U:U,{"CCAN","DECL"},
'YearA-AppDetails Current Date'!I:I,"SPRING"))), "")</f>
        <v/>
      </c>
      <c r="N7" s="74" t="str" cm="1">
        <f t="array" ref="N7">IFERROR(1/(1/SUM(COUNTIFS(
'YearA-AppDetails Current Date'!A:A,D7,
'YearA-AppDetails Current Date'!F:F,E7,
'YearA-AppDetails Current Date'!E:E,--F7,
'YearA-AppDetails Current Date'!V:V,{"APRO","NODE"},
'YearA-AppDetails Current Date'!I:I,"SPRING"))), "")</f>
        <v/>
      </c>
      <c r="O7" s="74" t="str" cm="1">
        <f t="array" ref="O7">IFERROR(1/(1/SUM(COUNTIFS(
'YearA-AppDetails Current Date'!A:A,D7,
'YearA-AppDetails Current Date'!F:F,E7,
'YearA-AppDetails Current Date'!E:E,--F7,
'YearA-AppDetails Current Date'!T:T,{"CDMT","RQMT","WAIT"},
'YearA-AppDetails Current Date'!I:I,"SPRING"))), "")</f>
        <v/>
      </c>
      <c r="P7" s="74" t="str">
        <f>IFERROR(1/(1/COUNTIFS(
'YearA-AppDetails Current Date'!A:A,D7,
'YearA-AppDetails Current Date'!F:F,E7,
'YearA-AppDetails Current Date'!E:E,--F7,
'YearA-AppDetails Current Date'!Y:Y,"ENRO",
'YearA-AppDetails Current Date'!I:I,"SPRING")), "")</f>
        <v/>
      </c>
      <c r="Q7" s="3" t="str">
        <f t="shared" si="0"/>
        <v/>
      </c>
    </row>
    <row r="8" spans="1:17" ht="15.75" customHeight="1" x14ac:dyDescent="0.25">
      <c r="A8" s="170"/>
      <c r="B8" s="122"/>
      <c r="C8" s="125"/>
      <c r="D8" s="23" t="s">
        <v>41</v>
      </c>
      <c r="E8" s="2" t="s">
        <v>43</v>
      </c>
      <c r="F8" s="31">
        <v>1</v>
      </c>
      <c r="G8" s="140"/>
      <c r="H8" s="73" t="str">
        <f>IFERROR(1/(1/
SUM(
N(VLOOKUP(D8&amp;F8,'Budgeted Projections Intl HC'!D:T,8,FALSE)),
N(VLOOKUP(D8&amp;F8,'Budgeted Projections Intl HC'!D:T,9,FALSE))
)
),"")</f>
        <v/>
      </c>
      <c r="I8" s="73" t="str">
        <f>IFERROR(1/(1/COUNTIFS(
'YearA-AppDetails Current Date'!A:A,D8,
'YearA-AppDetails Current Date'!F:F,E8,
'YearA-AppDetails Current Date'!E:E,--F8,
'YearA-AppDetails Current Date'!I:I,"SPRING")), "")</f>
        <v/>
      </c>
      <c r="J8" s="74" t="str" cm="1">
        <f t="array" ref="J8">IFERROR(1/(1/SUM(COUNTIFS(
'YearA-AppDetails Current Date'!A:A,D8,
'YearA-AppDetails Current Date'!F:F,E8,
'YearA-AppDetails Current Date'!E:E,--F8,
'YearA-AppDetails Current Date'!O:O,{"ACLN","ACPT","COND"},
'YearA-AppDetails Current Date'!S:S,"&lt;&gt;ACLN",
'YearA-AppDetails Current Date'!S:S,"&lt;&gt;ACPT",
'YearA-AppDetails Current Date'!S:S,"&lt;&gt;COND",
'YearA-AppDetails Current Date'!I:I,"SPRING"))), "")</f>
        <v/>
      </c>
      <c r="K8" s="73" t="str">
        <f>IFERROR(1/(1/SUM(COUNTIFS(
'YearA-AppDetails Current Date'!A:A,D8,
'YearA-AppDetails Current Date'!F:F,E8,
'YearA-AppDetails Current Date'!E:E,--F8,
'YearA-AppDetails Current Date'!R:R,"&lt;&gt;"&amp;"",
'YearA-AppDetails Current Date'!I:I,"SPRING"))), "")</f>
        <v/>
      </c>
      <c r="L8" s="74" t="str" cm="1">
        <f t="array" ref="L8">IFERROR(1/(1/SUM(COUNTIFS(
'YearA-AppDetails Current Date'!A:A,D8,
'YearA-AppDetails Current Date'!F:F,E8,
'YearA-AppDetails Current Date'!E:E,--F8,
'YearA-AppDetails Current Date'!T:T,{"APEX","DENY","NTSL"},
'YearA-AppDetails Current Date'!I:I,"SPRING"))), "")</f>
        <v/>
      </c>
      <c r="M8" s="74" t="str" cm="1">
        <f t="array" ref="M8">IFERROR(1/(1/SUM(COUNTIFS(
'YearA-AppDetails Current Date'!A:A,D8,
'YearA-AppDetails Current Date'!F:F,E8,
'YearA-AppDetails Current Date'!E:E,--F8,
'YearA-AppDetails Current Date'!U:U,{"CCAN","DECL"},
'YearA-AppDetails Current Date'!I:I,"SPRING"))), "")</f>
        <v/>
      </c>
      <c r="N8" s="74" t="str" cm="1">
        <f t="array" ref="N8">IFERROR(1/(1/SUM(COUNTIFS(
'YearA-AppDetails Current Date'!A:A,D8,
'YearA-AppDetails Current Date'!F:F,E8,
'YearA-AppDetails Current Date'!E:E,--F8,
'YearA-AppDetails Current Date'!V:V,{"APRO","NODE"},
'YearA-AppDetails Current Date'!I:I,"SPRING"))), "")</f>
        <v/>
      </c>
      <c r="O8" s="74" t="str" cm="1">
        <f t="array" ref="O8">IFERROR(1/(1/SUM(COUNTIFS(
'YearA-AppDetails Current Date'!A:A,D8,
'YearA-AppDetails Current Date'!F:F,E8,
'YearA-AppDetails Current Date'!E:E,--F8,
'YearA-AppDetails Current Date'!T:T,{"CDMT","RQMT","WAIT"},
'YearA-AppDetails Current Date'!I:I,"SPRING"))), "")</f>
        <v/>
      </c>
      <c r="P8" s="74" t="str">
        <f>IFERROR(1/(1/COUNTIFS(
'YearA-AppDetails Current Date'!A:A,D8,
'YearA-AppDetails Current Date'!F:F,E8,
'YearA-AppDetails Current Date'!E:E,--F8,
'YearA-AppDetails Current Date'!Y:Y,"ENRO",
'YearA-AppDetails Current Date'!I:I,"SPRING")),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HC'!D:T,8,FALSE)),
N(VLOOKUP(D9&amp;F9,'Budgeted Projections Dom HC'!D:T,9,FALSE))
)
),"")</f>
        <v/>
      </c>
      <c r="I9" s="73" t="str">
        <f>IFERROR(1/(1/COUNTIFS(
'YearA-AppDetails Current Date'!A:A,D9,
'YearA-AppDetails Current Date'!F:F,E9,
'YearA-AppDetails Current Date'!E:E,--F9,
'YearA-AppDetails Current Date'!I:I,"SPRING")), "")</f>
        <v/>
      </c>
      <c r="J9" s="74" t="str" cm="1">
        <f t="array" ref="J9">IFERROR(1/(1/SUM(COUNTIFS(
'YearA-AppDetails Current Date'!A:A,D9,
'YearA-AppDetails Current Date'!F:F,E9,
'YearA-AppDetails Current Date'!E:E,--F9,
'YearA-AppDetails Current Date'!O:O,{"ACLN","ACPT","COND"},
'YearA-AppDetails Current Date'!S:S,"&lt;&gt;ACLN",
'YearA-AppDetails Current Date'!S:S,"&lt;&gt;ACPT",
'YearA-AppDetails Current Date'!S:S,"&lt;&gt;COND",
'YearA-AppDetails Current Date'!I:I,"SPRING"))), "")</f>
        <v/>
      </c>
      <c r="K9" s="73" t="str">
        <f>IFERROR(1/(1/SUM(COUNTIFS(
'YearA-AppDetails Current Date'!A:A,D9,
'YearA-AppDetails Current Date'!F:F,E9,
'YearA-AppDetails Current Date'!E:E,--F9,
'YearA-AppDetails Current Date'!R:R,"&lt;&gt;"&amp;"",
'YearA-AppDetails Current Date'!I:I,"SPRING"))), "")</f>
        <v/>
      </c>
      <c r="L9" s="74" t="str" cm="1">
        <f t="array" ref="L9">IFERROR(1/(1/SUM(COUNTIFS(
'YearA-AppDetails Current Date'!A:A,D9,
'YearA-AppDetails Current Date'!F:F,E9,
'YearA-AppDetails Current Date'!E:E,--F9,
'YearA-AppDetails Current Date'!T:T,{"APEX","DENY","NTSL"},
'YearA-AppDetails Current Date'!I:I,"SPRING"))), "")</f>
        <v/>
      </c>
      <c r="M9" s="74" t="str" cm="1">
        <f t="array" ref="M9">IFERROR(1/(1/SUM(COUNTIFS(
'YearA-AppDetails Current Date'!A:A,D9,
'YearA-AppDetails Current Date'!F:F,E9,
'YearA-AppDetails Current Date'!E:E,--F9,
'YearA-AppDetails Current Date'!U:U,{"CCAN","DECL"},
'YearA-AppDetails Current Date'!I:I,"SPRING"))), "")</f>
        <v/>
      </c>
      <c r="N9" s="74" t="str" cm="1">
        <f t="array" ref="N9">IFERROR(1/(1/SUM(COUNTIFS(
'YearA-AppDetails Current Date'!A:A,D9,
'YearA-AppDetails Current Date'!F:F,E9,
'YearA-AppDetails Current Date'!E:E,--F9,
'YearA-AppDetails Current Date'!V:V,{"APRO","NODE"},
'YearA-AppDetails Current Date'!I:I,"SPRING"))), "")</f>
        <v/>
      </c>
      <c r="O9" s="74" t="str" cm="1">
        <f t="array" ref="O9">IFERROR(1/(1/SUM(COUNTIFS(
'YearA-AppDetails Current Date'!A:A,D9,
'YearA-AppDetails Current Date'!F:F,E9,
'YearA-AppDetails Current Date'!E:E,--F9,
'YearA-AppDetails Current Date'!T:T,{"CDMT","RQMT","WAIT"},
'YearA-AppDetails Current Date'!I:I,"SPRING"))), "")</f>
        <v/>
      </c>
      <c r="P9" s="74" t="str">
        <f>IFERROR(1/(1/COUNTIFS(
'YearA-AppDetails Current Date'!A:A,D9,
'YearA-AppDetails Current Date'!F:F,E9,
'YearA-AppDetails Current Date'!E:E,--F9,
'YearA-AppDetails Current Date'!Y:Y,"ENRO",
'YearA-AppDetails Current Date'!I:I,"SPRING")),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HC'!D:T,8,FALSE)),
N(VLOOKUP(D10&amp;F10,'Budgeted Projections Intl HC'!D:T,9,FALSE))
)
),"")</f>
        <v/>
      </c>
      <c r="I10" s="73" t="str">
        <f>IFERROR(1/(1/COUNTIFS(
'YearA-AppDetails Current Date'!A:A,D10,
'YearA-AppDetails Current Date'!F:F,E10,
'YearA-AppDetails Current Date'!E:E,--F10,
'YearA-AppDetails Current Date'!I:I,"SPRING")), "")</f>
        <v/>
      </c>
      <c r="J10" s="74" t="str" cm="1">
        <f t="array" ref="J10">IFERROR(1/(1/SUM(COUNTIFS(
'YearA-AppDetails Current Date'!A:A,D10,
'YearA-AppDetails Current Date'!F:F,E10,
'YearA-AppDetails Current Date'!E:E,--F10,
'YearA-AppDetails Current Date'!O:O,{"ACLN","ACPT","COND"},
'YearA-AppDetails Current Date'!S:S,"&lt;&gt;ACLN",
'YearA-AppDetails Current Date'!S:S,"&lt;&gt;ACPT",
'YearA-AppDetails Current Date'!S:S,"&lt;&gt;COND",
'YearA-AppDetails Current Date'!I:I,"SPRING"))), "")</f>
        <v/>
      </c>
      <c r="K10" s="73" t="str">
        <f>IFERROR(1/(1/SUM(COUNTIFS(
'YearA-AppDetails Current Date'!A:A,D10,
'YearA-AppDetails Current Date'!F:F,E10,
'YearA-AppDetails Current Date'!E:E,--F10,
'YearA-AppDetails Current Date'!R:R,"&lt;&gt;"&amp;"",
'YearA-AppDetails Current Date'!I:I,"SPRING"))), "")</f>
        <v/>
      </c>
      <c r="L10" s="74" t="str" cm="1">
        <f t="array" ref="L10">IFERROR(1/(1/SUM(COUNTIFS(
'YearA-AppDetails Current Date'!A:A,D10,
'YearA-AppDetails Current Date'!F:F,E10,
'YearA-AppDetails Current Date'!E:E,--F10,
'YearA-AppDetails Current Date'!T:T,{"APEX","DENY","NTSL"},
'YearA-AppDetails Current Date'!I:I,"SPRING"))), "")</f>
        <v/>
      </c>
      <c r="M10" s="74" t="str" cm="1">
        <f t="array" ref="M10">IFERROR(1/(1/SUM(COUNTIFS(
'YearA-AppDetails Current Date'!A:A,D10,
'YearA-AppDetails Current Date'!F:F,E10,
'YearA-AppDetails Current Date'!E:E,--F10,
'YearA-AppDetails Current Date'!U:U,{"CCAN","DECL"},
'YearA-AppDetails Current Date'!I:I,"SPRING"))), "")</f>
        <v/>
      </c>
      <c r="N10" s="74" t="str" cm="1">
        <f t="array" ref="N10">IFERROR(1/(1/SUM(COUNTIFS(
'YearA-AppDetails Current Date'!A:A,D10,
'YearA-AppDetails Current Date'!F:F,E10,
'YearA-AppDetails Current Date'!E:E,--F10,
'YearA-AppDetails Current Date'!V:V,{"APRO","NODE"},
'YearA-AppDetails Current Date'!I:I,"SPRING"))), "")</f>
        <v/>
      </c>
      <c r="O10" s="74" t="str" cm="1">
        <f t="array" ref="O10">IFERROR(1/(1/SUM(COUNTIFS(
'YearA-AppDetails Current Date'!A:A,D10,
'YearA-AppDetails Current Date'!F:F,E10,
'YearA-AppDetails Current Date'!E:E,--F10,
'YearA-AppDetails Current Date'!T:T,{"CDMT","RQMT","WAIT"},
'YearA-AppDetails Current Date'!I:I,"SPRING"))), "")</f>
        <v/>
      </c>
      <c r="P10" s="74" t="str">
        <f>IFERROR(1/(1/COUNTIFS(
'YearA-AppDetails Current Date'!A:A,D10,
'YearA-AppDetails Current Date'!F:F,E10,
'YearA-AppDetails Current Date'!E:E,--F10,
'YearA-AppDetails Current Date'!Y:Y,"ENRO",
'YearA-AppDetails Current Date'!I:I,"SPRING")),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HC'!D:T,8,FALSE)),
N(VLOOKUP(D11&amp;F11,'Budgeted Projections Dom HC'!D:T,9,FALSE))
)
),"")</f>
        <v/>
      </c>
      <c r="I11" s="73" t="str">
        <f>IFERROR(1/(1/COUNTIFS(
'YearA-AppDetails Current Date'!A:A,D11,
'YearA-AppDetails Current Date'!F:F,E11,
'YearA-AppDetails Current Date'!E:E,--F11,
'YearA-AppDetails Current Date'!I:I,"SPRING")), "")</f>
        <v/>
      </c>
      <c r="J11" s="74" t="str" cm="1">
        <f t="array" ref="J11">IFERROR(1/(1/SUM(COUNTIFS(
'YearA-AppDetails Current Date'!A:A,D11,
'YearA-AppDetails Current Date'!F:F,E11,
'YearA-AppDetails Current Date'!E:E,--F11,
'YearA-AppDetails Current Date'!O:O,{"ACLN","ACPT","COND"},
'YearA-AppDetails Current Date'!S:S,"&lt;&gt;ACLN",
'YearA-AppDetails Current Date'!S:S,"&lt;&gt;ACPT",
'YearA-AppDetails Current Date'!S:S,"&lt;&gt;COND",
'YearA-AppDetails Current Date'!I:I,"SPRING"))), "")</f>
        <v/>
      </c>
      <c r="K11" s="73" t="str">
        <f>IFERROR(1/(1/SUM(COUNTIFS(
'YearA-AppDetails Current Date'!A:A,D11,
'YearA-AppDetails Current Date'!F:F,E11,
'YearA-AppDetails Current Date'!E:E,--F11,
'YearA-AppDetails Current Date'!R:R,"&lt;&gt;"&amp;"",
'YearA-AppDetails Current Date'!I:I,"SPRING"))), "")</f>
        <v/>
      </c>
      <c r="L11" s="74" t="str" cm="1">
        <f t="array" ref="L11">IFERROR(1/(1/SUM(COUNTIFS(
'YearA-AppDetails Current Date'!A:A,D11,
'YearA-AppDetails Current Date'!F:F,E11,
'YearA-AppDetails Current Date'!E:E,--F11,
'YearA-AppDetails Current Date'!T:T,{"APEX","DENY","NTSL"},
'YearA-AppDetails Current Date'!I:I,"SPRING"))), "")</f>
        <v/>
      </c>
      <c r="M11" s="74" t="str" cm="1">
        <f t="array" ref="M11">IFERROR(1/(1/SUM(COUNTIFS(
'YearA-AppDetails Current Date'!A:A,D11,
'YearA-AppDetails Current Date'!F:F,E11,
'YearA-AppDetails Current Date'!E:E,--F11,
'YearA-AppDetails Current Date'!U:U,{"CCAN","DECL"},
'YearA-AppDetails Current Date'!I:I,"SPRING"))), "")</f>
        <v/>
      </c>
      <c r="N11" s="74" t="str" cm="1">
        <f t="array" ref="N11">IFERROR(1/(1/SUM(COUNTIFS(
'YearA-AppDetails Current Date'!A:A,D11,
'YearA-AppDetails Current Date'!F:F,E11,
'YearA-AppDetails Current Date'!E:E,--F11,
'YearA-AppDetails Current Date'!V:V,{"APRO","NODE"},
'YearA-AppDetails Current Date'!I:I,"SPRING"))), "")</f>
        <v/>
      </c>
      <c r="O11" s="74" t="str" cm="1">
        <f t="array" ref="O11">IFERROR(1/(1/SUM(COUNTIFS(
'YearA-AppDetails Current Date'!A:A,D11,
'YearA-AppDetails Current Date'!F:F,E11,
'YearA-AppDetails Current Date'!E:E,--F11,
'YearA-AppDetails Current Date'!T:T,{"CDMT","RQMT","WAIT"},
'YearA-AppDetails Current Date'!I:I,"SPRING"))), "")</f>
        <v/>
      </c>
      <c r="P11" s="74" t="str">
        <f>IFERROR(1/(1/COUNTIFS(
'YearA-AppDetails Current Date'!A:A,D11,
'YearA-AppDetails Current Date'!F:F,E11,
'YearA-AppDetails Current Date'!E:E,--F11,
'YearA-AppDetails Current Date'!Y:Y,"ENRO",
'YearA-AppDetails Current Date'!I:I,"SPRING")),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HC'!D:T,8,FALSE)),
N(VLOOKUP(D12&amp;F12,'Budgeted Projections Intl HC'!D:T,9,FALSE))
)
),"")</f>
        <v/>
      </c>
      <c r="I12" s="73" t="str">
        <f>IFERROR(1/(1/COUNTIFS(
'YearA-AppDetails Current Date'!A:A,D12,
'YearA-AppDetails Current Date'!F:F,E12,
'YearA-AppDetails Current Date'!E:E,--F12,
'YearA-AppDetails Current Date'!I:I,"SPRING")), "")</f>
        <v/>
      </c>
      <c r="J12" s="74" t="str" cm="1">
        <f t="array" ref="J12">IFERROR(1/(1/SUM(COUNTIFS(
'YearA-AppDetails Current Date'!A:A,D12,
'YearA-AppDetails Current Date'!F:F,E12,
'YearA-AppDetails Current Date'!E:E,--F12,
'YearA-AppDetails Current Date'!O:O,{"ACLN","ACPT","COND"},
'YearA-AppDetails Current Date'!S:S,"&lt;&gt;ACLN",
'YearA-AppDetails Current Date'!S:S,"&lt;&gt;ACPT",
'YearA-AppDetails Current Date'!S:S,"&lt;&gt;COND",
'YearA-AppDetails Current Date'!I:I,"SPRING"))), "")</f>
        <v/>
      </c>
      <c r="K12" s="73" t="str">
        <f>IFERROR(1/(1/SUM(COUNTIFS(
'YearA-AppDetails Current Date'!A:A,D12,
'YearA-AppDetails Current Date'!F:F,E12,
'YearA-AppDetails Current Date'!E:E,--F12,
'YearA-AppDetails Current Date'!R:R,"&lt;&gt;"&amp;"",
'YearA-AppDetails Current Date'!I:I,"SPRING"))), "")</f>
        <v/>
      </c>
      <c r="L12" s="74" t="str" cm="1">
        <f t="array" ref="L12">IFERROR(1/(1/SUM(COUNTIFS(
'YearA-AppDetails Current Date'!A:A,D12,
'YearA-AppDetails Current Date'!F:F,E12,
'YearA-AppDetails Current Date'!E:E,--F12,
'YearA-AppDetails Current Date'!T:T,{"APEX","DENY","NTSL"},
'YearA-AppDetails Current Date'!I:I,"SPRING"))), "")</f>
        <v/>
      </c>
      <c r="M12" s="74" t="str" cm="1">
        <f t="array" ref="M12">IFERROR(1/(1/SUM(COUNTIFS(
'YearA-AppDetails Current Date'!A:A,D12,
'YearA-AppDetails Current Date'!F:F,E12,
'YearA-AppDetails Current Date'!E:E,--F12,
'YearA-AppDetails Current Date'!U:U,{"CCAN","DECL"},
'YearA-AppDetails Current Date'!I:I,"SPRING"))), "")</f>
        <v/>
      </c>
      <c r="N12" s="74" t="str" cm="1">
        <f t="array" ref="N12">IFERROR(1/(1/SUM(COUNTIFS(
'YearA-AppDetails Current Date'!A:A,D12,
'YearA-AppDetails Current Date'!F:F,E12,
'YearA-AppDetails Current Date'!E:E,--F12,
'YearA-AppDetails Current Date'!V:V,{"APRO","NODE"},
'YearA-AppDetails Current Date'!I:I,"SPRING"))), "")</f>
        <v/>
      </c>
      <c r="O12" s="74" t="str" cm="1">
        <f t="array" ref="O12">IFERROR(1/(1/SUM(COUNTIFS(
'YearA-AppDetails Current Date'!A:A,D12,
'YearA-AppDetails Current Date'!F:F,E12,
'YearA-AppDetails Current Date'!E:E,--F12,
'YearA-AppDetails Current Date'!T:T,{"CDMT","RQMT","WAIT"},
'YearA-AppDetails Current Date'!I:I,"SPRING"))), "")</f>
        <v/>
      </c>
      <c r="P12" s="74" t="str">
        <f>IFERROR(1/(1/COUNTIFS(
'YearA-AppDetails Current Date'!A:A,D12,
'YearA-AppDetails Current Date'!F:F,E12,
'YearA-AppDetails Current Date'!E:E,--F12,
'YearA-AppDetails Current Date'!Y:Y,"ENRO",
'YearA-AppDetails Current Date'!I:I,"SPRING")),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HC'!D:T,8,FALSE)),
N(VLOOKUP(D13&amp;F13,'Budgeted Projections Dom HC'!D:T,9,FALSE))
)
),"")</f>
        <v/>
      </c>
      <c r="I13" s="73" t="str">
        <f>IFERROR(1/(1/COUNTIFS(
'YearA-AppDetails Current Date'!A:A,D13,
'YearA-AppDetails Current Date'!F:F,E13,
'YearA-AppDetails Current Date'!E:E,--F13,
'YearA-AppDetails Current Date'!I:I,"SPRING")), "")</f>
        <v/>
      </c>
      <c r="J13" s="74" t="str" cm="1">
        <f t="array" ref="J13">IFERROR(1/(1/SUM(COUNTIFS(
'YearA-AppDetails Current Date'!A:A,D13,
'YearA-AppDetails Current Date'!F:F,E13,
'YearA-AppDetails Current Date'!E:E,--F13,
'YearA-AppDetails Current Date'!O:O,{"ACLN","ACPT","COND"},
'YearA-AppDetails Current Date'!S:S,"&lt;&gt;ACLN",
'YearA-AppDetails Current Date'!S:S,"&lt;&gt;ACPT",
'YearA-AppDetails Current Date'!S:S,"&lt;&gt;COND",
'YearA-AppDetails Current Date'!I:I,"SPRING"))), "")</f>
        <v/>
      </c>
      <c r="K13" s="73" t="str">
        <f>IFERROR(1/(1/SUM(COUNTIFS(
'YearA-AppDetails Current Date'!A:A,D13,
'YearA-AppDetails Current Date'!F:F,E13,
'YearA-AppDetails Current Date'!E:E,--F13,
'YearA-AppDetails Current Date'!R:R,"&lt;&gt;"&amp;"",
'YearA-AppDetails Current Date'!I:I,"SPRING"))), "")</f>
        <v/>
      </c>
      <c r="L13" s="74" t="str" cm="1">
        <f t="array" ref="L13">IFERROR(1/(1/SUM(COUNTIFS(
'YearA-AppDetails Current Date'!A:A,D13,
'YearA-AppDetails Current Date'!F:F,E13,
'YearA-AppDetails Current Date'!E:E,--F13,
'YearA-AppDetails Current Date'!T:T,{"APEX","DENY","NTSL"},
'YearA-AppDetails Current Date'!I:I,"SPRING"))), "")</f>
        <v/>
      </c>
      <c r="M13" s="74" t="str" cm="1">
        <f t="array" ref="M13">IFERROR(1/(1/SUM(COUNTIFS(
'YearA-AppDetails Current Date'!A:A,D13,
'YearA-AppDetails Current Date'!F:F,E13,
'YearA-AppDetails Current Date'!E:E,--F13,
'YearA-AppDetails Current Date'!U:U,{"CCAN","DECL"},
'YearA-AppDetails Current Date'!I:I,"SPRING"))), "")</f>
        <v/>
      </c>
      <c r="N13" s="74" t="str" cm="1">
        <f t="array" ref="N13">IFERROR(1/(1/SUM(COUNTIFS(
'YearA-AppDetails Current Date'!A:A,D13,
'YearA-AppDetails Current Date'!F:F,E13,
'YearA-AppDetails Current Date'!E:E,--F13,
'YearA-AppDetails Current Date'!V:V,{"APRO","NODE"},
'YearA-AppDetails Current Date'!I:I,"SPRING"))), "")</f>
        <v/>
      </c>
      <c r="O13" s="74" t="str" cm="1">
        <f t="array" ref="O13">IFERROR(1/(1/SUM(COUNTIFS(
'YearA-AppDetails Current Date'!A:A,D13,
'YearA-AppDetails Current Date'!F:F,E13,
'YearA-AppDetails Current Date'!E:E,--F13,
'YearA-AppDetails Current Date'!T:T,{"CDMT","RQMT","WAIT"},
'YearA-AppDetails Current Date'!I:I,"SPRING"))), "")</f>
        <v/>
      </c>
      <c r="P13" s="74" t="str">
        <f>IFERROR(1/(1/COUNTIFS(
'YearA-AppDetails Current Date'!A:A,D13,
'YearA-AppDetails Current Date'!F:F,E13,
'YearA-AppDetails Current Date'!E:E,--F13,
'YearA-AppDetails Current Date'!Y:Y,"ENRO",
'YearA-AppDetails Current Date'!I:I,"SPRING")),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HC'!D:T,8,FALSE)),
N(VLOOKUP(D14&amp;F14,'Budgeted Projections Intl HC'!D:T,9,FALSE))
)
),"")</f>
        <v/>
      </c>
      <c r="I14" s="73" t="str">
        <f>IFERROR(1/(1/COUNTIFS(
'YearA-AppDetails Current Date'!A:A,D14,
'YearA-AppDetails Current Date'!F:F,E14,
'YearA-AppDetails Current Date'!E:E,--F14,
'YearA-AppDetails Current Date'!I:I,"SPRING")), "")</f>
        <v/>
      </c>
      <c r="J14" s="74" t="str" cm="1">
        <f t="array" ref="J14">IFERROR(1/(1/SUM(COUNTIFS(
'YearA-AppDetails Current Date'!A:A,D14,
'YearA-AppDetails Current Date'!F:F,E14,
'YearA-AppDetails Current Date'!E:E,--F14,
'YearA-AppDetails Current Date'!O:O,{"ACLN","ACPT","COND"},
'YearA-AppDetails Current Date'!S:S,"&lt;&gt;ACLN",
'YearA-AppDetails Current Date'!S:S,"&lt;&gt;ACPT",
'YearA-AppDetails Current Date'!S:S,"&lt;&gt;COND",
'YearA-AppDetails Current Date'!I:I,"SPRING"))), "")</f>
        <v/>
      </c>
      <c r="K14" s="73" t="str">
        <f>IFERROR(1/(1/SUM(COUNTIFS(
'YearA-AppDetails Current Date'!A:A,D14,
'YearA-AppDetails Current Date'!F:F,E14,
'YearA-AppDetails Current Date'!E:E,--F14,
'YearA-AppDetails Current Date'!R:R,"&lt;&gt;"&amp;"",
'YearA-AppDetails Current Date'!I:I,"SPRING"))), "")</f>
        <v/>
      </c>
      <c r="L14" s="74" t="str" cm="1">
        <f t="array" ref="L14">IFERROR(1/(1/SUM(COUNTIFS(
'YearA-AppDetails Current Date'!A:A,D14,
'YearA-AppDetails Current Date'!F:F,E14,
'YearA-AppDetails Current Date'!E:E,--F14,
'YearA-AppDetails Current Date'!T:T,{"APEX","DENY","NTSL"},
'YearA-AppDetails Current Date'!I:I,"SPRING"))), "")</f>
        <v/>
      </c>
      <c r="M14" s="74" t="str" cm="1">
        <f t="array" ref="M14">IFERROR(1/(1/SUM(COUNTIFS(
'YearA-AppDetails Current Date'!A:A,D14,
'YearA-AppDetails Current Date'!F:F,E14,
'YearA-AppDetails Current Date'!E:E,--F14,
'YearA-AppDetails Current Date'!U:U,{"CCAN","DECL"},
'YearA-AppDetails Current Date'!I:I,"SPRING"))), "")</f>
        <v/>
      </c>
      <c r="N14" s="74" t="str" cm="1">
        <f t="array" ref="N14">IFERROR(1/(1/SUM(COUNTIFS(
'YearA-AppDetails Current Date'!A:A,D14,
'YearA-AppDetails Current Date'!F:F,E14,
'YearA-AppDetails Current Date'!E:E,--F14,
'YearA-AppDetails Current Date'!V:V,{"APRO","NODE"},
'YearA-AppDetails Current Date'!I:I,"SPRING"))), "")</f>
        <v/>
      </c>
      <c r="O14" s="74" t="str" cm="1">
        <f t="array" ref="O14">IFERROR(1/(1/SUM(COUNTIFS(
'YearA-AppDetails Current Date'!A:A,D14,
'YearA-AppDetails Current Date'!F:F,E14,
'YearA-AppDetails Current Date'!E:E,--F14,
'YearA-AppDetails Current Date'!T:T,{"CDMT","RQMT","WAIT"},
'YearA-AppDetails Current Date'!I:I,"SPRING"))), "")</f>
        <v/>
      </c>
      <c r="P14" s="74" t="str">
        <f>IFERROR(1/(1/COUNTIFS(
'YearA-AppDetails Current Date'!A:A,D14,
'YearA-AppDetails Current Date'!F:F,E14,
'YearA-AppDetails Current Date'!E:E,--F14,
'YearA-AppDetails Current Date'!Y:Y,"ENRO",
'YearA-AppDetails Current Date'!I:I,"SPRING")),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HC'!D:T,8,FALSE)),
N(VLOOKUP(D15&amp;F15,'Budgeted Projections Dom HC'!D:T,9,FALSE))
)
),"")</f>
        <v/>
      </c>
      <c r="I15" s="73" t="str">
        <f>IFERROR(1/(1/COUNTIFS(
'YearA-AppDetails Current Date'!A:A,D15,
'YearA-AppDetails Current Date'!F:F,E15,
'YearA-AppDetails Current Date'!E:E,--F15,
'YearA-AppDetails Current Date'!I:I,"SPRING")), "")</f>
        <v/>
      </c>
      <c r="J15" s="74" t="str" cm="1">
        <f t="array" ref="J15">IFERROR(1/(1/SUM(COUNTIFS(
'YearA-AppDetails Current Date'!A:A,D15,
'YearA-AppDetails Current Date'!F:F,E15,
'YearA-AppDetails Current Date'!E:E,--F15,
'YearA-AppDetails Current Date'!O:O,{"ACLN","ACPT","COND"},
'YearA-AppDetails Current Date'!S:S,"&lt;&gt;ACLN",
'YearA-AppDetails Current Date'!S:S,"&lt;&gt;ACPT",
'YearA-AppDetails Current Date'!S:S,"&lt;&gt;COND",
'YearA-AppDetails Current Date'!I:I,"SPRING"))), "")</f>
        <v/>
      </c>
      <c r="K15" s="73" t="str">
        <f>IFERROR(1/(1/SUM(COUNTIFS(
'YearA-AppDetails Current Date'!A:A,D15,
'YearA-AppDetails Current Date'!F:F,E15,
'YearA-AppDetails Current Date'!E:E,--F15,
'YearA-AppDetails Current Date'!R:R,"&lt;&gt;"&amp;"",
'YearA-AppDetails Current Date'!I:I,"SPRING"))), "")</f>
        <v/>
      </c>
      <c r="L15" s="74" t="str" cm="1">
        <f t="array" ref="L15">IFERROR(1/(1/SUM(COUNTIFS(
'YearA-AppDetails Current Date'!A:A,D15,
'YearA-AppDetails Current Date'!F:F,E15,
'YearA-AppDetails Current Date'!E:E,--F15,
'YearA-AppDetails Current Date'!T:T,{"APEX","DENY","NTSL"},
'YearA-AppDetails Current Date'!I:I,"SPRING"))), "")</f>
        <v/>
      </c>
      <c r="M15" s="74" t="str" cm="1">
        <f t="array" ref="M15">IFERROR(1/(1/SUM(COUNTIFS(
'YearA-AppDetails Current Date'!A:A,D15,
'YearA-AppDetails Current Date'!F:F,E15,
'YearA-AppDetails Current Date'!E:E,--F15,
'YearA-AppDetails Current Date'!U:U,{"CCAN","DECL"},
'YearA-AppDetails Current Date'!I:I,"SPRING"))), "")</f>
        <v/>
      </c>
      <c r="N15" s="74" t="str" cm="1">
        <f t="array" ref="N15">IFERROR(1/(1/SUM(COUNTIFS(
'YearA-AppDetails Current Date'!A:A,D15,
'YearA-AppDetails Current Date'!F:F,E15,
'YearA-AppDetails Current Date'!E:E,--F15,
'YearA-AppDetails Current Date'!V:V,{"APRO","NODE"},
'YearA-AppDetails Current Date'!I:I,"SPRING"))), "")</f>
        <v/>
      </c>
      <c r="O15" s="74" t="str" cm="1">
        <f t="array" ref="O15">IFERROR(1/(1/SUM(COUNTIFS(
'YearA-AppDetails Current Date'!A:A,D15,
'YearA-AppDetails Current Date'!F:F,E15,
'YearA-AppDetails Current Date'!E:E,--F15,
'YearA-AppDetails Current Date'!T:T,{"CDMT","RQMT","WAIT"},
'YearA-AppDetails Current Date'!I:I,"SPRING"))), "")</f>
        <v/>
      </c>
      <c r="P15" s="74" t="str">
        <f>IFERROR(1/(1/COUNTIFS(
'YearA-AppDetails Current Date'!A:A,D15,
'YearA-AppDetails Current Date'!F:F,E15,
'YearA-AppDetails Current Date'!E:E,--F15,
'YearA-AppDetails Current Date'!Y:Y,"ENRO",
'YearA-AppDetails Current Date'!I:I,"SPRING")),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HC'!D:T,8,FALSE)),
N(VLOOKUP(D16&amp;F16,'Budgeted Projections Intl HC'!D:T,9,FALSE))
)
),"")</f>
        <v/>
      </c>
      <c r="I16" s="73" t="str">
        <f>IFERROR(1/(1/COUNTIFS(
'YearA-AppDetails Current Date'!A:A,D16,
'YearA-AppDetails Current Date'!F:F,E16,
'YearA-AppDetails Current Date'!E:E,--F16,
'YearA-AppDetails Current Date'!I:I,"SPRING")), "")</f>
        <v/>
      </c>
      <c r="J16" s="74" t="str" cm="1">
        <f t="array" ref="J16">IFERROR(1/(1/SUM(COUNTIFS(
'YearA-AppDetails Current Date'!A:A,D16,
'YearA-AppDetails Current Date'!F:F,E16,
'YearA-AppDetails Current Date'!E:E,--F16,
'YearA-AppDetails Current Date'!O:O,{"ACLN","ACPT","COND"},
'YearA-AppDetails Current Date'!S:S,"&lt;&gt;ACLN",
'YearA-AppDetails Current Date'!S:S,"&lt;&gt;ACPT",
'YearA-AppDetails Current Date'!S:S,"&lt;&gt;COND",
'YearA-AppDetails Current Date'!I:I,"SPRING"))), "")</f>
        <v/>
      </c>
      <c r="K16" s="73" t="str">
        <f>IFERROR(1/(1/SUM(COUNTIFS(
'YearA-AppDetails Current Date'!A:A,D16,
'YearA-AppDetails Current Date'!F:F,E16,
'YearA-AppDetails Current Date'!E:E,--F16,
'YearA-AppDetails Current Date'!R:R,"&lt;&gt;"&amp;"",
'YearA-AppDetails Current Date'!I:I,"SPRING"))), "")</f>
        <v/>
      </c>
      <c r="L16" s="74" t="str" cm="1">
        <f t="array" ref="L16">IFERROR(1/(1/SUM(COUNTIFS(
'YearA-AppDetails Current Date'!A:A,D16,
'YearA-AppDetails Current Date'!F:F,E16,
'YearA-AppDetails Current Date'!E:E,--F16,
'YearA-AppDetails Current Date'!T:T,{"APEX","DENY","NTSL"},
'YearA-AppDetails Current Date'!I:I,"SPRING"))), "")</f>
        <v/>
      </c>
      <c r="M16" s="74" t="str" cm="1">
        <f t="array" ref="M16">IFERROR(1/(1/SUM(COUNTIFS(
'YearA-AppDetails Current Date'!A:A,D16,
'YearA-AppDetails Current Date'!F:F,E16,
'YearA-AppDetails Current Date'!E:E,--F16,
'YearA-AppDetails Current Date'!U:U,{"CCAN","DECL"},
'YearA-AppDetails Current Date'!I:I,"SPRING"))), "")</f>
        <v/>
      </c>
      <c r="N16" s="74" t="str" cm="1">
        <f t="array" ref="N16">IFERROR(1/(1/SUM(COUNTIFS(
'YearA-AppDetails Current Date'!A:A,D16,
'YearA-AppDetails Current Date'!F:F,E16,
'YearA-AppDetails Current Date'!E:E,--F16,
'YearA-AppDetails Current Date'!V:V,{"APRO","NODE"},
'YearA-AppDetails Current Date'!I:I,"SPRING"))), "")</f>
        <v/>
      </c>
      <c r="O16" s="74" t="str" cm="1">
        <f t="array" ref="O16">IFERROR(1/(1/SUM(COUNTIFS(
'YearA-AppDetails Current Date'!A:A,D16,
'YearA-AppDetails Current Date'!F:F,E16,
'YearA-AppDetails Current Date'!E:E,--F16,
'YearA-AppDetails Current Date'!T:T,{"CDMT","RQMT","WAIT"},
'YearA-AppDetails Current Date'!I:I,"SPRING"))), "")</f>
        <v/>
      </c>
      <c r="P16" s="74" t="str">
        <f>IFERROR(1/(1/COUNTIFS(
'YearA-AppDetails Current Date'!A:A,D16,
'YearA-AppDetails Current Date'!F:F,E16,
'YearA-AppDetails Current Date'!E:E,--F16,
'YearA-AppDetails Current Date'!Y:Y,"ENRO",
'YearA-AppDetails Current Date'!I:I,"SPRING")),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HC'!D:T,8,FALSE)),
N(VLOOKUP(D18&amp;F18,'Budgeted Projections Dom HC'!D:T,9,FALSE))
)
),"")</f>
        <v/>
      </c>
      <c r="I18" s="73" t="str">
        <f>IFERROR(1/(1/COUNTIFS(
'YearA-AppDetails Current Date'!A:A,D18,
'YearA-AppDetails Current Date'!F:F,E18,
'YearA-AppDetails Current Date'!E:E,--F18,
'YearA-AppDetails Current Date'!I:I,"SPRING")), "")</f>
        <v/>
      </c>
      <c r="J18" s="74" t="str" cm="1">
        <f t="array" ref="J18">IFERROR(1/(1/SUM(COUNTIFS(
'YearA-AppDetails Current Date'!A:A,D18,
'YearA-AppDetails Current Date'!F:F,E18,
'YearA-AppDetails Current Date'!E:E,--F18,
'YearA-AppDetails Current Date'!O:O,{"ACLN","ACPT","COND"},
'YearA-AppDetails Current Date'!S:S,"&lt;&gt;ACLN",
'YearA-AppDetails Current Date'!S:S,"&lt;&gt;ACPT",
'YearA-AppDetails Current Date'!S:S,"&lt;&gt;COND",
'YearA-AppDetails Current Date'!I:I,"SPRING"))), "")</f>
        <v/>
      </c>
      <c r="K18" s="73" t="str">
        <f>IFERROR(1/(1/SUM(COUNTIFS(
'YearA-AppDetails Current Date'!A:A,D18,
'YearA-AppDetails Current Date'!F:F,E18,
'YearA-AppDetails Current Date'!E:E,--F18,
'YearA-AppDetails Current Date'!R:R,"&lt;&gt;"&amp;"",
'YearA-AppDetails Current Date'!I:I,"SPRING"))), "")</f>
        <v/>
      </c>
      <c r="L18" s="74" t="str" cm="1">
        <f t="array" ref="L18">IFERROR(1/(1/SUM(COUNTIFS(
'YearA-AppDetails Current Date'!A:A,D18,
'YearA-AppDetails Current Date'!F:F,E18,
'YearA-AppDetails Current Date'!E:E,--F18,
'YearA-AppDetails Current Date'!T:T,{"APEX","DENY","NTSL"},
'YearA-AppDetails Current Date'!I:I,"SPRING"))), "")</f>
        <v/>
      </c>
      <c r="M18" s="74" t="str" cm="1">
        <f t="array" ref="M18">IFERROR(1/(1/SUM(COUNTIFS(
'YearA-AppDetails Current Date'!A:A,D18,
'YearA-AppDetails Current Date'!F:F,E18,
'YearA-AppDetails Current Date'!E:E,--F18,
'YearA-AppDetails Current Date'!U:U,{"CCAN","DECL"},
'YearA-AppDetails Current Date'!I:I,"SPRING"))), "")</f>
        <v/>
      </c>
      <c r="N18" s="74" t="str" cm="1">
        <f t="array" ref="N18">IFERROR(1/(1/SUM(COUNTIFS(
'YearA-AppDetails Current Date'!A:A,D18,
'YearA-AppDetails Current Date'!F:F,E18,
'YearA-AppDetails Current Date'!E:E,--F18,
'YearA-AppDetails Current Date'!V:V,{"APRO","NODE"},
'YearA-AppDetails Current Date'!I:I,"SPRING"))), "")</f>
        <v/>
      </c>
      <c r="O18" s="74" t="str" cm="1">
        <f t="array" ref="O18">IFERROR(1/(1/SUM(COUNTIFS(
'YearA-AppDetails Current Date'!A:A,D18,
'YearA-AppDetails Current Date'!F:F,E18,
'YearA-AppDetails Current Date'!E:E,--F18,
'YearA-AppDetails Current Date'!T:T,{"CDMT","RQMT","WAIT"},
'YearA-AppDetails Current Date'!I:I,"SPRING"))), "")</f>
        <v/>
      </c>
      <c r="P18" s="74" t="str">
        <f>IFERROR(1/(1/COUNTIFS(
'YearA-AppDetails Current Date'!A:A,D18,
'YearA-AppDetails Current Date'!F:F,E18,
'YearA-AppDetails Current Date'!E:E,--F18,
'YearA-AppDetails Current Date'!Y:Y,"ENRO",
'YearA-AppDetails Current Date'!I:I,"SPRING")),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HC'!D:T,8,FALSE)),
N(VLOOKUP(D19&amp;F19,'Budgeted Projections Intl HC'!D:T,9,FALSE))
)
),"")</f>
        <v/>
      </c>
      <c r="I19" s="73" t="str">
        <f>IFERROR(1/(1/COUNTIFS(
'YearA-AppDetails Current Date'!A:A,D19,
'YearA-AppDetails Current Date'!F:F,E19,
'YearA-AppDetails Current Date'!E:E,--F19,
'YearA-AppDetails Current Date'!I:I,"SPRING")), "")</f>
        <v/>
      </c>
      <c r="J19" s="74" t="str" cm="1">
        <f t="array" ref="J19">IFERROR(1/(1/SUM(COUNTIFS(
'YearA-AppDetails Current Date'!A:A,D19,
'YearA-AppDetails Current Date'!F:F,E19,
'YearA-AppDetails Current Date'!E:E,--F19,
'YearA-AppDetails Current Date'!O:O,{"ACLN","ACPT","COND"},
'YearA-AppDetails Current Date'!S:S,"&lt;&gt;ACLN",
'YearA-AppDetails Current Date'!S:S,"&lt;&gt;ACPT",
'YearA-AppDetails Current Date'!S:S,"&lt;&gt;COND",
'YearA-AppDetails Current Date'!I:I,"SPRING"))), "")</f>
        <v/>
      </c>
      <c r="K19" s="73" t="str">
        <f>IFERROR(1/(1/SUM(COUNTIFS(
'YearA-AppDetails Current Date'!A:A,D19,
'YearA-AppDetails Current Date'!F:F,E19,
'YearA-AppDetails Current Date'!E:E,--F19,
'YearA-AppDetails Current Date'!R:R,"&lt;&gt;"&amp;"",
'YearA-AppDetails Current Date'!I:I,"SPRING"))), "")</f>
        <v/>
      </c>
      <c r="L19" s="74" t="str" cm="1">
        <f t="array" ref="L19">IFERROR(1/(1/SUM(COUNTIFS(
'YearA-AppDetails Current Date'!A:A,D19,
'YearA-AppDetails Current Date'!F:F,E19,
'YearA-AppDetails Current Date'!E:E,--F19,
'YearA-AppDetails Current Date'!T:T,{"APEX","DENY","NTSL"},
'YearA-AppDetails Current Date'!I:I,"SPRING"))), "")</f>
        <v/>
      </c>
      <c r="M19" s="74" t="str" cm="1">
        <f t="array" ref="M19">IFERROR(1/(1/SUM(COUNTIFS(
'YearA-AppDetails Current Date'!A:A,D19,
'YearA-AppDetails Current Date'!F:F,E19,
'YearA-AppDetails Current Date'!E:E,--F19,
'YearA-AppDetails Current Date'!U:U,{"CCAN","DECL"},
'YearA-AppDetails Current Date'!I:I,"SPRING"))), "")</f>
        <v/>
      </c>
      <c r="N19" s="74" t="str" cm="1">
        <f t="array" ref="N19">IFERROR(1/(1/SUM(COUNTIFS(
'YearA-AppDetails Current Date'!A:A,D19,
'YearA-AppDetails Current Date'!F:F,E19,
'YearA-AppDetails Current Date'!E:E,--F19,
'YearA-AppDetails Current Date'!V:V,{"APRO","NODE"},
'YearA-AppDetails Current Date'!I:I,"SPRING"))), "")</f>
        <v/>
      </c>
      <c r="O19" s="74" t="str" cm="1">
        <f t="array" ref="O19">IFERROR(1/(1/SUM(COUNTIFS(
'YearA-AppDetails Current Date'!A:A,D19,
'YearA-AppDetails Current Date'!F:F,E19,
'YearA-AppDetails Current Date'!E:E,--F19,
'YearA-AppDetails Current Date'!T:T,{"CDMT","RQMT","WAIT"},
'YearA-AppDetails Current Date'!I:I,"SPRING"))), "")</f>
        <v/>
      </c>
      <c r="P19" s="74" t="str">
        <f>IFERROR(1/(1/COUNTIFS(
'YearA-AppDetails Current Date'!A:A,D19,
'YearA-AppDetails Current Date'!F:F,E19,
'YearA-AppDetails Current Date'!E:E,--F19,
'YearA-AppDetails Current Date'!Y:Y,"ENRO",
'YearA-AppDetails Current Date'!I:I,"SPRING")),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HC'!D:T,8,FALSE)),
N(VLOOKUP(D20&amp;F20,'Budgeted Projections Dom HC'!D:T,9,FALSE))
)
),"")</f>
        <v/>
      </c>
      <c r="I20" s="73" t="str">
        <f>IFERROR(1/(1/COUNTIFS(
'YearA-AppDetails Current Date'!A:A,D20,
'YearA-AppDetails Current Date'!F:F,E20,
'YearA-AppDetails Current Date'!E:E,--F20,
'YearA-AppDetails Current Date'!I:I,"SPRING")), "")</f>
        <v/>
      </c>
      <c r="J20" s="74" t="str" cm="1">
        <f t="array" ref="J20">IFERROR(1/(1/SUM(COUNTIFS(
'YearA-AppDetails Current Date'!A:A,D20,
'YearA-AppDetails Current Date'!F:F,E20,
'YearA-AppDetails Current Date'!E:E,--F20,
'YearA-AppDetails Current Date'!O:O,{"ACLN","ACPT","COND"},
'YearA-AppDetails Current Date'!S:S,"&lt;&gt;ACLN",
'YearA-AppDetails Current Date'!S:S,"&lt;&gt;ACPT",
'YearA-AppDetails Current Date'!S:S,"&lt;&gt;COND",
'YearA-AppDetails Current Date'!I:I,"SPRING"))), "")</f>
        <v/>
      </c>
      <c r="K20" s="73" t="str">
        <f>IFERROR(1/(1/SUM(COUNTIFS(
'YearA-AppDetails Current Date'!A:A,D20,
'YearA-AppDetails Current Date'!F:F,E20,
'YearA-AppDetails Current Date'!E:E,--F20,
'YearA-AppDetails Current Date'!R:R,"&lt;&gt;"&amp;"",
'YearA-AppDetails Current Date'!I:I,"SPRING"))), "")</f>
        <v/>
      </c>
      <c r="L20" s="74" t="str" cm="1">
        <f t="array" ref="L20">IFERROR(1/(1/SUM(COUNTIFS(
'YearA-AppDetails Current Date'!A:A,D20,
'YearA-AppDetails Current Date'!F:F,E20,
'YearA-AppDetails Current Date'!E:E,--F20,
'YearA-AppDetails Current Date'!T:T,{"APEX","DENY","NTSL"},
'YearA-AppDetails Current Date'!I:I,"SPRING"))), "")</f>
        <v/>
      </c>
      <c r="M20" s="74" t="str" cm="1">
        <f t="array" ref="M20">IFERROR(1/(1/SUM(COUNTIFS(
'YearA-AppDetails Current Date'!A:A,D20,
'YearA-AppDetails Current Date'!F:F,E20,
'YearA-AppDetails Current Date'!E:E,--F20,
'YearA-AppDetails Current Date'!U:U,{"CCAN","DECL"},
'YearA-AppDetails Current Date'!I:I,"SPRING"))), "")</f>
        <v/>
      </c>
      <c r="N20" s="74" t="str" cm="1">
        <f t="array" ref="N20">IFERROR(1/(1/SUM(COUNTIFS(
'YearA-AppDetails Current Date'!A:A,D20,
'YearA-AppDetails Current Date'!F:F,E20,
'YearA-AppDetails Current Date'!E:E,--F20,
'YearA-AppDetails Current Date'!V:V,{"APRO","NODE"},
'YearA-AppDetails Current Date'!I:I,"SPRING"))), "")</f>
        <v/>
      </c>
      <c r="O20" s="74" t="str" cm="1">
        <f t="array" ref="O20">IFERROR(1/(1/SUM(COUNTIFS(
'YearA-AppDetails Current Date'!A:A,D20,
'YearA-AppDetails Current Date'!F:F,E20,
'YearA-AppDetails Current Date'!E:E,--F20,
'YearA-AppDetails Current Date'!T:T,{"CDMT","RQMT","WAIT"},
'YearA-AppDetails Current Date'!I:I,"SPRING"))), "")</f>
        <v/>
      </c>
      <c r="P20" s="74" t="str">
        <f>IFERROR(1/(1/COUNTIFS(
'YearA-AppDetails Current Date'!A:A,D20,
'YearA-AppDetails Current Date'!F:F,E20,
'YearA-AppDetails Current Date'!E:E,--F20,
'YearA-AppDetails Current Date'!Y:Y,"ENRO",
'YearA-AppDetails Current Date'!I:I,"SPRING")),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HC'!D:T,8,FALSE)),
N(VLOOKUP(D21&amp;F21,'Budgeted Projections Intl HC'!D:T,9,FALSE))
)
),"")</f>
        <v/>
      </c>
      <c r="I21" s="73" t="str">
        <f>IFERROR(1/(1/COUNTIFS(
'YearA-AppDetails Current Date'!A:A,D21,
'YearA-AppDetails Current Date'!F:F,E21,
'YearA-AppDetails Current Date'!E:E,--F21,
'YearA-AppDetails Current Date'!I:I,"SPRING")), "")</f>
        <v/>
      </c>
      <c r="J21" s="74" t="str" cm="1">
        <f t="array" ref="J21">IFERROR(1/(1/SUM(COUNTIFS(
'YearA-AppDetails Current Date'!A:A,D21,
'YearA-AppDetails Current Date'!F:F,E21,
'YearA-AppDetails Current Date'!E:E,--F21,
'YearA-AppDetails Current Date'!O:O,{"ACLN","ACPT","COND"},
'YearA-AppDetails Current Date'!S:S,"&lt;&gt;ACLN",
'YearA-AppDetails Current Date'!S:S,"&lt;&gt;ACPT",
'YearA-AppDetails Current Date'!S:S,"&lt;&gt;COND",
'YearA-AppDetails Current Date'!I:I,"SPRING"))), "")</f>
        <v/>
      </c>
      <c r="K21" s="73" t="str">
        <f>IFERROR(1/(1/SUM(COUNTIFS(
'YearA-AppDetails Current Date'!A:A,D21,
'YearA-AppDetails Current Date'!F:F,E21,
'YearA-AppDetails Current Date'!E:E,--F21,
'YearA-AppDetails Current Date'!R:R,"&lt;&gt;"&amp;"",
'YearA-AppDetails Current Date'!I:I,"SPRING"))), "")</f>
        <v/>
      </c>
      <c r="L21" s="74" t="str" cm="1">
        <f t="array" ref="L21">IFERROR(1/(1/SUM(COUNTIFS(
'YearA-AppDetails Current Date'!A:A,D21,
'YearA-AppDetails Current Date'!F:F,E21,
'YearA-AppDetails Current Date'!E:E,--F21,
'YearA-AppDetails Current Date'!T:T,{"APEX","DENY","NTSL"},
'YearA-AppDetails Current Date'!I:I,"SPRING"))), "")</f>
        <v/>
      </c>
      <c r="M21" s="74" t="str" cm="1">
        <f t="array" ref="M21">IFERROR(1/(1/SUM(COUNTIFS(
'YearA-AppDetails Current Date'!A:A,D21,
'YearA-AppDetails Current Date'!F:F,E21,
'YearA-AppDetails Current Date'!E:E,--F21,
'YearA-AppDetails Current Date'!U:U,{"CCAN","DECL"},
'YearA-AppDetails Current Date'!I:I,"SPRING"))), "")</f>
        <v/>
      </c>
      <c r="N21" s="74" t="str" cm="1">
        <f t="array" ref="N21">IFERROR(1/(1/SUM(COUNTIFS(
'YearA-AppDetails Current Date'!A:A,D21,
'YearA-AppDetails Current Date'!F:F,E21,
'YearA-AppDetails Current Date'!E:E,--F21,
'YearA-AppDetails Current Date'!V:V,{"APRO","NODE"},
'YearA-AppDetails Current Date'!I:I,"SPRING"))), "")</f>
        <v/>
      </c>
      <c r="O21" s="74" t="str" cm="1">
        <f t="array" ref="O21">IFERROR(1/(1/SUM(COUNTIFS(
'YearA-AppDetails Current Date'!A:A,D21,
'YearA-AppDetails Current Date'!F:F,E21,
'YearA-AppDetails Current Date'!E:E,--F21,
'YearA-AppDetails Current Date'!T:T,{"CDMT","RQMT","WAIT"},
'YearA-AppDetails Current Date'!I:I,"SPRING"))), "")</f>
        <v/>
      </c>
      <c r="P21" s="74" t="str">
        <f>IFERROR(1/(1/COUNTIFS(
'YearA-AppDetails Current Date'!A:A,D21,
'YearA-AppDetails Current Date'!F:F,E21,
'YearA-AppDetails Current Date'!E:E,--F21,
'YearA-AppDetails Current Date'!Y:Y,"ENRO",
'YearA-AppDetails Current Date'!I:I,"SPRING")),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HC'!D:T,8,FALSE)),
N(VLOOKUP(D22&amp;F22,'Budgeted Projections Dom HC'!D:T,9,FALSE))
)
),"")</f>
        <v/>
      </c>
      <c r="I22" s="73" t="str">
        <f>IFERROR(1/(1/COUNTIFS(
'YearA-AppDetails Current Date'!A:A,D22,
'YearA-AppDetails Current Date'!F:F,E22,
'YearA-AppDetails Current Date'!E:E,--F22,
'YearA-AppDetails Current Date'!I:I,"SPRING")), "")</f>
        <v/>
      </c>
      <c r="J22" s="74" t="str" cm="1">
        <f t="array" ref="J22">IFERROR(1/(1/SUM(COUNTIFS(
'YearA-AppDetails Current Date'!A:A,D22,
'YearA-AppDetails Current Date'!F:F,E22,
'YearA-AppDetails Current Date'!E:E,--F22,
'YearA-AppDetails Current Date'!O:O,{"ACLN","ACPT","COND"},
'YearA-AppDetails Current Date'!S:S,"&lt;&gt;ACLN",
'YearA-AppDetails Current Date'!S:S,"&lt;&gt;ACPT",
'YearA-AppDetails Current Date'!S:S,"&lt;&gt;COND",
'YearA-AppDetails Current Date'!I:I,"SPRING"))), "")</f>
        <v/>
      </c>
      <c r="K22" s="73" t="str">
        <f>IFERROR(1/(1/SUM(COUNTIFS(
'YearA-AppDetails Current Date'!A:A,D22,
'YearA-AppDetails Current Date'!F:F,E22,
'YearA-AppDetails Current Date'!E:E,--F22,
'YearA-AppDetails Current Date'!R:R,"&lt;&gt;"&amp;"",
'YearA-AppDetails Current Date'!I:I,"SPRING"))), "")</f>
        <v/>
      </c>
      <c r="L22" s="74" t="str" cm="1">
        <f t="array" ref="L22">IFERROR(1/(1/SUM(COUNTIFS(
'YearA-AppDetails Current Date'!A:A,D22,
'YearA-AppDetails Current Date'!F:F,E22,
'YearA-AppDetails Current Date'!E:E,--F22,
'YearA-AppDetails Current Date'!T:T,{"APEX","DENY","NTSL"},
'YearA-AppDetails Current Date'!I:I,"SPRING"))), "")</f>
        <v/>
      </c>
      <c r="M22" s="74" t="str" cm="1">
        <f t="array" ref="M22">IFERROR(1/(1/SUM(COUNTIFS(
'YearA-AppDetails Current Date'!A:A,D22,
'YearA-AppDetails Current Date'!F:F,E22,
'YearA-AppDetails Current Date'!E:E,--F22,
'YearA-AppDetails Current Date'!U:U,{"CCAN","DECL"},
'YearA-AppDetails Current Date'!I:I,"SPRING"))), "")</f>
        <v/>
      </c>
      <c r="N22" s="74" t="str" cm="1">
        <f t="array" ref="N22">IFERROR(1/(1/SUM(COUNTIFS(
'YearA-AppDetails Current Date'!A:A,D22,
'YearA-AppDetails Current Date'!F:F,E22,
'YearA-AppDetails Current Date'!E:E,--F22,
'YearA-AppDetails Current Date'!V:V,{"APRO","NODE"},
'YearA-AppDetails Current Date'!I:I,"SPRING"))), "")</f>
        <v/>
      </c>
      <c r="O22" s="74" t="str" cm="1">
        <f t="array" ref="O22">IFERROR(1/(1/SUM(COUNTIFS(
'YearA-AppDetails Current Date'!A:A,D22,
'YearA-AppDetails Current Date'!F:F,E22,
'YearA-AppDetails Current Date'!E:E,--F22,
'YearA-AppDetails Current Date'!T:T,{"CDMT","RQMT","WAIT"},
'YearA-AppDetails Current Date'!I:I,"SPRING"))), "")</f>
        <v/>
      </c>
      <c r="P22" s="74" t="str">
        <f>IFERROR(1/(1/COUNTIFS(
'YearA-AppDetails Current Date'!A:A,D22,
'YearA-AppDetails Current Date'!F:F,E22,
'YearA-AppDetails Current Date'!E:E,--F22,
'YearA-AppDetails Current Date'!Y:Y,"ENRO",
'YearA-AppDetails Current Date'!I:I,"SPRING")),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HC'!D:T,8,FALSE)),
N(VLOOKUP(D23&amp;F23,'Budgeted Projections Intl HC'!D:T,9,FALSE))
)
),"")</f>
        <v/>
      </c>
      <c r="I23" s="73" t="str">
        <f>IFERROR(1/(1/COUNTIFS(
'YearA-AppDetails Current Date'!A:A,D23,
'YearA-AppDetails Current Date'!F:F,E23,
'YearA-AppDetails Current Date'!E:E,--F23,
'YearA-AppDetails Current Date'!I:I,"SPRING")), "")</f>
        <v/>
      </c>
      <c r="J23" s="74" t="str" cm="1">
        <f t="array" ref="J23">IFERROR(1/(1/SUM(COUNTIFS(
'YearA-AppDetails Current Date'!A:A,D23,
'YearA-AppDetails Current Date'!F:F,E23,
'YearA-AppDetails Current Date'!E:E,--F23,
'YearA-AppDetails Current Date'!O:O,{"ACLN","ACPT","COND"},
'YearA-AppDetails Current Date'!S:S,"&lt;&gt;ACLN",
'YearA-AppDetails Current Date'!S:S,"&lt;&gt;ACPT",
'YearA-AppDetails Current Date'!S:S,"&lt;&gt;COND",
'YearA-AppDetails Current Date'!I:I,"SPRING"))), "")</f>
        <v/>
      </c>
      <c r="K23" s="73" t="str">
        <f>IFERROR(1/(1/SUM(COUNTIFS(
'YearA-AppDetails Current Date'!A:A,D23,
'YearA-AppDetails Current Date'!F:F,E23,
'YearA-AppDetails Current Date'!E:E,--F23,
'YearA-AppDetails Current Date'!R:R,"&lt;&gt;"&amp;"",
'YearA-AppDetails Current Date'!I:I,"SPRING"))), "")</f>
        <v/>
      </c>
      <c r="L23" s="74" t="str" cm="1">
        <f t="array" ref="L23">IFERROR(1/(1/SUM(COUNTIFS(
'YearA-AppDetails Current Date'!A:A,D23,
'YearA-AppDetails Current Date'!F:F,E23,
'YearA-AppDetails Current Date'!E:E,--F23,
'YearA-AppDetails Current Date'!T:T,{"APEX","DENY","NTSL"},
'YearA-AppDetails Current Date'!I:I,"SPRING"))), "")</f>
        <v/>
      </c>
      <c r="M23" s="74" t="str" cm="1">
        <f t="array" ref="M23">IFERROR(1/(1/SUM(COUNTIFS(
'YearA-AppDetails Current Date'!A:A,D23,
'YearA-AppDetails Current Date'!F:F,E23,
'YearA-AppDetails Current Date'!E:E,--F23,
'YearA-AppDetails Current Date'!U:U,{"CCAN","DECL"},
'YearA-AppDetails Current Date'!I:I,"SPRING"))), "")</f>
        <v/>
      </c>
      <c r="N23" s="74" t="str" cm="1">
        <f t="array" ref="N23">IFERROR(1/(1/SUM(COUNTIFS(
'YearA-AppDetails Current Date'!A:A,D23,
'YearA-AppDetails Current Date'!F:F,E23,
'YearA-AppDetails Current Date'!E:E,--F23,
'YearA-AppDetails Current Date'!V:V,{"APRO","NODE"},
'YearA-AppDetails Current Date'!I:I,"SPRING"))), "")</f>
        <v/>
      </c>
      <c r="O23" s="74" t="str" cm="1">
        <f t="array" ref="O23">IFERROR(1/(1/SUM(COUNTIFS(
'YearA-AppDetails Current Date'!A:A,D23,
'YearA-AppDetails Current Date'!F:F,E23,
'YearA-AppDetails Current Date'!E:E,--F23,
'YearA-AppDetails Current Date'!T:T,{"CDMT","RQMT","WAIT"},
'YearA-AppDetails Current Date'!I:I,"SPRING"))), "")</f>
        <v/>
      </c>
      <c r="P23" s="74" t="str">
        <f>IFERROR(1/(1/COUNTIFS(
'YearA-AppDetails Current Date'!A:A,D23,
'YearA-AppDetails Current Date'!F:F,E23,
'YearA-AppDetails Current Date'!E:E,--F23,
'YearA-AppDetails Current Date'!Y:Y,"ENRO",
'YearA-AppDetails Current Date'!I:I,"SPRING")),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HC'!D:T,8,FALSE)),
N(VLOOKUP(D24&amp;F24,'Budgeted Projections Dom HC'!D:T,9,FALSE))
)
),"")</f>
        <v/>
      </c>
      <c r="I24" s="73" t="str">
        <f>IFERROR(1/(1/COUNTIFS(
'YearA-AppDetails Current Date'!A:A,D24,
'YearA-AppDetails Current Date'!F:F,E24,
'YearA-AppDetails Current Date'!E:E,--F24,
'YearA-AppDetails Current Date'!I:I,"SPRING")), "")</f>
        <v/>
      </c>
      <c r="J24" s="74" t="str" cm="1">
        <f t="array" ref="J24">IFERROR(1/(1/SUM(COUNTIFS(
'YearA-AppDetails Current Date'!A:A,D24,
'YearA-AppDetails Current Date'!F:F,E24,
'YearA-AppDetails Current Date'!E:E,--F24,
'YearA-AppDetails Current Date'!O:O,{"ACLN","ACPT","COND"},
'YearA-AppDetails Current Date'!S:S,"&lt;&gt;ACLN",
'YearA-AppDetails Current Date'!S:S,"&lt;&gt;ACPT",
'YearA-AppDetails Current Date'!S:S,"&lt;&gt;COND",
'YearA-AppDetails Current Date'!I:I,"SPRING"))), "")</f>
        <v/>
      </c>
      <c r="K24" s="73" t="str">
        <f>IFERROR(1/(1/SUM(COUNTIFS(
'YearA-AppDetails Current Date'!A:A,D24,
'YearA-AppDetails Current Date'!F:F,E24,
'YearA-AppDetails Current Date'!E:E,--F24,
'YearA-AppDetails Current Date'!R:R,"&lt;&gt;"&amp;"",
'YearA-AppDetails Current Date'!I:I,"SPRING"))), "")</f>
        <v/>
      </c>
      <c r="L24" s="74" t="str" cm="1">
        <f t="array" ref="L24">IFERROR(1/(1/SUM(COUNTIFS(
'YearA-AppDetails Current Date'!A:A,D24,
'YearA-AppDetails Current Date'!F:F,E24,
'YearA-AppDetails Current Date'!E:E,--F24,
'YearA-AppDetails Current Date'!T:T,{"APEX","DENY","NTSL"},
'YearA-AppDetails Current Date'!I:I,"SPRING"))), "")</f>
        <v/>
      </c>
      <c r="M24" s="74" t="str" cm="1">
        <f t="array" ref="M24">IFERROR(1/(1/SUM(COUNTIFS(
'YearA-AppDetails Current Date'!A:A,D24,
'YearA-AppDetails Current Date'!F:F,E24,
'YearA-AppDetails Current Date'!E:E,--F24,
'YearA-AppDetails Current Date'!U:U,{"CCAN","DECL"},
'YearA-AppDetails Current Date'!I:I,"SPRING"))), "")</f>
        <v/>
      </c>
      <c r="N24" s="74" t="str" cm="1">
        <f t="array" ref="N24">IFERROR(1/(1/SUM(COUNTIFS(
'YearA-AppDetails Current Date'!A:A,D24,
'YearA-AppDetails Current Date'!F:F,E24,
'YearA-AppDetails Current Date'!E:E,--F24,
'YearA-AppDetails Current Date'!V:V,{"APRO","NODE"},
'YearA-AppDetails Current Date'!I:I,"SPRING"))), "")</f>
        <v/>
      </c>
      <c r="O24" s="74" t="str" cm="1">
        <f t="array" ref="O24">IFERROR(1/(1/SUM(COUNTIFS(
'YearA-AppDetails Current Date'!A:A,D24,
'YearA-AppDetails Current Date'!F:F,E24,
'YearA-AppDetails Current Date'!E:E,--F24,
'YearA-AppDetails Current Date'!T:T,{"CDMT","RQMT","WAIT"},
'YearA-AppDetails Current Date'!I:I,"SPRING"))), "")</f>
        <v/>
      </c>
      <c r="P24" s="74" t="str">
        <f>IFERROR(1/(1/COUNTIFS(
'YearA-AppDetails Current Date'!A:A,D24,
'YearA-AppDetails Current Date'!F:F,E24,
'YearA-AppDetails Current Date'!E:E,--F24,
'YearA-AppDetails Current Date'!Y:Y,"ENRO",
'YearA-AppDetails Current Date'!I:I,"SPRING")),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HC'!D:T,8,FALSE)),
N(VLOOKUP(D25&amp;F25,'Budgeted Projections Intl HC'!D:T,9,FALSE))
)
),"")</f>
        <v/>
      </c>
      <c r="I25" s="73" t="str">
        <f>IFERROR(1/(1/COUNTIFS(
'YearA-AppDetails Current Date'!A:A,D25,
'YearA-AppDetails Current Date'!F:F,E25,
'YearA-AppDetails Current Date'!E:E,--F25,
'YearA-AppDetails Current Date'!I:I,"SPRING")), "")</f>
        <v/>
      </c>
      <c r="J25" s="74" t="str" cm="1">
        <f t="array" ref="J25">IFERROR(1/(1/SUM(COUNTIFS(
'YearA-AppDetails Current Date'!A:A,D25,
'YearA-AppDetails Current Date'!F:F,E25,
'YearA-AppDetails Current Date'!E:E,--F25,
'YearA-AppDetails Current Date'!O:O,{"ACLN","ACPT","COND"},
'YearA-AppDetails Current Date'!S:S,"&lt;&gt;ACLN",
'YearA-AppDetails Current Date'!S:S,"&lt;&gt;ACPT",
'YearA-AppDetails Current Date'!S:S,"&lt;&gt;COND",
'YearA-AppDetails Current Date'!I:I,"SPRING"))), "")</f>
        <v/>
      </c>
      <c r="K25" s="73" t="str">
        <f>IFERROR(1/(1/SUM(COUNTIFS(
'YearA-AppDetails Current Date'!A:A,D25,
'YearA-AppDetails Current Date'!F:F,E25,
'YearA-AppDetails Current Date'!E:E,--F25,
'YearA-AppDetails Current Date'!R:R,"&lt;&gt;"&amp;"",
'YearA-AppDetails Current Date'!I:I,"SPRING"))), "")</f>
        <v/>
      </c>
      <c r="L25" s="74" t="str" cm="1">
        <f t="array" ref="L25">IFERROR(1/(1/SUM(COUNTIFS(
'YearA-AppDetails Current Date'!A:A,D25,
'YearA-AppDetails Current Date'!F:F,E25,
'YearA-AppDetails Current Date'!E:E,--F25,
'YearA-AppDetails Current Date'!T:T,{"APEX","DENY","NTSL"},
'YearA-AppDetails Current Date'!I:I,"SPRING"))), "")</f>
        <v/>
      </c>
      <c r="M25" s="74" t="str" cm="1">
        <f t="array" ref="M25">IFERROR(1/(1/SUM(COUNTIFS(
'YearA-AppDetails Current Date'!A:A,D25,
'YearA-AppDetails Current Date'!F:F,E25,
'YearA-AppDetails Current Date'!E:E,--F25,
'YearA-AppDetails Current Date'!U:U,{"CCAN","DECL"},
'YearA-AppDetails Current Date'!I:I,"SPRING"))), "")</f>
        <v/>
      </c>
      <c r="N25" s="74" t="str" cm="1">
        <f t="array" ref="N25">IFERROR(1/(1/SUM(COUNTIFS(
'YearA-AppDetails Current Date'!A:A,D25,
'YearA-AppDetails Current Date'!F:F,E25,
'YearA-AppDetails Current Date'!E:E,--F25,
'YearA-AppDetails Current Date'!V:V,{"APRO","NODE"},
'YearA-AppDetails Current Date'!I:I,"SPRING"))), "")</f>
        <v/>
      </c>
      <c r="O25" s="74" t="str" cm="1">
        <f t="array" ref="O25">IFERROR(1/(1/SUM(COUNTIFS(
'YearA-AppDetails Current Date'!A:A,D25,
'YearA-AppDetails Current Date'!F:F,E25,
'YearA-AppDetails Current Date'!E:E,--F25,
'YearA-AppDetails Current Date'!T:T,{"CDMT","RQMT","WAIT"},
'YearA-AppDetails Current Date'!I:I,"SPRING"))), "")</f>
        <v/>
      </c>
      <c r="P25" s="74" t="str">
        <f>IFERROR(1/(1/COUNTIFS(
'YearA-AppDetails Current Date'!A:A,D25,
'YearA-AppDetails Current Date'!F:F,E25,
'YearA-AppDetails Current Date'!E:E,--F25,
'YearA-AppDetails Current Date'!Y:Y,"ENRO",
'YearA-AppDetails Current Date'!I:I,"SPRING")),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HC'!D:T,8,FALSE)),
N(VLOOKUP(D26&amp;F26,'Budgeted Projections Dom HC'!D:T,9,FALSE))
)
),"")</f>
        <v/>
      </c>
      <c r="I26" s="73" t="str">
        <f>IFERROR(1/(1/COUNTIFS(
'YearA-AppDetails Current Date'!A:A,D26,
'YearA-AppDetails Current Date'!F:F,E26,
'YearA-AppDetails Current Date'!E:E,--F26,
'YearA-AppDetails Current Date'!I:I,"SPRING")), "")</f>
        <v/>
      </c>
      <c r="J26" s="74" t="str" cm="1">
        <f t="array" ref="J26">IFERROR(1/(1/SUM(COUNTIFS(
'YearA-AppDetails Current Date'!A:A,D26,
'YearA-AppDetails Current Date'!F:F,E26,
'YearA-AppDetails Current Date'!E:E,--F26,
'YearA-AppDetails Current Date'!O:O,{"ACLN","ACPT","COND"},
'YearA-AppDetails Current Date'!S:S,"&lt;&gt;ACLN",
'YearA-AppDetails Current Date'!S:S,"&lt;&gt;ACPT",
'YearA-AppDetails Current Date'!S:S,"&lt;&gt;COND",
'YearA-AppDetails Current Date'!I:I,"SPRING"))), "")</f>
        <v/>
      </c>
      <c r="K26" s="73" t="str">
        <f>IFERROR(1/(1/SUM(COUNTIFS(
'YearA-AppDetails Current Date'!A:A,D26,
'YearA-AppDetails Current Date'!F:F,E26,
'YearA-AppDetails Current Date'!E:E,--F26,
'YearA-AppDetails Current Date'!R:R,"&lt;&gt;"&amp;"",
'YearA-AppDetails Current Date'!I:I,"SPRING"))), "")</f>
        <v/>
      </c>
      <c r="L26" s="74" t="str" cm="1">
        <f t="array" ref="L26">IFERROR(1/(1/SUM(COUNTIFS(
'YearA-AppDetails Current Date'!A:A,D26,
'YearA-AppDetails Current Date'!F:F,E26,
'YearA-AppDetails Current Date'!E:E,--F26,
'YearA-AppDetails Current Date'!T:T,{"APEX","DENY","NTSL"},
'YearA-AppDetails Current Date'!I:I,"SPRING"))), "")</f>
        <v/>
      </c>
      <c r="M26" s="74" t="str" cm="1">
        <f t="array" ref="M26">IFERROR(1/(1/SUM(COUNTIFS(
'YearA-AppDetails Current Date'!A:A,D26,
'YearA-AppDetails Current Date'!F:F,E26,
'YearA-AppDetails Current Date'!E:E,--F26,
'YearA-AppDetails Current Date'!U:U,{"CCAN","DECL"},
'YearA-AppDetails Current Date'!I:I,"SPRING"))), "")</f>
        <v/>
      </c>
      <c r="N26" s="74" t="str" cm="1">
        <f t="array" ref="N26">IFERROR(1/(1/SUM(COUNTIFS(
'YearA-AppDetails Current Date'!A:A,D26,
'YearA-AppDetails Current Date'!F:F,E26,
'YearA-AppDetails Current Date'!E:E,--F26,
'YearA-AppDetails Current Date'!V:V,{"APRO","NODE"},
'YearA-AppDetails Current Date'!I:I,"SPRING"))), "")</f>
        <v/>
      </c>
      <c r="O26" s="74" t="str" cm="1">
        <f t="array" ref="O26">IFERROR(1/(1/SUM(COUNTIFS(
'YearA-AppDetails Current Date'!A:A,D26,
'YearA-AppDetails Current Date'!F:F,E26,
'YearA-AppDetails Current Date'!E:E,--F26,
'YearA-AppDetails Current Date'!T:T,{"CDMT","RQMT","WAIT"},
'YearA-AppDetails Current Date'!I:I,"SPRING"))), "")</f>
        <v/>
      </c>
      <c r="P26" s="74" t="str">
        <f>IFERROR(1/(1/COUNTIFS(
'YearA-AppDetails Current Date'!A:A,D26,
'YearA-AppDetails Current Date'!F:F,E26,
'YearA-AppDetails Current Date'!E:E,--F26,
'YearA-AppDetails Current Date'!Y:Y,"ENRO",
'YearA-AppDetails Current Date'!I:I,"SPRING")),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HC'!D:T,8,FALSE)),
N(VLOOKUP(D27&amp;F27,'Budgeted Projections Intl HC'!D:T,9,FALSE))
)
),"")</f>
        <v/>
      </c>
      <c r="I27" s="73" t="str">
        <f>IFERROR(1/(1/COUNTIFS(
'YearA-AppDetails Current Date'!A:A,D27,
'YearA-AppDetails Current Date'!F:F,E27,
'YearA-AppDetails Current Date'!E:E,--F27,
'YearA-AppDetails Current Date'!I:I,"SPRING")), "")</f>
        <v/>
      </c>
      <c r="J27" s="74" t="str" cm="1">
        <f t="array" ref="J27">IFERROR(1/(1/SUM(COUNTIFS(
'YearA-AppDetails Current Date'!A:A,D27,
'YearA-AppDetails Current Date'!F:F,E27,
'YearA-AppDetails Current Date'!E:E,--F27,
'YearA-AppDetails Current Date'!O:O,{"ACLN","ACPT","COND"},
'YearA-AppDetails Current Date'!S:S,"&lt;&gt;ACLN",
'YearA-AppDetails Current Date'!S:S,"&lt;&gt;ACPT",
'YearA-AppDetails Current Date'!S:S,"&lt;&gt;COND",
'YearA-AppDetails Current Date'!I:I,"SPRING"))), "")</f>
        <v/>
      </c>
      <c r="K27" s="73" t="str">
        <f>IFERROR(1/(1/SUM(COUNTIFS(
'YearA-AppDetails Current Date'!A:A,D27,
'YearA-AppDetails Current Date'!F:F,E27,
'YearA-AppDetails Current Date'!E:E,--F27,
'YearA-AppDetails Current Date'!R:R,"&lt;&gt;"&amp;"",
'YearA-AppDetails Current Date'!I:I,"SPRING"))), "")</f>
        <v/>
      </c>
      <c r="L27" s="74" t="str" cm="1">
        <f t="array" ref="L27">IFERROR(1/(1/SUM(COUNTIFS(
'YearA-AppDetails Current Date'!A:A,D27,
'YearA-AppDetails Current Date'!F:F,E27,
'YearA-AppDetails Current Date'!E:E,--F27,
'YearA-AppDetails Current Date'!T:T,{"APEX","DENY","NTSL"},
'YearA-AppDetails Current Date'!I:I,"SPRING"))), "")</f>
        <v/>
      </c>
      <c r="M27" s="74" t="str" cm="1">
        <f t="array" ref="M27">IFERROR(1/(1/SUM(COUNTIFS(
'YearA-AppDetails Current Date'!A:A,D27,
'YearA-AppDetails Current Date'!F:F,E27,
'YearA-AppDetails Current Date'!E:E,--F27,
'YearA-AppDetails Current Date'!U:U,{"CCAN","DECL"},
'YearA-AppDetails Current Date'!I:I,"SPRING"))), "")</f>
        <v/>
      </c>
      <c r="N27" s="74" t="str" cm="1">
        <f t="array" ref="N27">IFERROR(1/(1/SUM(COUNTIFS(
'YearA-AppDetails Current Date'!A:A,D27,
'YearA-AppDetails Current Date'!F:F,E27,
'YearA-AppDetails Current Date'!E:E,--F27,
'YearA-AppDetails Current Date'!V:V,{"APRO","NODE"},
'YearA-AppDetails Current Date'!I:I,"SPRING"))), "")</f>
        <v/>
      </c>
      <c r="O27" s="74" t="str" cm="1">
        <f t="array" ref="O27">IFERROR(1/(1/SUM(COUNTIFS(
'YearA-AppDetails Current Date'!A:A,D27,
'YearA-AppDetails Current Date'!F:F,E27,
'YearA-AppDetails Current Date'!E:E,--F27,
'YearA-AppDetails Current Date'!T:T,{"CDMT","RQMT","WAIT"},
'YearA-AppDetails Current Date'!I:I,"SPRING"))), "")</f>
        <v/>
      </c>
      <c r="P27" s="74" t="str">
        <f>IFERROR(1/(1/COUNTIFS(
'YearA-AppDetails Current Date'!A:A,D27,
'YearA-AppDetails Current Date'!F:F,E27,
'YearA-AppDetails Current Date'!E:E,--F27,
'YearA-AppDetails Current Date'!Y:Y,"ENRO",
'YearA-AppDetails Current Date'!I:I,"SPRING")),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HC'!D:T,8,FALSE)),
N(VLOOKUP(D29&amp;F29,'Budgeted Projections Dom HC'!D:T,9,FALSE))
)
),"")</f>
        <v/>
      </c>
      <c r="I29" s="73" t="str">
        <f>IFERROR(1/(1/COUNTIFS(
'YearA-AppDetails Current Date'!A:A,D29,
'YearA-AppDetails Current Date'!F:F,E29,
'YearA-AppDetails Current Date'!E:E,--F29,
'YearA-AppDetails Current Date'!I:I,"SPRING")), "")</f>
        <v/>
      </c>
      <c r="J29" s="74" t="str" cm="1">
        <f t="array" ref="J29">IFERROR(1/(1/SUM(COUNTIFS(
'YearA-AppDetails Current Date'!A:A,D29,
'YearA-AppDetails Current Date'!F:F,E29,
'YearA-AppDetails Current Date'!E:E,--F29,
'YearA-AppDetails Current Date'!O:O,{"ACLN","ACPT","COND"},
'YearA-AppDetails Current Date'!S:S,"&lt;&gt;ACLN",
'YearA-AppDetails Current Date'!S:S,"&lt;&gt;ACPT",
'YearA-AppDetails Current Date'!S:S,"&lt;&gt;COND",
'YearA-AppDetails Current Date'!I:I,"SPRING"))), "")</f>
        <v/>
      </c>
      <c r="K29" s="73" t="str">
        <f>IFERROR(1/(1/SUM(COUNTIFS(
'YearA-AppDetails Current Date'!A:A,D29,
'YearA-AppDetails Current Date'!F:F,E29,
'YearA-AppDetails Current Date'!E:E,--F29,
'YearA-AppDetails Current Date'!R:R,"&lt;&gt;"&amp;"",
'YearA-AppDetails Current Date'!I:I,"SPRING"))), "")</f>
        <v/>
      </c>
      <c r="L29" s="74" t="str" cm="1">
        <f t="array" ref="L29">IFERROR(1/(1/SUM(COUNTIFS(
'YearA-AppDetails Current Date'!A:A,D29,
'YearA-AppDetails Current Date'!F:F,E29,
'YearA-AppDetails Current Date'!E:E,--F29,
'YearA-AppDetails Current Date'!T:T,{"APEX","DENY","NTSL"},
'YearA-AppDetails Current Date'!I:I,"SPRING"))), "")</f>
        <v/>
      </c>
      <c r="M29" s="74" t="str" cm="1">
        <f t="array" ref="M29">IFERROR(1/(1/SUM(COUNTIFS(
'YearA-AppDetails Current Date'!A:A,D29,
'YearA-AppDetails Current Date'!F:F,E29,
'YearA-AppDetails Current Date'!E:E,--F29,
'YearA-AppDetails Current Date'!U:U,{"CCAN","DECL"},
'YearA-AppDetails Current Date'!I:I,"SPRING"))), "")</f>
        <v/>
      </c>
      <c r="N29" s="74" t="str" cm="1">
        <f t="array" ref="N29">IFERROR(1/(1/SUM(COUNTIFS(
'YearA-AppDetails Current Date'!A:A,D29,
'YearA-AppDetails Current Date'!F:F,E29,
'YearA-AppDetails Current Date'!E:E,--F29,
'YearA-AppDetails Current Date'!V:V,{"APRO","NODE"},
'YearA-AppDetails Current Date'!I:I,"SPRING"))), "")</f>
        <v/>
      </c>
      <c r="O29" s="74" t="str" cm="1">
        <f t="array" ref="O29">IFERROR(1/(1/SUM(COUNTIFS(
'YearA-AppDetails Current Date'!A:A,D29,
'YearA-AppDetails Current Date'!F:F,E29,
'YearA-AppDetails Current Date'!E:E,--F29,
'YearA-AppDetails Current Date'!T:T,{"CDMT","RQMT","WAIT"},
'YearA-AppDetails Current Date'!I:I,"SPRING"))), "")</f>
        <v/>
      </c>
      <c r="P29" s="74" t="str">
        <f>IFERROR(1/(1/COUNTIFS(
'YearA-AppDetails Current Date'!A:A,D29,
'YearA-AppDetails Current Date'!F:F,E29,
'YearA-AppDetails Current Date'!E:E,--F29,
'YearA-AppDetails Current Date'!Y:Y,"ENRO",
'YearA-AppDetails Current Date'!I:I,"SPRING")),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HC'!D:T,8,FALSE)),
N(VLOOKUP(D30&amp;F30,'Budgeted Projections Intl HC'!D:T,9,FALSE))
)
),"")</f>
        <v/>
      </c>
      <c r="I30" s="73" t="str">
        <f>IFERROR(1/(1/COUNTIFS(
'YearA-AppDetails Current Date'!A:A,D30,
'YearA-AppDetails Current Date'!F:F,E30,
'YearA-AppDetails Current Date'!E:E,--F30,
'YearA-AppDetails Current Date'!I:I,"SPRING")), "")</f>
        <v/>
      </c>
      <c r="J30" s="74" t="str" cm="1">
        <f t="array" ref="J30">IFERROR(1/(1/SUM(COUNTIFS(
'YearA-AppDetails Current Date'!A:A,D30,
'YearA-AppDetails Current Date'!F:F,E30,
'YearA-AppDetails Current Date'!E:E,--F30,
'YearA-AppDetails Current Date'!O:O,{"ACLN","ACPT","COND"},
'YearA-AppDetails Current Date'!S:S,"&lt;&gt;ACLN",
'YearA-AppDetails Current Date'!S:S,"&lt;&gt;ACPT",
'YearA-AppDetails Current Date'!S:S,"&lt;&gt;COND",
'YearA-AppDetails Current Date'!I:I,"SPRING"))), "")</f>
        <v/>
      </c>
      <c r="K30" s="73" t="str">
        <f>IFERROR(1/(1/SUM(COUNTIFS(
'YearA-AppDetails Current Date'!A:A,D30,
'YearA-AppDetails Current Date'!F:F,E30,
'YearA-AppDetails Current Date'!E:E,--F30,
'YearA-AppDetails Current Date'!R:R,"&lt;&gt;"&amp;"",
'YearA-AppDetails Current Date'!I:I,"SPRING"))), "")</f>
        <v/>
      </c>
      <c r="L30" s="74" t="str" cm="1">
        <f t="array" ref="L30">IFERROR(1/(1/SUM(COUNTIFS(
'YearA-AppDetails Current Date'!A:A,D30,
'YearA-AppDetails Current Date'!F:F,E30,
'YearA-AppDetails Current Date'!E:E,--F30,
'YearA-AppDetails Current Date'!T:T,{"APEX","DENY","NTSL"},
'YearA-AppDetails Current Date'!I:I,"SPRING"))), "")</f>
        <v/>
      </c>
      <c r="M30" s="74" t="str" cm="1">
        <f t="array" ref="M30">IFERROR(1/(1/SUM(COUNTIFS(
'YearA-AppDetails Current Date'!A:A,D30,
'YearA-AppDetails Current Date'!F:F,E30,
'YearA-AppDetails Current Date'!E:E,--F30,
'YearA-AppDetails Current Date'!U:U,{"CCAN","DECL"},
'YearA-AppDetails Current Date'!I:I,"SPRING"))), "")</f>
        <v/>
      </c>
      <c r="N30" s="74" t="str" cm="1">
        <f t="array" ref="N30">IFERROR(1/(1/SUM(COUNTIFS(
'YearA-AppDetails Current Date'!A:A,D30,
'YearA-AppDetails Current Date'!F:F,E30,
'YearA-AppDetails Current Date'!E:E,--F30,
'YearA-AppDetails Current Date'!V:V,{"APRO","NODE"},
'YearA-AppDetails Current Date'!I:I,"SPRING"))), "")</f>
        <v/>
      </c>
      <c r="O30" s="74" t="str" cm="1">
        <f t="array" ref="O30">IFERROR(1/(1/SUM(COUNTIFS(
'YearA-AppDetails Current Date'!A:A,D30,
'YearA-AppDetails Current Date'!F:F,E30,
'YearA-AppDetails Current Date'!E:E,--F30,
'YearA-AppDetails Current Date'!T:T,{"CDMT","RQMT","WAIT"},
'YearA-AppDetails Current Date'!I:I,"SPRING"))), "")</f>
        <v/>
      </c>
      <c r="P30" s="74" t="str">
        <f>IFERROR(1/(1/COUNTIFS(
'YearA-AppDetails Current Date'!A:A,D30,
'YearA-AppDetails Current Date'!F:F,E30,
'YearA-AppDetails Current Date'!E:E,--F30,
'YearA-AppDetails Current Date'!Y:Y,"ENRO",
'YearA-AppDetails Current Date'!I:I,"SPRING")),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HC'!D:T,8,FALSE)),
N(VLOOKUP(D31&amp;F31,'Budgeted Projections Dom HC'!D:T,9,FALSE))
)
),"")</f>
        <v/>
      </c>
      <c r="I31" s="73" t="str">
        <f>IFERROR(1/(1/COUNTIFS(
'YearA-AppDetails Current Date'!A:A,D31,
'YearA-AppDetails Current Date'!F:F,E31,
'YearA-AppDetails Current Date'!E:E,--F31,
'YearA-AppDetails Current Date'!I:I,"SPRING")), "")</f>
        <v/>
      </c>
      <c r="J31" s="74" t="str" cm="1">
        <f t="array" ref="J31">IFERROR(1/(1/SUM(COUNTIFS(
'YearA-AppDetails Current Date'!A:A,D31,
'YearA-AppDetails Current Date'!F:F,E31,
'YearA-AppDetails Current Date'!E:E,--F31,
'YearA-AppDetails Current Date'!O:O,{"ACLN","ACPT","COND"},
'YearA-AppDetails Current Date'!S:S,"&lt;&gt;ACLN",
'YearA-AppDetails Current Date'!S:S,"&lt;&gt;ACPT",
'YearA-AppDetails Current Date'!S:S,"&lt;&gt;COND",
'YearA-AppDetails Current Date'!I:I,"SPRING"))), "")</f>
        <v/>
      </c>
      <c r="K31" s="73" t="str">
        <f>IFERROR(1/(1/SUM(COUNTIFS(
'YearA-AppDetails Current Date'!A:A,D31,
'YearA-AppDetails Current Date'!F:F,E31,
'YearA-AppDetails Current Date'!E:E,--F31,
'YearA-AppDetails Current Date'!R:R,"&lt;&gt;"&amp;"",
'YearA-AppDetails Current Date'!I:I,"SPRING"))), "")</f>
        <v/>
      </c>
      <c r="L31" s="74" t="str" cm="1">
        <f t="array" ref="L31">IFERROR(1/(1/SUM(COUNTIFS(
'YearA-AppDetails Current Date'!A:A,D31,
'YearA-AppDetails Current Date'!F:F,E31,
'YearA-AppDetails Current Date'!E:E,--F31,
'YearA-AppDetails Current Date'!T:T,{"APEX","DENY","NTSL"},
'YearA-AppDetails Current Date'!I:I,"SPRING"))), "")</f>
        <v/>
      </c>
      <c r="M31" s="74" t="str" cm="1">
        <f t="array" ref="M31">IFERROR(1/(1/SUM(COUNTIFS(
'YearA-AppDetails Current Date'!A:A,D31,
'YearA-AppDetails Current Date'!F:F,E31,
'YearA-AppDetails Current Date'!E:E,--F31,
'YearA-AppDetails Current Date'!U:U,{"CCAN","DECL"},
'YearA-AppDetails Current Date'!I:I,"SPRING"))), "")</f>
        <v/>
      </c>
      <c r="N31" s="74" t="str" cm="1">
        <f t="array" ref="N31">IFERROR(1/(1/SUM(COUNTIFS(
'YearA-AppDetails Current Date'!A:A,D31,
'YearA-AppDetails Current Date'!F:F,E31,
'YearA-AppDetails Current Date'!E:E,--F31,
'YearA-AppDetails Current Date'!V:V,{"APRO","NODE"},
'YearA-AppDetails Current Date'!I:I,"SPRING"))), "")</f>
        <v/>
      </c>
      <c r="O31" s="74" t="str" cm="1">
        <f t="array" ref="O31">IFERROR(1/(1/SUM(COUNTIFS(
'YearA-AppDetails Current Date'!A:A,D31,
'YearA-AppDetails Current Date'!F:F,E31,
'YearA-AppDetails Current Date'!E:E,--F31,
'YearA-AppDetails Current Date'!T:T,{"CDMT","RQMT","WAIT"},
'YearA-AppDetails Current Date'!I:I,"SPRING"))), "")</f>
        <v/>
      </c>
      <c r="P31" s="74" t="str">
        <f>IFERROR(1/(1/COUNTIFS(
'YearA-AppDetails Current Date'!A:A,D31,
'YearA-AppDetails Current Date'!F:F,E31,
'YearA-AppDetails Current Date'!E:E,--F31,
'YearA-AppDetails Current Date'!Y:Y,"ENRO",
'YearA-AppDetails Current Date'!I:I,"SPRING")),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HC'!D:T,8,FALSE)),
N(VLOOKUP(D32&amp;F32,'Budgeted Projections Intl HC'!D:T,9,FALSE))
)
),"")</f>
        <v/>
      </c>
      <c r="I32" s="73" t="str">
        <f>IFERROR(1/(1/COUNTIFS(
'YearA-AppDetails Current Date'!A:A,D32,
'YearA-AppDetails Current Date'!F:F,E32,
'YearA-AppDetails Current Date'!E:E,--F32,
'YearA-AppDetails Current Date'!I:I,"SPRING")), "")</f>
        <v/>
      </c>
      <c r="J32" s="74" t="str" cm="1">
        <f t="array" ref="J32">IFERROR(1/(1/SUM(COUNTIFS(
'YearA-AppDetails Current Date'!A:A,D32,
'YearA-AppDetails Current Date'!F:F,E32,
'YearA-AppDetails Current Date'!E:E,--F32,
'YearA-AppDetails Current Date'!O:O,{"ACLN","ACPT","COND"},
'YearA-AppDetails Current Date'!S:S,"&lt;&gt;ACLN",
'YearA-AppDetails Current Date'!S:S,"&lt;&gt;ACPT",
'YearA-AppDetails Current Date'!S:S,"&lt;&gt;COND",
'YearA-AppDetails Current Date'!I:I,"SPRING"))), "")</f>
        <v/>
      </c>
      <c r="K32" s="73" t="str">
        <f>IFERROR(1/(1/SUM(COUNTIFS(
'YearA-AppDetails Current Date'!A:A,D32,
'YearA-AppDetails Current Date'!F:F,E32,
'YearA-AppDetails Current Date'!E:E,--F32,
'YearA-AppDetails Current Date'!R:R,"&lt;&gt;"&amp;"",
'YearA-AppDetails Current Date'!I:I,"SPRING"))), "")</f>
        <v/>
      </c>
      <c r="L32" s="74" t="str" cm="1">
        <f t="array" ref="L32">IFERROR(1/(1/SUM(COUNTIFS(
'YearA-AppDetails Current Date'!A:A,D32,
'YearA-AppDetails Current Date'!F:F,E32,
'YearA-AppDetails Current Date'!E:E,--F32,
'YearA-AppDetails Current Date'!T:T,{"APEX","DENY","NTSL"},
'YearA-AppDetails Current Date'!I:I,"SPRING"))), "")</f>
        <v/>
      </c>
      <c r="M32" s="74" t="str" cm="1">
        <f t="array" ref="M32">IFERROR(1/(1/SUM(COUNTIFS(
'YearA-AppDetails Current Date'!A:A,D32,
'YearA-AppDetails Current Date'!F:F,E32,
'YearA-AppDetails Current Date'!E:E,--F32,
'YearA-AppDetails Current Date'!U:U,{"CCAN","DECL"},
'YearA-AppDetails Current Date'!I:I,"SPRING"))), "")</f>
        <v/>
      </c>
      <c r="N32" s="74" t="str" cm="1">
        <f t="array" ref="N32">IFERROR(1/(1/SUM(COUNTIFS(
'YearA-AppDetails Current Date'!A:A,D32,
'YearA-AppDetails Current Date'!F:F,E32,
'YearA-AppDetails Current Date'!E:E,--F32,
'YearA-AppDetails Current Date'!V:V,{"APRO","NODE"},
'YearA-AppDetails Current Date'!I:I,"SPRING"))), "")</f>
        <v/>
      </c>
      <c r="O32" s="74" t="str" cm="1">
        <f t="array" ref="O32">IFERROR(1/(1/SUM(COUNTIFS(
'YearA-AppDetails Current Date'!A:A,D32,
'YearA-AppDetails Current Date'!F:F,E32,
'YearA-AppDetails Current Date'!E:E,--F32,
'YearA-AppDetails Current Date'!T:T,{"CDMT","RQMT","WAIT"},
'YearA-AppDetails Current Date'!I:I,"SPRING"))), "")</f>
        <v/>
      </c>
      <c r="P32" s="74" t="str">
        <f>IFERROR(1/(1/COUNTIFS(
'YearA-AppDetails Current Date'!A:A,D32,
'YearA-AppDetails Current Date'!F:F,E32,
'YearA-AppDetails Current Date'!E:E,--F32,
'YearA-AppDetails Current Date'!Y:Y,"ENRO",
'YearA-AppDetails Current Date'!I:I,"SPRING")),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HC'!D:T,8,FALSE)),
N(VLOOKUP(D35&amp;F35,'Budgeted Projections Dom HC'!D:T,9,FALSE))
)
),"")</f>
        <v/>
      </c>
      <c r="I35" s="73" t="str">
        <f>IFERROR(1/(1/COUNTIFS(
'YearA-AppDetails Current Date'!A:A,D35,
'YearA-AppDetails Current Date'!F:F,E35,
'YearA-AppDetails Current Date'!E:E,--F35,
'YearA-AppDetails Current Date'!I:I,"SPRING")), "")</f>
        <v/>
      </c>
      <c r="J35" s="74" t="str" cm="1">
        <f t="array" ref="J35">IFERROR(1/(1/SUM(COUNTIFS(
'YearA-AppDetails Current Date'!A:A,D35,
'YearA-AppDetails Current Date'!F:F,E35,
'YearA-AppDetails Current Date'!E:E,--F35,
'YearA-AppDetails Current Date'!O:O,{"ACLN","ACPT","COND"},
'YearA-AppDetails Current Date'!S:S,"&lt;&gt;ACLN",
'YearA-AppDetails Current Date'!S:S,"&lt;&gt;ACPT",
'YearA-AppDetails Current Date'!S:S,"&lt;&gt;COND",
'YearA-AppDetails Current Date'!I:I,"SPRING"))), "")</f>
        <v/>
      </c>
      <c r="K35" s="73" t="str">
        <f>IFERROR(1/(1/SUM(COUNTIFS(
'YearA-AppDetails Current Date'!A:A,D35,
'YearA-AppDetails Current Date'!F:F,E35,
'YearA-AppDetails Current Date'!E:E,--F35,
'YearA-AppDetails Current Date'!R:R,"&lt;&gt;"&amp;"",
'YearA-AppDetails Current Date'!I:I,"SPRING"))), "")</f>
        <v/>
      </c>
      <c r="L35" s="74" t="str" cm="1">
        <f t="array" ref="L35">IFERROR(1/(1/SUM(COUNTIFS(
'YearA-AppDetails Current Date'!A:A,D35,
'YearA-AppDetails Current Date'!F:F,E35,
'YearA-AppDetails Current Date'!E:E,--F35,
'YearA-AppDetails Current Date'!T:T,{"APEX","DENY","NTSL"},
'YearA-AppDetails Current Date'!I:I,"SPRING"))), "")</f>
        <v/>
      </c>
      <c r="M35" s="74" t="str" cm="1">
        <f t="array" ref="M35">IFERROR(1/(1/SUM(COUNTIFS(
'YearA-AppDetails Current Date'!A:A,D35,
'YearA-AppDetails Current Date'!F:F,E35,
'YearA-AppDetails Current Date'!E:E,--F35,
'YearA-AppDetails Current Date'!U:U,{"CCAN","DECL"},
'YearA-AppDetails Current Date'!I:I,"SPRING"))), "")</f>
        <v/>
      </c>
      <c r="N35" s="74" t="str" cm="1">
        <f t="array" ref="N35">IFERROR(1/(1/SUM(COUNTIFS(
'YearA-AppDetails Current Date'!A:A,D35,
'YearA-AppDetails Current Date'!F:F,E35,
'YearA-AppDetails Current Date'!E:E,--F35,
'YearA-AppDetails Current Date'!V:V,{"APRO","NODE"},
'YearA-AppDetails Current Date'!I:I,"SPRING"))), "")</f>
        <v/>
      </c>
      <c r="O35" s="74" t="str" cm="1">
        <f t="array" ref="O35">IFERROR(1/(1/SUM(COUNTIFS(
'YearA-AppDetails Current Date'!A:A,D35,
'YearA-AppDetails Current Date'!F:F,E35,
'YearA-AppDetails Current Date'!E:E,--F35,
'YearA-AppDetails Current Date'!T:T,{"CDMT","RQMT","WAIT"},
'YearA-AppDetails Current Date'!I:I,"SPRING"))), "")</f>
        <v/>
      </c>
      <c r="P35" s="74" t="str">
        <f>IFERROR(1/(1/COUNTIFS(
'YearA-AppDetails Current Date'!A:A,D35,
'YearA-AppDetails Current Date'!F:F,E35,
'YearA-AppDetails Current Date'!E:E,--F35,
'YearA-AppDetails Current Date'!Y:Y,"ENRO",
'YearA-AppDetails Current Date'!I:I,"SPRING")),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HC'!D:T,8,FALSE)),
N(VLOOKUP(D36&amp;F36,'Budgeted Projections Intl HC'!D:T,9,FALSE))
)
),"")</f>
        <v/>
      </c>
      <c r="I36" s="73" t="str">
        <f>IFERROR(1/(1/COUNTIFS(
'YearA-AppDetails Current Date'!A:A,D36,
'YearA-AppDetails Current Date'!F:F,E36,
'YearA-AppDetails Current Date'!E:E,--F36,
'YearA-AppDetails Current Date'!I:I,"SPRING")), "")</f>
        <v/>
      </c>
      <c r="J36" s="74" t="str" cm="1">
        <f t="array" ref="J36">IFERROR(1/(1/SUM(COUNTIFS(
'YearA-AppDetails Current Date'!A:A,D36,
'YearA-AppDetails Current Date'!F:F,E36,
'YearA-AppDetails Current Date'!E:E,--F36,
'YearA-AppDetails Current Date'!O:O,{"ACLN","ACPT","COND"},
'YearA-AppDetails Current Date'!S:S,"&lt;&gt;ACLN",
'YearA-AppDetails Current Date'!S:S,"&lt;&gt;ACPT",
'YearA-AppDetails Current Date'!S:S,"&lt;&gt;COND",
'YearA-AppDetails Current Date'!I:I,"SPRING"))), "")</f>
        <v/>
      </c>
      <c r="K36" s="73" t="str">
        <f>IFERROR(1/(1/SUM(COUNTIFS(
'YearA-AppDetails Current Date'!A:A,D36,
'YearA-AppDetails Current Date'!F:F,E36,
'YearA-AppDetails Current Date'!E:E,--F36,
'YearA-AppDetails Current Date'!R:R,"&lt;&gt;"&amp;"",
'YearA-AppDetails Current Date'!I:I,"SPRING"))), "")</f>
        <v/>
      </c>
      <c r="L36" s="74" t="str" cm="1">
        <f t="array" ref="L36">IFERROR(1/(1/SUM(COUNTIFS(
'YearA-AppDetails Current Date'!A:A,D36,
'YearA-AppDetails Current Date'!F:F,E36,
'YearA-AppDetails Current Date'!E:E,--F36,
'YearA-AppDetails Current Date'!T:T,{"APEX","DENY","NTSL"},
'YearA-AppDetails Current Date'!I:I,"SPRING"))), "")</f>
        <v/>
      </c>
      <c r="M36" s="74" t="str" cm="1">
        <f t="array" ref="M36">IFERROR(1/(1/SUM(COUNTIFS(
'YearA-AppDetails Current Date'!A:A,D36,
'YearA-AppDetails Current Date'!F:F,E36,
'YearA-AppDetails Current Date'!E:E,--F36,
'YearA-AppDetails Current Date'!U:U,{"CCAN","DECL"},
'YearA-AppDetails Current Date'!I:I,"SPRING"))), "")</f>
        <v/>
      </c>
      <c r="N36" s="74" t="str" cm="1">
        <f t="array" ref="N36">IFERROR(1/(1/SUM(COUNTIFS(
'YearA-AppDetails Current Date'!A:A,D36,
'YearA-AppDetails Current Date'!F:F,E36,
'YearA-AppDetails Current Date'!E:E,--F36,
'YearA-AppDetails Current Date'!V:V,{"APRO","NODE"},
'YearA-AppDetails Current Date'!I:I,"SPRING"))), "")</f>
        <v/>
      </c>
      <c r="O36" s="74" t="str" cm="1">
        <f t="array" ref="O36">IFERROR(1/(1/SUM(COUNTIFS(
'YearA-AppDetails Current Date'!A:A,D36,
'YearA-AppDetails Current Date'!F:F,E36,
'YearA-AppDetails Current Date'!E:E,--F36,
'YearA-AppDetails Current Date'!T:T,{"CDMT","RQMT","WAIT"},
'YearA-AppDetails Current Date'!I:I,"SPRING"))), "")</f>
        <v/>
      </c>
      <c r="P36" s="74" t="str">
        <f>IFERROR(1/(1/COUNTIFS(
'YearA-AppDetails Current Date'!A:A,D36,
'YearA-AppDetails Current Date'!F:F,E36,
'YearA-AppDetails Current Date'!E:E,--F36,
'YearA-AppDetails Current Date'!Y:Y,"ENRO",
'YearA-AppDetails Current Date'!I:I,"SPRING")),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HC'!D:T,8,FALSE)),
N(VLOOKUP(D37&amp;F37,'Budgeted Projections Dom HC'!D:T,9,FALSE))
)
),"")</f>
        <v/>
      </c>
      <c r="I37" s="73" t="str">
        <f>IFERROR(1/(1/COUNTIFS(
'YearA-AppDetails Current Date'!A:A,D37,
'YearA-AppDetails Current Date'!F:F,E37,
'YearA-AppDetails Current Date'!E:E,--F37,
'YearA-AppDetails Current Date'!I:I,"SPRING")), "")</f>
        <v/>
      </c>
      <c r="J37" s="74" t="str" cm="1">
        <f t="array" ref="J37">IFERROR(1/(1/SUM(COUNTIFS(
'YearA-AppDetails Current Date'!A:A,D37,
'YearA-AppDetails Current Date'!F:F,E37,
'YearA-AppDetails Current Date'!E:E,--F37,
'YearA-AppDetails Current Date'!O:O,{"ACLN","ACPT","COND"},
'YearA-AppDetails Current Date'!S:S,"&lt;&gt;ACLN",
'YearA-AppDetails Current Date'!S:S,"&lt;&gt;ACPT",
'YearA-AppDetails Current Date'!S:S,"&lt;&gt;COND",
'YearA-AppDetails Current Date'!I:I,"SPRING"))), "")</f>
        <v/>
      </c>
      <c r="K37" s="73" t="str">
        <f>IFERROR(1/(1/SUM(COUNTIFS(
'YearA-AppDetails Current Date'!A:A,D37,
'YearA-AppDetails Current Date'!F:F,E37,
'YearA-AppDetails Current Date'!E:E,--F37,
'YearA-AppDetails Current Date'!R:R,"&lt;&gt;"&amp;"",
'YearA-AppDetails Current Date'!I:I,"SPRING"))), "")</f>
        <v/>
      </c>
      <c r="L37" s="74" t="str" cm="1">
        <f t="array" ref="L37">IFERROR(1/(1/SUM(COUNTIFS(
'YearA-AppDetails Current Date'!A:A,D37,
'YearA-AppDetails Current Date'!F:F,E37,
'YearA-AppDetails Current Date'!E:E,--F37,
'YearA-AppDetails Current Date'!T:T,{"APEX","DENY","NTSL"},
'YearA-AppDetails Current Date'!I:I,"SPRING"))), "")</f>
        <v/>
      </c>
      <c r="M37" s="74" t="str" cm="1">
        <f t="array" ref="M37">IFERROR(1/(1/SUM(COUNTIFS(
'YearA-AppDetails Current Date'!A:A,D37,
'YearA-AppDetails Current Date'!F:F,E37,
'YearA-AppDetails Current Date'!E:E,--F37,
'YearA-AppDetails Current Date'!U:U,{"CCAN","DECL"},
'YearA-AppDetails Current Date'!I:I,"SPRING"))), "")</f>
        <v/>
      </c>
      <c r="N37" s="74" t="str" cm="1">
        <f t="array" ref="N37">IFERROR(1/(1/SUM(COUNTIFS(
'YearA-AppDetails Current Date'!A:A,D37,
'YearA-AppDetails Current Date'!F:F,E37,
'YearA-AppDetails Current Date'!E:E,--F37,
'YearA-AppDetails Current Date'!V:V,{"APRO","NODE"},
'YearA-AppDetails Current Date'!I:I,"SPRING"))), "")</f>
        <v/>
      </c>
      <c r="O37" s="74" t="str" cm="1">
        <f t="array" ref="O37">IFERROR(1/(1/SUM(COUNTIFS(
'YearA-AppDetails Current Date'!A:A,D37,
'YearA-AppDetails Current Date'!F:F,E37,
'YearA-AppDetails Current Date'!E:E,--F37,
'YearA-AppDetails Current Date'!T:T,{"CDMT","RQMT","WAIT"},
'YearA-AppDetails Current Date'!I:I,"SPRING"))), "")</f>
        <v/>
      </c>
      <c r="P37" s="74" t="str">
        <f>IFERROR(1/(1/COUNTIFS(
'YearA-AppDetails Current Date'!A:A,D37,
'YearA-AppDetails Current Date'!F:F,E37,
'YearA-AppDetails Current Date'!E:E,--F37,
'YearA-AppDetails Current Date'!Y:Y,"ENRO",
'YearA-AppDetails Current Date'!I:I,"SPRING")),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HC'!D:T,8,FALSE)),
N(VLOOKUP(D38&amp;F38,'Budgeted Projections Intl HC'!D:T,9,FALSE))
)
),"")</f>
        <v/>
      </c>
      <c r="I38" s="73" t="str">
        <f>IFERROR(1/(1/COUNTIFS(
'YearA-AppDetails Current Date'!A:A,D38,
'YearA-AppDetails Current Date'!F:F,E38,
'YearA-AppDetails Current Date'!E:E,--F38,
'YearA-AppDetails Current Date'!I:I,"SPRING")), "")</f>
        <v/>
      </c>
      <c r="J38" s="74" t="str" cm="1">
        <f t="array" ref="J38">IFERROR(1/(1/SUM(COUNTIFS(
'YearA-AppDetails Current Date'!A:A,D38,
'YearA-AppDetails Current Date'!F:F,E38,
'YearA-AppDetails Current Date'!E:E,--F38,
'YearA-AppDetails Current Date'!O:O,{"ACLN","ACPT","COND"},
'YearA-AppDetails Current Date'!S:S,"&lt;&gt;ACLN",
'YearA-AppDetails Current Date'!S:S,"&lt;&gt;ACPT",
'YearA-AppDetails Current Date'!S:S,"&lt;&gt;COND",
'YearA-AppDetails Current Date'!I:I,"SPRING"))), "")</f>
        <v/>
      </c>
      <c r="K38" s="73" t="str">
        <f>IFERROR(1/(1/SUM(COUNTIFS(
'YearA-AppDetails Current Date'!A:A,D38,
'YearA-AppDetails Current Date'!F:F,E38,
'YearA-AppDetails Current Date'!E:E,--F38,
'YearA-AppDetails Current Date'!R:R,"&lt;&gt;"&amp;"",
'YearA-AppDetails Current Date'!I:I,"SPRING"))), "")</f>
        <v/>
      </c>
      <c r="L38" s="74" t="str" cm="1">
        <f t="array" ref="L38">IFERROR(1/(1/SUM(COUNTIFS(
'YearA-AppDetails Current Date'!A:A,D38,
'YearA-AppDetails Current Date'!F:F,E38,
'YearA-AppDetails Current Date'!E:E,--F38,
'YearA-AppDetails Current Date'!T:T,{"APEX","DENY","NTSL"},
'YearA-AppDetails Current Date'!I:I,"SPRING"))), "")</f>
        <v/>
      </c>
      <c r="M38" s="74" t="str" cm="1">
        <f t="array" ref="M38">IFERROR(1/(1/SUM(COUNTIFS(
'YearA-AppDetails Current Date'!A:A,D38,
'YearA-AppDetails Current Date'!F:F,E38,
'YearA-AppDetails Current Date'!E:E,--F38,
'YearA-AppDetails Current Date'!U:U,{"CCAN","DECL"},
'YearA-AppDetails Current Date'!I:I,"SPRING"))), "")</f>
        <v/>
      </c>
      <c r="N38" s="74" t="str" cm="1">
        <f t="array" ref="N38">IFERROR(1/(1/SUM(COUNTIFS(
'YearA-AppDetails Current Date'!A:A,D38,
'YearA-AppDetails Current Date'!F:F,E38,
'YearA-AppDetails Current Date'!E:E,--F38,
'YearA-AppDetails Current Date'!V:V,{"APRO","NODE"},
'YearA-AppDetails Current Date'!I:I,"SPRING"))), "")</f>
        <v/>
      </c>
      <c r="O38" s="74" t="str" cm="1">
        <f t="array" ref="O38">IFERROR(1/(1/SUM(COUNTIFS(
'YearA-AppDetails Current Date'!A:A,D38,
'YearA-AppDetails Current Date'!F:F,E38,
'YearA-AppDetails Current Date'!E:E,--F38,
'YearA-AppDetails Current Date'!T:T,{"CDMT","RQMT","WAIT"},
'YearA-AppDetails Current Date'!I:I,"SPRING"))), "")</f>
        <v/>
      </c>
      <c r="P38" s="74" t="str">
        <f>IFERROR(1/(1/COUNTIFS(
'YearA-AppDetails Current Date'!A:A,D38,
'YearA-AppDetails Current Date'!F:F,E38,
'YearA-AppDetails Current Date'!E:E,--F38,
'YearA-AppDetails Current Date'!Y:Y,"ENRO",
'YearA-AppDetails Current Date'!I:I,"SPRING")),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HC'!D:T,8,FALSE)),
N(VLOOKUP(D39&amp;F39,'Budgeted Projections Dom HC'!D:T,9,FALSE))
)
),"")</f>
        <v/>
      </c>
      <c r="I39" s="73" t="str">
        <f>IFERROR(1/(1/COUNTIFS(
'YearA-AppDetails Current Date'!A:A,D39,
'YearA-AppDetails Current Date'!F:F,E39,
'YearA-AppDetails Current Date'!E:E,--F39,
'YearA-AppDetails Current Date'!I:I,"SPRING")), "")</f>
        <v/>
      </c>
      <c r="J39" s="74" t="str" cm="1">
        <f t="array" ref="J39">IFERROR(1/(1/SUM(COUNTIFS(
'YearA-AppDetails Current Date'!A:A,D39,
'YearA-AppDetails Current Date'!F:F,E39,
'YearA-AppDetails Current Date'!E:E,--F39,
'YearA-AppDetails Current Date'!O:O,{"ACLN","ACPT","COND"},
'YearA-AppDetails Current Date'!S:S,"&lt;&gt;ACLN",
'YearA-AppDetails Current Date'!S:S,"&lt;&gt;ACPT",
'YearA-AppDetails Current Date'!S:S,"&lt;&gt;COND",
'YearA-AppDetails Current Date'!I:I,"SPRING"))), "")</f>
        <v/>
      </c>
      <c r="K39" s="73" t="str">
        <f>IFERROR(1/(1/SUM(COUNTIFS(
'YearA-AppDetails Current Date'!A:A,D39,
'YearA-AppDetails Current Date'!F:F,E39,
'YearA-AppDetails Current Date'!E:E,--F39,
'YearA-AppDetails Current Date'!R:R,"&lt;&gt;"&amp;"",
'YearA-AppDetails Current Date'!I:I,"SPRING"))), "")</f>
        <v/>
      </c>
      <c r="L39" s="74" t="str" cm="1">
        <f t="array" ref="L39">IFERROR(1/(1/SUM(COUNTIFS(
'YearA-AppDetails Current Date'!A:A,D39,
'YearA-AppDetails Current Date'!F:F,E39,
'YearA-AppDetails Current Date'!E:E,--F39,
'YearA-AppDetails Current Date'!T:T,{"APEX","DENY","NTSL"},
'YearA-AppDetails Current Date'!I:I,"SPRING"))), "")</f>
        <v/>
      </c>
      <c r="M39" s="74" t="str" cm="1">
        <f t="array" ref="M39">IFERROR(1/(1/SUM(COUNTIFS(
'YearA-AppDetails Current Date'!A:A,D39,
'YearA-AppDetails Current Date'!F:F,E39,
'YearA-AppDetails Current Date'!E:E,--F39,
'YearA-AppDetails Current Date'!U:U,{"CCAN","DECL"},
'YearA-AppDetails Current Date'!I:I,"SPRING"))), "")</f>
        <v/>
      </c>
      <c r="N39" s="74" t="str" cm="1">
        <f t="array" ref="N39">IFERROR(1/(1/SUM(COUNTIFS(
'YearA-AppDetails Current Date'!A:A,D39,
'YearA-AppDetails Current Date'!F:F,E39,
'YearA-AppDetails Current Date'!E:E,--F39,
'YearA-AppDetails Current Date'!V:V,{"APRO","NODE"},
'YearA-AppDetails Current Date'!I:I,"SPRING"))), "")</f>
        <v/>
      </c>
      <c r="O39" s="74" t="str" cm="1">
        <f t="array" ref="O39">IFERROR(1/(1/SUM(COUNTIFS(
'YearA-AppDetails Current Date'!A:A,D39,
'YearA-AppDetails Current Date'!F:F,E39,
'YearA-AppDetails Current Date'!E:E,--F39,
'YearA-AppDetails Current Date'!T:T,{"CDMT","RQMT","WAIT"},
'YearA-AppDetails Current Date'!I:I,"SPRING"))), "")</f>
        <v/>
      </c>
      <c r="P39" s="74" t="str">
        <f>IFERROR(1/(1/COUNTIFS(
'YearA-AppDetails Current Date'!A:A,D39,
'YearA-AppDetails Current Date'!F:F,E39,
'YearA-AppDetails Current Date'!E:E,--F39,
'YearA-AppDetails Current Date'!Y:Y,"ENRO",
'YearA-AppDetails Current Date'!I:I,"SPRING")),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HC'!D:T,8,FALSE)),
N(VLOOKUP(D40&amp;F40,'Budgeted Projections Intl HC'!D:T,9,FALSE))
)
),"")</f>
        <v/>
      </c>
      <c r="I40" s="73" t="str">
        <f>IFERROR(1/(1/COUNTIFS(
'YearA-AppDetails Current Date'!A:A,D40,
'YearA-AppDetails Current Date'!F:F,E40,
'YearA-AppDetails Current Date'!E:E,--F40,
'YearA-AppDetails Current Date'!I:I,"SPRING")), "")</f>
        <v/>
      </c>
      <c r="J40" s="74" t="str" cm="1">
        <f t="array" ref="J40">IFERROR(1/(1/SUM(COUNTIFS(
'YearA-AppDetails Current Date'!A:A,D40,
'YearA-AppDetails Current Date'!F:F,E40,
'YearA-AppDetails Current Date'!E:E,--F40,
'YearA-AppDetails Current Date'!O:O,{"ACLN","ACPT","COND"},
'YearA-AppDetails Current Date'!S:S,"&lt;&gt;ACLN",
'YearA-AppDetails Current Date'!S:S,"&lt;&gt;ACPT",
'YearA-AppDetails Current Date'!S:S,"&lt;&gt;COND",
'YearA-AppDetails Current Date'!I:I,"SPRING"))), "")</f>
        <v/>
      </c>
      <c r="K40" s="73" t="str">
        <f>IFERROR(1/(1/SUM(COUNTIFS(
'YearA-AppDetails Current Date'!A:A,D40,
'YearA-AppDetails Current Date'!F:F,E40,
'YearA-AppDetails Current Date'!E:E,--F40,
'YearA-AppDetails Current Date'!R:R,"&lt;&gt;"&amp;"",
'YearA-AppDetails Current Date'!I:I,"SPRING"))), "")</f>
        <v/>
      </c>
      <c r="L40" s="74" t="str" cm="1">
        <f t="array" ref="L40">IFERROR(1/(1/SUM(COUNTIFS(
'YearA-AppDetails Current Date'!A:A,D40,
'YearA-AppDetails Current Date'!F:F,E40,
'YearA-AppDetails Current Date'!E:E,--F40,
'YearA-AppDetails Current Date'!T:T,{"APEX","DENY","NTSL"},
'YearA-AppDetails Current Date'!I:I,"SPRING"))), "")</f>
        <v/>
      </c>
      <c r="M40" s="74" t="str" cm="1">
        <f t="array" ref="M40">IFERROR(1/(1/SUM(COUNTIFS(
'YearA-AppDetails Current Date'!A:A,D40,
'YearA-AppDetails Current Date'!F:F,E40,
'YearA-AppDetails Current Date'!E:E,--F40,
'YearA-AppDetails Current Date'!U:U,{"CCAN","DECL"},
'YearA-AppDetails Current Date'!I:I,"SPRING"))), "")</f>
        <v/>
      </c>
      <c r="N40" s="74" t="str" cm="1">
        <f t="array" ref="N40">IFERROR(1/(1/SUM(COUNTIFS(
'YearA-AppDetails Current Date'!A:A,D40,
'YearA-AppDetails Current Date'!F:F,E40,
'YearA-AppDetails Current Date'!E:E,--F40,
'YearA-AppDetails Current Date'!V:V,{"APRO","NODE"},
'YearA-AppDetails Current Date'!I:I,"SPRING"))), "")</f>
        <v/>
      </c>
      <c r="O40" s="74" t="str" cm="1">
        <f t="array" ref="O40">IFERROR(1/(1/SUM(COUNTIFS(
'YearA-AppDetails Current Date'!A:A,D40,
'YearA-AppDetails Current Date'!F:F,E40,
'YearA-AppDetails Current Date'!E:E,--F40,
'YearA-AppDetails Current Date'!T:T,{"CDMT","RQMT","WAIT"},
'YearA-AppDetails Current Date'!I:I,"SPRING"))), "")</f>
        <v/>
      </c>
      <c r="P40" s="74" t="str">
        <f>IFERROR(1/(1/COUNTIFS(
'YearA-AppDetails Current Date'!A:A,D40,
'YearA-AppDetails Current Date'!F:F,E40,
'YearA-AppDetails Current Date'!E:E,--F40,
'YearA-AppDetails Current Date'!Y:Y,"ENRO",
'YearA-AppDetails Current Date'!I:I,"SPRING")),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HC'!D:T,8,FALSE)),
N(VLOOKUP(D41&amp;F41,'Budgeted Projections Dom HC'!D:T,9,FALSE))
)
),"")</f>
        <v/>
      </c>
      <c r="I41" s="73" t="str">
        <f>IFERROR(1/(1/COUNTIFS(
'YearA-AppDetails Current Date'!A:A,D41,
'YearA-AppDetails Current Date'!F:F,E41,
'YearA-AppDetails Current Date'!E:E,--F41,
'YearA-AppDetails Current Date'!I:I,"SPRING")), "")</f>
        <v/>
      </c>
      <c r="J41" s="74" t="str" cm="1">
        <f t="array" ref="J41">IFERROR(1/(1/SUM(COUNTIFS(
'YearA-AppDetails Current Date'!A:A,D41,
'YearA-AppDetails Current Date'!F:F,E41,
'YearA-AppDetails Current Date'!E:E,--F41,
'YearA-AppDetails Current Date'!O:O,{"ACLN","ACPT","COND"},
'YearA-AppDetails Current Date'!S:S,"&lt;&gt;ACLN",
'YearA-AppDetails Current Date'!S:S,"&lt;&gt;ACPT",
'YearA-AppDetails Current Date'!S:S,"&lt;&gt;COND",
'YearA-AppDetails Current Date'!I:I,"SPRING"))), "")</f>
        <v/>
      </c>
      <c r="K41" s="73" t="str">
        <f>IFERROR(1/(1/SUM(COUNTIFS(
'YearA-AppDetails Current Date'!A:A,D41,
'YearA-AppDetails Current Date'!F:F,E41,
'YearA-AppDetails Current Date'!E:E,--F41,
'YearA-AppDetails Current Date'!R:R,"&lt;&gt;"&amp;"",
'YearA-AppDetails Current Date'!I:I,"SPRING"))), "")</f>
        <v/>
      </c>
      <c r="L41" s="74" t="str" cm="1">
        <f t="array" ref="L41">IFERROR(1/(1/SUM(COUNTIFS(
'YearA-AppDetails Current Date'!A:A,D41,
'YearA-AppDetails Current Date'!F:F,E41,
'YearA-AppDetails Current Date'!E:E,--F41,
'YearA-AppDetails Current Date'!T:T,{"APEX","DENY","NTSL"},
'YearA-AppDetails Current Date'!I:I,"SPRING"))), "")</f>
        <v/>
      </c>
      <c r="M41" s="74" t="str" cm="1">
        <f t="array" ref="M41">IFERROR(1/(1/SUM(COUNTIFS(
'YearA-AppDetails Current Date'!A:A,D41,
'YearA-AppDetails Current Date'!F:F,E41,
'YearA-AppDetails Current Date'!E:E,--F41,
'YearA-AppDetails Current Date'!U:U,{"CCAN","DECL"},
'YearA-AppDetails Current Date'!I:I,"SPRING"))), "")</f>
        <v/>
      </c>
      <c r="N41" s="74" t="str" cm="1">
        <f t="array" ref="N41">IFERROR(1/(1/SUM(COUNTIFS(
'YearA-AppDetails Current Date'!A:A,D41,
'YearA-AppDetails Current Date'!F:F,E41,
'YearA-AppDetails Current Date'!E:E,--F41,
'YearA-AppDetails Current Date'!V:V,{"APRO","NODE"},
'YearA-AppDetails Current Date'!I:I,"SPRING"))), "")</f>
        <v/>
      </c>
      <c r="O41" s="74" t="str" cm="1">
        <f t="array" ref="O41">IFERROR(1/(1/SUM(COUNTIFS(
'YearA-AppDetails Current Date'!A:A,D41,
'YearA-AppDetails Current Date'!F:F,E41,
'YearA-AppDetails Current Date'!E:E,--F41,
'YearA-AppDetails Current Date'!T:T,{"CDMT","RQMT","WAIT"},
'YearA-AppDetails Current Date'!I:I,"SPRING"))), "")</f>
        <v/>
      </c>
      <c r="P41" s="74" t="str">
        <f>IFERROR(1/(1/COUNTIFS(
'YearA-AppDetails Current Date'!A:A,D41,
'YearA-AppDetails Current Date'!F:F,E41,
'YearA-AppDetails Current Date'!E:E,--F41,
'YearA-AppDetails Current Date'!Y:Y,"ENRO",
'YearA-AppDetails Current Date'!I:I,"SPRING")),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HC'!D:T,8,FALSE)),
N(VLOOKUP(D42&amp;F42,'Budgeted Projections Intl HC'!D:T,9,FALSE))
)
),"")</f>
        <v/>
      </c>
      <c r="I42" s="73" t="str">
        <f>IFERROR(1/(1/COUNTIFS(
'YearA-AppDetails Current Date'!A:A,D42,
'YearA-AppDetails Current Date'!F:F,E42,
'YearA-AppDetails Current Date'!E:E,--F42,
'YearA-AppDetails Current Date'!I:I,"SPRING")), "")</f>
        <v/>
      </c>
      <c r="J42" s="74" t="str" cm="1">
        <f t="array" ref="J42">IFERROR(1/(1/SUM(COUNTIFS(
'YearA-AppDetails Current Date'!A:A,D42,
'YearA-AppDetails Current Date'!F:F,E42,
'YearA-AppDetails Current Date'!E:E,--F42,
'YearA-AppDetails Current Date'!O:O,{"ACLN","ACPT","COND"},
'YearA-AppDetails Current Date'!S:S,"&lt;&gt;ACLN",
'YearA-AppDetails Current Date'!S:S,"&lt;&gt;ACPT",
'YearA-AppDetails Current Date'!S:S,"&lt;&gt;COND",
'YearA-AppDetails Current Date'!I:I,"SPRING"))), "")</f>
        <v/>
      </c>
      <c r="K42" s="73" t="str">
        <f>IFERROR(1/(1/SUM(COUNTIFS(
'YearA-AppDetails Current Date'!A:A,D42,
'YearA-AppDetails Current Date'!F:F,E42,
'YearA-AppDetails Current Date'!E:E,--F42,
'YearA-AppDetails Current Date'!R:R,"&lt;&gt;"&amp;"",
'YearA-AppDetails Current Date'!I:I,"SPRING"))), "")</f>
        <v/>
      </c>
      <c r="L42" s="74" t="str" cm="1">
        <f t="array" ref="L42">IFERROR(1/(1/SUM(COUNTIFS(
'YearA-AppDetails Current Date'!A:A,D42,
'YearA-AppDetails Current Date'!F:F,E42,
'YearA-AppDetails Current Date'!E:E,--F42,
'YearA-AppDetails Current Date'!T:T,{"APEX","DENY","NTSL"},
'YearA-AppDetails Current Date'!I:I,"SPRING"))), "")</f>
        <v/>
      </c>
      <c r="M42" s="74" t="str" cm="1">
        <f t="array" ref="M42">IFERROR(1/(1/SUM(COUNTIFS(
'YearA-AppDetails Current Date'!A:A,D42,
'YearA-AppDetails Current Date'!F:F,E42,
'YearA-AppDetails Current Date'!E:E,--F42,
'YearA-AppDetails Current Date'!U:U,{"CCAN","DECL"},
'YearA-AppDetails Current Date'!I:I,"SPRING"))), "")</f>
        <v/>
      </c>
      <c r="N42" s="74" t="str" cm="1">
        <f t="array" ref="N42">IFERROR(1/(1/SUM(COUNTIFS(
'YearA-AppDetails Current Date'!A:A,D42,
'YearA-AppDetails Current Date'!F:F,E42,
'YearA-AppDetails Current Date'!E:E,--F42,
'YearA-AppDetails Current Date'!V:V,{"APRO","NODE"},
'YearA-AppDetails Current Date'!I:I,"SPRING"))), "")</f>
        <v/>
      </c>
      <c r="O42" s="74" t="str" cm="1">
        <f t="array" ref="O42">IFERROR(1/(1/SUM(COUNTIFS(
'YearA-AppDetails Current Date'!A:A,D42,
'YearA-AppDetails Current Date'!F:F,E42,
'YearA-AppDetails Current Date'!E:E,--F42,
'YearA-AppDetails Current Date'!T:T,{"CDMT","RQMT","WAIT"},
'YearA-AppDetails Current Date'!I:I,"SPRING"))), "")</f>
        <v/>
      </c>
      <c r="P42" s="74" t="str">
        <f>IFERROR(1/(1/COUNTIFS(
'YearA-AppDetails Current Date'!A:A,D42,
'YearA-AppDetails Current Date'!F:F,E42,
'YearA-AppDetails Current Date'!E:E,--F42,
'YearA-AppDetails Current Date'!Y:Y,"ENRO",
'YearA-AppDetails Current Date'!I:I,"SPRING")),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HC'!D:T,8,FALSE)),
N(VLOOKUP(D43&amp;F43,'Budgeted Projections Dom HC'!D:T,9,FALSE))
)
),"")</f>
        <v/>
      </c>
      <c r="I43" s="73" t="str">
        <f>IFERROR(1/(1/COUNTIFS(
'YearA-AppDetails Current Date'!A:A,D43,
'YearA-AppDetails Current Date'!F:F,E43,
'YearA-AppDetails Current Date'!E:E,--F43,
'YearA-AppDetails Current Date'!I:I,"SPRING")), "")</f>
        <v/>
      </c>
      <c r="J43" s="74" t="str" cm="1">
        <f t="array" ref="J43">IFERROR(1/(1/SUM(COUNTIFS(
'YearA-AppDetails Current Date'!A:A,D43,
'YearA-AppDetails Current Date'!F:F,E43,
'YearA-AppDetails Current Date'!E:E,--F43,
'YearA-AppDetails Current Date'!O:O,{"ACLN","ACPT","COND"},
'YearA-AppDetails Current Date'!S:S,"&lt;&gt;ACLN",
'YearA-AppDetails Current Date'!S:S,"&lt;&gt;ACPT",
'YearA-AppDetails Current Date'!S:S,"&lt;&gt;COND",
'YearA-AppDetails Current Date'!I:I,"SPRING"))), "")</f>
        <v/>
      </c>
      <c r="K43" s="73" t="str">
        <f>IFERROR(1/(1/SUM(COUNTIFS(
'YearA-AppDetails Current Date'!A:A,D43,
'YearA-AppDetails Current Date'!F:F,E43,
'YearA-AppDetails Current Date'!E:E,--F43,
'YearA-AppDetails Current Date'!R:R,"&lt;&gt;"&amp;"",
'YearA-AppDetails Current Date'!I:I,"SPRING"))), "")</f>
        <v/>
      </c>
      <c r="L43" s="74" t="str" cm="1">
        <f t="array" ref="L43">IFERROR(1/(1/SUM(COUNTIFS(
'YearA-AppDetails Current Date'!A:A,D43,
'YearA-AppDetails Current Date'!F:F,E43,
'YearA-AppDetails Current Date'!E:E,--F43,
'YearA-AppDetails Current Date'!T:T,{"APEX","DENY","NTSL"},
'YearA-AppDetails Current Date'!I:I,"SPRING"))), "")</f>
        <v/>
      </c>
      <c r="M43" s="74" t="str" cm="1">
        <f t="array" ref="M43">IFERROR(1/(1/SUM(COUNTIFS(
'YearA-AppDetails Current Date'!A:A,D43,
'YearA-AppDetails Current Date'!F:F,E43,
'YearA-AppDetails Current Date'!E:E,--F43,
'YearA-AppDetails Current Date'!U:U,{"CCAN","DECL"},
'YearA-AppDetails Current Date'!I:I,"SPRING"))), "")</f>
        <v/>
      </c>
      <c r="N43" s="74" t="str" cm="1">
        <f t="array" ref="N43">IFERROR(1/(1/SUM(COUNTIFS(
'YearA-AppDetails Current Date'!A:A,D43,
'YearA-AppDetails Current Date'!F:F,E43,
'YearA-AppDetails Current Date'!E:E,--F43,
'YearA-AppDetails Current Date'!V:V,{"APRO","NODE"},
'YearA-AppDetails Current Date'!I:I,"SPRING"))), "")</f>
        <v/>
      </c>
      <c r="O43" s="74" t="str" cm="1">
        <f t="array" ref="O43">IFERROR(1/(1/SUM(COUNTIFS(
'YearA-AppDetails Current Date'!A:A,D43,
'YearA-AppDetails Current Date'!F:F,E43,
'YearA-AppDetails Current Date'!E:E,--F43,
'YearA-AppDetails Current Date'!T:T,{"CDMT","RQMT","WAIT"},
'YearA-AppDetails Current Date'!I:I,"SPRING"))), "")</f>
        <v/>
      </c>
      <c r="P43" s="74" t="str">
        <f>IFERROR(1/(1/COUNTIFS(
'YearA-AppDetails Current Date'!A:A,D43,
'YearA-AppDetails Current Date'!F:F,E43,
'YearA-AppDetails Current Date'!E:E,--F43,
'YearA-AppDetails Current Date'!Y:Y,"ENRO",
'YearA-AppDetails Current Date'!I:I,"SPRING")),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HC'!D:T,8,FALSE)),
N(VLOOKUP(D44&amp;F44,'Budgeted Projections Intl HC'!D:T,9,FALSE))
)
),"")</f>
        <v/>
      </c>
      <c r="I44" s="73" t="str">
        <f>IFERROR(1/(1/COUNTIFS(
'YearA-AppDetails Current Date'!A:A,D44,
'YearA-AppDetails Current Date'!F:F,E44,
'YearA-AppDetails Current Date'!E:E,--F44,
'YearA-AppDetails Current Date'!I:I,"SPRING")), "")</f>
        <v/>
      </c>
      <c r="J44" s="74" t="str" cm="1">
        <f t="array" ref="J44">IFERROR(1/(1/SUM(COUNTIFS(
'YearA-AppDetails Current Date'!A:A,D44,
'YearA-AppDetails Current Date'!F:F,E44,
'YearA-AppDetails Current Date'!E:E,--F44,
'YearA-AppDetails Current Date'!O:O,{"ACLN","ACPT","COND"},
'YearA-AppDetails Current Date'!S:S,"&lt;&gt;ACLN",
'YearA-AppDetails Current Date'!S:S,"&lt;&gt;ACPT",
'YearA-AppDetails Current Date'!S:S,"&lt;&gt;COND",
'YearA-AppDetails Current Date'!I:I,"SPRING"))), "")</f>
        <v/>
      </c>
      <c r="K44" s="73" t="str">
        <f>IFERROR(1/(1/SUM(COUNTIFS(
'YearA-AppDetails Current Date'!A:A,D44,
'YearA-AppDetails Current Date'!F:F,E44,
'YearA-AppDetails Current Date'!E:E,--F44,
'YearA-AppDetails Current Date'!R:R,"&lt;&gt;"&amp;"",
'YearA-AppDetails Current Date'!I:I,"SPRING"))), "")</f>
        <v/>
      </c>
      <c r="L44" s="74" t="str" cm="1">
        <f t="array" ref="L44">IFERROR(1/(1/SUM(COUNTIFS(
'YearA-AppDetails Current Date'!A:A,D44,
'YearA-AppDetails Current Date'!F:F,E44,
'YearA-AppDetails Current Date'!E:E,--F44,
'YearA-AppDetails Current Date'!T:T,{"APEX","DENY","NTSL"},
'YearA-AppDetails Current Date'!I:I,"SPRING"))), "")</f>
        <v/>
      </c>
      <c r="M44" s="74" t="str" cm="1">
        <f t="array" ref="M44">IFERROR(1/(1/SUM(COUNTIFS(
'YearA-AppDetails Current Date'!A:A,D44,
'YearA-AppDetails Current Date'!F:F,E44,
'YearA-AppDetails Current Date'!E:E,--F44,
'YearA-AppDetails Current Date'!U:U,{"CCAN","DECL"},
'YearA-AppDetails Current Date'!I:I,"SPRING"))), "")</f>
        <v/>
      </c>
      <c r="N44" s="74" t="str" cm="1">
        <f t="array" ref="N44">IFERROR(1/(1/SUM(COUNTIFS(
'YearA-AppDetails Current Date'!A:A,D44,
'YearA-AppDetails Current Date'!F:F,E44,
'YearA-AppDetails Current Date'!E:E,--F44,
'YearA-AppDetails Current Date'!V:V,{"APRO","NODE"},
'YearA-AppDetails Current Date'!I:I,"SPRING"))), "")</f>
        <v/>
      </c>
      <c r="O44" s="74" t="str" cm="1">
        <f t="array" ref="O44">IFERROR(1/(1/SUM(COUNTIFS(
'YearA-AppDetails Current Date'!A:A,D44,
'YearA-AppDetails Current Date'!F:F,E44,
'YearA-AppDetails Current Date'!E:E,--F44,
'YearA-AppDetails Current Date'!T:T,{"CDMT","RQMT","WAIT"},
'YearA-AppDetails Current Date'!I:I,"SPRING"))), "")</f>
        <v/>
      </c>
      <c r="P44" s="74" t="str">
        <f>IFERROR(1/(1/COUNTIFS(
'YearA-AppDetails Current Date'!A:A,D44,
'YearA-AppDetails Current Date'!F:F,E44,
'YearA-AppDetails Current Date'!E:E,--F44,
'YearA-AppDetails Current Date'!Y:Y,"ENRO",
'YearA-AppDetails Current Date'!I:I,"SPRING")),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HC'!D:T,8,FALSE)),
N(VLOOKUP(D45&amp;F45,'Budgeted Projections Dom HC'!D:T,9,FALSE))
)
),"")</f>
        <v/>
      </c>
      <c r="I45" s="73" t="str">
        <f>IFERROR(1/(1/COUNTIFS(
'YearA-AppDetails Current Date'!A:A,D45,
'YearA-AppDetails Current Date'!F:F,E45,
'YearA-AppDetails Current Date'!E:E,--F45,
'YearA-AppDetails Current Date'!I:I,"SPRING")), "")</f>
        <v/>
      </c>
      <c r="J45" s="74" t="str" cm="1">
        <f t="array" ref="J45">IFERROR(1/(1/SUM(COUNTIFS(
'YearA-AppDetails Current Date'!A:A,D45,
'YearA-AppDetails Current Date'!F:F,E45,
'YearA-AppDetails Current Date'!E:E,--F45,
'YearA-AppDetails Current Date'!O:O,{"ACLN","ACPT","COND"},
'YearA-AppDetails Current Date'!S:S,"&lt;&gt;ACLN",
'YearA-AppDetails Current Date'!S:S,"&lt;&gt;ACPT",
'YearA-AppDetails Current Date'!S:S,"&lt;&gt;COND",
'YearA-AppDetails Current Date'!I:I,"SPRING"))), "")</f>
        <v/>
      </c>
      <c r="K45" s="73" t="str">
        <f>IFERROR(1/(1/SUM(COUNTIFS(
'YearA-AppDetails Current Date'!A:A,D45,
'YearA-AppDetails Current Date'!F:F,E45,
'YearA-AppDetails Current Date'!E:E,--F45,
'YearA-AppDetails Current Date'!R:R,"&lt;&gt;"&amp;"",
'YearA-AppDetails Current Date'!I:I,"SPRING"))), "")</f>
        <v/>
      </c>
      <c r="L45" s="74" t="str" cm="1">
        <f t="array" ref="L45">IFERROR(1/(1/SUM(COUNTIFS(
'YearA-AppDetails Current Date'!A:A,D45,
'YearA-AppDetails Current Date'!F:F,E45,
'YearA-AppDetails Current Date'!E:E,--F45,
'YearA-AppDetails Current Date'!T:T,{"APEX","DENY","NTSL"},
'YearA-AppDetails Current Date'!I:I,"SPRING"))), "")</f>
        <v/>
      </c>
      <c r="M45" s="74" t="str" cm="1">
        <f t="array" ref="M45">IFERROR(1/(1/SUM(COUNTIFS(
'YearA-AppDetails Current Date'!A:A,D45,
'YearA-AppDetails Current Date'!F:F,E45,
'YearA-AppDetails Current Date'!E:E,--F45,
'YearA-AppDetails Current Date'!U:U,{"CCAN","DECL"},
'YearA-AppDetails Current Date'!I:I,"SPRING"))), "")</f>
        <v/>
      </c>
      <c r="N45" s="74" t="str" cm="1">
        <f t="array" ref="N45">IFERROR(1/(1/SUM(COUNTIFS(
'YearA-AppDetails Current Date'!A:A,D45,
'YearA-AppDetails Current Date'!F:F,E45,
'YearA-AppDetails Current Date'!E:E,--F45,
'YearA-AppDetails Current Date'!V:V,{"APRO","NODE"},
'YearA-AppDetails Current Date'!I:I,"SPRING"))), "")</f>
        <v/>
      </c>
      <c r="O45" s="74" t="str" cm="1">
        <f t="array" ref="O45">IFERROR(1/(1/SUM(COUNTIFS(
'YearA-AppDetails Current Date'!A:A,D45,
'YearA-AppDetails Current Date'!F:F,E45,
'YearA-AppDetails Current Date'!E:E,--F45,
'YearA-AppDetails Current Date'!T:T,{"CDMT","RQMT","WAIT"},
'YearA-AppDetails Current Date'!I:I,"SPRING"))), "")</f>
        <v/>
      </c>
      <c r="P45" s="74" t="str">
        <f>IFERROR(1/(1/COUNTIFS(
'YearA-AppDetails Current Date'!A:A,D45,
'YearA-AppDetails Current Date'!F:F,E45,
'YearA-AppDetails Current Date'!E:E,--F45,
'YearA-AppDetails Current Date'!Y:Y,"ENRO",
'YearA-AppDetails Current Date'!I:I,"SPRING")),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HC'!D:T,8,FALSE)),
N(VLOOKUP(D46&amp;F46,'Budgeted Projections Intl HC'!D:T,9,FALSE))
)
),"")</f>
        <v/>
      </c>
      <c r="I46" s="73" t="str">
        <f>IFERROR(1/(1/COUNTIFS(
'YearA-AppDetails Current Date'!A:A,D46,
'YearA-AppDetails Current Date'!F:F,E46,
'YearA-AppDetails Current Date'!E:E,--F46,
'YearA-AppDetails Current Date'!I:I,"SPRING")), "")</f>
        <v/>
      </c>
      <c r="J46" s="74" t="str" cm="1">
        <f t="array" ref="J46">IFERROR(1/(1/SUM(COUNTIFS(
'YearA-AppDetails Current Date'!A:A,D46,
'YearA-AppDetails Current Date'!F:F,E46,
'YearA-AppDetails Current Date'!E:E,--F46,
'YearA-AppDetails Current Date'!O:O,{"ACLN","ACPT","COND"},
'YearA-AppDetails Current Date'!S:S,"&lt;&gt;ACLN",
'YearA-AppDetails Current Date'!S:S,"&lt;&gt;ACPT",
'YearA-AppDetails Current Date'!S:S,"&lt;&gt;COND",
'YearA-AppDetails Current Date'!I:I,"SPRING"))), "")</f>
        <v/>
      </c>
      <c r="K46" s="73" t="str">
        <f>IFERROR(1/(1/SUM(COUNTIFS(
'YearA-AppDetails Current Date'!A:A,D46,
'YearA-AppDetails Current Date'!F:F,E46,
'YearA-AppDetails Current Date'!E:E,--F46,
'YearA-AppDetails Current Date'!R:R,"&lt;&gt;"&amp;"",
'YearA-AppDetails Current Date'!I:I,"SPRING"))), "")</f>
        <v/>
      </c>
      <c r="L46" s="74" t="str" cm="1">
        <f t="array" ref="L46">IFERROR(1/(1/SUM(COUNTIFS(
'YearA-AppDetails Current Date'!A:A,D46,
'YearA-AppDetails Current Date'!F:F,E46,
'YearA-AppDetails Current Date'!E:E,--F46,
'YearA-AppDetails Current Date'!T:T,{"APEX","DENY","NTSL"},
'YearA-AppDetails Current Date'!I:I,"SPRING"))), "")</f>
        <v/>
      </c>
      <c r="M46" s="74" t="str" cm="1">
        <f t="array" ref="M46">IFERROR(1/(1/SUM(COUNTIFS(
'YearA-AppDetails Current Date'!A:A,D46,
'YearA-AppDetails Current Date'!F:F,E46,
'YearA-AppDetails Current Date'!E:E,--F46,
'YearA-AppDetails Current Date'!U:U,{"CCAN","DECL"},
'YearA-AppDetails Current Date'!I:I,"SPRING"))), "")</f>
        <v/>
      </c>
      <c r="N46" s="74" t="str" cm="1">
        <f t="array" ref="N46">IFERROR(1/(1/SUM(COUNTIFS(
'YearA-AppDetails Current Date'!A:A,D46,
'YearA-AppDetails Current Date'!F:F,E46,
'YearA-AppDetails Current Date'!E:E,--F46,
'YearA-AppDetails Current Date'!V:V,{"APRO","NODE"},
'YearA-AppDetails Current Date'!I:I,"SPRING"))), "")</f>
        <v/>
      </c>
      <c r="O46" s="74" t="str" cm="1">
        <f t="array" ref="O46">IFERROR(1/(1/SUM(COUNTIFS(
'YearA-AppDetails Current Date'!A:A,D46,
'YearA-AppDetails Current Date'!F:F,E46,
'YearA-AppDetails Current Date'!E:E,--F46,
'YearA-AppDetails Current Date'!T:T,{"CDMT","RQMT","WAIT"},
'YearA-AppDetails Current Date'!I:I,"SPRING"))), "")</f>
        <v/>
      </c>
      <c r="P46" s="74" t="str">
        <f>IFERROR(1/(1/COUNTIFS(
'YearA-AppDetails Current Date'!A:A,D46,
'YearA-AppDetails Current Date'!F:F,E46,
'YearA-AppDetails Current Date'!E:E,--F46,
'YearA-AppDetails Current Date'!Y:Y,"ENRO",
'YearA-AppDetails Current Date'!I:I,"SPRING")),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HC'!D:T,8,FALSE)),
N(VLOOKUP(D47&amp;F47,'Budgeted Projections Dom HC'!D:T,9,FALSE))
)
),"")</f>
        <v/>
      </c>
      <c r="I47" s="73" t="str">
        <f>IFERROR(1/(1/COUNTIFS(
'YearA-AppDetails Current Date'!A:A,D47,
'YearA-AppDetails Current Date'!F:F,E47,
'YearA-AppDetails Current Date'!E:E,--F47,
'YearA-AppDetails Current Date'!I:I,"SPRING")), "")</f>
        <v/>
      </c>
      <c r="J47" s="74" t="str" cm="1">
        <f t="array" ref="J47">IFERROR(1/(1/SUM(COUNTIFS(
'YearA-AppDetails Current Date'!A:A,D47,
'YearA-AppDetails Current Date'!F:F,E47,
'YearA-AppDetails Current Date'!E:E,--F47,
'YearA-AppDetails Current Date'!O:O,{"ACLN","ACPT","COND"},
'YearA-AppDetails Current Date'!S:S,"&lt;&gt;ACLN",
'YearA-AppDetails Current Date'!S:S,"&lt;&gt;ACPT",
'YearA-AppDetails Current Date'!S:S,"&lt;&gt;COND",
'YearA-AppDetails Current Date'!I:I,"SPRING"))), "")</f>
        <v/>
      </c>
      <c r="K47" s="73" t="str">
        <f>IFERROR(1/(1/SUM(COUNTIFS(
'YearA-AppDetails Current Date'!A:A,D47,
'YearA-AppDetails Current Date'!F:F,E47,
'YearA-AppDetails Current Date'!E:E,--F47,
'YearA-AppDetails Current Date'!R:R,"&lt;&gt;"&amp;"",
'YearA-AppDetails Current Date'!I:I,"SPRING"))), "")</f>
        <v/>
      </c>
      <c r="L47" s="74" t="str" cm="1">
        <f t="array" ref="L47">IFERROR(1/(1/SUM(COUNTIFS(
'YearA-AppDetails Current Date'!A:A,D47,
'YearA-AppDetails Current Date'!F:F,E47,
'YearA-AppDetails Current Date'!E:E,--F47,
'YearA-AppDetails Current Date'!T:T,{"APEX","DENY","NTSL"},
'YearA-AppDetails Current Date'!I:I,"SPRING"))), "")</f>
        <v/>
      </c>
      <c r="M47" s="74" t="str" cm="1">
        <f t="array" ref="M47">IFERROR(1/(1/SUM(COUNTIFS(
'YearA-AppDetails Current Date'!A:A,D47,
'YearA-AppDetails Current Date'!F:F,E47,
'YearA-AppDetails Current Date'!E:E,--F47,
'YearA-AppDetails Current Date'!U:U,{"CCAN","DECL"},
'YearA-AppDetails Current Date'!I:I,"SPRING"))), "")</f>
        <v/>
      </c>
      <c r="N47" s="74" t="str" cm="1">
        <f t="array" ref="N47">IFERROR(1/(1/SUM(COUNTIFS(
'YearA-AppDetails Current Date'!A:A,D47,
'YearA-AppDetails Current Date'!F:F,E47,
'YearA-AppDetails Current Date'!E:E,--F47,
'YearA-AppDetails Current Date'!V:V,{"APRO","NODE"},
'YearA-AppDetails Current Date'!I:I,"SPRING"))), "")</f>
        <v/>
      </c>
      <c r="O47" s="74" t="str" cm="1">
        <f t="array" ref="O47">IFERROR(1/(1/SUM(COUNTIFS(
'YearA-AppDetails Current Date'!A:A,D47,
'YearA-AppDetails Current Date'!F:F,E47,
'YearA-AppDetails Current Date'!E:E,--F47,
'YearA-AppDetails Current Date'!T:T,{"CDMT","RQMT","WAIT"},
'YearA-AppDetails Current Date'!I:I,"SPRING"))), "")</f>
        <v/>
      </c>
      <c r="P47" s="74" t="str">
        <f>IFERROR(1/(1/COUNTIFS(
'YearA-AppDetails Current Date'!A:A,D47,
'YearA-AppDetails Current Date'!F:F,E47,
'YearA-AppDetails Current Date'!E:E,--F47,
'YearA-AppDetails Current Date'!Y:Y,"ENRO",
'YearA-AppDetails Current Date'!I:I,"SPRING")),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HC'!D:T,8,FALSE)),
N(VLOOKUP(D48&amp;F48,'Budgeted Projections Intl HC'!D:T,9,FALSE))
)
),"")</f>
        <v/>
      </c>
      <c r="I48" s="73" t="str">
        <f>IFERROR(1/(1/COUNTIFS(
'YearA-AppDetails Current Date'!A:A,D48,
'YearA-AppDetails Current Date'!F:F,E48,
'YearA-AppDetails Current Date'!E:E,--F48,
'YearA-AppDetails Current Date'!I:I,"SPRING")), "")</f>
        <v/>
      </c>
      <c r="J48" s="74" t="str" cm="1">
        <f t="array" ref="J48">IFERROR(1/(1/SUM(COUNTIFS(
'YearA-AppDetails Current Date'!A:A,D48,
'YearA-AppDetails Current Date'!F:F,E48,
'YearA-AppDetails Current Date'!E:E,--F48,
'YearA-AppDetails Current Date'!O:O,{"ACLN","ACPT","COND"},
'YearA-AppDetails Current Date'!S:S,"&lt;&gt;ACLN",
'YearA-AppDetails Current Date'!S:S,"&lt;&gt;ACPT",
'YearA-AppDetails Current Date'!S:S,"&lt;&gt;COND",
'YearA-AppDetails Current Date'!I:I,"SPRING"))), "")</f>
        <v/>
      </c>
      <c r="K48" s="73" t="str">
        <f>IFERROR(1/(1/SUM(COUNTIFS(
'YearA-AppDetails Current Date'!A:A,D48,
'YearA-AppDetails Current Date'!F:F,E48,
'YearA-AppDetails Current Date'!E:E,--F48,
'YearA-AppDetails Current Date'!R:R,"&lt;&gt;"&amp;"",
'YearA-AppDetails Current Date'!I:I,"SPRING"))), "")</f>
        <v/>
      </c>
      <c r="L48" s="74" t="str" cm="1">
        <f t="array" ref="L48">IFERROR(1/(1/SUM(COUNTIFS(
'YearA-AppDetails Current Date'!A:A,D48,
'YearA-AppDetails Current Date'!F:F,E48,
'YearA-AppDetails Current Date'!E:E,--F48,
'YearA-AppDetails Current Date'!T:T,{"APEX","DENY","NTSL"},
'YearA-AppDetails Current Date'!I:I,"SPRING"))), "")</f>
        <v/>
      </c>
      <c r="M48" s="74" t="str" cm="1">
        <f t="array" ref="M48">IFERROR(1/(1/SUM(COUNTIFS(
'YearA-AppDetails Current Date'!A:A,D48,
'YearA-AppDetails Current Date'!F:F,E48,
'YearA-AppDetails Current Date'!E:E,--F48,
'YearA-AppDetails Current Date'!U:U,{"CCAN","DECL"},
'YearA-AppDetails Current Date'!I:I,"SPRING"))), "")</f>
        <v/>
      </c>
      <c r="N48" s="74" t="str" cm="1">
        <f t="array" ref="N48">IFERROR(1/(1/SUM(COUNTIFS(
'YearA-AppDetails Current Date'!A:A,D48,
'YearA-AppDetails Current Date'!F:F,E48,
'YearA-AppDetails Current Date'!E:E,--F48,
'YearA-AppDetails Current Date'!V:V,{"APRO","NODE"},
'YearA-AppDetails Current Date'!I:I,"SPRING"))), "")</f>
        <v/>
      </c>
      <c r="O48" s="74" t="str" cm="1">
        <f t="array" ref="O48">IFERROR(1/(1/SUM(COUNTIFS(
'YearA-AppDetails Current Date'!A:A,D48,
'YearA-AppDetails Current Date'!F:F,E48,
'YearA-AppDetails Current Date'!E:E,--F48,
'YearA-AppDetails Current Date'!T:T,{"CDMT","RQMT","WAIT"},
'YearA-AppDetails Current Date'!I:I,"SPRING"))), "")</f>
        <v/>
      </c>
      <c r="P48" s="74" t="str">
        <f>IFERROR(1/(1/COUNTIFS(
'YearA-AppDetails Current Date'!A:A,D48,
'YearA-AppDetails Current Date'!F:F,E48,
'YearA-AppDetails Current Date'!E:E,--F48,
'YearA-AppDetails Current Date'!Y:Y,"ENRO",
'YearA-AppDetails Current Date'!I:I,"SPRING")),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HC'!D:T,8,FALSE)),
N(VLOOKUP(D50&amp;F50,'Budgeted Projections Dom HC'!D:T,9,FALSE))
)
),"")</f>
        <v/>
      </c>
      <c r="I50" s="73" t="str">
        <f>IFERROR(1/(1/COUNTIFS(
'YearA-AppDetails Current Date'!A:A,D50,
'YearA-AppDetails Current Date'!F:F,E50,
'YearA-AppDetails Current Date'!E:E,--F50,
'YearA-AppDetails Current Date'!I:I,"SPRING")), "")</f>
        <v/>
      </c>
      <c r="J50" s="74" t="str" cm="1">
        <f t="array" ref="J50">IFERROR(1/(1/SUM(COUNTIFS(
'YearA-AppDetails Current Date'!A:A,D50,
'YearA-AppDetails Current Date'!F:F,E50,
'YearA-AppDetails Current Date'!E:E,--F50,
'YearA-AppDetails Current Date'!O:O,{"ACLN","ACPT","COND"},
'YearA-AppDetails Current Date'!S:S,"&lt;&gt;ACLN",
'YearA-AppDetails Current Date'!S:S,"&lt;&gt;ACPT",
'YearA-AppDetails Current Date'!S:S,"&lt;&gt;COND",
'YearA-AppDetails Current Date'!I:I,"SPRING"))), "")</f>
        <v/>
      </c>
      <c r="K50" s="73" t="str">
        <f>IFERROR(1/(1/SUM(COUNTIFS(
'YearA-AppDetails Current Date'!A:A,D50,
'YearA-AppDetails Current Date'!F:F,E50,
'YearA-AppDetails Current Date'!E:E,--F50,
'YearA-AppDetails Current Date'!R:R,"&lt;&gt;"&amp;"",
'YearA-AppDetails Current Date'!I:I,"SPRING"))), "")</f>
        <v/>
      </c>
      <c r="L50" s="74" t="str" cm="1">
        <f t="array" ref="L50">IFERROR(1/(1/SUM(COUNTIFS(
'YearA-AppDetails Current Date'!A:A,D50,
'YearA-AppDetails Current Date'!F:F,E50,
'YearA-AppDetails Current Date'!E:E,--F50,
'YearA-AppDetails Current Date'!T:T,{"APEX","DENY","NTSL"},
'YearA-AppDetails Current Date'!I:I,"SPRING"))), "")</f>
        <v/>
      </c>
      <c r="M50" s="74" t="str" cm="1">
        <f t="array" ref="M50">IFERROR(1/(1/SUM(COUNTIFS(
'YearA-AppDetails Current Date'!A:A,D50,
'YearA-AppDetails Current Date'!F:F,E50,
'YearA-AppDetails Current Date'!E:E,--F50,
'YearA-AppDetails Current Date'!U:U,{"CCAN","DECL"},
'YearA-AppDetails Current Date'!I:I,"SPRING"))), "")</f>
        <v/>
      </c>
      <c r="N50" s="74" t="str" cm="1">
        <f t="array" ref="N50">IFERROR(1/(1/SUM(COUNTIFS(
'YearA-AppDetails Current Date'!A:A,D50,
'YearA-AppDetails Current Date'!F:F,E50,
'YearA-AppDetails Current Date'!E:E,--F50,
'YearA-AppDetails Current Date'!V:V,{"APRO","NODE"},
'YearA-AppDetails Current Date'!I:I,"SPRING"))), "")</f>
        <v/>
      </c>
      <c r="O50" s="74" t="str" cm="1">
        <f t="array" ref="O50">IFERROR(1/(1/SUM(COUNTIFS(
'YearA-AppDetails Current Date'!A:A,D50,
'YearA-AppDetails Current Date'!F:F,E50,
'YearA-AppDetails Current Date'!E:E,--F50,
'YearA-AppDetails Current Date'!T:T,{"CDMT","RQMT","WAIT"},
'YearA-AppDetails Current Date'!I:I,"SPRING"))), "")</f>
        <v/>
      </c>
      <c r="P50" s="74" t="str">
        <f>IFERROR(1/(1/COUNTIFS(
'YearA-AppDetails Current Date'!A:A,D50,
'YearA-AppDetails Current Date'!F:F,E50,
'YearA-AppDetails Current Date'!E:E,--F50,
'YearA-AppDetails Current Date'!Y:Y,"ENRO",
'YearA-AppDetails Current Date'!I:I,"SPRING")),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HC'!D:T,8,FALSE)),
N(VLOOKUP(D51&amp;F51,'Budgeted Projections Intl HC'!D:T,9,FALSE))
)
),"")</f>
        <v/>
      </c>
      <c r="I51" s="73" t="str">
        <f>IFERROR(1/(1/COUNTIFS(
'YearA-AppDetails Current Date'!A:A,D51,
'YearA-AppDetails Current Date'!F:F,E51,
'YearA-AppDetails Current Date'!E:E,--F51,
'YearA-AppDetails Current Date'!I:I,"SPRING")), "")</f>
        <v/>
      </c>
      <c r="J51" s="74" t="str" cm="1">
        <f t="array" ref="J51">IFERROR(1/(1/SUM(COUNTIFS(
'YearA-AppDetails Current Date'!A:A,D51,
'YearA-AppDetails Current Date'!F:F,E51,
'YearA-AppDetails Current Date'!E:E,--F51,
'YearA-AppDetails Current Date'!O:O,{"ACLN","ACPT","COND"},
'YearA-AppDetails Current Date'!S:S,"&lt;&gt;ACLN",
'YearA-AppDetails Current Date'!S:S,"&lt;&gt;ACPT",
'YearA-AppDetails Current Date'!S:S,"&lt;&gt;COND",
'YearA-AppDetails Current Date'!I:I,"SPRING"))), "")</f>
        <v/>
      </c>
      <c r="K51" s="73" t="str">
        <f>IFERROR(1/(1/SUM(COUNTIFS(
'YearA-AppDetails Current Date'!A:A,D51,
'YearA-AppDetails Current Date'!F:F,E51,
'YearA-AppDetails Current Date'!E:E,--F51,
'YearA-AppDetails Current Date'!R:R,"&lt;&gt;"&amp;"",
'YearA-AppDetails Current Date'!I:I,"SPRING"))), "")</f>
        <v/>
      </c>
      <c r="L51" s="74" t="str" cm="1">
        <f t="array" ref="L51">IFERROR(1/(1/SUM(COUNTIFS(
'YearA-AppDetails Current Date'!A:A,D51,
'YearA-AppDetails Current Date'!F:F,E51,
'YearA-AppDetails Current Date'!E:E,--F51,
'YearA-AppDetails Current Date'!T:T,{"APEX","DENY","NTSL"},
'YearA-AppDetails Current Date'!I:I,"SPRING"))), "")</f>
        <v/>
      </c>
      <c r="M51" s="74" t="str" cm="1">
        <f t="array" ref="M51">IFERROR(1/(1/SUM(COUNTIFS(
'YearA-AppDetails Current Date'!A:A,D51,
'YearA-AppDetails Current Date'!F:F,E51,
'YearA-AppDetails Current Date'!E:E,--F51,
'YearA-AppDetails Current Date'!U:U,{"CCAN","DECL"},
'YearA-AppDetails Current Date'!I:I,"SPRING"))), "")</f>
        <v/>
      </c>
      <c r="N51" s="74" t="str" cm="1">
        <f t="array" ref="N51">IFERROR(1/(1/SUM(COUNTIFS(
'YearA-AppDetails Current Date'!A:A,D51,
'YearA-AppDetails Current Date'!F:F,E51,
'YearA-AppDetails Current Date'!E:E,--F51,
'YearA-AppDetails Current Date'!V:V,{"APRO","NODE"},
'YearA-AppDetails Current Date'!I:I,"SPRING"))), "")</f>
        <v/>
      </c>
      <c r="O51" s="74" t="str" cm="1">
        <f t="array" ref="O51">IFERROR(1/(1/SUM(COUNTIFS(
'YearA-AppDetails Current Date'!A:A,D51,
'YearA-AppDetails Current Date'!F:F,E51,
'YearA-AppDetails Current Date'!E:E,--F51,
'YearA-AppDetails Current Date'!T:T,{"CDMT","RQMT","WAIT"},
'YearA-AppDetails Current Date'!I:I,"SPRING"))), "")</f>
        <v/>
      </c>
      <c r="P51" s="74" t="str">
        <f>IFERROR(1/(1/COUNTIFS(
'YearA-AppDetails Current Date'!A:A,D51,
'YearA-AppDetails Current Date'!F:F,E51,
'YearA-AppDetails Current Date'!E:E,--F51,
'YearA-AppDetails Current Date'!Y:Y,"ENRO",
'YearA-AppDetails Current Date'!I:I,"SPRING")),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HC'!D:T,8,FALSE)),
N(VLOOKUP(D52&amp;F52,'Budgeted Projections Dom HC'!D:T,9,FALSE))
)
),"")</f>
        <v/>
      </c>
      <c r="I52" s="73" t="str">
        <f>IFERROR(1/(1/COUNTIFS(
'YearA-AppDetails Current Date'!A:A,D52,
'YearA-AppDetails Current Date'!F:F,E52,
'YearA-AppDetails Current Date'!E:E,--F52,
'YearA-AppDetails Current Date'!I:I,"SPRING")), "")</f>
        <v/>
      </c>
      <c r="J52" s="74" t="str" cm="1">
        <f t="array" ref="J52">IFERROR(1/(1/SUM(COUNTIFS(
'YearA-AppDetails Current Date'!A:A,D52,
'YearA-AppDetails Current Date'!F:F,E52,
'YearA-AppDetails Current Date'!E:E,--F52,
'YearA-AppDetails Current Date'!O:O,{"ACLN","ACPT","COND"},
'YearA-AppDetails Current Date'!S:S,"&lt;&gt;ACLN",
'YearA-AppDetails Current Date'!S:S,"&lt;&gt;ACPT",
'YearA-AppDetails Current Date'!S:S,"&lt;&gt;COND",
'YearA-AppDetails Current Date'!I:I,"SPRING"))), "")</f>
        <v/>
      </c>
      <c r="K52" s="73" t="str">
        <f>IFERROR(1/(1/SUM(COUNTIFS(
'YearA-AppDetails Current Date'!A:A,D52,
'YearA-AppDetails Current Date'!F:F,E52,
'YearA-AppDetails Current Date'!E:E,--F52,
'YearA-AppDetails Current Date'!R:R,"&lt;&gt;"&amp;"",
'YearA-AppDetails Current Date'!I:I,"SPRING"))), "")</f>
        <v/>
      </c>
      <c r="L52" s="74" t="str" cm="1">
        <f t="array" ref="L52">IFERROR(1/(1/SUM(COUNTIFS(
'YearA-AppDetails Current Date'!A:A,D52,
'YearA-AppDetails Current Date'!F:F,E52,
'YearA-AppDetails Current Date'!E:E,--F52,
'YearA-AppDetails Current Date'!T:T,{"APEX","DENY","NTSL"},
'YearA-AppDetails Current Date'!I:I,"SPRING"))), "")</f>
        <v/>
      </c>
      <c r="M52" s="74" t="str" cm="1">
        <f t="array" ref="M52">IFERROR(1/(1/SUM(COUNTIFS(
'YearA-AppDetails Current Date'!A:A,D52,
'YearA-AppDetails Current Date'!F:F,E52,
'YearA-AppDetails Current Date'!E:E,--F52,
'YearA-AppDetails Current Date'!U:U,{"CCAN","DECL"},
'YearA-AppDetails Current Date'!I:I,"SPRING"))), "")</f>
        <v/>
      </c>
      <c r="N52" s="74" t="str" cm="1">
        <f t="array" ref="N52">IFERROR(1/(1/SUM(COUNTIFS(
'YearA-AppDetails Current Date'!A:A,D52,
'YearA-AppDetails Current Date'!F:F,E52,
'YearA-AppDetails Current Date'!E:E,--F52,
'YearA-AppDetails Current Date'!V:V,{"APRO","NODE"},
'YearA-AppDetails Current Date'!I:I,"SPRING"))), "")</f>
        <v/>
      </c>
      <c r="O52" s="74" t="str" cm="1">
        <f t="array" ref="O52">IFERROR(1/(1/SUM(COUNTIFS(
'YearA-AppDetails Current Date'!A:A,D52,
'YearA-AppDetails Current Date'!F:F,E52,
'YearA-AppDetails Current Date'!E:E,--F52,
'YearA-AppDetails Current Date'!T:T,{"CDMT","RQMT","WAIT"},
'YearA-AppDetails Current Date'!I:I,"SPRING"))), "")</f>
        <v/>
      </c>
      <c r="P52" s="74" t="str">
        <f>IFERROR(1/(1/COUNTIFS(
'YearA-AppDetails Current Date'!A:A,D52,
'YearA-AppDetails Current Date'!F:F,E52,
'YearA-AppDetails Current Date'!E:E,--F52,
'YearA-AppDetails Current Date'!Y:Y,"ENRO",
'YearA-AppDetails Current Date'!I:I,"SPRING")),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HC'!D:T,8,FALSE)),
N(VLOOKUP(D53&amp;F53,'Budgeted Projections Intl HC'!D:T,9,FALSE))
)
),"")</f>
        <v/>
      </c>
      <c r="I53" s="73" t="str">
        <f>IFERROR(1/(1/COUNTIFS(
'YearA-AppDetails Current Date'!A:A,D53,
'YearA-AppDetails Current Date'!F:F,E53,
'YearA-AppDetails Current Date'!E:E,--F53,
'YearA-AppDetails Current Date'!I:I,"SPRING")), "")</f>
        <v/>
      </c>
      <c r="J53" s="74" t="str" cm="1">
        <f t="array" ref="J53">IFERROR(1/(1/SUM(COUNTIFS(
'YearA-AppDetails Current Date'!A:A,D53,
'YearA-AppDetails Current Date'!F:F,E53,
'YearA-AppDetails Current Date'!E:E,--F53,
'YearA-AppDetails Current Date'!O:O,{"ACLN","ACPT","COND"},
'YearA-AppDetails Current Date'!S:S,"&lt;&gt;ACLN",
'YearA-AppDetails Current Date'!S:S,"&lt;&gt;ACPT",
'YearA-AppDetails Current Date'!S:S,"&lt;&gt;COND",
'YearA-AppDetails Current Date'!I:I,"SPRING"))), "")</f>
        <v/>
      </c>
      <c r="K53" s="73" t="str">
        <f>IFERROR(1/(1/SUM(COUNTIFS(
'YearA-AppDetails Current Date'!A:A,D53,
'YearA-AppDetails Current Date'!F:F,E53,
'YearA-AppDetails Current Date'!E:E,--F53,
'YearA-AppDetails Current Date'!R:R,"&lt;&gt;"&amp;"",
'YearA-AppDetails Current Date'!I:I,"SPRING"))), "")</f>
        <v/>
      </c>
      <c r="L53" s="74" t="str" cm="1">
        <f t="array" ref="L53">IFERROR(1/(1/SUM(COUNTIFS(
'YearA-AppDetails Current Date'!A:A,D53,
'YearA-AppDetails Current Date'!F:F,E53,
'YearA-AppDetails Current Date'!E:E,--F53,
'YearA-AppDetails Current Date'!T:T,{"APEX","DENY","NTSL"},
'YearA-AppDetails Current Date'!I:I,"SPRING"))), "")</f>
        <v/>
      </c>
      <c r="M53" s="74" t="str" cm="1">
        <f t="array" ref="M53">IFERROR(1/(1/SUM(COUNTIFS(
'YearA-AppDetails Current Date'!A:A,D53,
'YearA-AppDetails Current Date'!F:F,E53,
'YearA-AppDetails Current Date'!E:E,--F53,
'YearA-AppDetails Current Date'!U:U,{"CCAN","DECL"},
'YearA-AppDetails Current Date'!I:I,"SPRING"))), "")</f>
        <v/>
      </c>
      <c r="N53" s="74" t="str" cm="1">
        <f t="array" ref="N53">IFERROR(1/(1/SUM(COUNTIFS(
'YearA-AppDetails Current Date'!A:A,D53,
'YearA-AppDetails Current Date'!F:F,E53,
'YearA-AppDetails Current Date'!E:E,--F53,
'YearA-AppDetails Current Date'!V:V,{"APRO","NODE"},
'YearA-AppDetails Current Date'!I:I,"SPRING"))), "")</f>
        <v/>
      </c>
      <c r="O53" s="74" t="str" cm="1">
        <f t="array" ref="O53">IFERROR(1/(1/SUM(COUNTIFS(
'YearA-AppDetails Current Date'!A:A,D53,
'YearA-AppDetails Current Date'!F:F,E53,
'YearA-AppDetails Current Date'!E:E,--F53,
'YearA-AppDetails Current Date'!T:T,{"CDMT","RQMT","WAIT"},
'YearA-AppDetails Current Date'!I:I,"SPRING"))), "")</f>
        <v/>
      </c>
      <c r="P53" s="74" t="str">
        <f>IFERROR(1/(1/COUNTIFS(
'YearA-AppDetails Current Date'!A:A,D53,
'YearA-AppDetails Current Date'!F:F,E53,
'YearA-AppDetails Current Date'!E:E,--F53,
'YearA-AppDetails Current Date'!Y:Y,"ENRO",
'YearA-AppDetails Current Date'!I:I,"SPRING")),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HC'!D:T,8,FALSE)),
N(VLOOKUP(D55&amp;F55,'Budgeted Projections Dom HC'!D:T,9,FALSE))
)
),"")</f>
        <v/>
      </c>
      <c r="I55" s="73" t="str">
        <f>IFERROR(1/(1/COUNTIFS(
'YearA-AppDetails Current Date'!A:A,D55,
'YearA-AppDetails Current Date'!F:F,E55,
'YearA-AppDetails Current Date'!E:E,--F55,
'YearA-AppDetails Current Date'!I:I,"SPRING")), "")</f>
        <v/>
      </c>
      <c r="J55" s="74" t="str" cm="1">
        <f t="array" ref="J55">IFERROR(1/(1/SUM(COUNTIFS(
'YearA-AppDetails Current Date'!A:A,D55,
'YearA-AppDetails Current Date'!F:F,E55,
'YearA-AppDetails Current Date'!E:E,--F55,
'YearA-AppDetails Current Date'!O:O,{"ACLN","ACPT","COND"},
'YearA-AppDetails Current Date'!S:S,"&lt;&gt;ACLN",
'YearA-AppDetails Current Date'!S:S,"&lt;&gt;ACPT",
'YearA-AppDetails Current Date'!S:S,"&lt;&gt;COND",
'YearA-AppDetails Current Date'!I:I,"SPRING"))), "")</f>
        <v/>
      </c>
      <c r="K55" s="73" t="str">
        <f>IFERROR(1/(1/SUM(COUNTIFS(
'YearA-AppDetails Current Date'!A:A,D55,
'YearA-AppDetails Current Date'!F:F,E55,
'YearA-AppDetails Current Date'!E:E,--F55,
'YearA-AppDetails Current Date'!R:R,"&lt;&gt;"&amp;"",
'YearA-AppDetails Current Date'!I:I,"SPRING"))), "")</f>
        <v/>
      </c>
      <c r="L55" s="74" t="str" cm="1">
        <f t="array" ref="L55">IFERROR(1/(1/SUM(COUNTIFS(
'YearA-AppDetails Current Date'!A:A,D55,
'YearA-AppDetails Current Date'!F:F,E55,
'YearA-AppDetails Current Date'!E:E,--F55,
'YearA-AppDetails Current Date'!T:T,{"APEX","DENY","NTSL"},
'YearA-AppDetails Current Date'!I:I,"SPRING"))), "")</f>
        <v/>
      </c>
      <c r="M55" s="74" t="str" cm="1">
        <f t="array" ref="M55">IFERROR(1/(1/SUM(COUNTIFS(
'YearA-AppDetails Current Date'!A:A,D55,
'YearA-AppDetails Current Date'!F:F,E55,
'YearA-AppDetails Current Date'!E:E,--F55,
'YearA-AppDetails Current Date'!U:U,{"CCAN","DECL"},
'YearA-AppDetails Current Date'!I:I,"SPRING"))), "")</f>
        <v/>
      </c>
      <c r="N55" s="74" t="str" cm="1">
        <f t="array" ref="N55">IFERROR(1/(1/SUM(COUNTIFS(
'YearA-AppDetails Current Date'!A:A,D55,
'YearA-AppDetails Current Date'!F:F,E55,
'YearA-AppDetails Current Date'!E:E,--F55,
'YearA-AppDetails Current Date'!V:V,{"APRO","NODE"},
'YearA-AppDetails Current Date'!I:I,"SPRING"))), "")</f>
        <v/>
      </c>
      <c r="O55" s="74" t="str" cm="1">
        <f t="array" ref="O55">IFERROR(1/(1/SUM(COUNTIFS(
'YearA-AppDetails Current Date'!A:A,D55,
'YearA-AppDetails Current Date'!F:F,E55,
'YearA-AppDetails Current Date'!E:E,--F55,
'YearA-AppDetails Current Date'!T:T,{"CDMT","RQMT","WAIT"},
'YearA-AppDetails Current Date'!I:I,"SPRING"))), "")</f>
        <v/>
      </c>
      <c r="P55" s="74" t="str">
        <f>IFERROR(1/(1/COUNTIFS(
'YearA-AppDetails Current Date'!A:A,D55,
'YearA-AppDetails Current Date'!F:F,E55,
'YearA-AppDetails Current Date'!E:E,--F55,
'YearA-AppDetails Current Date'!Y:Y,"ENRO",
'YearA-AppDetails Current Date'!I:I,"SPRING")),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HC'!D:T,8,FALSE)),
N(VLOOKUP(D56&amp;F56,'Budgeted Projections Intl HC'!D:T,9,FALSE))
)
),"")</f>
        <v/>
      </c>
      <c r="I56" s="73" t="str">
        <f>IFERROR(1/(1/COUNTIFS(
'YearA-AppDetails Current Date'!A:A,D56,
'YearA-AppDetails Current Date'!F:F,E56,
'YearA-AppDetails Current Date'!E:E,--F56,
'YearA-AppDetails Current Date'!I:I,"SPRING")), "")</f>
        <v/>
      </c>
      <c r="J56" s="74" t="str" cm="1">
        <f t="array" ref="J56">IFERROR(1/(1/SUM(COUNTIFS(
'YearA-AppDetails Current Date'!A:A,D56,
'YearA-AppDetails Current Date'!F:F,E56,
'YearA-AppDetails Current Date'!E:E,--F56,
'YearA-AppDetails Current Date'!O:O,{"ACLN","ACPT","COND"},
'YearA-AppDetails Current Date'!S:S,"&lt;&gt;ACLN",
'YearA-AppDetails Current Date'!S:S,"&lt;&gt;ACPT",
'YearA-AppDetails Current Date'!S:S,"&lt;&gt;COND",
'YearA-AppDetails Current Date'!I:I,"SPRING"))), "")</f>
        <v/>
      </c>
      <c r="K56" s="73" t="str">
        <f>IFERROR(1/(1/SUM(COUNTIFS(
'YearA-AppDetails Current Date'!A:A,D56,
'YearA-AppDetails Current Date'!F:F,E56,
'YearA-AppDetails Current Date'!E:E,--F56,
'YearA-AppDetails Current Date'!R:R,"&lt;&gt;"&amp;"",
'YearA-AppDetails Current Date'!I:I,"SPRING"))), "")</f>
        <v/>
      </c>
      <c r="L56" s="74" t="str" cm="1">
        <f t="array" ref="L56">IFERROR(1/(1/SUM(COUNTIFS(
'YearA-AppDetails Current Date'!A:A,D56,
'YearA-AppDetails Current Date'!F:F,E56,
'YearA-AppDetails Current Date'!E:E,--F56,
'YearA-AppDetails Current Date'!T:T,{"APEX","DENY","NTSL"},
'YearA-AppDetails Current Date'!I:I,"SPRING"))), "")</f>
        <v/>
      </c>
      <c r="M56" s="74" t="str" cm="1">
        <f t="array" ref="M56">IFERROR(1/(1/SUM(COUNTIFS(
'YearA-AppDetails Current Date'!A:A,D56,
'YearA-AppDetails Current Date'!F:F,E56,
'YearA-AppDetails Current Date'!E:E,--F56,
'YearA-AppDetails Current Date'!U:U,{"CCAN","DECL"},
'YearA-AppDetails Current Date'!I:I,"SPRING"))), "")</f>
        <v/>
      </c>
      <c r="N56" s="74" t="str" cm="1">
        <f t="array" ref="N56">IFERROR(1/(1/SUM(COUNTIFS(
'YearA-AppDetails Current Date'!A:A,D56,
'YearA-AppDetails Current Date'!F:F,E56,
'YearA-AppDetails Current Date'!E:E,--F56,
'YearA-AppDetails Current Date'!V:V,{"APRO","NODE"},
'YearA-AppDetails Current Date'!I:I,"SPRING"))), "")</f>
        <v/>
      </c>
      <c r="O56" s="74" t="str" cm="1">
        <f t="array" ref="O56">IFERROR(1/(1/SUM(COUNTIFS(
'YearA-AppDetails Current Date'!A:A,D56,
'YearA-AppDetails Current Date'!F:F,E56,
'YearA-AppDetails Current Date'!E:E,--F56,
'YearA-AppDetails Current Date'!T:T,{"CDMT","RQMT","WAIT"},
'YearA-AppDetails Current Date'!I:I,"SPRING"))), "")</f>
        <v/>
      </c>
      <c r="P56" s="74" t="str">
        <f>IFERROR(1/(1/COUNTIFS(
'YearA-AppDetails Current Date'!A:A,D56,
'YearA-AppDetails Current Date'!F:F,E56,
'YearA-AppDetails Current Date'!E:E,--F56,
'YearA-AppDetails Current Date'!Y:Y,"ENRO",
'YearA-AppDetails Current Date'!I:I,"SPRING")),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HC'!D:T,8,FALSE)),
N(VLOOKUP(D57&amp;F57,'Budgeted Projections Dom HC'!D:T,9,FALSE))
)
),"")</f>
        <v/>
      </c>
      <c r="I57" s="73" t="str">
        <f>IFERROR(1/(1/COUNTIFS(
'YearA-AppDetails Current Date'!A:A,D57,
'YearA-AppDetails Current Date'!F:F,E57,
'YearA-AppDetails Current Date'!E:E,--F57,
'YearA-AppDetails Current Date'!I:I,"SPRING")), "")</f>
        <v/>
      </c>
      <c r="J57" s="74" t="str" cm="1">
        <f t="array" ref="J57">IFERROR(1/(1/SUM(COUNTIFS(
'YearA-AppDetails Current Date'!A:A,D57,
'YearA-AppDetails Current Date'!F:F,E57,
'YearA-AppDetails Current Date'!E:E,--F57,
'YearA-AppDetails Current Date'!O:O,{"ACLN","ACPT","COND"},
'YearA-AppDetails Current Date'!S:S,"&lt;&gt;ACLN",
'YearA-AppDetails Current Date'!S:S,"&lt;&gt;ACPT",
'YearA-AppDetails Current Date'!S:S,"&lt;&gt;COND",
'YearA-AppDetails Current Date'!I:I,"SPRING"))), "")</f>
        <v/>
      </c>
      <c r="K57" s="73" t="str">
        <f>IFERROR(1/(1/SUM(COUNTIFS(
'YearA-AppDetails Current Date'!A:A,D57,
'YearA-AppDetails Current Date'!F:F,E57,
'YearA-AppDetails Current Date'!E:E,--F57,
'YearA-AppDetails Current Date'!R:R,"&lt;&gt;"&amp;"",
'YearA-AppDetails Current Date'!I:I,"SPRING"))), "")</f>
        <v/>
      </c>
      <c r="L57" s="74" t="str" cm="1">
        <f t="array" ref="L57">IFERROR(1/(1/SUM(COUNTIFS(
'YearA-AppDetails Current Date'!A:A,D57,
'YearA-AppDetails Current Date'!F:F,E57,
'YearA-AppDetails Current Date'!E:E,--F57,
'YearA-AppDetails Current Date'!T:T,{"APEX","DENY","NTSL"},
'YearA-AppDetails Current Date'!I:I,"SPRING"))), "")</f>
        <v/>
      </c>
      <c r="M57" s="74" t="str" cm="1">
        <f t="array" ref="M57">IFERROR(1/(1/SUM(COUNTIFS(
'YearA-AppDetails Current Date'!A:A,D57,
'YearA-AppDetails Current Date'!F:F,E57,
'YearA-AppDetails Current Date'!E:E,--F57,
'YearA-AppDetails Current Date'!U:U,{"CCAN","DECL"},
'YearA-AppDetails Current Date'!I:I,"SPRING"))), "")</f>
        <v/>
      </c>
      <c r="N57" s="74" t="str" cm="1">
        <f t="array" ref="N57">IFERROR(1/(1/SUM(COUNTIFS(
'YearA-AppDetails Current Date'!A:A,D57,
'YearA-AppDetails Current Date'!F:F,E57,
'YearA-AppDetails Current Date'!E:E,--F57,
'YearA-AppDetails Current Date'!V:V,{"APRO","NODE"},
'YearA-AppDetails Current Date'!I:I,"SPRING"))), "")</f>
        <v/>
      </c>
      <c r="O57" s="74" t="str" cm="1">
        <f t="array" ref="O57">IFERROR(1/(1/SUM(COUNTIFS(
'YearA-AppDetails Current Date'!A:A,D57,
'YearA-AppDetails Current Date'!F:F,E57,
'YearA-AppDetails Current Date'!E:E,--F57,
'YearA-AppDetails Current Date'!T:T,{"CDMT","RQMT","WAIT"},
'YearA-AppDetails Current Date'!I:I,"SPRING"))), "")</f>
        <v/>
      </c>
      <c r="P57" s="74" t="str">
        <f>IFERROR(1/(1/COUNTIFS(
'YearA-AppDetails Current Date'!A:A,D57,
'YearA-AppDetails Current Date'!F:F,E57,
'YearA-AppDetails Current Date'!E:E,--F57,
'YearA-AppDetails Current Date'!Y:Y,"ENRO",
'YearA-AppDetails Current Date'!I:I,"SPRING")),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HC'!D:T,8,FALSE)),
N(VLOOKUP(D58&amp;F58,'Budgeted Projections Intl HC'!D:T,9,FALSE))
)
),"")</f>
        <v/>
      </c>
      <c r="I58" s="73" t="str">
        <f>IFERROR(1/(1/COUNTIFS(
'YearA-AppDetails Current Date'!A:A,D58,
'YearA-AppDetails Current Date'!F:F,E58,
'YearA-AppDetails Current Date'!E:E,--F58,
'YearA-AppDetails Current Date'!I:I,"SPRING")), "")</f>
        <v/>
      </c>
      <c r="J58" s="74" t="str" cm="1">
        <f t="array" ref="J58">IFERROR(1/(1/SUM(COUNTIFS(
'YearA-AppDetails Current Date'!A:A,D58,
'YearA-AppDetails Current Date'!F:F,E58,
'YearA-AppDetails Current Date'!E:E,--F58,
'YearA-AppDetails Current Date'!O:O,{"ACLN","ACPT","COND"},
'YearA-AppDetails Current Date'!S:S,"&lt;&gt;ACLN",
'YearA-AppDetails Current Date'!S:S,"&lt;&gt;ACPT",
'YearA-AppDetails Current Date'!S:S,"&lt;&gt;COND",
'YearA-AppDetails Current Date'!I:I,"SPRING"))), "")</f>
        <v/>
      </c>
      <c r="K58" s="73" t="str">
        <f>IFERROR(1/(1/SUM(COUNTIFS(
'YearA-AppDetails Current Date'!A:A,D58,
'YearA-AppDetails Current Date'!F:F,E58,
'YearA-AppDetails Current Date'!E:E,--F58,
'YearA-AppDetails Current Date'!R:R,"&lt;&gt;"&amp;"",
'YearA-AppDetails Current Date'!I:I,"SPRING"))), "")</f>
        <v/>
      </c>
      <c r="L58" s="74" t="str" cm="1">
        <f t="array" ref="L58">IFERROR(1/(1/SUM(COUNTIFS(
'YearA-AppDetails Current Date'!A:A,D58,
'YearA-AppDetails Current Date'!F:F,E58,
'YearA-AppDetails Current Date'!E:E,--F58,
'YearA-AppDetails Current Date'!T:T,{"APEX","DENY","NTSL"},
'YearA-AppDetails Current Date'!I:I,"SPRING"))), "")</f>
        <v/>
      </c>
      <c r="M58" s="74" t="str" cm="1">
        <f t="array" ref="M58">IFERROR(1/(1/SUM(COUNTIFS(
'YearA-AppDetails Current Date'!A:A,D58,
'YearA-AppDetails Current Date'!F:F,E58,
'YearA-AppDetails Current Date'!E:E,--F58,
'YearA-AppDetails Current Date'!U:U,{"CCAN","DECL"},
'YearA-AppDetails Current Date'!I:I,"SPRING"))), "")</f>
        <v/>
      </c>
      <c r="N58" s="74" t="str" cm="1">
        <f t="array" ref="N58">IFERROR(1/(1/SUM(COUNTIFS(
'YearA-AppDetails Current Date'!A:A,D58,
'YearA-AppDetails Current Date'!F:F,E58,
'YearA-AppDetails Current Date'!E:E,--F58,
'YearA-AppDetails Current Date'!V:V,{"APRO","NODE"},
'YearA-AppDetails Current Date'!I:I,"SPRING"))), "")</f>
        <v/>
      </c>
      <c r="O58" s="74" t="str" cm="1">
        <f t="array" ref="O58">IFERROR(1/(1/SUM(COUNTIFS(
'YearA-AppDetails Current Date'!A:A,D58,
'YearA-AppDetails Current Date'!F:F,E58,
'YearA-AppDetails Current Date'!E:E,--F58,
'YearA-AppDetails Current Date'!T:T,{"CDMT","RQMT","WAIT"},
'YearA-AppDetails Current Date'!I:I,"SPRING"))), "")</f>
        <v/>
      </c>
      <c r="P58" s="74" t="str">
        <f>IFERROR(1/(1/COUNTIFS(
'YearA-AppDetails Current Date'!A:A,D58,
'YearA-AppDetails Current Date'!F:F,E58,
'YearA-AppDetails Current Date'!E:E,--F58,
'YearA-AppDetails Current Date'!Y:Y,"ENRO",
'YearA-AppDetails Current Date'!I:I,"SPRING")),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HC'!D:T,8,FALSE)),
N(VLOOKUP(D59&amp;F59,'Budgeted Projections Dom HC'!D:T,9,FALSE))
)
),"")</f>
        <v/>
      </c>
      <c r="I59" s="73" t="str">
        <f>IFERROR(1/(1/COUNTIFS(
'YearA-AppDetails Current Date'!A:A,D59,
'YearA-AppDetails Current Date'!F:F,E59,
'YearA-AppDetails Current Date'!E:E,--F59,
'YearA-AppDetails Current Date'!I:I,"SPRING")), "")</f>
        <v/>
      </c>
      <c r="J59" s="74" t="str" cm="1">
        <f t="array" ref="J59">IFERROR(1/(1/SUM(COUNTIFS(
'YearA-AppDetails Current Date'!A:A,D59,
'YearA-AppDetails Current Date'!F:F,E59,
'YearA-AppDetails Current Date'!E:E,--F59,
'YearA-AppDetails Current Date'!O:O,{"ACLN","ACPT","COND"},
'YearA-AppDetails Current Date'!S:S,"&lt;&gt;ACLN",
'YearA-AppDetails Current Date'!S:S,"&lt;&gt;ACPT",
'YearA-AppDetails Current Date'!S:S,"&lt;&gt;COND",
'YearA-AppDetails Current Date'!I:I,"SPRING"))), "")</f>
        <v/>
      </c>
      <c r="K59" s="73" t="str">
        <f>IFERROR(1/(1/SUM(COUNTIFS(
'YearA-AppDetails Current Date'!A:A,D59,
'YearA-AppDetails Current Date'!F:F,E59,
'YearA-AppDetails Current Date'!E:E,--F59,
'YearA-AppDetails Current Date'!R:R,"&lt;&gt;"&amp;"",
'YearA-AppDetails Current Date'!I:I,"SPRING"))), "")</f>
        <v/>
      </c>
      <c r="L59" s="74" t="str" cm="1">
        <f t="array" ref="L59">IFERROR(1/(1/SUM(COUNTIFS(
'YearA-AppDetails Current Date'!A:A,D59,
'YearA-AppDetails Current Date'!F:F,E59,
'YearA-AppDetails Current Date'!E:E,--F59,
'YearA-AppDetails Current Date'!T:T,{"APEX","DENY","NTSL"},
'YearA-AppDetails Current Date'!I:I,"SPRING"))), "")</f>
        <v/>
      </c>
      <c r="M59" s="74" t="str" cm="1">
        <f t="array" ref="M59">IFERROR(1/(1/SUM(COUNTIFS(
'YearA-AppDetails Current Date'!A:A,D59,
'YearA-AppDetails Current Date'!F:F,E59,
'YearA-AppDetails Current Date'!E:E,--F59,
'YearA-AppDetails Current Date'!U:U,{"CCAN","DECL"},
'YearA-AppDetails Current Date'!I:I,"SPRING"))), "")</f>
        <v/>
      </c>
      <c r="N59" s="74" t="str" cm="1">
        <f t="array" ref="N59">IFERROR(1/(1/SUM(COUNTIFS(
'YearA-AppDetails Current Date'!A:A,D59,
'YearA-AppDetails Current Date'!F:F,E59,
'YearA-AppDetails Current Date'!E:E,--F59,
'YearA-AppDetails Current Date'!V:V,{"APRO","NODE"},
'YearA-AppDetails Current Date'!I:I,"SPRING"))), "")</f>
        <v/>
      </c>
      <c r="O59" s="74" t="str" cm="1">
        <f t="array" ref="O59">IFERROR(1/(1/SUM(COUNTIFS(
'YearA-AppDetails Current Date'!A:A,D59,
'YearA-AppDetails Current Date'!F:F,E59,
'YearA-AppDetails Current Date'!E:E,--F59,
'YearA-AppDetails Current Date'!T:T,{"CDMT","RQMT","WAIT"},
'YearA-AppDetails Current Date'!I:I,"SPRING"))), "")</f>
        <v/>
      </c>
      <c r="P59" s="74" t="str">
        <f>IFERROR(1/(1/COUNTIFS(
'YearA-AppDetails Current Date'!A:A,D59,
'YearA-AppDetails Current Date'!F:F,E59,
'YearA-AppDetails Current Date'!E:E,--F59,
'YearA-AppDetails Current Date'!Y:Y,"ENRO",
'YearA-AppDetails Current Date'!I:I,"SPRING")),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HC'!D:T,8,FALSE)),
N(VLOOKUP(D60&amp;F60,'Budgeted Projections Intl HC'!D:T,9,FALSE))
)
),"")</f>
        <v/>
      </c>
      <c r="I60" s="73" t="str">
        <f>IFERROR(1/(1/COUNTIFS(
'YearA-AppDetails Current Date'!A:A,D60,
'YearA-AppDetails Current Date'!F:F,E60,
'YearA-AppDetails Current Date'!E:E,--F60,
'YearA-AppDetails Current Date'!I:I,"SPRING")), "")</f>
        <v/>
      </c>
      <c r="J60" s="74" t="str" cm="1">
        <f t="array" ref="J60">IFERROR(1/(1/SUM(COUNTIFS(
'YearA-AppDetails Current Date'!A:A,D60,
'YearA-AppDetails Current Date'!F:F,E60,
'YearA-AppDetails Current Date'!E:E,--F60,
'YearA-AppDetails Current Date'!O:O,{"ACLN","ACPT","COND"},
'YearA-AppDetails Current Date'!S:S,"&lt;&gt;ACLN",
'YearA-AppDetails Current Date'!S:S,"&lt;&gt;ACPT",
'YearA-AppDetails Current Date'!S:S,"&lt;&gt;COND",
'YearA-AppDetails Current Date'!I:I,"SPRING"))), "")</f>
        <v/>
      </c>
      <c r="K60" s="73" t="str">
        <f>IFERROR(1/(1/SUM(COUNTIFS(
'YearA-AppDetails Current Date'!A:A,D60,
'YearA-AppDetails Current Date'!F:F,E60,
'YearA-AppDetails Current Date'!E:E,--F60,
'YearA-AppDetails Current Date'!R:R,"&lt;&gt;"&amp;"",
'YearA-AppDetails Current Date'!I:I,"SPRING"))), "")</f>
        <v/>
      </c>
      <c r="L60" s="74" t="str" cm="1">
        <f t="array" ref="L60">IFERROR(1/(1/SUM(COUNTIFS(
'YearA-AppDetails Current Date'!A:A,D60,
'YearA-AppDetails Current Date'!F:F,E60,
'YearA-AppDetails Current Date'!E:E,--F60,
'YearA-AppDetails Current Date'!T:T,{"APEX","DENY","NTSL"},
'YearA-AppDetails Current Date'!I:I,"SPRING"))), "")</f>
        <v/>
      </c>
      <c r="M60" s="74" t="str" cm="1">
        <f t="array" ref="M60">IFERROR(1/(1/SUM(COUNTIFS(
'YearA-AppDetails Current Date'!A:A,D60,
'YearA-AppDetails Current Date'!F:F,E60,
'YearA-AppDetails Current Date'!E:E,--F60,
'YearA-AppDetails Current Date'!U:U,{"CCAN","DECL"},
'YearA-AppDetails Current Date'!I:I,"SPRING"))), "")</f>
        <v/>
      </c>
      <c r="N60" s="74" t="str" cm="1">
        <f t="array" ref="N60">IFERROR(1/(1/SUM(COUNTIFS(
'YearA-AppDetails Current Date'!A:A,D60,
'YearA-AppDetails Current Date'!F:F,E60,
'YearA-AppDetails Current Date'!E:E,--F60,
'YearA-AppDetails Current Date'!V:V,{"APRO","NODE"},
'YearA-AppDetails Current Date'!I:I,"SPRING"))), "")</f>
        <v/>
      </c>
      <c r="O60" s="74" t="str" cm="1">
        <f t="array" ref="O60">IFERROR(1/(1/SUM(COUNTIFS(
'YearA-AppDetails Current Date'!A:A,D60,
'YearA-AppDetails Current Date'!F:F,E60,
'YearA-AppDetails Current Date'!E:E,--F60,
'YearA-AppDetails Current Date'!T:T,{"CDMT","RQMT","WAIT"},
'YearA-AppDetails Current Date'!I:I,"SPRING"))), "")</f>
        <v/>
      </c>
      <c r="P60" s="74" t="str">
        <f>IFERROR(1/(1/COUNTIFS(
'YearA-AppDetails Current Date'!A:A,D60,
'YearA-AppDetails Current Date'!F:F,E60,
'YearA-AppDetails Current Date'!E:E,--F60,
'YearA-AppDetails Current Date'!Y:Y,"ENRO",
'YearA-AppDetails Current Date'!I:I,"SPRING")),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HC'!D:T,8,FALSE)),
N(VLOOKUP(D61&amp;F61,'Budgeted Projections Dom HC'!D:T,9,FALSE))
)
),"")</f>
        <v/>
      </c>
      <c r="I61" s="73" t="str">
        <f>IFERROR(1/(1/COUNTIFS(
'YearA-AppDetails Current Date'!A:A,D61,
'YearA-AppDetails Current Date'!F:F,E61,
'YearA-AppDetails Current Date'!E:E,--F61,
'YearA-AppDetails Current Date'!I:I,"SPRING")), "")</f>
        <v/>
      </c>
      <c r="J61" s="74" t="str" cm="1">
        <f t="array" ref="J61">IFERROR(1/(1/SUM(COUNTIFS(
'YearA-AppDetails Current Date'!A:A,D61,
'YearA-AppDetails Current Date'!F:F,E61,
'YearA-AppDetails Current Date'!E:E,--F61,
'YearA-AppDetails Current Date'!O:O,{"ACLN","ACPT","COND"},
'YearA-AppDetails Current Date'!S:S,"&lt;&gt;ACLN",
'YearA-AppDetails Current Date'!S:S,"&lt;&gt;ACPT",
'YearA-AppDetails Current Date'!S:S,"&lt;&gt;COND",
'YearA-AppDetails Current Date'!I:I,"SPRING"))), "")</f>
        <v/>
      </c>
      <c r="K61" s="73" t="str">
        <f>IFERROR(1/(1/SUM(COUNTIFS(
'YearA-AppDetails Current Date'!A:A,D61,
'YearA-AppDetails Current Date'!F:F,E61,
'YearA-AppDetails Current Date'!E:E,--F61,
'YearA-AppDetails Current Date'!R:R,"&lt;&gt;"&amp;"",
'YearA-AppDetails Current Date'!I:I,"SPRING"))), "")</f>
        <v/>
      </c>
      <c r="L61" s="74" t="str" cm="1">
        <f t="array" ref="L61">IFERROR(1/(1/SUM(COUNTIFS(
'YearA-AppDetails Current Date'!A:A,D61,
'YearA-AppDetails Current Date'!F:F,E61,
'YearA-AppDetails Current Date'!E:E,--F61,
'YearA-AppDetails Current Date'!T:T,{"APEX","DENY","NTSL"},
'YearA-AppDetails Current Date'!I:I,"SPRING"))), "")</f>
        <v/>
      </c>
      <c r="M61" s="74" t="str" cm="1">
        <f t="array" ref="M61">IFERROR(1/(1/SUM(COUNTIFS(
'YearA-AppDetails Current Date'!A:A,D61,
'YearA-AppDetails Current Date'!F:F,E61,
'YearA-AppDetails Current Date'!E:E,--F61,
'YearA-AppDetails Current Date'!U:U,{"CCAN","DECL"},
'YearA-AppDetails Current Date'!I:I,"SPRING"))), "")</f>
        <v/>
      </c>
      <c r="N61" s="74" t="str" cm="1">
        <f t="array" ref="N61">IFERROR(1/(1/SUM(COUNTIFS(
'YearA-AppDetails Current Date'!A:A,D61,
'YearA-AppDetails Current Date'!F:F,E61,
'YearA-AppDetails Current Date'!E:E,--F61,
'YearA-AppDetails Current Date'!V:V,{"APRO","NODE"},
'YearA-AppDetails Current Date'!I:I,"SPRING"))), "")</f>
        <v/>
      </c>
      <c r="O61" s="74" t="str" cm="1">
        <f t="array" ref="O61">IFERROR(1/(1/SUM(COUNTIFS(
'YearA-AppDetails Current Date'!A:A,D61,
'YearA-AppDetails Current Date'!F:F,E61,
'YearA-AppDetails Current Date'!E:E,--F61,
'YearA-AppDetails Current Date'!T:T,{"CDMT","RQMT","WAIT"},
'YearA-AppDetails Current Date'!I:I,"SPRING"))), "")</f>
        <v/>
      </c>
      <c r="P61" s="74" t="str">
        <f>IFERROR(1/(1/COUNTIFS(
'YearA-AppDetails Current Date'!A:A,D61,
'YearA-AppDetails Current Date'!F:F,E61,
'YearA-AppDetails Current Date'!E:E,--F61,
'YearA-AppDetails Current Date'!Y:Y,"ENRO",
'YearA-AppDetails Current Date'!I:I,"SPRING")),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HC'!D:T,8,FALSE)),
N(VLOOKUP(D62&amp;F62,'Budgeted Projections Intl HC'!D:T,9,FALSE))
)
),"")</f>
        <v/>
      </c>
      <c r="I62" s="73" t="str">
        <f>IFERROR(1/(1/COUNTIFS(
'YearA-AppDetails Current Date'!A:A,D62,
'YearA-AppDetails Current Date'!F:F,E62,
'YearA-AppDetails Current Date'!E:E,--F62,
'YearA-AppDetails Current Date'!I:I,"SPRING")), "")</f>
        <v/>
      </c>
      <c r="J62" s="74" t="str" cm="1">
        <f t="array" ref="J62">IFERROR(1/(1/SUM(COUNTIFS(
'YearA-AppDetails Current Date'!A:A,D62,
'YearA-AppDetails Current Date'!F:F,E62,
'YearA-AppDetails Current Date'!E:E,--F62,
'YearA-AppDetails Current Date'!O:O,{"ACLN","ACPT","COND"},
'YearA-AppDetails Current Date'!S:S,"&lt;&gt;ACLN",
'YearA-AppDetails Current Date'!S:S,"&lt;&gt;ACPT",
'YearA-AppDetails Current Date'!S:S,"&lt;&gt;COND",
'YearA-AppDetails Current Date'!I:I,"SPRING"))), "")</f>
        <v/>
      </c>
      <c r="K62" s="73" t="str">
        <f>IFERROR(1/(1/SUM(COUNTIFS(
'YearA-AppDetails Current Date'!A:A,D62,
'YearA-AppDetails Current Date'!F:F,E62,
'YearA-AppDetails Current Date'!E:E,--F62,
'YearA-AppDetails Current Date'!R:R,"&lt;&gt;"&amp;"",
'YearA-AppDetails Current Date'!I:I,"SPRING"))), "")</f>
        <v/>
      </c>
      <c r="L62" s="74" t="str" cm="1">
        <f t="array" ref="L62">IFERROR(1/(1/SUM(COUNTIFS(
'YearA-AppDetails Current Date'!A:A,D62,
'YearA-AppDetails Current Date'!F:F,E62,
'YearA-AppDetails Current Date'!E:E,--F62,
'YearA-AppDetails Current Date'!T:T,{"APEX","DENY","NTSL"},
'YearA-AppDetails Current Date'!I:I,"SPRING"))), "")</f>
        <v/>
      </c>
      <c r="M62" s="74" t="str" cm="1">
        <f t="array" ref="M62">IFERROR(1/(1/SUM(COUNTIFS(
'YearA-AppDetails Current Date'!A:A,D62,
'YearA-AppDetails Current Date'!F:F,E62,
'YearA-AppDetails Current Date'!E:E,--F62,
'YearA-AppDetails Current Date'!U:U,{"CCAN","DECL"},
'YearA-AppDetails Current Date'!I:I,"SPRING"))), "")</f>
        <v/>
      </c>
      <c r="N62" s="74" t="str" cm="1">
        <f t="array" ref="N62">IFERROR(1/(1/SUM(COUNTIFS(
'YearA-AppDetails Current Date'!A:A,D62,
'YearA-AppDetails Current Date'!F:F,E62,
'YearA-AppDetails Current Date'!E:E,--F62,
'YearA-AppDetails Current Date'!V:V,{"APRO","NODE"},
'YearA-AppDetails Current Date'!I:I,"SPRING"))), "")</f>
        <v/>
      </c>
      <c r="O62" s="74" t="str" cm="1">
        <f t="array" ref="O62">IFERROR(1/(1/SUM(COUNTIFS(
'YearA-AppDetails Current Date'!A:A,D62,
'YearA-AppDetails Current Date'!F:F,E62,
'YearA-AppDetails Current Date'!E:E,--F62,
'YearA-AppDetails Current Date'!T:T,{"CDMT","RQMT","WAIT"},
'YearA-AppDetails Current Date'!I:I,"SPRING"))), "")</f>
        <v/>
      </c>
      <c r="P62" s="74" t="str">
        <f>IFERROR(1/(1/COUNTIFS(
'YearA-AppDetails Current Date'!A:A,D62,
'YearA-AppDetails Current Date'!F:F,E62,
'YearA-AppDetails Current Date'!E:E,--F62,
'YearA-AppDetails Current Date'!Y:Y,"ENRO",
'YearA-AppDetails Current Date'!I:I,"SPRING")),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HC'!D:T,8,FALSE)),
N(VLOOKUP(D64&amp;F64,'Budgeted Projections Dom HC'!D:T,9,FALSE))
)
),"")</f>
        <v/>
      </c>
      <c r="I64" s="73" t="str">
        <f>IFERROR(1/(1/COUNTIFS(
'YearA-AppDetails Current Date'!A:A,D64,
'YearA-AppDetails Current Date'!F:F,E64,
'YearA-AppDetails Current Date'!E:E,--F64,
'YearA-AppDetails Current Date'!I:I,"SPRING")), "")</f>
        <v/>
      </c>
      <c r="J64" s="74" t="str" cm="1">
        <f t="array" ref="J64">IFERROR(1/(1/SUM(COUNTIFS(
'YearA-AppDetails Current Date'!A:A,D64,
'YearA-AppDetails Current Date'!F:F,E64,
'YearA-AppDetails Current Date'!E:E,--F64,
'YearA-AppDetails Current Date'!O:O,{"ACLN","ACPT","COND"},
'YearA-AppDetails Current Date'!S:S,"&lt;&gt;ACLN",
'YearA-AppDetails Current Date'!S:S,"&lt;&gt;ACPT",
'YearA-AppDetails Current Date'!S:S,"&lt;&gt;COND",
'YearA-AppDetails Current Date'!I:I,"SPRING"))), "")</f>
        <v/>
      </c>
      <c r="K64" s="73" t="str">
        <f>IFERROR(1/(1/SUM(COUNTIFS(
'YearA-AppDetails Current Date'!A:A,D64,
'YearA-AppDetails Current Date'!F:F,E64,
'YearA-AppDetails Current Date'!E:E,--F64,
'YearA-AppDetails Current Date'!R:R,"&lt;&gt;"&amp;"",
'YearA-AppDetails Current Date'!I:I,"SPRING"))), "")</f>
        <v/>
      </c>
      <c r="L64" s="74" t="str" cm="1">
        <f t="array" ref="L64">IFERROR(1/(1/SUM(COUNTIFS(
'YearA-AppDetails Current Date'!A:A,D64,
'YearA-AppDetails Current Date'!F:F,E64,
'YearA-AppDetails Current Date'!E:E,--F64,
'YearA-AppDetails Current Date'!T:T,{"APEX","DENY","NTSL"},
'YearA-AppDetails Current Date'!I:I,"SPRING"))), "")</f>
        <v/>
      </c>
      <c r="M64" s="74" t="str" cm="1">
        <f t="array" ref="M64">IFERROR(1/(1/SUM(COUNTIFS(
'YearA-AppDetails Current Date'!A:A,D64,
'YearA-AppDetails Current Date'!F:F,E64,
'YearA-AppDetails Current Date'!E:E,--F64,
'YearA-AppDetails Current Date'!U:U,{"CCAN","DECL"},
'YearA-AppDetails Current Date'!I:I,"SPRING"))), "")</f>
        <v/>
      </c>
      <c r="N64" s="74" t="str" cm="1">
        <f t="array" ref="N64">IFERROR(1/(1/SUM(COUNTIFS(
'YearA-AppDetails Current Date'!A:A,D64,
'YearA-AppDetails Current Date'!F:F,E64,
'YearA-AppDetails Current Date'!E:E,--F64,
'YearA-AppDetails Current Date'!V:V,{"APRO","NODE"},
'YearA-AppDetails Current Date'!I:I,"SPRING"))), "")</f>
        <v/>
      </c>
      <c r="O64" s="74" t="str" cm="1">
        <f t="array" ref="O64">IFERROR(1/(1/SUM(COUNTIFS(
'YearA-AppDetails Current Date'!A:A,D64,
'YearA-AppDetails Current Date'!F:F,E64,
'YearA-AppDetails Current Date'!E:E,--F64,
'YearA-AppDetails Current Date'!T:T,{"CDMT","RQMT","WAIT"},
'YearA-AppDetails Current Date'!I:I,"SPRING"))), "")</f>
        <v/>
      </c>
      <c r="P64" s="74" t="str">
        <f>IFERROR(1/(1/COUNTIFS(
'YearA-AppDetails Current Date'!A:A,D64,
'YearA-AppDetails Current Date'!F:F,E64,
'YearA-AppDetails Current Date'!E:E,--F64,
'YearA-AppDetails Current Date'!Y:Y,"ENRO",
'YearA-AppDetails Current Date'!I:I,"SPRING")),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HC'!D:T,8,FALSE)),
N(VLOOKUP(D65&amp;F65,'Budgeted Projections Intl HC'!D:T,9,FALSE))
)
),"")</f>
        <v/>
      </c>
      <c r="I65" s="73" t="str">
        <f>IFERROR(1/(1/COUNTIFS(
'YearA-AppDetails Current Date'!A:A,D65,
'YearA-AppDetails Current Date'!F:F,E65,
'YearA-AppDetails Current Date'!E:E,--F65,
'YearA-AppDetails Current Date'!I:I,"SPRING")), "")</f>
        <v/>
      </c>
      <c r="J65" s="74" t="str" cm="1">
        <f t="array" ref="J65">IFERROR(1/(1/SUM(COUNTIFS(
'YearA-AppDetails Current Date'!A:A,D65,
'YearA-AppDetails Current Date'!F:F,E65,
'YearA-AppDetails Current Date'!E:E,--F65,
'YearA-AppDetails Current Date'!O:O,{"ACLN","ACPT","COND"},
'YearA-AppDetails Current Date'!S:S,"&lt;&gt;ACLN",
'YearA-AppDetails Current Date'!S:S,"&lt;&gt;ACPT",
'YearA-AppDetails Current Date'!S:S,"&lt;&gt;COND",
'YearA-AppDetails Current Date'!I:I,"SPRING"))), "")</f>
        <v/>
      </c>
      <c r="K65" s="73" t="str">
        <f>IFERROR(1/(1/SUM(COUNTIFS(
'YearA-AppDetails Current Date'!A:A,D65,
'YearA-AppDetails Current Date'!F:F,E65,
'YearA-AppDetails Current Date'!E:E,--F65,
'YearA-AppDetails Current Date'!R:R,"&lt;&gt;"&amp;"",
'YearA-AppDetails Current Date'!I:I,"SPRING"))), "")</f>
        <v/>
      </c>
      <c r="L65" s="74" t="str" cm="1">
        <f t="array" ref="L65">IFERROR(1/(1/SUM(COUNTIFS(
'YearA-AppDetails Current Date'!A:A,D65,
'YearA-AppDetails Current Date'!F:F,E65,
'YearA-AppDetails Current Date'!E:E,--F65,
'YearA-AppDetails Current Date'!T:T,{"APEX","DENY","NTSL"},
'YearA-AppDetails Current Date'!I:I,"SPRING"))), "")</f>
        <v/>
      </c>
      <c r="M65" s="74" t="str" cm="1">
        <f t="array" ref="M65">IFERROR(1/(1/SUM(COUNTIFS(
'YearA-AppDetails Current Date'!A:A,D65,
'YearA-AppDetails Current Date'!F:F,E65,
'YearA-AppDetails Current Date'!E:E,--F65,
'YearA-AppDetails Current Date'!U:U,{"CCAN","DECL"},
'YearA-AppDetails Current Date'!I:I,"SPRING"))), "")</f>
        <v/>
      </c>
      <c r="N65" s="74" t="str" cm="1">
        <f t="array" ref="N65">IFERROR(1/(1/SUM(COUNTIFS(
'YearA-AppDetails Current Date'!A:A,D65,
'YearA-AppDetails Current Date'!F:F,E65,
'YearA-AppDetails Current Date'!E:E,--F65,
'YearA-AppDetails Current Date'!V:V,{"APRO","NODE"},
'YearA-AppDetails Current Date'!I:I,"SPRING"))), "")</f>
        <v/>
      </c>
      <c r="O65" s="74" t="str" cm="1">
        <f t="array" ref="O65">IFERROR(1/(1/SUM(COUNTIFS(
'YearA-AppDetails Current Date'!A:A,D65,
'YearA-AppDetails Current Date'!F:F,E65,
'YearA-AppDetails Current Date'!E:E,--F65,
'YearA-AppDetails Current Date'!T:T,{"CDMT","RQMT","WAIT"},
'YearA-AppDetails Current Date'!I:I,"SPRING"))), "")</f>
        <v/>
      </c>
      <c r="P65" s="74" t="str">
        <f>IFERROR(1/(1/COUNTIFS(
'YearA-AppDetails Current Date'!A:A,D65,
'YearA-AppDetails Current Date'!F:F,E65,
'YearA-AppDetails Current Date'!E:E,--F65,
'YearA-AppDetails Current Date'!Y:Y,"ENRO",
'YearA-AppDetails Current Date'!I:I,"SPRING")),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HC'!D:T,8,FALSE)),
N(VLOOKUP(D66&amp;F66,'Budgeted Projections Dom HC'!D:T,9,FALSE))
)
),"")</f>
        <v/>
      </c>
      <c r="I66" s="73" t="str">
        <f>IFERROR(1/(1/COUNTIFS(
'YearA-AppDetails Current Date'!A:A,D66,
'YearA-AppDetails Current Date'!F:F,E66,
'YearA-AppDetails Current Date'!E:E,--F66,
'YearA-AppDetails Current Date'!I:I,"SPRING")), "")</f>
        <v/>
      </c>
      <c r="J66" s="74" t="str" cm="1">
        <f t="array" ref="J66">IFERROR(1/(1/SUM(COUNTIFS(
'YearA-AppDetails Current Date'!A:A,D66,
'YearA-AppDetails Current Date'!F:F,E66,
'YearA-AppDetails Current Date'!E:E,--F66,
'YearA-AppDetails Current Date'!O:O,{"ACLN","ACPT","COND"},
'YearA-AppDetails Current Date'!S:S,"&lt;&gt;ACLN",
'YearA-AppDetails Current Date'!S:S,"&lt;&gt;ACPT",
'YearA-AppDetails Current Date'!S:S,"&lt;&gt;COND",
'YearA-AppDetails Current Date'!I:I,"SPRING"))), "")</f>
        <v/>
      </c>
      <c r="K66" s="73" t="str">
        <f>IFERROR(1/(1/SUM(COUNTIFS(
'YearA-AppDetails Current Date'!A:A,D66,
'YearA-AppDetails Current Date'!F:F,E66,
'YearA-AppDetails Current Date'!E:E,--F66,
'YearA-AppDetails Current Date'!R:R,"&lt;&gt;"&amp;"",
'YearA-AppDetails Current Date'!I:I,"SPRING"))), "")</f>
        <v/>
      </c>
      <c r="L66" s="74" t="str" cm="1">
        <f t="array" ref="L66">IFERROR(1/(1/SUM(COUNTIFS(
'YearA-AppDetails Current Date'!A:A,D66,
'YearA-AppDetails Current Date'!F:F,E66,
'YearA-AppDetails Current Date'!E:E,--F66,
'YearA-AppDetails Current Date'!T:T,{"APEX","DENY","NTSL"},
'YearA-AppDetails Current Date'!I:I,"SPRING"))), "")</f>
        <v/>
      </c>
      <c r="M66" s="74" t="str" cm="1">
        <f t="array" ref="M66">IFERROR(1/(1/SUM(COUNTIFS(
'YearA-AppDetails Current Date'!A:A,D66,
'YearA-AppDetails Current Date'!F:F,E66,
'YearA-AppDetails Current Date'!E:E,--F66,
'YearA-AppDetails Current Date'!U:U,{"CCAN","DECL"},
'YearA-AppDetails Current Date'!I:I,"SPRING"))), "")</f>
        <v/>
      </c>
      <c r="N66" s="74" t="str" cm="1">
        <f t="array" ref="N66">IFERROR(1/(1/SUM(COUNTIFS(
'YearA-AppDetails Current Date'!A:A,D66,
'YearA-AppDetails Current Date'!F:F,E66,
'YearA-AppDetails Current Date'!E:E,--F66,
'YearA-AppDetails Current Date'!V:V,{"APRO","NODE"},
'YearA-AppDetails Current Date'!I:I,"SPRING"))), "")</f>
        <v/>
      </c>
      <c r="O66" s="74" t="str" cm="1">
        <f t="array" ref="O66">IFERROR(1/(1/SUM(COUNTIFS(
'YearA-AppDetails Current Date'!A:A,D66,
'YearA-AppDetails Current Date'!F:F,E66,
'YearA-AppDetails Current Date'!E:E,--F66,
'YearA-AppDetails Current Date'!T:T,{"CDMT","RQMT","WAIT"},
'YearA-AppDetails Current Date'!I:I,"SPRING"))), "")</f>
        <v/>
      </c>
      <c r="P66" s="74" t="str">
        <f>IFERROR(1/(1/COUNTIFS(
'YearA-AppDetails Current Date'!A:A,D66,
'YearA-AppDetails Current Date'!F:F,E66,
'YearA-AppDetails Current Date'!E:E,--F66,
'YearA-AppDetails Current Date'!Y:Y,"ENRO",
'YearA-AppDetails Current Date'!I:I,"SPRING")),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HC'!D:T,8,FALSE)),
N(VLOOKUP(D67&amp;F67,'Budgeted Projections Intl HC'!D:T,9,FALSE))
)
),"")</f>
        <v/>
      </c>
      <c r="I67" s="73" t="str">
        <f>IFERROR(1/(1/COUNTIFS(
'YearA-AppDetails Current Date'!A:A,D67,
'YearA-AppDetails Current Date'!F:F,E67,
'YearA-AppDetails Current Date'!E:E,--F67,
'YearA-AppDetails Current Date'!I:I,"SPRING")), "")</f>
        <v/>
      </c>
      <c r="J67" s="74" t="str" cm="1">
        <f t="array" ref="J67">IFERROR(1/(1/SUM(COUNTIFS(
'YearA-AppDetails Current Date'!A:A,D67,
'YearA-AppDetails Current Date'!F:F,E67,
'YearA-AppDetails Current Date'!E:E,--F67,
'YearA-AppDetails Current Date'!O:O,{"ACLN","ACPT","COND"},
'YearA-AppDetails Current Date'!S:S,"&lt;&gt;ACLN",
'YearA-AppDetails Current Date'!S:S,"&lt;&gt;ACPT",
'YearA-AppDetails Current Date'!S:S,"&lt;&gt;COND",
'YearA-AppDetails Current Date'!I:I,"SPRING"))), "")</f>
        <v/>
      </c>
      <c r="K67" s="73" t="str">
        <f>IFERROR(1/(1/SUM(COUNTIFS(
'YearA-AppDetails Current Date'!A:A,D67,
'YearA-AppDetails Current Date'!F:F,E67,
'YearA-AppDetails Current Date'!E:E,--F67,
'YearA-AppDetails Current Date'!R:R,"&lt;&gt;"&amp;"",
'YearA-AppDetails Current Date'!I:I,"SPRING"))), "")</f>
        <v/>
      </c>
      <c r="L67" s="74" t="str" cm="1">
        <f t="array" ref="L67">IFERROR(1/(1/SUM(COUNTIFS(
'YearA-AppDetails Current Date'!A:A,D67,
'YearA-AppDetails Current Date'!F:F,E67,
'YearA-AppDetails Current Date'!E:E,--F67,
'YearA-AppDetails Current Date'!T:T,{"APEX","DENY","NTSL"},
'YearA-AppDetails Current Date'!I:I,"SPRING"))), "")</f>
        <v/>
      </c>
      <c r="M67" s="74" t="str" cm="1">
        <f t="array" ref="M67">IFERROR(1/(1/SUM(COUNTIFS(
'YearA-AppDetails Current Date'!A:A,D67,
'YearA-AppDetails Current Date'!F:F,E67,
'YearA-AppDetails Current Date'!E:E,--F67,
'YearA-AppDetails Current Date'!U:U,{"CCAN","DECL"},
'YearA-AppDetails Current Date'!I:I,"SPRING"))), "")</f>
        <v/>
      </c>
      <c r="N67" s="74" t="str" cm="1">
        <f t="array" ref="N67">IFERROR(1/(1/SUM(COUNTIFS(
'YearA-AppDetails Current Date'!A:A,D67,
'YearA-AppDetails Current Date'!F:F,E67,
'YearA-AppDetails Current Date'!E:E,--F67,
'YearA-AppDetails Current Date'!V:V,{"APRO","NODE"},
'YearA-AppDetails Current Date'!I:I,"SPRING"))), "")</f>
        <v/>
      </c>
      <c r="O67" s="74" t="str" cm="1">
        <f t="array" ref="O67">IFERROR(1/(1/SUM(COUNTIFS(
'YearA-AppDetails Current Date'!A:A,D67,
'YearA-AppDetails Current Date'!F:F,E67,
'YearA-AppDetails Current Date'!E:E,--F67,
'YearA-AppDetails Current Date'!T:T,{"CDMT","RQMT","WAIT"},
'YearA-AppDetails Current Date'!I:I,"SPRING"))), "")</f>
        <v/>
      </c>
      <c r="P67" s="74" t="str">
        <f>IFERROR(1/(1/COUNTIFS(
'YearA-AppDetails Current Date'!A:A,D67,
'YearA-AppDetails Current Date'!F:F,E67,
'YearA-AppDetails Current Date'!E:E,--F67,
'YearA-AppDetails Current Date'!Y:Y,"ENRO",
'YearA-AppDetails Current Date'!I:I,"SPRING")),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HC'!D:T,8,FALSE)),
N(VLOOKUP(D68&amp;F68,'Budgeted Projections Dom HC'!D:T,9,FALSE))
)
),"")</f>
        <v/>
      </c>
      <c r="I68" s="73" t="str">
        <f>IFERROR(1/(1/COUNTIFS(
'YearA-AppDetails Current Date'!A:A,D68,
'YearA-AppDetails Current Date'!F:F,E68,
'YearA-AppDetails Current Date'!E:E,--F68,
'YearA-AppDetails Current Date'!I:I,"SPRING")), "")</f>
        <v/>
      </c>
      <c r="J68" s="74" t="str" cm="1">
        <f t="array" ref="J68">IFERROR(1/(1/SUM(COUNTIFS(
'YearA-AppDetails Current Date'!A:A,D68,
'YearA-AppDetails Current Date'!F:F,E68,
'YearA-AppDetails Current Date'!E:E,--F68,
'YearA-AppDetails Current Date'!O:O,{"ACLN","ACPT","COND"},
'YearA-AppDetails Current Date'!S:S,"&lt;&gt;ACLN",
'YearA-AppDetails Current Date'!S:S,"&lt;&gt;ACPT",
'YearA-AppDetails Current Date'!S:S,"&lt;&gt;COND",
'YearA-AppDetails Current Date'!I:I,"SPRING"))), "")</f>
        <v/>
      </c>
      <c r="K68" s="73" t="str">
        <f>IFERROR(1/(1/SUM(COUNTIFS(
'YearA-AppDetails Current Date'!A:A,D68,
'YearA-AppDetails Current Date'!F:F,E68,
'YearA-AppDetails Current Date'!E:E,--F68,
'YearA-AppDetails Current Date'!R:R,"&lt;&gt;"&amp;"",
'YearA-AppDetails Current Date'!I:I,"SPRING"))), "")</f>
        <v/>
      </c>
      <c r="L68" s="74" t="str" cm="1">
        <f t="array" ref="L68">IFERROR(1/(1/SUM(COUNTIFS(
'YearA-AppDetails Current Date'!A:A,D68,
'YearA-AppDetails Current Date'!F:F,E68,
'YearA-AppDetails Current Date'!E:E,--F68,
'YearA-AppDetails Current Date'!T:T,{"APEX","DENY","NTSL"},
'YearA-AppDetails Current Date'!I:I,"SPRING"))), "")</f>
        <v/>
      </c>
      <c r="M68" s="74" t="str" cm="1">
        <f t="array" ref="M68">IFERROR(1/(1/SUM(COUNTIFS(
'YearA-AppDetails Current Date'!A:A,D68,
'YearA-AppDetails Current Date'!F:F,E68,
'YearA-AppDetails Current Date'!E:E,--F68,
'YearA-AppDetails Current Date'!U:U,{"CCAN","DECL"},
'YearA-AppDetails Current Date'!I:I,"SPRING"))), "")</f>
        <v/>
      </c>
      <c r="N68" s="74" t="str" cm="1">
        <f t="array" ref="N68">IFERROR(1/(1/SUM(COUNTIFS(
'YearA-AppDetails Current Date'!A:A,D68,
'YearA-AppDetails Current Date'!F:F,E68,
'YearA-AppDetails Current Date'!E:E,--F68,
'YearA-AppDetails Current Date'!V:V,{"APRO","NODE"},
'YearA-AppDetails Current Date'!I:I,"SPRING"))), "")</f>
        <v/>
      </c>
      <c r="O68" s="74" t="str" cm="1">
        <f t="array" ref="O68">IFERROR(1/(1/SUM(COUNTIFS(
'YearA-AppDetails Current Date'!A:A,D68,
'YearA-AppDetails Current Date'!F:F,E68,
'YearA-AppDetails Current Date'!E:E,--F68,
'YearA-AppDetails Current Date'!T:T,{"CDMT","RQMT","WAIT"},
'YearA-AppDetails Current Date'!I:I,"SPRING"))), "")</f>
        <v/>
      </c>
      <c r="P68" s="74" t="str">
        <f>IFERROR(1/(1/COUNTIFS(
'YearA-AppDetails Current Date'!A:A,D68,
'YearA-AppDetails Current Date'!F:F,E68,
'YearA-AppDetails Current Date'!E:E,--F68,
'YearA-AppDetails Current Date'!Y:Y,"ENRO",
'YearA-AppDetails Current Date'!I:I,"SPRING")),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HC'!D:T,8,FALSE)),
N(VLOOKUP(D69&amp;F69,'Budgeted Projections Intl HC'!D:T,9,FALSE))
)
),"")</f>
        <v/>
      </c>
      <c r="I69" s="73" t="str">
        <f>IFERROR(1/(1/COUNTIFS(
'YearA-AppDetails Current Date'!A:A,D69,
'YearA-AppDetails Current Date'!F:F,E69,
'YearA-AppDetails Current Date'!E:E,--F69,
'YearA-AppDetails Current Date'!I:I,"SPRING")), "")</f>
        <v/>
      </c>
      <c r="J69" s="74" t="str" cm="1">
        <f t="array" ref="J69">IFERROR(1/(1/SUM(COUNTIFS(
'YearA-AppDetails Current Date'!A:A,D69,
'YearA-AppDetails Current Date'!F:F,E69,
'YearA-AppDetails Current Date'!E:E,--F69,
'YearA-AppDetails Current Date'!O:O,{"ACLN","ACPT","COND"},
'YearA-AppDetails Current Date'!S:S,"&lt;&gt;ACLN",
'YearA-AppDetails Current Date'!S:S,"&lt;&gt;ACPT",
'YearA-AppDetails Current Date'!S:S,"&lt;&gt;COND",
'YearA-AppDetails Current Date'!I:I,"SPRING"))), "")</f>
        <v/>
      </c>
      <c r="K69" s="73" t="str">
        <f>IFERROR(1/(1/SUM(COUNTIFS(
'YearA-AppDetails Current Date'!A:A,D69,
'YearA-AppDetails Current Date'!F:F,E69,
'YearA-AppDetails Current Date'!E:E,--F69,
'YearA-AppDetails Current Date'!R:R,"&lt;&gt;"&amp;"",
'YearA-AppDetails Current Date'!I:I,"SPRING"))), "")</f>
        <v/>
      </c>
      <c r="L69" s="74" t="str" cm="1">
        <f t="array" ref="L69">IFERROR(1/(1/SUM(COUNTIFS(
'YearA-AppDetails Current Date'!A:A,D69,
'YearA-AppDetails Current Date'!F:F,E69,
'YearA-AppDetails Current Date'!E:E,--F69,
'YearA-AppDetails Current Date'!T:T,{"APEX","DENY","NTSL"},
'YearA-AppDetails Current Date'!I:I,"SPRING"))), "")</f>
        <v/>
      </c>
      <c r="M69" s="74" t="str" cm="1">
        <f t="array" ref="M69">IFERROR(1/(1/SUM(COUNTIFS(
'YearA-AppDetails Current Date'!A:A,D69,
'YearA-AppDetails Current Date'!F:F,E69,
'YearA-AppDetails Current Date'!E:E,--F69,
'YearA-AppDetails Current Date'!U:U,{"CCAN","DECL"},
'YearA-AppDetails Current Date'!I:I,"SPRING"))), "")</f>
        <v/>
      </c>
      <c r="N69" s="74" t="str" cm="1">
        <f t="array" ref="N69">IFERROR(1/(1/SUM(COUNTIFS(
'YearA-AppDetails Current Date'!A:A,D69,
'YearA-AppDetails Current Date'!F:F,E69,
'YearA-AppDetails Current Date'!E:E,--F69,
'YearA-AppDetails Current Date'!V:V,{"APRO","NODE"},
'YearA-AppDetails Current Date'!I:I,"SPRING"))), "")</f>
        <v/>
      </c>
      <c r="O69" s="74" t="str" cm="1">
        <f t="array" ref="O69">IFERROR(1/(1/SUM(COUNTIFS(
'YearA-AppDetails Current Date'!A:A,D69,
'YearA-AppDetails Current Date'!F:F,E69,
'YearA-AppDetails Current Date'!E:E,--F69,
'YearA-AppDetails Current Date'!T:T,{"CDMT","RQMT","WAIT"},
'YearA-AppDetails Current Date'!I:I,"SPRING"))), "")</f>
        <v/>
      </c>
      <c r="P69" s="74" t="str">
        <f>IFERROR(1/(1/COUNTIFS(
'YearA-AppDetails Current Date'!A:A,D69,
'YearA-AppDetails Current Date'!F:F,E69,
'YearA-AppDetails Current Date'!E:E,--F69,
'YearA-AppDetails Current Date'!Y:Y,"ENRO",
'YearA-AppDetails Current Date'!I:I,"SPRING")),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HC'!D:T,8,FALSE)),
N(VLOOKUP(D70&amp;F70,'Budgeted Projections Dom HC'!D:T,9,FALSE))
)
),"")</f>
        <v/>
      </c>
      <c r="I70" s="73" t="str">
        <f>IFERROR(1/(1/COUNTIFS(
'YearA-AppDetails Current Date'!A:A,D70,
'YearA-AppDetails Current Date'!F:F,E70,
'YearA-AppDetails Current Date'!E:E,--F70,
'YearA-AppDetails Current Date'!I:I,"SPRING")), "")</f>
        <v/>
      </c>
      <c r="J70" s="74" t="str" cm="1">
        <f t="array" ref="J70">IFERROR(1/(1/SUM(COUNTIFS(
'YearA-AppDetails Current Date'!A:A,D70,
'YearA-AppDetails Current Date'!F:F,E70,
'YearA-AppDetails Current Date'!E:E,--F70,
'YearA-AppDetails Current Date'!O:O,{"ACLN","ACPT","COND"},
'YearA-AppDetails Current Date'!S:S,"&lt;&gt;ACLN",
'YearA-AppDetails Current Date'!S:S,"&lt;&gt;ACPT",
'YearA-AppDetails Current Date'!S:S,"&lt;&gt;COND",
'YearA-AppDetails Current Date'!I:I,"SPRING"))), "")</f>
        <v/>
      </c>
      <c r="K70" s="73" t="str">
        <f>IFERROR(1/(1/SUM(COUNTIFS(
'YearA-AppDetails Current Date'!A:A,D70,
'YearA-AppDetails Current Date'!F:F,E70,
'YearA-AppDetails Current Date'!E:E,--F70,
'YearA-AppDetails Current Date'!R:R,"&lt;&gt;"&amp;"",
'YearA-AppDetails Current Date'!I:I,"SPRING"))), "")</f>
        <v/>
      </c>
      <c r="L70" s="74" t="str" cm="1">
        <f t="array" ref="L70">IFERROR(1/(1/SUM(COUNTIFS(
'YearA-AppDetails Current Date'!A:A,D70,
'YearA-AppDetails Current Date'!F:F,E70,
'YearA-AppDetails Current Date'!E:E,--F70,
'YearA-AppDetails Current Date'!T:T,{"APEX","DENY","NTSL"},
'YearA-AppDetails Current Date'!I:I,"SPRING"))), "")</f>
        <v/>
      </c>
      <c r="M70" s="74" t="str" cm="1">
        <f t="array" ref="M70">IFERROR(1/(1/SUM(COUNTIFS(
'YearA-AppDetails Current Date'!A:A,D70,
'YearA-AppDetails Current Date'!F:F,E70,
'YearA-AppDetails Current Date'!E:E,--F70,
'YearA-AppDetails Current Date'!U:U,{"CCAN","DECL"},
'YearA-AppDetails Current Date'!I:I,"SPRING"))), "")</f>
        <v/>
      </c>
      <c r="N70" s="74" t="str" cm="1">
        <f t="array" ref="N70">IFERROR(1/(1/SUM(COUNTIFS(
'YearA-AppDetails Current Date'!A:A,D70,
'YearA-AppDetails Current Date'!F:F,E70,
'YearA-AppDetails Current Date'!E:E,--F70,
'YearA-AppDetails Current Date'!V:V,{"APRO","NODE"},
'YearA-AppDetails Current Date'!I:I,"SPRING"))), "")</f>
        <v/>
      </c>
      <c r="O70" s="74" t="str" cm="1">
        <f t="array" ref="O70">IFERROR(1/(1/SUM(COUNTIFS(
'YearA-AppDetails Current Date'!A:A,D70,
'YearA-AppDetails Current Date'!F:F,E70,
'YearA-AppDetails Current Date'!E:E,--F70,
'YearA-AppDetails Current Date'!T:T,{"CDMT","RQMT","WAIT"},
'YearA-AppDetails Current Date'!I:I,"SPRING"))), "")</f>
        <v/>
      </c>
      <c r="P70" s="74" t="str">
        <f>IFERROR(1/(1/COUNTIFS(
'YearA-AppDetails Current Date'!A:A,D70,
'YearA-AppDetails Current Date'!F:F,E70,
'YearA-AppDetails Current Date'!E:E,--F70,
'YearA-AppDetails Current Date'!Y:Y,"ENRO",
'YearA-AppDetails Current Date'!I:I,"SPRING")),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HC'!D:T,8,FALSE)),
N(VLOOKUP(D71&amp;F71,'Budgeted Projections Intl HC'!D:T,9,FALSE))
)
),"")</f>
        <v/>
      </c>
      <c r="I71" s="73" t="str">
        <f>IFERROR(1/(1/COUNTIFS(
'YearA-AppDetails Current Date'!A:A,D71,
'YearA-AppDetails Current Date'!F:F,E71,
'YearA-AppDetails Current Date'!E:E,--F71,
'YearA-AppDetails Current Date'!I:I,"SPRING")), "")</f>
        <v/>
      </c>
      <c r="J71" s="74" t="str" cm="1">
        <f t="array" ref="J71">IFERROR(1/(1/SUM(COUNTIFS(
'YearA-AppDetails Current Date'!A:A,D71,
'YearA-AppDetails Current Date'!F:F,E71,
'YearA-AppDetails Current Date'!E:E,--F71,
'YearA-AppDetails Current Date'!O:O,{"ACLN","ACPT","COND"},
'YearA-AppDetails Current Date'!S:S,"&lt;&gt;ACLN",
'YearA-AppDetails Current Date'!S:S,"&lt;&gt;ACPT",
'YearA-AppDetails Current Date'!S:S,"&lt;&gt;COND",
'YearA-AppDetails Current Date'!I:I,"SPRING"))), "")</f>
        <v/>
      </c>
      <c r="K71" s="73" t="str">
        <f>IFERROR(1/(1/SUM(COUNTIFS(
'YearA-AppDetails Current Date'!A:A,D71,
'YearA-AppDetails Current Date'!F:F,E71,
'YearA-AppDetails Current Date'!E:E,--F71,
'YearA-AppDetails Current Date'!R:R,"&lt;&gt;"&amp;"",
'YearA-AppDetails Current Date'!I:I,"SPRING"))), "")</f>
        <v/>
      </c>
      <c r="L71" s="74" t="str" cm="1">
        <f t="array" ref="L71">IFERROR(1/(1/SUM(COUNTIFS(
'YearA-AppDetails Current Date'!A:A,D71,
'YearA-AppDetails Current Date'!F:F,E71,
'YearA-AppDetails Current Date'!E:E,--F71,
'YearA-AppDetails Current Date'!T:T,{"APEX","DENY","NTSL"},
'YearA-AppDetails Current Date'!I:I,"SPRING"))), "")</f>
        <v/>
      </c>
      <c r="M71" s="74" t="str" cm="1">
        <f t="array" ref="M71">IFERROR(1/(1/SUM(COUNTIFS(
'YearA-AppDetails Current Date'!A:A,D71,
'YearA-AppDetails Current Date'!F:F,E71,
'YearA-AppDetails Current Date'!E:E,--F71,
'YearA-AppDetails Current Date'!U:U,{"CCAN","DECL"},
'YearA-AppDetails Current Date'!I:I,"SPRING"))), "")</f>
        <v/>
      </c>
      <c r="N71" s="74" t="str" cm="1">
        <f t="array" ref="N71">IFERROR(1/(1/SUM(COUNTIFS(
'YearA-AppDetails Current Date'!A:A,D71,
'YearA-AppDetails Current Date'!F:F,E71,
'YearA-AppDetails Current Date'!E:E,--F71,
'YearA-AppDetails Current Date'!V:V,{"APRO","NODE"},
'YearA-AppDetails Current Date'!I:I,"SPRING"))), "")</f>
        <v/>
      </c>
      <c r="O71" s="74" t="str" cm="1">
        <f t="array" ref="O71">IFERROR(1/(1/SUM(COUNTIFS(
'YearA-AppDetails Current Date'!A:A,D71,
'YearA-AppDetails Current Date'!F:F,E71,
'YearA-AppDetails Current Date'!E:E,--F71,
'YearA-AppDetails Current Date'!T:T,{"CDMT","RQMT","WAIT"},
'YearA-AppDetails Current Date'!I:I,"SPRING"))), "")</f>
        <v/>
      </c>
      <c r="P71" s="74" t="str">
        <f>IFERROR(1/(1/COUNTIFS(
'YearA-AppDetails Current Date'!A:A,D71,
'YearA-AppDetails Current Date'!F:F,E71,
'YearA-AppDetails Current Date'!E:E,--F71,
'YearA-AppDetails Current Date'!Y:Y,"ENRO",
'YearA-AppDetails Current Date'!I:I,"SPRING")),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HC'!D:T,8,FALSE)),
N(VLOOKUP("BSCACN,BSCAFT,BSCAEE3",'Budgeted Projections Dom HC'!D:T,9,FALSE))
)
),"")</f>
        <v/>
      </c>
      <c r="I72" s="73" t="str" cm="1">
        <f t="array" ref="I72">IFERROR(1/(1/SUM(COUNTIFS(
'YearA-AppDetails Current Date'!A:A,TRIM(_xlfn.TEXTSPLIT(D72,{"&amp;",","})),
'YearA-AppDetails Current Date'!F:F,E72,
'YearA-AppDetails Current Date'!E:E,--F72,
'YearA-AppDetails Current Date'!I:I,"SPRING"))), "")</f>
        <v/>
      </c>
      <c r="J72" s="74" t="str" cm="1">
        <f t="array" ref="J72">IFERROR(1/(1/SUM(
COUNTIFS(
'YearA-AppDetails Current Date'!A:A,"BSCN",
'YearA-AppDetails Current Date'!F:F,E72,
'YearA-AppDetails Current Date'!E:E,--F72,
'YearA-AppDetails Current Date'!O:O,{"ACLN","ACPT","COND"},
'YearA-AppDetails Current Date'!S:S,"&lt;&gt;ACLN",
'YearA-AppDetails Current Date'!S:S,"&lt;&gt;ACPT",
'YearA-AppDetails Current Date'!S:S,"&lt;&gt;COND",
'YearA-AppDetails Current Date'!I:I,"SPRING")
+
COUNTIFS(
'YearA-AppDetails Current Date'!A:A,"BSCACN",
'YearA-AppDetails Current Date'!F:F,E72,
'YearA-AppDetails Current Date'!E:E,--F72,
'YearA-AppDetails Current Date'!O:O,{"ACLN","ACPT","COND"},
'YearA-AppDetails Current Date'!S:S,"&lt;&gt;ACLN",
'YearA-AppDetails Current Date'!S:S,"&lt;&gt;ACPT",
'YearA-AppDetails Current Date'!S:S,"&lt;&gt;COND",
'YearA-AppDetails Current Date'!I:I,"SPRING")
+
COUNTIFS(
'YearA-AppDetails Current Date'!A:A,"BSCAFT",
'YearA-AppDetails Current Date'!F:F,E72,
'YearA-AppDetails Current Date'!E:E,--F72,
'YearA-AppDetails Current Date'!O:O,{"ACLN","ACPT","COND"},
'YearA-AppDetails Current Date'!S:S,"&lt;&gt;ACLN",
'YearA-AppDetails Current Date'!S:S,"&lt;&gt;ACPT",
'YearA-AppDetails Current Date'!S:S,"&lt;&gt;COND",
'YearA-AppDetails Current Date'!I:I,"SPRING")
+
COUNTIFS(
'YearA-AppDetails Current Date'!A:A,"BSCAEE",
'YearA-AppDetails Current Date'!F:F,E72,
'YearA-AppDetails Current Date'!E:E,--F72,
'YearA-AppDetails Current Date'!O:O,{"ACLN","ACPT","COND"},
'YearA-AppDetails Current Date'!S:S,"&lt;&gt;ACLN",
'YearA-AppDetails Current Date'!S:S,"&lt;&gt;ACPT",
'YearA-AppDetails Current Date'!S:S,"&lt;&gt;COND",
'YearA-AppDetails Current Date'!I:I,"SPRING")
)), "")</f>
        <v/>
      </c>
      <c r="K72" s="73" t="str">
        <f>IFERROR(1/(1/SUM(
COUNTIFS(
'YearA-AppDetails Current Date'!A:A,"BSCN",
'YearA-AppDetails Current Date'!F:F,E72,
'YearA-AppDetails Current Date'!E:E,--F72,
'YearA-AppDetails Current Date'!R:R,"&lt;&gt;"&amp;"",
'YearA-AppDetails Current Date'!I:I,"SPRING")
+
COUNTIFS(
'YearA-AppDetails Current Date'!A:A,"BSCACN",
'YearA-AppDetails Current Date'!F:F,E72,
'YearA-AppDetails Current Date'!E:E,--F72,
'YearA-AppDetails Current Date'!R:R,"&lt;&gt;"&amp;"",
'YearA-AppDetails Current Date'!I:I,"SPRING")
+
COUNTIFS(
'YearA-AppDetails Current Date'!A:A,"BSCAFT",
'YearA-AppDetails Current Date'!F:F,E72,
'YearA-AppDetails Current Date'!E:E,--F72,
'YearA-AppDetails Current Date'!R:R,"&lt;&gt;"&amp;"",
'YearA-AppDetails Current Date'!I:I,"SPRING")
+
COUNTIFS(
'YearA-AppDetails Current Date'!A:A,"BSCAEE",
'YearA-AppDetails Current Date'!F:F,E72,
'YearA-AppDetails Current Date'!E:E,--F72,
'YearA-AppDetails Current Date'!R:R,"&lt;&gt;"&amp;"",
'YearA-AppDetails Current Date'!I:I,"SPRING")
)), "")</f>
        <v/>
      </c>
      <c r="L72" s="74" t="str" cm="1">
        <f t="array" ref="L72">IFERROR(1/(1/SUM(
COUNTIFS(
'YearA-AppDetails Current Date'!A:A,"BSCN",
'YearA-AppDetails Current Date'!F:F,E72,
'YearA-AppDetails Current Date'!E:E,--F72,
'YearA-AppDetails Current Date'!T:T,{"APEX","DENY","NTSL"},
'YearA-AppDetails Current Date'!I:I,"SPRING")
+
COUNTIFS(
'YearA-AppDetails Current Date'!A:A,"BSCACN",
'YearA-AppDetails Current Date'!F:F,E72,
'YearA-AppDetails Current Date'!E:E,--F72,
'YearA-AppDetails Current Date'!T:T,{"APEX","DENY","NTSL"},
'YearA-AppDetails Current Date'!I:I,"SPRING")
+
COUNTIFS(
'YearA-AppDetails Current Date'!A:A,"BSCAFT",
'YearA-AppDetails Current Date'!F:F,E72,
'YearA-AppDetails Current Date'!E:E,--F72,
'YearA-AppDetails Current Date'!T:T,{"APEX","DENY","NTSL"},
'YearA-AppDetails Current Date'!I:I,"SPRING")
+
COUNTIFS(
'YearA-AppDetails Current Date'!A:A,"BSCAEE",
'YearA-AppDetails Current Date'!F:F,E72,
'YearA-AppDetails Current Date'!E:E,--F72,
'YearA-AppDetails Current Date'!T:T,{"APEX","DENY","NTSL"},
'YearA-AppDetails Current Date'!I:I,"SPRING")
)), "")</f>
        <v/>
      </c>
      <c r="M72" s="74" t="str" cm="1">
        <f t="array" ref="M72">IFERROR(1/(1/SUM(
COUNTIFS(
'YearA-AppDetails Current Date'!A:A,"BSCN",
'YearA-AppDetails Current Date'!F:F,E72,
'YearA-AppDetails Current Date'!E:E,--F72,
'YearA-AppDetails Current Date'!U:U,{"CCAN","DECL"},
'YearA-AppDetails Current Date'!I:I,"SPRING")
+
COUNTIFS(
'YearA-AppDetails Current Date'!A:A,"BSCACN",
'YearA-AppDetails Current Date'!F:F,E72,
'YearA-AppDetails Current Date'!E:E,--F72,
'YearA-AppDetails Current Date'!U:U,{"CCAN","DECL"},
'YearA-AppDetails Current Date'!I:I,"SPRING")
+
COUNTIFS(
'YearA-AppDetails Current Date'!A:A,"BSCAFT",
'YearA-AppDetails Current Date'!F:F,E72,
'YearA-AppDetails Current Date'!E:E,--F72,
'YearA-AppDetails Current Date'!U:U,{"CCAN","DECL"},
'YearA-AppDetails Current Date'!I:I,"SPRING")
+
COUNTIFS(
'YearA-AppDetails Current Date'!A:A,"BSCAEE",
'YearA-AppDetails Current Date'!F:F,E72,
'YearA-AppDetails Current Date'!E:E,--F72,
'YearA-AppDetails Current Date'!U:U,{"CCAN","DECL"},
'YearA-AppDetails Current Date'!I:I,"SPRING")
)), "")</f>
        <v/>
      </c>
      <c r="N72" s="74" t="str" cm="1">
        <f t="array" ref="N72">IFERROR(1/(1/SUM(
COUNTIFS(
'YearA-AppDetails Current Date'!A:A,"BSCN",
'YearA-AppDetails Current Date'!F:F,E72,
'YearA-AppDetails Current Date'!E:E,--F72,
'YearA-AppDetails Current Date'!V:V,{"APRO","NODE"},
'YearA-AppDetails Current Date'!I:I,"SPRING")
+
COUNTIFS(
'YearA-AppDetails Current Date'!A:A,"BSCACN",
'YearA-AppDetails Current Date'!F:F,E72,
'YearA-AppDetails Current Date'!E:E,--F72,
'YearA-AppDetails Current Date'!V:V,{"APRO","NODE"},
'YearA-AppDetails Current Date'!I:I,"SPRING")
+
COUNTIFS(
'YearA-AppDetails Current Date'!A:A,"BSCAFT",
'YearA-AppDetails Current Date'!F:F,E72,
'YearA-AppDetails Current Date'!E:E,--F72,
'YearA-AppDetails Current Date'!V:V,{"APRO","NODE"},
'YearA-AppDetails Current Date'!I:I,"SPRING")
+
COUNTIFS(
'YearA-AppDetails Current Date'!A:A,"BSCAEE",
'YearA-AppDetails Current Date'!F:F,E72,
'YearA-AppDetails Current Date'!E:E,--F72,
'YearA-AppDetails Current Date'!V:V,{"APRO","NODE"},
'YearA-AppDetails Current Date'!I:I,"SPRING")
)), "")</f>
        <v/>
      </c>
      <c r="O72" s="74" t="str" cm="1">
        <f t="array" ref="O72">IFERROR(1/(1/SUM(
COUNTIFS(
'YearA-AppDetails Current Date'!A:A,"BSCN",
'YearA-AppDetails Current Date'!F:F,E72,
'YearA-AppDetails Current Date'!E:E,--F72,
'YearA-AppDetails Current Date'!T:T,{"CDMT","RQMT","WAIT"},
'YearA-AppDetails Current Date'!I:I,"SPRING")
+
COUNTIFS(
'YearA-AppDetails Current Date'!A:A,"BSCACN",
'YearA-AppDetails Current Date'!F:F,E72,
'YearA-AppDetails Current Date'!E:E,--F72,
'YearA-AppDetails Current Date'!T:T,{"CDMT","RQMT","WAIT"},
'YearA-AppDetails Current Date'!I:I,"SPRING")
+
COUNTIFS(
'YearA-AppDetails Current Date'!A:A,"BSCAFT",
'YearA-AppDetails Current Date'!F:F,E72,
'YearA-AppDetails Current Date'!E:E,--F72,
'YearA-AppDetails Current Date'!T:T,{"CDMT","RQMT","WAIT"},
'YearA-AppDetails Current Date'!I:I,"SPRING")
+
COUNTIFS(
'YearA-AppDetails Current Date'!A:A,"BSCAEE",
'YearA-AppDetails Current Date'!F:F,E72,
'YearA-AppDetails Current Date'!E:E,--F72,
'YearA-AppDetails Current Date'!T:T,{"CDMT","RQMT","WAIT"},
'YearA-AppDetails Current Date'!I:I,"SPRING")
)), "")</f>
        <v/>
      </c>
      <c r="P72" s="74" t="str" cm="1">
        <f t="array" ref="P72">IFERROR(1/(1/SUM(COUNTIFS(
'YearA-AppDetails Current Date'!A:A,TRIM(_xlfn.TEXTSPLIT(D72,{"&amp;",","})),
'YearA-AppDetails Current Date'!F:F,E72,
'YearA-AppDetails Current Date'!E:E,--F72,
'YearA-AppDetails Current Date'!Y:Y,"ENRO",
'YearA-AppDetails Current Date'!I:I,"SPRING"))),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HC'!D:T,8,FALSE)),
N(VLOOKUP("BSCACN,BSCAFT,BSCAEE3",'Budgeted Projections Intl HC'!D:T,9,FALSE))
)
),"")</f>
        <v/>
      </c>
      <c r="I73" s="73" t="str" cm="1">
        <f t="array" ref="I73">IFERROR(1/(1/SUM(COUNTIFS(
'YearA-AppDetails Current Date'!A:A,TRIM(_xlfn.TEXTSPLIT(D73,{"&amp;",","})),
'YearA-AppDetails Current Date'!F:F,E73,
'YearA-AppDetails Current Date'!E:E,--F73,
'YearA-AppDetails Current Date'!I:I,"SPRING"))), "")</f>
        <v/>
      </c>
      <c r="J73" s="74" t="str" cm="1">
        <f t="array" ref="J73">IFERROR(1/(1/SUM(
COUNTIFS(
'YearA-AppDetails Current Date'!A:A,"BSCN",
'YearA-AppDetails Current Date'!F:F,E73,
'YearA-AppDetails Current Date'!E:E,--F73,
'YearA-AppDetails Current Date'!O:O,{"ACLN","ACPT","COND"},
'YearA-AppDetails Current Date'!S:S,"&lt;&gt;ACLN",
'YearA-AppDetails Current Date'!S:S,"&lt;&gt;ACPT",
'YearA-AppDetails Current Date'!S:S,"&lt;&gt;COND",
'YearA-AppDetails Current Date'!I:I,"SPRING")
+
COUNTIFS(
'YearA-AppDetails Current Date'!A:A,"BSCACN",
'YearA-AppDetails Current Date'!F:F,E73,
'YearA-AppDetails Current Date'!E:E,--F73,
'YearA-AppDetails Current Date'!O:O,{"ACLN","ACPT","COND"},
'YearA-AppDetails Current Date'!S:S,"&lt;&gt;ACLN",
'YearA-AppDetails Current Date'!S:S,"&lt;&gt;ACPT",
'YearA-AppDetails Current Date'!S:S,"&lt;&gt;COND",
'YearA-AppDetails Current Date'!I:I,"SPRING")
+
COUNTIFS(
'YearA-AppDetails Current Date'!A:A,"BSCAFT",
'YearA-AppDetails Current Date'!F:F,E73,
'YearA-AppDetails Current Date'!E:E,--F73,
'YearA-AppDetails Current Date'!O:O,{"ACLN","ACPT","COND"},
'YearA-AppDetails Current Date'!S:S,"&lt;&gt;ACLN",
'YearA-AppDetails Current Date'!S:S,"&lt;&gt;ACPT",
'YearA-AppDetails Current Date'!S:S,"&lt;&gt;COND",
'YearA-AppDetails Current Date'!I:I,"SPRING")
+
COUNTIFS(
'YearA-AppDetails Current Date'!A:A,"BSCAEE",
'YearA-AppDetails Current Date'!F:F,E73,
'YearA-AppDetails Current Date'!E:E,--F73,
'YearA-AppDetails Current Date'!O:O,{"ACLN","ACPT","COND"},
'YearA-AppDetails Current Date'!S:S,"&lt;&gt;ACLN",
'YearA-AppDetails Current Date'!S:S,"&lt;&gt;ACPT",
'YearA-AppDetails Current Date'!S:S,"&lt;&gt;COND",
'YearA-AppDetails Current Date'!I:I,"SPRING")
)), "")</f>
        <v/>
      </c>
      <c r="K73" s="73" t="str">
        <f>IFERROR(1/(1/SUM(
COUNTIFS(
'YearA-AppDetails Current Date'!A:A,"BSCN",
'YearA-AppDetails Current Date'!F:F,E73,
'YearA-AppDetails Current Date'!E:E,--F73,
'YearA-AppDetails Current Date'!R:R,"&lt;&gt;"&amp;"",
'YearA-AppDetails Current Date'!I:I,"SPRING")
+
COUNTIFS(
'YearA-AppDetails Current Date'!A:A,"BSCACN",
'YearA-AppDetails Current Date'!F:F,E73,
'YearA-AppDetails Current Date'!E:E,--F73,
'YearA-AppDetails Current Date'!R:R,"&lt;&gt;"&amp;"",
'YearA-AppDetails Current Date'!I:I,"SPRING")
+
COUNTIFS(
'YearA-AppDetails Current Date'!A:A,"BSCAFT",
'YearA-AppDetails Current Date'!F:F,E73,
'YearA-AppDetails Current Date'!E:E,--F73,
'YearA-AppDetails Current Date'!R:R,"&lt;&gt;"&amp;"",
'YearA-AppDetails Current Date'!I:I,"SPRING")
+
COUNTIFS(
'YearA-AppDetails Current Date'!A:A,"BSCAEE",
'YearA-AppDetails Current Date'!F:F,E73,
'YearA-AppDetails Current Date'!E:E,--F73,
'YearA-AppDetails Current Date'!R:R,"&lt;&gt;"&amp;"",
'YearA-AppDetails Current Date'!I:I,"SPRING")
)), "")</f>
        <v/>
      </c>
      <c r="L73" s="74" t="str" cm="1">
        <f t="array" ref="L73">IFERROR(1/(1/SUM(
COUNTIFS(
'YearA-AppDetails Current Date'!A:A,"BSCN",
'YearA-AppDetails Current Date'!F:F,E73,
'YearA-AppDetails Current Date'!E:E,--F73,
'YearA-AppDetails Current Date'!T:T,{"APEX","DENY","NTSL"},
'YearA-AppDetails Current Date'!I:I,"SPRING")
+
COUNTIFS(
'YearA-AppDetails Current Date'!A:A,"BSCACN",
'YearA-AppDetails Current Date'!F:F,E73,
'YearA-AppDetails Current Date'!E:E,--F73,
'YearA-AppDetails Current Date'!T:T,{"APEX","DENY","NTSL"},
'YearA-AppDetails Current Date'!I:I,"SPRING")
+
COUNTIFS(
'YearA-AppDetails Current Date'!A:A,"BSCAFT",
'YearA-AppDetails Current Date'!F:F,E73,
'YearA-AppDetails Current Date'!E:E,--F73,
'YearA-AppDetails Current Date'!T:T,{"APEX","DENY","NTSL"},
'YearA-AppDetails Current Date'!I:I,"SPRING")
+
COUNTIFS(
'YearA-AppDetails Current Date'!A:A,"BSCAEE",
'YearA-AppDetails Current Date'!F:F,E73,
'YearA-AppDetails Current Date'!E:E,--F73,
'YearA-AppDetails Current Date'!T:T,{"APEX","DENY","NTSL"},
'YearA-AppDetails Current Date'!I:I,"SPRING")
)), "")</f>
        <v/>
      </c>
      <c r="M73" s="74" t="str" cm="1">
        <f t="array" ref="M73">IFERROR(1/(1/SUM(
COUNTIFS(
'YearA-AppDetails Current Date'!A:A,"BSCN",
'YearA-AppDetails Current Date'!F:F,E73,
'YearA-AppDetails Current Date'!E:E,--F73,
'YearA-AppDetails Current Date'!U:U,{"CCAN","DECL"},
'YearA-AppDetails Current Date'!I:I,"SPRING")
+
COUNTIFS(
'YearA-AppDetails Current Date'!A:A,"BSCACN",
'YearA-AppDetails Current Date'!F:F,E73,
'YearA-AppDetails Current Date'!E:E,--F73,
'YearA-AppDetails Current Date'!U:U,{"CCAN","DECL"},
'YearA-AppDetails Current Date'!I:I,"SPRING")
+
COUNTIFS(
'YearA-AppDetails Current Date'!A:A,"BSCAFT",
'YearA-AppDetails Current Date'!F:F,E73,
'YearA-AppDetails Current Date'!E:E,--F73,
'YearA-AppDetails Current Date'!U:U,{"CCAN","DECL"},
'YearA-AppDetails Current Date'!I:I,"SPRING")
+
COUNTIFS(
'YearA-AppDetails Current Date'!A:A,"BSCAEE",
'YearA-AppDetails Current Date'!F:F,E73,
'YearA-AppDetails Current Date'!E:E,--F73,
'YearA-AppDetails Current Date'!U:U,{"CCAN","DECL"},
'YearA-AppDetails Current Date'!I:I,"SPRING")
)), "")</f>
        <v/>
      </c>
      <c r="N73" s="74" t="str" cm="1">
        <f t="array" ref="N73">IFERROR(1/(1/SUM(
COUNTIFS(
'YearA-AppDetails Current Date'!A:A,"BSCN",
'YearA-AppDetails Current Date'!F:F,E73,
'YearA-AppDetails Current Date'!E:E,--F73,
'YearA-AppDetails Current Date'!V:V,{"APRO","NODE"},
'YearA-AppDetails Current Date'!I:I,"SPRING")
+
COUNTIFS(
'YearA-AppDetails Current Date'!A:A,"BSCACN",
'YearA-AppDetails Current Date'!F:F,E73,
'YearA-AppDetails Current Date'!E:E,--F73,
'YearA-AppDetails Current Date'!V:V,{"APRO","NODE"},
'YearA-AppDetails Current Date'!I:I,"SPRING")
+
COUNTIFS(
'YearA-AppDetails Current Date'!A:A,"BSCAFT",
'YearA-AppDetails Current Date'!F:F,E73,
'YearA-AppDetails Current Date'!E:E,--F73,
'YearA-AppDetails Current Date'!V:V,{"APRO","NODE"},
'YearA-AppDetails Current Date'!I:I,"SPRING")
+
COUNTIFS(
'YearA-AppDetails Current Date'!A:A,"BSCAEE",
'YearA-AppDetails Current Date'!F:F,E73,
'YearA-AppDetails Current Date'!E:E,--F73,
'YearA-AppDetails Current Date'!V:V,{"APRO","NODE"},
'YearA-AppDetails Current Date'!I:I,"SPRING")
)), "")</f>
        <v/>
      </c>
      <c r="O73" s="74" t="str" cm="1">
        <f t="array" ref="O73">IFERROR(1/(1/SUM(
COUNTIFS(
'YearA-AppDetails Current Date'!A:A,"BSCN",
'YearA-AppDetails Current Date'!F:F,E73,
'YearA-AppDetails Current Date'!E:E,--F73,
'YearA-AppDetails Current Date'!T:T,{"CDMT","RQMT","WAIT"},
'YearA-AppDetails Current Date'!I:I,"SPRING")
+
COUNTIFS(
'YearA-AppDetails Current Date'!A:A,"BSCACN",
'YearA-AppDetails Current Date'!F:F,E73,
'YearA-AppDetails Current Date'!E:E,--F73,
'YearA-AppDetails Current Date'!T:T,{"CDMT","RQMT","WAIT"},
'YearA-AppDetails Current Date'!I:I,"SPRING")
+
COUNTIFS(
'YearA-AppDetails Current Date'!A:A,"BSCAFT",
'YearA-AppDetails Current Date'!F:F,E73,
'YearA-AppDetails Current Date'!E:E,--F73,
'YearA-AppDetails Current Date'!T:T,{"CDMT","RQMT","WAIT"},
'YearA-AppDetails Current Date'!I:I,"SPRING")
+
COUNTIFS(
'YearA-AppDetails Current Date'!A:A,"BSCAEE",
'YearA-AppDetails Current Date'!F:F,E73,
'YearA-AppDetails Current Date'!E:E,--F73,
'YearA-AppDetails Current Date'!T:T,{"CDMT","RQMT","WAIT"},
'YearA-AppDetails Current Date'!I:I,"SPRING")
)), "")</f>
        <v/>
      </c>
      <c r="P73" s="74" t="str" cm="1">
        <f t="array" ref="P73">IFERROR(1/(1/SUM(COUNTIFS(
'YearA-AppDetails Current Date'!A:A,TRIM(_xlfn.TEXTSPLIT(D73,{"&amp;",","})),
'YearA-AppDetails Current Date'!F:F,E73,
'YearA-AppDetails Current Date'!E:E,--F73,
'YearA-AppDetails Current Date'!Y:Y,"ENRO",
'YearA-AppDetails Current Date'!I:I,"SPRING"))),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HC'!D:T,8,FALSE)),
N(VLOOKUP(D74&amp;F74,'Budgeted Projections Dom HC'!D:T,9,FALSE))
)
),"")</f>
        <v/>
      </c>
      <c r="I74" s="73" t="str">
        <f>IFERROR(1/(1/COUNTIFS(
'YearA-AppDetails Current Date'!A:A,D74,
'YearA-AppDetails Current Date'!F:F,E74,
'YearA-AppDetails Current Date'!E:E,--F74,
'YearA-AppDetails Current Date'!I:I,"SPRING")), "")</f>
        <v/>
      </c>
      <c r="J74" s="74" t="str" cm="1">
        <f t="array" ref="J74">IFERROR(1/(1/SUM(COUNTIFS(
'YearA-AppDetails Current Date'!A:A,D74,
'YearA-AppDetails Current Date'!F:F,E74,
'YearA-AppDetails Current Date'!E:E,--F74,
'YearA-AppDetails Current Date'!O:O,{"ACLN","ACPT","COND"},
'YearA-AppDetails Current Date'!S:S,"&lt;&gt;ACLN",
'YearA-AppDetails Current Date'!S:S,"&lt;&gt;ACPT",
'YearA-AppDetails Current Date'!S:S,"&lt;&gt;COND",
'YearA-AppDetails Current Date'!I:I,"SPRING"))), "")</f>
        <v/>
      </c>
      <c r="K74" s="73" t="str">
        <f>IFERROR(1/(1/SUM(COUNTIFS(
'YearA-AppDetails Current Date'!A:A,D74,
'YearA-AppDetails Current Date'!F:F,E74,
'YearA-AppDetails Current Date'!E:E,--F74,
'YearA-AppDetails Current Date'!R:R,"&lt;&gt;"&amp;"",
'YearA-AppDetails Current Date'!I:I,"SPRING"))), "")</f>
        <v/>
      </c>
      <c r="L74" s="74" t="str" cm="1">
        <f t="array" ref="L74">IFERROR(1/(1/SUM(COUNTIFS(
'YearA-AppDetails Current Date'!A:A,D74,
'YearA-AppDetails Current Date'!F:F,E74,
'YearA-AppDetails Current Date'!E:E,--F74,
'YearA-AppDetails Current Date'!T:T,{"APEX","DENY","NTSL"},
'YearA-AppDetails Current Date'!I:I,"SPRING"))), "")</f>
        <v/>
      </c>
      <c r="M74" s="74" t="str" cm="1">
        <f t="array" ref="M74">IFERROR(1/(1/SUM(COUNTIFS(
'YearA-AppDetails Current Date'!A:A,D74,
'YearA-AppDetails Current Date'!F:F,E74,
'YearA-AppDetails Current Date'!E:E,--F74,
'YearA-AppDetails Current Date'!U:U,{"CCAN","DECL"},
'YearA-AppDetails Current Date'!I:I,"SPRING"))), "")</f>
        <v/>
      </c>
      <c r="N74" s="74" t="str" cm="1">
        <f t="array" ref="N74">IFERROR(1/(1/SUM(COUNTIFS(
'YearA-AppDetails Current Date'!A:A,D74,
'YearA-AppDetails Current Date'!F:F,E74,
'YearA-AppDetails Current Date'!E:E,--F74,
'YearA-AppDetails Current Date'!V:V,{"APRO","NODE"},
'YearA-AppDetails Current Date'!I:I,"SPRING"))), "")</f>
        <v/>
      </c>
      <c r="O74" s="74" t="str" cm="1">
        <f t="array" ref="O74">IFERROR(1/(1/SUM(COUNTIFS(
'YearA-AppDetails Current Date'!A:A,D74,
'YearA-AppDetails Current Date'!F:F,E74,
'YearA-AppDetails Current Date'!E:E,--F74,
'YearA-AppDetails Current Date'!T:T,{"CDMT","RQMT","WAIT"},
'YearA-AppDetails Current Date'!I:I,"SPRING"))), "")</f>
        <v/>
      </c>
      <c r="P74" s="74" t="str">
        <f>IFERROR(1/(1/COUNTIFS(
'YearA-AppDetails Current Date'!A:A,D74,
'YearA-AppDetails Current Date'!F:F,E74,
'YearA-AppDetails Current Date'!E:E,--F74,
'YearA-AppDetails Current Date'!Y:Y,"ENRO",
'YearA-AppDetails Current Date'!I:I,"SPRING")),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HC'!D:T,8,FALSE)),
N(VLOOKUP(D75&amp;F75,'Budgeted Projections Intl HC'!D:T,9,FALSE))
)
),"")</f>
        <v/>
      </c>
      <c r="I75" s="73" t="str">
        <f>IFERROR(1/(1/COUNTIFS(
'YearA-AppDetails Current Date'!A:A,D75,
'YearA-AppDetails Current Date'!F:F,E75,
'YearA-AppDetails Current Date'!E:E,--F75,
'YearA-AppDetails Current Date'!I:I,"SPRING")), "")</f>
        <v/>
      </c>
      <c r="J75" s="74" t="str" cm="1">
        <f t="array" ref="J75">IFERROR(1/(1/SUM(COUNTIFS(
'YearA-AppDetails Current Date'!A:A,D75,
'YearA-AppDetails Current Date'!F:F,E75,
'YearA-AppDetails Current Date'!E:E,--F75,
'YearA-AppDetails Current Date'!O:O,{"ACLN","ACPT","COND"},
'YearA-AppDetails Current Date'!S:S,"&lt;&gt;ACLN",
'YearA-AppDetails Current Date'!S:S,"&lt;&gt;ACPT",
'YearA-AppDetails Current Date'!S:S,"&lt;&gt;COND",
'YearA-AppDetails Current Date'!I:I,"SPRING"))), "")</f>
        <v/>
      </c>
      <c r="K75" s="73" t="str">
        <f>IFERROR(1/(1/SUM(COUNTIFS(
'YearA-AppDetails Current Date'!A:A,D75,
'YearA-AppDetails Current Date'!F:F,E75,
'YearA-AppDetails Current Date'!E:E,--F75,
'YearA-AppDetails Current Date'!R:R,"&lt;&gt;"&amp;"",
'YearA-AppDetails Current Date'!I:I,"SPRING"))), "")</f>
        <v/>
      </c>
      <c r="L75" s="74" t="str" cm="1">
        <f t="array" ref="L75">IFERROR(1/(1/SUM(COUNTIFS(
'YearA-AppDetails Current Date'!A:A,D75,
'YearA-AppDetails Current Date'!F:F,E75,
'YearA-AppDetails Current Date'!E:E,--F75,
'YearA-AppDetails Current Date'!T:T,{"APEX","DENY","NTSL"},
'YearA-AppDetails Current Date'!I:I,"SPRING"))), "")</f>
        <v/>
      </c>
      <c r="M75" s="74" t="str" cm="1">
        <f t="array" ref="M75">IFERROR(1/(1/SUM(COUNTIFS(
'YearA-AppDetails Current Date'!A:A,D75,
'YearA-AppDetails Current Date'!F:F,E75,
'YearA-AppDetails Current Date'!E:E,--F75,
'YearA-AppDetails Current Date'!U:U,{"CCAN","DECL"},
'YearA-AppDetails Current Date'!I:I,"SPRING"))), "")</f>
        <v/>
      </c>
      <c r="N75" s="74" t="str" cm="1">
        <f t="array" ref="N75">IFERROR(1/(1/SUM(COUNTIFS(
'YearA-AppDetails Current Date'!A:A,D75,
'YearA-AppDetails Current Date'!F:F,E75,
'YearA-AppDetails Current Date'!E:E,--F75,
'YearA-AppDetails Current Date'!V:V,{"APRO","NODE"},
'YearA-AppDetails Current Date'!I:I,"SPRING"))), "")</f>
        <v/>
      </c>
      <c r="O75" s="74" t="str" cm="1">
        <f t="array" ref="O75">IFERROR(1/(1/SUM(COUNTIFS(
'YearA-AppDetails Current Date'!A:A,D75,
'YearA-AppDetails Current Date'!F:F,E75,
'YearA-AppDetails Current Date'!E:E,--F75,
'YearA-AppDetails Current Date'!T:T,{"CDMT","RQMT","WAIT"},
'YearA-AppDetails Current Date'!I:I,"SPRING"))), "")</f>
        <v/>
      </c>
      <c r="P75" s="74" t="str">
        <f>IFERROR(1/(1/COUNTIFS(
'YearA-AppDetails Current Date'!A:A,D75,
'YearA-AppDetails Current Date'!F:F,E75,
'YearA-AppDetails Current Date'!E:E,--F75,
'YearA-AppDetails Current Date'!Y:Y,"ENRO",
'YearA-AppDetails Current Date'!I:I,"SPRING")),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HC'!D:T,8,FALSE)),
N(VLOOKUP(D78&amp;F78,'Budgeted Projections Dom HC'!D:T,9,FALSE))
)
),"")</f>
        <v/>
      </c>
      <c r="I78" s="73" t="str">
        <f>IFERROR(1/(1/COUNTIFS(
'YearA-AppDetails Current Date'!A:A,D78,
'YearA-AppDetails Current Date'!F:F,E78,
'YearA-AppDetails Current Date'!E:E,--F78,
'YearA-AppDetails Current Date'!I:I,"SPRING")), "")</f>
        <v/>
      </c>
      <c r="J78" s="74" t="str" cm="1">
        <f t="array" ref="J78">IFERROR(1/(1/SUM(COUNTIFS(
'YearA-AppDetails Current Date'!A:A,D78,
'YearA-AppDetails Current Date'!F:F,E78,
'YearA-AppDetails Current Date'!E:E,--F78,
'YearA-AppDetails Current Date'!O:O,{"ACLN","ACPT","COND"},
'YearA-AppDetails Current Date'!S:S,"&lt;&gt;ACLN",
'YearA-AppDetails Current Date'!S:S,"&lt;&gt;ACPT",
'YearA-AppDetails Current Date'!S:S,"&lt;&gt;COND",
'YearA-AppDetails Current Date'!I:I,"SPRING"))), "")</f>
        <v/>
      </c>
      <c r="K78" s="73" t="str">
        <f>IFERROR(1/(1/SUM(COUNTIFS(
'YearA-AppDetails Current Date'!A:A,D78,
'YearA-AppDetails Current Date'!F:F,E78,
'YearA-AppDetails Current Date'!E:E,--F78,
'YearA-AppDetails Current Date'!R:R,"&lt;&gt;"&amp;"",
'YearA-AppDetails Current Date'!I:I,"SPRING"))), "")</f>
        <v/>
      </c>
      <c r="L78" s="74" t="str" cm="1">
        <f t="array" ref="L78">IFERROR(1/(1/SUM(COUNTIFS(
'YearA-AppDetails Current Date'!A:A,D78,
'YearA-AppDetails Current Date'!F:F,E78,
'YearA-AppDetails Current Date'!E:E,--F78,
'YearA-AppDetails Current Date'!T:T,{"APEX","DENY","NTSL"},
'YearA-AppDetails Current Date'!I:I,"SPRING"))), "")</f>
        <v/>
      </c>
      <c r="M78" s="74" t="str" cm="1">
        <f t="array" ref="M78">IFERROR(1/(1/SUM(COUNTIFS(
'YearA-AppDetails Current Date'!A:A,D78,
'YearA-AppDetails Current Date'!F:F,E78,
'YearA-AppDetails Current Date'!E:E,--F78,
'YearA-AppDetails Current Date'!U:U,{"CCAN","DECL"},
'YearA-AppDetails Current Date'!I:I,"SPRING"))), "")</f>
        <v/>
      </c>
      <c r="N78" s="74" t="str" cm="1">
        <f t="array" ref="N78">IFERROR(1/(1/SUM(COUNTIFS(
'YearA-AppDetails Current Date'!A:A,D78,
'YearA-AppDetails Current Date'!F:F,E78,
'YearA-AppDetails Current Date'!E:E,--F78,
'YearA-AppDetails Current Date'!V:V,{"APRO","NODE"},
'YearA-AppDetails Current Date'!I:I,"SPRING"))), "")</f>
        <v/>
      </c>
      <c r="O78" s="74" t="str" cm="1">
        <f t="array" ref="O78">IFERROR(1/(1/SUM(COUNTIFS(
'YearA-AppDetails Current Date'!A:A,D78,
'YearA-AppDetails Current Date'!F:F,E78,
'YearA-AppDetails Current Date'!E:E,--F78,
'YearA-AppDetails Current Date'!T:T,{"CDMT","RQMT","WAIT"},
'YearA-AppDetails Current Date'!I:I,"SPRING"))), "")</f>
        <v/>
      </c>
      <c r="P78" s="74" t="str">
        <f>IFERROR(1/(1/COUNTIFS(
'YearA-AppDetails Current Date'!A:A,D78,
'YearA-AppDetails Current Date'!F:F,E78,
'YearA-AppDetails Current Date'!E:E,--F78,
'YearA-AppDetails Current Date'!Y:Y,"ENRO",
'YearA-AppDetails Current Date'!I:I,"SPRING")),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HC'!D:T,8,FALSE)),
N(VLOOKUP(D79&amp;F79,'Budgeted Projections Intl HC'!D:T,9,FALSE))
)
),"")</f>
        <v/>
      </c>
      <c r="I79" s="73" t="str">
        <f>IFERROR(1/(1/COUNTIFS(
'YearA-AppDetails Current Date'!A:A,D79,
'YearA-AppDetails Current Date'!F:F,E79,
'YearA-AppDetails Current Date'!E:E,--F79,
'YearA-AppDetails Current Date'!I:I,"SPRING")), "")</f>
        <v/>
      </c>
      <c r="J79" s="74" t="str" cm="1">
        <f t="array" ref="J79">IFERROR(1/(1/SUM(COUNTIFS(
'YearA-AppDetails Current Date'!A:A,D79,
'YearA-AppDetails Current Date'!F:F,E79,
'YearA-AppDetails Current Date'!E:E,--F79,
'YearA-AppDetails Current Date'!O:O,{"ACLN","ACPT","COND"},
'YearA-AppDetails Current Date'!S:S,"&lt;&gt;ACLN",
'YearA-AppDetails Current Date'!S:S,"&lt;&gt;ACPT",
'YearA-AppDetails Current Date'!S:S,"&lt;&gt;COND",
'YearA-AppDetails Current Date'!I:I,"SPRING"))), "")</f>
        <v/>
      </c>
      <c r="K79" s="73" t="str">
        <f>IFERROR(1/(1/SUM(COUNTIFS(
'YearA-AppDetails Current Date'!A:A,D79,
'YearA-AppDetails Current Date'!F:F,E79,
'YearA-AppDetails Current Date'!E:E,--F79,
'YearA-AppDetails Current Date'!R:R,"&lt;&gt;"&amp;"",
'YearA-AppDetails Current Date'!I:I,"SPRING"))), "")</f>
        <v/>
      </c>
      <c r="L79" s="74" t="str" cm="1">
        <f t="array" ref="L79">IFERROR(1/(1/SUM(COUNTIFS(
'YearA-AppDetails Current Date'!A:A,D79,
'YearA-AppDetails Current Date'!F:F,E79,
'YearA-AppDetails Current Date'!E:E,--F79,
'YearA-AppDetails Current Date'!T:T,{"APEX","DENY","NTSL"},
'YearA-AppDetails Current Date'!I:I,"SPRING"))), "")</f>
        <v/>
      </c>
      <c r="M79" s="74" t="str" cm="1">
        <f t="array" ref="M79">IFERROR(1/(1/SUM(COUNTIFS(
'YearA-AppDetails Current Date'!A:A,D79,
'YearA-AppDetails Current Date'!F:F,E79,
'YearA-AppDetails Current Date'!E:E,--F79,
'YearA-AppDetails Current Date'!U:U,{"CCAN","DECL"},
'YearA-AppDetails Current Date'!I:I,"SPRING"))), "")</f>
        <v/>
      </c>
      <c r="N79" s="74" t="str" cm="1">
        <f t="array" ref="N79">IFERROR(1/(1/SUM(COUNTIFS(
'YearA-AppDetails Current Date'!A:A,D79,
'YearA-AppDetails Current Date'!F:F,E79,
'YearA-AppDetails Current Date'!E:E,--F79,
'YearA-AppDetails Current Date'!V:V,{"APRO","NODE"},
'YearA-AppDetails Current Date'!I:I,"SPRING"))), "")</f>
        <v/>
      </c>
      <c r="O79" s="74" t="str" cm="1">
        <f t="array" ref="O79">IFERROR(1/(1/SUM(COUNTIFS(
'YearA-AppDetails Current Date'!A:A,D79,
'YearA-AppDetails Current Date'!F:F,E79,
'YearA-AppDetails Current Date'!E:E,--F79,
'YearA-AppDetails Current Date'!T:T,{"CDMT","RQMT","WAIT"},
'YearA-AppDetails Current Date'!I:I,"SPRING"))), "")</f>
        <v/>
      </c>
      <c r="P79" s="74" t="str">
        <f>IFERROR(1/(1/COUNTIFS(
'YearA-AppDetails Current Date'!A:A,D79,
'YearA-AppDetails Current Date'!F:F,E79,
'YearA-AppDetails Current Date'!E:E,--F79,
'YearA-AppDetails Current Date'!Y:Y,"ENRO",
'YearA-AppDetails Current Date'!I:I,"SPRING")),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HC'!D:T,8,FALSE)),
N(VLOOKUP(D80&amp;F80,'Budgeted Projections Dom HC'!D:T,9,FALSE))
)
),"")</f>
        <v/>
      </c>
      <c r="I80" s="73" t="str">
        <f>IFERROR(1/(1/COUNTIFS(
'YearA-AppDetails Current Date'!A:A,D80,
'YearA-AppDetails Current Date'!F:F,E80,
'YearA-AppDetails Current Date'!E:E,--F80,
'YearA-AppDetails Current Date'!I:I,"SPRING")), "")</f>
        <v/>
      </c>
      <c r="J80" s="74" t="str" cm="1">
        <f t="array" ref="J80">IFERROR(1/(1/SUM(COUNTIFS(
'YearA-AppDetails Current Date'!A:A,D80,
'YearA-AppDetails Current Date'!F:F,E80,
'YearA-AppDetails Current Date'!E:E,--F80,
'YearA-AppDetails Current Date'!O:O,{"ACLN","ACPT","COND"},
'YearA-AppDetails Current Date'!S:S,"&lt;&gt;ACLN",
'YearA-AppDetails Current Date'!S:S,"&lt;&gt;ACPT",
'YearA-AppDetails Current Date'!S:S,"&lt;&gt;COND",
'YearA-AppDetails Current Date'!I:I,"SPRING"))), "")</f>
        <v/>
      </c>
      <c r="K80" s="73" t="str">
        <f>IFERROR(1/(1/SUM(COUNTIFS(
'YearA-AppDetails Current Date'!A:A,D80,
'YearA-AppDetails Current Date'!F:F,E80,
'YearA-AppDetails Current Date'!E:E,--F80,
'YearA-AppDetails Current Date'!R:R,"&lt;&gt;"&amp;"",
'YearA-AppDetails Current Date'!I:I,"SPRING"))), "")</f>
        <v/>
      </c>
      <c r="L80" s="74" t="str" cm="1">
        <f t="array" ref="L80">IFERROR(1/(1/SUM(COUNTIFS(
'YearA-AppDetails Current Date'!A:A,D80,
'YearA-AppDetails Current Date'!F:F,E80,
'YearA-AppDetails Current Date'!E:E,--F80,
'YearA-AppDetails Current Date'!T:T,{"APEX","DENY","NTSL"},
'YearA-AppDetails Current Date'!I:I,"SPRING"))), "")</f>
        <v/>
      </c>
      <c r="M80" s="74" t="str" cm="1">
        <f t="array" ref="M80">IFERROR(1/(1/SUM(COUNTIFS(
'YearA-AppDetails Current Date'!A:A,D80,
'YearA-AppDetails Current Date'!F:F,E80,
'YearA-AppDetails Current Date'!E:E,--F80,
'YearA-AppDetails Current Date'!U:U,{"CCAN","DECL"},
'YearA-AppDetails Current Date'!I:I,"SPRING"))), "")</f>
        <v/>
      </c>
      <c r="N80" s="74" t="str" cm="1">
        <f t="array" ref="N80">IFERROR(1/(1/SUM(COUNTIFS(
'YearA-AppDetails Current Date'!A:A,D80,
'YearA-AppDetails Current Date'!F:F,E80,
'YearA-AppDetails Current Date'!E:E,--F80,
'YearA-AppDetails Current Date'!V:V,{"APRO","NODE"},
'YearA-AppDetails Current Date'!I:I,"SPRING"))), "")</f>
        <v/>
      </c>
      <c r="O80" s="74" t="str" cm="1">
        <f t="array" ref="O80">IFERROR(1/(1/SUM(COUNTIFS(
'YearA-AppDetails Current Date'!A:A,D80,
'YearA-AppDetails Current Date'!F:F,E80,
'YearA-AppDetails Current Date'!E:E,--F80,
'YearA-AppDetails Current Date'!T:T,{"CDMT","RQMT","WAIT"},
'YearA-AppDetails Current Date'!I:I,"SPRING"))), "")</f>
        <v/>
      </c>
      <c r="P80" s="74" t="str">
        <f>IFERROR(1/(1/COUNTIFS(
'YearA-AppDetails Current Date'!A:A,D80,
'YearA-AppDetails Current Date'!F:F,E80,
'YearA-AppDetails Current Date'!E:E,--F80,
'YearA-AppDetails Current Date'!Y:Y,"ENRO",
'YearA-AppDetails Current Date'!I:I,"SPRING")),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HC'!D:T,8,FALSE)),
N(VLOOKUP(D81&amp;F81,'Budgeted Projections Intl HC'!D:T,9,FALSE))
)
),"")</f>
        <v/>
      </c>
      <c r="I81" s="73" t="str">
        <f>IFERROR(1/(1/COUNTIFS(
'YearA-AppDetails Current Date'!A:A,D81,
'YearA-AppDetails Current Date'!F:F,E81,
'YearA-AppDetails Current Date'!E:E,--F81,
'YearA-AppDetails Current Date'!I:I,"SPRING")), "")</f>
        <v/>
      </c>
      <c r="J81" s="74" t="str" cm="1">
        <f t="array" ref="J81">IFERROR(1/(1/SUM(COUNTIFS(
'YearA-AppDetails Current Date'!A:A,D81,
'YearA-AppDetails Current Date'!F:F,E81,
'YearA-AppDetails Current Date'!E:E,--F81,
'YearA-AppDetails Current Date'!O:O,{"ACLN","ACPT","COND"},
'YearA-AppDetails Current Date'!S:S,"&lt;&gt;ACLN",
'YearA-AppDetails Current Date'!S:S,"&lt;&gt;ACPT",
'YearA-AppDetails Current Date'!S:S,"&lt;&gt;COND",
'YearA-AppDetails Current Date'!I:I,"SPRING"))), "")</f>
        <v/>
      </c>
      <c r="K81" s="73" t="str">
        <f>IFERROR(1/(1/SUM(COUNTIFS(
'YearA-AppDetails Current Date'!A:A,D81,
'YearA-AppDetails Current Date'!F:F,E81,
'YearA-AppDetails Current Date'!E:E,--F81,
'YearA-AppDetails Current Date'!R:R,"&lt;&gt;"&amp;"",
'YearA-AppDetails Current Date'!I:I,"SPRING"))), "")</f>
        <v/>
      </c>
      <c r="L81" s="74" t="str" cm="1">
        <f t="array" ref="L81">IFERROR(1/(1/SUM(COUNTIFS(
'YearA-AppDetails Current Date'!A:A,D81,
'YearA-AppDetails Current Date'!F:F,E81,
'YearA-AppDetails Current Date'!E:E,--F81,
'YearA-AppDetails Current Date'!T:T,{"APEX","DENY","NTSL"},
'YearA-AppDetails Current Date'!I:I,"SPRING"))), "")</f>
        <v/>
      </c>
      <c r="M81" s="74" t="str" cm="1">
        <f t="array" ref="M81">IFERROR(1/(1/SUM(COUNTIFS(
'YearA-AppDetails Current Date'!A:A,D81,
'YearA-AppDetails Current Date'!F:F,E81,
'YearA-AppDetails Current Date'!E:E,--F81,
'YearA-AppDetails Current Date'!U:U,{"CCAN","DECL"},
'YearA-AppDetails Current Date'!I:I,"SPRING"))), "")</f>
        <v/>
      </c>
      <c r="N81" s="74" t="str" cm="1">
        <f t="array" ref="N81">IFERROR(1/(1/SUM(COUNTIFS(
'YearA-AppDetails Current Date'!A:A,D81,
'YearA-AppDetails Current Date'!F:F,E81,
'YearA-AppDetails Current Date'!E:E,--F81,
'YearA-AppDetails Current Date'!V:V,{"APRO","NODE"},
'YearA-AppDetails Current Date'!I:I,"SPRING"))), "")</f>
        <v/>
      </c>
      <c r="O81" s="74" t="str" cm="1">
        <f t="array" ref="O81">IFERROR(1/(1/SUM(COUNTIFS(
'YearA-AppDetails Current Date'!A:A,D81,
'YearA-AppDetails Current Date'!F:F,E81,
'YearA-AppDetails Current Date'!E:E,--F81,
'YearA-AppDetails Current Date'!T:T,{"CDMT","RQMT","WAIT"},
'YearA-AppDetails Current Date'!I:I,"SPRING"))), "")</f>
        <v/>
      </c>
      <c r="P81" s="74" t="str">
        <f>IFERROR(1/(1/COUNTIFS(
'YearA-AppDetails Current Date'!A:A,D81,
'YearA-AppDetails Current Date'!F:F,E81,
'YearA-AppDetails Current Date'!E:E,--F81,
'YearA-AppDetails Current Date'!Y:Y,"ENRO",
'YearA-AppDetails Current Date'!I:I,"SPRING")),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HC'!D:T,8,FALSE)),
N(VLOOKUP(D82&amp;F82,'Budgeted Projections Dom HC'!D:T,9,FALSE))
)
),"")</f>
        <v/>
      </c>
      <c r="I82" s="73" t="str">
        <f>IFERROR(1/(1/COUNTIFS(
'YearA-AppDetails Current Date'!A:A,D82,
'YearA-AppDetails Current Date'!F:F,E82,
'YearA-AppDetails Current Date'!E:E,--F82,
'YearA-AppDetails Current Date'!I:I,"SPRING")), "")</f>
        <v/>
      </c>
      <c r="J82" s="74" t="str" cm="1">
        <f t="array" ref="J82">IFERROR(1/(1/SUM(COUNTIFS(
'YearA-AppDetails Current Date'!A:A,D82,
'YearA-AppDetails Current Date'!F:F,E82,
'YearA-AppDetails Current Date'!E:E,--F82,
'YearA-AppDetails Current Date'!O:O,{"ACLN","ACPT","COND"},
'YearA-AppDetails Current Date'!S:S,"&lt;&gt;ACLN",
'YearA-AppDetails Current Date'!S:S,"&lt;&gt;ACPT",
'YearA-AppDetails Current Date'!S:S,"&lt;&gt;COND",
'YearA-AppDetails Current Date'!I:I,"SPRING"))), "")</f>
        <v/>
      </c>
      <c r="K82" s="73" t="str">
        <f>IFERROR(1/(1/SUM(COUNTIFS(
'YearA-AppDetails Current Date'!A:A,D82,
'YearA-AppDetails Current Date'!F:F,E82,
'YearA-AppDetails Current Date'!E:E,--F82,
'YearA-AppDetails Current Date'!R:R,"&lt;&gt;"&amp;"",
'YearA-AppDetails Current Date'!I:I,"SPRING"))), "")</f>
        <v/>
      </c>
      <c r="L82" s="74" t="str" cm="1">
        <f t="array" ref="L82">IFERROR(1/(1/SUM(COUNTIFS(
'YearA-AppDetails Current Date'!A:A,D82,
'YearA-AppDetails Current Date'!F:F,E82,
'YearA-AppDetails Current Date'!E:E,--F82,
'YearA-AppDetails Current Date'!T:T,{"APEX","DENY","NTSL"},
'YearA-AppDetails Current Date'!I:I,"SPRING"))), "")</f>
        <v/>
      </c>
      <c r="M82" s="74" t="str" cm="1">
        <f t="array" ref="M82">IFERROR(1/(1/SUM(COUNTIFS(
'YearA-AppDetails Current Date'!A:A,D82,
'YearA-AppDetails Current Date'!F:F,E82,
'YearA-AppDetails Current Date'!E:E,--F82,
'YearA-AppDetails Current Date'!U:U,{"CCAN","DECL"},
'YearA-AppDetails Current Date'!I:I,"SPRING"))), "")</f>
        <v/>
      </c>
      <c r="N82" s="74" t="str" cm="1">
        <f t="array" ref="N82">IFERROR(1/(1/SUM(COUNTIFS(
'YearA-AppDetails Current Date'!A:A,D82,
'YearA-AppDetails Current Date'!F:F,E82,
'YearA-AppDetails Current Date'!E:E,--F82,
'YearA-AppDetails Current Date'!V:V,{"APRO","NODE"},
'YearA-AppDetails Current Date'!I:I,"SPRING"))), "")</f>
        <v/>
      </c>
      <c r="O82" s="74" t="str" cm="1">
        <f t="array" ref="O82">IFERROR(1/(1/SUM(COUNTIFS(
'YearA-AppDetails Current Date'!A:A,D82,
'YearA-AppDetails Current Date'!F:F,E82,
'YearA-AppDetails Current Date'!E:E,--F82,
'YearA-AppDetails Current Date'!T:T,{"CDMT","RQMT","WAIT"},
'YearA-AppDetails Current Date'!I:I,"SPRING"))), "")</f>
        <v/>
      </c>
      <c r="P82" s="74" t="str">
        <f>IFERROR(1/(1/COUNTIFS(
'YearA-AppDetails Current Date'!A:A,D82,
'YearA-AppDetails Current Date'!F:F,E82,
'YearA-AppDetails Current Date'!E:E,--F82,
'YearA-AppDetails Current Date'!Y:Y,"ENRO",
'YearA-AppDetails Current Date'!I:I,"SPRING")),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HC'!D:T,8,FALSE)),
N(VLOOKUP(D83&amp;F83,'Budgeted Projections Intl HC'!D:T,9,FALSE))
)
),"")</f>
        <v/>
      </c>
      <c r="I83" s="73" t="str">
        <f>IFERROR(1/(1/COUNTIFS(
'YearA-AppDetails Current Date'!A:A,D83,
'YearA-AppDetails Current Date'!F:F,E83,
'YearA-AppDetails Current Date'!E:E,--F83,
'YearA-AppDetails Current Date'!I:I,"SPRING")), "")</f>
        <v/>
      </c>
      <c r="J83" s="74" t="str" cm="1">
        <f t="array" ref="J83">IFERROR(1/(1/SUM(COUNTIFS(
'YearA-AppDetails Current Date'!A:A,D83,
'YearA-AppDetails Current Date'!F:F,E83,
'YearA-AppDetails Current Date'!E:E,--F83,
'YearA-AppDetails Current Date'!O:O,{"ACLN","ACPT","COND"},
'YearA-AppDetails Current Date'!S:S,"&lt;&gt;ACLN",
'YearA-AppDetails Current Date'!S:S,"&lt;&gt;ACPT",
'YearA-AppDetails Current Date'!S:S,"&lt;&gt;COND",
'YearA-AppDetails Current Date'!I:I,"SPRING"))), "")</f>
        <v/>
      </c>
      <c r="K83" s="73" t="str">
        <f>IFERROR(1/(1/SUM(COUNTIFS(
'YearA-AppDetails Current Date'!A:A,D83,
'YearA-AppDetails Current Date'!F:F,E83,
'YearA-AppDetails Current Date'!E:E,--F83,
'YearA-AppDetails Current Date'!R:R,"&lt;&gt;"&amp;"",
'YearA-AppDetails Current Date'!I:I,"SPRING"))), "")</f>
        <v/>
      </c>
      <c r="L83" s="74" t="str" cm="1">
        <f t="array" ref="L83">IFERROR(1/(1/SUM(COUNTIFS(
'YearA-AppDetails Current Date'!A:A,D83,
'YearA-AppDetails Current Date'!F:F,E83,
'YearA-AppDetails Current Date'!E:E,--F83,
'YearA-AppDetails Current Date'!T:T,{"APEX","DENY","NTSL"},
'YearA-AppDetails Current Date'!I:I,"SPRING"))), "")</f>
        <v/>
      </c>
      <c r="M83" s="74" t="str" cm="1">
        <f t="array" ref="M83">IFERROR(1/(1/SUM(COUNTIFS(
'YearA-AppDetails Current Date'!A:A,D83,
'YearA-AppDetails Current Date'!F:F,E83,
'YearA-AppDetails Current Date'!E:E,--F83,
'YearA-AppDetails Current Date'!U:U,{"CCAN","DECL"},
'YearA-AppDetails Current Date'!I:I,"SPRING"))), "")</f>
        <v/>
      </c>
      <c r="N83" s="74" t="str" cm="1">
        <f t="array" ref="N83">IFERROR(1/(1/SUM(COUNTIFS(
'YearA-AppDetails Current Date'!A:A,D83,
'YearA-AppDetails Current Date'!F:F,E83,
'YearA-AppDetails Current Date'!E:E,--F83,
'YearA-AppDetails Current Date'!V:V,{"APRO","NODE"},
'YearA-AppDetails Current Date'!I:I,"SPRING"))), "")</f>
        <v/>
      </c>
      <c r="O83" s="74" t="str" cm="1">
        <f t="array" ref="O83">IFERROR(1/(1/SUM(COUNTIFS(
'YearA-AppDetails Current Date'!A:A,D83,
'YearA-AppDetails Current Date'!F:F,E83,
'YearA-AppDetails Current Date'!E:E,--F83,
'YearA-AppDetails Current Date'!T:T,{"CDMT","RQMT","WAIT"},
'YearA-AppDetails Current Date'!I:I,"SPRING"))), "")</f>
        <v/>
      </c>
      <c r="P83" s="74" t="str">
        <f>IFERROR(1/(1/COUNTIFS(
'YearA-AppDetails Current Date'!A:A,D83,
'YearA-AppDetails Current Date'!F:F,E83,
'YearA-AppDetails Current Date'!E:E,--F83,
'YearA-AppDetails Current Date'!Y:Y,"ENRO",
'YearA-AppDetails Current Date'!I:I,"SPRING")),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HC'!D:T,8,FALSE)),
N(VLOOKUP(D84&amp;F84,'Budgeted Projections Dom HC'!D:T,9,FALSE))
)
),"")</f>
        <v/>
      </c>
      <c r="I84" s="73" t="str">
        <f>IFERROR(1/(1/COUNTIFS(
'YearA-AppDetails Current Date'!A:A,D84,
'YearA-AppDetails Current Date'!F:F,E84,
'YearA-AppDetails Current Date'!E:E,--F84,
'YearA-AppDetails Current Date'!I:I,"SPRING")), "")</f>
        <v/>
      </c>
      <c r="J84" s="74" t="str" cm="1">
        <f t="array" ref="J84">IFERROR(1/(1/SUM(COUNTIFS(
'YearA-AppDetails Current Date'!A:A,D84,
'YearA-AppDetails Current Date'!F:F,E84,
'YearA-AppDetails Current Date'!E:E,--F84,
'YearA-AppDetails Current Date'!O:O,{"ACLN","ACPT","COND"},
'YearA-AppDetails Current Date'!S:S,"&lt;&gt;ACLN",
'YearA-AppDetails Current Date'!S:S,"&lt;&gt;ACPT",
'YearA-AppDetails Current Date'!S:S,"&lt;&gt;COND",
'YearA-AppDetails Current Date'!I:I,"SPRING"))), "")</f>
        <v/>
      </c>
      <c r="K84" s="73" t="str">
        <f>IFERROR(1/(1/SUM(COUNTIFS(
'YearA-AppDetails Current Date'!A:A,D84,
'YearA-AppDetails Current Date'!F:F,E84,
'YearA-AppDetails Current Date'!E:E,--F84,
'YearA-AppDetails Current Date'!R:R,"&lt;&gt;"&amp;"",
'YearA-AppDetails Current Date'!I:I,"SPRING"))), "")</f>
        <v/>
      </c>
      <c r="L84" s="74" t="str" cm="1">
        <f t="array" ref="L84">IFERROR(1/(1/SUM(COUNTIFS(
'YearA-AppDetails Current Date'!A:A,D84,
'YearA-AppDetails Current Date'!F:F,E84,
'YearA-AppDetails Current Date'!E:E,--F84,
'YearA-AppDetails Current Date'!T:T,{"APEX","DENY","NTSL"},
'YearA-AppDetails Current Date'!I:I,"SPRING"))), "")</f>
        <v/>
      </c>
      <c r="M84" s="74" t="str" cm="1">
        <f t="array" ref="M84">IFERROR(1/(1/SUM(COUNTIFS(
'YearA-AppDetails Current Date'!A:A,D84,
'YearA-AppDetails Current Date'!F:F,E84,
'YearA-AppDetails Current Date'!E:E,--F84,
'YearA-AppDetails Current Date'!U:U,{"CCAN","DECL"},
'YearA-AppDetails Current Date'!I:I,"SPRING"))), "")</f>
        <v/>
      </c>
      <c r="N84" s="74" t="str" cm="1">
        <f t="array" ref="N84">IFERROR(1/(1/SUM(COUNTIFS(
'YearA-AppDetails Current Date'!A:A,D84,
'YearA-AppDetails Current Date'!F:F,E84,
'YearA-AppDetails Current Date'!E:E,--F84,
'YearA-AppDetails Current Date'!V:V,{"APRO","NODE"},
'YearA-AppDetails Current Date'!I:I,"SPRING"))), "")</f>
        <v/>
      </c>
      <c r="O84" s="74" t="str" cm="1">
        <f t="array" ref="O84">IFERROR(1/(1/SUM(COUNTIFS(
'YearA-AppDetails Current Date'!A:A,D84,
'YearA-AppDetails Current Date'!F:F,E84,
'YearA-AppDetails Current Date'!E:E,--F84,
'YearA-AppDetails Current Date'!T:T,{"CDMT","RQMT","WAIT"},
'YearA-AppDetails Current Date'!I:I,"SPRING"))), "")</f>
        <v/>
      </c>
      <c r="P84" s="74" t="str">
        <f>IFERROR(1/(1/COUNTIFS(
'YearA-AppDetails Current Date'!A:A,D84,
'YearA-AppDetails Current Date'!F:F,E84,
'YearA-AppDetails Current Date'!E:E,--F84,
'YearA-AppDetails Current Date'!Y:Y,"ENRO",
'YearA-AppDetails Current Date'!I:I,"SPRING")),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HC'!D:T,8,FALSE)),
N(VLOOKUP(D85&amp;F85,'Budgeted Projections Intl HC'!D:T,9,FALSE))
)
),"")</f>
        <v/>
      </c>
      <c r="I85" s="73" t="str">
        <f>IFERROR(1/(1/COUNTIFS(
'YearA-AppDetails Current Date'!A:A,D85,
'YearA-AppDetails Current Date'!F:F,E85,
'YearA-AppDetails Current Date'!E:E,--F85,
'YearA-AppDetails Current Date'!I:I,"SPRING")), "")</f>
        <v/>
      </c>
      <c r="J85" s="74" t="str" cm="1">
        <f t="array" ref="J85">IFERROR(1/(1/SUM(COUNTIFS(
'YearA-AppDetails Current Date'!A:A,D85,
'YearA-AppDetails Current Date'!F:F,E85,
'YearA-AppDetails Current Date'!E:E,--F85,
'YearA-AppDetails Current Date'!O:O,{"ACLN","ACPT","COND"},
'YearA-AppDetails Current Date'!S:S,"&lt;&gt;ACLN",
'YearA-AppDetails Current Date'!S:S,"&lt;&gt;ACPT",
'YearA-AppDetails Current Date'!S:S,"&lt;&gt;COND",
'YearA-AppDetails Current Date'!I:I,"SPRING"))), "")</f>
        <v/>
      </c>
      <c r="K85" s="73" t="str">
        <f>IFERROR(1/(1/SUM(COUNTIFS(
'YearA-AppDetails Current Date'!A:A,D85,
'YearA-AppDetails Current Date'!F:F,E85,
'YearA-AppDetails Current Date'!E:E,--F85,
'YearA-AppDetails Current Date'!R:R,"&lt;&gt;"&amp;"",
'YearA-AppDetails Current Date'!I:I,"SPRING"))), "")</f>
        <v/>
      </c>
      <c r="L85" s="74" t="str" cm="1">
        <f t="array" ref="L85">IFERROR(1/(1/SUM(COUNTIFS(
'YearA-AppDetails Current Date'!A:A,D85,
'YearA-AppDetails Current Date'!F:F,E85,
'YearA-AppDetails Current Date'!E:E,--F85,
'YearA-AppDetails Current Date'!T:T,{"APEX","DENY","NTSL"},
'YearA-AppDetails Current Date'!I:I,"SPRING"))), "")</f>
        <v/>
      </c>
      <c r="M85" s="74" t="str" cm="1">
        <f t="array" ref="M85">IFERROR(1/(1/SUM(COUNTIFS(
'YearA-AppDetails Current Date'!A:A,D85,
'YearA-AppDetails Current Date'!F:F,E85,
'YearA-AppDetails Current Date'!E:E,--F85,
'YearA-AppDetails Current Date'!U:U,{"CCAN","DECL"},
'YearA-AppDetails Current Date'!I:I,"SPRING"))), "")</f>
        <v/>
      </c>
      <c r="N85" s="74" t="str" cm="1">
        <f t="array" ref="N85">IFERROR(1/(1/SUM(COUNTIFS(
'YearA-AppDetails Current Date'!A:A,D85,
'YearA-AppDetails Current Date'!F:F,E85,
'YearA-AppDetails Current Date'!E:E,--F85,
'YearA-AppDetails Current Date'!V:V,{"APRO","NODE"},
'YearA-AppDetails Current Date'!I:I,"SPRING"))), "")</f>
        <v/>
      </c>
      <c r="O85" s="74" t="str" cm="1">
        <f t="array" ref="O85">IFERROR(1/(1/SUM(COUNTIFS(
'YearA-AppDetails Current Date'!A:A,D85,
'YearA-AppDetails Current Date'!F:F,E85,
'YearA-AppDetails Current Date'!E:E,--F85,
'YearA-AppDetails Current Date'!T:T,{"CDMT","RQMT","WAIT"},
'YearA-AppDetails Current Date'!I:I,"SPRING"))), "")</f>
        <v/>
      </c>
      <c r="P85" s="74" t="str">
        <f>IFERROR(1/(1/COUNTIFS(
'YearA-AppDetails Current Date'!A:A,D85,
'YearA-AppDetails Current Date'!F:F,E85,
'YearA-AppDetails Current Date'!E:E,--F85,
'YearA-AppDetails Current Date'!Y:Y,"ENRO",
'YearA-AppDetails Current Date'!I:I,"SPRING")),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HC'!D:T,8,FALSE)),
N(VLOOKUP(D86&amp;F86,'Budgeted Projections Dom HC'!D:T,9,FALSE))
)
),"")</f>
        <v/>
      </c>
      <c r="I86" s="73" t="str">
        <f>IFERROR(1/(1/COUNTIFS(
'YearA-AppDetails Current Date'!A:A,D86,
'YearA-AppDetails Current Date'!F:F,E86,
'YearA-AppDetails Current Date'!E:E,--F86,
'YearA-AppDetails Current Date'!I:I,"SPRING")), "")</f>
        <v/>
      </c>
      <c r="J86" s="74" t="str" cm="1">
        <f t="array" ref="J86">IFERROR(1/(1/SUM(COUNTIFS(
'YearA-AppDetails Current Date'!A:A,D86,
'YearA-AppDetails Current Date'!F:F,E86,
'YearA-AppDetails Current Date'!E:E,--F86,
'YearA-AppDetails Current Date'!O:O,{"ACLN","ACPT","COND"},
'YearA-AppDetails Current Date'!S:S,"&lt;&gt;ACLN",
'YearA-AppDetails Current Date'!S:S,"&lt;&gt;ACPT",
'YearA-AppDetails Current Date'!S:S,"&lt;&gt;COND",
'YearA-AppDetails Current Date'!I:I,"SPRING"))), "")</f>
        <v/>
      </c>
      <c r="K86" s="73" t="str">
        <f>IFERROR(1/(1/SUM(COUNTIFS(
'YearA-AppDetails Current Date'!A:A,D86,
'YearA-AppDetails Current Date'!F:F,E86,
'YearA-AppDetails Current Date'!E:E,--F86,
'YearA-AppDetails Current Date'!R:R,"&lt;&gt;"&amp;"",
'YearA-AppDetails Current Date'!I:I,"SPRING"))), "")</f>
        <v/>
      </c>
      <c r="L86" s="74" t="str" cm="1">
        <f t="array" ref="L86">IFERROR(1/(1/SUM(COUNTIFS(
'YearA-AppDetails Current Date'!A:A,D86,
'YearA-AppDetails Current Date'!F:F,E86,
'YearA-AppDetails Current Date'!E:E,--F86,
'YearA-AppDetails Current Date'!T:T,{"APEX","DENY","NTSL"},
'YearA-AppDetails Current Date'!I:I,"SPRING"))), "")</f>
        <v/>
      </c>
      <c r="M86" s="74" t="str" cm="1">
        <f t="array" ref="M86">IFERROR(1/(1/SUM(COUNTIFS(
'YearA-AppDetails Current Date'!A:A,D86,
'YearA-AppDetails Current Date'!F:F,E86,
'YearA-AppDetails Current Date'!E:E,--F86,
'YearA-AppDetails Current Date'!U:U,{"CCAN","DECL"},
'YearA-AppDetails Current Date'!I:I,"SPRING"))), "")</f>
        <v/>
      </c>
      <c r="N86" s="74" t="str" cm="1">
        <f t="array" ref="N86">IFERROR(1/(1/SUM(COUNTIFS(
'YearA-AppDetails Current Date'!A:A,D86,
'YearA-AppDetails Current Date'!F:F,E86,
'YearA-AppDetails Current Date'!E:E,--F86,
'YearA-AppDetails Current Date'!V:V,{"APRO","NODE"},
'YearA-AppDetails Current Date'!I:I,"SPRING"))), "")</f>
        <v/>
      </c>
      <c r="O86" s="74" t="str" cm="1">
        <f t="array" ref="O86">IFERROR(1/(1/SUM(COUNTIFS(
'YearA-AppDetails Current Date'!A:A,D86,
'YearA-AppDetails Current Date'!F:F,E86,
'YearA-AppDetails Current Date'!E:E,--F86,
'YearA-AppDetails Current Date'!T:T,{"CDMT","RQMT","WAIT"},
'YearA-AppDetails Current Date'!I:I,"SPRING"))), "")</f>
        <v/>
      </c>
      <c r="P86" s="74" t="str">
        <f>IFERROR(1/(1/COUNTIFS(
'YearA-AppDetails Current Date'!A:A,D86,
'YearA-AppDetails Current Date'!F:F,E86,
'YearA-AppDetails Current Date'!E:E,--F86,
'YearA-AppDetails Current Date'!Y:Y,"ENRO",
'YearA-AppDetails Current Date'!I:I,"SPRING")),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HC'!D:T,8,FALSE)),
N(VLOOKUP(D87&amp;F87,'Budgeted Projections Intl HC'!D:T,9,FALSE))
)
),"")</f>
        <v/>
      </c>
      <c r="I87" s="73" t="str">
        <f>IFERROR(1/(1/COUNTIFS(
'YearA-AppDetails Current Date'!A:A,D87,
'YearA-AppDetails Current Date'!F:F,E87,
'YearA-AppDetails Current Date'!E:E,--F87,
'YearA-AppDetails Current Date'!I:I,"SPRING")), "")</f>
        <v/>
      </c>
      <c r="J87" s="74" t="str" cm="1">
        <f t="array" ref="J87">IFERROR(1/(1/SUM(COUNTIFS(
'YearA-AppDetails Current Date'!A:A,D87,
'YearA-AppDetails Current Date'!F:F,E87,
'YearA-AppDetails Current Date'!E:E,--F87,
'YearA-AppDetails Current Date'!O:O,{"ACLN","ACPT","COND"},
'YearA-AppDetails Current Date'!S:S,"&lt;&gt;ACLN",
'YearA-AppDetails Current Date'!S:S,"&lt;&gt;ACPT",
'YearA-AppDetails Current Date'!S:S,"&lt;&gt;COND",
'YearA-AppDetails Current Date'!I:I,"SPRING"))), "")</f>
        <v/>
      </c>
      <c r="K87" s="73" t="str">
        <f>IFERROR(1/(1/SUM(COUNTIFS(
'YearA-AppDetails Current Date'!A:A,D87,
'YearA-AppDetails Current Date'!F:F,E87,
'YearA-AppDetails Current Date'!E:E,--F87,
'YearA-AppDetails Current Date'!R:R,"&lt;&gt;"&amp;"",
'YearA-AppDetails Current Date'!I:I,"SPRING"))), "")</f>
        <v/>
      </c>
      <c r="L87" s="74" t="str" cm="1">
        <f t="array" ref="L87">IFERROR(1/(1/SUM(COUNTIFS(
'YearA-AppDetails Current Date'!A:A,D87,
'YearA-AppDetails Current Date'!F:F,E87,
'YearA-AppDetails Current Date'!E:E,--F87,
'YearA-AppDetails Current Date'!T:T,{"APEX","DENY","NTSL"},
'YearA-AppDetails Current Date'!I:I,"SPRING"))), "")</f>
        <v/>
      </c>
      <c r="M87" s="74" t="str" cm="1">
        <f t="array" ref="M87">IFERROR(1/(1/SUM(COUNTIFS(
'YearA-AppDetails Current Date'!A:A,D87,
'YearA-AppDetails Current Date'!F:F,E87,
'YearA-AppDetails Current Date'!E:E,--F87,
'YearA-AppDetails Current Date'!U:U,{"CCAN","DECL"},
'YearA-AppDetails Current Date'!I:I,"SPRING"))), "")</f>
        <v/>
      </c>
      <c r="N87" s="74" t="str" cm="1">
        <f t="array" ref="N87">IFERROR(1/(1/SUM(COUNTIFS(
'YearA-AppDetails Current Date'!A:A,D87,
'YearA-AppDetails Current Date'!F:F,E87,
'YearA-AppDetails Current Date'!E:E,--F87,
'YearA-AppDetails Current Date'!V:V,{"APRO","NODE"},
'YearA-AppDetails Current Date'!I:I,"SPRING"))), "")</f>
        <v/>
      </c>
      <c r="O87" s="74" t="str" cm="1">
        <f t="array" ref="O87">IFERROR(1/(1/SUM(COUNTIFS(
'YearA-AppDetails Current Date'!A:A,D87,
'YearA-AppDetails Current Date'!F:F,E87,
'YearA-AppDetails Current Date'!E:E,--F87,
'YearA-AppDetails Current Date'!T:T,{"CDMT","RQMT","WAIT"},
'YearA-AppDetails Current Date'!I:I,"SPRING"))), "")</f>
        <v/>
      </c>
      <c r="P87" s="74" t="str">
        <f>IFERROR(1/(1/COUNTIFS(
'YearA-AppDetails Current Date'!A:A,D87,
'YearA-AppDetails Current Date'!F:F,E87,
'YearA-AppDetails Current Date'!E:E,--F87,
'YearA-AppDetails Current Date'!Y:Y,"ENRO",
'YearA-AppDetails Current Date'!I:I,"SPRING")),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HC'!D:T,8,FALSE)),
N(VLOOKUP(D88&amp;F88,'Budgeted Projections Dom HC'!D:T,9,FALSE))
)
),"")</f>
        <v/>
      </c>
      <c r="I88" s="73" t="str">
        <f>IFERROR(1/(1/COUNTIFS(
'YearA-AppDetails Current Date'!A:A,D88,
'YearA-AppDetails Current Date'!F:F,E88,
'YearA-AppDetails Current Date'!E:E,--F88,
'YearA-AppDetails Current Date'!I:I,"SPRING")), "")</f>
        <v/>
      </c>
      <c r="J88" s="74" t="str" cm="1">
        <f t="array" ref="J88">IFERROR(1/(1/SUM(COUNTIFS(
'YearA-AppDetails Current Date'!A:A,D88,
'YearA-AppDetails Current Date'!F:F,E88,
'YearA-AppDetails Current Date'!E:E,--F88,
'YearA-AppDetails Current Date'!O:O,{"ACLN","ACPT","COND"},
'YearA-AppDetails Current Date'!S:S,"&lt;&gt;ACLN",
'YearA-AppDetails Current Date'!S:S,"&lt;&gt;ACPT",
'YearA-AppDetails Current Date'!S:S,"&lt;&gt;COND",
'YearA-AppDetails Current Date'!I:I,"SPRING"))), "")</f>
        <v/>
      </c>
      <c r="K88" s="73" t="str">
        <f>IFERROR(1/(1/SUM(COUNTIFS(
'YearA-AppDetails Current Date'!A:A,D88,
'YearA-AppDetails Current Date'!F:F,E88,
'YearA-AppDetails Current Date'!E:E,--F88,
'YearA-AppDetails Current Date'!R:R,"&lt;&gt;"&amp;"",
'YearA-AppDetails Current Date'!I:I,"SPRING"))), "")</f>
        <v/>
      </c>
      <c r="L88" s="74" t="str" cm="1">
        <f t="array" ref="L88">IFERROR(1/(1/SUM(COUNTIFS(
'YearA-AppDetails Current Date'!A:A,D88,
'YearA-AppDetails Current Date'!F:F,E88,
'YearA-AppDetails Current Date'!E:E,--F88,
'YearA-AppDetails Current Date'!T:T,{"APEX","DENY","NTSL"},
'YearA-AppDetails Current Date'!I:I,"SPRING"))), "")</f>
        <v/>
      </c>
      <c r="M88" s="74" t="str" cm="1">
        <f t="array" ref="M88">IFERROR(1/(1/SUM(COUNTIFS(
'YearA-AppDetails Current Date'!A:A,D88,
'YearA-AppDetails Current Date'!F:F,E88,
'YearA-AppDetails Current Date'!E:E,--F88,
'YearA-AppDetails Current Date'!U:U,{"CCAN","DECL"},
'YearA-AppDetails Current Date'!I:I,"SPRING"))), "")</f>
        <v/>
      </c>
      <c r="N88" s="74" t="str" cm="1">
        <f t="array" ref="N88">IFERROR(1/(1/SUM(COUNTIFS(
'YearA-AppDetails Current Date'!A:A,D88,
'YearA-AppDetails Current Date'!F:F,E88,
'YearA-AppDetails Current Date'!E:E,--F88,
'YearA-AppDetails Current Date'!V:V,{"APRO","NODE"},
'YearA-AppDetails Current Date'!I:I,"SPRING"))), "")</f>
        <v/>
      </c>
      <c r="O88" s="74" t="str" cm="1">
        <f t="array" ref="O88">IFERROR(1/(1/SUM(COUNTIFS(
'YearA-AppDetails Current Date'!A:A,D88,
'YearA-AppDetails Current Date'!F:F,E88,
'YearA-AppDetails Current Date'!E:E,--F88,
'YearA-AppDetails Current Date'!T:T,{"CDMT","RQMT","WAIT"},
'YearA-AppDetails Current Date'!I:I,"SPRING"))), "")</f>
        <v/>
      </c>
      <c r="P88" s="74" t="str">
        <f>IFERROR(1/(1/COUNTIFS(
'YearA-AppDetails Current Date'!A:A,D88,
'YearA-AppDetails Current Date'!F:F,E88,
'YearA-AppDetails Current Date'!E:E,--F88,
'YearA-AppDetails Current Date'!Y:Y,"ENRO",
'YearA-AppDetails Current Date'!I:I,"SPRING")),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HC'!D:T,8,FALSE)),
N(VLOOKUP(D89&amp;F89,'Budgeted Projections Intl HC'!D:T,9,FALSE))
)
),"")</f>
        <v/>
      </c>
      <c r="I89" s="73" t="str">
        <f>IFERROR(1/(1/COUNTIFS(
'YearA-AppDetails Current Date'!A:A,D89,
'YearA-AppDetails Current Date'!F:F,E89,
'YearA-AppDetails Current Date'!E:E,--F89,
'YearA-AppDetails Current Date'!I:I,"SPRING")), "")</f>
        <v/>
      </c>
      <c r="J89" s="74" t="str" cm="1">
        <f t="array" ref="J89">IFERROR(1/(1/SUM(COUNTIFS(
'YearA-AppDetails Current Date'!A:A,D89,
'YearA-AppDetails Current Date'!F:F,E89,
'YearA-AppDetails Current Date'!E:E,--F89,
'YearA-AppDetails Current Date'!O:O,{"ACLN","ACPT","COND"},
'YearA-AppDetails Current Date'!S:S,"&lt;&gt;ACLN",
'YearA-AppDetails Current Date'!S:S,"&lt;&gt;ACPT",
'YearA-AppDetails Current Date'!S:S,"&lt;&gt;COND",
'YearA-AppDetails Current Date'!I:I,"SPRING"))), "")</f>
        <v/>
      </c>
      <c r="K89" s="73" t="str">
        <f>IFERROR(1/(1/SUM(COUNTIFS(
'YearA-AppDetails Current Date'!A:A,D89,
'YearA-AppDetails Current Date'!F:F,E89,
'YearA-AppDetails Current Date'!E:E,--F89,
'YearA-AppDetails Current Date'!R:R,"&lt;&gt;"&amp;"",
'YearA-AppDetails Current Date'!I:I,"SPRING"))), "")</f>
        <v/>
      </c>
      <c r="L89" s="74" t="str" cm="1">
        <f t="array" ref="L89">IFERROR(1/(1/SUM(COUNTIFS(
'YearA-AppDetails Current Date'!A:A,D89,
'YearA-AppDetails Current Date'!F:F,E89,
'YearA-AppDetails Current Date'!E:E,--F89,
'YearA-AppDetails Current Date'!T:T,{"APEX","DENY","NTSL"},
'YearA-AppDetails Current Date'!I:I,"SPRING"))), "")</f>
        <v/>
      </c>
      <c r="M89" s="74" t="str" cm="1">
        <f t="array" ref="M89">IFERROR(1/(1/SUM(COUNTIFS(
'YearA-AppDetails Current Date'!A:A,D89,
'YearA-AppDetails Current Date'!F:F,E89,
'YearA-AppDetails Current Date'!E:E,--F89,
'YearA-AppDetails Current Date'!U:U,{"CCAN","DECL"},
'YearA-AppDetails Current Date'!I:I,"SPRING"))), "")</f>
        <v/>
      </c>
      <c r="N89" s="74" t="str" cm="1">
        <f t="array" ref="N89">IFERROR(1/(1/SUM(COUNTIFS(
'YearA-AppDetails Current Date'!A:A,D89,
'YearA-AppDetails Current Date'!F:F,E89,
'YearA-AppDetails Current Date'!E:E,--F89,
'YearA-AppDetails Current Date'!V:V,{"APRO","NODE"},
'YearA-AppDetails Current Date'!I:I,"SPRING"))), "")</f>
        <v/>
      </c>
      <c r="O89" s="74" t="str" cm="1">
        <f t="array" ref="O89">IFERROR(1/(1/SUM(COUNTIFS(
'YearA-AppDetails Current Date'!A:A,D89,
'YearA-AppDetails Current Date'!F:F,E89,
'YearA-AppDetails Current Date'!E:E,--F89,
'YearA-AppDetails Current Date'!T:T,{"CDMT","RQMT","WAIT"},
'YearA-AppDetails Current Date'!I:I,"SPRING"))), "")</f>
        <v/>
      </c>
      <c r="P89" s="74" t="str">
        <f>IFERROR(1/(1/COUNTIFS(
'YearA-AppDetails Current Date'!A:A,D89,
'YearA-AppDetails Current Date'!F:F,E89,
'YearA-AppDetails Current Date'!E:E,--F89,
'YearA-AppDetails Current Date'!Y:Y,"ENRO",
'YearA-AppDetails Current Date'!I:I,"SPRING")),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HC'!D:T,8,FALSE)),
N(VLOOKUP(D90&amp;F90,'Budgeted Projections Dom HC'!D:T,9,FALSE))
)
),"")</f>
        <v/>
      </c>
      <c r="I90" s="73" t="str">
        <f>IFERROR(1/(1/COUNTIFS(
'YearA-AppDetails Current Date'!A:A,D90,
'YearA-AppDetails Current Date'!F:F,E90,
'YearA-AppDetails Current Date'!E:E,--F90,
'YearA-AppDetails Current Date'!I:I,"SPRING")), "")</f>
        <v/>
      </c>
      <c r="J90" s="74" t="str" cm="1">
        <f t="array" ref="J90">IFERROR(1/(1/SUM(COUNTIFS(
'YearA-AppDetails Current Date'!A:A,D90,
'YearA-AppDetails Current Date'!F:F,E90,
'YearA-AppDetails Current Date'!E:E,--F90,
'YearA-AppDetails Current Date'!O:O,{"ACLN","ACPT","COND"},
'YearA-AppDetails Current Date'!S:S,"&lt;&gt;ACLN",
'YearA-AppDetails Current Date'!S:S,"&lt;&gt;ACPT",
'YearA-AppDetails Current Date'!S:S,"&lt;&gt;COND",
'YearA-AppDetails Current Date'!I:I,"SPRING"))), "")</f>
        <v/>
      </c>
      <c r="K90" s="73" t="str">
        <f>IFERROR(1/(1/SUM(COUNTIFS(
'YearA-AppDetails Current Date'!A:A,D90,
'YearA-AppDetails Current Date'!F:F,E90,
'YearA-AppDetails Current Date'!E:E,--F90,
'YearA-AppDetails Current Date'!R:R,"&lt;&gt;"&amp;"",
'YearA-AppDetails Current Date'!I:I,"SPRING"))), "")</f>
        <v/>
      </c>
      <c r="L90" s="74" t="str" cm="1">
        <f t="array" ref="L90">IFERROR(1/(1/SUM(COUNTIFS(
'YearA-AppDetails Current Date'!A:A,D90,
'YearA-AppDetails Current Date'!F:F,E90,
'YearA-AppDetails Current Date'!E:E,--F90,
'YearA-AppDetails Current Date'!T:T,{"APEX","DENY","NTSL"},
'YearA-AppDetails Current Date'!I:I,"SPRING"))), "")</f>
        <v/>
      </c>
      <c r="M90" s="74" t="str" cm="1">
        <f t="array" ref="M90">IFERROR(1/(1/SUM(COUNTIFS(
'YearA-AppDetails Current Date'!A:A,D90,
'YearA-AppDetails Current Date'!F:F,E90,
'YearA-AppDetails Current Date'!E:E,--F90,
'YearA-AppDetails Current Date'!U:U,{"CCAN","DECL"},
'YearA-AppDetails Current Date'!I:I,"SPRING"))), "")</f>
        <v/>
      </c>
      <c r="N90" s="74" t="str" cm="1">
        <f t="array" ref="N90">IFERROR(1/(1/SUM(COUNTIFS(
'YearA-AppDetails Current Date'!A:A,D90,
'YearA-AppDetails Current Date'!F:F,E90,
'YearA-AppDetails Current Date'!E:E,--F90,
'YearA-AppDetails Current Date'!V:V,{"APRO","NODE"},
'YearA-AppDetails Current Date'!I:I,"SPRING"))), "")</f>
        <v/>
      </c>
      <c r="O90" s="74" t="str" cm="1">
        <f t="array" ref="O90">IFERROR(1/(1/SUM(COUNTIFS(
'YearA-AppDetails Current Date'!A:A,D90,
'YearA-AppDetails Current Date'!F:F,E90,
'YearA-AppDetails Current Date'!E:E,--F90,
'YearA-AppDetails Current Date'!T:T,{"CDMT","RQMT","WAIT"},
'YearA-AppDetails Current Date'!I:I,"SPRING"))), "")</f>
        <v/>
      </c>
      <c r="P90" s="74" t="str">
        <f>IFERROR(1/(1/COUNTIFS(
'YearA-AppDetails Current Date'!A:A,D90,
'YearA-AppDetails Current Date'!F:F,E90,
'YearA-AppDetails Current Date'!E:E,--F90,
'YearA-AppDetails Current Date'!Y:Y,"ENRO",
'YearA-AppDetails Current Date'!I:I,"SPRING")),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HC'!D:T,8,FALSE)),
N(VLOOKUP(D91&amp;F91,'Budgeted Projections Intl HC'!D:T,9,FALSE))
)
),"")</f>
        <v/>
      </c>
      <c r="I91" s="73" t="str">
        <f>IFERROR(1/(1/COUNTIFS(
'YearA-AppDetails Current Date'!A:A,D91,
'YearA-AppDetails Current Date'!F:F,E91,
'YearA-AppDetails Current Date'!E:E,--F91,
'YearA-AppDetails Current Date'!I:I,"SPRING")), "")</f>
        <v/>
      </c>
      <c r="J91" s="74" t="str" cm="1">
        <f t="array" ref="J91">IFERROR(1/(1/SUM(COUNTIFS(
'YearA-AppDetails Current Date'!A:A,D91,
'YearA-AppDetails Current Date'!F:F,E91,
'YearA-AppDetails Current Date'!E:E,--F91,
'YearA-AppDetails Current Date'!O:O,{"ACLN","ACPT","COND"},
'YearA-AppDetails Current Date'!S:S,"&lt;&gt;ACLN",
'YearA-AppDetails Current Date'!S:S,"&lt;&gt;ACPT",
'YearA-AppDetails Current Date'!S:S,"&lt;&gt;COND",
'YearA-AppDetails Current Date'!I:I,"SPRING"))), "")</f>
        <v/>
      </c>
      <c r="K91" s="73" t="str">
        <f>IFERROR(1/(1/SUM(COUNTIFS(
'YearA-AppDetails Current Date'!A:A,D91,
'YearA-AppDetails Current Date'!F:F,E91,
'YearA-AppDetails Current Date'!E:E,--F91,
'YearA-AppDetails Current Date'!R:R,"&lt;&gt;"&amp;"",
'YearA-AppDetails Current Date'!I:I,"SPRING"))), "")</f>
        <v/>
      </c>
      <c r="L91" s="74" t="str" cm="1">
        <f t="array" ref="L91">IFERROR(1/(1/SUM(COUNTIFS(
'YearA-AppDetails Current Date'!A:A,D91,
'YearA-AppDetails Current Date'!F:F,E91,
'YearA-AppDetails Current Date'!E:E,--F91,
'YearA-AppDetails Current Date'!T:T,{"APEX","DENY","NTSL"},
'YearA-AppDetails Current Date'!I:I,"SPRING"))), "")</f>
        <v/>
      </c>
      <c r="M91" s="74" t="str" cm="1">
        <f t="array" ref="M91">IFERROR(1/(1/SUM(COUNTIFS(
'YearA-AppDetails Current Date'!A:A,D91,
'YearA-AppDetails Current Date'!F:F,E91,
'YearA-AppDetails Current Date'!E:E,--F91,
'YearA-AppDetails Current Date'!U:U,{"CCAN","DECL"},
'YearA-AppDetails Current Date'!I:I,"SPRING"))), "")</f>
        <v/>
      </c>
      <c r="N91" s="74" t="str" cm="1">
        <f t="array" ref="N91">IFERROR(1/(1/SUM(COUNTIFS(
'YearA-AppDetails Current Date'!A:A,D91,
'YearA-AppDetails Current Date'!F:F,E91,
'YearA-AppDetails Current Date'!E:E,--F91,
'YearA-AppDetails Current Date'!V:V,{"APRO","NODE"},
'YearA-AppDetails Current Date'!I:I,"SPRING"))), "")</f>
        <v/>
      </c>
      <c r="O91" s="74" t="str" cm="1">
        <f t="array" ref="O91">IFERROR(1/(1/SUM(COUNTIFS(
'YearA-AppDetails Current Date'!A:A,D91,
'YearA-AppDetails Current Date'!F:F,E91,
'YearA-AppDetails Current Date'!E:E,--F91,
'YearA-AppDetails Current Date'!T:T,{"CDMT","RQMT","WAIT"},
'YearA-AppDetails Current Date'!I:I,"SPRING"))), "")</f>
        <v/>
      </c>
      <c r="P91" s="74" t="str">
        <f>IFERROR(1/(1/COUNTIFS(
'YearA-AppDetails Current Date'!A:A,D91,
'YearA-AppDetails Current Date'!F:F,E91,
'YearA-AppDetails Current Date'!E:E,--F91,
'YearA-AppDetails Current Date'!Y:Y,"ENRO",
'YearA-AppDetails Current Date'!I:I,"SPRING")),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HC'!D:T,8,FALSE)),
N(VLOOKUP(D92&amp;F92,'Budgeted Projections Dom HC'!D:T,9,FALSE))
)
),"")</f>
        <v/>
      </c>
      <c r="I92" s="73" t="str">
        <f>IFERROR(1/(1/COUNTIFS(
'YearA-AppDetails Current Date'!A:A,D92,
'YearA-AppDetails Current Date'!F:F,E92,
'YearA-AppDetails Current Date'!E:E,--F92,
'YearA-AppDetails Current Date'!I:I,"SPRING")), "")</f>
        <v/>
      </c>
      <c r="J92" s="74" t="str" cm="1">
        <f t="array" ref="J92">IFERROR(1/(1/SUM(COUNTIFS(
'YearA-AppDetails Current Date'!A:A,D92,
'YearA-AppDetails Current Date'!F:F,E92,
'YearA-AppDetails Current Date'!E:E,--F92,
'YearA-AppDetails Current Date'!O:O,{"ACLN","ACPT","COND"},
'YearA-AppDetails Current Date'!S:S,"&lt;&gt;ACLN",
'YearA-AppDetails Current Date'!S:S,"&lt;&gt;ACPT",
'YearA-AppDetails Current Date'!S:S,"&lt;&gt;COND",
'YearA-AppDetails Current Date'!I:I,"SPRING"))), "")</f>
        <v/>
      </c>
      <c r="K92" s="73" t="str">
        <f>IFERROR(1/(1/SUM(COUNTIFS(
'YearA-AppDetails Current Date'!A:A,D92,
'YearA-AppDetails Current Date'!F:F,E92,
'YearA-AppDetails Current Date'!E:E,--F92,
'YearA-AppDetails Current Date'!R:R,"&lt;&gt;"&amp;"",
'YearA-AppDetails Current Date'!I:I,"SPRING"))), "")</f>
        <v/>
      </c>
      <c r="L92" s="74" t="str" cm="1">
        <f t="array" ref="L92">IFERROR(1/(1/SUM(COUNTIFS(
'YearA-AppDetails Current Date'!A:A,D92,
'YearA-AppDetails Current Date'!F:F,E92,
'YearA-AppDetails Current Date'!E:E,--F92,
'YearA-AppDetails Current Date'!T:T,{"APEX","DENY","NTSL"},
'YearA-AppDetails Current Date'!I:I,"SPRING"))), "")</f>
        <v/>
      </c>
      <c r="M92" s="74" t="str" cm="1">
        <f t="array" ref="M92">IFERROR(1/(1/SUM(COUNTIFS(
'YearA-AppDetails Current Date'!A:A,D92,
'YearA-AppDetails Current Date'!F:F,E92,
'YearA-AppDetails Current Date'!E:E,--F92,
'YearA-AppDetails Current Date'!U:U,{"CCAN","DECL"},
'YearA-AppDetails Current Date'!I:I,"SPRING"))), "")</f>
        <v/>
      </c>
      <c r="N92" s="74" t="str" cm="1">
        <f t="array" ref="N92">IFERROR(1/(1/SUM(COUNTIFS(
'YearA-AppDetails Current Date'!A:A,D92,
'YearA-AppDetails Current Date'!F:F,E92,
'YearA-AppDetails Current Date'!E:E,--F92,
'YearA-AppDetails Current Date'!V:V,{"APRO","NODE"},
'YearA-AppDetails Current Date'!I:I,"SPRING"))), "")</f>
        <v/>
      </c>
      <c r="O92" s="74" t="str" cm="1">
        <f t="array" ref="O92">IFERROR(1/(1/SUM(COUNTIFS(
'YearA-AppDetails Current Date'!A:A,D92,
'YearA-AppDetails Current Date'!F:F,E92,
'YearA-AppDetails Current Date'!E:E,--F92,
'YearA-AppDetails Current Date'!T:T,{"CDMT","RQMT","WAIT"},
'YearA-AppDetails Current Date'!I:I,"SPRING"))), "")</f>
        <v/>
      </c>
      <c r="P92" s="74" t="str">
        <f>IFERROR(1/(1/COUNTIFS(
'YearA-AppDetails Current Date'!A:A,D92,
'YearA-AppDetails Current Date'!F:F,E92,
'YearA-AppDetails Current Date'!E:E,--F92,
'YearA-AppDetails Current Date'!Y:Y,"ENRO",
'YearA-AppDetails Current Date'!I:I,"SPRING")),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HC'!D:T,8,FALSE)),
N(VLOOKUP(D93&amp;F93,'Budgeted Projections Intl HC'!D:T,9,FALSE))
)
),"")</f>
        <v/>
      </c>
      <c r="I93" s="73" t="str">
        <f>IFERROR(1/(1/COUNTIFS(
'YearA-AppDetails Current Date'!A:A,D93,
'YearA-AppDetails Current Date'!F:F,E93,
'YearA-AppDetails Current Date'!E:E,--F93,
'YearA-AppDetails Current Date'!I:I,"SPRING")), "")</f>
        <v/>
      </c>
      <c r="J93" s="74" t="str" cm="1">
        <f t="array" ref="J93">IFERROR(1/(1/SUM(COUNTIFS(
'YearA-AppDetails Current Date'!A:A,D93,
'YearA-AppDetails Current Date'!F:F,E93,
'YearA-AppDetails Current Date'!E:E,--F93,
'YearA-AppDetails Current Date'!O:O,{"ACLN","ACPT","COND"},
'YearA-AppDetails Current Date'!S:S,"&lt;&gt;ACLN",
'YearA-AppDetails Current Date'!S:S,"&lt;&gt;ACPT",
'YearA-AppDetails Current Date'!S:S,"&lt;&gt;COND",
'YearA-AppDetails Current Date'!I:I,"SPRING"))), "")</f>
        <v/>
      </c>
      <c r="K93" s="73" t="str">
        <f>IFERROR(1/(1/SUM(COUNTIFS(
'YearA-AppDetails Current Date'!A:A,D93,
'YearA-AppDetails Current Date'!F:F,E93,
'YearA-AppDetails Current Date'!E:E,--F93,
'YearA-AppDetails Current Date'!R:R,"&lt;&gt;"&amp;"",
'YearA-AppDetails Current Date'!I:I,"SPRING"))), "")</f>
        <v/>
      </c>
      <c r="L93" s="74" t="str" cm="1">
        <f t="array" ref="L93">IFERROR(1/(1/SUM(COUNTIFS(
'YearA-AppDetails Current Date'!A:A,D93,
'YearA-AppDetails Current Date'!F:F,E93,
'YearA-AppDetails Current Date'!E:E,--F93,
'YearA-AppDetails Current Date'!T:T,{"APEX","DENY","NTSL"},
'YearA-AppDetails Current Date'!I:I,"SPRING"))), "")</f>
        <v/>
      </c>
      <c r="M93" s="74" t="str" cm="1">
        <f t="array" ref="M93">IFERROR(1/(1/SUM(COUNTIFS(
'YearA-AppDetails Current Date'!A:A,D93,
'YearA-AppDetails Current Date'!F:F,E93,
'YearA-AppDetails Current Date'!E:E,--F93,
'YearA-AppDetails Current Date'!U:U,{"CCAN","DECL"},
'YearA-AppDetails Current Date'!I:I,"SPRING"))), "")</f>
        <v/>
      </c>
      <c r="N93" s="74" t="str" cm="1">
        <f t="array" ref="N93">IFERROR(1/(1/SUM(COUNTIFS(
'YearA-AppDetails Current Date'!A:A,D93,
'YearA-AppDetails Current Date'!F:F,E93,
'YearA-AppDetails Current Date'!E:E,--F93,
'YearA-AppDetails Current Date'!V:V,{"APRO","NODE"},
'YearA-AppDetails Current Date'!I:I,"SPRING"))), "")</f>
        <v/>
      </c>
      <c r="O93" s="74" t="str" cm="1">
        <f t="array" ref="O93">IFERROR(1/(1/SUM(COUNTIFS(
'YearA-AppDetails Current Date'!A:A,D93,
'YearA-AppDetails Current Date'!F:F,E93,
'YearA-AppDetails Current Date'!E:E,--F93,
'YearA-AppDetails Current Date'!T:T,{"CDMT","RQMT","WAIT"},
'YearA-AppDetails Current Date'!I:I,"SPRING"))), "")</f>
        <v/>
      </c>
      <c r="P93" s="74" t="str">
        <f>IFERROR(1/(1/COUNTIFS(
'YearA-AppDetails Current Date'!A:A,D93,
'YearA-AppDetails Current Date'!F:F,E93,
'YearA-AppDetails Current Date'!E:E,--F93,
'YearA-AppDetails Current Date'!Y:Y,"ENRO",
'YearA-AppDetails Current Date'!I:I,"SPRING")),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HC'!D:T,8,FALSE)),
N(VLOOKUP(D94&amp;F94,'Budgeted Projections Dom HC'!D:T,9,FALSE))
)
),"")</f>
        <v/>
      </c>
      <c r="I94" s="73" t="str">
        <f>IFERROR(1/(1/COUNTIFS(
'YearA-AppDetails Current Date'!A:A,D94,
'YearA-AppDetails Current Date'!F:F,E94,
'YearA-AppDetails Current Date'!E:E,--F94,
'YearA-AppDetails Current Date'!I:I,"SPRING")), "")</f>
        <v/>
      </c>
      <c r="J94" s="74" t="str" cm="1">
        <f t="array" ref="J94">IFERROR(1/(1/SUM(COUNTIFS(
'YearA-AppDetails Current Date'!A:A,D94,
'YearA-AppDetails Current Date'!F:F,E94,
'YearA-AppDetails Current Date'!E:E,--F94,
'YearA-AppDetails Current Date'!O:O,{"ACLN","ACPT","COND"},
'YearA-AppDetails Current Date'!S:S,"&lt;&gt;ACLN",
'YearA-AppDetails Current Date'!S:S,"&lt;&gt;ACPT",
'YearA-AppDetails Current Date'!S:S,"&lt;&gt;COND",
'YearA-AppDetails Current Date'!I:I,"SPRING"))), "")</f>
        <v/>
      </c>
      <c r="K94" s="73" t="str">
        <f>IFERROR(1/(1/SUM(COUNTIFS(
'YearA-AppDetails Current Date'!A:A,D94,
'YearA-AppDetails Current Date'!F:F,E94,
'YearA-AppDetails Current Date'!E:E,--F94,
'YearA-AppDetails Current Date'!R:R,"&lt;&gt;"&amp;"",
'YearA-AppDetails Current Date'!I:I,"SPRING"))), "")</f>
        <v/>
      </c>
      <c r="L94" s="74" t="str" cm="1">
        <f t="array" ref="L94">IFERROR(1/(1/SUM(COUNTIFS(
'YearA-AppDetails Current Date'!A:A,D94,
'YearA-AppDetails Current Date'!F:F,E94,
'YearA-AppDetails Current Date'!E:E,--F94,
'YearA-AppDetails Current Date'!T:T,{"APEX","DENY","NTSL"},
'YearA-AppDetails Current Date'!I:I,"SPRING"))), "")</f>
        <v/>
      </c>
      <c r="M94" s="74" t="str" cm="1">
        <f t="array" ref="M94">IFERROR(1/(1/SUM(COUNTIFS(
'YearA-AppDetails Current Date'!A:A,D94,
'YearA-AppDetails Current Date'!F:F,E94,
'YearA-AppDetails Current Date'!E:E,--F94,
'YearA-AppDetails Current Date'!U:U,{"CCAN","DECL"},
'YearA-AppDetails Current Date'!I:I,"SPRING"))), "")</f>
        <v/>
      </c>
      <c r="N94" s="74" t="str" cm="1">
        <f t="array" ref="N94">IFERROR(1/(1/SUM(COUNTIFS(
'YearA-AppDetails Current Date'!A:A,D94,
'YearA-AppDetails Current Date'!F:F,E94,
'YearA-AppDetails Current Date'!E:E,--F94,
'YearA-AppDetails Current Date'!V:V,{"APRO","NODE"},
'YearA-AppDetails Current Date'!I:I,"SPRING"))), "")</f>
        <v/>
      </c>
      <c r="O94" s="74" t="str" cm="1">
        <f t="array" ref="O94">IFERROR(1/(1/SUM(COUNTIFS(
'YearA-AppDetails Current Date'!A:A,D94,
'YearA-AppDetails Current Date'!F:F,E94,
'YearA-AppDetails Current Date'!E:E,--F94,
'YearA-AppDetails Current Date'!T:T,{"CDMT","RQMT","WAIT"},
'YearA-AppDetails Current Date'!I:I,"SPRING"))), "")</f>
        <v/>
      </c>
      <c r="P94" s="74" t="str">
        <f>IFERROR(1/(1/COUNTIFS(
'YearA-AppDetails Current Date'!A:A,D94,
'YearA-AppDetails Current Date'!F:F,E94,
'YearA-AppDetails Current Date'!E:E,--F94,
'YearA-AppDetails Current Date'!Y:Y,"ENRO",
'YearA-AppDetails Current Date'!I:I,"SPRING")),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HC'!D:T,8,FALSE)),
N(VLOOKUP(D95&amp;F95,'Budgeted Projections Intl HC'!D:T,9,FALSE))
)
),"")</f>
        <v/>
      </c>
      <c r="I95" s="73" t="str">
        <f>IFERROR(1/(1/COUNTIFS(
'YearA-AppDetails Current Date'!A:A,D95,
'YearA-AppDetails Current Date'!F:F,E95,
'YearA-AppDetails Current Date'!E:E,--F95,
'YearA-AppDetails Current Date'!I:I,"SPRING")), "")</f>
        <v/>
      </c>
      <c r="J95" s="74" t="str" cm="1">
        <f t="array" ref="J95">IFERROR(1/(1/SUM(COUNTIFS(
'YearA-AppDetails Current Date'!A:A,D95,
'YearA-AppDetails Current Date'!F:F,E95,
'YearA-AppDetails Current Date'!E:E,--F95,
'YearA-AppDetails Current Date'!O:O,{"ACLN","ACPT","COND"},
'YearA-AppDetails Current Date'!S:S,"&lt;&gt;ACLN",
'YearA-AppDetails Current Date'!S:S,"&lt;&gt;ACPT",
'YearA-AppDetails Current Date'!S:S,"&lt;&gt;COND",
'YearA-AppDetails Current Date'!I:I,"SPRING"))), "")</f>
        <v/>
      </c>
      <c r="K95" s="73" t="str">
        <f>IFERROR(1/(1/SUM(COUNTIFS(
'YearA-AppDetails Current Date'!A:A,D95,
'YearA-AppDetails Current Date'!F:F,E95,
'YearA-AppDetails Current Date'!E:E,--F95,
'YearA-AppDetails Current Date'!R:R,"&lt;&gt;"&amp;"",
'YearA-AppDetails Current Date'!I:I,"SPRING"))), "")</f>
        <v/>
      </c>
      <c r="L95" s="74" t="str" cm="1">
        <f t="array" ref="L95">IFERROR(1/(1/SUM(COUNTIFS(
'YearA-AppDetails Current Date'!A:A,D95,
'YearA-AppDetails Current Date'!F:F,E95,
'YearA-AppDetails Current Date'!E:E,--F95,
'YearA-AppDetails Current Date'!T:T,{"APEX","DENY","NTSL"},
'YearA-AppDetails Current Date'!I:I,"SPRING"))), "")</f>
        <v/>
      </c>
      <c r="M95" s="74" t="str" cm="1">
        <f t="array" ref="M95">IFERROR(1/(1/SUM(COUNTIFS(
'YearA-AppDetails Current Date'!A:A,D95,
'YearA-AppDetails Current Date'!F:F,E95,
'YearA-AppDetails Current Date'!E:E,--F95,
'YearA-AppDetails Current Date'!U:U,{"CCAN","DECL"},
'YearA-AppDetails Current Date'!I:I,"SPRING"))), "")</f>
        <v/>
      </c>
      <c r="N95" s="74" t="str" cm="1">
        <f t="array" ref="N95">IFERROR(1/(1/SUM(COUNTIFS(
'YearA-AppDetails Current Date'!A:A,D95,
'YearA-AppDetails Current Date'!F:F,E95,
'YearA-AppDetails Current Date'!E:E,--F95,
'YearA-AppDetails Current Date'!V:V,{"APRO","NODE"},
'YearA-AppDetails Current Date'!I:I,"SPRING"))), "")</f>
        <v/>
      </c>
      <c r="O95" s="74" t="str" cm="1">
        <f t="array" ref="O95">IFERROR(1/(1/SUM(COUNTIFS(
'YearA-AppDetails Current Date'!A:A,D95,
'YearA-AppDetails Current Date'!F:F,E95,
'YearA-AppDetails Current Date'!E:E,--F95,
'YearA-AppDetails Current Date'!T:T,{"CDMT","RQMT","WAIT"},
'YearA-AppDetails Current Date'!I:I,"SPRING"))), "")</f>
        <v/>
      </c>
      <c r="P95" s="74" t="str">
        <f>IFERROR(1/(1/COUNTIFS(
'YearA-AppDetails Current Date'!A:A,D95,
'YearA-AppDetails Current Date'!F:F,E95,
'YearA-AppDetails Current Date'!E:E,--F95,
'YearA-AppDetails Current Date'!Y:Y,"ENRO",
'YearA-AppDetails Current Date'!I:I,"SPRING")),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HC'!D:T,8,FALSE)),
N(VLOOKUP(D96&amp;F96,'Budgeted Projections Dom HC'!D:T,9,FALSE))
)
),"")</f>
        <v/>
      </c>
      <c r="I96" s="73" t="str">
        <f>IFERROR(1/(1/COUNTIFS(
'YearA-AppDetails Current Date'!A:A,D96,
'YearA-AppDetails Current Date'!F:F,E96,
'YearA-AppDetails Current Date'!E:E,--F96,
'YearA-AppDetails Current Date'!I:I,"SPRING")), "")</f>
        <v/>
      </c>
      <c r="J96" s="74" t="str" cm="1">
        <f t="array" ref="J96">IFERROR(1/(1/SUM(COUNTIFS(
'YearA-AppDetails Current Date'!A:A,D96,
'YearA-AppDetails Current Date'!F:F,E96,
'YearA-AppDetails Current Date'!E:E,--F96,
'YearA-AppDetails Current Date'!O:O,{"ACLN","ACPT","COND"},
'YearA-AppDetails Current Date'!S:S,"&lt;&gt;ACLN",
'YearA-AppDetails Current Date'!S:S,"&lt;&gt;ACPT",
'YearA-AppDetails Current Date'!S:S,"&lt;&gt;COND",
'YearA-AppDetails Current Date'!I:I,"SPRING"))), "")</f>
        <v/>
      </c>
      <c r="K96" s="73" t="str">
        <f>IFERROR(1/(1/SUM(COUNTIFS(
'YearA-AppDetails Current Date'!A:A,D96,
'YearA-AppDetails Current Date'!F:F,E96,
'YearA-AppDetails Current Date'!E:E,--F96,
'YearA-AppDetails Current Date'!R:R,"&lt;&gt;"&amp;"",
'YearA-AppDetails Current Date'!I:I,"SPRING"))), "")</f>
        <v/>
      </c>
      <c r="L96" s="74" t="str" cm="1">
        <f t="array" ref="L96">IFERROR(1/(1/SUM(COUNTIFS(
'YearA-AppDetails Current Date'!A:A,D96,
'YearA-AppDetails Current Date'!F:F,E96,
'YearA-AppDetails Current Date'!E:E,--F96,
'YearA-AppDetails Current Date'!T:T,{"APEX","DENY","NTSL"},
'YearA-AppDetails Current Date'!I:I,"SPRING"))), "")</f>
        <v/>
      </c>
      <c r="M96" s="74" t="str" cm="1">
        <f t="array" ref="M96">IFERROR(1/(1/SUM(COUNTIFS(
'YearA-AppDetails Current Date'!A:A,D96,
'YearA-AppDetails Current Date'!F:F,E96,
'YearA-AppDetails Current Date'!E:E,--F96,
'YearA-AppDetails Current Date'!U:U,{"CCAN","DECL"},
'YearA-AppDetails Current Date'!I:I,"SPRING"))), "")</f>
        <v/>
      </c>
      <c r="N96" s="74" t="str" cm="1">
        <f t="array" ref="N96">IFERROR(1/(1/SUM(COUNTIFS(
'YearA-AppDetails Current Date'!A:A,D96,
'YearA-AppDetails Current Date'!F:F,E96,
'YearA-AppDetails Current Date'!E:E,--F96,
'YearA-AppDetails Current Date'!V:V,{"APRO","NODE"},
'YearA-AppDetails Current Date'!I:I,"SPRING"))), "")</f>
        <v/>
      </c>
      <c r="O96" s="74" t="str" cm="1">
        <f t="array" ref="O96">IFERROR(1/(1/SUM(COUNTIFS(
'YearA-AppDetails Current Date'!A:A,D96,
'YearA-AppDetails Current Date'!F:F,E96,
'YearA-AppDetails Current Date'!E:E,--F96,
'YearA-AppDetails Current Date'!T:T,{"CDMT","RQMT","WAIT"},
'YearA-AppDetails Current Date'!I:I,"SPRING"))), "")</f>
        <v/>
      </c>
      <c r="P96" s="74" t="str">
        <f>IFERROR(1/(1/COUNTIFS(
'YearA-AppDetails Current Date'!A:A,D96,
'YearA-AppDetails Current Date'!F:F,E96,
'YearA-AppDetails Current Date'!E:E,--F96,
'YearA-AppDetails Current Date'!Y:Y,"ENRO",
'YearA-AppDetails Current Date'!I:I,"SPRING")),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HC'!D:T,8,FALSE)),
N(VLOOKUP(D97&amp;F97,'Budgeted Projections Intl HC'!D:T,9,FALSE))
)
),"")</f>
        <v/>
      </c>
      <c r="I97" s="73" t="str">
        <f>IFERROR(1/(1/COUNTIFS(
'YearA-AppDetails Current Date'!A:A,D97,
'YearA-AppDetails Current Date'!F:F,E97,
'YearA-AppDetails Current Date'!E:E,--F97,
'YearA-AppDetails Current Date'!I:I,"SPRING")), "")</f>
        <v/>
      </c>
      <c r="J97" s="74" t="str" cm="1">
        <f t="array" ref="J97">IFERROR(1/(1/SUM(COUNTIFS(
'YearA-AppDetails Current Date'!A:A,D97,
'YearA-AppDetails Current Date'!F:F,E97,
'YearA-AppDetails Current Date'!E:E,--F97,
'YearA-AppDetails Current Date'!O:O,{"ACLN","ACPT","COND"},
'YearA-AppDetails Current Date'!S:S,"&lt;&gt;ACLN",
'YearA-AppDetails Current Date'!S:S,"&lt;&gt;ACPT",
'YearA-AppDetails Current Date'!S:S,"&lt;&gt;COND",
'YearA-AppDetails Current Date'!I:I,"SPRING"))), "")</f>
        <v/>
      </c>
      <c r="K97" s="73" t="str">
        <f>IFERROR(1/(1/SUM(COUNTIFS(
'YearA-AppDetails Current Date'!A:A,D97,
'YearA-AppDetails Current Date'!F:F,E97,
'YearA-AppDetails Current Date'!E:E,--F97,
'YearA-AppDetails Current Date'!R:R,"&lt;&gt;"&amp;"",
'YearA-AppDetails Current Date'!I:I,"SPRING"))), "")</f>
        <v/>
      </c>
      <c r="L97" s="74" t="str" cm="1">
        <f t="array" ref="L97">IFERROR(1/(1/SUM(COUNTIFS(
'YearA-AppDetails Current Date'!A:A,D97,
'YearA-AppDetails Current Date'!F:F,E97,
'YearA-AppDetails Current Date'!E:E,--F97,
'YearA-AppDetails Current Date'!T:T,{"APEX","DENY","NTSL"},
'YearA-AppDetails Current Date'!I:I,"SPRING"))), "")</f>
        <v/>
      </c>
      <c r="M97" s="74" t="str" cm="1">
        <f t="array" ref="M97">IFERROR(1/(1/SUM(COUNTIFS(
'YearA-AppDetails Current Date'!A:A,D97,
'YearA-AppDetails Current Date'!F:F,E97,
'YearA-AppDetails Current Date'!E:E,--F97,
'YearA-AppDetails Current Date'!U:U,{"CCAN","DECL"},
'YearA-AppDetails Current Date'!I:I,"SPRING"))), "")</f>
        <v/>
      </c>
      <c r="N97" s="74" t="str" cm="1">
        <f t="array" ref="N97">IFERROR(1/(1/SUM(COUNTIFS(
'YearA-AppDetails Current Date'!A:A,D97,
'YearA-AppDetails Current Date'!F:F,E97,
'YearA-AppDetails Current Date'!E:E,--F97,
'YearA-AppDetails Current Date'!V:V,{"APRO","NODE"},
'YearA-AppDetails Current Date'!I:I,"SPRING"))), "")</f>
        <v/>
      </c>
      <c r="O97" s="74" t="str" cm="1">
        <f t="array" ref="O97">IFERROR(1/(1/SUM(COUNTIFS(
'YearA-AppDetails Current Date'!A:A,D97,
'YearA-AppDetails Current Date'!F:F,E97,
'YearA-AppDetails Current Date'!E:E,--F97,
'YearA-AppDetails Current Date'!T:T,{"CDMT","RQMT","WAIT"},
'YearA-AppDetails Current Date'!I:I,"SPRING"))), "")</f>
        <v/>
      </c>
      <c r="P97" s="74" t="str">
        <f>IFERROR(1/(1/COUNTIFS(
'YearA-AppDetails Current Date'!A:A,D97,
'YearA-AppDetails Current Date'!F:F,E97,
'YearA-AppDetails Current Date'!E:E,--F97,
'YearA-AppDetails Current Date'!Y:Y,"ENRO",
'YearA-AppDetails Current Date'!I:I,"SPRING")),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HC'!D:T,8,FALSE)),
N(VLOOKUP(D98&amp;F98,'Budgeted Projections Dom HC'!D:T,9,FALSE))
)
),"")</f>
        <v/>
      </c>
      <c r="I98" s="73" t="str">
        <f>IFERROR(1/(1/COUNTIFS(
'YearA-AppDetails Current Date'!A:A,D98,
'YearA-AppDetails Current Date'!F:F,E98,
'YearA-AppDetails Current Date'!E:E,--F98,
'YearA-AppDetails Current Date'!I:I,"SPRING")), "")</f>
        <v/>
      </c>
      <c r="J98" s="74" t="str" cm="1">
        <f t="array" ref="J98">IFERROR(1/(1/SUM(COUNTIFS(
'YearA-AppDetails Current Date'!A:A,D98,
'YearA-AppDetails Current Date'!F:F,E98,
'YearA-AppDetails Current Date'!E:E,--F98,
'YearA-AppDetails Current Date'!O:O,{"ACLN","ACPT","COND"},
'YearA-AppDetails Current Date'!S:S,"&lt;&gt;ACLN",
'YearA-AppDetails Current Date'!S:S,"&lt;&gt;ACPT",
'YearA-AppDetails Current Date'!S:S,"&lt;&gt;COND",
'YearA-AppDetails Current Date'!I:I,"SPRING"))), "")</f>
        <v/>
      </c>
      <c r="K98" s="73" t="str">
        <f>IFERROR(1/(1/SUM(COUNTIFS(
'YearA-AppDetails Current Date'!A:A,D98,
'YearA-AppDetails Current Date'!F:F,E98,
'YearA-AppDetails Current Date'!E:E,--F98,
'YearA-AppDetails Current Date'!R:R,"&lt;&gt;"&amp;"",
'YearA-AppDetails Current Date'!I:I,"SPRING"))), "")</f>
        <v/>
      </c>
      <c r="L98" s="74" t="str" cm="1">
        <f t="array" ref="L98">IFERROR(1/(1/SUM(COUNTIFS(
'YearA-AppDetails Current Date'!A:A,D98,
'YearA-AppDetails Current Date'!F:F,E98,
'YearA-AppDetails Current Date'!E:E,--F98,
'YearA-AppDetails Current Date'!T:T,{"APEX","DENY","NTSL"},
'YearA-AppDetails Current Date'!I:I,"SPRING"))), "")</f>
        <v/>
      </c>
      <c r="M98" s="74" t="str" cm="1">
        <f t="array" ref="M98">IFERROR(1/(1/SUM(COUNTIFS(
'YearA-AppDetails Current Date'!A:A,D98,
'YearA-AppDetails Current Date'!F:F,E98,
'YearA-AppDetails Current Date'!E:E,--F98,
'YearA-AppDetails Current Date'!U:U,{"CCAN","DECL"},
'YearA-AppDetails Current Date'!I:I,"SPRING"))), "")</f>
        <v/>
      </c>
      <c r="N98" s="74" t="str" cm="1">
        <f t="array" ref="N98">IFERROR(1/(1/SUM(COUNTIFS(
'YearA-AppDetails Current Date'!A:A,D98,
'YearA-AppDetails Current Date'!F:F,E98,
'YearA-AppDetails Current Date'!E:E,--F98,
'YearA-AppDetails Current Date'!V:V,{"APRO","NODE"},
'YearA-AppDetails Current Date'!I:I,"SPRING"))), "")</f>
        <v/>
      </c>
      <c r="O98" s="74" t="str" cm="1">
        <f t="array" ref="O98">IFERROR(1/(1/SUM(COUNTIFS(
'YearA-AppDetails Current Date'!A:A,D98,
'YearA-AppDetails Current Date'!F:F,E98,
'YearA-AppDetails Current Date'!E:E,--F98,
'YearA-AppDetails Current Date'!T:T,{"CDMT","RQMT","WAIT"},
'YearA-AppDetails Current Date'!I:I,"SPRING"))), "")</f>
        <v/>
      </c>
      <c r="P98" s="74" t="str">
        <f>IFERROR(1/(1/COUNTIFS(
'YearA-AppDetails Current Date'!A:A,D98,
'YearA-AppDetails Current Date'!F:F,E98,
'YearA-AppDetails Current Date'!E:E,--F98,
'YearA-AppDetails Current Date'!Y:Y,"ENRO",
'YearA-AppDetails Current Date'!I:I,"SPRING")),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HC'!D:T,8,FALSE)),
N(VLOOKUP(D99&amp;F99,'Budgeted Projections Intl HC'!D:T,9,FALSE))
)
),"")</f>
        <v/>
      </c>
      <c r="I99" s="73" t="str">
        <f>IFERROR(1/(1/COUNTIFS(
'YearA-AppDetails Current Date'!A:A,D99,
'YearA-AppDetails Current Date'!F:F,E99,
'YearA-AppDetails Current Date'!E:E,--F99,
'YearA-AppDetails Current Date'!I:I,"SPRING")), "")</f>
        <v/>
      </c>
      <c r="J99" s="74" t="str" cm="1">
        <f t="array" ref="J99">IFERROR(1/(1/SUM(COUNTIFS(
'YearA-AppDetails Current Date'!A:A,D99,
'YearA-AppDetails Current Date'!F:F,E99,
'YearA-AppDetails Current Date'!E:E,--F99,
'YearA-AppDetails Current Date'!O:O,{"ACLN","ACPT","COND"},
'YearA-AppDetails Current Date'!S:S,"&lt;&gt;ACLN",
'YearA-AppDetails Current Date'!S:S,"&lt;&gt;ACPT",
'YearA-AppDetails Current Date'!S:S,"&lt;&gt;COND",
'YearA-AppDetails Current Date'!I:I,"SPRING"))), "")</f>
        <v/>
      </c>
      <c r="K99" s="73" t="str">
        <f>IFERROR(1/(1/SUM(COUNTIFS(
'YearA-AppDetails Current Date'!A:A,D99,
'YearA-AppDetails Current Date'!F:F,E99,
'YearA-AppDetails Current Date'!E:E,--F99,
'YearA-AppDetails Current Date'!R:R,"&lt;&gt;"&amp;"",
'YearA-AppDetails Current Date'!I:I,"SPRING"))), "")</f>
        <v/>
      </c>
      <c r="L99" s="74" t="str" cm="1">
        <f t="array" ref="L99">IFERROR(1/(1/SUM(COUNTIFS(
'YearA-AppDetails Current Date'!A:A,D99,
'YearA-AppDetails Current Date'!F:F,E99,
'YearA-AppDetails Current Date'!E:E,--F99,
'YearA-AppDetails Current Date'!T:T,{"APEX","DENY","NTSL"},
'YearA-AppDetails Current Date'!I:I,"SPRING"))), "")</f>
        <v/>
      </c>
      <c r="M99" s="74" t="str" cm="1">
        <f t="array" ref="M99">IFERROR(1/(1/SUM(COUNTIFS(
'YearA-AppDetails Current Date'!A:A,D99,
'YearA-AppDetails Current Date'!F:F,E99,
'YearA-AppDetails Current Date'!E:E,--F99,
'YearA-AppDetails Current Date'!U:U,{"CCAN","DECL"},
'YearA-AppDetails Current Date'!I:I,"SPRING"))), "")</f>
        <v/>
      </c>
      <c r="N99" s="74" t="str" cm="1">
        <f t="array" ref="N99">IFERROR(1/(1/SUM(COUNTIFS(
'YearA-AppDetails Current Date'!A:A,D99,
'YearA-AppDetails Current Date'!F:F,E99,
'YearA-AppDetails Current Date'!E:E,--F99,
'YearA-AppDetails Current Date'!V:V,{"APRO","NODE"},
'YearA-AppDetails Current Date'!I:I,"SPRING"))), "")</f>
        <v/>
      </c>
      <c r="O99" s="74" t="str" cm="1">
        <f t="array" ref="O99">IFERROR(1/(1/SUM(COUNTIFS(
'YearA-AppDetails Current Date'!A:A,D99,
'YearA-AppDetails Current Date'!F:F,E99,
'YearA-AppDetails Current Date'!E:E,--F99,
'YearA-AppDetails Current Date'!T:T,{"CDMT","RQMT","WAIT"},
'YearA-AppDetails Current Date'!I:I,"SPRING"))), "")</f>
        <v/>
      </c>
      <c r="P99" s="74" t="str">
        <f>IFERROR(1/(1/COUNTIFS(
'YearA-AppDetails Current Date'!A:A,D99,
'YearA-AppDetails Current Date'!F:F,E99,
'YearA-AppDetails Current Date'!E:E,--F99,
'YearA-AppDetails Current Date'!Y:Y,"ENRO",
'YearA-AppDetails Current Date'!I:I,"SPRING")),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HC'!D:T,8,FALSE)),
N(VLOOKUP(D100&amp;F100,'Budgeted Projections Dom HC'!D:T,9,FALSE))
)
),"")</f>
        <v/>
      </c>
      <c r="I100" s="73" t="str">
        <f>IFERROR(1/(1/COUNTIFS(
'YearA-AppDetails Current Date'!A:A,D100,
'YearA-AppDetails Current Date'!F:F,E100,
'YearA-AppDetails Current Date'!E:E,--F100,
'YearA-AppDetails Current Date'!I:I,"SPRING")), "")</f>
        <v/>
      </c>
      <c r="J100" s="74" t="str" cm="1">
        <f t="array" ref="J100">IFERROR(1/(1/SUM(COUNTIFS(
'YearA-AppDetails Current Date'!A:A,D100,
'YearA-AppDetails Current Date'!F:F,E100,
'YearA-AppDetails Current Date'!E:E,--F100,
'YearA-AppDetails Current Date'!O:O,{"ACLN","ACPT","COND"},
'YearA-AppDetails Current Date'!S:S,"&lt;&gt;ACLN",
'YearA-AppDetails Current Date'!S:S,"&lt;&gt;ACPT",
'YearA-AppDetails Current Date'!S:S,"&lt;&gt;COND",
'YearA-AppDetails Current Date'!I:I,"SPRING"))), "")</f>
        <v/>
      </c>
      <c r="K100" s="73" t="str">
        <f>IFERROR(1/(1/SUM(COUNTIFS(
'YearA-AppDetails Current Date'!A:A,D100,
'YearA-AppDetails Current Date'!F:F,E100,
'YearA-AppDetails Current Date'!E:E,--F100,
'YearA-AppDetails Current Date'!R:R,"&lt;&gt;"&amp;"",
'YearA-AppDetails Current Date'!I:I,"SPRING"))), "")</f>
        <v/>
      </c>
      <c r="L100" s="74" t="str" cm="1">
        <f t="array" ref="L100">IFERROR(1/(1/SUM(COUNTIFS(
'YearA-AppDetails Current Date'!A:A,D100,
'YearA-AppDetails Current Date'!F:F,E100,
'YearA-AppDetails Current Date'!E:E,--F100,
'YearA-AppDetails Current Date'!T:T,{"APEX","DENY","NTSL"},
'YearA-AppDetails Current Date'!I:I,"SPRING"))), "")</f>
        <v/>
      </c>
      <c r="M100" s="74" t="str" cm="1">
        <f t="array" ref="M100">IFERROR(1/(1/SUM(COUNTIFS(
'YearA-AppDetails Current Date'!A:A,D100,
'YearA-AppDetails Current Date'!F:F,E100,
'YearA-AppDetails Current Date'!E:E,--F100,
'YearA-AppDetails Current Date'!U:U,{"CCAN","DECL"},
'YearA-AppDetails Current Date'!I:I,"SPRING"))), "")</f>
        <v/>
      </c>
      <c r="N100" s="74" t="str" cm="1">
        <f t="array" ref="N100">IFERROR(1/(1/SUM(COUNTIFS(
'YearA-AppDetails Current Date'!A:A,D100,
'YearA-AppDetails Current Date'!F:F,E100,
'YearA-AppDetails Current Date'!E:E,--F100,
'YearA-AppDetails Current Date'!V:V,{"APRO","NODE"},
'YearA-AppDetails Current Date'!I:I,"SPRING"))), "")</f>
        <v/>
      </c>
      <c r="O100" s="74" t="str" cm="1">
        <f t="array" ref="O100">IFERROR(1/(1/SUM(COUNTIFS(
'YearA-AppDetails Current Date'!A:A,D100,
'YearA-AppDetails Current Date'!F:F,E100,
'YearA-AppDetails Current Date'!E:E,--F100,
'YearA-AppDetails Current Date'!T:T,{"CDMT","RQMT","WAIT"},
'YearA-AppDetails Current Date'!I:I,"SPRING"))), "")</f>
        <v/>
      </c>
      <c r="P100" s="74" t="str">
        <f>IFERROR(1/(1/COUNTIFS(
'YearA-AppDetails Current Date'!A:A,D100,
'YearA-AppDetails Current Date'!F:F,E100,
'YearA-AppDetails Current Date'!E:E,--F100,
'YearA-AppDetails Current Date'!Y:Y,"ENRO",
'YearA-AppDetails Current Date'!I:I,"SPRING")),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HC'!D:T,8,FALSE)),
N(VLOOKUP(D101&amp;F101,'Budgeted Projections Intl HC'!D:T,9,FALSE))
)
),"")</f>
        <v/>
      </c>
      <c r="I101" s="73" t="str">
        <f>IFERROR(1/(1/COUNTIFS(
'YearA-AppDetails Current Date'!A:A,D101,
'YearA-AppDetails Current Date'!F:F,E101,
'YearA-AppDetails Current Date'!E:E,--F101,
'YearA-AppDetails Current Date'!I:I,"SPRING")), "")</f>
        <v/>
      </c>
      <c r="J101" s="74" t="str" cm="1">
        <f t="array" ref="J101">IFERROR(1/(1/SUM(COUNTIFS(
'YearA-AppDetails Current Date'!A:A,D101,
'YearA-AppDetails Current Date'!F:F,E101,
'YearA-AppDetails Current Date'!E:E,--F101,
'YearA-AppDetails Current Date'!O:O,{"ACLN","ACPT","COND"},
'YearA-AppDetails Current Date'!S:S,"&lt;&gt;ACLN",
'YearA-AppDetails Current Date'!S:S,"&lt;&gt;ACPT",
'YearA-AppDetails Current Date'!S:S,"&lt;&gt;COND",
'YearA-AppDetails Current Date'!I:I,"SPRING"))), "")</f>
        <v/>
      </c>
      <c r="K101" s="73" t="str">
        <f>IFERROR(1/(1/SUM(COUNTIFS(
'YearA-AppDetails Current Date'!A:A,D101,
'YearA-AppDetails Current Date'!F:F,E101,
'YearA-AppDetails Current Date'!E:E,--F101,
'YearA-AppDetails Current Date'!R:R,"&lt;&gt;"&amp;"",
'YearA-AppDetails Current Date'!I:I,"SPRING"))), "")</f>
        <v/>
      </c>
      <c r="L101" s="74" t="str" cm="1">
        <f t="array" ref="L101">IFERROR(1/(1/SUM(COUNTIFS(
'YearA-AppDetails Current Date'!A:A,D101,
'YearA-AppDetails Current Date'!F:F,E101,
'YearA-AppDetails Current Date'!E:E,--F101,
'YearA-AppDetails Current Date'!T:T,{"APEX","DENY","NTSL"},
'YearA-AppDetails Current Date'!I:I,"SPRING"))), "")</f>
        <v/>
      </c>
      <c r="M101" s="74" t="str" cm="1">
        <f t="array" ref="M101">IFERROR(1/(1/SUM(COUNTIFS(
'YearA-AppDetails Current Date'!A:A,D101,
'YearA-AppDetails Current Date'!F:F,E101,
'YearA-AppDetails Current Date'!E:E,--F101,
'YearA-AppDetails Current Date'!U:U,{"CCAN","DECL"},
'YearA-AppDetails Current Date'!I:I,"SPRING"))), "")</f>
        <v/>
      </c>
      <c r="N101" s="74" t="str" cm="1">
        <f t="array" ref="N101">IFERROR(1/(1/SUM(COUNTIFS(
'YearA-AppDetails Current Date'!A:A,D101,
'YearA-AppDetails Current Date'!F:F,E101,
'YearA-AppDetails Current Date'!E:E,--F101,
'YearA-AppDetails Current Date'!V:V,{"APRO","NODE"},
'YearA-AppDetails Current Date'!I:I,"SPRING"))), "")</f>
        <v/>
      </c>
      <c r="O101" s="74" t="str" cm="1">
        <f t="array" ref="O101">IFERROR(1/(1/SUM(COUNTIFS(
'YearA-AppDetails Current Date'!A:A,D101,
'YearA-AppDetails Current Date'!F:F,E101,
'YearA-AppDetails Current Date'!E:E,--F101,
'YearA-AppDetails Current Date'!T:T,{"CDMT","RQMT","WAIT"},
'YearA-AppDetails Current Date'!I:I,"SPRING"))), "")</f>
        <v/>
      </c>
      <c r="P101" s="74" t="str">
        <f>IFERROR(1/(1/COUNTIFS(
'YearA-AppDetails Current Date'!A:A,D101,
'YearA-AppDetails Current Date'!F:F,E101,
'YearA-AppDetails Current Date'!E:E,--F101,
'YearA-AppDetails Current Date'!Y:Y,"ENRO",
'YearA-AppDetails Current Date'!I:I,"SPRING")),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HC'!D:T,8,FALSE)),
N(VLOOKUP(D102&amp;F102,'Budgeted Projections Dom HC'!D:T,9,FALSE))
)
),"")</f>
        <v/>
      </c>
      <c r="I102" s="73" t="str">
        <f>IFERROR(1/(1/COUNTIFS(
'YearA-AppDetails Current Date'!A:A,D102,
'YearA-AppDetails Current Date'!F:F,E102,
'YearA-AppDetails Current Date'!E:E,--F102,
'YearA-AppDetails Current Date'!I:I,"SPRING")), "")</f>
        <v/>
      </c>
      <c r="J102" s="74" t="str" cm="1">
        <f t="array" ref="J102">IFERROR(1/(1/SUM(COUNTIFS(
'YearA-AppDetails Current Date'!A:A,D102,
'YearA-AppDetails Current Date'!F:F,E102,
'YearA-AppDetails Current Date'!E:E,--F102,
'YearA-AppDetails Current Date'!O:O,{"ACLN","ACPT","COND"},
'YearA-AppDetails Current Date'!S:S,"&lt;&gt;ACLN",
'YearA-AppDetails Current Date'!S:S,"&lt;&gt;ACPT",
'YearA-AppDetails Current Date'!S:S,"&lt;&gt;COND",
'YearA-AppDetails Current Date'!I:I,"SPRING"))), "")</f>
        <v/>
      </c>
      <c r="K102" s="73" t="str">
        <f>IFERROR(1/(1/SUM(COUNTIFS(
'YearA-AppDetails Current Date'!A:A,D102,
'YearA-AppDetails Current Date'!F:F,E102,
'YearA-AppDetails Current Date'!E:E,--F102,
'YearA-AppDetails Current Date'!R:R,"&lt;&gt;"&amp;"",
'YearA-AppDetails Current Date'!I:I,"SPRING"))), "")</f>
        <v/>
      </c>
      <c r="L102" s="74" t="str" cm="1">
        <f t="array" ref="L102">IFERROR(1/(1/SUM(COUNTIFS(
'YearA-AppDetails Current Date'!A:A,D102,
'YearA-AppDetails Current Date'!F:F,E102,
'YearA-AppDetails Current Date'!E:E,--F102,
'YearA-AppDetails Current Date'!T:T,{"APEX","DENY","NTSL"},
'YearA-AppDetails Current Date'!I:I,"SPRING"))), "")</f>
        <v/>
      </c>
      <c r="M102" s="74" t="str" cm="1">
        <f t="array" ref="M102">IFERROR(1/(1/SUM(COUNTIFS(
'YearA-AppDetails Current Date'!A:A,D102,
'YearA-AppDetails Current Date'!F:F,E102,
'YearA-AppDetails Current Date'!E:E,--F102,
'YearA-AppDetails Current Date'!U:U,{"CCAN","DECL"},
'YearA-AppDetails Current Date'!I:I,"SPRING"))), "")</f>
        <v/>
      </c>
      <c r="N102" s="74" t="str" cm="1">
        <f t="array" ref="N102">IFERROR(1/(1/SUM(COUNTIFS(
'YearA-AppDetails Current Date'!A:A,D102,
'YearA-AppDetails Current Date'!F:F,E102,
'YearA-AppDetails Current Date'!E:E,--F102,
'YearA-AppDetails Current Date'!V:V,{"APRO","NODE"},
'YearA-AppDetails Current Date'!I:I,"SPRING"))), "")</f>
        <v/>
      </c>
      <c r="O102" s="74" t="str" cm="1">
        <f t="array" ref="O102">IFERROR(1/(1/SUM(COUNTIFS(
'YearA-AppDetails Current Date'!A:A,D102,
'YearA-AppDetails Current Date'!F:F,E102,
'YearA-AppDetails Current Date'!E:E,--F102,
'YearA-AppDetails Current Date'!T:T,{"CDMT","RQMT","WAIT"},
'YearA-AppDetails Current Date'!I:I,"SPRING"))), "")</f>
        <v/>
      </c>
      <c r="P102" s="74" t="str">
        <f>IFERROR(1/(1/COUNTIFS(
'YearA-AppDetails Current Date'!A:A,D102,
'YearA-AppDetails Current Date'!F:F,E102,
'YearA-AppDetails Current Date'!E:E,--F102,
'YearA-AppDetails Current Date'!Y:Y,"ENRO",
'YearA-AppDetails Current Date'!I:I,"SPRING")),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HC'!D:T,8,FALSE)),
N(VLOOKUP(D103&amp;F103,'Budgeted Projections Intl HC'!D:T,9,FALSE))
)
),"")</f>
        <v/>
      </c>
      <c r="I103" s="73" t="str">
        <f>IFERROR(1/(1/COUNTIFS(
'YearA-AppDetails Current Date'!A:A,D103,
'YearA-AppDetails Current Date'!F:F,E103,
'YearA-AppDetails Current Date'!E:E,--F103,
'YearA-AppDetails Current Date'!I:I,"SPRING")), "")</f>
        <v/>
      </c>
      <c r="J103" s="74" t="str" cm="1">
        <f t="array" ref="J103">IFERROR(1/(1/SUM(COUNTIFS(
'YearA-AppDetails Current Date'!A:A,D103,
'YearA-AppDetails Current Date'!F:F,E103,
'YearA-AppDetails Current Date'!E:E,--F103,
'YearA-AppDetails Current Date'!O:O,{"ACLN","ACPT","COND"},
'YearA-AppDetails Current Date'!S:S,"&lt;&gt;ACLN",
'YearA-AppDetails Current Date'!S:S,"&lt;&gt;ACPT",
'YearA-AppDetails Current Date'!S:S,"&lt;&gt;COND",
'YearA-AppDetails Current Date'!I:I,"SPRING"))), "")</f>
        <v/>
      </c>
      <c r="K103" s="73" t="str">
        <f>IFERROR(1/(1/SUM(COUNTIFS(
'YearA-AppDetails Current Date'!A:A,D103,
'YearA-AppDetails Current Date'!F:F,E103,
'YearA-AppDetails Current Date'!E:E,--F103,
'YearA-AppDetails Current Date'!R:R,"&lt;&gt;"&amp;"",
'YearA-AppDetails Current Date'!I:I,"SPRING"))), "")</f>
        <v/>
      </c>
      <c r="L103" s="74" t="str" cm="1">
        <f t="array" ref="L103">IFERROR(1/(1/SUM(COUNTIFS(
'YearA-AppDetails Current Date'!A:A,D103,
'YearA-AppDetails Current Date'!F:F,E103,
'YearA-AppDetails Current Date'!E:E,--F103,
'YearA-AppDetails Current Date'!T:T,{"APEX","DENY","NTSL"},
'YearA-AppDetails Current Date'!I:I,"SPRING"))), "")</f>
        <v/>
      </c>
      <c r="M103" s="74" t="str" cm="1">
        <f t="array" ref="M103">IFERROR(1/(1/SUM(COUNTIFS(
'YearA-AppDetails Current Date'!A:A,D103,
'YearA-AppDetails Current Date'!F:F,E103,
'YearA-AppDetails Current Date'!E:E,--F103,
'YearA-AppDetails Current Date'!U:U,{"CCAN","DECL"},
'YearA-AppDetails Current Date'!I:I,"SPRING"))), "")</f>
        <v/>
      </c>
      <c r="N103" s="74" t="str" cm="1">
        <f t="array" ref="N103">IFERROR(1/(1/SUM(COUNTIFS(
'YearA-AppDetails Current Date'!A:A,D103,
'YearA-AppDetails Current Date'!F:F,E103,
'YearA-AppDetails Current Date'!E:E,--F103,
'YearA-AppDetails Current Date'!V:V,{"APRO","NODE"},
'YearA-AppDetails Current Date'!I:I,"SPRING"))), "")</f>
        <v/>
      </c>
      <c r="O103" s="74" t="str" cm="1">
        <f t="array" ref="O103">IFERROR(1/(1/SUM(COUNTIFS(
'YearA-AppDetails Current Date'!A:A,D103,
'YearA-AppDetails Current Date'!F:F,E103,
'YearA-AppDetails Current Date'!E:E,--F103,
'YearA-AppDetails Current Date'!T:T,{"CDMT","RQMT","WAIT"},
'YearA-AppDetails Current Date'!I:I,"SPRING"))), "")</f>
        <v/>
      </c>
      <c r="P103" s="74" t="str">
        <f>IFERROR(1/(1/COUNTIFS(
'YearA-AppDetails Current Date'!A:A,D103,
'YearA-AppDetails Current Date'!F:F,E103,
'YearA-AppDetails Current Date'!E:E,--F103,
'YearA-AppDetails Current Date'!Y:Y,"ENRO",
'YearA-AppDetails Current Date'!I:I,"SPRING")),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HC'!D:T,8,FALSE)),
N(VLOOKUP(D104&amp;F104,'Budgeted Projections Dom HC'!D:T,9,FALSE))
)
),"")</f>
        <v/>
      </c>
      <c r="I104" s="73" t="str">
        <f>IFERROR(1/(1/COUNTIFS(
'YearA-AppDetails Current Date'!A:A,D104,
'YearA-AppDetails Current Date'!F:F,E104,
'YearA-AppDetails Current Date'!E:E,--F104,
'YearA-AppDetails Current Date'!I:I,"SPRING")), "")</f>
        <v/>
      </c>
      <c r="J104" s="74" t="str" cm="1">
        <f t="array" ref="J104">IFERROR(1/(1/SUM(COUNTIFS(
'YearA-AppDetails Current Date'!A:A,D104,
'YearA-AppDetails Current Date'!F:F,E104,
'YearA-AppDetails Current Date'!E:E,--F104,
'YearA-AppDetails Current Date'!O:O,{"ACLN","ACPT","COND"},
'YearA-AppDetails Current Date'!S:S,"&lt;&gt;ACLN",
'YearA-AppDetails Current Date'!S:S,"&lt;&gt;ACPT",
'YearA-AppDetails Current Date'!S:S,"&lt;&gt;COND",
'YearA-AppDetails Current Date'!I:I,"SPRING"))), "")</f>
        <v/>
      </c>
      <c r="K104" s="73" t="str">
        <f>IFERROR(1/(1/SUM(COUNTIFS(
'YearA-AppDetails Current Date'!A:A,D104,
'YearA-AppDetails Current Date'!F:F,E104,
'YearA-AppDetails Current Date'!E:E,--F104,
'YearA-AppDetails Current Date'!R:R,"&lt;&gt;"&amp;"",
'YearA-AppDetails Current Date'!I:I,"SPRING"))), "")</f>
        <v/>
      </c>
      <c r="L104" s="74" t="str" cm="1">
        <f t="array" ref="L104">IFERROR(1/(1/SUM(COUNTIFS(
'YearA-AppDetails Current Date'!A:A,D104,
'YearA-AppDetails Current Date'!F:F,E104,
'YearA-AppDetails Current Date'!E:E,--F104,
'YearA-AppDetails Current Date'!T:T,{"APEX","DENY","NTSL"},
'YearA-AppDetails Current Date'!I:I,"SPRING"))), "")</f>
        <v/>
      </c>
      <c r="M104" s="74" t="str" cm="1">
        <f t="array" ref="M104">IFERROR(1/(1/SUM(COUNTIFS(
'YearA-AppDetails Current Date'!A:A,D104,
'YearA-AppDetails Current Date'!F:F,E104,
'YearA-AppDetails Current Date'!E:E,--F104,
'YearA-AppDetails Current Date'!U:U,{"CCAN","DECL"},
'YearA-AppDetails Current Date'!I:I,"SPRING"))), "")</f>
        <v/>
      </c>
      <c r="N104" s="74" t="str" cm="1">
        <f t="array" ref="N104">IFERROR(1/(1/SUM(COUNTIFS(
'YearA-AppDetails Current Date'!A:A,D104,
'YearA-AppDetails Current Date'!F:F,E104,
'YearA-AppDetails Current Date'!E:E,--F104,
'YearA-AppDetails Current Date'!V:V,{"APRO","NODE"},
'YearA-AppDetails Current Date'!I:I,"SPRING"))), "")</f>
        <v/>
      </c>
      <c r="O104" s="74" t="str" cm="1">
        <f t="array" ref="O104">IFERROR(1/(1/SUM(COUNTIFS(
'YearA-AppDetails Current Date'!A:A,D104,
'YearA-AppDetails Current Date'!F:F,E104,
'YearA-AppDetails Current Date'!E:E,--F104,
'YearA-AppDetails Current Date'!T:T,{"CDMT","RQMT","WAIT"},
'YearA-AppDetails Current Date'!I:I,"SPRING"))), "")</f>
        <v/>
      </c>
      <c r="P104" s="74" t="str">
        <f>IFERROR(1/(1/COUNTIFS(
'YearA-AppDetails Current Date'!A:A,D104,
'YearA-AppDetails Current Date'!F:F,E104,
'YearA-AppDetails Current Date'!E:E,--F104,
'YearA-AppDetails Current Date'!Y:Y,"ENRO",
'YearA-AppDetails Current Date'!I:I,"SPRING")),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HC'!D:T,8,FALSE)),
N(VLOOKUP(D105&amp;F105,'Budgeted Projections Intl HC'!D:T,9,FALSE))
)
),"")</f>
        <v/>
      </c>
      <c r="I105" s="73" t="str">
        <f>IFERROR(1/(1/COUNTIFS(
'YearA-AppDetails Current Date'!A:A,D105,
'YearA-AppDetails Current Date'!F:F,E105,
'YearA-AppDetails Current Date'!E:E,--F105,
'YearA-AppDetails Current Date'!I:I,"SPRING")), "")</f>
        <v/>
      </c>
      <c r="J105" s="74" t="str" cm="1">
        <f t="array" ref="J105">IFERROR(1/(1/SUM(COUNTIFS(
'YearA-AppDetails Current Date'!A:A,D105,
'YearA-AppDetails Current Date'!F:F,E105,
'YearA-AppDetails Current Date'!E:E,--F105,
'YearA-AppDetails Current Date'!O:O,{"ACLN","ACPT","COND"},
'YearA-AppDetails Current Date'!S:S,"&lt;&gt;ACLN",
'YearA-AppDetails Current Date'!S:S,"&lt;&gt;ACPT",
'YearA-AppDetails Current Date'!S:S,"&lt;&gt;COND",
'YearA-AppDetails Current Date'!I:I,"SPRING"))), "")</f>
        <v/>
      </c>
      <c r="K105" s="73" t="str">
        <f>IFERROR(1/(1/SUM(COUNTIFS(
'YearA-AppDetails Current Date'!A:A,D105,
'YearA-AppDetails Current Date'!F:F,E105,
'YearA-AppDetails Current Date'!E:E,--F105,
'YearA-AppDetails Current Date'!R:R,"&lt;&gt;"&amp;"",
'YearA-AppDetails Current Date'!I:I,"SPRING"))), "")</f>
        <v/>
      </c>
      <c r="L105" s="74" t="str" cm="1">
        <f t="array" ref="L105">IFERROR(1/(1/SUM(COUNTIFS(
'YearA-AppDetails Current Date'!A:A,D105,
'YearA-AppDetails Current Date'!F:F,E105,
'YearA-AppDetails Current Date'!E:E,--F105,
'YearA-AppDetails Current Date'!T:T,{"APEX","DENY","NTSL"},
'YearA-AppDetails Current Date'!I:I,"SPRING"))), "")</f>
        <v/>
      </c>
      <c r="M105" s="74" t="str" cm="1">
        <f t="array" ref="M105">IFERROR(1/(1/SUM(COUNTIFS(
'YearA-AppDetails Current Date'!A:A,D105,
'YearA-AppDetails Current Date'!F:F,E105,
'YearA-AppDetails Current Date'!E:E,--F105,
'YearA-AppDetails Current Date'!U:U,{"CCAN","DECL"},
'YearA-AppDetails Current Date'!I:I,"SPRING"))), "")</f>
        <v/>
      </c>
      <c r="N105" s="74" t="str" cm="1">
        <f t="array" ref="N105">IFERROR(1/(1/SUM(COUNTIFS(
'YearA-AppDetails Current Date'!A:A,D105,
'YearA-AppDetails Current Date'!F:F,E105,
'YearA-AppDetails Current Date'!E:E,--F105,
'YearA-AppDetails Current Date'!V:V,{"APRO","NODE"},
'YearA-AppDetails Current Date'!I:I,"SPRING"))), "")</f>
        <v/>
      </c>
      <c r="O105" s="74" t="str" cm="1">
        <f t="array" ref="O105">IFERROR(1/(1/SUM(COUNTIFS(
'YearA-AppDetails Current Date'!A:A,D105,
'YearA-AppDetails Current Date'!F:F,E105,
'YearA-AppDetails Current Date'!E:E,--F105,
'YearA-AppDetails Current Date'!T:T,{"CDMT","RQMT","WAIT"},
'YearA-AppDetails Current Date'!I:I,"SPRING"))), "")</f>
        <v/>
      </c>
      <c r="P105" s="74" t="str">
        <f>IFERROR(1/(1/COUNTIFS(
'YearA-AppDetails Current Date'!A:A,D105,
'YearA-AppDetails Current Date'!F:F,E105,
'YearA-AppDetails Current Date'!E:E,--F105,
'YearA-AppDetails Current Date'!Y:Y,"ENRO",
'YearA-AppDetails Current Date'!I:I,"SPRING")),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HC'!D:T,8,FALSE)),
N(VLOOKUP(D106&amp;F106,'Budgeted Projections Dom HC'!D:T,9,FALSE))
)
),"")</f>
        <v/>
      </c>
      <c r="I106" s="73" t="str">
        <f>IFERROR(1/(1/COUNTIFS(
'YearA-AppDetails Current Date'!A:A,D106,
'YearA-AppDetails Current Date'!F:F,E106,
'YearA-AppDetails Current Date'!E:E,--F106,
'YearA-AppDetails Current Date'!I:I,"SPRING")), "")</f>
        <v/>
      </c>
      <c r="J106" s="74" t="str" cm="1">
        <f t="array" ref="J106">IFERROR(1/(1/SUM(COUNTIFS(
'YearA-AppDetails Current Date'!A:A,D106,
'YearA-AppDetails Current Date'!F:F,E106,
'YearA-AppDetails Current Date'!E:E,--F106,
'YearA-AppDetails Current Date'!O:O,{"ACLN","ACPT","COND"},
'YearA-AppDetails Current Date'!S:S,"&lt;&gt;ACLN",
'YearA-AppDetails Current Date'!S:S,"&lt;&gt;ACPT",
'YearA-AppDetails Current Date'!S:S,"&lt;&gt;COND",
'YearA-AppDetails Current Date'!I:I,"SPRING"))), "")</f>
        <v/>
      </c>
      <c r="K106" s="73" t="str">
        <f>IFERROR(1/(1/SUM(COUNTIFS(
'YearA-AppDetails Current Date'!A:A,D106,
'YearA-AppDetails Current Date'!F:F,E106,
'YearA-AppDetails Current Date'!E:E,--F106,
'YearA-AppDetails Current Date'!R:R,"&lt;&gt;"&amp;"",
'YearA-AppDetails Current Date'!I:I,"SPRING"))), "")</f>
        <v/>
      </c>
      <c r="L106" s="74" t="str" cm="1">
        <f t="array" ref="L106">IFERROR(1/(1/SUM(COUNTIFS(
'YearA-AppDetails Current Date'!A:A,D106,
'YearA-AppDetails Current Date'!F:F,E106,
'YearA-AppDetails Current Date'!E:E,--F106,
'YearA-AppDetails Current Date'!T:T,{"APEX","DENY","NTSL"},
'YearA-AppDetails Current Date'!I:I,"SPRING"))), "")</f>
        <v/>
      </c>
      <c r="M106" s="74" t="str" cm="1">
        <f t="array" ref="M106">IFERROR(1/(1/SUM(COUNTIFS(
'YearA-AppDetails Current Date'!A:A,D106,
'YearA-AppDetails Current Date'!F:F,E106,
'YearA-AppDetails Current Date'!E:E,--F106,
'YearA-AppDetails Current Date'!U:U,{"CCAN","DECL"},
'YearA-AppDetails Current Date'!I:I,"SPRING"))), "")</f>
        <v/>
      </c>
      <c r="N106" s="74" t="str" cm="1">
        <f t="array" ref="N106">IFERROR(1/(1/SUM(COUNTIFS(
'YearA-AppDetails Current Date'!A:A,D106,
'YearA-AppDetails Current Date'!F:F,E106,
'YearA-AppDetails Current Date'!E:E,--F106,
'YearA-AppDetails Current Date'!V:V,{"APRO","NODE"},
'YearA-AppDetails Current Date'!I:I,"SPRING"))), "")</f>
        <v/>
      </c>
      <c r="O106" s="74" t="str" cm="1">
        <f t="array" ref="O106">IFERROR(1/(1/SUM(COUNTIFS(
'YearA-AppDetails Current Date'!A:A,D106,
'YearA-AppDetails Current Date'!F:F,E106,
'YearA-AppDetails Current Date'!E:E,--F106,
'YearA-AppDetails Current Date'!T:T,{"CDMT","RQMT","WAIT"},
'YearA-AppDetails Current Date'!I:I,"SPRING"))), "")</f>
        <v/>
      </c>
      <c r="P106" s="74" t="str">
        <f>IFERROR(1/(1/COUNTIFS(
'YearA-AppDetails Current Date'!A:A,D106,
'YearA-AppDetails Current Date'!F:F,E106,
'YearA-AppDetails Current Date'!E:E,--F106,
'YearA-AppDetails Current Date'!Y:Y,"ENRO",
'YearA-AppDetails Current Date'!I:I,"SPRING")),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HC'!D:T,8,FALSE)),
N(VLOOKUP(D107&amp;F107,'Budgeted Projections Intl HC'!D:T,9,FALSE))
)
),"")</f>
        <v/>
      </c>
      <c r="I107" s="73" t="str">
        <f>IFERROR(1/(1/COUNTIFS(
'YearA-AppDetails Current Date'!A:A,D107,
'YearA-AppDetails Current Date'!F:F,E107,
'YearA-AppDetails Current Date'!E:E,--F107,
'YearA-AppDetails Current Date'!I:I,"SPRING")), "")</f>
        <v/>
      </c>
      <c r="J107" s="74" t="str" cm="1">
        <f t="array" ref="J107">IFERROR(1/(1/SUM(COUNTIFS(
'YearA-AppDetails Current Date'!A:A,D107,
'YearA-AppDetails Current Date'!F:F,E107,
'YearA-AppDetails Current Date'!E:E,--F107,
'YearA-AppDetails Current Date'!O:O,{"ACLN","ACPT","COND"},
'YearA-AppDetails Current Date'!S:S,"&lt;&gt;ACLN",
'YearA-AppDetails Current Date'!S:S,"&lt;&gt;ACPT",
'YearA-AppDetails Current Date'!S:S,"&lt;&gt;COND",
'YearA-AppDetails Current Date'!I:I,"SPRING"))), "")</f>
        <v/>
      </c>
      <c r="K107" s="73" t="str">
        <f>IFERROR(1/(1/SUM(COUNTIFS(
'YearA-AppDetails Current Date'!A:A,D107,
'YearA-AppDetails Current Date'!F:F,E107,
'YearA-AppDetails Current Date'!E:E,--F107,
'YearA-AppDetails Current Date'!R:R,"&lt;&gt;"&amp;"",
'YearA-AppDetails Current Date'!I:I,"SPRING"))), "")</f>
        <v/>
      </c>
      <c r="L107" s="74" t="str" cm="1">
        <f t="array" ref="L107">IFERROR(1/(1/SUM(COUNTIFS(
'YearA-AppDetails Current Date'!A:A,D107,
'YearA-AppDetails Current Date'!F:F,E107,
'YearA-AppDetails Current Date'!E:E,--F107,
'YearA-AppDetails Current Date'!T:T,{"APEX","DENY","NTSL"},
'YearA-AppDetails Current Date'!I:I,"SPRING"))), "")</f>
        <v/>
      </c>
      <c r="M107" s="74" t="str" cm="1">
        <f t="array" ref="M107">IFERROR(1/(1/SUM(COUNTIFS(
'YearA-AppDetails Current Date'!A:A,D107,
'YearA-AppDetails Current Date'!F:F,E107,
'YearA-AppDetails Current Date'!E:E,--F107,
'YearA-AppDetails Current Date'!U:U,{"CCAN","DECL"},
'YearA-AppDetails Current Date'!I:I,"SPRING"))), "")</f>
        <v/>
      </c>
      <c r="N107" s="74" t="str" cm="1">
        <f t="array" ref="N107">IFERROR(1/(1/SUM(COUNTIFS(
'YearA-AppDetails Current Date'!A:A,D107,
'YearA-AppDetails Current Date'!F:F,E107,
'YearA-AppDetails Current Date'!E:E,--F107,
'YearA-AppDetails Current Date'!V:V,{"APRO","NODE"},
'YearA-AppDetails Current Date'!I:I,"SPRING"))), "")</f>
        <v/>
      </c>
      <c r="O107" s="74" t="str" cm="1">
        <f t="array" ref="O107">IFERROR(1/(1/SUM(COUNTIFS(
'YearA-AppDetails Current Date'!A:A,D107,
'YearA-AppDetails Current Date'!F:F,E107,
'YearA-AppDetails Current Date'!E:E,--F107,
'YearA-AppDetails Current Date'!T:T,{"CDMT","RQMT","WAIT"},
'YearA-AppDetails Current Date'!I:I,"SPRING"))), "")</f>
        <v/>
      </c>
      <c r="P107" s="74" t="str">
        <f>IFERROR(1/(1/COUNTIFS(
'YearA-AppDetails Current Date'!A:A,D107,
'YearA-AppDetails Current Date'!F:F,E107,
'YearA-AppDetails Current Date'!E:E,--F107,
'YearA-AppDetails Current Date'!Y:Y,"ENRO",
'YearA-AppDetails Current Date'!I:I,"SPRING")),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HC'!D:T,8,FALSE)),
N(VLOOKUP(D108&amp;F108,'Budgeted Projections Dom HC'!D:T,9,FALSE))
)
),"")</f>
        <v/>
      </c>
      <c r="I108" s="73" t="str">
        <f>IFERROR(1/(1/COUNTIFS(
'YearA-AppDetails Current Date'!A:A,D108,
'YearA-AppDetails Current Date'!F:F,E108,
'YearA-AppDetails Current Date'!E:E,--F108,
'YearA-AppDetails Current Date'!I:I,"SPRING")), "")</f>
        <v/>
      </c>
      <c r="J108" s="74" t="str" cm="1">
        <f t="array" ref="J108">IFERROR(1/(1/SUM(COUNTIFS(
'YearA-AppDetails Current Date'!A:A,D108,
'YearA-AppDetails Current Date'!F:F,E108,
'YearA-AppDetails Current Date'!E:E,--F108,
'YearA-AppDetails Current Date'!O:O,{"ACLN","ACPT","COND"},
'YearA-AppDetails Current Date'!S:S,"&lt;&gt;ACLN",
'YearA-AppDetails Current Date'!S:S,"&lt;&gt;ACPT",
'YearA-AppDetails Current Date'!S:S,"&lt;&gt;COND",
'YearA-AppDetails Current Date'!I:I,"SPRING"))), "")</f>
        <v/>
      </c>
      <c r="K108" s="73" t="str">
        <f>IFERROR(1/(1/SUM(COUNTIFS(
'YearA-AppDetails Current Date'!A:A,D108,
'YearA-AppDetails Current Date'!F:F,E108,
'YearA-AppDetails Current Date'!E:E,--F108,
'YearA-AppDetails Current Date'!R:R,"&lt;&gt;"&amp;"",
'YearA-AppDetails Current Date'!I:I,"SPRING"))), "")</f>
        <v/>
      </c>
      <c r="L108" s="74" t="str" cm="1">
        <f t="array" ref="L108">IFERROR(1/(1/SUM(COUNTIFS(
'YearA-AppDetails Current Date'!A:A,D108,
'YearA-AppDetails Current Date'!F:F,E108,
'YearA-AppDetails Current Date'!E:E,--F108,
'YearA-AppDetails Current Date'!T:T,{"APEX","DENY","NTSL"},
'YearA-AppDetails Current Date'!I:I,"SPRING"))), "")</f>
        <v/>
      </c>
      <c r="M108" s="74" t="str" cm="1">
        <f t="array" ref="M108">IFERROR(1/(1/SUM(COUNTIFS(
'YearA-AppDetails Current Date'!A:A,D108,
'YearA-AppDetails Current Date'!F:F,E108,
'YearA-AppDetails Current Date'!E:E,--F108,
'YearA-AppDetails Current Date'!U:U,{"CCAN","DECL"},
'YearA-AppDetails Current Date'!I:I,"SPRING"))), "")</f>
        <v/>
      </c>
      <c r="N108" s="74" t="str" cm="1">
        <f t="array" ref="N108">IFERROR(1/(1/SUM(COUNTIFS(
'YearA-AppDetails Current Date'!A:A,D108,
'YearA-AppDetails Current Date'!F:F,E108,
'YearA-AppDetails Current Date'!E:E,--F108,
'YearA-AppDetails Current Date'!V:V,{"APRO","NODE"},
'YearA-AppDetails Current Date'!I:I,"SPRING"))), "")</f>
        <v/>
      </c>
      <c r="O108" s="74" t="str" cm="1">
        <f t="array" ref="O108">IFERROR(1/(1/SUM(COUNTIFS(
'YearA-AppDetails Current Date'!A:A,D108,
'YearA-AppDetails Current Date'!F:F,E108,
'YearA-AppDetails Current Date'!E:E,--F108,
'YearA-AppDetails Current Date'!T:T,{"CDMT","RQMT","WAIT"},
'YearA-AppDetails Current Date'!I:I,"SPRING"))), "")</f>
        <v/>
      </c>
      <c r="P108" s="74" t="str">
        <f>IFERROR(1/(1/COUNTIFS(
'YearA-AppDetails Current Date'!A:A,D108,
'YearA-AppDetails Current Date'!F:F,E108,
'YearA-AppDetails Current Date'!E:E,--F108,
'YearA-AppDetails Current Date'!Y:Y,"ENRO",
'YearA-AppDetails Current Date'!I:I,"SPRING")),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HC'!D:T,8,FALSE)),
N(VLOOKUP(D109&amp;F109,'Budgeted Projections Intl HC'!D:T,9,FALSE))
)
),"")</f>
        <v/>
      </c>
      <c r="I109" s="73" t="str">
        <f>IFERROR(1/(1/COUNTIFS(
'YearA-AppDetails Current Date'!A:A,D109,
'YearA-AppDetails Current Date'!F:F,E109,
'YearA-AppDetails Current Date'!E:E,--F109,
'YearA-AppDetails Current Date'!I:I,"SPRING")), "")</f>
        <v/>
      </c>
      <c r="J109" s="74" t="str" cm="1">
        <f t="array" ref="J109">IFERROR(1/(1/SUM(COUNTIFS(
'YearA-AppDetails Current Date'!A:A,D109,
'YearA-AppDetails Current Date'!F:F,E109,
'YearA-AppDetails Current Date'!E:E,--F109,
'YearA-AppDetails Current Date'!O:O,{"ACLN","ACPT","COND"},
'YearA-AppDetails Current Date'!S:S,"&lt;&gt;ACLN",
'YearA-AppDetails Current Date'!S:S,"&lt;&gt;ACPT",
'YearA-AppDetails Current Date'!S:S,"&lt;&gt;COND",
'YearA-AppDetails Current Date'!I:I,"SPRING"))), "")</f>
        <v/>
      </c>
      <c r="K109" s="73" t="str">
        <f>IFERROR(1/(1/SUM(COUNTIFS(
'YearA-AppDetails Current Date'!A:A,D109,
'YearA-AppDetails Current Date'!F:F,E109,
'YearA-AppDetails Current Date'!E:E,--F109,
'YearA-AppDetails Current Date'!R:R,"&lt;&gt;"&amp;"",
'YearA-AppDetails Current Date'!I:I,"SPRING"))), "")</f>
        <v/>
      </c>
      <c r="L109" s="74" t="str" cm="1">
        <f t="array" ref="L109">IFERROR(1/(1/SUM(COUNTIFS(
'YearA-AppDetails Current Date'!A:A,D109,
'YearA-AppDetails Current Date'!F:F,E109,
'YearA-AppDetails Current Date'!E:E,--F109,
'YearA-AppDetails Current Date'!T:T,{"APEX","DENY","NTSL"},
'YearA-AppDetails Current Date'!I:I,"SPRING"))), "")</f>
        <v/>
      </c>
      <c r="M109" s="74" t="str" cm="1">
        <f t="array" ref="M109">IFERROR(1/(1/SUM(COUNTIFS(
'YearA-AppDetails Current Date'!A:A,D109,
'YearA-AppDetails Current Date'!F:F,E109,
'YearA-AppDetails Current Date'!E:E,--F109,
'YearA-AppDetails Current Date'!U:U,{"CCAN","DECL"},
'YearA-AppDetails Current Date'!I:I,"SPRING"))), "")</f>
        <v/>
      </c>
      <c r="N109" s="74" t="str" cm="1">
        <f t="array" ref="N109">IFERROR(1/(1/SUM(COUNTIFS(
'YearA-AppDetails Current Date'!A:A,D109,
'YearA-AppDetails Current Date'!F:F,E109,
'YearA-AppDetails Current Date'!E:E,--F109,
'YearA-AppDetails Current Date'!V:V,{"APRO","NODE"},
'YearA-AppDetails Current Date'!I:I,"SPRING"))), "")</f>
        <v/>
      </c>
      <c r="O109" s="74" t="str" cm="1">
        <f t="array" ref="O109">IFERROR(1/(1/SUM(COUNTIFS(
'YearA-AppDetails Current Date'!A:A,D109,
'YearA-AppDetails Current Date'!F:F,E109,
'YearA-AppDetails Current Date'!E:E,--F109,
'YearA-AppDetails Current Date'!T:T,{"CDMT","RQMT","WAIT"},
'YearA-AppDetails Current Date'!I:I,"SPRING"))), "")</f>
        <v/>
      </c>
      <c r="P109" s="74" t="str">
        <f>IFERROR(1/(1/COUNTIFS(
'YearA-AppDetails Current Date'!A:A,D109,
'YearA-AppDetails Current Date'!F:F,E109,
'YearA-AppDetails Current Date'!E:E,--F109,
'YearA-AppDetails Current Date'!Y:Y,"ENRO",
'YearA-AppDetails Current Date'!I:I,"SPRING")),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HC'!D:T,8,FALSE)),
N(VLOOKUP(D110&amp;F110,'Budgeted Projections Dom HC'!D:T,9,FALSE))
)
),"")</f>
        <v/>
      </c>
      <c r="I110" s="73" t="str">
        <f>IFERROR(1/(1/COUNTIFS(
'YearA-AppDetails Current Date'!A:A,D110,
'YearA-AppDetails Current Date'!F:F,E110,
'YearA-AppDetails Current Date'!E:E,--F110,
'YearA-AppDetails Current Date'!I:I,"SPRING")), "")</f>
        <v/>
      </c>
      <c r="J110" s="74" t="str" cm="1">
        <f t="array" ref="J110">IFERROR(1/(1/SUM(COUNTIFS(
'YearA-AppDetails Current Date'!A:A,D110,
'YearA-AppDetails Current Date'!F:F,E110,
'YearA-AppDetails Current Date'!E:E,--F110,
'YearA-AppDetails Current Date'!O:O,{"ACLN","ACPT","COND"},
'YearA-AppDetails Current Date'!S:S,"&lt;&gt;ACLN",
'YearA-AppDetails Current Date'!S:S,"&lt;&gt;ACPT",
'YearA-AppDetails Current Date'!S:S,"&lt;&gt;COND",
'YearA-AppDetails Current Date'!I:I,"SPRING"))), "")</f>
        <v/>
      </c>
      <c r="K110" s="73" t="str">
        <f>IFERROR(1/(1/SUM(COUNTIFS(
'YearA-AppDetails Current Date'!A:A,D110,
'YearA-AppDetails Current Date'!F:F,E110,
'YearA-AppDetails Current Date'!E:E,--F110,
'YearA-AppDetails Current Date'!R:R,"&lt;&gt;"&amp;"",
'YearA-AppDetails Current Date'!I:I,"SPRING"))), "")</f>
        <v/>
      </c>
      <c r="L110" s="74" t="str" cm="1">
        <f t="array" ref="L110">IFERROR(1/(1/SUM(COUNTIFS(
'YearA-AppDetails Current Date'!A:A,D110,
'YearA-AppDetails Current Date'!F:F,E110,
'YearA-AppDetails Current Date'!E:E,--F110,
'YearA-AppDetails Current Date'!T:T,{"APEX","DENY","NTSL"},
'YearA-AppDetails Current Date'!I:I,"SPRING"))), "")</f>
        <v/>
      </c>
      <c r="M110" s="74" t="str" cm="1">
        <f t="array" ref="M110">IFERROR(1/(1/SUM(COUNTIFS(
'YearA-AppDetails Current Date'!A:A,D110,
'YearA-AppDetails Current Date'!F:F,E110,
'YearA-AppDetails Current Date'!E:E,--F110,
'YearA-AppDetails Current Date'!U:U,{"CCAN","DECL"},
'YearA-AppDetails Current Date'!I:I,"SPRING"))), "")</f>
        <v/>
      </c>
      <c r="N110" s="74" t="str" cm="1">
        <f t="array" ref="N110">IFERROR(1/(1/SUM(COUNTIFS(
'YearA-AppDetails Current Date'!A:A,D110,
'YearA-AppDetails Current Date'!F:F,E110,
'YearA-AppDetails Current Date'!E:E,--F110,
'YearA-AppDetails Current Date'!V:V,{"APRO","NODE"},
'YearA-AppDetails Current Date'!I:I,"SPRING"))), "")</f>
        <v/>
      </c>
      <c r="O110" s="74" t="str" cm="1">
        <f t="array" ref="O110">IFERROR(1/(1/SUM(COUNTIFS(
'YearA-AppDetails Current Date'!A:A,D110,
'YearA-AppDetails Current Date'!F:F,E110,
'YearA-AppDetails Current Date'!E:E,--F110,
'YearA-AppDetails Current Date'!T:T,{"CDMT","RQMT","WAIT"},
'YearA-AppDetails Current Date'!I:I,"SPRING"))), "")</f>
        <v/>
      </c>
      <c r="P110" s="74" t="str">
        <f>IFERROR(1/(1/COUNTIFS(
'YearA-AppDetails Current Date'!A:A,D110,
'YearA-AppDetails Current Date'!F:F,E110,
'YearA-AppDetails Current Date'!E:E,--F110,
'YearA-AppDetails Current Date'!Y:Y,"ENRO",
'YearA-AppDetails Current Date'!I:I,"SPRING")),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HC'!D:T,8,FALSE)),
N(VLOOKUP(D111&amp;F111,'Budgeted Projections Intl HC'!D:T,9,FALSE))
)
),"")</f>
        <v/>
      </c>
      <c r="I111" s="73" t="str">
        <f>IFERROR(1/(1/COUNTIFS(
'YearA-AppDetails Current Date'!A:A,D111,
'YearA-AppDetails Current Date'!F:F,E111,
'YearA-AppDetails Current Date'!E:E,--F111,
'YearA-AppDetails Current Date'!I:I,"SPRING")), "")</f>
        <v/>
      </c>
      <c r="J111" s="74" t="str" cm="1">
        <f t="array" ref="J111">IFERROR(1/(1/SUM(COUNTIFS(
'YearA-AppDetails Current Date'!A:A,D111,
'YearA-AppDetails Current Date'!F:F,E111,
'YearA-AppDetails Current Date'!E:E,--F111,
'YearA-AppDetails Current Date'!O:O,{"ACLN","ACPT","COND"},
'YearA-AppDetails Current Date'!S:S,"&lt;&gt;ACLN",
'YearA-AppDetails Current Date'!S:S,"&lt;&gt;ACPT",
'YearA-AppDetails Current Date'!S:S,"&lt;&gt;COND",
'YearA-AppDetails Current Date'!I:I,"SPRING"))), "")</f>
        <v/>
      </c>
      <c r="K111" s="73" t="str">
        <f>IFERROR(1/(1/SUM(COUNTIFS(
'YearA-AppDetails Current Date'!A:A,D111,
'YearA-AppDetails Current Date'!F:F,E111,
'YearA-AppDetails Current Date'!E:E,--F111,
'YearA-AppDetails Current Date'!R:R,"&lt;&gt;"&amp;"",
'YearA-AppDetails Current Date'!I:I,"SPRING"))), "")</f>
        <v/>
      </c>
      <c r="L111" s="74" t="str" cm="1">
        <f t="array" ref="L111">IFERROR(1/(1/SUM(COUNTIFS(
'YearA-AppDetails Current Date'!A:A,D111,
'YearA-AppDetails Current Date'!F:F,E111,
'YearA-AppDetails Current Date'!E:E,--F111,
'YearA-AppDetails Current Date'!T:T,{"APEX","DENY","NTSL"},
'YearA-AppDetails Current Date'!I:I,"SPRING"))), "")</f>
        <v/>
      </c>
      <c r="M111" s="74" t="str" cm="1">
        <f t="array" ref="M111">IFERROR(1/(1/SUM(COUNTIFS(
'YearA-AppDetails Current Date'!A:A,D111,
'YearA-AppDetails Current Date'!F:F,E111,
'YearA-AppDetails Current Date'!E:E,--F111,
'YearA-AppDetails Current Date'!U:U,{"CCAN","DECL"},
'YearA-AppDetails Current Date'!I:I,"SPRING"))), "")</f>
        <v/>
      </c>
      <c r="N111" s="74" t="str" cm="1">
        <f t="array" ref="N111">IFERROR(1/(1/SUM(COUNTIFS(
'YearA-AppDetails Current Date'!A:A,D111,
'YearA-AppDetails Current Date'!F:F,E111,
'YearA-AppDetails Current Date'!E:E,--F111,
'YearA-AppDetails Current Date'!V:V,{"APRO","NODE"},
'YearA-AppDetails Current Date'!I:I,"SPRING"))), "")</f>
        <v/>
      </c>
      <c r="O111" s="74" t="str" cm="1">
        <f t="array" ref="O111">IFERROR(1/(1/SUM(COUNTIFS(
'YearA-AppDetails Current Date'!A:A,D111,
'YearA-AppDetails Current Date'!F:F,E111,
'YearA-AppDetails Current Date'!E:E,--F111,
'YearA-AppDetails Current Date'!T:T,{"CDMT","RQMT","WAIT"},
'YearA-AppDetails Current Date'!I:I,"SPRING"))), "")</f>
        <v/>
      </c>
      <c r="P111" s="74" t="str">
        <f>IFERROR(1/(1/COUNTIFS(
'YearA-AppDetails Current Date'!A:A,D111,
'YearA-AppDetails Current Date'!F:F,E111,
'YearA-AppDetails Current Date'!E:E,--F111,
'YearA-AppDetails Current Date'!Y:Y,"ENRO",
'YearA-AppDetails Current Date'!I:I,"SPRING")),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HC'!D:T,8,FALSE)),
N(VLOOKUP(D112&amp;F112,'Budgeted Projections Dom HC'!D:T,9,FALSE))
)
),"")</f>
        <v/>
      </c>
      <c r="I112" s="73" t="str">
        <f>IFERROR(1/(1/COUNTIFS(
'YearA-AppDetails Current Date'!A:A,D112,
'YearA-AppDetails Current Date'!F:F,E112,
'YearA-AppDetails Current Date'!E:E,--F112,
'YearA-AppDetails Current Date'!I:I,"SPRING")), "")</f>
        <v/>
      </c>
      <c r="J112" s="74" t="str" cm="1">
        <f t="array" ref="J112">IFERROR(1/(1/SUM(COUNTIFS(
'YearA-AppDetails Current Date'!A:A,D112,
'YearA-AppDetails Current Date'!F:F,E112,
'YearA-AppDetails Current Date'!E:E,--F112,
'YearA-AppDetails Current Date'!O:O,{"ACLN","ACPT","COND"},
'YearA-AppDetails Current Date'!S:S,"&lt;&gt;ACLN",
'YearA-AppDetails Current Date'!S:S,"&lt;&gt;ACPT",
'YearA-AppDetails Current Date'!S:S,"&lt;&gt;COND",
'YearA-AppDetails Current Date'!I:I,"SPRING"))), "")</f>
        <v/>
      </c>
      <c r="K112" s="73" t="str">
        <f>IFERROR(1/(1/SUM(COUNTIFS(
'YearA-AppDetails Current Date'!A:A,D112,
'YearA-AppDetails Current Date'!F:F,E112,
'YearA-AppDetails Current Date'!E:E,--F112,
'YearA-AppDetails Current Date'!R:R,"&lt;&gt;"&amp;"",
'YearA-AppDetails Current Date'!I:I,"SPRING"))), "")</f>
        <v/>
      </c>
      <c r="L112" s="74" t="str" cm="1">
        <f t="array" ref="L112">IFERROR(1/(1/SUM(COUNTIFS(
'YearA-AppDetails Current Date'!A:A,D112,
'YearA-AppDetails Current Date'!F:F,E112,
'YearA-AppDetails Current Date'!E:E,--F112,
'YearA-AppDetails Current Date'!T:T,{"APEX","DENY","NTSL"},
'YearA-AppDetails Current Date'!I:I,"SPRING"))), "")</f>
        <v/>
      </c>
      <c r="M112" s="74" t="str" cm="1">
        <f t="array" ref="M112">IFERROR(1/(1/SUM(COUNTIFS(
'YearA-AppDetails Current Date'!A:A,D112,
'YearA-AppDetails Current Date'!F:F,E112,
'YearA-AppDetails Current Date'!E:E,--F112,
'YearA-AppDetails Current Date'!U:U,{"CCAN","DECL"},
'YearA-AppDetails Current Date'!I:I,"SPRING"))), "")</f>
        <v/>
      </c>
      <c r="N112" s="74" t="str" cm="1">
        <f t="array" ref="N112">IFERROR(1/(1/SUM(COUNTIFS(
'YearA-AppDetails Current Date'!A:A,D112,
'YearA-AppDetails Current Date'!F:F,E112,
'YearA-AppDetails Current Date'!E:E,--F112,
'YearA-AppDetails Current Date'!V:V,{"APRO","NODE"},
'YearA-AppDetails Current Date'!I:I,"SPRING"))), "")</f>
        <v/>
      </c>
      <c r="O112" s="74" t="str" cm="1">
        <f t="array" ref="O112">IFERROR(1/(1/SUM(COUNTIFS(
'YearA-AppDetails Current Date'!A:A,D112,
'YearA-AppDetails Current Date'!F:F,E112,
'YearA-AppDetails Current Date'!E:E,--F112,
'YearA-AppDetails Current Date'!T:T,{"CDMT","RQMT","WAIT"},
'YearA-AppDetails Current Date'!I:I,"SPRING"))), "")</f>
        <v/>
      </c>
      <c r="P112" s="74" t="str">
        <f>IFERROR(1/(1/COUNTIFS(
'YearA-AppDetails Current Date'!A:A,D112,
'YearA-AppDetails Current Date'!F:F,E112,
'YearA-AppDetails Current Date'!E:E,--F112,
'YearA-AppDetails Current Date'!Y:Y,"ENRO",
'YearA-AppDetails Current Date'!I:I,"SPRING")),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HC'!D:T,8,FALSE)),
N(VLOOKUP(D113&amp;F113,'Budgeted Projections Intl HC'!D:T,9,FALSE))
)
),"")</f>
        <v/>
      </c>
      <c r="I113" s="73" t="str">
        <f>IFERROR(1/(1/COUNTIFS(
'YearA-AppDetails Current Date'!A:A,D113,
'YearA-AppDetails Current Date'!F:F,E113,
'YearA-AppDetails Current Date'!E:E,--F113,
'YearA-AppDetails Current Date'!I:I,"SPRING")), "")</f>
        <v/>
      </c>
      <c r="J113" s="74" t="str" cm="1">
        <f t="array" ref="J113">IFERROR(1/(1/SUM(COUNTIFS(
'YearA-AppDetails Current Date'!A:A,D113,
'YearA-AppDetails Current Date'!F:F,E113,
'YearA-AppDetails Current Date'!E:E,--F113,
'YearA-AppDetails Current Date'!O:O,{"ACLN","ACPT","COND"},
'YearA-AppDetails Current Date'!S:S,"&lt;&gt;ACLN",
'YearA-AppDetails Current Date'!S:S,"&lt;&gt;ACPT",
'YearA-AppDetails Current Date'!S:S,"&lt;&gt;COND",
'YearA-AppDetails Current Date'!I:I,"SPRING"))), "")</f>
        <v/>
      </c>
      <c r="K113" s="73" t="str">
        <f>IFERROR(1/(1/SUM(COUNTIFS(
'YearA-AppDetails Current Date'!A:A,D113,
'YearA-AppDetails Current Date'!F:F,E113,
'YearA-AppDetails Current Date'!E:E,--F113,
'YearA-AppDetails Current Date'!R:R,"&lt;&gt;"&amp;"",
'YearA-AppDetails Current Date'!I:I,"SPRING"))), "")</f>
        <v/>
      </c>
      <c r="L113" s="74" t="str" cm="1">
        <f t="array" ref="L113">IFERROR(1/(1/SUM(COUNTIFS(
'YearA-AppDetails Current Date'!A:A,D113,
'YearA-AppDetails Current Date'!F:F,E113,
'YearA-AppDetails Current Date'!E:E,--F113,
'YearA-AppDetails Current Date'!T:T,{"APEX","DENY","NTSL"},
'YearA-AppDetails Current Date'!I:I,"SPRING"))), "")</f>
        <v/>
      </c>
      <c r="M113" s="74" t="str" cm="1">
        <f t="array" ref="M113">IFERROR(1/(1/SUM(COUNTIFS(
'YearA-AppDetails Current Date'!A:A,D113,
'YearA-AppDetails Current Date'!F:F,E113,
'YearA-AppDetails Current Date'!E:E,--F113,
'YearA-AppDetails Current Date'!U:U,{"CCAN","DECL"},
'YearA-AppDetails Current Date'!I:I,"SPRING"))), "")</f>
        <v/>
      </c>
      <c r="N113" s="74" t="str" cm="1">
        <f t="array" ref="N113">IFERROR(1/(1/SUM(COUNTIFS(
'YearA-AppDetails Current Date'!A:A,D113,
'YearA-AppDetails Current Date'!F:F,E113,
'YearA-AppDetails Current Date'!E:E,--F113,
'YearA-AppDetails Current Date'!V:V,{"APRO","NODE"},
'YearA-AppDetails Current Date'!I:I,"SPRING"))), "")</f>
        <v/>
      </c>
      <c r="O113" s="74" t="str" cm="1">
        <f t="array" ref="O113">IFERROR(1/(1/SUM(COUNTIFS(
'YearA-AppDetails Current Date'!A:A,D113,
'YearA-AppDetails Current Date'!F:F,E113,
'YearA-AppDetails Current Date'!E:E,--F113,
'YearA-AppDetails Current Date'!T:T,{"CDMT","RQMT","WAIT"},
'YearA-AppDetails Current Date'!I:I,"SPRING"))), "")</f>
        <v/>
      </c>
      <c r="P113" s="74" t="str">
        <f>IFERROR(1/(1/COUNTIFS(
'YearA-AppDetails Current Date'!A:A,D113,
'YearA-AppDetails Current Date'!F:F,E113,
'YearA-AppDetails Current Date'!E:E,--F113,
'YearA-AppDetails Current Date'!Y:Y,"ENRO",
'YearA-AppDetails Current Date'!I:I,"SPRING")),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HC'!D:T,8,FALSE)),
N(VLOOKUP(D114&amp;F114,'Budgeted Projections Dom HC'!D:T,9,FALSE))
)
),"")</f>
        <v/>
      </c>
      <c r="I114" s="73" t="str">
        <f>IFERROR(1/(1/COUNTIFS(
'YearA-AppDetails Current Date'!A:A,D114,
'YearA-AppDetails Current Date'!F:F,E114,
'YearA-AppDetails Current Date'!E:E,--F114,
'YearA-AppDetails Current Date'!I:I,"SPRING")), "")</f>
        <v/>
      </c>
      <c r="J114" s="74" t="str" cm="1">
        <f t="array" ref="J114">IFERROR(1/(1/SUM(COUNTIFS(
'YearA-AppDetails Current Date'!A:A,D114,
'YearA-AppDetails Current Date'!F:F,E114,
'YearA-AppDetails Current Date'!E:E,--F114,
'YearA-AppDetails Current Date'!O:O,{"ACLN","ACPT","COND"},
'YearA-AppDetails Current Date'!S:S,"&lt;&gt;ACLN",
'YearA-AppDetails Current Date'!S:S,"&lt;&gt;ACPT",
'YearA-AppDetails Current Date'!S:S,"&lt;&gt;COND",
'YearA-AppDetails Current Date'!I:I,"SPRING"))), "")</f>
        <v/>
      </c>
      <c r="K114" s="73" t="str">
        <f>IFERROR(1/(1/SUM(COUNTIFS(
'YearA-AppDetails Current Date'!A:A,D114,
'YearA-AppDetails Current Date'!F:F,E114,
'YearA-AppDetails Current Date'!E:E,--F114,
'YearA-AppDetails Current Date'!R:R,"&lt;&gt;"&amp;"",
'YearA-AppDetails Current Date'!I:I,"SPRING"))), "")</f>
        <v/>
      </c>
      <c r="L114" s="74" t="str" cm="1">
        <f t="array" ref="L114">IFERROR(1/(1/SUM(COUNTIFS(
'YearA-AppDetails Current Date'!A:A,D114,
'YearA-AppDetails Current Date'!F:F,E114,
'YearA-AppDetails Current Date'!E:E,--F114,
'YearA-AppDetails Current Date'!T:T,{"APEX","DENY","NTSL"},
'YearA-AppDetails Current Date'!I:I,"SPRING"))), "")</f>
        <v/>
      </c>
      <c r="M114" s="74" t="str" cm="1">
        <f t="array" ref="M114">IFERROR(1/(1/SUM(COUNTIFS(
'YearA-AppDetails Current Date'!A:A,D114,
'YearA-AppDetails Current Date'!F:F,E114,
'YearA-AppDetails Current Date'!E:E,--F114,
'YearA-AppDetails Current Date'!U:U,{"CCAN","DECL"},
'YearA-AppDetails Current Date'!I:I,"SPRING"))), "")</f>
        <v/>
      </c>
      <c r="N114" s="74" t="str" cm="1">
        <f t="array" ref="N114">IFERROR(1/(1/SUM(COUNTIFS(
'YearA-AppDetails Current Date'!A:A,D114,
'YearA-AppDetails Current Date'!F:F,E114,
'YearA-AppDetails Current Date'!E:E,--F114,
'YearA-AppDetails Current Date'!V:V,{"APRO","NODE"},
'YearA-AppDetails Current Date'!I:I,"SPRING"))), "")</f>
        <v/>
      </c>
      <c r="O114" s="74" t="str" cm="1">
        <f t="array" ref="O114">IFERROR(1/(1/SUM(COUNTIFS(
'YearA-AppDetails Current Date'!A:A,D114,
'YearA-AppDetails Current Date'!F:F,E114,
'YearA-AppDetails Current Date'!E:E,--F114,
'YearA-AppDetails Current Date'!T:T,{"CDMT","RQMT","WAIT"},
'YearA-AppDetails Current Date'!I:I,"SPRING"))), "")</f>
        <v/>
      </c>
      <c r="P114" s="74" t="str">
        <f>IFERROR(1/(1/COUNTIFS(
'YearA-AppDetails Current Date'!A:A,D114,
'YearA-AppDetails Current Date'!F:F,E114,
'YearA-AppDetails Current Date'!E:E,--F114,
'YearA-AppDetails Current Date'!Y:Y,"ENRO",
'YearA-AppDetails Current Date'!I:I,"SPRING")),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HC'!D:T,8,FALSE)),
N(VLOOKUP(D115&amp;F115,'Budgeted Projections Intl HC'!D:T,9,FALSE))
)
),"")</f>
        <v/>
      </c>
      <c r="I115" s="73" t="str">
        <f>IFERROR(1/(1/COUNTIFS(
'YearA-AppDetails Current Date'!A:A,D115,
'YearA-AppDetails Current Date'!F:F,E115,
'YearA-AppDetails Current Date'!E:E,--F115,
'YearA-AppDetails Current Date'!I:I,"SPRING")), "")</f>
        <v/>
      </c>
      <c r="J115" s="74" t="str" cm="1">
        <f t="array" ref="J115">IFERROR(1/(1/SUM(COUNTIFS(
'YearA-AppDetails Current Date'!A:A,D115,
'YearA-AppDetails Current Date'!F:F,E115,
'YearA-AppDetails Current Date'!E:E,--F115,
'YearA-AppDetails Current Date'!O:O,{"ACLN","ACPT","COND"},
'YearA-AppDetails Current Date'!S:S,"&lt;&gt;ACLN",
'YearA-AppDetails Current Date'!S:S,"&lt;&gt;ACPT",
'YearA-AppDetails Current Date'!S:S,"&lt;&gt;COND",
'YearA-AppDetails Current Date'!I:I,"SPRING"))), "")</f>
        <v/>
      </c>
      <c r="K115" s="73" t="str">
        <f>IFERROR(1/(1/SUM(COUNTIFS(
'YearA-AppDetails Current Date'!A:A,D115,
'YearA-AppDetails Current Date'!F:F,E115,
'YearA-AppDetails Current Date'!E:E,--F115,
'YearA-AppDetails Current Date'!R:R,"&lt;&gt;"&amp;"",
'YearA-AppDetails Current Date'!I:I,"SPRING"))), "")</f>
        <v/>
      </c>
      <c r="L115" s="74" t="str" cm="1">
        <f t="array" ref="L115">IFERROR(1/(1/SUM(COUNTIFS(
'YearA-AppDetails Current Date'!A:A,D115,
'YearA-AppDetails Current Date'!F:F,E115,
'YearA-AppDetails Current Date'!E:E,--F115,
'YearA-AppDetails Current Date'!T:T,{"APEX","DENY","NTSL"},
'YearA-AppDetails Current Date'!I:I,"SPRING"))), "")</f>
        <v/>
      </c>
      <c r="M115" s="74" t="str" cm="1">
        <f t="array" ref="M115">IFERROR(1/(1/SUM(COUNTIFS(
'YearA-AppDetails Current Date'!A:A,D115,
'YearA-AppDetails Current Date'!F:F,E115,
'YearA-AppDetails Current Date'!E:E,--F115,
'YearA-AppDetails Current Date'!U:U,{"CCAN","DECL"},
'YearA-AppDetails Current Date'!I:I,"SPRING"))), "")</f>
        <v/>
      </c>
      <c r="N115" s="74" t="str" cm="1">
        <f t="array" ref="N115">IFERROR(1/(1/SUM(COUNTIFS(
'YearA-AppDetails Current Date'!A:A,D115,
'YearA-AppDetails Current Date'!F:F,E115,
'YearA-AppDetails Current Date'!E:E,--F115,
'YearA-AppDetails Current Date'!V:V,{"APRO","NODE"},
'YearA-AppDetails Current Date'!I:I,"SPRING"))), "")</f>
        <v/>
      </c>
      <c r="O115" s="74" t="str" cm="1">
        <f t="array" ref="O115">IFERROR(1/(1/SUM(COUNTIFS(
'YearA-AppDetails Current Date'!A:A,D115,
'YearA-AppDetails Current Date'!F:F,E115,
'YearA-AppDetails Current Date'!E:E,--F115,
'YearA-AppDetails Current Date'!T:T,{"CDMT","RQMT","WAIT"},
'YearA-AppDetails Current Date'!I:I,"SPRING"))), "")</f>
        <v/>
      </c>
      <c r="P115" s="74" t="str">
        <f>IFERROR(1/(1/COUNTIFS(
'YearA-AppDetails Current Date'!A:A,D115,
'YearA-AppDetails Current Date'!F:F,E115,
'YearA-AppDetails Current Date'!E:E,--F115,
'YearA-AppDetails Current Date'!Y:Y,"ENRO",
'YearA-AppDetails Current Date'!I:I,"SPRING")),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HC'!D:T,8,FALSE)),
N(VLOOKUP(D116&amp;F116,'Budgeted Projections Dom HC'!D:T,9,FALSE))
)
),"")</f>
        <v/>
      </c>
      <c r="I116" s="73" t="str">
        <f>IFERROR(1/(1/COUNTIFS(
'YearA-AppDetails Current Date'!A:A,D116,
'YearA-AppDetails Current Date'!F:F,E116,
'YearA-AppDetails Current Date'!E:E,--F116,
'YearA-AppDetails Current Date'!I:I,"SPRING")), "")</f>
        <v/>
      </c>
      <c r="J116" s="74" t="str" cm="1">
        <f t="array" ref="J116">IFERROR(1/(1/SUM(COUNTIFS(
'YearA-AppDetails Current Date'!A:A,D116,
'YearA-AppDetails Current Date'!F:F,E116,
'YearA-AppDetails Current Date'!E:E,--F116,
'YearA-AppDetails Current Date'!O:O,{"ACLN","ACPT","COND"},
'YearA-AppDetails Current Date'!S:S,"&lt;&gt;ACLN",
'YearA-AppDetails Current Date'!S:S,"&lt;&gt;ACPT",
'YearA-AppDetails Current Date'!S:S,"&lt;&gt;COND",
'YearA-AppDetails Current Date'!I:I,"SPRING"))), "")</f>
        <v/>
      </c>
      <c r="K116" s="73" t="str">
        <f>IFERROR(1/(1/SUM(COUNTIFS(
'YearA-AppDetails Current Date'!A:A,D116,
'YearA-AppDetails Current Date'!F:F,E116,
'YearA-AppDetails Current Date'!E:E,--F116,
'YearA-AppDetails Current Date'!R:R,"&lt;&gt;"&amp;"",
'YearA-AppDetails Current Date'!I:I,"SPRING"))), "")</f>
        <v/>
      </c>
      <c r="L116" s="74" t="str" cm="1">
        <f t="array" ref="L116">IFERROR(1/(1/SUM(COUNTIFS(
'YearA-AppDetails Current Date'!A:A,D116,
'YearA-AppDetails Current Date'!F:F,E116,
'YearA-AppDetails Current Date'!E:E,--F116,
'YearA-AppDetails Current Date'!T:T,{"APEX","DENY","NTSL"},
'YearA-AppDetails Current Date'!I:I,"SPRING"))), "")</f>
        <v/>
      </c>
      <c r="M116" s="74" t="str" cm="1">
        <f t="array" ref="M116">IFERROR(1/(1/SUM(COUNTIFS(
'YearA-AppDetails Current Date'!A:A,D116,
'YearA-AppDetails Current Date'!F:F,E116,
'YearA-AppDetails Current Date'!E:E,--F116,
'YearA-AppDetails Current Date'!U:U,{"CCAN","DECL"},
'YearA-AppDetails Current Date'!I:I,"SPRING"))), "")</f>
        <v/>
      </c>
      <c r="N116" s="74" t="str" cm="1">
        <f t="array" ref="N116">IFERROR(1/(1/SUM(COUNTIFS(
'YearA-AppDetails Current Date'!A:A,D116,
'YearA-AppDetails Current Date'!F:F,E116,
'YearA-AppDetails Current Date'!E:E,--F116,
'YearA-AppDetails Current Date'!V:V,{"APRO","NODE"},
'YearA-AppDetails Current Date'!I:I,"SPRING"))), "")</f>
        <v/>
      </c>
      <c r="O116" s="74" t="str" cm="1">
        <f t="array" ref="O116">IFERROR(1/(1/SUM(COUNTIFS(
'YearA-AppDetails Current Date'!A:A,D116,
'YearA-AppDetails Current Date'!F:F,E116,
'YearA-AppDetails Current Date'!E:E,--F116,
'YearA-AppDetails Current Date'!T:T,{"CDMT","RQMT","WAIT"},
'YearA-AppDetails Current Date'!I:I,"SPRING"))), "")</f>
        <v/>
      </c>
      <c r="P116" s="74" t="str">
        <f>IFERROR(1/(1/COUNTIFS(
'YearA-AppDetails Current Date'!A:A,D116,
'YearA-AppDetails Current Date'!F:F,E116,
'YearA-AppDetails Current Date'!E:E,--F116,
'YearA-AppDetails Current Date'!Y:Y,"ENRO",
'YearA-AppDetails Current Date'!I:I,"SPRING")),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HC'!D:T,8,FALSE)),
N(VLOOKUP(D117&amp;F117,'Budgeted Projections Intl HC'!D:T,9,FALSE))
)
),"")</f>
        <v/>
      </c>
      <c r="I117" s="73" t="str">
        <f>IFERROR(1/(1/COUNTIFS(
'YearA-AppDetails Current Date'!A:A,D117,
'YearA-AppDetails Current Date'!F:F,E117,
'YearA-AppDetails Current Date'!E:E,--F117,
'YearA-AppDetails Current Date'!I:I,"SPRING")), "")</f>
        <v/>
      </c>
      <c r="J117" s="74" t="str" cm="1">
        <f t="array" ref="J117">IFERROR(1/(1/SUM(COUNTIFS(
'YearA-AppDetails Current Date'!A:A,D117,
'YearA-AppDetails Current Date'!F:F,E117,
'YearA-AppDetails Current Date'!E:E,--F117,
'YearA-AppDetails Current Date'!O:O,{"ACLN","ACPT","COND"},
'YearA-AppDetails Current Date'!S:S,"&lt;&gt;ACLN",
'YearA-AppDetails Current Date'!S:S,"&lt;&gt;ACPT",
'YearA-AppDetails Current Date'!S:S,"&lt;&gt;COND",
'YearA-AppDetails Current Date'!I:I,"SPRING"))), "")</f>
        <v/>
      </c>
      <c r="K117" s="73" t="str">
        <f>IFERROR(1/(1/SUM(COUNTIFS(
'YearA-AppDetails Current Date'!A:A,D117,
'YearA-AppDetails Current Date'!F:F,E117,
'YearA-AppDetails Current Date'!E:E,--F117,
'YearA-AppDetails Current Date'!R:R,"&lt;&gt;"&amp;"",
'YearA-AppDetails Current Date'!I:I,"SPRING"))), "")</f>
        <v/>
      </c>
      <c r="L117" s="74" t="str" cm="1">
        <f t="array" ref="L117">IFERROR(1/(1/SUM(COUNTIFS(
'YearA-AppDetails Current Date'!A:A,D117,
'YearA-AppDetails Current Date'!F:F,E117,
'YearA-AppDetails Current Date'!E:E,--F117,
'YearA-AppDetails Current Date'!T:T,{"APEX","DENY","NTSL"},
'YearA-AppDetails Current Date'!I:I,"SPRING"))), "")</f>
        <v/>
      </c>
      <c r="M117" s="74" t="str" cm="1">
        <f t="array" ref="M117">IFERROR(1/(1/SUM(COUNTIFS(
'YearA-AppDetails Current Date'!A:A,D117,
'YearA-AppDetails Current Date'!F:F,E117,
'YearA-AppDetails Current Date'!E:E,--F117,
'YearA-AppDetails Current Date'!U:U,{"CCAN","DECL"},
'YearA-AppDetails Current Date'!I:I,"SPRING"))), "")</f>
        <v/>
      </c>
      <c r="N117" s="74" t="str" cm="1">
        <f t="array" ref="N117">IFERROR(1/(1/SUM(COUNTIFS(
'YearA-AppDetails Current Date'!A:A,D117,
'YearA-AppDetails Current Date'!F:F,E117,
'YearA-AppDetails Current Date'!E:E,--F117,
'YearA-AppDetails Current Date'!V:V,{"APRO","NODE"},
'YearA-AppDetails Current Date'!I:I,"SPRING"))), "")</f>
        <v/>
      </c>
      <c r="O117" s="74" t="str" cm="1">
        <f t="array" ref="O117">IFERROR(1/(1/SUM(COUNTIFS(
'YearA-AppDetails Current Date'!A:A,D117,
'YearA-AppDetails Current Date'!F:F,E117,
'YearA-AppDetails Current Date'!E:E,--F117,
'YearA-AppDetails Current Date'!T:T,{"CDMT","RQMT","WAIT"},
'YearA-AppDetails Current Date'!I:I,"SPRING"))), "")</f>
        <v/>
      </c>
      <c r="P117" s="74" t="str">
        <f>IFERROR(1/(1/COUNTIFS(
'YearA-AppDetails Current Date'!A:A,D117,
'YearA-AppDetails Current Date'!F:F,E117,
'YearA-AppDetails Current Date'!E:E,--F117,
'YearA-AppDetails Current Date'!Y:Y,"ENRO",
'YearA-AppDetails Current Date'!I:I,"SPRING")),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HC'!D:T,8,FALSE)),
N(VLOOKUP(D118&amp;F118,'Budgeted Projections Dom HC'!D:T,9,FALSE))
)
),"")</f>
        <v/>
      </c>
      <c r="I118" s="73" t="str">
        <f>IFERROR(1/(1/COUNTIFS(
'YearA-AppDetails Current Date'!A:A,D118,
'YearA-AppDetails Current Date'!F:F,E118,
'YearA-AppDetails Current Date'!E:E,--F118,
'YearA-AppDetails Current Date'!I:I,"SPRING")), "")</f>
        <v/>
      </c>
      <c r="J118" s="74" t="str" cm="1">
        <f t="array" ref="J118">IFERROR(1/(1/SUM(COUNTIFS(
'YearA-AppDetails Current Date'!A:A,D118,
'YearA-AppDetails Current Date'!F:F,E118,
'YearA-AppDetails Current Date'!E:E,--F118,
'YearA-AppDetails Current Date'!O:O,{"ACLN","ACPT","COND"},
'YearA-AppDetails Current Date'!S:S,"&lt;&gt;ACLN",
'YearA-AppDetails Current Date'!S:S,"&lt;&gt;ACPT",
'YearA-AppDetails Current Date'!S:S,"&lt;&gt;COND",
'YearA-AppDetails Current Date'!I:I,"SPRING"))), "")</f>
        <v/>
      </c>
      <c r="K118" s="73" t="str">
        <f>IFERROR(1/(1/SUM(COUNTIFS(
'YearA-AppDetails Current Date'!A:A,D118,
'YearA-AppDetails Current Date'!F:F,E118,
'YearA-AppDetails Current Date'!E:E,--F118,
'YearA-AppDetails Current Date'!R:R,"&lt;&gt;"&amp;"",
'YearA-AppDetails Current Date'!I:I,"SPRING"))), "")</f>
        <v/>
      </c>
      <c r="L118" s="74" t="str" cm="1">
        <f t="array" ref="L118">IFERROR(1/(1/SUM(COUNTIFS(
'YearA-AppDetails Current Date'!A:A,D118,
'YearA-AppDetails Current Date'!F:F,E118,
'YearA-AppDetails Current Date'!E:E,--F118,
'YearA-AppDetails Current Date'!T:T,{"APEX","DENY","NTSL"},
'YearA-AppDetails Current Date'!I:I,"SPRING"))), "")</f>
        <v/>
      </c>
      <c r="M118" s="74" t="str" cm="1">
        <f t="array" ref="M118">IFERROR(1/(1/SUM(COUNTIFS(
'YearA-AppDetails Current Date'!A:A,D118,
'YearA-AppDetails Current Date'!F:F,E118,
'YearA-AppDetails Current Date'!E:E,--F118,
'YearA-AppDetails Current Date'!U:U,{"CCAN","DECL"},
'YearA-AppDetails Current Date'!I:I,"SPRING"))), "")</f>
        <v/>
      </c>
      <c r="N118" s="74" t="str" cm="1">
        <f t="array" ref="N118">IFERROR(1/(1/SUM(COUNTIFS(
'YearA-AppDetails Current Date'!A:A,D118,
'YearA-AppDetails Current Date'!F:F,E118,
'YearA-AppDetails Current Date'!E:E,--F118,
'YearA-AppDetails Current Date'!V:V,{"APRO","NODE"},
'YearA-AppDetails Current Date'!I:I,"SPRING"))), "")</f>
        <v/>
      </c>
      <c r="O118" s="74" t="str" cm="1">
        <f t="array" ref="O118">IFERROR(1/(1/SUM(COUNTIFS(
'YearA-AppDetails Current Date'!A:A,D118,
'YearA-AppDetails Current Date'!F:F,E118,
'YearA-AppDetails Current Date'!E:E,--F118,
'YearA-AppDetails Current Date'!T:T,{"CDMT","RQMT","WAIT"},
'YearA-AppDetails Current Date'!I:I,"SPRING"))), "")</f>
        <v/>
      </c>
      <c r="P118" s="74" t="str">
        <f>IFERROR(1/(1/COUNTIFS(
'YearA-AppDetails Current Date'!A:A,D118,
'YearA-AppDetails Current Date'!F:F,E118,
'YearA-AppDetails Current Date'!E:E,--F118,
'YearA-AppDetails Current Date'!Y:Y,"ENRO",
'YearA-AppDetails Current Date'!I:I,"SPRING")),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HC'!D:T,8,FALSE)),
N(VLOOKUP(D119&amp;F119,'Budgeted Projections Intl HC'!D:T,9,FALSE))
)
),"")</f>
        <v/>
      </c>
      <c r="I119" s="73" t="str">
        <f>IFERROR(1/(1/COUNTIFS(
'YearA-AppDetails Current Date'!A:A,D119,
'YearA-AppDetails Current Date'!F:F,E119,
'YearA-AppDetails Current Date'!E:E,--F119,
'YearA-AppDetails Current Date'!I:I,"SPRING")), "")</f>
        <v/>
      </c>
      <c r="J119" s="74" t="str" cm="1">
        <f t="array" ref="J119">IFERROR(1/(1/SUM(COUNTIFS(
'YearA-AppDetails Current Date'!A:A,D119,
'YearA-AppDetails Current Date'!F:F,E119,
'YearA-AppDetails Current Date'!E:E,--F119,
'YearA-AppDetails Current Date'!O:O,{"ACLN","ACPT","COND"},
'YearA-AppDetails Current Date'!S:S,"&lt;&gt;ACLN",
'YearA-AppDetails Current Date'!S:S,"&lt;&gt;ACPT",
'YearA-AppDetails Current Date'!S:S,"&lt;&gt;COND",
'YearA-AppDetails Current Date'!I:I,"SPRING"))), "")</f>
        <v/>
      </c>
      <c r="K119" s="73" t="str">
        <f>IFERROR(1/(1/SUM(COUNTIFS(
'YearA-AppDetails Current Date'!A:A,D119,
'YearA-AppDetails Current Date'!F:F,E119,
'YearA-AppDetails Current Date'!E:E,--F119,
'YearA-AppDetails Current Date'!R:R,"&lt;&gt;"&amp;"",
'YearA-AppDetails Current Date'!I:I,"SPRING"))), "")</f>
        <v/>
      </c>
      <c r="L119" s="74" t="str" cm="1">
        <f t="array" ref="L119">IFERROR(1/(1/SUM(COUNTIFS(
'YearA-AppDetails Current Date'!A:A,D119,
'YearA-AppDetails Current Date'!F:F,E119,
'YearA-AppDetails Current Date'!E:E,--F119,
'YearA-AppDetails Current Date'!T:T,{"APEX","DENY","NTSL"},
'YearA-AppDetails Current Date'!I:I,"SPRING"))), "")</f>
        <v/>
      </c>
      <c r="M119" s="74" t="str" cm="1">
        <f t="array" ref="M119">IFERROR(1/(1/SUM(COUNTIFS(
'YearA-AppDetails Current Date'!A:A,D119,
'YearA-AppDetails Current Date'!F:F,E119,
'YearA-AppDetails Current Date'!E:E,--F119,
'YearA-AppDetails Current Date'!U:U,{"CCAN","DECL"},
'YearA-AppDetails Current Date'!I:I,"SPRING"))), "")</f>
        <v/>
      </c>
      <c r="N119" s="74" t="str" cm="1">
        <f t="array" ref="N119">IFERROR(1/(1/SUM(COUNTIFS(
'YearA-AppDetails Current Date'!A:A,D119,
'YearA-AppDetails Current Date'!F:F,E119,
'YearA-AppDetails Current Date'!E:E,--F119,
'YearA-AppDetails Current Date'!V:V,{"APRO","NODE"},
'YearA-AppDetails Current Date'!I:I,"SPRING"))), "")</f>
        <v/>
      </c>
      <c r="O119" s="74" t="str" cm="1">
        <f t="array" ref="O119">IFERROR(1/(1/SUM(COUNTIFS(
'YearA-AppDetails Current Date'!A:A,D119,
'YearA-AppDetails Current Date'!F:F,E119,
'YearA-AppDetails Current Date'!E:E,--F119,
'YearA-AppDetails Current Date'!T:T,{"CDMT","RQMT","WAIT"},
'YearA-AppDetails Current Date'!I:I,"SPRING"))), "")</f>
        <v/>
      </c>
      <c r="P119" s="74" t="str">
        <f>IFERROR(1/(1/COUNTIFS(
'YearA-AppDetails Current Date'!A:A,D119,
'YearA-AppDetails Current Date'!F:F,E119,
'YearA-AppDetails Current Date'!E:E,--F119,
'YearA-AppDetails Current Date'!Y:Y,"ENRO",
'YearA-AppDetails Current Date'!I:I,"SPRING")),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HC'!D:T,8,FALSE)),
N(VLOOKUP(D120&amp;F120,'Budgeted Projections Dom HC'!D:T,9,FALSE))
)
),"")</f>
        <v/>
      </c>
      <c r="I120" s="73" t="str">
        <f>IFERROR(1/(1/COUNTIFS(
'YearA-AppDetails Current Date'!A:A,D120,
'YearA-AppDetails Current Date'!F:F,E120,
'YearA-AppDetails Current Date'!E:E,--F120,
'YearA-AppDetails Current Date'!I:I,"SPRING")), "")</f>
        <v/>
      </c>
      <c r="J120" s="74" t="str" cm="1">
        <f t="array" ref="J120">IFERROR(1/(1/SUM(COUNTIFS(
'YearA-AppDetails Current Date'!A:A,D120,
'YearA-AppDetails Current Date'!F:F,E120,
'YearA-AppDetails Current Date'!E:E,--F120,
'YearA-AppDetails Current Date'!O:O,{"ACLN","ACPT","COND"},
'YearA-AppDetails Current Date'!S:S,"&lt;&gt;ACLN",
'YearA-AppDetails Current Date'!S:S,"&lt;&gt;ACPT",
'YearA-AppDetails Current Date'!S:S,"&lt;&gt;COND",
'YearA-AppDetails Current Date'!I:I,"SPRING"))), "")</f>
        <v/>
      </c>
      <c r="K120" s="73" t="str">
        <f>IFERROR(1/(1/SUM(COUNTIFS(
'YearA-AppDetails Current Date'!A:A,D120,
'YearA-AppDetails Current Date'!F:F,E120,
'YearA-AppDetails Current Date'!E:E,--F120,
'YearA-AppDetails Current Date'!R:R,"&lt;&gt;"&amp;"",
'YearA-AppDetails Current Date'!I:I,"SPRING"))), "")</f>
        <v/>
      </c>
      <c r="L120" s="74" t="str" cm="1">
        <f t="array" ref="L120">IFERROR(1/(1/SUM(COUNTIFS(
'YearA-AppDetails Current Date'!A:A,D120,
'YearA-AppDetails Current Date'!F:F,E120,
'YearA-AppDetails Current Date'!E:E,--F120,
'YearA-AppDetails Current Date'!T:T,{"APEX","DENY","NTSL"},
'YearA-AppDetails Current Date'!I:I,"SPRING"))), "")</f>
        <v/>
      </c>
      <c r="M120" s="74" t="str" cm="1">
        <f t="array" ref="M120">IFERROR(1/(1/SUM(COUNTIFS(
'YearA-AppDetails Current Date'!A:A,D120,
'YearA-AppDetails Current Date'!F:F,E120,
'YearA-AppDetails Current Date'!E:E,--F120,
'YearA-AppDetails Current Date'!U:U,{"CCAN","DECL"},
'YearA-AppDetails Current Date'!I:I,"SPRING"))), "")</f>
        <v/>
      </c>
      <c r="N120" s="74" t="str" cm="1">
        <f t="array" ref="N120">IFERROR(1/(1/SUM(COUNTIFS(
'YearA-AppDetails Current Date'!A:A,D120,
'YearA-AppDetails Current Date'!F:F,E120,
'YearA-AppDetails Current Date'!E:E,--F120,
'YearA-AppDetails Current Date'!V:V,{"APRO","NODE"},
'YearA-AppDetails Current Date'!I:I,"SPRING"))), "")</f>
        <v/>
      </c>
      <c r="O120" s="74" t="str" cm="1">
        <f t="array" ref="O120">IFERROR(1/(1/SUM(COUNTIFS(
'YearA-AppDetails Current Date'!A:A,D120,
'YearA-AppDetails Current Date'!F:F,E120,
'YearA-AppDetails Current Date'!E:E,--F120,
'YearA-AppDetails Current Date'!T:T,{"CDMT","RQMT","WAIT"},
'YearA-AppDetails Current Date'!I:I,"SPRING"))), "")</f>
        <v/>
      </c>
      <c r="P120" s="74" t="str">
        <f>IFERROR(1/(1/COUNTIFS(
'YearA-AppDetails Current Date'!A:A,D120,
'YearA-AppDetails Current Date'!F:F,E120,
'YearA-AppDetails Current Date'!E:E,--F120,
'YearA-AppDetails Current Date'!Y:Y,"ENRO",
'YearA-AppDetails Current Date'!I:I,"SPRING")),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HC'!D:T,8,FALSE)),
N(VLOOKUP(D121&amp;F121,'Budgeted Projections Intl HC'!D:T,9,FALSE))
)
),"")</f>
        <v/>
      </c>
      <c r="I121" s="73" t="str">
        <f>IFERROR(1/(1/COUNTIFS(
'YearA-AppDetails Current Date'!A:A,D121,
'YearA-AppDetails Current Date'!F:F,E121,
'YearA-AppDetails Current Date'!E:E,--F121,
'YearA-AppDetails Current Date'!I:I,"SPRING")), "")</f>
        <v/>
      </c>
      <c r="J121" s="74" t="str" cm="1">
        <f t="array" ref="J121">IFERROR(1/(1/SUM(COUNTIFS(
'YearA-AppDetails Current Date'!A:A,D121,
'YearA-AppDetails Current Date'!F:F,E121,
'YearA-AppDetails Current Date'!E:E,--F121,
'YearA-AppDetails Current Date'!O:O,{"ACLN","ACPT","COND"},
'YearA-AppDetails Current Date'!S:S,"&lt;&gt;ACLN",
'YearA-AppDetails Current Date'!S:S,"&lt;&gt;ACPT",
'YearA-AppDetails Current Date'!S:S,"&lt;&gt;COND",
'YearA-AppDetails Current Date'!I:I,"SPRING"))), "")</f>
        <v/>
      </c>
      <c r="K121" s="73" t="str">
        <f>IFERROR(1/(1/SUM(COUNTIFS(
'YearA-AppDetails Current Date'!A:A,D121,
'YearA-AppDetails Current Date'!F:F,E121,
'YearA-AppDetails Current Date'!E:E,--F121,
'YearA-AppDetails Current Date'!R:R,"&lt;&gt;"&amp;"",
'YearA-AppDetails Current Date'!I:I,"SPRING"))), "")</f>
        <v/>
      </c>
      <c r="L121" s="74" t="str" cm="1">
        <f t="array" ref="L121">IFERROR(1/(1/SUM(COUNTIFS(
'YearA-AppDetails Current Date'!A:A,D121,
'YearA-AppDetails Current Date'!F:F,E121,
'YearA-AppDetails Current Date'!E:E,--F121,
'YearA-AppDetails Current Date'!T:T,{"APEX","DENY","NTSL"},
'YearA-AppDetails Current Date'!I:I,"SPRING"))), "")</f>
        <v/>
      </c>
      <c r="M121" s="74" t="str" cm="1">
        <f t="array" ref="M121">IFERROR(1/(1/SUM(COUNTIFS(
'YearA-AppDetails Current Date'!A:A,D121,
'YearA-AppDetails Current Date'!F:F,E121,
'YearA-AppDetails Current Date'!E:E,--F121,
'YearA-AppDetails Current Date'!U:U,{"CCAN","DECL"},
'YearA-AppDetails Current Date'!I:I,"SPRING"))), "")</f>
        <v/>
      </c>
      <c r="N121" s="74" t="str" cm="1">
        <f t="array" ref="N121">IFERROR(1/(1/SUM(COUNTIFS(
'YearA-AppDetails Current Date'!A:A,D121,
'YearA-AppDetails Current Date'!F:F,E121,
'YearA-AppDetails Current Date'!E:E,--F121,
'YearA-AppDetails Current Date'!V:V,{"APRO","NODE"},
'YearA-AppDetails Current Date'!I:I,"SPRING"))), "")</f>
        <v/>
      </c>
      <c r="O121" s="74" t="str" cm="1">
        <f t="array" ref="O121">IFERROR(1/(1/SUM(COUNTIFS(
'YearA-AppDetails Current Date'!A:A,D121,
'YearA-AppDetails Current Date'!F:F,E121,
'YearA-AppDetails Current Date'!E:E,--F121,
'YearA-AppDetails Current Date'!T:T,{"CDMT","RQMT","WAIT"},
'YearA-AppDetails Current Date'!I:I,"SPRING"))), "")</f>
        <v/>
      </c>
      <c r="P121" s="74" t="str">
        <f>IFERROR(1/(1/COUNTIFS(
'YearA-AppDetails Current Date'!A:A,D121,
'YearA-AppDetails Current Date'!F:F,E121,
'YearA-AppDetails Current Date'!E:E,--F121,
'YearA-AppDetails Current Date'!Y:Y,"ENRO",
'YearA-AppDetails Current Date'!I:I,"SPRING")),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HC'!D:T,8,FALSE)),
N(VLOOKUP(D122&amp;F122,'Budgeted Projections Dom HC'!D:T,9,FALSE))
)
),"")</f>
        <v/>
      </c>
      <c r="I122" s="73" t="str">
        <f>IFERROR(1/(1/COUNTIFS(
'YearA-AppDetails Current Date'!A:A,D122,
'YearA-AppDetails Current Date'!F:F,E122,
'YearA-AppDetails Current Date'!E:E,--F122,
'YearA-AppDetails Current Date'!I:I,"SPRING")), "")</f>
        <v/>
      </c>
      <c r="J122" s="74" t="str" cm="1">
        <f t="array" ref="J122">IFERROR(1/(1/SUM(COUNTIFS(
'YearA-AppDetails Current Date'!A:A,D122,
'YearA-AppDetails Current Date'!F:F,E122,
'YearA-AppDetails Current Date'!E:E,--F122,
'YearA-AppDetails Current Date'!O:O,{"ACLN","ACPT","COND"},
'YearA-AppDetails Current Date'!S:S,"&lt;&gt;ACLN",
'YearA-AppDetails Current Date'!S:S,"&lt;&gt;ACPT",
'YearA-AppDetails Current Date'!S:S,"&lt;&gt;COND",
'YearA-AppDetails Current Date'!I:I,"SPRING"))), "")</f>
        <v/>
      </c>
      <c r="K122" s="73" t="str">
        <f>IFERROR(1/(1/SUM(COUNTIFS(
'YearA-AppDetails Current Date'!A:A,D122,
'YearA-AppDetails Current Date'!F:F,E122,
'YearA-AppDetails Current Date'!E:E,--F122,
'YearA-AppDetails Current Date'!R:R,"&lt;&gt;"&amp;"",
'YearA-AppDetails Current Date'!I:I,"SPRING"))), "")</f>
        <v/>
      </c>
      <c r="L122" s="74" t="str" cm="1">
        <f t="array" ref="L122">IFERROR(1/(1/SUM(COUNTIFS(
'YearA-AppDetails Current Date'!A:A,D122,
'YearA-AppDetails Current Date'!F:F,E122,
'YearA-AppDetails Current Date'!E:E,--F122,
'YearA-AppDetails Current Date'!T:T,{"APEX","DENY","NTSL"},
'YearA-AppDetails Current Date'!I:I,"SPRING"))), "")</f>
        <v/>
      </c>
      <c r="M122" s="74" t="str" cm="1">
        <f t="array" ref="M122">IFERROR(1/(1/SUM(COUNTIFS(
'YearA-AppDetails Current Date'!A:A,D122,
'YearA-AppDetails Current Date'!F:F,E122,
'YearA-AppDetails Current Date'!E:E,--F122,
'YearA-AppDetails Current Date'!U:U,{"CCAN","DECL"},
'YearA-AppDetails Current Date'!I:I,"SPRING"))), "")</f>
        <v/>
      </c>
      <c r="N122" s="74" t="str" cm="1">
        <f t="array" ref="N122">IFERROR(1/(1/SUM(COUNTIFS(
'YearA-AppDetails Current Date'!A:A,D122,
'YearA-AppDetails Current Date'!F:F,E122,
'YearA-AppDetails Current Date'!E:E,--F122,
'YearA-AppDetails Current Date'!V:V,{"APRO","NODE"},
'YearA-AppDetails Current Date'!I:I,"SPRING"))), "")</f>
        <v/>
      </c>
      <c r="O122" s="74" t="str" cm="1">
        <f t="array" ref="O122">IFERROR(1/(1/SUM(COUNTIFS(
'YearA-AppDetails Current Date'!A:A,D122,
'YearA-AppDetails Current Date'!F:F,E122,
'YearA-AppDetails Current Date'!E:E,--F122,
'YearA-AppDetails Current Date'!T:T,{"CDMT","RQMT","WAIT"},
'YearA-AppDetails Current Date'!I:I,"SPRING"))), "")</f>
        <v/>
      </c>
      <c r="P122" s="74" t="str">
        <f>IFERROR(1/(1/COUNTIFS(
'YearA-AppDetails Current Date'!A:A,D122,
'YearA-AppDetails Current Date'!F:F,E122,
'YearA-AppDetails Current Date'!E:E,--F122,
'YearA-AppDetails Current Date'!Y:Y,"ENRO",
'YearA-AppDetails Current Date'!I:I,"SPRING")),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HC'!D:T,8,FALSE)),
N(VLOOKUP(D123&amp;F123,'Budgeted Projections Intl HC'!D:T,9,FALSE))
)
),"")</f>
        <v/>
      </c>
      <c r="I123" s="73" t="str">
        <f>IFERROR(1/(1/COUNTIFS(
'YearA-AppDetails Current Date'!A:A,D123,
'YearA-AppDetails Current Date'!F:F,E123,
'YearA-AppDetails Current Date'!E:E,--F123,
'YearA-AppDetails Current Date'!I:I,"SPRING")), "")</f>
        <v/>
      </c>
      <c r="J123" s="74" t="str" cm="1">
        <f t="array" ref="J123">IFERROR(1/(1/SUM(COUNTIFS(
'YearA-AppDetails Current Date'!A:A,D123,
'YearA-AppDetails Current Date'!F:F,E123,
'YearA-AppDetails Current Date'!E:E,--F123,
'YearA-AppDetails Current Date'!O:O,{"ACLN","ACPT","COND"},
'YearA-AppDetails Current Date'!S:S,"&lt;&gt;ACLN",
'YearA-AppDetails Current Date'!S:S,"&lt;&gt;ACPT",
'YearA-AppDetails Current Date'!S:S,"&lt;&gt;COND",
'YearA-AppDetails Current Date'!I:I,"SPRING"))), "")</f>
        <v/>
      </c>
      <c r="K123" s="73" t="str">
        <f>IFERROR(1/(1/SUM(COUNTIFS(
'YearA-AppDetails Current Date'!A:A,D123,
'YearA-AppDetails Current Date'!F:F,E123,
'YearA-AppDetails Current Date'!E:E,--F123,
'YearA-AppDetails Current Date'!R:R,"&lt;&gt;"&amp;"",
'YearA-AppDetails Current Date'!I:I,"SPRING"))), "")</f>
        <v/>
      </c>
      <c r="L123" s="74" t="str" cm="1">
        <f t="array" ref="L123">IFERROR(1/(1/SUM(COUNTIFS(
'YearA-AppDetails Current Date'!A:A,D123,
'YearA-AppDetails Current Date'!F:F,E123,
'YearA-AppDetails Current Date'!E:E,--F123,
'YearA-AppDetails Current Date'!T:T,{"APEX","DENY","NTSL"},
'YearA-AppDetails Current Date'!I:I,"SPRING"))), "")</f>
        <v/>
      </c>
      <c r="M123" s="74" t="str" cm="1">
        <f t="array" ref="M123">IFERROR(1/(1/SUM(COUNTIFS(
'YearA-AppDetails Current Date'!A:A,D123,
'YearA-AppDetails Current Date'!F:F,E123,
'YearA-AppDetails Current Date'!E:E,--F123,
'YearA-AppDetails Current Date'!U:U,{"CCAN","DECL"},
'YearA-AppDetails Current Date'!I:I,"SPRING"))), "")</f>
        <v/>
      </c>
      <c r="N123" s="74" t="str" cm="1">
        <f t="array" ref="N123">IFERROR(1/(1/SUM(COUNTIFS(
'YearA-AppDetails Current Date'!A:A,D123,
'YearA-AppDetails Current Date'!F:F,E123,
'YearA-AppDetails Current Date'!E:E,--F123,
'YearA-AppDetails Current Date'!V:V,{"APRO","NODE"},
'YearA-AppDetails Current Date'!I:I,"SPRING"))), "")</f>
        <v/>
      </c>
      <c r="O123" s="74" t="str" cm="1">
        <f t="array" ref="O123">IFERROR(1/(1/SUM(COUNTIFS(
'YearA-AppDetails Current Date'!A:A,D123,
'YearA-AppDetails Current Date'!F:F,E123,
'YearA-AppDetails Current Date'!E:E,--F123,
'YearA-AppDetails Current Date'!T:T,{"CDMT","RQMT","WAIT"},
'YearA-AppDetails Current Date'!I:I,"SPRING"))), "")</f>
        <v/>
      </c>
      <c r="P123" s="74" t="str">
        <f>IFERROR(1/(1/COUNTIFS(
'YearA-AppDetails Current Date'!A:A,D123,
'YearA-AppDetails Current Date'!F:F,E123,
'YearA-AppDetails Current Date'!E:E,--F123,
'YearA-AppDetails Current Date'!Y:Y,"ENRO",
'YearA-AppDetails Current Date'!I:I,"SPRING")),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HC'!D:T,8,FALSE)),
N(VLOOKUP(D124&amp;F124,'Budgeted Projections Dom HC'!D:T,9,FALSE))
)
),"")</f>
        <v/>
      </c>
      <c r="I124" s="73" t="str">
        <f>IFERROR(1/(1/COUNTIFS(
'YearA-AppDetails Current Date'!A:A,D124,
'YearA-AppDetails Current Date'!F:F,E124,
'YearA-AppDetails Current Date'!E:E,--F124,
'YearA-AppDetails Current Date'!I:I,"SPRING")), "")</f>
        <v/>
      </c>
      <c r="J124" s="74" t="str" cm="1">
        <f t="array" ref="J124">IFERROR(1/(1/SUM(COUNTIFS(
'YearA-AppDetails Current Date'!A:A,D124,
'YearA-AppDetails Current Date'!F:F,E124,
'YearA-AppDetails Current Date'!E:E,--F124,
'YearA-AppDetails Current Date'!O:O,{"ACLN","ACPT","COND"},
'YearA-AppDetails Current Date'!S:S,"&lt;&gt;ACLN",
'YearA-AppDetails Current Date'!S:S,"&lt;&gt;ACPT",
'YearA-AppDetails Current Date'!S:S,"&lt;&gt;COND",
'YearA-AppDetails Current Date'!I:I,"SPRING"))), "")</f>
        <v/>
      </c>
      <c r="K124" s="73" t="str">
        <f>IFERROR(1/(1/SUM(COUNTIFS(
'YearA-AppDetails Current Date'!A:A,D124,
'YearA-AppDetails Current Date'!F:F,E124,
'YearA-AppDetails Current Date'!E:E,--F124,
'YearA-AppDetails Current Date'!R:R,"&lt;&gt;"&amp;"",
'YearA-AppDetails Current Date'!I:I,"SPRING"))), "")</f>
        <v/>
      </c>
      <c r="L124" s="74" t="str" cm="1">
        <f t="array" ref="L124">IFERROR(1/(1/SUM(COUNTIFS(
'YearA-AppDetails Current Date'!A:A,D124,
'YearA-AppDetails Current Date'!F:F,E124,
'YearA-AppDetails Current Date'!E:E,--F124,
'YearA-AppDetails Current Date'!T:T,{"APEX","DENY","NTSL"},
'YearA-AppDetails Current Date'!I:I,"SPRING"))), "")</f>
        <v/>
      </c>
      <c r="M124" s="74" t="str" cm="1">
        <f t="array" ref="M124">IFERROR(1/(1/SUM(COUNTIFS(
'YearA-AppDetails Current Date'!A:A,D124,
'YearA-AppDetails Current Date'!F:F,E124,
'YearA-AppDetails Current Date'!E:E,--F124,
'YearA-AppDetails Current Date'!U:U,{"CCAN","DECL"},
'YearA-AppDetails Current Date'!I:I,"SPRING"))), "")</f>
        <v/>
      </c>
      <c r="N124" s="74" t="str" cm="1">
        <f t="array" ref="N124">IFERROR(1/(1/SUM(COUNTIFS(
'YearA-AppDetails Current Date'!A:A,D124,
'YearA-AppDetails Current Date'!F:F,E124,
'YearA-AppDetails Current Date'!E:E,--F124,
'YearA-AppDetails Current Date'!V:V,{"APRO","NODE"},
'YearA-AppDetails Current Date'!I:I,"SPRING"))), "")</f>
        <v/>
      </c>
      <c r="O124" s="74" t="str" cm="1">
        <f t="array" ref="O124">IFERROR(1/(1/SUM(COUNTIFS(
'YearA-AppDetails Current Date'!A:A,D124,
'YearA-AppDetails Current Date'!F:F,E124,
'YearA-AppDetails Current Date'!E:E,--F124,
'YearA-AppDetails Current Date'!T:T,{"CDMT","RQMT","WAIT"},
'YearA-AppDetails Current Date'!I:I,"SPRING"))), "")</f>
        <v/>
      </c>
      <c r="P124" s="74" t="str">
        <f>IFERROR(1/(1/COUNTIFS(
'YearA-AppDetails Current Date'!A:A,D124,
'YearA-AppDetails Current Date'!F:F,E124,
'YearA-AppDetails Current Date'!E:E,--F124,
'YearA-AppDetails Current Date'!Y:Y,"ENRO",
'YearA-AppDetails Current Date'!I:I,"SPRING")),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HC'!D:T,8,FALSE)),
N(VLOOKUP(D125&amp;F125,'Budgeted Projections Intl HC'!D:T,9,FALSE))
)
),"")</f>
        <v/>
      </c>
      <c r="I125" s="73" t="str">
        <f>IFERROR(1/(1/COUNTIFS(
'YearA-AppDetails Current Date'!A:A,D125,
'YearA-AppDetails Current Date'!F:F,E125,
'YearA-AppDetails Current Date'!E:E,--F125,
'YearA-AppDetails Current Date'!I:I,"SPRING")), "")</f>
        <v/>
      </c>
      <c r="J125" s="74" t="str" cm="1">
        <f t="array" ref="J125">IFERROR(1/(1/SUM(COUNTIFS(
'YearA-AppDetails Current Date'!A:A,D125,
'YearA-AppDetails Current Date'!F:F,E125,
'YearA-AppDetails Current Date'!E:E,--F125,
'YearA-AppDetails Current Date'!O:O,{"ACLN","ACPT","COND"},
'YearA-AppDetails Current Date'!S:S,"&lt;&gt;ACLN",
'YearA-AppDetails Current Date'!S:S,"&lt;&gt;ACPT",
'YearA-AppDetails Current Date'!S:S,"&lt;&gt;COND",
'YearA-AppDetails Current Date'!I:I,"SPRING"))), "")</f>
        <v/>
      </c>
      <c r="K125" s="73" t="str">
        <f>IFERROR(1/(1/SUM(COUNTIFS(
'YearA-AppDetails Current Date'!A:A,D125,
'YearA-AppDetails Current Date'!F:F,E125,
'YearA-AppDetails Current Date'!E:E,--F125,
'YearA-AppDetails Current Date'!R:R,"&lt;&gt;"&amp;"",
'YearA-AppDetails Current Date'!I:I,"SPRING"))), "")</f>
        <v/>
      </c>
      <c r="L125" s="74" t="str" cm="1">
        <f t="array" ref="L125">IFERROR(1/(1/SUM(COUNTIFS(
'YearA-AppDetails Current Date'!A:A,D125,
'YearA-AppDetails Current Date'!F:F,E125,
'YearA-AppDetails Current Date'!E:E,--F125,
'YearA-AppDetails Current Date'!T:T,{"APEX","DENY","NTSL"},
'YearA-AppDetails Current Date'!I:I,"SPRING"))), "")</f>
        <v/>
      </c>
      <c r="M125" s="74" t="str" cm="1">
        <f t="array" ref="M125">IFERROR(1/(1/SUM(COUNTIFS(
'YearA-AppDetails Current Date'!A:A,D125,
'YearA-AppDetails Current Date'!F:F,E125,
'YearA-AppDetails Current Date'!E:E,--F125,
'YearA-AppDetails Current Date'!U:U,{"CCAN","DECL"},
'YearA-AppDetails Current Date'!I:I,"SPRING"))), "")</f>
        <v/>
      </c>
      <c r="N125" s="74" t="str" cm="1">
        <f t="array" ref="N125">IFERROR(1/(1/SUM(COUNTIFS(
'YearA-AppDetails Current Date'!A:A,D125,
'YearA-AppDetails Current Date'!F:F,E125,
'YearA-AppDetails Current Date'!E:E,--F125,
'YearA-AppDetails Current Date'!V:V,{"APRO","NODE"},
'YearA-AppDetails Current Date'!I:I,"SPRING"))), "")</f>
        <v/>
      </c>
      <c r="O125" s="74" t="str" cm="1">
        <f t="array" ref="O125">IFERROR(1/(1/SUM(COUNTIFS(
'YearA-AppDetails Current Date'!A:A,D125,
'YearA-AppDetails Current Date'!F:F,E125,
'YearA-AppDetails Current Date'!E:E,--F125,
'YearA-AppDetails Current Date'!T:T,{"CDMT","RQMT","WAIT"},
'YearA-AppDetails Current Date'!I:I,"SPRING"))), "")</f>
        <v/>
      </c>
      <c r="P125" s="74" t="str">
        <f>IFERROR(1/(1/COUNTIFS(
'YearA-AppDetails Current Date'!A:A,D125,
'YearA-AppDetails Current Date'!F:F,E125,
'YearA-AppDetails Current Date'!E:E,--F125,
'YearA-AppDetails Current Date'!Y:Y,"ENRO",
'YearA-AppDetails Current Date'!I:I,"SPRING")),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HC'!D:T,8,FALSE)),
N(VLOOKUP(D126&amp;F126,'Budgeted Projections Dom HC'!D:T,9,FALSE))
)
),"")</f>
        <v/>
      </c>
      <c r="I126" s="73" t="str">
        <f>IFERROR(1/(1/COUNTIFS(
'YearA-AppDetails Current Date'!A:A,D126,
'YearA-AppDetails Current Date'!F:F,E126,
'YearA-AppDetails Current Date'!E:E,--F126,
'YearA-AppDetails Current Date'!I:I,"SPRING")), "")</f>
        <v/>
      </c>
      <c r="J126" s="74" t="str" cm="1">
        <f t="array" ref="J126">IFERROR(1/(1/SUM(COUNTIFS(
'YearA-AppDetails Current Date'!A:A,D126,
'YearA-AppDetails Current Date'!F:F,E126,
'YearA-AppDetails Current Date'!E:E,--F126,
'YearA-AppDetails Current Date'!O:O,{"ACLN","ACPT","COND"},
'YearA-AppDetails Current Date'!S:S,"&lt;&gt;ACLN",
'YearA-AppDetails Current Date'!S:S,"&lt;&gt;ACPT",
'YearA-AppDetails Current Date'!S:S,"&lt;&gt;COND",
'YearA-AppDetails Current Date'!I:I,"SPRING"))), "")</f>
        <v/>
      </c>
      <c r="K126" s="73" t="str">
        <f>IFERROR(1/(1/SUM(COUNTIFS(
'YearA-AppDetails Current Date'!A:A,D126,
'YearA-AppDetails Current Date'!F:F,E126,
'YearA-AppDetails Current Date'!E:E,--F126,
'YearA-AppDetails Current Date'!R:R,"&lt;&gt;"&amp;"",
'YearA-AppDetails Current Date'!I:I,"SPRING"))), "")</f>
        <v/>
      </c>
      <c r="L126" s="74" t="str" cm="1">
        <f t="array" ref="L126">IFERROR(1/(1/SUM(COUNTIFS(
'YearA-AppDetails Current Date'!A:A,D126,
'YearA-AppDetails Current Date'!F:F,E126,
'YearA-AppDetails Current Date'!E:E,--F126,
'YearA-AppDetails Current Date'!T:T,{"APEX","DENY","NTSL"},
'YearA-AppDetails Current Date'!I:I,"SPRING"))), "")</f>
        <v/>
      </c>
      <c r="M126" s="74" t="str" cm="1">
        <f t="array" ref="M126">IFERROR(1/(1/SUM(COUNTIFS(
'YearA-AppDetails Current Date'!A:A,D126,
'YearA-AppDetails Current Date'!F:F,E126,
'YearA-AppDetails Current Date'!E:E,--F126,
'YearA-AppDetails Current Date'!U:U,{"CCAN","DECL"},
'YearA-AppDetails Current Date'!I:I,"SPRING"))), "")</f>
        <v/>
      </c>
      <c r="N126" s="74" t="str" cm="1">
        <f t="array" ref="N126">IFERROR(1/(1/SUM(COUNTIFS(
'YearA-AppDetails Current Date'!A:A,D126,
'YearA-AppDetails Current Date'!F:F,E126,
'YearA-AppDetails Current Date'!E:E,--F126,
'YearA-AppDetails Current Date'!V:V,{"APRO","NODE"},
'YearA-AppDetails Current Date'!I:I,"SPRING"))), "")</f>
        <v/>
      </c>
      <c r="O126" s="74" t="str" cm="1">
        <f t="array" ref="O126">IFERROR(1/(1/SUM(COUNTIFS(
'YearA-AppDetails Current Date'!A:A,D126,
'YearA-AppDetails Current Date'!F:F,E126,
'YearA-AppDetails Current Date'!E:E,--F126,
'YearA-AppDetails Current Date'!T:T,{"CDMT","RQMT","WAIT"},
'YearA-AppDetails Current Date'!I:I,"SPRING"))), "")</f>
        <v/>
      </c>
      <c r="P126" s="74" t="str">
        <f>IFERROR(1/(1/COUNTIFS(
'YearA-AppDetails Current Date'!A:A,D126,
'YearA-AppDetails Current Date'!F:F,E126,
'YearA-AppDetails Current Date'!E:E,--F126,
'YearA-AppDetails Current Date'!Y:Y,"ENRO",
'YearA-AppDetails Current Date'!I:I,"SPRING")),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HC'!D:T,8,FALSE)),
N(VLOOKUP(D127&amp;F127,'Budgeted Projections Intl HC'!D:T,9,FALSE))
)
),"")</f>
        <v/>
      </c>
      <c r="I127" s="73" t="str">
        <f>IFERROR(1/(1/COUNTIFS(
'YearA-AppDetails Current Date'!A:A,D127,
'YearA-AppDetails Current Date'!F:F,E127,
'YearA-AppDetails Current Date'!E:E,--F127,
'YearA-AppDetails Current Date'!I:I,"SPRING")), "")</f>
        <v/>
      </c>
      <c r="J127" s="74" t="str" cm="1">
        <f t="array" ref="J127">IFERROR(1/(1/SUM(COUNTIFS(
'YearA-AppDetails Current Date'!A:A,D127,
'YearA-AppDetails Current Date'!F:F,E127,
'YearA-AppDetails Current Date'!E:E,--F127,
'YearA-AppDetails Current Date'!O:O,{"ACLN","ACPT","COND"},
'YearA-AppDetails Current Date'!S:S,"&lt;&gt;ACLN",
'YearA-AppDetails Current Date'!S:S,"&lt;&gt;ACPT",
'YearA-AppDetails Current Date'!S:S,"&lt;&gt;COND",
'YearA-AppDetails Current Date'!I:I,"SPRING"))), "")</f>
        <v/>
      </c>
      <c r="K127" s="73" t="str">
        <f>IFERROR(1/(1/SUM(COUNTIFS(
'YearA-AppDetails Current Date'!A:A,D127,
'YearA-AppDetails Current Date'!F:F,E127,
'YearA-AppDetails Current Date'!E:E,--F127,
'YearA-AppDetails Current Date'!R:R,"&lt;&gt;"&amp;"",
'YearA-AppDetails Current Date'!I:I,"SPRING"))), "")</f>
        <v/>
      </c>
      <c r="L127" s="74" t="str" cm="1">
        <f t="array" ref="L127">IFERROR(1/(1/SUM(COUNTIFS(
'YearA-AppDetails Current Date'!A:A,D127,
'YearA-AppDetails Current Date'!F:F,E127,
'YearA-AppDetails Current Date'!E:E,--F127,
'YearA-AppDetails Current Date'!T:T,{"APEX","DENY","NTSL"},
'YearA-AppDetails Current Date'!I:I,"SPRING"))), "")</f>
        <v/>
      </c>
      <c r="M127" s="74" t="str" cm="1">
        <f t="array" ref="M127">IFERROR(1/(1/SUM(COUNTIFS(
'YearA-AppDetails Current Date'!A:A,D127,
'YearA-AppDetails Current Date'!F:F,E127,
'YearA-AppDetails Current Date'!E:E,--F127,
'YearA-AppDetails Current Date'!U:U,{"CCAN","DECL"},
'YearA-AppDetails Current Date'!I:I,"SPRING"))), "")</f>
        <v/>
      </c>
      <c r="N127" s="74" t="str" cm="1">
        <f t="array" ref="N127">IFERROR(1/(1/SUM(COUNTIFS(
'YearA-AppDetails Current Date'!A:A,D127,
'YearA-AppDetails Current Date'!F:F,E127,
'YearA-AppDetails Current Date'!E:E,--F127,
'YearA-AppDetails Current Date'!V:V,{"APRO","NODE"},
'YearA-AppDetails Current Date'!I:I,"SPRING"))), "")</f>
        <v/>
      </c>
      <c r="O127" s="74" t="str" cm="1">
        <f t="array" ref="O127">IFERROR(1/(1/SUM(COUNTIFS(
'YearA-AppDetails Current Date'!A:A,D127,
'YearA-AppDetails Current Date'!F:F,E127,
'YearA-AppDetails Current Date'!E:E,--F127,
'YearA-AppDetails Current Date'!T:T,{"CDMT","RQMT","WAIT"},
'YearA-AppDetails Current Date'!I:I,"SPRING"))), "")</f>
        <v/>
      </c>
      <c r="P127" s="74" t="str">
        <f>IFERROR(1/(1/COUNTIFS(
'YearA-AppDetails Current Date'!A:A,D127,
'YearA-AppDetails Current Date'!F:F,E127,
'YearA-AppDetails Current Date'!E:E,--F127,
'YearA-AppDetails Current Date'!Y:Y,"ENRO",
'YearA-AppDetails Current Date'!I:I,"SPRING")),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HC'!D:T,8,FALSE)),
N(VLOOKUP(D129&amp;F129,'Budgeted Projections Dom HC'!D:T,9,FALSE))
)
),"")</f>
        <v/>
      </c>
      <c r="I129" s="73" t="str">
        <f>IFERROR(1/(1/COUNTIFS(
'YearA-AppDetails Current Date'!A:A,D129,
'YearA-AppDetails Current Date'!F:F,E129,
'YearA-AppDetails Current Date'!E:E,--F129,
'YearA-AppDetails Current Date'!I:I,"SPRING")), "")</f>
        <v/>
      </c>
      <c r="J129" s="74" t="str" cm="1">
        <f t="array" ref="J129">IFERROR(1/(1/SUM(COUNTIFS(
'YearA-AppDetails Current Date'!A:A,D129,
'YearA-AppDetails Current Date'!F:F,E129,
'YearA-AppDetails Current Date'!E:E,--F129,
'YearA-AppDetails Current Date'!O:O,{"ACLN","ACPT","COND"},
'YearA-AppDetails Current Date'!S:S,"&lt;&gt;ACLN",
'YearA-AppDetails Current Date'!S:S,"&lt;&gt;ACPT",
'YearA-AppDetails Current Date'!S:S,"&lt;&gt;COND",
'YearA-AppDetails Current Date'!I:I,"SPRING"))), "")</f>
        <v/>
      </c>
      <c r="K129" s="73" t="str">
        <f>IFERROR(1/(1/SUM(COUNTIFS(
'YearA-AppDetails Current Date'!A:A,D129,
'YearA-AppDetails Current Date'!F:F,E129,
'YearA-AppDetails Current Date'!E:E,--F129,
'YearA-AppDetails Current Date'!R:R,"&lt;&gt;"&amp;"",
'YearA-AppDetails Current Date'!I:I,"SPRING"))), "")</f>
        <v/>
      </c>
      <c r="L129" s="74" t="str" cm="1">
        <f t="array" ref="L129">IFERROR(1/(1/SUM(COUNTIFS(
'YearA-AppDetails Current Date'!A:A,D129,
'YearA-AppDetails Current Date'!F:F,E129,
'YearA-AppDetails Current Date'!E:E,--F129,
'YearA-AppDetails Current Date'!T:T,{"APEX","DENY","NTSL"},
'YearA-AppDetails Current Date'!I:I,"SPRING"))), "")</f>
        <v/>
      </c>
      <c r="M129" s="74" t="str" cm="1">
        <f t="array" ref="M129">IFERROR(1/(1/SUM(COUNTIFS(
'YearA-AppDetails Current Date'!A:A,D129,
'YearA-AppDetails Current Date'!F:F,E129,
'YearA-AppDetails Current Date'!E:E,--F129,
'YearA-AppDetails Current Date'!U:U,{"CCAN","DECL"},
'YearA-AppDetails Current Date'!I:I,"SPRING"))), "")</f>
        <v/>
      </c>
      <c r="N129" s="74" t="str" cm="1">
        <f t="array" ref="N129">IFERROR(1/(1/SUM(COUNTIFS(
'YearA-AppDetails Current Date'!A:A,D129,
'YearA-AppDetails Current Date'!F:F,E129,
'YearA-AppDetails Current Date'!E:E,--F129,
'YearA-AppDetails Current Date'!V:V,{"APRO","NODE"},
'YearA-AppDetails Current Date'!I:I,"SPRING"))), "")</f>
        <v/>
      </c>
      <c r="O129" s="74" t="str" cm="1">
        <f t="array" ref="O129">IFERROR(1/(1/SUM(COUNTIFS(
'YearA-AppDetails Current Date'!A:A,D129,
'YearA-AppDetails Current Date'!F:F,E129,
'YearA-AppDetails Current Date'!E:E,--F129,
'YearA-AppDetails Current Date'!T:T,{"CDMT","RQMT","WAIT"},
'YearA-AppDetails Current Date'!I:I,"SPRING"))), "")</f>
        <v/>
      </c>
      <c r="P129" s="74" t="str">
        <f>IFERROR(1/(1/COUNTIFS(
'YearA-AppDetails Current Date'!A:A,D129,
'YearA-AppDetails Current Date'!F:F,E129,
'YearA-AppDetails Current Date'!E:E,--F129,
'YearA-AppDetails Current Date'!Y:Y,"ENRO",
'YearA-AppDetails Current Date'!I:I,"SPRING")),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HC'!D:T,8,FALSE)),
N(VLOOKUP(D130&amp;F130,'Budgeted Projections Intl HC'!D:T,9,FALSE))
)
),"")</f>
        <v/>
      </c>
      <c r="I130" s="73" t="str">
        <f>IFERROR(1/(1/COUNTIFS(
'YearA-AppDetails Current Date'!A:A,D130,
'YearA-AppDetails Current Date'!F:F,E130,
'YearA-AppDetails Current Date'!E:E,--F130,
'YearA-AppDetails Current Date'!I:I,"SPRING")), "")</f>
        <v/>
      </c>
      <c r="J130" s="74" t="str" cm="1">
        <f t="array" ref="J130">IFERROR(1/(1/SUM(COUNTIFS(
'YearA-AppDetails Current Date'!A:A,D130,
'YearA-AppDetails Current Date'!F:F,E130,
'YearA-AppDetails Current Date'!E:E,--F130,
'YearA-AppDetails Current Date'!O:O,{"ACLN","ACPT","COND"},
'YearA-AppDetails Current Date'!S:S,"&lt;&gt;ACLN",
'YearA-AppDetails Current Date'!S:S,"&lt;&gt;ACPT",
'YearA-AppDetails Current Date'!S:S,"&lt;&gt;COND",
'YearA-AppDetails Current Date'!I:I,"SPRING"))), "")</f>
        <v/>
      </c>
      <c r="K130" s="73" t="str">
        <f>IFERROR(1/(1/SUM(COUNTIFS(
'YearA-AppDetails Current Date'!A:A,D130,
'YearA-AppDetails Current Date'!F:F,E130,
'YearA-AppDetails Current Date'!E:E,--F130,
'YearA-AppDetails Current Date'!R:R,"&lt;&gt;"&amp;"",
'YearA-AppDetails Current Date'!I:I,"SPRING"))), "")</f>
        <v/>
      </c>
      <c r="L130" s="74" t="str" cm="1">
        <f t="array" ref="L130">IFERROR(1/(1/SUM(COUNTIFS(
'YearA-AppDetails Current Date'!A:A,D130,
'YearA-AppDetails Current Date'!F:F,E130,
'YearA-AppDetails Current Date'!E:E,--F130,
'YearA-AppDetails Current Date'!T:T,{"APEX","DENY","NTSL"},
'YearA-AppDetails Current Date'!I:I,"SPRING"))), "")</f>
        <v/>
      </c>
      <c r="M130" s="74" t="str" cm="1">
        <f t="array" ref="M130">IFERROR(1/(1/SUM(COUNTIFS(
'YearA-AppDetails Current Date'!A:A,D130,
'YearA-AppDetails Current Date'!F:F,E130,
'YearA-AppDetails Current Date'!E:E,--F130,
'YearA-AppDetails Current Date'!U:U,{"CCAN","DECL"},
'YearA-AppDetails Current Date'!I:I,"SPRING"))), "")</f>
        <v/>
      </c>
      <c r="N130" s="74" t="str" cm="1">
        <f t="array" ref="N130">IFERROR(1/(1/SUM(COUNTIFS(
'YearA-AppDetails Current Date'!A:A,D130,
'YearA-AppDetails Current Date'!F:F,E130,
'YearA-AppDetails Current Date'!E:E,--F130,
'YearA-AppDetails Current Date'!V:V,{"APRO","NODE"},
'YearA-AppDetails Current Date'!I:I,"SPRING"))), "")</f>
        <v/>
      </c>
      <c r="O130" s="74" t="str" cm="1">
        <f t="array" ref="O130">IFERROR(1/(1/SUM(COUNTIFS(
'YearA-AppDetails Current Date'!A:A,D130,
'YearA-AppDetails Current Date'!F:F,E130,
'YearA-AppDetails Current Date'!E:E,--F130,
'YearA-AppDetails Current Date'!T:T,{"CDMT","RQMT","WAIT"},
'YearA-AppDetails Current Date'!I:I,"SPRING"))), "")</f>
        <v/>
      </c>
      <c r="P130" s="74" t="str">
        <f>IFERROR(1/(1/COUNTIFS(
'YearA-AppDetails Current Date'!A:A,D130,
'YearA-AppDetails Current Date'!F:F,E130,
'YearA-AppDetails Current Date'!E:E,--F130,
'YearA-AppDetails Current Date'!Y:Y,"ENRO",
'YearA-AppDetails Current Date'!I:I,"SPRING")),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HC'!D:T,8,FALSE)),
N(VLOOKUP(D131&amp;F131,'Budgeted Projections Dom HC'!D:T,9,FALSE))
)
),"")</f>
        <v/>
      </c>
      <c r="I131" s="73" t="str">
        <f>IFERROR(1/(1/COUNTIFS(
'YearA-AppDetails Current Date'!A:A,D131,
'YearA-AppDetails Current Date'!F:F,E131,
'YearA-AppDetails Current Date'!E:E,--F131,
'YearA-AppDetails Current Date'!I:I,"SPRING")), "")</f>
        <v/>
      </c>
      <c r="J131" s="74" t="str" cm="1">
        <f t="array" ref="J131">IFERROR(1/(1/SUM(COUNTIFS(
'YearA-AppDetails Current Date'!A:A,D131,
'YearA-AppDetails Current Date'!F:F,E131,
'YearA-AppDetails Current Date'!E:E,--F131,
'YearA-AppDetails Current Date'!O:O,{"ACLN","ACPT","COND"},
'YearA-AppDetails Current Date'!S:S,"&lt;&gt;ACLN",
'YearA-AppDetails Current Date'!S:S,"&lt;&gt;ACPT",
'YearA-AppDetails Current Date'!S:S,"&lt;&gt;COND",
'YearA-AppDetails Current Date'!I:I,"SPRING"))), "")</f>
        <v/>
      </c>
      <c r="K131" s="73" t="str">
        <f>IFERROR(1/(1/SUM(COUNTIFS(
'YearA-AppDetails Current Date'!A:A,D131,
'YearA-AppDetails Current Date'!F:F,E131,
'YearA-AppDetails Current Date'!E:E,--F131,
'YearA-AppDetails Current Date'!R:R,"&lt;&gt;"&amp;"",
'YearA-AppDetails Current Date'!I:I,"SPRING"))), "")</f>
        <v/>
      </c>
      <c r="L131" s="74" t="str" cm="1">
        <f t="array" ref="L131">IFERROR(1/(1/SUM(COUNTIFS(
'YearA-AppDetails Current Date'!A:A,D131,
'YearA-AppDetails Current Date'!F:F,E131,
'YearA-AppDetails Current Date'!E:E,--F131,
'YearA-AppDetails Current Date'!T:T,{"APEX","DENY","NTSL"},
'YearA-AppDetails Current Date'!I:I,"SPRING"))), "")</f>
        <v/>
      </c>
      <c r="M131" s="74" t="str" cm="1">
        <f t="array" ref="M131">IFERROR(1/(1/SUM(COUNTIFS(
'YearA-AppDetails Current Date'!A:A,D131,
'YearA-AppDetails Current Date'!F:F,E131,
'YearA-AppDetails Current Date'!E:E,--F131,
'YearA-AppDetails Current Date'!U:U,{"CCAN","DECL"},
'YearA-AppDetails Current Date'!I:I,"SPRING"))), "")</f>
        <v/>
      </c>
      <c r="N131" s="74" t="str" cm="1">
        <f t="array" ref="N131">IFERROR(1/(1/SUM(COUNTIFS(
'YearA-AppDetails Current Date'!A:A,D131,
'YearA-AppDetails Current Date'!F:F,E131,
'YearA-AppDetails Current Date'!E:E,--F131,
'YearA-AppDetails Current Date'!V:V,{"APRO","NODE"},
'YearA-AppDetails Current Date'!I:I,"SPRING"))), "")</f>
        <v/>
      </c>
      <c r="O131" s="74" t="str" cm="1">
        <f t="array" ref="O131">IFERROR(1/(1/SUM(COUNTIFS(
'YearA-AppDetails Current Date'!A:A,D131,
'YearA-AppDetails Current Date'!F:F,E131,
'YearA-AppDetails Current Date'!E:E,--F131,
'YearA-AppDetails Current Date'!T:T,{"CDMT","RQMT","WAIT"},
'YearA-AppDetails Current Date'!I:I,"SPRING"))), "")</f>
        <v/>
      </c>
      <c r="P131" s="74" t="str">
        <f>IFERROR(1/(1/COUNTIFS(
'YearA-AppDetails Current Date'!A:A,D131,
'YearA-AppDetails Current Date'!F:F,E131,
'YearA-AppDetails Current Date'!E:E,--F131,
'YearA-AppDetails Current Date'!Y:Y,"ENRO",
'YearA-AppDetails Current Date'!I:I,"SPRING")),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HC'!D:T,8,FALSE)),
N(VLOOKUP(D132&amp;F132,'Budgeted Projections Intl HC'!D:T,9,FALSE))
)
),"")</f>
        <v/>
      </c>
      <c r="I132" s="73" t="str">
        <f>IFERROR(1/(1/COUNTIFS(
'YearA-AppDetails Current Date'!A:A,D132,
'YearA-AppDetails Current Date'!F:F,E132,
'YearA-AppDetails Current Date'!E:E,--F132,
'YearA-AppDetails Current Date'!I:I,"SPRING")), "")</f>
        <v/>
      </c>
      <c r="J132" s="74" t="str" cm="1">
        <f t="array" ref="J132">IFERROR(1/(1/SUM(COUNTIFS(
'YearA-AppDetails Current Date'!A:A,D132,
'YearA-AppDetails Current Date'!F:F,E132,
'YearA-AppDetails Current Date'!E:E,--F132,
'YearA-AppDetails Current Date'!O:O,{"ACLN","ACPT","COND"},
'YearA-AppDetails Current Date'!S:S,"&lt;&gt;ACLN",
'YearA-AppDetails Current Date'!S:S,"&lt;&gt;ACPT",
'YearA-AppDetails Current Date'!S:S,"&lt;&gt;COND",
'YearA-AppDetails Current Date'!I:I,"SPRING"))), "")</f>
        <v/>
      </c>
      <c r="K132" s="73" t="str">
        <f>IFERROR(1/(1/SUM(COUNTIFS(
'YearA-AppDetails Current Date'!A:A,D132,
'YearA-AppDetails Current Date'!F:F,E132,
'YearA-AppDetails Current Date'!E:E,--F132,
'YearA-AppDetails Current Date'!R:R,"&lt;&gt;"&amp;"",
'YearA-AppDetails Current Date'!I:I,"SPRING"))), "")</f>
        <v/>
      </c>
      <c r="L132" s="74" t="str" cm="1">
        <f t="array" ref="L132">IFERROR(1/(1/SUM(COUNTIFS(
'YearA-AppDetails Current Date'!A:A,D132,
'YearA-AppDetails Current Date'!F:F,E132,
'YearA-AppDetails Current Date'!E:E,--F132,
'YearA-AppDetails Current Date'!T:T,{"APEX","DENY","NTSL"},
'YearA-AppDetails Current Date'!I:I,"SPRING"))), "")</f>
        <v/>
      </c>
      <c r="M132" s="74" t="str" cm="1">
        <f t="array" ref="M132">IFERROR(1/(1/SUM(COUNTIFS(
'YearA-AppDetails Current Date'!A:A,D132,
'YearA-AppDetails Current Date'!F:F,E132,
'YearA-AppDetails Current Date'!E:E,--F132,
'YearA-AppDetails Current Date'!U:U,{"CCAN","DECL"},
'YearA-AppDetails Current Date'!I:I,"SPRING"))), "")</f>
        <v/>
      </c>
      <c r="N132" s="74" t="str" cm="1">
        <f t="array" ref="N132">IFERROR(1/(1/SUM(COUNTIFS(
'YearA-AppDetails Current Date'!A:A,D132,
'YearA-AppDetails Current Date'!F:F,E132,
'YearA-AppDetails Current Date'!E:E,--F132,
'YearA-AppDetails Current Date'!V:V,{"APRO","NODE"},
'YearA-AppDetails Current Date'!I:I,"SPRING"))), "")</f>
        <v/>
      </c>
      <c r="O132" s="74" t="str" cm="1">
        <f t="array" ref="O132">IFERROR(1/(1/SUM(COUNTIFS(
'YearA-AppDetails Current Date'!A:A,D132,
'YearA-AppDetails Current Date'!F:F,E132,
'YearA-AppDetails Current Date'!E:E,--F132,
'YearA-AppDetails Current Date'!T:T,{"CDMT","RQMT","WAIT"},
'YearA-AppDetails Current Date'!I:I,"SPRING"))), "")</f>
        <v/>
      </c>
      <c r="P132" s="74" t="str">
        <f>IFERROR(1/(1/COUNTIFS(
'YearA-AppDetails Current Date'!A:A,D132,
'YearA-AppDetails Current Date'!F:F,E132,
'YearA-AppDetails Current Date'!E:E,--F132,
'YearA-AppDetails Current Date'!Y:Y,"ENRO",
'YearA-AppDetails Current Date'!I:I,"SPRING")),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HC'!D:T,8,FALSE)),
N(VLOOKUP(D133&amp;F133,'Budgeted Projections Dom HC'!D:T,9,FALSE))
)
),"")</f>
        <v/>
      </c>
      <c r="I133" s="73" t="str">
        <f>IFERROR(1/(1/COUNTIFS(
'YearA-AppDetails Current Date'!A:A,D133,
'YearA-AppDetails Current Date'!F:F,E133,
'YearA-AppDetails Current Date'!E:E,--F133,
'YearA-AppDetails Current Date'!I:I,"SPRING")), "")</f>
        <v/>
      </c>
      <c r="J133" s="74" t="str" cm="1">
        <f t="array" ref="J133">IFERROR(1/(1/SUM(COUNTIFS(
'YearA-AppDetails Current Date'!A:A,D133,
'YearA-AppDetails Current Date'!F:F,E133,
'YearA-AppDetails Current Date'!E:E,--F133,
'YearA-AppDetails Current Date'!O:O,{"ACLN","ACPT","COND"},
'YearA-AppDetails Current Date'!S:S,"&lt;&gt;ACLN",
'YearA-AppDetails Current Date'!S:S,"&lt;&gt;ACPT",
'YearA-AppDetails Current Date'!S:S,"&lt;&gt;COND",
'YearA-AppDetails Current Date'!I:I,"SPRING"))), "")</f>
        <v/>
      </c>
      <c r="K133" s="73" t="str">
        <f>IFERROR(1/(1/SUM(COUNTIFS(
'YearA-AppDetails Current Date'!A:A,D133,
'YearA-AppDetails Current Date'!F:F,E133,
'YearA-AppDetails Current Date'!E:E,--F133,
'YearA-AppDetails Current Date'!R:R,"&lt;&gt;"&amp;"",
'YearA-AppDetails Current Date'!I:I,"SPRING"))), "")</f>
        <v/>
      </c>
      <c r="L133" s="74" t="str" cm="1">
        <f t="array" ref="L133">IFERROR(1/(1/SUM(COUNTIFS(
'YearA-AppDetails Current Date'!A:A,D133,
'YearA-AppDetails Current Date'!F:F,E133,
'YearA-AppDetails Current Date'!E:E,--F133,
'YearA-AppDetails Current Date'!T:T,{"APEX","DENY","NTSL"},
'YearA-AppDetails Current Date'!I:I,"SPRING"))), "")</f>
        <v/>
      </c>
      <c r="M133" s="74" t="str" cm="1">
        <f t="array" ref="M133">IFERROR(1/(1/SUM(COUNTIFS(
'YearA-AppDetails Current Date'!A:A,D133,
'YearA-AppDetails Current Date'!F:F,E133,
'YearA-AppDetails Current Date'!E:E,--F133,
'YearA-AppDetails Current Date'!U:U,{"CCAN","DECL"},
'YearA-AppDetails Current Date'!I:I,"SPRING"))), "")</f>
        <v/>
      </c>
      <c r="N133" s="74" t="str" cm="1">
        <f t="array" ref="N133">IFERROR(1/(1/SUM(COUNTIFS(
'YearA-AppDetails Current Date'!A:A,D133,
'YearA-AppDetails Current Date'!F:F,E133,
'YearA-AppDetails Current Date'!E:E,--F133,
'YearA-AppDetails Current Date'!V:V,{"APRO","NODE"},
'YearA-AppDetails Current Date'!I:I,"SPRING"))), "")</f>
        <v/>
      </c>
      <c r="O133" s="74" t="str" cm="1">
        <f t="array" ref="O133">IFERROR(1/(1/SUM(COUNTIFS(
'YearA-AppDetails Current Date'!A:A,D133,
'YearA-AppDetails Current Date'!F:F,E133,
'YearA-AppDetails Current Date'!E:E,--F133,
'YearA-AppDetails Current Date'!T:T,{"CDMT","RQMT","WAIT"},
'YearA-AppDetails Current Date'!I:I,"SPRING"))), "")</f>
        <v/>
      </c>
      <c r="P133" s="74" t="str">
        <f>IFERROR(1/(1/COUNTIFS(
'YearA-AppDetails Current Date'!A:A,D133,
'YearA-AppDetails Current Date'!F:F,E133,
'YearA-AppDetails Current Date'!E:E,--F133,
'YearA-AppDetails Current Date'!Y:Y,"ENRO",
'YearA-AppDetails Current Date'!I:I,"SPRING")),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HC'!D:T,8,FALSE)),
N(VLOOKUP(D134&amp;F134,'Budgeted Projections Intl HC'!D:T,9,FALSE))
)
),"")</f>
        <v/>
      </c>
      <c r="I134" s="73" t="str">
        <f>IFERROR(1/(1/COUNTIFS(
'YearA-AppDetails Current Date'!A:A,D134,
'YearA-AppDetails Current Date'!F:F,E134,
'YearA-AppDetails Current Date'!E:E,--F134,
'YearA-AppDetails Current Date'!I:I,"SPRING")), "")</f>
        <v/>
      </c>
      <c r="J134" s="74" t="str" cm="1">
        <f t="array" ref="J134">IFERROR(1/(1/SUM(COUNTIFS(
'YearA-AppDetails Current Date'!A:A,D134,
'YearA-AppDetails Current Date'!F:F,E134,
'YearA-AppDetails Current Date'!E:E,--F134,
'YearA-AppDetails Current Date'!O:O,{"ACLN","ACPT","COND"},
'YearA-AppDetails Current Date'!S:S,"&lt;&gt;ACLN",
'YearA-AppDetails Current Date'!S:S,"&lt;&gt;ACPT",
'YearA-AppDetails Current Date'!S:S,"&lt;&gt;COND",
'YearA-AppDetails Current Date'!I:I,"SPRING"))), "")</f>
        <v/>
      </c>
      <c r="K134" s="73" t="str">
        <f>IFERROR(1/(1/SUM(COUNTIFS(
'YearA-AppDetails Current Date'!A:A,D134,
'YearA-AppDetails Current Date'!F:F,E134,
'YearA-AppDetails Current Date'!E:E,--F134,
'YearA-AppDetails Current Date'!R:R,"&lt;&gt;"&amp;"",
'YearA-AppDetails Current Date'!I:I,"SPRING"))), "")</f>
        <v/>
      </c>
      <c r="L134" s="74" t="str" cm="1">
        <f t="array" ref="L134">IFERROR(1/(1/SUM(COUNTIFS(
'YearA-AppDetails Current Date'!A:A,D134,
'YearA-AppDetails Current Date'!F:F,E134,
'YearA-AppDetails Current Date'!E:E,--F134,
'YearA-AppDetails Current Date'!T:T,{"APEX","DENY","NTSL"},
'YearA-AppDetails Current Date'!I:I,"SPRING"))), "")</f>
        <v/>
      </c>
      <c r="M134" s="74" t="str" cm="1">
        <f t="array" ref="M134">IFERROR(1/(1/SUM(COUNTIFS(
'YearA-AppDetails Current Date'!A:A,D134,
'YearA-AppDetails Current Date'!F:F,E134,
'YearA-AppDetails Current Date'!E:E,--F134,
'YearA-AppDetails Current Date'!U:U,{"CCAN","DECL"},
'YearA-AppDetails Current Date'!I:I,"SPRING"))), "")</f>
        <v/>
      </c>
      <c r="N134" s="74" t="str" cm="1">
        <f t="array" ref="N134">IFERROR(1/(1/SUM(COUNTIFS(
'YearA-AppDetails Current Date'!A:A,D134,
'YearA-AppDetails Current Date'!F:F,E134,
'YearA-AppDetails Current Date'!E:E,--F134,
'YearA-AppDetails Current Date'!V:V,{"APRO","NODE"},
'YearA-AppDetails Current Date'!I:I,"SPRING"))), "")</f>
        <v/>
      </c>
      <c r="O134" s="74" t="str" cm="1">
        <f t="array" ref="O134">IFERROR(1/(1/SUM(COUNTIFS(
'YearA-AppDetails Current Date'!A:A,D134,
'YearA-AppDetails Current Date'!F:F,E134,
'YearA-AppDetails Current Date'!E:E,--F134,
'YearA-AppDetails Current Date'!T:T,{"CDMT","RQMT","WAIT"},
'YearA-AppDetails Current Date'!I:I,"SPRING"))), "")</f>
        <v/>
      </c>
      <c r="P134" s="74" t="str">
        <f>IFERROR(1/(1/COUNTIFS(
'YearA-AppDetails Current Date'!A:A,D134,
'YearA-AppDetails Current Date'!F:F,E134,
'YearA-AppDetails Current Date'!E:E,--F134,
'YearA-AppDetails Current Date'!Y:Y,"ENRO",
'YearA-AppDetails Current Date'!I:I,"SPRING")),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HC'!D:T,8,FALSE)),
N(VLOOKUP(D135&amp;F135,'Budgeted Projections Dom HC'!D:T,9,FALSE))
)
),"")</f>
        <v/>
      </c>
      <c r="I135" s="73" t="str">
        <f>IFERROR(1/(1/COUNTIFS(
'YearA-AppDetails Current Date'!A:A,D135,
'YearA-AppDetails Current Date'!F:F,E135,
'YearA-AppDetails Current Date'!E:E,--F135,
'YearA-AppDetails Current Date'!I:I,"SPRING")), "")</f>
        <v/>
      </c>
      <c r="J135" s="74" t="str" cm="1">
        <f t="array" ref="J135">IFERROR(1/(1/SUM(COUNTIFS(
'YearA-AppDetails Current Date'!A:A,D135,
'YearA-AppDetails Current Date'!F:F,E135,
'YearA-AppDetails Current Date'!E:E,--F135,
'YearA-AppDetails Current Date'!O:O,{"ACLN","ACPT","COND"},
'YearA-AppDetails Current Date'!S:S,"&lt;&gt;ACLN",
'YearA-AppDetails Current Date'!S:S,"&lt;&gt;ACPT",
'YearA-AppDetails Current Date'!S:S,"&lt;&gt;COND",
'YearA-AppDetails Current Date'!I:I,"SPRING"))), "")</f>
        <v/>
      </c>
      <c r="K135" s="73" t="str">
        <f>IFERROR(1/(1/SUM(COUNTIFS(
'YearA-AppDetails Current Date'!A:A,D135,
'YearA-AppDetails Current Date'!F:F,E135,
'YearA-AppDetails Current Date'!E:E,--F135,
'YearA-AppDetails Current Date'!R:R,"&lt;&gt;"&amp;"",
'YearA-AppDetails Current Date'!I:I,"SPRING"))), "")</f>
        <v/>
      </c>
      <c r="L135" s="74" t="str" cm="1">
        <f t="array" ref="L135">IFERROR(1/(1/SUM(COUNTIFS(
'YearA-AppDetails Current Date'!A:A,D135,
'YearA-AppDetails Current Date'!F:F,E135,
'YearA-AppDetails Current Date'!E:E,--F135,
'YearA-AppDetails Current Date'!T:T,{"APEX","DENY","NTSL"},
'YearA-AppDetails Current Date'!I:I,"SPRING"))), "")</f>
        <v/>
      </c>
      <c r="M135" s="74" t="str" cm="1">
        <f t="array" ref="M135">IFERROR(1/(1/SUM(COUNTIFS(
'YearA-AppDetails Current Date'!A:A,D135,
'YearA-AppDetails Current Date'!F:F,E135,
'YearA-AppDetails Current Date'!E:E,--F135,
'YearA-AppDetails Current Date'!U:U,{"CCAN","DECL"},
'YearA-AppDetails Current Date'!I:I,"SPRING"))), "")</f>
        <v/>
      </c>
      <c r="N135" s="74" t="str" cm="1">
        <f t="array" ref="N135">IFERROR(1/(1/SUM(COUNTIFS(
'YearA-AppDetails Current Date'!A:A,D135,
'YearA-AppDetails Current Date'!F:F,E135,
'YearA-AppDetails Current Date'!E:E,--F135,
'YearA-AppDetails Current Date'!V:V,{"APRO","NODE"},
'YearA-AppDetails Current Date'!I:I,"SPRING"))), "")</f>
        <v/>
      </c>
      <c r="O135" s="74" t="str" cm="1">
        <f t="array" ref="O135">IFERROR(1/(1/SUM(COUNTIFS(
'YearA-AppDetails Current Date'!A:A,D135,
'YearA-AppDetails Current Date'!F:F,E135,
'YearA-AppDetails Current Date'!E:E,--F135,
'YearA-AppDetails Current Date'!T:T,{"CDMT","RQMT","WAIT"},
'YearA-AppDetails Current Date'!I:I,"SPRING"))), "")</f>
        <v/>
      </c>
      <c r="P135" s="74" t="str">
        <f>IFERROR(1/(1/COUNTIFS(
'YearA-AppDetails Current Date'!A:A,D135,
'YearA-AppDetails Current Date'!F:F,E135,
'YearA-AppDetails Current Date'!E:E,--F135,
'YearA-AppDetails Current Date'!Y:Y,"ENRO",
'YearA-AppDetails Current Date'!I:I,"SPRING")),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HC'!D:T,8,FALSE)),
N(VLOOKUP(D136&amp;F136,'Budgeted Projections Intl HC'!D:T,9,FALSE))
)
),"")</f>
        <v/>
      </c>
      <c r="I136" s="73" t="str">
        <f>IFERROR(1/(1/COUNTIFS(
'YearA-AppDetails Current Date'!A:A,D136,
'YearA-AppDetails Current Date'!F:F,E136,
'YearA-AppDetails Current Date'!E:E,--F136,
'YearA-AppDetails Current Date'!I:I,"SPRING")), "")</f>
        <v/>
      </c>
      <c r="J136" s="74" t="str" cm="1">
        <f t="array" ref="J136">IFERROR(1/(1/SUM(COUNTIFS(
'YearA-AppDetails Current Date'!A:A,D136,
'YearA-AppDetails Current Date'!F:F,E136,
'YearA-AppDetails Current Date'!E:E,--F136,
'YearA-AppDetails Current Date'!O:O,{"ACLN","ACPT","COND"},
'YearA-AppDetails Current Date'!S:S,"&lt;&gt;ACLN",
'YearA-AppDetails Current Date'!S:S,"&lt;&gt;ACPT",
'YearA-AppDetails Current Date'!S:S,"&lt;&gt;COND",
'YearA-AppDetails Current Date'!I:I,"SPRING"))), "")</f>
        <v/>
      </c>
      <c r="K136" s="73" t="str">
        <f>IFERROR(1/(1/SUM(COUNTIFS(
'YearA-AppDetails Current Date'!A:A,D136,
'YearA-AppDetails Current Date'!F:F,E136,
'YearA-AppDetails Current Date'!E:E,--F136,
'YearA-AppDetails Current Date'!R:R,"&lt;&gt;"&amp;"",
'YearA-AppDetails Current Date'!I:I,"SPRING"))), "")</f>
        <v/>
      </c>
      <c r="L136" s="74" t="str" cm="1">
        <f t="array" ref="L136">IFERROR(1/(1/SUM(COUNTIFS(
'YearA-AppDetails Current Date'!A:A,D136,
'YearA-AppDetails Current Date'!F:F,E136,
'YearA-AppDetails Current Date'!E:E,--F136,
'YearA-AppDetails Current Date'!T:T,{"APEX","DENY","NTSL"},
'YearA-AppDetails Current Date'!I:I,"SPRING"))), "")</f>
        <v/>
      </c>
      <c r="M136" s="74" t="str" cm="1">
        <f t="array" ref="M136">IFERROR(1/(1/SUM(COUNTIFS(
'YearA-AppDetails Current Date'!A:A,D136,
'YearA-AppDetails Current Date'!F:F,E136,
'YearA-AppDetails Current Date'!E:E,--F136,
'YearA-AppDetails Current Date'!U:U,{"CCAN","DECL"},
'YearA-AppDetails Current Date'!I:I,"SPRING"))), "")</f>
        <v/>
      </c>
      <c r="N136" s="74" t="str" cm="1">
        <f t="array" ref="N136">IFERROR(1/(1/SUM(COUNTIFS(
'YearA-AppDetails Current Date'!A:A,D136,
'YearA-AppDetails Current Date'!F:F,E136,
'YearA-AppDetails Current Date'!E:E,--F136,
'YearA-AppDetails Current Date'!V:V,{"APRO","NODE"},
'YearA-AppDetails Current Date'!I:I,"SPRING"))), "")</f>
        <v/>
      </c>
      <c r="O136" s="74" t="str" cm="1">
        <f t="array" ref="O136">IFERROR(1/(1/SUM(COUNTIFS(
'YearA-AppDetails Current Date'!A:A,D136,
'YearA-AppDetails Current Date'!F:F,E136,
'YearA-AppDetails Current Date'!E:E,--F136,
'YearA-AppDetails Current Date'!T:T,{"CDMT","RQMT","WAIT"},
'YearA-AppDetails Current Date'!I:I,"SPRING"))), "")</f>
        <v/>
      </c>
      <c r="P136" s="74" t="str">
        <f>IFERROR(1/(1/COUNTIFS(
'YearA-AppDetails Current Date'!A:A,D136,
'YearA-AppDetails Current Date'!F:F,E136,
'YearA-AppDetails Current Date'!E:E,--F136,
'YearA-AppDetails Current Date'!Y:Y,"ENRO",
'YearA-AppDetails Current Date'!I:I,"SPRING")),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HC'!D:T,8,FALSE)),
N(VLOOKUP(D137&amp;F137,'Budgeted Projections Dom HC'!D:T,9,FALSE))
)
),"")</f>
        <v/>
      </c>
      <c r="I137" s="73" t="str">
        <f>IFERROR(1/(1/COUNTIFS(
'YearA-AppDetails Current Date'!A:A,D137,
'YearA-AppDetails Current Date'!F:F,E137,
'YearA-AppDetails Current Date'!E:E,--F137,
'YearA-AppDetails Current Date'!I:I,"SPRING")), "")</f>
        <v/>
      </c>
      <c r="J137" s="74" t="str" cm="1">
        <f t="array" ref="J137">IFERROR(1/(1/SUM(COUNTIFS(
'YearA-AppDetails Current Date'!A:A,D137,
'YearA-AppDetails Current Date'!F:F,E137,
'YearA-AppDetails Current Date'!E:E,--F137,
'YearA-AppDetails Current Date'!O:O,{"ACLN","ACPT","COND"},
'YearA-AppDetails Current Date'!S:S,"&lt;&gt;ACLN",
'YearA-AppDetails Current Date'!S:S,"&lt;&gt;ACPT",
'YearA-AppDetails Current Date'!S:S,"&lt;&gt;COND",
'YearA-AppDetails Current Date'!I:I,"SPRING"))), "")</f>
        <v/>
      </c>
      <c r="K137" s="73" t="str">
        <f>IFERROR(1/(1/SUM(COUNTIFS(
'YearA-AppDetails Current Date'!A:A,D137,
'YearA-AppDetails Current Date'!F:F,E137,
'YearA-AppDetails Current Date'!E:E,--F137,
'YearA-AppDetails Current Date'!R:R,"&lt;&gt;"&amp;"",
'YearA-AppDetails Current Date'!I:I,"SPRING"))), "")</f>
        <v/>
      </c>
      <c r="L137" s="74" t="str" cm="1">
        <f t="array" ref="L137">IFERROR(1/(1/SUM(COUNTIFS(
'YearA-AppDetails Current Date'!A:A,D137,
'YearA-AppDetails Current Date'!F:F,E137,
'YearA-AppDetails Current Date'!E:E,--F137,
'YearA-AppDetails Current Date'!T:T,{"APEX","DENY","NTSL"},
'YearA-AppDetails Current Date'!I:I,"SPRING"))), "")</f>
        <v/>
      </c>
      <c r="M137" s="74" t="str" cm="1">
        <f t="array" ref="M137">IFERROR(1/(1/SUM(COUNTIFS(
'YearA-AppDetails Current Date'!A:A,D137,
'YearA-AppDetails Current Date'!F:F,E137,
'YearA-AppDetails Current Date'!E:E,--F137,
'YearA-AppDetails Current Date'!U:U,{"CCAN","DECL"},
'YearA-AppDetails Current Date'!I:I,"SPRING"))), "")</f>
        <v/>
      </c>
      <c r="N137" s="74" t="str" cm="1">
        <f t="array" ref="N137">IFERROR(1/(1/SUM(COUNTIFS(
'YearA-AppDetails Current Date'!A:A,D137,
'YearA-AppDetails Current Date'!F:F,E137,
'YearA-AppDetails Current Date'!E:E,--F137,
'YearA-AppDetails Current Date'!V:V,{"APRO","NODE"},
'YearA-AppDetails Current Date'!I:I,"SPRING"))), "")</f>
        <v/>
      </c>
      <c r="O137" s="74" t="str" cm="1">
        <f t="array" ref="O137">IFERROR(1/(1/SUM(COUNTIFS(
'YearA-AppDetails Current Date'!A:A,D137,
'YearA-AppDetails Current Date'!F:F,E137,
'YearA-AppDetails Current Date'!E:E,--F137,
'YearA-AppDetails Current Date'!T:T,{"CDMT","RQMT","WAIT"},
'YearA-AppDetails Current Date'!I:I,"SPRING"))), "")</f>
        <v/>
      </c>
      <c r="P137" s="74" t="str">
        <f>IFERROR(1/(1/COUNTIFS(
'YearA-AppDetails Current Date'!A:A,D137,
'YearA-AppDetails Current Date'!F:F,E137,
'YearA-AppDetails Current Date'!E:E,--F137,
'YearA-AppDetails Current Date'!Y:Y,"ENRO",
'YearA-AppDetails Current Date'!I:I,"SPRING")),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HC'!D:T,8,FALSE)),
N(VLOOKUP(D138&amp;F138,'Budgeted Projections Intl HC'!D:T,9,FALSE))
)
),"")</f>
        <v/>
      </c>
      <c r="I138" s="73" t="str">
        <f>IFERROR(1/(1/COUNTIFS(
'YearA-AppDetails Current Date'!A:A,D138,
'YearA-AppDetails Current Date'!F:F,E138,
'YearA-AppDetails Current Date'!E:E,--F138,
'YearA-AppDetails Current Date'!I:I,"SPRING")), "")</f>
        <v/>
      </c>
      <c r="J138" s="74" t="str" cm="1">
        <f t="array" ref="J138">IFERROR(1/(1/SUM(COUNTIFS(
'YearA-AppDetails Current Date'!A:A,D138,
'YearA-AppDetails Current Date'!F:F,E138,
'YearA-AppDetails Current Date'!E:E,--F138,
'YearA-AppDetails Current Date'!O:O,{"ACLN","ACPT","COND"},
'YearA-AppDetails Current Date'!S:S,"&lt;&gt;ACLN",
'YearA-AppDetails Current Date'!S:S,"&lt;&gt;ACPT",
'YearA-AppDetails Current Date'!S:S,"&lt;&gt;COND",
'YearA-AppDetails Current Date'!I:I,"SPRING"))), "")</f>
        <v/>
      </c>
      <c r="K138" s="73" t="str">
        <f>IFERROR(1/(1/SUM(COUNTIFS(
'YearA-AppDetails Current Date'!A:A,D138,
'YearA-AppDetails Current Date'!F:F,E138,
'YearA-AppDetails Current Date'!E:E,--F138,
'YearA-AppDetails Current Date'!R:R,"&lt;&gt;"&amp;"",
'YearA-AppDetails Current Date'!I:I,"SPRING"))), "")</f>
        <v/>
      </c>
      <c r="L138" s="74" t="str" cm="1">
        <f t="array" ref="L138">IFERROR(1/(1/SUM(COUNTIFS(
'YearA-AppDetails Current Date'!A:A,D138,
'YearA-AppDetails Current Date'!F:F,E138,
'YearA-AppDetails Current Date'!E:E,--F138,
'YearA-AppDetails Current Date'!T:T,{"APEX","DENY","NTSL"},
'YearA-AppDetails Current Date'!I:I,"SPRING"))), "")</f>
        <v/>
      </c>
      <c r="M138" s="74" t="str" cm="1">
        <f t="array" ref="M138">IFERROR(1/(1/SUM(COUNTIFS(
'YearA-AppDetails Current Date'!A:A,D138,
'YearA-AppDetails Current Date'!F:F,E138,
'YearA-AppDetails Current Date'!E:E,--F138,
'YearA-AppDetails Current Date'!U:U,{"CCAN","DECL"},
'YearA-AppDetails Current Date'!I:I,"SPRING"))), "")</f>
        <v/>
      </c>
      <c r="N138" s="74" t="str" cm="1">
        <f t="array" ref="N138">IFERROR(1/(1/SUM(COUNTIFS(
'YearA-AppDetails Current Date'!A:A,D138,
'YearA-AppDetails Current Date'!F:F,E138,
'YearA-AppDetails Current Date'!E:E,--F138,
'YearA-AppDetails Current Date'!V:V,{"APRO","NODE"},
'YearA-AppDetails Current Date'!I:I,"SPRING"))), "")</f>
        <v/>
      </c>
      <c r="O138" s="74" t="str" cm="1">
        <f t="array" ref="O138">IFERROR(1/(1/SUM(COUNTIFS(
'YearA-AppDetails Current Date'!A:A,D138,
'YearA-AppDetails Current Date'!F:F,E138,
'YearA-AppDetails Current Date'!E:E,--F138,
'YearA-AppDetails Current Date'!T:T,{"CDMT","RQMT","WAIT"},
'YearA-AppDetails Current Date'!I:I,"SPRING"))), "")</f>
        <v/>
      </c>
      <c r="P138" s="74" t="str">
        <f>IFERROR(1/(1/COUNTIFS(
'YearA-AppDetails Current Date'!A:A,D138,
'YearA-AppDetails Current Date'!F:F,E138,
'YearA-AppDetails Current Date'!E:E,--F138,
'YearA-AppDetails Current Date'!Y:Y,"ENRO",
'YearA-AppDetails Current Date'!I:I,"SPRING")),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HC'!D:T,8,FALSE)),
N(VLOOKUP(D140&amp;F140,'Budgeted Projections Dom HC'!D:T,9,FALSE))
)
),"")</f>
        <v/>
      </c>
      <c r="I140" s="73" t="str">
        <f>IFERROR(1/(1/COUNTIFS(
'YearA-AppDetails Current Date'!A:A,D140,
'YearA-AppDetails Current Date'!F:F,E140,
'YearA-AppDetails Current Date'!E:E,--F140,
'YearA-AppDetails Current Date'!I:I,"SPRING")), "")</f>
        <v/>
      </c>
      <c r="J140" s="74" t="str" cm="1">
        <f t="array" ref="J140">IFERROR(1/(1/SUM(COUNTIFS(
'YearA-AppDetails Current Date'!A:A,D140,
'YearA-AppDetails Current Date'!F:F,E140,
'YearA-AppDetails Current Date'!E:E,--F140,
'YearA-AppDetails Current Date'!O:O,{"ACLN","ACPT","COND"},
'YearA-AppDetails Current Date'!S:S,"&lt;&gt;ACLN",
'YearA-AppDetails Current Date'!S:S,"&lt;&gt;ACPT",
'YearA-AppDetails Current Date'!S:S,"&lt;&gt;COND",
'YearA-AppDetails Current Date'!I:I,"SPRING"))), "")</f>
        <v/>
      </c>
      <c r="K140" s="73" t="str">
        <f>IFERROR(1/(1/SUM(COUNTIFS(
'YearA-AppDetails Current Date'!A:A,D140,
'YearA-AppDetails Current Date'!F:F,E140,
'YearA-AppDetails Current Date'!E:E,--F140,
'YearA-AppDetails Current Date'!R:R,"&lt;&gt;"&amp;"",
'YearA-AppDetails Current Date'!I:I,"SPRING"))), "")</f>
        <v/>
      </c>
      <c r="L140" s="74" t="str" cm="1">
        <f t="array" ref="L140">IFERROR(1/(1/SUM(COUNTIFS(
'YearA-AppDetails Current Date'!A:A,D140,
'YearA-AppDetails Current Date'!F:F,E140,
'YearA-AppDetails Current Date'!E:E,--F140,
'YearA-AppDetails Current Date'!T:T,{"APEX","DENY","NTSL"},
'YearA-AppDetails Current Date'!I:I,"SPRING"))), "")</f>
        <v/>
      </c>
      <c r="M140" s="74" t="str" cm="1">
        <f t="array" ref="M140">IFERROR(1/(1/SUM(COUNTIFS(
'YearA-AppDetails Current Date'!A:A,D140,
'YearA-AppDetails Current Date'!F:F,E140,
'YearA-AppDetails Current Date'!E:E,--F140,
'YearA-AppDetails Current Date'!U:U,{"CCAN","DECL"},
'YearA-AppDetails Current Date'!I:I,"SPRING"))), "")</f>
        <v/>
      </c>
      <c r="N140" s="74" t="str" cm="1">
        <f t="array" ref="N140">IFERROR(1/(1/SUM(COUNTIFS(
'YearA-AppDetails Current Date'!A:A,D140,
'YearA-AppDetails Current Date'!F:F,E140,
'YearA-AppDetails Current Date'!E:E,--F140,
'YearA-AppDetails Current Date'!V:V,{"APRO","NODE"},
'YearA-AppDetails Current Date'!I:I,"SPRING"))), "")</f>
        <v/>
      </c>
      <c r="O140" s="74" t="str" cm="1">
        <f t="array" ref="O140">IFERROR(1/(1/SUM(COUNTIFS(
'YearA-AppDetails Current Date'!A:A,D140,
'YearA-AppDetails Current Date'!F:F,E140,
'YearA-AppDetails Current Date'!E:E,--F140,
'YearA-AppDetails Current Date'!T:T,{"CDMT","RQMT","WAIT"},
'YearA-AppDetails Current Date'!I:I,"SPRING"))), "")</f>
        <v/>
      </c>
      <c r="P140" s="74" t="str">
        <f>IFERROR(1/(1/COUNTIFS(
'YearA-AppDetails Current Date'!A:A,D140,
'YearA-AppDetails Current Date'!F:F,E140,
'YearA-AppDetails Current Date'!E:E,--F140,
'YearA-AppDetails Current Date'!Y:Y,"ENRO",
'YearA-AppDetails Current Date'!I:I,"SPRING")),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HC'!D:T,8,FALSE)),
N(VLOOKUP(D141&amp;F141,'Budgeted Projections Intl HC'!D:T,9,FALSE))
)
),"")</f>
        <v/>
      </c>
      <c r="I141" s="73" t="str">
        <f>IFERROR(1/(1/COUNTIFS(
'YearA-AppDetails Current Date'!A:A,D141,
'YearA-AppDetails Current Date'!F:F,E141,
'YearA-AppDetails Current Date'!E:E,--F141,
'YearA-AppDetails Current Date'!I:I,"SPRING")), "")</f>
        <v/>
      </c>
      <c r="J141" s="74" t="str" cm="1">
        <f t="array" ref="J141">IFERROR(1/(1/SUM(COUNTIFS(
'YearA-AppDetails Current Date'!A:A,D141,
'YearA-AppDetails Current Date'!F:F,E141,
'YearA-AppDetails Current Date'!E:E,--F141,
'YearA-AppDetails Current Date'!O:O,{"ACLN","ACPT","COND"},
'YearA-AppDetails Current Date'!S:S,"&lt;&gt;ACLN",
'YearA-AppDetails Current Date'!S:S,"&lt;&gt;ACPT",
'YearA-AppDetails Current Date'!S:S,"&lt;&gt;COND",
'YearA-AppDetails Current Date'!I:I,"SPRING"))), "")</f>
        <v/>
      </c>
      <c r="K141" s="73" t="str">
        <f>IFERROR(1/(1/SUM(COUNTIFS(
'YearA-AppDetails Current Date'!A:A,D141,
'YearA-AppDetails Current Date'!F:F,E141,
'YearA-AppDetails Current Date'!E:E,--F141,
'YearA-AppDetails Current Date'!R:R,"&lt;&gt;"&amp;"",
'YearA-AppDetails Current Date'!I:I,"SPRING"))), "")</f>
        <v/>
      </c>
      <c r="L141" s="74" t="str" cm="1">
        <f t="array" ref="L141">IFERROR(1/(1/SUM(COUNTIFS(
'YearA-AppDetails Current Date'!A:A,D141,
'YearA-AppDetails Current Date'!F:F,E141,
'YearA-AppDetails Current Date'!E:E,--F141,
'YearA-AppDetails Current Date'!T:T,{"APEX","DENY","NTSL"},
'YearA-AppDetails Current Date'!I:I,"SPRING"))), "")</f>
        <v/>
      </c>
      <c r="M141" s="74" t="str" cm="1">
        <f t="array" ref="M141">IFERROR(1/(1/SUM(COUNTIFS(
'YearA-AppDetails Current Date'!A:A,D141,
'YearA-AppDetails Current Date'!F:F,E141,
'YearA-AppDetails Current Date'!E:E,--F141,
'YearA-AppDetails Current Date'!U:U,{"CCAN","DECL"},
'YearA-AppDetails Current Date'!I:I,"SPRING"))), "")</f>
        <v/>
      </c>
      <c r="N141" s="74" t="str" cm="1">
        <f t="array" ref="N141">IFERROR(1/(1/SUM(COUNTIFS(
'YearA-AppDetails Current Date'!A:A,D141,
'YearA-AppDetails Current Date'!F:F,E141,
'YearA-AppDetails Current Date'!E:E,--F141,
'YearA-AppDetails Current Date'!V:V,{"APRO","NODE"},
'YearA-AppDetails Current Date'!I:I,"SPRING"))), "")</f>
        <v/>
      </c>
      <c r="O141" s="74" t="str" cm="1">
        <f t="array" ref="O141">IFERROR(1/(1/SUM(COUNTIFS(
'YearA-AppDetails Current Date'!A:A,D141,
'YearA-AppDetails Current Date'!F:F,E141,
'YearA-AppDetails Current Date'!E:E,--F141,
'YearA-AppDetails Current Date'!T:T,{"CDMT","RQMT","WAIT"},
'YearA-AppDetails Current Date'!I:I,"SPRING"))), "")</f>
        <v/>
      </c>
      <c r="P141" s="74" t="str">
        <f>IFERROR(1/(1/COUNTIFS(
'YearA-AppDetails Current Date'!A:A,D141,
'YearA-AppDetails Current Date'!F:F,E141,
'YearA-AppDetails Current Date'!E:E,--F141,
'YearA-AppDetails Current Date'!Y:Y,"ENRO",
'YearA-AppDetails Current Date'!I:I,"SPRING")),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HC'!D:T,8,FALSE)),
N(VLOOKUP(D142&amp;F142,'Budgeted Projections Dom HC'!D:T,9,FALSE))
)
),"")</f>
        <v/>
      </c>
      <c r="I142" s="73" t="str">
        <f>IFERROR(1/(1/COUNTIFS(
'YearA-AppDetails Current Date'!A:A,D142,
'YearA-AppDetails Current Date'!F:F,E142,
'YearA-AppDetails Current Date'!E:E,--F142,
'YearA-AppDetails Current Date'!I:I,"SPRING")), "")</f>
        <v/>
      </c>
      <c r="J142" s="74" t="str" cm="1">
        <f t="array" ref="J142">IFERROR(1/(1/SUM(COUNTIFS(
'YearA-AppDetails Current Date'!A:A,D142,
'YearA-AppDetails Current Date'!F:F,E142,
'YearA-AppDetails Current Date'!E:E,--F142,
'YearA-AppDetails Current Date'!O:O,{"ACLN","ACPT","COND"},
'YearA-AppDetails Current Date'!S:S,"&lt;&gt;ACLN",
'YearA-AppDetails Current Date'!S:S,"&lt;&gt;ACPT",
'YearA-AppDetails Current Date'!S:S,"&lt;&gt;COND",
'YearA-AppDetails Current Date'!I:I,"SPRING"))), "")</f>
        <v/>
      </c>
      <c r="K142" s="73" t="str">
        <f>IFERROR(1/(1/SUM(COUNTIFS(
'YearA-AppDetails Current Date'!A:A,D142,
'YearA-AppDetails Current Date'!F:F,E142,
'YearA-AppDetails Current Date'!E:E,--F142,
'YearA-AppDetails Current Date'!R:R,"&lt;&gt;"&amp;"",
'YearA-AppDetails Current Date'!I:I,"SPRING"))), "")</f>
        <v/>
      </c>
      <c r="L142" s="74" t="str" cm="1">
        <f t="array" ref="L142">IFERROR(1/(1/SUM(COUNTIFS(
'YearA-AppDetails Current Date'!A:A,D142,
'YearA-AppDetails Current Date'!F:F,E142,
'YearA-AppDetails Current Date'!E:E,--F142,
'YearA-AppDetails Current Date'!T:T,{"APEX","DENY","NTSL"},
'YearA-AppDetails Current Date'!I:I,"SPRING"))), "")</f>
        <v/>
      </c>
      <c r="M142" s="74" t="str" cm="1">
        <f t="array" ref="M142">IFERROR(1/(1/SUM(COUNTIFS(
'YearA-AppDetails Current Date'!A:A,D142,
'YearA-AppDetails Current Date'!F:F,E142,
'YearA-AppDetails Current Date'!E:E,--F142,
'YearA-AppDetails Current Date'!U:U,{"CCAN","DECL"},
'YearA-AppDetails Current Date'!I:I,"SPRING"))), "")</f>
        <v/>
      </c>
      <c r="N142" s="74" t="str" cm="1">
        <f t="array" ref="N142">IFERROR(1/(1/SUM(COUNTIFS(
'YearA-AppDetails Current Date'!A:A,D142,
'YearA-AppDetails Current Date'!F:F,E142,
'YearA-AppDetails Current Date'!E:E,--F142,
'YearA-AppDetails Current Date'!V:V,{"APRO","NODE"},
'YearA-AppDetails Current Date'!I:I,"SPRING"))), "")</f>
        <v/>
      </c>
      <c r="O142" s="74" t="str" cm="1">
        <f t="array" ref="O142">IFERROR(1/(1/SUM(COUNTIFS(
'YearA-AppDetails Current Date'!A:A,D142,
'YearA-AppDetails Current Date'!F:F,E142,
'YearA-AppDetails Current Date'!E:E,--F142,
'YearA-AppDetails Current Date'!T:T,{"CDMT","RQMT","WAIT"},
'YearA-AppDetails Current Date'!I:I,"SPRING"))), "")</f>
        <v/>
      </c>
      <c r="P142" s="74" t="str">
        <f>IFERROR(1/(1/COUNTIFS(
'YearA-AppDetails Current Date'!A:A,D142,
'YearA-AppDetails Current Date'!F:F,E142,
'YearA-AppDetails Current Date'!E:E,--F142,
'YearA-AppDetails Current Date'!Y:Y,"ENRO",
'YearA-AppDetails Current Date'!I:I,"SPRING")),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HC'!D:T,8,FALSE)),
N(VLOOKUP(D143&amp;F143,'Budgeted Projections Intl HC'!D:T,9,FALSE))
)
),"")</f>
        <v/>
      </c>
      <c r="I143" s="73" t="str">
        <f>IFERROR(1/(1/COUNTIFS(
'YearA-AppDetails Current Date'!A:A,D143,
'YearA-AppDetails Current Date'!F:F,E143,
'YearA-AppDetails Current Date'!E:E,--F143,
'YearA-AppDetails Current Date'!I:I,"SPRING")), "")</f>
        <v/>
      </c>
      <c r="J143" s="74" t="str" cm="1">
        <f t="array" ref="J143">IFERROR(1/(1/SUM(COUNTIFS(
'YearA-AppDetails Current Date'!A:A,D143,
'YearA-AppDetails Current Date'!F:F,E143,
'YearA-AppDetails Current Date'!E:E,--F143,
'YearA-AppDetails Current Date'!O:O,{"ACLN","ACPT","COND"},
'YearA-AppDetails Current Date'!S:S,"&lt;&gt;ACLN",
'YearA-AppDetails Current Date'!S:S,"&lt;&gt;ACPT",
'YearA-AppDetails Current Date'!S:S,"&lt;&gt;COND",
'YearA-AppDetails Current Date'!I:I,"SPRING"))), "")</f>
        <v/>
      </c>
      <c r="K143" s="73" t="str">
        <f>IFERROR(1/(1/SUM(COUNTIFS(
'YearA-AppDetails Current Date'!A:A,D143,
'YearA-AppDetails Current Date'!F:F,E143,
'YearA-AppDetails Current Date'!E:E,--F143,
'YearA-AppDetails Current Date'!R:R,"&lt;&gt;"&amp;"",
'YearA-AppDetails Current Date'!I:I,"SPRING"))), "")</f>
        <v/>
      </c>
      <c r="L143" s="74" t="str" cm="1">
        <f t="array" ref="L143">IFERROR(1/(1/SUM(COUNTIFS(
'YearA-AppDetails Current Date'!A:A,D143,
'YearA-AppDetails Current Date'!F:F,E143,
'YearA-AppDetails Current Date'!E:E,--F143,
'YearA-AppDetails Current Date'!T:T,{"APEX","DENY","NTSL"},
'YearA-AppDetails Current Date'!I:I,"SPRING"))), "")</f>
        <v/>
      </c>
      <c r="M143" s="74" t="str" cm="1">
        <f t="array" ref="M143">IFERROR(1/(1/SUM(COUNTIFS(
'YearA-AppDetails Current Date'!A:A,D143,
'YearA-AppDetails Current Date'!F:F,E143,
'YearA-AppDetails Current Date'!E:E,--F143,
'YearA-AppDetails Current Date'!U:U,{"CCAN","DECL"},
'YearA-AppDetails Current Date'!I:I,"SPRING"))), "")</f>
        <v/>
      </c>
      <c r="N143" s="74" t="str" cm="1">
        <f t="array" ref="N143">IFERROR(1/(1/SUM(COUNTIFS(
'YearA-AppDetails Current Date'!A:A,D143,
'YearA-AppDetails Current Date'!F:F,E143,
'YearA-AppDetails Current Date'!E:E,--F143,
'YearA-AppDetails Current Date'!V:V,{"APRO","NODE"},
'YearA-AppDetails Current Date'!I:I,"SPRING"))), "")</f>
        <v/>
      </c>
      <c r="O143" s="74" t="str" cm="1">
        <f t="array" ref="O143">IFERROR(1/(1/SUM(COUNTIFS(
'YearA-AppDetails Current Date'!A:A,D143,
'YearA-AppDetails Current Date'!F:F,E143,
'YearA-AppDetails Current Date'!E:E,--F143,
'YearA-AppDetails Current Date'!T:T,{"CDMT","RQMT","WAIT"},
'YearA-AppDetails Current Date'!I:I,"SPRING"))), "")</f>
        <v/>
      </c>
      <c r="P143" s="74" t="str">
        <f>IFERROR(1/(1/COUNTIFS(
'YearA-AppDetails Current Date'!A:A,D143,
'YearA-AppDetails Current Date'!F:F,E143,
'YearA-AppDetails Current Date'!E:E,--F143,
'YearA-AppDetails Current Date'!Y:Y,"ENRO",
'YearA-AppDetails Current Date'!I:I,"SPRING")),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HC'!D:T,8,FALSE)),
N(VLOOKUP(D144&amp;F144,'Budgeted Projections Dom HC'!D:T,9,FALSE))
)
),"")</f>
        <v/>
      </c>
      <c r="I144" s="73" t="str">
        <f>IFERROR(1/(1/COUNTIFS(
'YearA-AppDetails Current Date'!A:A,D144,
'YearA-AppDetails Current Date'!F:F,E144,
'YearA-AppDetails Current Date'!E:E,--F144,
'YearA-AppDetails Current Date'!I:I,"SPRING")), "")</f>
        <v/>
      </c>
      <c r="J144" s="74" t="str" cm="1">
        <f t="array" ref="J144">IFERROR(1/(1/SUM(COUNTIFS(
'YearA-AppDetails Current Date'!A:A,D144,
'YearA-AppDetails Current Date'!F:F,E144,
'YearA-AppDetails Current Date'!E:E,--F144,
'YearA-AppDetails Current Date'!O:O,{"ACLN","ACPT","COND"},
'YearA-AppDetails Current Date'!S:S,"&lt;&gt;ACLN",
'YearA-AppDetails Current Date'!S:S,"&lt;&gt;ACPT",
'YearA-AppDetails Current Date'!S:S,"&lt;&gt;COND",
'YearA-AppDetails Current Date'!I:I,"SPRING"))), "")</f>
        <v/>
      </c>
      <c r="K144" s="73" t="str">
        <f>IFERROR(1/(1/SUM(COUNTIFS(
'YearA-AppDetails Current Date'!A:A,D144,
'YearA-AppDetails Current Date'!F:F,E144,
'YearA-AppDetails Current Date'!E:E,--F144,
'YearA-AppDetails Current Date'!R:R,"&lt;&gt;"&amp;"",
'YearA-AppDetails Current Date'!I:I,"SPRING"))), "")</f>
        <v/>
      </c>
      <c r="L144" s="74" t="str" cm="1">
        <f t="array" ref="L144">IFERROR(1/(1/SUM(COUNTIFS(
'YearA-AppDetails Current Date'!A:A,D144,
'YearA-AppDetails Current Date'!F:F,E144,
'YearA-AppDetails Current Date'!E:E,--F144,
'YearA-AppDetails Current Date'!T:T,{"APEX","DENY","NTSL"},
'YearA-AppDetails Current Date'!I:I,"SPRING"))), "")</f>
        <v/>
      </c>
      <c r="M144" s="74" t="str" cm="1">
        <f t="array" ref="M144">IFERROR(1/(1/SUM(COUNTIFS(
'YearA-AppDetails Current Date'!A:A,D144,
'YearA-AppDetails Current Date'!F:F,E144,
'YearA-AppDetails Current Date'!E:E,--F144,
'YearA-AppDetails Current Date'!U:U,{"CCAN","DECL"},
'YearA-AppDetails Current Date'!I:I,"SPRING"))), "")</f>
        <v/>
      </c>
      <c r="N144" s="74" t="str" cm="1">
        <f t="array" ref="N144">IFERROR(1/(1/SUM(COUNTIFS(
'YearA-AppDetails Current Date'!A:A,D144,
'YearA-AppDetails Current Date'!F:F,E144,
'YearA-AppDetails Current Date'!E:E,--F144,
'YearA-AppDetails Current Date'!V:V,{"APRO","NODE"},
'YearA-AppDetails Current Date'!I:I,"SPRING"))), "")</f>
        <v/>
      </c>
      <c r="O144" s="74" t="str" cm="1">
        <f t="array" ref="O144">IFERROR(1/(1/SUM(COUNTIFS(
'YearA-AppDetails Current Date'!A:A,D144,
'YearA-AppDetails Current Date'!F:F,E144,
'YearA-AppDetails Current Date'!E:E,--F144,
'YearA-AppDetails Current Date'!T:T,{"CDMT","RQMT","WAIT"},
'YearA-AppDetails Current Date'!I:I,"SPRING"))), "")</f>
        <v/>
      </c>
      <c r="P144" s="74" t="str">
        <f>IFERROR(1/(1/COUNTIFS(
'YearA-AppDetails Current Date'!A:A,D144,
'YearA-AppDetails Current Date'!F:F,E144,
'YearA-AppDetails Current Date'!E:E,--F144,
'YearA-AppDetails Current Date'!Y:Y,"ENRO",
'YearA-AppDetails Current Date'!I:I,"SPRING")),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HC'!D:T,8,FALSE)),
N(VLOOKUP(D145&amp;F145,'Budgeted Projections Intl HC'!D:T,9,FALSE))
)
),"")</f>
        <v/>
      </c>
      <c r="I145" s="73" t="str">
        <f>IFERROR(1/(1/COUNTIFS(
'YearA-AppDetails Current Date'!A:A,D145,
'YearA-AppDetails Current Date'!F:F,E145,
'YearA-AppDetails Current Date'!E:E,--F145,
'YearA-AppDetails Current Date'!I:I,"SPRING")), "")</f>
        <v/>
      </c>
      <c r="J145" s="74" t="str" cm="1">
        <f t="array" ref="J145">IFERROR(1/(1/SUM(COUNTIFS(
'YearA-AppDetails Current Date'!A:A,D145,
'YearA-AppDetails Current Date'!F:F,E145,
'YearA-AppDetails Current Date'!E:E,--F145,
'YearA-AppDetails Current Date'!O:O,{"ACLN","ACPT","COND"},
'YearA-AppDetails Current Date'!S:S,"&lt;&gt;ACLN",
'YearA-AppDetails Current Date'!S:S,"&lt;&gt;ACPT",
'YearA-AppDetails Current Date'!S:S,"&lt;&gt;COND",
'YearA-AppDetails Current Date'!I:I,"SPRING"))), "")</f>
        <v/>
      </c>
      <c r="K145" s="73" t="str">
        <f>IFERROR(1/(1/SUM(COUNTIFS(
'YearA-AppDetails Current Date'!A:A,D145,
'YearA-AppDetails Current Date'!F:F,E145,
'YearA-AppDetails Current Date'!E:E,--F145,
'YearA-AppDetails Current Date'!R:R,"&lt;&gt;"&amp;"",
'YearA-AppDetails Current Date'!I:I,"SPRING"))), "")</f>
        <v/>
      </c>
      <c r="L145" s="74" t="str" cm="1">
        <f t="array" ref="L145">IFERROR(1/(1/SUM(COUNTIFS(
'YearA-AppDetails Current Date'!A:A,D145,
'YearA-AppDetails Current Date'!F:F,E145,
'YearA-AppDetails Current Date'!E:E,--F145,
'YearA-AppDetails Current Date'!T:T,{"APEX","DENY","NTSL"},
'YearA-AppDetails Current Date'!I:I,"SPRING"))), "")</f>
        <v/>
      </c>
      <c r="M145" s="74" t="str" cm="1">
        <f t="array" ref="M145">IFERROR(1/(1/SUM(COUNTIFS(
'YearA-AppDetails Current Date'!A:A,D145,
'YearA-AppDetails Current Date'!F:F,E145,
'YearA-AppDetails Current Date'!E:E,--F145,
'YearA-AppDetails Current Date'!U:U,{"CCAN","DECL"},
'YearA-AppDetails Current Date'!I:I,"SPRING"))), "")</f>
        <v/>
      </c>
      <c r="N145" s="74" t="str" cm="1">
        <f t="array" ref="N145">IFERROR(1/(1/SUM(COUNTIFS(
'YearA-AppDetails Current Date'!A:A,D145,
'YearA-AppDetails Current Date'!F:F,E145,
'YearA-AppDetails Current Date'!E:E,--F145,
'YearA-AppDetails Current Date'!V:V,{"APRO","NODE"},
'YearA-AppDetails Current Date'!I:I,"SPRING"))), "")</f>
        <v/>
      </c>
      <c r="O145" s="74" t="str" cm="1">
        <f t="array" ref="O145">IFERROR(1/(1/SUM(COUNTIFS(
'YearA-AppDetails Current Date'!A:A,D145,
'YearA-AppDetails Current Date'!F:F,E145,
'YearA-AppDetails Current Date'!E:E,--F145,
'YearA-AppDetails Current Date'!T:T,{"CDMT","RQMT","WAIT"},
'YearA-AppDetails Current Date'!I:I,"SPRING"))), "")</f>
        <v/>
      </c>
      <c r="P145" s="74" t="str">
        <f>IFERROR(1/(1/COUNTIFS(
'YearA-AppDetails Current Date'!A:A,D145,
'YearA-AppDetails Current Date'!F:F,E145,
'YearA-AppDetails Current Date'!E:E,--F145,
'YearA-AppDetails Current Date'!Y:Y,"ENRO",
'YearA-AppDetails Current Date'!I:I,"SPRING")),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HC'!D:T,8,FALSE)),
N(VLOOKUP(D146&amp;F146,'Budgeted Projections Dom HC'!D:T,9,FALSE))
)
),"")</f>
        <v/>
      </c>
      <c r="I146" s="73" t="str">
        <f>IFERROR(1/(1/COUNTIFS(
'YearA-AppDetails Current Date'!A:A,D146,
'YearA-AppDetails Current Date'!F:F,E146,
'YearA-AppDetails Current Date'!E:E,--F146,
'YearA-AppDetails Current Date'!I:I,"SPRING")), "")</f>
        <v/>
      </c>
      <c r="J146" s="74" t="str" cm="1">
        <f t="array" ref="J146">IFERROR(1/(1/SUM(COUNTIFS(
'YearA-AppDetails Current Date'!A:A,D146,
'YearA-AppDetails Current Date'!F:F,E146,
'YearA-AppDetails Current Date'!E:E,--F146,
'YearA-AppDetails Current Date'!O:O,{"ACLN","ACPT","COND"},
'YearA-AppDetails Current Date'!S:S,"&lt;&gt;ACLN",
'YearA-AppDetails Current Date'!S:S,"&lt;&gt;ACPT",
'YearA-AppDetails Current Date'!S:S,"&lt;&gt;COND",
'YearA-AppDetails Current Date'!I:I,"SPRING"))), "")</f>
        <v/>
      </c>
      <c r="K146" s="73" t="str">
        <f>IFERROR(1/(1/SUM(COUNTIFS(
'YearA-AppDetails Current Date'!A:A,D146,
'YearA-AppDetails Current Date'!F:F,E146,
'YearA-AppDetails Current Date'!E:E,--F146,
'YearA-AppDetails Current Date'!R:R,"&lt;&gt;"&amp;"",
'YearA-AppDetails Current Date'!I:I,"SPRING"))), "")</f>
        <v/>
      </c>
      <c r="L146" s="74" t="str" cm="1">
        <f t="array" ref="L146">IFERROR(1/(1/SUM(COUNTIFS(
'YearA-AppDetails Current Date'!A:A,D146,
'YearA-AppDetails Current Date'!F:F,E146,
'YearA-AppDetails Current Date'!E:E,--F146,
'YearA-AppDetails Current Date'!T:T,{"APEX","DENY","NTSL"},
'YearA-AppDetails Current Date'!I:I,"SPRING"))), "")</f>
        <v/>
      </c>
      <c r="M146" s="74" t="str" cm="1">
        <f t="array" ref="M146">IFERROR(1/(1/SUM(COUNTIFS(
'YearA-AppDetails Current Date'!A:A,D146,
'YearA-AppDetails Current Date'!F:F,E146,
'YearA-AppDetails Current Date'!E:E,--F146,
'YearA-AppDetails Current Date'!U:U,{"CCAN","DECL"},
'YearA-AppDetails Current Date'!I:I,"SPRING"))), "")</f>
        <v/>
      </c>
      <c r="N146" s="74" t="str" cm="1">
        <f t="array" ref="N146">IFERROR(1/(1/SUM(COUNTIFS(
'YearA-AppDetails Current Date'!A:A,D146,
'YearA-AppDetails Current Date'!F:F,E146,
'YearA-AppDetails Current Date'!E:E,--F146,
'YearA-AppDetails Current Date'!V:V,{"APRO","NODE"},
'YearA-AppDetails Current Date'!I:I,"SPRING"))), "")</f>
        <v/>
      </c>
      <c r="O146" s="74" t="str" cm="1">
        <f t="array" ref="O146">IFERROR(1/(1/SUM(COUNTIFS(
'YearA-AppDetails Current Date'!A:A,D146,
'YearA-AppDetails Current Date'!F:F,E146,
'YearA-AppDetails Current Date'!E:E,--F146,
'YearA-AppDetails Current Date'!T:T,{"CDMT","RQMT","WAIT"},
'YearA-AppDetails Current Date'!I:I,"SPRING"))), "")</f>
        <v/>
      </c>
      <c r="P146" s="74" t="str">
        <f>IFERROR(1/(1/COUNTIFS(
'YearA-AppDetails Current Date'!A:A,D146,
'YearA-AppDetails Current Date'!F:F,E146,
'YearA-AppDetails Current Date'!E:E,--F146,
'YearA-AppDetails Current Date'!Y:Y,"ENRO",
'YearA-AppDetails Current Date'!I:I,"SPRING")),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HC'!D:T,8,FALSE)),
N(VLOOKUP(D147&amp;F147,'Budgeted Projections Intl HC'!D:T,9,FALSE))
)
),"")</f>
        <v/>
      </c>
      <c r="I147" s="73" t="str">
        <f>IFERROR(1/(1/COUNTIFS(
'YearA-AppDetails Current Date'!A:A,D147,
'YearA-AppDetails Current Date'!F:F,E147,
'YearA-AppDetails Current Date'!E:E,--F147,
'YearA-AppDetails Current Date'!I:I,"SPRING")), "")</f>
        <v/>
      </c>
      <c r="J147" s="74" t="str" cm="1">
        <f t="array" ref="J147">IFERROR(1/(1/SUM(COUNTIFS(
'YearA-AppDetails Current Date'!A:A,D147,
'YearA-AppDetails Current Date'!F:F,E147,
'YearA-AppDetails Current Date'!E:E,--F147,
'YearA-AppDetails Current Date'!O:O,{"ACLN","ACPT","COND"},
'YearA-AppDetails Current Date'!S:S,"&lt;&gt;ACLN",
'YearA-AppDetails Current Date'!S:S,"&lt;&gt;ACPT",
'YearA-AppDetails Current Date'!S:S,"&lt;&gt;COND",
'YearA-AppDetails Current Date'!I:I,"SPRING"))), "")</f>
        <v/>
      </c>
      <c r="K147" s="73" t="str">
        <f>IFERROR(1/(1/SUM(COUNTIFS(
'YearA-AppDetails Current Date'!A:A,D147,
'YearA-AppDetails Current Date'!F:F,E147,
'YearA-AppDetails Current Date'!E:E,--F147,
'YearA-AppDetails Current Date'!R:R,"&lt;&gt;"&amp;"",
'YearA-AppDetails Current Date'!I:I,"SPRING"))), "")</f>
        <v/>
      </c>
      <c r="L147" s="74" t="str" cm="1">
        <f t="array" ref="L147">IFERROR(1/(1/SUM(COUNTIFS(
'YearA-AppDetails Current Date'!A:A,D147,
'YearA-AppDetails Current Date'!F:F,E147,
'YearA-AppDetails Current Date'!E:E,--F147,
'YearA-AppDetails Current Date'!T:T,{"APEX","DENY","NTSL"},
'YearA-AppDetails Current Date'!I:I,"SPRING"))), "")</f>
        <v/>
      </c>
      <c r="M147" s="74" t="str" cm="1">
        <f t="array" ref="M147">IFERROR(1/(1/SUM(COUNTIFS(
'YearA-AppDetails Current Date'!A:A,D147,
'YearA-AppDetails Current Date'!F:F,E147,
'YearA-AppDetails Current Date'!E:E,--F147,
'YearA-AppDetails Current Date'!U:U,{"CCAN","DECL"},
'YearA-AppDetails Current Date'!I:I,"SPRING"))), "")</f>
        <v/>
      </c>
      <c r="N147" s="74" t="str" cm="1">
        <f t="array" ref="N147">IFERROR(1/(1/SUM(COUNTIFS(
'YearA-AppDetails Current Date'!A:A,D147,
'YearA-AppDetails Current Date'!F:F,E147,
'YearA-AppDetails Current Date'!E:E,--F147,
'YearA-AppDetails Current Date'!V:V,{"APRO","NODE"},
'YearA-AppDetails Current Date'!I:I,"SPRING"))), "")</f>
        <v/>
      </c>
      <c r="O147" s="74" t="str" cm="1">
        <f t="array" ref="O147">IFERROR(1/(1/SUM(COUNTIFS(
'YearA-AppDetails Current Date'!A:A,D147,
'YearA-AppDetails Current Date'!F:F,E147,
'YearA-AppDetails Current Date'!E:E,--F147,
'YearA-AppDetails Current Date'!T:T,{"CDMT","RQMT","WAIT"},
'YearA-AppDetails Current Date'!I:I,"SPRING"))), "")</f>
        <v/>
      </c>
      <c r="P147" s="74" t="str">
        <f>IFERROR(1/(1/COUNTIFS(
'YearA-AppDetails Current Date'!A:A,D147,
'YearA-AppDetails Current Date'!F:F,E147,
'YearA-AppDetails Current Date'!E:E,--F147,
'YearA-AppDetails Current Date'!Y:Y,"ENRO",
'YearA-AppDetails Current Date'!I:I,"SPRING")),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HC'!D:T,8,FALSE)),
N(VLOOKUP(D149&amp;F149,'Budgeted Projections Dom HC'!D:T,9,FALSE))
)
),"")</f>
        <v/>
      </c>
      <c r="I149" s="73" t="str">
        <f>IFERROR(1/(1/COUNTIFS(
'YearA-AppDetails Current Date'!A:A,D149,
'YearA-AppDetails Current Date'!F:F,E149,
'YearA-AppDetails Current Date'!E:E,--F149,
'YearA-AppDetails Current Date'!I:I,"SPRING")), "")</f>
        <v/>
      </c>
      <c r="J149" s="74" t="str" cm="1">
        <f t="array" ref="J149">IFERROR(1/(1/SUM(COUNTIFS(
'YearA-AppDetails Current Date'!A:A,D149,
'YearA-AppDetails Current Date'!F:F,E149,
'YearA-AppDetails Current Date'!E:E,--F149,
'YearA-AppDetails Current Date'!O:O,{"ACLN","ACPT","COND"},
'YearA-AppDetails Current Date'!S:S,"&lt;&gt;ACLN",
'YearA-AppDetails Current Date'!S:S,"&lt;&gt;ACPT",
'YearA-AppDetails Current Date'!S:S,"&lt;&gt;COND",
'YearA-AppDetails Current Date'!I:I,"SPRING"))), "")</f>
        <v/>
      </c>
      <c r="K149" s="73" t="str">
        <f>IFERROR(1/(1/SUM(COUNTIFS(
'YearA-AppDetails Current Date'!A:A,D149,
'YearA-AppDetails Current Date'!F:F,E149,
'YearA-AppDetails Current Date'!E:E,--F149,
'YearA-AppDetails Current Date'!R:R,"&lt;&gt;"&amp;"",
'YearA-AppDetails Current Date'!I:I,"SPRING"))), "")</f>
        <v/>
      </c>
      <c r="L149" s="74" t="str" cm="1">
        <f t="array" ref="L149">IFERROR(1/(1/SUM(COUNTIFS(
'YearA-AppDetails Current Date'!A:A,D149,
'YearA-AppDetails Current Date'!F:F,E149,
'YearA-AppDetails Current Date'!E:E,--F149,
'YearA-AppDetails Current Date'!T:T,{"APEX","DENY","NTSL"},
'YearA-AppDetails Current Date'!I:I,"SPRING"))), "")</f>
        <v/>
      </c>
      <c r="M149" s="74" t="str" cm="1">
        <f t="array" ref="M149">IFERROR(1/(1/SUM(COUNTIFS(
'YearA-AppDetails Current Date'!A:A,D149,
'YearA-AppDetails Current Date'!F:F,E149,
'YearA-AppDetails Current Date'!E:E,--F149,
'YearA-AppDetails Current Date'!U:U,{"CCAN","DECL"},
'YearA-AppDetails Current Date'!I:I,"SPRING"))), "")</f>
        <v/>
      </c>
      <c r="N149" s="74" t="str" cm="1">
        <f t="array" ref="N149">IFERROR(1/(1/SUM(COUNTIFS(
'YearA-AppDetails Current Date'!A:A,D149,
'YearA-AppDetails Current Date'!F:F,E149,
'YearA-AppDetails Current Date'!E:E,--F149,
'YearA-AppDetails Current Date'!V:V,{"APRO","NODE"},
'YearA-AppDetails Current Date'!I:I,"SPRING"))), "")</f>
        <v/>
      </c>
      <c r="O149" s="74" t="str" cm="1">
        <f t="array" ref="O149">IFERROR(1/(1/SUM(COUNTIFS(
'YearA-AppDetails Current Date'!A:A,D149,
'YearA-AppDetails Current Date'!F:F,E149,
'YearA-AppDetails Current Date'!E:E,--F149,
'YearA-AppDetails Current Date'!T:T,{"CDMT","RQMT","WAIT"},
'YearA-AppDetails Current Date'!I:I,"SPRING"))), "")</f>
        <v/>
      </c>
      <c r="P149" s="74" t="str">
        <f>IFERROR(1/(1/COUNTIFS(
'YearA-AppDetails Current Date'!A:A,D149,
'YearA-AppDetails Current Date'!F:F,E149,
'YearA-AppDetails Current Date'!E:E,--F149,
'YearA-AppDetails Current Date'!Y:Y,"ENRO",
'YearA-AppDetails Current Date'!I:I,"SPRING")),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HC'!D:T,8,FALSE)),
N(VLOOKUP(D150&amp;F150,'Budgeted Projections Intl HC'!D:T,9,FALSE))
)
),"")</f>
        <v/>
      </c>
      <c r="I150" s="73" t="str">
        <f>IFERROR(1/(1/COUNTIFS(
'YearA-AppDetails Current Date'!A:A,D150,
'YearA-AppDetails Current Date'!F:F,E150,
'YearA-AppDetails Current Date'!E:E,--F150,
'YearA-AppDetails Current Date'!I:I,"SPRING")), "")</f>
        <v/>
      </c>
      <c r="J150" s="74" t="str" cm="1">
        <f t="array" ref="J150">IFERROR(1/(1/SUM(COUNTIFS(
'YearA-AppDetails Current Date'!A:A,D150,
'YearA-AppDetails Current Date'!F:F,E150,
'YearA-AppDetails Current Date'!E:E,--F150,
'YearA-AppDetails Current Date'!O:O,{"ACLN","ACPT","COND"},
'YearA-AppDetails Current Date'!S:S,"&lt;&gt;ACLN",
'YearA-AppDetails Current Date'!S:S,"&lt;&gt;ACPT",
'YearA-AppDetails Current Date'!S:S,"&lt;&gt;COND",
'YearA-AppDetails Current Date'!I:I,"SPRING"))), "")</f>
        <v/>
      </c>
      <c r="K150" s="73" t="str">
        <f>IFERROR(1/(1/SUM(COUNTIFS(
'YearA-AppDetails Current Date'!A:A,D150,
'YearA-AppDetails Current Date'!F:F,E150,
'YearA-AppDetails Current Date'!E:E,--F150,
'YearA-AppDetails Current Date'!R:R,"&lt;&gt;"&amp;"",
'YearA-AppDetails Current Date'!I:I,"SPRING"))), "")</f>
        <v/>
      </c>
      <c r="L150" s="74" t="str" cm="1">
        <f t="array" ref="L150">IFERROR(1/(1/SUM(COUNTIFS(
'YearA-AppDetails Current Date'!A:A,D150,
'YearA-AppDetails Current Date'!F:F,E150,
'YearA-AppDetails Current Date'!E:E,--F150,
'YearA-AppDetails Current Date'!T:T,{"APEX","DENY","NTSL"},
'YearA-AppDetails Current Date'!I:I,"SPRING"))), "")</f>
        <v/>
      </c>
      <c r="M150" s="74" t="str" cm="1">
        <f t="array" ref="M150">IFERROR(1/(1/SUM(COUNTIFS(
'YearA-AppDetails Current Date'!A:A,D150,
'YearA-AppDetails Current Date'!F:F,E150,
'YearA-AppDetails Current Date'!E:E,--F150,
'YearA-AppDetails Current Date'!U:U,{"CCAN","DECL"},
'YearA-AppDetails Current Date'!I:I,"SPRING"))), "")</f>
        <v/>
      </c>
      <c r="N150" s="74" t="str" cm="1">
        <f t="array" ref="N150">IFERROR(1/(1/SUM(COUNTIFS(
'YearA-AppDetails Current Date'!A:A,D150,
'YearA-AppDetails Current Date'!F:F,E150,
'YearA-AppDetails Current Date'!E:E,--F150,
'YearA-AppDetails Current Date'!V:V,{"APRO","NODE"},
'YearA-AppDetails Current Date'!I:I,"SPRING"))), "")</f>
        <v/>
      </c>
      <c r="O150" s="74" t="str" cm="1">
        <f t="array" ref="O150">IFERROR(1/(1/SUM(COUNTIFS(
'YearA-AppDetails Current Date'!A:A,D150,
'YearA-AppDetails Current Date'!F:F,E150,
'YearA-AppDetails Current Date'!E:E,--F150,
'YearA-AppDetails Current Date'!T:T,{"CDMT","RQMT","WAIT"},
'YearA-AppDetails Current Date'!I:I,"SPRING"))), "")</f>
        <v/>
      </c>
      <c r="P150" s="74" t="str">
        <f>IFERROR(1/(1/COUNTIFS(
'YearA-AppDetails Current Date'!A:A,D150,
'YearA-AppDetails Current Date'!F:F,E150,
'YearA-AppDetails Current Date'!E:E,--F150,
'YearA-AppDetails Current Date'!Y:Y,"ENRO",
'YearA-AppDetails Current Date'!I:I,"SPRING")),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HC'!D:T,8,FALSE)),
N(VLOOKUP(D151&amp;F151,'Budgeted Projections Dom HC'!D:T,9,FALSE))
)
),"")</f>
        <v/>
      </c>
      <c r="I151" s="73" t="str">
        <f>IFERROR(1/(1/COUNTIFS(
'YearA-AppDetails Current Date'!A:A,D151,
'YearA-AppDetails Current Date'!F:F,E151,
'YearA-AppDetails Current Date'!E:E,--F151,
'YearA-AppDetails Current Date'!I:I,"SPRING")), "")</f>
        <v/>
      </c>
      <c r="J151" s="74" t="str" cm="1">
        <f t="array" ref="J151">IFERROR(1/(1/SUM(COUNTIFS(
'YearA-AppDetails Current Date'!A:A,D151,
'YearA-AppDetails Current Date'!F:F,E151,
'YearA-AppDetails Current Date'!E:E,--F151,
'YearA-AppDetails Current Date'!O:O,{"ACLN","ACPT","COND"},
'YearA-AppDetails Current Date'!S:S,"&lt;&gt;ACLN",
'YearA-AppDetails Current Date'!S:S,"&lt;&gt;ACPT",
'YearA-AppDetails Current Date'!S:S,"&lt;&gt;COND",
'YearA-AppDetails Current Date'!I:I,"SPRING"))), "")</f>
        <v/>
      </c>
      <c r="K151" s="73" t="str">
        <f>IFERROR(1/(1/SUM(COUNTIFS(
'YearA-AppDetails Current Date'!A:A,D151,
'YearA-AppDetails Current Date'!F:F,E151,
'YearA-AppDetails Current Date'!E:E,--F151,
'YearA-AppDetails Current Date'!R:R,"&lt;&gt;"&amp;"",
'YearA-AppDetails Current Date'!I:I,"SPRING"))), "")</f>
        <v/>
      </c>
      <c r="L151" s="74" t="str" cm="1">
        <f t="array" ref="L151">IFERROR(1/(1/SUM(COUNTIFS(
'YearA-AppDetails Current Date'!A:A,D151,
'YearA-AppDetails Current Date'!F:F,E151,
'YearA-AppDetails Current Date'!E:E,--F151,
'YearA-AppDetails Current Date'!T:T,{"APEX","DENY","NTSL"},
'YearA-AppDetails Current Date'!I:I,"SPRING"))), "")</f>
        <v/>
      </c>
      <c r="M151" s="74" t="str" cm="1">
        <f t="array" ref="M151">IFERROR(1/(1/SUM(COUNTIFS(
'YearA-AppDetails Current Date'!A:A,D151,
'YearA-AppDetails Current Date'!F:F,E151,
'YearA-AppDetails Current Date'!E:E,--F151,
'YearA-AppDetails Current Date'!U:U,{"CCAN","DECL"},
'YearA-AppDetails Current Date'!I:I,"SPRING"))), "")</f>
        <v/>
      </c>
      <c r="N151" s="74" t="str" cm="1">
        <f t="array" ref="N151">IFERROR(1/(1/SUM(COUNTIFS(
'YearA-AppDetails Current Date'!A:A,D151,
'YearA-AppDetails Current Date'!F:F,E151,
'YearA-AppDetails Current Date'!E:E,--F151,
'YearA-AppDetails Current Date'!V:V,{"APRO","NODE"},
'YearA-AppDetails Current Date'!I:I,"SPRING"))), "")</f>
        <v/>
      </c>
      <c r="O151" s="74" t="str" cm="1">
        <f t="array" ref="O151">IFERROR(1/(1/SUM(COUNTIFS(
'YearA-AppDetails Current Date'!A:A,D151,
'YearA-AppDetails Current Date'!F:F,E151,
'YearA-AppDetails Current Date'!E:E,--F151,
'YearA-AppDetails Current Date'!T:T,{"CDMT","RQMT","WAIT"},
'YearA-AppDetails Current Date'!I:I,"SPRING"))), "")</f>
        <v/>
      </c>
      <c r="P151" s="74" t="str">
        <f>IFERROR(1/(1/COUNTIFS(
'YearA-AppDetails Current Date'!A:A,D151,
'YearA-AppDetails Current Date'!F:F,E151,
'YearA-AppDetails Current Date'!E:E,--F151,
'YearA-AppDetails Current Date'!Y:Y,"ENRO",
'YearA-AppDetails Current Date'!I:I,"SPRING")),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HC'!D:T,8,FALSE)),
N(VLOOKUP(D152&amp;F152,'Budgeted Projections Intl HC'!D:T,9,FALSE))
)
),"")</f>
        <v/>
      </c>
      <c r="I152" s="73" t="str">
        <f>IFERROR(1/(1/COUNTIFS(
'YearA-AppDetails Current Date'!A:A,D152,
'YearA-AppDetails Current Date'!F:F,E152,
'YearA-AppDetails Current Date'!E:E,--F152,
'YearA-AppDetails Current Date'!I:I,"SPRING")), "")</f>
        <v/>
      </c>
      <c r="J152" s="74" t="str" cm="1">
        <f t="array" ref="J152">IFERROR(1/(1/SUM(COUNTIFS(
'YearA-AppDetails Current Date'!A:A,D152,
'YearA-AppDetails Current Date'!F:F,E152,
'YearA-AppDetails Current Date'!E:E,--F152,
'YearA-AppDetails Current Date'!O:O,{"ACLN","ACPT","COND"},
'YearA-AppDetails Current Date'!S:S,"&lt;&gt;ACLN",
'YearA-AppDetails Current Date'!S:S,"&lt;&gt;ACPT",
'YearA-AppDetails Current Date'!S:S,"&lt;&gt;COND",
'YearA-AppDetails Current Date'!I:I,"SPRING"))), "")</f>
        <v/>
      </c>
      <c r="K152" s="73" t="str">
        <f>IFERROR(1/(1/SUM(COUNTIFS(
'YearA-AppDetails Current Date'!A:A,D152,
'YearA-AppDetails Current Date'!F:F,E152,
'YearA-AppDetails Current Date'!E:E,--F152,
'YearA-AppDetails Current Date'!R:R,"&lt;&gt;"&amp;"",
'YearA-AppDetails Current Date'!I:I,"SPRING"))), "")</f>
        <v/>
      </c>
      <c r="L152" s="74" t="str" cm="1">
        <f t="array" ref="L152">IFERROR(1/(1/SUM(COUNTIFS(
'YearA-AppDetails Current Date'!A:A,D152,
'YearA-AppDetails Current Date'!F:F,E152,
'YearA-AppDetails Current Date'!E:E,--F152,
'YearA-AppDetails Current Date'!T:T,{"APEX","DENY","NTSL"},
'YearA-AppDetails Current Date'!I:I,"SPRING"))), "")</f>
        <v/>
      </c>
      <c r="M152" s="74" t="str" cm="1">
        <f t="array" ref="M152">IFERROR(1/(1/SUM(COUNTIFS(
'YearA-AppDetails Current Date'!A:A,D152,
'YearA-AppDetails Current Date'!F:F,E152,
'YearA-AppDetails Current Date'!E:E,--F152,
'YearA-AppDetails Current Date'!U:U,{"CCAN","DECL"},
'YearA-AppDetails Current Date'!I:I,"SPRING"))), "")</f>
        <v/>
      </c>
      <c r="N152" s="74" t="str" cm="1">
        <f t="array" ref="N152">IFERROR(1/(1/SUM(COUNTIFS(
'YearA-AppDetails Current Date'!A:A,D152,
'YearA-AppDetails Current Date'!F:F,E152,
'YearA-AppDetails Current Date'!E:E,--F152,
'YearA-AppDetails Current Date'!V:V,{"APRO","NODE"},
'YearA-AppDetails Current Date'!I:I,"SPRING"))), "")</f>
        <v/>
      </c>
      <c r="O152" s="74" t="str" cm="1">
        <f t="array" ref="O152">IFERROR(1/(1/SUM(COUNTIFS(
'YearA-AppDetails Current Date'!A:A,D152,
'YearA-AppDetails Current Date'!F:F,E152,
'YearA-AppDetails Current Date'!E:E,--F152,
'YearA-AppDetails Current Date'!T:T,{"CDMT","RQMT","WAIT"},
'YearA-AppDetails Current Date'!I:I,"SPRING"))), "")</f>
        <v/>
      </c>
      <c r="P152" s="74" t="str">
        <f>IFERROR(1/(1/COUNTIFS(
'YearA-AppDetails Current Date'!A:A,D152,
'YearA-AppDetails Current Date'!F:F,E152,
'YearA-AppDetails Current Date'!E:E,--F152,
'YearA-AppDetails Current Date'!Y:Y,"ENRO",
'YearA-AppDetails Current Date'!I:I,"SPRING")),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HC'!D:T,8,FALSE)),
N(VLOOKUP(D153&amp;F153,'Budgeted Projections Dom HC'!D:T,9,FALSE))
)
),"")</f>
        <v/>
      </c>
      <c r="I153" s="73" t="str">
        <f>IFERROR(1/(1/COUNTIFS(
'YearA-AppDetails Current Date'!A:A,D153,
'YearA-AppDetails Current Date'!F:F,E153,
'YearA-AppDetails Current Date'!E:E,--F153,
'YearA-AppDetails Current Date'!I:I,"SPRING")), "")</f>
        <v/>
      </c>
      <c r="J153" s="74" t="str" cm="1">
        <f t="array" ref="J153">IFERROR(1/(1/SUM(COUNTIFS(
'YearA-AppDetails Current Date'!A:A,D153,
'YearA-AppDetails Current Date'!F:F,E153,
'YearA-AppDetails Current Date'!E:E,--F153,
'YearA-AppDetails Current Date'!O:O,{"ACLN","ACPT","COND"},
'YearA-AppDetails Current Date'!S:S,"&lt;&gt;ACLN",
'YearA-AppDetails Current Date'!S:S,"&lt;&gt;ACPT",
'YearA-AppDetails Current Date'!S:S,"&lt;&gt;COND",
'YearA-AppDetails Current Date'!I:I,"SPRING"))), "")</f>
        <v/>
      </c>
      <c r="K153" s="73" t="str">
        <f>IFERROR(1/(1/SUM(COUNTIFS(
'YearA-AppDetails Current Date'!A:A,D153,
'YearA-AppDetails Current Date'!F:F,E153,
'YearA-AppDetails Current Date'!E:E,--F153,
'YearA-AppDetails Current Date'!R:R,"&lt;&gt;"&amp;"",
'YearA-AppDetails Current Date'!I:I,"SPRING"))), "")</f>
        <v/>
      </c>
      <c r="L153" s="74" t="str" cm="1">
        <f t="array" ref="L153">IFERROR(1/(1/SUM(COUNTIFS(
'YearA-AppDetails Current Date'!A:A,D153,
'YearA-AppDetails Current Date'!F:F,E153,
'YearA-AppDetails Current Date'!E:E,--F153,
'YearA-AppDetails Current Date'!T:T,{"APEX","DENY","NTSL"},
'YearA-AppDetails Current Date'!I:I,"SPRING"))), "")</f>
        <v/>
      </c>
      <c r="M153" s="74" t="str" cm="1">
        <f t="array" ref="M153">IFERROR(1/(1/SUM(COUNTIFS(
'YearA-AppDetails Current Date'!A:A,D153,
'YearA-AppDetails Current Date'!F:F,E153,
'YearA-AppDetails Current Date'!E:E,--F153,
'YearA-AppDetails Current Date'!U:U,{"CCAN","DECL"},
'YearA-AppDetails Current Date'!I:I,"SPRING"))), "")</f>
        <v/>
      </c>
      <c r="N153" s="74" t="str" cm="1">
        <f t="array" ref="N153">IFERROR(1/(1/SUM(COUNTIFS(
'YearA-AppDetails Current Date'!A:A,D153,
'YearA-AppDetails Current Date'!F:F,E153,
'YearA-AppDetails Current Date'!E:E,--F153,
'YearA-AppDetails Current Date'!V:V,{"APRO","NODE"},
'YearA-AppDetails Current Date'!I:I,"SPRING"))), "")</f>
        <v/>
      </c>
      <c r="O153" s="74" t="str" cm="1">
        <f t="array" ref="O153">IFERROR(1/(1/SUM(COUNTIFS(
'YearA-AppDetails Current Date'!A:A,D153,
'YearA-AppDetails Current Date'!F:F,E153,
'YearA-AppDetails Current Date'!E:E,--F153,
'YearA-AppDetails Current Date'!T:T,{"CDMT","RQMT","WAIT"},
'YearA-AppDetails Current Date'!I:I,"SPRING"))), "")</f>
        <v/>
      </c>
      <c r="P153" s="74" t="str">
        <f>IFERROR(1/(1/COUNTIFS(
'YearA-AppDetails Current Date'!A:A,D153,
'YearA-AppDetails Current Date'!F:F,E153,
'YearA-AppDetails Current Date'!E:E,--F153,
'YearA-AppDetails Current Date'!Y:Y,"ENRO",
'YearA-AppDetails Current Date'!I:I,"SPRING")),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HC'!D:T,8,FALSE)),
N(VLOOKUP(D154&amp;F154,'Budgeted Projections Intl HC'!D:T,9,FALSE))
)
),"")</f>
        <v/>
      </c>
      <c r="I154" s="73" t="str">
        <f>IFERROR(1/(1/COUNTIFS(
'YearA-AppDetails Current Date'!A:A,D154,
'YearA-AppDetails Current Date'!F:F,E154,
'YearA-AppDetails Current Date'!E:E,--F154,
'YearA-AppDetails Current Date'!I:I,"SPRING")), "")</f>
        <v/>
      </c>
      <c r="J154" s="74" t="str" cm="1">
        <f t="array" ref="J154">IFERROR(1/(1/SUM(COUNTIFS(
'YearA-AppDetails Current Date'!A:A,D154,
'YearA-AppDetails Current Date'!F:F,E154,
'YearA-AppDetails Current Date'!E:E,--F154,
'YearA-AppDetails Current Date'!O:O,{"ACLN","ACPT","COND"},
'YearA-AppDetails Current Date'!S:S,"&lt;&gt;ACLN",
'YearA-AppDetails Current Date'!S:S,"&lt;&gt;ACPT",
'YearA-AppDetails Current Date'!S:S,"&lt;&gt;COND",
'YearA-AppDetails Current Date'!I:I,"SPRING"))), "")</f>
        <v/>
      </c>
      <c r="K154" s="73" t="str">
        <f>IFERROR(1/(1/SUM(COUNTIFS(
'YearA-AppDetails Current Date'!A:A,D154,
'YearA-AppDetails Current Date'!F:F,E154,
'YearA-AppDetails Current Date'!E:E,--F154,
'YearA-AppDetails Current Date'!R:R,"&lt;&gt;"&amp;"",
'YearA-AppDetails Current Date'!I:I,"SPRING"))), "")</f>
        <v/>
      </c>
      <c r="L154" s="74" t="str" cm="1">
        <f t="array" ref="L154">IFERROR(1/(1/SUM(COUNTIFS(
'YearA-AppDetails Current Date'!A:A,D154,
'YearA-AppDetails Current Date'!F:F,E154,
'YearA-AppDetails Current Date'!E:E,--F154,
'YearA-AppDetails Current Date'!T:T,{"APEX","DENY","NTSL"},
'YearA-AppDetails Current Date'!I:I,"SPRING"))), "")</f>
        <v/>
      </c>
      <c r="M154" s="74" t="str" cm="1">
        <f t="array" ref="M154">IFERROR(1/(1/SUM(COUNTIFS(
'YearA-AppDetails Current Date'!A:A,D154,
'YearA-AppDetails Current Date'!F:F,E154,
'YearA-AppDetails Current Date'!E:E,--F154,
'YearA-AppDetails Current Date'!U:U,{"CCAN","DECL"},
'YearA-AppDetails Current Date'!I:I,"SPRING"))), "")</f>
        <v/>
      </c>
      <c r="N154" s="74" t="str" cm="1">
        <f t="array" ref="N154">IFERROR(1/(1/SUM(COUNTIFS(
'YearA-AppDetails Current Date'!A:A,D154,
'YearA-AppDetails Current Date'!F:F,E154,
'YearA-AppDetails Current Date'!E:E,--F154,
'YearA-AppDetails Current Date'!V:V,{"APRO","NODE"},
'YearA-AppDetails Current Date'!I:I,"SPRING"))), "")</f>
        <v/>
      </c>
      <c r="O154" s="74" t="str" cm="1">
        <f t="array" ref="O154">IFERROR(1/(1/SUM(COUNTIFS(
'YearA-AppDetails Current Date'!A:A,D154,
'YearA-AppDetails Current Date'!F:F,E154,
'YearA-AppDetails Current Date'!E:E,--F154,
'YearA-AppDetails Current Date'!T:T,{"CDMT","RQMT","WAIT"},
'YearA-AppDetails Current Date'!I:I,"SPRING"))), "")</f>
        <v/>
      </c>
      <c r="P154" s="74" t="str">
        <f>IFERROR(1/(1/COUNTIFS(
'YearA-AppDetails Current Date'!A:A,D154,
'YearA-AppDetails Current Date'!F:F,E154,
'YearA-AppDetails Current Date'!E:E,--F154,
'YearA-AppDetails Current Date'!Y:Y,"ENRO",
'YearA-AppDetails Current Date'!I:I,"SPRING")),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HC'!D:T,8,FALSE)),
N(VLOOKUP(D155&amp;F155,'Budgeted Projections Dom HC'!D:T,9,FALSE))
)
),"")</f>
        <v/>
      </c>
      <c r="I155" s="73" t="str">
        <f>IFERROR(1/(1/COUNTIFS(
'YearA-AppDetails Current Date'!A:A,D155,
'YearA-AppDetails Current Date'!F:F,E155,
'YearA-AppDetails Current Date'!E:E,--F155,
'YearA-AppDetails Current Date'!I:I,"SPRING")), "")</f>
        <v/>
      </c>
      <c r="J155" s="74" t="str" cm="1">
        <f t="array" ref="J155">IFERROR(1/(1/SUM(COUNTIFS(
'YearA-AppDetails Current Date'!A:A,D155,
'YearA-AppDetails Current Date'!F:F,E155,
'YearA-AppDetails Current Date'!E:E,--F155,
'YearA-AppDetails Current Date'!O:O,{"ACLN","ACPT","COND"},
'YearA-AppDetails Current Date'!S:S,"&lt;&gt;ACLN",
'YearA-AppDetails Current Date'!S:S,"&lt;&gt;ACPT",
'YearA-AppDetails Current Date'!S:S,"&lt;&gt;COND",
'YearA-AppDetails Current Date'!I:I,"SPRING"))), "")</f>
        <v/>
      </c>
      <c r="K155" s="73" t="str">
        <f>IFERROR(1/(1/SUM(COUNTIFS(
'YearA-AppDetails Current Date'!A:A,D155,
'YearA-AppDetails Current Date'!F:F,E155,
'YearA-AppDetails Current Date'!E:E,--F155,
'YearA-AppDetails Current Date'!R:R,"&lt;&gt;"&amp;"",
'YearA-AppDetails Current Date'!I:I,"SPRING"))), "")</f>
        <v/>
      </c>
      <c r="L155" s="74" t="str" cm="1">
        <f t="array" ref="L155">IFERROR(1/(1/SUM(COUNTIFS(
'YearA-AppDetails Current Date'!A:A,D155,
'YearA-AppDetails Current Date'!F:F,E155,
'YearA-AppDetails Current Date'!E:E,--F155,
'YearA-AppDetails Current Date'!T:T,{"APEX","DENY","NTSL"},
'YearA-AppDetails Current Date'!I:I,"SPRING"))), "")</f>
        <v/>
      </c>
      <c r="M155" s="74" t="str" cm="1">
        <f t="array" ref="M155">IFERROR(1/(1/SUM(COUNTIFS(
'YearA-AppDetails Current Date'!A:A,D155,
'YearA-AppDetails Current Date'!F:F,E155,
'YearA-AppDetails Current Date'!E:E,--F155,
'YearA-AppDetails Current Date'!U:U,{"CCAN","DECL"},
'YearA-AppDetails Current Date'!I:I,"SPRING"))), "")</f>
        <v/>
      </c>
      <c r="N155" s="74" t="str" cm="1">
        <f t="array" ref="N155">IFERROR(1/(1/SUM(COUNTIFS(
'YearA-AppDetails Current Date'!A:A,D155,
'YearA-AppDetails Current Date'!F:F,E155,
'YearA-AppDetails Current Date'!E:E,--F155,
'YearA-AppDetails Current Date'!V:V,{"APRO","NODE"},
'YearA-AppDetails Current Date'!I:I,"SPRING"))), "")</f>
        <v/>
      </c>
      <c r="O155" s="74" t="str" cm="1">
        <f t="array" ref="O155">IFERROR(1/(1/SUM(COUNTIFS(
'YearA-AppDetails Current Date'!A:A,D155,
'YearA-AppDetails Current Date'!F:F,E155,
'YearA-AppDetails Current Date'!E:E,--F155,
'YearA-AppDetails Current Date'!T:T,{"CDMT","RQMT","WAIT"},
'YearA-AppDetails Current Date'!I:I,"SPRING"))), "")</f>
        <v/>
      </c>
      <c r="P155" s="74" t="str">
        <f>IFERROR(1/(1/COUNTIFS(
'YearA-AppDetails Current Date'!A:A,D155,
'YearA-AppDetails Current Date'!F:F,E155,
'YearA-AppDetails Current Date'!E:E,--F155,
'YearA-AppDetails Current Date'!Y:Y,"ENRO",
'YearA-AppDetails Current Date'!I:I,"SPRING")),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HC'!D:T,8,FALSE)),
N(VLOOKUP(D156&amp;F156,'Budgeted Projections Intl HC'!D:T,9,FALSE))
)
),"")</f>
        <v/>
      </c>
      <c r="I156" s="73" t="str">
        <f>IFERROR(1/(1/COUNTIFS(
'YearA-AppDetails Current Date'!A:A,D156,
'YearA-AppDetails Current Date'!F:F,E156,
'YearA-AppDetails Current Date'!E:E,--F156,
'YearA-AppDetails Current Date'!I:I,"SPRING")), "")</f>
        <v/>
      </c>
      <c r="J156" s="74" t="str" cm="1">
        <f t="array" ref="J156">IFERROR(1/(1/SUM(COUNTIFS(
'YearA-AppDetails Current Date'!A:A,D156,
'YearA-AppDetails Current Date'!F:F,E156,
'YearA-AppDetails Current Date'!E:E,--F156,
'YearA-AppDetails Current Date'!O:O,{"ACLN","ACPT","COND"},
'YearA-AppDetails Current Date'!S:S,"&lt;&gt;ACLN",
'YearA-AppDetails Current Date'!S:S,"&lt;&gt;ACPT",
'YearA-AppDetails Current Date'!S:S,"&lt;&gt;COND",
'YearA-AppDetails Current Date'!I:I,"SPRING"))), "")</f>
        <v/>
      </c>
      <c r="K156" s="73" t="str">
        <f>IFERROR(1/(1/SUM(COUNTIFS(
'YearA-AppDetails Current Date'!A:A,D156,
'YearA-AppDetails Current Date'!F:F,E156,
'YearA-AppDetails Current Date'!E:E,--F156,
'YearA-AppDetails Current Date'!R:R,"&lt;&gt;"&amp;"",
'YearA-AppDetails Current Date'!I:I,"SPRING"))), "")</f>
        <v/>
      </c>
      <c r="L156" s="74" t="str" cm="1">
        <f t="array" ref="L156">IFERROR(1/(1/SUM(COUNTIFS(
'YearA-AppDetails Current Date'!A:A,D156,
'YearA-AppDetails Current Date'!F:F,E156,
'YearA-AppDetails Current Date'!E:E,--F156,
'YearA-AppDetails Current Date'!T:T,{"APEX","DENY","NTSL"},
'YearA-AppDetails Current Date'!I:I,"SPRING"))), "")</f>
        <v/>
      </c>
      <c r="M156" s="74" t="str" cm="1">
        <f t="array" ref="M156">IFERROR(1/(1/SUM(COUNTIFS(
'YearA-AppDetails Current Date'!A:A,D156,
'YearA-AppDetails Current Date'!F:F,E156,
'YearA-AppDetails Current Date'!E:E,--F156,
'YearA-AppDetails Current Date'!U:U,{"CCAN","DECL"},
'YearA-AppDetails Current Date'!I:I,"SPRING"))), "")</f>
        <v/>
      </c>
      <c r="N156" s="74" t="str" cm="1">
        <f t="array" ref="N156">IFERROR(1/(1/SUM(COUNTIFS(
'YearA-AppDetails Current Date'!A:A,D156,
'YearA-AppDetails Current Date'!F:F,E156,
'YearA-AppDetails Current Date'!E:E,--F156,
'YearA-AppDetails Current Date'!V:V,{"APRO","NODE"},
'YearA-AppDetails Current Date'!I:I,"SPRING"))), "")</f>
        <v/>
      </c>
      <c r="O156" s="74" t="str" cm="1">
        <f t="array" ref="O156">IFERROR(1/(1/SUM(COUNTIFS(
'YearA-AppDetails Current Date'!A:A,D156,
'YearA-AppDetails Current Date'!F:F,E156,
'YearA-AppDetails Current Date'!E:E,--F156,
'YearA-AppDetails Current Date'!T:T,{"CDMT","RQMT","WAIT"},
'YearA-AppDetails Current Date'!I:I,"SPRING"))), "")</f>
        <v/>
      </c>
      <c r="P156" s="74" t="str">
        <f>IFERROR(1/(1/COUNTIFS(
'YearA-AppDetails Current Date'!A:A,D156,
'YearA-AppDetails Current Date'!F:F,E156,
'YearA-AppDetails Current Date'!E:E,--F156,
'YearA-AppDetails Current Date'!Y:Y,"ENRO",
'YearA-AppDetails Current Date'!I:I,"SPRING")),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HC'!D:T,8,FALSE)),
N(VLOOKUP(D158&amp;F158,'Budgeted Projections Dom HC'!D:T,9,FALSE))
)
),"")</f>
        <v/>
      </c>
      <c r="I158" s="73" t="str">
        <f>IFERROR(1/(1/COUNTIFS(
'YearA-AppDetails Current Date'!A:A,D158,
'YearA-AppDetails Current Date'!F:F,E158,
'YearA-AppDetails Current Date'!E:E,--F158,
'YearA-AppDetails Current Date'!I:I,"SPRING")), "")</f>
        <v/>
      </c>
      <c r="J158" s="74" t="str" cm="1">
        <f t="array" ref="J158">IFERROR(1/(1/SUM(COUNTIFS(
'YearA-AppDetails Current Date'!A:A,D158,
'YearA-AppDetails Current Date'!F:F,E158,
'YearA-AppDetails Current Date'!E:E,--F158,
'YearA-AppDetails Current Date'!O:O,{"ACLN","ACPT","COND"},
'YearA-AppDetails Current Date'!S:S,"&lt;&gt;ACLN",
'YearA-AppDetails Current Date'!S:S,"&lt;&gt;ACPT",
'YearA-AppDetails Current Date'!S:S,"&lt;&gt;COND",
'YearA-AppDetails Current Date'!I:I,"SPRING"))), "")</f>
        <v/>
      </c>
      <c r="K158" s="73" t="str">
        <f>IFERROR(1/(1/SUM(COUNTIFS(
'YearA-AppDetails Current Date'!A:A,D158,
'YearA-AppDetails Current Date'!F:F,E158,
'YearA-AppDetails Current Date'!E:E,--F158,
'YearA-AppDetails Current Date'!R:R,"&lt;&gt;"&amp;"",
'YearA-AppDetails Current Date'!I:I,"SPRING"))), "")</f>
        <v/>
      </c>
      <c r="L158" s="74" t="str" cm="1">
        <f t="array" ref="L158">IFERROR(1/(1/SUM(COUNTIFS(
'YearA-AppDetails Current Date'!A:A,D158,
'YearA-AppDetails Current Date'!F:F,E158,
'YearA-AppDetails Current Date'!E:E,--F158,
'YearA-AppDetails Current Date'!T:T,{"APEX","DENY","NTSL"},
'YearA-AppDetails Current Date'!I:I,"SPRING"))), "")</f>
        <v/>
      </c>
      <c r="M158" s="74" t="str" cm="1">
        <f t="array" ref="M158">IFERROR(1/(1/SUM(COUNTIFS(
'YearA-AppDetails Current Date'!A:A,D158,
'YearA-AppDetails Current Date'!F:F,E158,
'YearA-AppDetails Current Date'!E:E,--F158,
'YearA-AppDetails Current Date'!U:U,{"CCAN","DECL"},
'YearA-AppDetails Current Date'!I:I,"SPRING"))), "")</f>
        <v/>
      </c>
      <c r="N158" s="74" t="str" cm="1">
        <f t="array" ref="N158">IFERROR(1/(1/SUM(COUNTIFS(
'YearA-AppDetails Current Date'!A:A,D158,
'YearA-AppDetails Current Date'!F:F,E158,
'YearA-AppDetails Current Date'!E:E,--F158,
'YearA-AppDetails Current Date'!V:V,{"APRO","NODE"},
'YearA-AppDetails Current Date'!I:I,"SPRING"))), "")</f>
        <v/>
      </c>
      <c r="O158" s="74" t="str" cm="1">
        <f t="array" ref="O158">IFERROR(1/(1/SUM(COUNTIFS(
'YearA-AppDetails Current Date'!A:A,D158,
'YearA-AppDetails Current Date'!F:F,E158,
'YearA-AppDetails Current Date'!E:E,--F158,
'YearA-AppDetails Current Date'!T:T,{"CDMT","RQMT","WAIT"},
'YearA-AppDetails Current Date'!I:I,"SPRING"))), "")</f>
        <v/>
      </c>
      <c r="P158" s="74" t="str">
        <f>IFERROR(1/(1/COUNTIFS(
'YearA-AppDetails Current Date'!A:A,D158,
'YearA-AppDetails Current Date'!F:F,E158,
'YearA-AppDetails Current Date'!E:E,--F158,
'YearA-AppDetails Current Date'!Y:Y,"ENRO",
'YearA-AppDetails Current Date'!I:I,"SPRING")),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HC'!D:T,8,FALSE)),
N(VLOOKUP(D159&amp;F159,'Budgeted Projections Intl HC'!D:T,9,FALSE))
)
),"")</f>
        <v/>
      </c>
      <c r="I159" s="73" t="str">
        <f>IFERROR(1/(1/COUNTIFS(
'YearA-AppDetails Current Date'!A:A,D159,
'YearA-AppDetails Current Date'!F:F,E159,
'YearA-AppDetails Current Date'!E:E,--F159,
'YearA-AppDetails Current Date'!I:I,"SPRING")), "")</f>
        <v/>
      </c>
      <c r="J159" s="74" t="str" cm="1">
        <f t="array" ref="J159">IFERROR(1/(1/SUM(COUNTIFS(
'YearA-AppDetails Current Date'!A:A,D159,
'YearA-AppDetails Current Date'!F:F,E159,
'YearA-AppDetails Current Date'!E:E,--F159,
'YearA-AppDetails Current Date'!O:O,{"ACLN","ACPT","COND"},
'YearA-AppDetails Current Date'!S:S,"&lt;&gt;ACLN",
'YearA-AppDetails Current Date'!S:S,"&lt;&gt;ACPT",
'YearA-AppDetails Current Date'!S:S,"&lt;&gt;COND",
'YearA-AppDetails Current Date'!I:I,"SPRING"))), "")</f>
        <v/>
      </c>
      <c r="K159" s="73" t="str">
        <f>IFERROR(1/(1/SUM(COUNTIFS(
'YearA-AppDetails Current Date'!A:A,D159,
'YearA-AppDetails Current Date'!F:F,E159,
'YearA-AppDetails Current Date'!E:E,--F159,
'YearA-AppDetails Current Date'!R:R,"&lt;&gt;"&amp;"",
'YearA-AppDetails Current Date'!I:I,"SPRING"))), "")</f>
        <v/>
      </c>
      <c r="L159" s="74" t="str" cm="1">
        <f t="array" ref="L159">IFERROR(1/(1/SUM(COUNTIFS(
'YearA-AppDetails Current Date'!A:A,D159,
'YearA-AppDetails Current Date'!F:F,E159,
'YearA-AppDetails Current Date'!E:E,--F159,
'YearA-AppDetails Current Date'!T:T,{"APEX","DENY","NTSL"},
'YearA-AppDetails Current Date'!I:I,"SPRING"))), "")</f>
        <v/>
      </c>
      <c r="M159" s="74" t="str" cm="1">
        <f t="array" ref="M159">IFERROR(1/(1/SUM(COUNTIFS(
'YearA-AppDetails Current Date'!A:A,D159,
'YearA-AppDetails Current Date'!F:F,E159,
'YearA-AppDetails Current Date'!E:E,--F159,
'YearA-AppDetails Current Date'!U:U,{"CCAN","DECL"},
'YearA-AppDetails Current Date'!I:I,"SPRING"))), "")</f>
        <v/>
      </c>
      <c r="N159" s="74" t="str" cm="1">
        <f t="array" ref="N159">IFERROR(1/(1/SUM(COUNTIFS(
'YearA-AppDetails Current Date'!A:A,D159,
'YearA-AppDetails Current Date'!F:F,E159,
'YearA-AppDetails Current Date'!E:E,--F159,
'YearA-AppDetails Current Date'!V:V,{"APRO","NODE"},
'YearA-AppDetails Current Date'!I:I,"SPRING"))), "")</f>
        <v/>
      </c>
      <c r="O159" s="74" t="str" cm="1">
        <f t="array" ref="O159">IFERROR(1/(1/SUM(COUNTIFS(
'YearA-AppDetails Current Date'!A:A,D159,
'YearA-AppDetails Current Date'!F:F,E159,
'YearA-AppDetails Current Date'!E:E,--F159,
'YearA-AppDetails Current Date'!T:T,{"CDMT","RQMT","WAIT"},
'YearA-AppDetails Current Date'!I:I,"SPRING"))), "")</f>
        <v/>
      </c>
      <c r="P159" s="74" t="str">
        <f>IFERROR(1/(1/COUNTIFS(
'YearA-AppDetails Current Date'!A:A,D159,
'YearA-AppDetails Current Date'!F:F,E159,
'YearA-AppDetails Current Date'!E:E,--F159,
'YearA-AppDetails Current Date'!Y:Y,"ENRO",
'YearA-AppDetails Current Date'!I:I,"SPRING")),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HC'!D:T,8,FALSE)),
N(VLOOKUP(D160&amp;F160,'Budgeted Projections Dom HC'!D:T,9,FALSE))
)
),"")</f>
        <v/>
      </c>
      <c r="I160" s="73" t="str">
        <f>IFERROR(1/(1/COUNTIFS(
'YearA-AppDetails Current Date'!A:A,D160,
'YearA-AppDetails Current Date'!F:F,E160,
'YearA-AppDetails Current Date'!E:E,--F160,
'YearA-AppDetails Current Date'!I:I,"SPRING")), "")</f>
        <v/>
      </c>
      <c r="J160" s="74" t="str" cm="1">
        <f t="array" ref="J160">IFERROR(1/(1/SUM(COUNTIFS(
'YearA-AppDetails Current Date'!A:A,D160,
'YearA-AppDetails Current Date'!F:F,E160,
'YearA-AppDetails Current Date'!E:E,--F160,
'YearA-AppDetails Current Date'!O:O,{"ACLN","ACPT","COND"},
'YearA-AppDetails Current Date'!S:S,"&lt;&gt;ACLN",
'YearA-AppDetails Current Date'!S:S,"&lt;&gt;ACPT",
'YearA-AppDetails Current Date'!S:S,"&lt;&gt;COND",
'YearA-AppDetails Current Date'!I:I,"SPRING"))), "")</f>
        <v/>
      </c>
      <c r="K160" s="73" t="str">
        <f>IFERROR(1/(1/SUM(COUNTIFS(
'YearA-AppDetails Current Date'!A:A,D160,
'YearA-AppDetails Current Date'!F:F,E160,
'YearA-AppDetails Current Date'!E:E,--F160,
'YearA-AppDetails Current Date'!R:R,"&lt;&gt;"&amp;"",
'YearA-AppDetails Current Date'!I:I,"SPRING"))), "")</f>
        <v/>
      </c>
      <c r="L160" s="74" t="str" cm="1">
        <f t="array" ref="L160">IFERROR(1/(1/SUM(COUNTIFS(
'YearA-AppDetails Current Date'!A:A,D160,
'YearA-AppDetails Current Date'!F:F,E160,
'YearA-AppDetails Current Date'!E:E,--F160,
'YearA-AppDetails Current Date'!T:T,{"APEX","DENY","NTSL"},
'YearA-AppDetails Current Date'!I:I,"SPRING"))), "")</f>
        <v/>
      </c>
      <c r="M160" s="74" t="str" cm="1">
        <f t="array" ref="M160">IFERROR(1/(1/SUM(COUNTIFS(
'YearA-AppDetails Current Date'!A:A,D160,
'YearA-AppDetails Current Date'!F:F,E160,
'YearA-AppDetails Current Date'!E:E,--F160,
'YearA-AppDetails Current Date'!U:U,{"CCAN","DECL"},
'YearA-AppDetails Current Date'!I:I,"SPRING"))), "")</f>
        <v/>
      </c>
      <c r="N160" s="74" t="str" cm="1">
        <f t="array" ref="N160">IFERROR(1/(1/SUM(COUNTIFS(
'YearA-AppDetails Current Date'!A:A,D160,
'YearA-AppDetails Current Date'!F:F,E160,
'YearA-AppDetails Current Date'!E:E,--F160,
'YearA-AppDetails Current Date'!V:V,{"APRO","NODE"},
'YearA-AppDetails Current Date'!I:I,"SPRING"))), "")</f>
        <v/>
      </c>
      <c r="O160" s="74" t="str" cm="1">
        <f t="array" ref="O160">IFERROR(1/(1/SUM(COUNTIFS(
'YearA-AppDetails Current Date'!A:A,D160,
'YearA-AppDetails Current Date'!F:F,E160,
'YearA-AppDetails Current Date'!E:E,--F160,
'YearA-AppDetails Current Date'!T:T,{"CDMT","RQMT","WAIT"},
'YearA-AppDetails Current Date'!I:I,"SPRING"))), "")</f>
        <v/>
      </c>
      <c r="P160" s="74" t="str">
        <f>IFERROR(1/(1/COUNTIFS(
'YearA-AppDetails Current Date'!A:A,D160,
'YearA-AppDetails Current Date'!F:F,E160,
'YearA-AppDetails Current Date'!E:E,--F160,
'YearA-AppDetails Current Date'!Y:Y,"ENRO",
'YearA-AppDetails Current Date'!I:I,"SPRING")),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HC'!D:T,8,FALSE)),
N(VLOOKUP(D161&amp;F161,'Budgeted Projections Intl HC'!D:T,9,FALSE))
)
),"")</f>
        <v/>
      </c>
      <c r="I161" s="73" t="str">
        <f>IFERROR(1/(1/COUNTIFS(
'YearA-AppDetails Current Date'!A:A,D161,
'YearA-AppDetails Current Date'!F:F,E161,
'YearA-AppDetails Current Date'!E:E,--F161,
'YearA-AppDetails Current Date'!I:I,"SPRING")), "")</f>
        <v/>
      </c>
      <c r="J161" s="74" t="str" cm="1">
        <f t="array" ref="J161">IFERROR(1/(1/SUM(COUNTIFS(
'YearA-AppDetails Current Date'!A:A,D161,
'YearA-AppDetails Current Date'!F:F,E161,
'YearA-AppDetails Current Date'!E:E,--F161,
'YearA-AppDetails Current Date'!O:O,{"ACLN","ACPT","COND"},
'YearA-AppDetails Current Date'!S:S,"&lt;&gt;ACLN",
'YearA-AppDetails Current Date'!S:S,"&lt;&gt;ACPT",
'YearA-AppDetails Current Date'!S:S,"&lt;&gt;COND",
'YearA-AppDetails Current Date'!I:I,"SPRING"))), "")</f>
        <v/>
      </c>
      <c r="K161" s="73" t="str">
        <f>IFERROR(1/(1/SUM(COUNTIFS(
'YearA-AppDetails Current Date'!A:A,D161,
'YearA-AppDetails Current Date'!F:F,E161,
'YearA-AppDetails Current Date'!E:E,--F161,
'YearA-AppDetails Current Date'!R:R,"&lt;&gt;"&amp;"",
'YearA-AppDetails Current Date'!I:I,"SPRING"))), "")</f>
        <v/>
      </c>
      <c r="L161" s="74" t="str" cm="1">
        <f t="array" ref="L161">IFERROR(1/(1/SUM(COUNTIFS(
'YearA-AppDetails Current Date'!A:A,D161,
'YearA-AppDetails Current Date'!F:F,E161,
'YearA-AppDetails Current Date'!E:E,--F161,
'YearA-AppDetails Current Date'!T:T,{"APEX","DENY","NTSL"},
'YearA-AppDetails Current Date'!I:I,"SPRING"))), "")</f>
        <v/>
      </c>
      <c r="M161" s="74" t="str" cm="1">
        <f t="array" ref="M161">IFERROR(1/(1/SUM(COUNTIFS(
'YearA-AppDetails Current Date'!A:A,D161,
'YearA-AppDetails Current Date'!F:F,E161,
'YearA-AppDetails Current Date'!E:E,--F161,
'YearA-AppDetails Current Date'!U:U,{"CCAN","DECL"},
'YearA-AppDetails Current Date'!I:I,"SPRING"))), "")</f>
        <v/>
      </c>
      <c r="N161" s="74" t="str" cm="1">
        <f t="array" ref="N161">IFERROR(1/(1/SUM(COUNTIFS(
'YearA-AppDetails Current Date'!A:A,D161,
'YearA-AppDetails Current Date'!F:F,E161,
'YearA-AppDetails Current Date'!E:E,--F161,
'YearA-AppDetails Current Date'!V:V,{"APRO","NODE"},
'YearA-AppDetails Current Date'!I:I,"SPRING"))), "")</f>
        <v/>
      </c>
      <c r="O161" s="74" t="str" cm="1">
        <f t="array" ref="O161">IFERROR(1/(1/SUM(COUNTIFS(
'YearA-AppDetails Current Date'!A:A,D161,
'YearA-AppDetails Current Date'!F:F,E161,
'YearA-AppDetails Current Date'!E:E,--F161,
'YearA-AppDetails Current Date'!T:T,{"CDMT","RQMT","WAIT"},
'YearA-AppDetails Current Date'!I:I,"SPRING"))), "")</f>
        <v/>
      </c>
      <c r="P161" s="74" t="str">
        <f>IFERROR(1/(1/COUNTIFS(
'YearA-AppDetails Current Date'!A:A,D161,
'YearA-AppDetails Current Date'!F:F,E161,
'YearA-AppDetails Current Date'!E:E,--F161,
'YearA-AppDetails Current Date'!Y:Y,"ENRO",
'YearA-AppDetails Current Date'!I:I,"SPRING")),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HC'!D:T,8,FALSE)),
N(VLOOKUP(D162&amp;F162,'Budgeted Projections Dom HC'!D:T,9,FALSE))
)
),"")</f>
        <v/>
      </c>
      <c r="I162" s="73" t="str">
        <f>IFERROR(1/(1/COUNTIFS(
'YearA-AppDetails Current Date'!A:A,D162,
'YearA-AppDetails Current Date'!F:F,E162,
'YearA-AppDetails Current Date'!E:E,--F162,
'YearA-AppDetails Current Date'!I:I,"SPRING")), "")</f>
        <v/>
      </c>
      <c r="J162" s="74" t="str" cm="1">
        <f t="array" ref="J162">IFERROR(1/(1/SUM(COUNTIFS(
'YearA-AppDetails Current Date'!A:A,D162,
'YearA-AppDetails Current Date'!F:F,E162,
'YearA-AppDetails Current Date'!E:E,--F162,
'YearA-AppDetails Current Date'!O:O,{"ACLN","ACPT","COND"},
'YearA-AppDetails Current Date'!S:S,"&lt;&gt;ACLN",
'YearA-AppDetails Current Date'!S:S,"&lt;&gt;ACPT",
'YearA-AppDetails Current Date'!S:S,"&lt;&gt;COND",
'YearA-AppDetails Current Date'!I:I,"SPRING"))), "")</f>
        <v/>
      </c>
      <c r="K162" s="73" t="str">
        <f>IFERROR(1/(1/SUM(COUNTIFS(
'YearA-AppDetails Current Date'!A:A,D162,
'YearA-AppDetails Current Date'!F:F,E162,
'YearA-AppDetails Current Date'!E:E,--F162,
'YearA-AppDetails Current Date'!R:R,"&lt;&gt;"&amp;"",
'YearA-AppDetails Current Date'!I:I,"SPRING"))), "")</f>
        <v/>
      </c>
      <c r="L162" s="74" t="str" cm="1">
        <f t="array" ref="L162">IFERROR(1/(1/SUM(COUNTIFS(
'YearA-AppDetails Current Date'!A:A,D162,
'YearA-AppDetails Current Date'!F:F,E162,
'YearA-AppDetails Current Date'!E:E,--F162,
'YearA-AppDetails Current Date'!T:T,{"APEX","DENY","NTSL"},
'YearA-AppDetails Current Date'!I:I,"SPRING"))), "")</f>
        <v/>
      </c>
      <c r="M162" s="74" t="str" cm="1">
        <f t="array" ref="M162">IFERROR(1/(1/SUM(COUNTIFS(
'YearA-AppDetails Current Date'!A:A,D162,
'YearA-AppDetails Current Date'!F:F,E162,
'YearA-AppDetails Current Date'!E:E,--F162,
'YearA-AppDetails Current Date'!U:U,{"CCAN","DECL"},
'YearA-AppDetails Current Date'!I:I,"SPRING"))), "")</f>
        <v/>
      </c>
      <c r="N162" s="74" t="str" cm="1">
        <f t="array" ref="N162">IFERROR(1/(1/SUM(COUNTIFS(
'YearA-AppDetails Current Date'!A:A,D162,
'YearA-AppDetails Current Date'!F:F,E162,
'YearA-AppDetails Current Date'!E:E,--F162,
'YearA-AppDetails Current Date'!V:V,{"APRO","NODE"},
'YearA-AppDetails Current Date'!I:I,"SPRING"))), "")</f>
        <v/>
      </c>
      <c r="O162" s="74" t="str" cm="1">
        <f t="array" ref="O162">IFERROR(1/(1/SUM(COUNTIFS(
'YearA-AppDetails Current Date'!A:A,D162,
'YearA-AppDetails Current Date'!F:F,E162,
'YearA-AppDetails Current Date'!E:E,--F162,
'YearA-AppDetails Current Date'!T:T,{"CDMT","RQMT","WAIT"},
'YearA-AppDetails Current Date'!I:I,"SPRING"))), "")</f>
        <v/>
      </c>
      <c r="P162" s="74" t="str">
        <f>IFERROR(1/(1/COUNTIFS(
'YearA-AppDetails Current Date'!A:A,D162,
'YearA-AppDetails Current Date'!F:F,E162,
'YearA-AppDetails Current Date'!E:E,--F162,
'YearA-AppDetails Current Date'!Y:Y,"ENRO",
'YearA-AppDetails Current Date'!I:I,"SPRING")),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HC'!D:T,8,FALSE)),
N(VLOOKUP(D163&amp;F163,'Budgeted Projections Intl HC'!D:T,9,FALSE))
)
),"")</f>
        <v/>
      </c>
      <c r="I163" s="73" t="str">
        <f>IFERROR(1/(1/COUNTIFS(
'YearA-AppDetails Current Date'!A:A,D163,
'YearA-AppDetails Current Date'!F:F,E163,
'YearA-AppDetails Current Date'!E:E,--F163,
'YearA-AppDetails Current Date'!I:I,"SPRING")), "")</f>
        <v/>
      </c>
      <c r="J163" s="74" t="str" cm="1">
        <f t="array" ref="J163">IFERROR(1/(1/SUM(COUNTIFS(
'YearA-AppDetails Current Date'!A:A,D163,
'YearA-AppDetails Current Date'!F:F,E163,
'YearA-AppDetails Current Date'!E:E,--F163,
'YearA-AppDetails Current Date'!O:O,{"ACLN","ACPT","COND"},
'YearA-AppDetails Current Date'!S:S,"&lt;&gt;ACLN",
'YearA-AppDetails Current Date'!S:S,"&lt;&gt;ACPT",
'YearA-AppDetails Current Date'!S:S,"&lt;&gt;COND",
'YearA-AppDetails Current Date'!I:I,"SPRING"))), "")</f>
        <v/>
      </c>
      <c r="K163" s="73" t="str">
        <f>IFERROR(1/(1/SUM(COUNTIFS(
'YearA-AppDetails Current Date'!A:A,D163,
'YearA-AppDetails Current Date'!F:F,E163,
'YearA-AppDetails Current Date'!E:E,--F163,
'YearA-AppDetails Current Date'!R:R,"&lt;&gt;"&amp;"",
'YearA-AppDetails Current Date'!I:I,"SPRING"))), "")</f>
        <v/>
      </c>
      <c r="L163" s="74" t="str" cm="1">
        <f t="array" ref="L163">IFERROR(1/(1/SUM(COUNTIFS(
'YearA-AppDetails Current Date'!A:A,D163,
'YearA-AppDetails Current Date'!F:F,E163,
'YearA-AppDetails Current Date'!E:E,--F163,
'YearA-AppDetails Current Date'!T:T,{"APEX","DENY","NTSL"},
'YearA-AppDetails Current Date'!I:I,"SPRING"))), "")</f>
        <v/>
      </c>
      <c r="M163" s="74" t="str" cm="1">
        <f t="array" ref="M163">IFERROR(1/(1/SUM(COUNTIFS(
'YearA-AppDetails Current Date'!A:A,D163,
'YearA-AppDetails Current Date'!F:F,E163,
'YearA-AppDetails Current Date'!E:E,--F163,
'YearA-AppDetails Current Date'!U:U,{"CCAN","DECL"},
'YearA-AppDetails Current Date'!I:I,"SPRING"))), "")</f>
        <v/>
      </c>
      <c r="N163" s="74" t="str" cm="1">
        <f t="array" ref="N163">IFERROR(1/(1/SUM(COUNTIFS(
'YearA-AppDetails Current Date'!A:A,D163,
'YearA-AppDetails Current Date'!F:F,E163,
'YearA-AppDetails Current Date'!E:E,--F163,
'YearA-AppDetails Current Date'!V:V,{"APRO","NODE"},
'YearA-AppDetails Current Date'!I:I,"SPRING"))), "")</f>
        <v/>
      </c>
      <c r="O163" s="74" t="str" cm="1">
        <f t="array" ref="O163">IFERROR(1/(1/SUM(COUNTIFS(
'YearA-AppDetails Current Date'!A:A,D163,
'YearA-AppDetails Current Date'!F:F,E163,
'YearA-AppDetails Current Date'!E:E,--F163,
'YearA-AppDetails Current Date'!T:T,{"CDMT","RQMT","WAIT"},
'YearA-AppDetails Current Date'!I:I,"SPRING"))), "")</f>
        <v/>
      </c>
      <c r="P163" s="74" t="str">
        <f>IFERROR(1/(1/COUNTIFS(
'YearA-AppDetails Current Date'!A:A,D163,
'YearA-AppDetails Current Date'!F:F,E163,
'YearA-AppDetails Current Date'!E:E,--F163,
'YearA-AppDetails Current Date'!Y:Y,"ENRO",
'YearA-AppDetails Current Date'!I:I,"SPRING")),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HC'!D:T,8,FALSE)),
N(VLOOKUP(D164&amp;F164,'Budgeted Projections Dom HC'!D:T,9,FALSE))
)
),"")</f>
        <v/>
      </c>
      <c r="I164" s="73" t="str">
        <f>IFERROR(1/(1/COUNTIFS(
'YearA-AppDetails Current Date'!A:A,D164,
'YearA-AppDetails Current Date'!F:F,E164,
'YearA-AppDetails Current Date'!E:E,--F164,
'YearA-AppDetails Current Date'!I:I,"SPRING")), "")</f>
        <v/>
      </c>
      <c r="J164" s="74" t="str" cm="1">
        <f t="array" ref="J164">IFERROR(1/(1/SUM(COUNTIFS(
'YearA-AppDetails Current Date'!A:A,D164,
'YearA-AppDetails Current Date'!F:F,E164,
'YearA-AppDetails Current Date'!E:E,--F164,
'YearA-AppDetails Current Date'!O:O,{"ACLN","ACPT","COND"},
'YearA-AppDetails Current Date'!S:S,"&lt;&gt;ACLN",
'YearA-AppDetails Current Date'!S:S,"&lt;&gt;ACPT",
'YearA-AppDetails Current Date'!S:S,"&lt;&gt;COND",
'YearA-AppDetails Current Date'!I:I,"SPRING"))), "")</f>
        <v/>
      </c>
      <c r="K164" s="73" t="str">
        <f>IFERROR(1/(1/SUM(COUNTIFS(
'YearA-AppDetails Current Date'!A:A,D164,
'YearA-AppDetails Current Date'!F:F,E164,
'YearA-AppDetails Current Date'!E:E,--F164,
'YearA-AppDetails Current Date'!R:R,"&lt;&gt;"&amp;"",
'YearA-AppDetails Current Date'!I:I,"SPRING"))), "")</f>
        <v/>
      </c>
      <c r="L164" s="74" t="str" cm="1">
        <f t="array" ref="L164">IFERROR(1/(1/SUM(COUNTIFS(
'YearA-AppDetails Current Date'!A:A,D164,
'YearA-AppDetails Current Date'!F:F,E164,
'YearA-AppDetails Current Date'!E:E,--F164,
'YearA-AppDetails Current Date'!T:T,{"APEX","DENY","NTSL"},
'YearA-AppDetails Current Date'!I:I,"SPRING"))), "")</f>
        <v/>
      </c>
      <c r="M164" s="74" t="str" cm="1">
        <f t="array" ref="M164">IFERROR(1/(1/SUM(COUNTIFS(
'YearA-AppDetails Current Date'!A:A,D164,
'YearA-AppDetails Current Date'!F:F,E164,
'YearA-AppDetails Current Date'!E:E,--F164,
'YearA-AppDetails Current Date'!U:U,{"CCAN","DECL"},
'YearA-AppDetails Current Date'!I:I,"SPRING"))), "")</f>
        <v/>
      </c>
      <c r="N164" s="74" t="str" cm="1">
        <f t="array" ref="N164">IFERROR(1/(1/SUM(COUNTIFS(
'YearA-AppDetails Current Date'!A:A,D164,
'YearA-AppDetails Current Date'!F:F,E164,
'YearA-AppDetails Current Date'!E:E,--F164,
'YearA-AppDetails Current Date'!V:V,{"APRO","NODE"},
'YearA-AppDetails Current Date'!I:I,"SPRING"))), "")</f>
        <v/>
      </c>
      <c r="O164" s="74" t="str" cm="1">
        <f t="array" ref="O164">IFERROR(1/(1/SUM(COUNTIFS(
'YearA-AppDetails Current Date'!A:A,D164,
'YearA-AppDetails Current Date'!F:F,E164,
'YearA-AppDetails Current Date'!E:E,--F164,
'YearA-AppDetails Current Date'!T:T,{"CDMT","RQMT","WAIT"},
'YearA-AppDetails Current Date'!I:I,"SPRING"))), "")</f>
        <v/>
      </c>
      <c r="P164" s="74" t="str">
        <f>IFERROR(1/(1/COUNTIFS(
'YearA-AppDetails Current Date'!A:A,D164,
'YearA-AppDetails Current Date'!F:F,E164,
'YearA-AppDetails Current Date'!E:E,--F164,
'YearA-AppDetails Current Date'!Y:Y,"ENRO",
'YearA-AppDetails Current Date'!I:I,"SPRING")),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HC'!D:T,8,FALSE)),
N(VLOOKUP(D165&amp;F165,'Budgeted Projections Intl HC'!D:T,9,FALSE))
)
),"")</f>
        <v/>
      </c>
      <c r="I165" s="73" t="str">
        <f>IFERROR(1/(1/COUNTIFS(
'YearA-AppDetails Current Date'!A:A,D165,
'YearA-AppDetails Current Date'!F:F,E165,
'YearA-AppDetails Current Date'!E:E,--F165,
'YearA-AppDetails Current Date'!I:I,"SPRING")), "")</f>
        <v/>
      </c>
      <c r="J165" s="74" t="str" cm="1">
        <f t="array" ref="J165">IFERROR(1/(1/SUM(COUNTIFS(
'YearA-AppDetails Current Date'!A:A,D165,
'YearA-AppDetails Current Date'!F:F,E165,
'YearA-AppDetails Current Date'!E:E,--F165,
'YearA-AppDetails Current Date'!O:O,{"ACLN","ACPT","COND"},
'YearA-AppDetails Current Date'!S:S,"&lt;&gt;ACLN",
'YearA-AppDetails Current Date'!S:S,"&lt;&gt;ACPT",
'YearA-AppDetails Current Date'!S:S,"&lt;&gt;COND",
'YearA-AppDetails Current Date'!I:I,"SPRING"))), "")</f>
        <v/>
      </c>
      <c r="K165" s="73" t="str">
        <f>IFERROR(1/(1/SUM(COUNTIFS(
'YearA-AppDetails Current Date'!A:A,D165,
'YearA-AppDetails Current Date'!F:F,E165,
'YearA-AppDetails Current Date'!E:E,--F165,
'YearA-AppDetails Current Date'!R:R,"&lt;&gt;"&amp;"",
'YearA-AppDetails Current Date'!I:I,"SPRING"))), "")</f>
        <v/>
      </c>
      <c r="L165" s="74" t="str" cm="1">
        <f t="array" ref="L165">IFERROR(1/(1/SUM(COUNTIFS(
'YearA-AppDetails Current Date'!A:A,D165,
'YearA-AppDetails Current Date'!F:F,E165,
'YearA-AppDetails Current Date'!E:E,--F165,
'YearA-AppDetails Current Date'!T:T,{"APEX","DENY","NTSL"},
'YearA-AppDetails Current Date'!I:I,"SPRING"))), "")</f>
        <v/>
      </c>
      <c r="M165" s="74" t="str" cm="1">
        <f t="array" ref="M165">IFERROR(1/(1/SUM(COUNTIFS(
'YearA-AppDetails Current Date'!A:A,D165,
'YearA-AppDetails Current Date'!F:F,E165,
'YearA-AppDetails Current Date'!E:E,--F165,
'YearA-AppDetails Current Date'!U:U,{"CCAN","DECL"},
'YearA-AppDetails Current Date'!I:I,"SPRING"))), "")</f>
        <v/>
      </c>
      <c r="N165" s="74" t="str" cm="1">
        <f t="array" ref="N165">IFERROR(1/(1/SUM(COUNTIFS(
'YearA-AppDetails Current Date'!A:A,D165,
'YearA-AppDetails Current Date'!F:F,E165,
'YearA-AppDetails Current Date'!E:E,--F165,
'YearA-AppDetails Current Date'!V:V,{"APRO","NODE"},
'YearA-AppDetails Current Date'!I:I,"SPRING"))), "")</f>
        <v/>
      </c>
      <c r="O165" s="74" t="str" cm="1">
        <f t="array" ref="O165">IFERROR(1/(1/SUM(COUNTIFS(
'YearA-AppDetails Current Date'!A:A,D165,
'YearA-AppDetails Current Date'!F:F,E165,
'YearA-AppDetails Current Date'!E:E,--F165,
'YearA-AppDetails Current Date'!T:T,{"CDMT","RQMT","WAIT"},
'YearA-AppDetails Current Date'!I:I,"SPRING"))), "")</f>
        <v/>
      </c>
      <c r="P165" s="74" t="str">
        <f>IFERROR(1/(1/COUNTIFS(
'YearA-AppDetails Current Date'!A:A,D165,
'YearA-AppDetails Current Date'!F:F,E165,
'YearA-AppDetails Current Date'!E:E,--F165,
'YearA-AppDetails Current Date'!Y:Y,"ENRO",
'YearA-AppDetails Current Date'!I:I,"SPRING")),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HC'!D:T,8,FALSE)),
N(VLOOKUP(D166&amp;F166,'Budgeted Projections Dom HC'!D:T,9,FALSE))
)
),"")</f>
        <v/>
      </c>
      <c r="I166" s="73" t="str">
        <f>IFERROR(1/(1/COUNTIFS(
'YearA-AppDetails Current Date'!A:A,D166,
'YearA-AppDetails Current Date'!F:F,E166,
'YearA-AppDetails Current Date'!E:E,--F166,
'YearA-AppDetails Current Date'!I:I,"SPRING")), "")</f>
        <v/>
      </c>
      <c r="J166" s="74" t="str" cm="1">
        <f t="array" ref="J166">IFERROR(1/(1/SUM(COUNTIFS(
'YearA-AppDetails Current Date'!A:A,D166,
'YearA-AppDetails Current Date'!F:F,E166,
'YearA-AppDetails Current Date'!E:E,--F166,
'YearA-AppDetails Current Date'!O:O,{"ACLN","ACPT","COND"},
'YearA-AppDetails Current Date'!S:S,"&lt;&gt;ACLN",
'YearA-AppDetails Current Date'!S:S,"&lt;&gt;ACPT",
'YearA-AppDetails Current Date'!S:S,"&lt;&gt;COND",
'YearA-AppDetails Current Date'!I:I,"SPRING"))), "")</f>
        <v/>
      </c>
      <c r="K166" s="73" t="str">
        <f>IFERROR(1/(1/SUM(COUNTIFS(
'YearA-AppDetails Current Date'!A:A,D166,
'YearA-AppDetails Current Date'!F:F,E166,
'YearA-AppDetails Current Date'!E:E,--F166,
'YearA-AppDetails Current Date'!R:R,"&lt;&gt;"&amp;"",
'YearA-AppDetails Current Date'!I:I,"SPRING"))), "")</f>
        <v/>
      </c>
      <c r="L166" s="74" t="str" cm="1">
        <f t="array" ref="L166">IFERROR(1/(1/SUM(COUNTIFS(
'YearA-AppDetails Current Date'!A:A,D166,
'YearA-AppDetails Current Date'!F:F,E166,
'YearA-AppDetails Current Date'!E:E,--F166,
'YearA-AppDetails Current Date'!T:T,{"APEX","DENY","NTSL"},
'YearA-AppDetails Current Date'!I:I,"SPRING"))), "")</f>
        <v/>
      </c>
      <c r="M166" s="74" t="str" cm="1">
        <f t="array" ref="M166">IFERROR(1/(1/SUM(COUNTIFS(
'YearA-AppDetails Current Date'!A:A,D166,
'YearA-AppDetails Current Date'!F:F,E166,
'YearA-AppDetails Current Date'!E:E,--F166,
'YearA-AppDetails Current Date'!U:U,{"CCAN","DECL"},
'YearA-AppDetails Current Date'!I:I,"SPRING"))), "")</f>
        <v/>
      </c>
      <c r="N166" s="74" t="str" cm="1">
        <f t="array" ref="N166">IFERROR(1/(1/SUM(COUNTIFS(
'YearA-AppDetails Current Date'!A:A,D166,
'YearA-AppDetails Current Date'!F:F,E166,
'YearA-AppDetails Current Date'!E:E,--F166,
'YearA-AppDetails Current Date'!V:V,{"APRO","NODE"},
'YearA-AppDetails Current Date'!I:I,"SPRING"))), "")</f>
        <v/>
      </c>
      <c r="O166" s="74" t="str" cm="1">
        <f t="array" ref="O166">IFERROR(1/(1/SUM(COUNTIFS(
'YearA-AppDetails Current Date'!A:A,D166,
'YearA-AppDetails Current Date'!F:F,E166,
'YearA-AppDetails Current Date'!E:E,--F166,
'YearA-AppDetails Current Date'!T:T,{"CDMT","RQMT","WAIT"},
'YearA-AppDetails Current Date'!I:I,"SPRING"))), "")</f>
        <v/>
      </c>
      <c r="P166" s="74" t="str">
        <f>IFERROR(1/(1/COUNTIFS(
'YearA-AppDetails Current Date'!A:A,D166,
'YearA-AppDetails Current Date'!F:F,E166,
'YearA-AppDetails Current Date'!E:E,--F166,
'YearA-AppDetails Current Date'!Y:Y,"ENRO",
'YearA-AppDetails Current Date'!I:I,"SPRING")),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HC'!D:T,8,FALSE)),
N(VLOOKUP(D167&amp;F167,'Budgeted Projections Intl HC'!D:T,9,FALSE))
)
),"")</f>
        <v/>
      </c>
      <c r="I167" s="73" t="str">
        <f>IFERROR(1/(1/COUNTIFS(
'YearA-AppDetails Current Date'!A:A,D167,
'YearA-AppDetails Current Date'!F:F,E167,
'YearA-AppDetails Current Date'!E:E,--F167,
'YearA-AppDetails Current Date'!I:I,"SPRING")), "")</f>
        <v/>
      </c>
      <c r="J167" s="74" t="str" cm="1">
        <f t="array" ref="J167">IFERROR(1/(1/SUM(COUNTIFS(
'YearA-AppDetails Current Date'!A:A,D167,
'YearA-AppDetails Current Date'!F:F,E167,
'YearA-AppDetails Current Date'!E:E,--F167,
'YearA-AppDetails Current Date'!O:O,{"ACLN","ACPT","COND"},
'YearA-AppDetails Current Date'!S:S,"&lt;&gt;ACLN",
'YearA-AppDetails Current Date'!S:S,"&lt;&gt;ACPT",
'YearA-AppDetails Current Date'!S:S,"&lt;&gt;COND",
'YearA-AppDetails Current Date'!I:I,"SPRING"))), "")</f>
        <v/>
      </c>
      <c r="K167" s="73" t="str">
        <f>IFERROR(1/(1/SUM(COUNTIFS(
'YearA-AppDetails Current Date'!A:A,D167,
'YearA-AppDetails Current Date'!F:F,E167,
'YearA-AppDetails Current Date'!E:E,--F167,
'YearA-AppDetails Current Date'!R:R,"&lt;&gt;"&amp;"",
'YearA-AppDetails Current Date'!I:I,"SPRING"))), "")</f>
        <v/>
      </c>
      <c r="L167" s="74" t="str" cm="1">
        <f t="array" ref="L167">IFERROR(1/(1/SUM(COUNTIFS(
'YearA-AppDetails Current Date'!A:A,D167,
'YearA-AppDetails Current Date'!F:F,E167,
'YearA-AppDetails Current Date'!E:E,--F167,
'YearA-AppDetails Current Date'!T:T,{"APEX","DENY","NTSL"},
'YearA-AppDetails Current Date'!I:I,"SPRING"))), "")</f>
        <v/>
      </c>
      <c r="M167" s="74" t="str" cm="1">
        <f t="array" ref="M167">IFERROR(1/(1/SUM(COUNTIFS(
'YearA-AppDetails Current Date'!A:A,D167,
'YearA-AppDetails Current Date'!F:F,E167,
'YearA-AppDetails Current Date'!E:E,--F167,
'YearA-AppDetails Current Date'!U:U,{"CCAN","DECL"},
'YearA-AppDetails Current Date'!I:I,"SPRING"))), "")</f>
        <v/>
      </c>
      <c r="N167" s="74" t="str" cm="1">
        <f t="array" ref="N167">IFERROR(1/(1/SUM(COUNTIFS(
'YearA-AppDetails Current Date'!A:A,D167,
'YearA-AppDetails Current Date'!F:F,E167,
'YearA-AppDetails Current Date'!E:E,--F167,
'YearA-AppDetails Current Date'!V:V,{"APRO","NODE"},
'YearA-AppDetails Current Date'!I:I,"SPRING"))), "")</f>
        <v/>
      </c>
      <c r="O167" s="74" t="str" cm="1">
        <f t="array" ref="O167">IFERROR(1/(1/SUM(COUNTIFS(
'YearA-AppDetails Current Date'!A:A,D167,
'YearA-AppDetails Current Date'!F:F,E167,
'YearA-AppDetails Current Date'!E:E,--F167,
'YearA-AppDetails Current Date'!T:T,{"CDMT","RQMT","WAIT"},
'YearA-AppDetails Current Date'!I:I,"SPRING"))), "")</f>
        <v/>
      </c>
      <c r="P167" s="74" t="str">
        <f>IFERROR(1/(1/COUNTIFS(
'YearA-AppDetails Current Date'!A:A,D167,
'YearA-AppDetails Current Date'!F:F,E167,
'YearA-AppDetails Current Date'!E:E,--F167,
'YearA-AppDetails Current Date'!Y:Y,"ENRO",
'YearA-AppDetails Current Date'!I:I,"SPRING")),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HC'!D:T,8,FALSE)),
N(VLOOKUP(D168&amp;F168,'Budgeted Projections Dom HC'!D:T,9,FALSE))
)
),"")</f>
        <v/>
      </c>
      <c r="I168" s="73" t="str">
        <f>IFERROR(1/(1/COUNTIFS(
'YearA-AppDetails Current Date'!A:A,D168,
'YearA-AppDetails Current Date'!F:F,E168,
'YearA-AppDetails Current Date'!E:E,--F168,
'YearA-AppDetails Current Date'!I:I,"SPRING")), "")</f>
        <v/>
      </c>
      <c r="J168" s="74" t="str" cm="1">
        <f t="array" ref="J168">IFERROR(1/(1/SUM(COUNTIFS(
'YearA-AppDetails Current Date'!A:A,D168,
'YearA-AppDetails Current Date'!F:F,E168,
'YearA-AppDetails Current Date'!E:E,--F168,
'YearA-AppDetails Current Date'!O:O,{"ACLN","ACPT","COND"},
'YearA-AppDetails Current Date'!S:S,"&lt;&gt;ACLN",
'YearA-AppDetails Current Date'!S:S,"&lt;&gt;ACPT",
'YearA-AppDetails Current Date'!S:S,"&lt;&gt;COND",
'YearA-AppDetails Current Date'!I:I,"SPRING"))), "")</f>
        <v/>
      </c>
      <c r="K168" s="73" t="str">
        <f>IFERROR(1/(1/SUM(COUNTIFS(
'YearA-AppDetails Current Date'!A:A,D168,
'YearA-AppDetails Current Date'!F:F,E168,
'YearA-AppDetails Current Date'!E:E,--F168,
'YearA-AppDetails Current Date'!R:R,"&lt;&gt;"&amp;"",
'YearA-AppDetails Current Date'!I:I,"SPRING"))), "")</f>
        <v/>
      </c>
      <c r="L168" s="74" t="str" cm="1">
        <f t="array" ref="L168">IFERROR(1/(1/SUM(COUNTIFS(
'YearA-AppDetails Current Date'!A:A,D168,
'YearA-AppDetails Current Date'!F:F,E168,
'YearA-AppDetails Current Date'!E:E,--F168,
'YearA-AppDetails Current Date'!T:T,{"APEX","DENY","NTSL"},
'YearA-AppDetails Current Date'!I:I,"SPRING"))), "")</f>
        <v/>
      </c>
      <c r="M168" s="74" t="str" cm="1">
        <f t="array" ref="M168">IFERROR(1/(1/SUM(COUNTIFS(
'YearA-AppDetails Current Date'!A:A,D168,
'YearA-AppDetails Current Date'!F:F,E168,
'YearA-AppDetails Current Date'!E:E,--F168,
'YearA-AppDetails Current Date'!U:U,{"CCAN","DECL"},
'YearA-AppDetails Current Date'!I:I,"SPRING"))), "")</f>
        <v/>
      </c>
      <c r="N168" s="74" t="str" cm="1">
        <f t="array" ref="N168">IFERROR(1/(1/SUM(COUNTIFS(
'YearA-AppDetails Current Date'!A:A,D168,
'YearA-AppDetails Current Date'!F:F,E168,
'YearA-AppDetails Current Date'!E:E,--F168,
'YearA-AppDetails Current Date'!V:V,{"APRO","NODE"},
'YearA-AppDetails Current Date'!I:I,"SPRING"))), "")</f>
        <v/>
      </c>
      <c r="O168" s="74" t="str" cm="1">
        <f t="array" ref="O168">IFERROR(1/(1/SUM(COUNTIFS(
'YearA-AppDetails Current Date'!A:A,D168,
'YearA-AppDetails Current Date'!F:F,E168,
'YearA-AppDetails Current Date'!E:E,--F168,
'YearA-AppDetails Current Date'!T:T,{"CDMT","RQMT","WAIT"},
'YearA-AppDetails Current Date'!I:I,"SPRING"))), "")</f>
        <v/>
      </c>
      <c r="P168" s="74" t="str">
        <f>IFERROR(1/(1/COUNTIFS(
'YearA-AppDetails Current Date'!A:A,D168,
'YearA-AppDetails Current Date'!F:F,E168,
'YearA-AppDetails Current Date'!E:E,--F168,
'YearA-AppDetails Current Date'!Y:Y,"ENRO",
'YearA-AppDetails Current Date'!I:I,"SPRING")),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HC'!D:T,8,FALSE)),
N(VLOOKUP(D169&amp;F169,'Budgeted Projections Intl HC'!D:T,9,FALSE))
)
),"")</f>
        <v/>
      </c>
      <c r="I169" s="73" t="str">
        <f>IFERROR(1/(1/COUNTIFS(
'YearA-AppDetails Current Date'!A:A,D169,
'YearA-AppDetails Current Date'!F:F,E169,
'YearA-AppDetails Current Date'!E:E,--F169,
'YearA-AppDetails Current Date'!I:I,"SPRING")), "")</f>
        <v/>
      </c>
      <c r="J169" s="74" t="str" cm="1">
        <f t="array" ref="J169">IFERROR(1/(1/SUM(COUNTIFS(
'YearA-AppDetails Current Date'!A:A,D169,
'YearA-AppDetails Current Date'!F:F,E169,
'YearA-AppDetails Current Date'!E:E,--F169,
'YearA-AppDetails Current Date'!O:O,{"ACLN","ACPT","COND"},
'YearA-AppDetails Current Date'!S:S,"&lt;&gt;ACLN",
'YearA-AppDetails Current Date'!S:S,"&lt;&gt;ACPT",
'YearA-AppDetails Current Date'!S:S,"&lt;&gt;COND",
'YearA-AppDetails Current Date'!I:I,"SPRING"))), "")</f>
        <v/>
      </c>
      <c r="K169" s="73" t="str">
        <f>IFERROR(1/(1/SUM(COUNTIFS(
'YearA-AppDetails Current Date'!A:A,D169,
'YearA-AppDetails Current Date'!F:F,E169,
'YearA-AppDetails Current Date'!E:E,--F169,
'YearA-AppDetails Current Date'!R:R,"&lt;&gt;"&amp;"",
'YearA-AppDetails Current Date'!I:I,"SPRING"))), "")</f>
        <v/>
      </c>
      <c r="L169" s="74" t="str" cm="1">
        <f t="array" ref="L169">IFERROR(1/(1/SUM(COUNTIFS(
'YearA-AppDetails Current Date'!A:A,D169,
'YearA-AppDetails Current Date'!F:F,E169,
'YearA-AppDetails Current Date'!E:E,--F169,
'YearA-AppDetails Current Date'!T:T,{"APEX","DENY","NTSL"},
'YearA-AppDetails Current Date'!I:I,"SPRING"))), "")</f>
        <v/>
      </c>
      <c r="M169" s="74" t="str" cm="1">
        <f t="array" ref="M169">IFERROR(1/(1/SUM(COUNTIFS(
'YearA-AppDetails Current Date'!A:A,D169,
'YearA-AppDetails Current Date'!F:F,E169,
'YearA-AppDetails Current Date'!E:E,--F169,
'YearA-AppDetails Current Date'!U:U,{"CCAN","DECL"},
'YearA-AppDetails Current Date'!I:I,"SPRING"))), "")</f>
        <v/>
      </c>
      <c r="N169" s="74" t="str" cm="1">
        <f t="array" ref="N169">IFERROR(1/(1/SUM(COUNTIFS(
'YearA-AppDetails Current Date'!A:A,D169,
'YearA-AppDetails Current Date'!F:F,E169,
'YearA-AppDetails Current Date'!E:E,--F169,
'YearA-AppDetails Current Date'!V:V,{"APRO","NODE"},
'YearA-AppDetails Current Date'!I:I,"SPRING"))), "")</f>
        <v/>
      </c>
      <c r="O169" s="74" t="str" cm="1">
        <f t="array" ref="O169">IFERROR(1/(1/SUM(COUNTIFS(
'YearA-AppDetails Current Date'!A:A,D169,
'YearA-AppDetails Current Date'!F:F,E169,
'YearA-AppDetails Current Date'!E:E,--F169,
'YearA-AppDetails Current Date'!T:T,{"CDMT","RQMT","WAIT"},
'YearA-AppDetails Current Date'!I:I,"SPRING"))), "")</f>
        <v/>
      </c>
      <c r="P169" s="74" t="str">
        <f>IFERROR(1/(1/COUNTIFS(
'YearA-AppDetails Current Date'!A:A,D169,
'YearA-AppDetails Current Date'!F:F,E169,
'YearA-AppDetails Current Date'!E:E,--F169,
'YearA-AppDetails Current Date'!Y:Y,"ENRO",
'YearA-AppDetails Current Date'!I:I,"SPRING")),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HC'!D:T,8,FALSE)),
N(VLOOKUP(D170&amp;F170,'Budgeted Projections Dom HC'!D:T,9,FALSE))
)
),"")</f>
        <v/>
      </c>
      <c r="I170" s="73" t="str">
        <f>IFERROR(1/(1/COUNTIFS(
'YearA-AppDetails Current Date'!A:A,D170,
'YearA-AppDetails Current Date'!F:F,E170,
'YearA-AppDetails Current Date'!E:E,--F170,
'YearA-AppDetails Current Date'!I:I,"SPRING")), "")</f>
        <v/>
      </c>
      <c r="J170" s="74" t="str" cm="1">
        <f t="array" ref="J170">IFERROR(1/(1/SUM(COUNTIFS(
'YearA-AppDetails Current Date'!A:A,D170,
'YearA-AppDetails Current Date'!F:F,E170,
'YearA-AppDetails Current Date'!E:E,--F170,
'YearA-AppDetails Current Date'!O:O,{"ACLN","ACPT","COND"},
'YearA-AppDetails Current Date'!S:S,"&lt;&gt;ACLN",
'YearA-AppDetails Current Date'!S:S,"&lt;&gt;ACPT",
'YearA-AppDetails Current Date'!S:S,"&lt;&gt;COND",
'YearA-AppDetails Current Date'!I:I,"SPRING"))), "")</f>
        <v/>
      </c>
      <c r="K170" s="73" t="str">
        <f>IFERROR(1/(1/SUM(COUNTIFS(
'YearA-AppDetails Current Date'!A:A,D170,
'YearA-AppDetails Current Date'!F:F,E170,
'YearA-AppDetails Current Date'!E:E,--F170,
'YearA-AppDetails Current Date'!R:R,"&lt;&gt;"&amp;"",
'YearA-AppDetails Current Date'!I:I,"SPRING"))), "")</f>
        <v/>
      </c>
      <c r="L170" s="74" t="str" cm="1">
        <f t="array" ref="L170">IFERROR(1/(1/SUM(COUNTIFS(
'YearA-AppDetails Current Date'!A:A,D170,
'YearA-AppDetails Current Date'!F:F,E170,
'YearA-AppDetails Current Date'!E:E,--F170,
'YearA-AppDetails Current Date'!T:T,{"APEX","DENY","NTSL"},
'YearA-AppDetails Current Date'!I:I,"SPRING"))), "")</f>
        <v/>
      </c>
      <c r="M170" s="74" t="str" cm="1">
        <f t="array" ref="M170">IFERROR(1/(1/SUM(COUNTIFS(
'YearA-AppDetails Current Date'!A:A,D170,
'YearA-AppDetails Current Date'!F:F,E170,
'YearA-AppDetails Current Date'!E:E,--F170,
'YearA-AppDetails Current Date'!U:U,{"CCAN","DECL"},
'YearA-AppDetails Current Date'!I:I,"SPRING"))), "")</f>
        <v/>
      </c>
      <c r="N170" s="74" t="str" cm="1">
        <f t="array" ref="N170">IFERROR(1/(1/SUM(COUNTIFS(
'YearA-AppDetails Current Date'!A:A,D170,
'YearA-AppDetails Current Date'!F:F,E170,
'YearA-AppDetails Current Date'!E:E,--F170,
'YearA-AppDetails Current Date'!V:V,{"APRO","NODE"},
'YearA-AppDetails Current Date'!I:I,"SPRING"))), "")</f>
        <v/>
      </c>
      <c r="O170" s="74" t="str" cm="1">
        <f t="array" ref="O170">IFERROR(1/(1/SUM(COUNTIFS(
'YearA-AppDetails Current Date'!A:A,D170,
'YearA-AppDetails Current Date'!F:F,E170,
'YearA-AppDetails Current Date'!E:E,--F170,
'YearA-AppDetails Current Date'!T:T,{"CDMT","RQMT","WAIT"},
'YearA-AppDetails Current Date'!I:I,"SPRING"))), "")</f>
        <v/>
      </c>
      <c r="P170" s="74" t="str">
        <f>IFERROR(1/(1/COUNTIFS(
'YearA-AppDetails Current Date'!A:A,D170,
'YearA-AppDetails Current Date'!F:F,E170,
'YearA-AppDetails Current Date'!E:E,--F170,
'YearA-AppDetails Current Date'!Y:Y,"ENRO",
'YearA-AppDetails Current Date'!I:I,"SPRING")),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HC'!D:T,8,FALSE)),
N(VLOOKUP(D171&amp;F171,'Budgeted Projections Intl HC'!D:T,9,FALSE))
)
),"")</f>
        <v/>
      </c>
      <c r="I171" s="73" t="str">
        <f>IFERROR(1/(1/COUNTIFS(
'YearA-AppDetails Current Date'!A:A,D171,
'YearA-AppDetails Current Date'!F:F,E171,
'YearA-AppDetails Current Date'!E:E,--F171,
'YearA-AppDetails Current Date'!I:I,"SPRING")), "")</f>
        <v/>
      </c>
      <c r="J171" s="74" t="str" cm="1">
        <f t="array" ref="J171">IFERROR(1/(1/SUM(COUNTIFS(
'YearA-AppDetails Current Date'!A:A,D171,
'YearA-AppDetails Current Date'!F:F,E171,
'YearA-AppDetails Current Date'!E:E,--F171,
'YearA-AppDetails Current Date'!O:O,{"ACLN","ACPT","COND"},
'YearA-AppDetails Current Date'!S:S,"&lt;&gt;ACLN",
'YearA-AppDetails Current Date'!S:S,"&lt;&gt;ACPT",
'YearA-AppDetails Current Date'!S:S,"&lt;&gt;COND",
'YearA-AppDetails Current Date'!I:I,"SPRING"))), "")</f>
        <v/>
      </c>
      <c r="K171" s="73" t="str">
        <f>IFERROR(1/(1/SUM(COUNTIFS(
'YearA-AppDetails Current Date'!A:A,D171,
'YearA-AppDetails Current Date'!F:F,E171,
'YearA-AppDetails Current Date'!E:E,--F171,
'YearA-AppDetails Current Date'!R:R,"&lt;&gt;"&amp;"",
'YearA-AppDetails Current Date'!I:I,"SPRING"))), "")</f>
        <v/>
      </c>
      <c r="L171" s="74" t="str" cm="1">
        <f t="array" ref="L171">IFERROR(1/(1/SUM(COUNTIFS(
'YearA-AppDetails Current Date'!A:A,D171,
'YearA-AppDetails Current Date'!F:F,E171,
'YearA-AppDetails Current Date'!E:E,--F171,
'YearA-AppDetails Current Date'!T:T,{"APEX","DENY","NTSL"},
'YearA-AppDetails Current Date'!I:I,"SPRING"))), "")</f>
        <v/>
      </c>
      <c r="M171" s="74" t="str" cm="1">
        <f t="array" ref="M171">IFERROR(1/(1/SUM(COUNTIFS(
'YearA-AppDetails Current Date'!A:A,D171,
'YearA-AppDetails Current Date'!F:F,E171,
'YearA-AppDetails Current Date'!E:E,--F171,
'YearA-AppDetails Current Date'!U:U,{"CCAN","DECL"},
'YearA-AppDetails Current Date'!I:I,"SPRING"))), "")</f>
        <v/>
      </c>
      <c r="N171" s="74" t="str" cm="1">
        <f t="array" ref="N171">IFERROR(1/(1/SUM(COUNTIFS(
'YearA-AppDetails Current Date'!A:A,D171,
'YearA-AppDetails Current Date'!F:F,E171,
'YearA-AppDetails Current Date'!E:E,--F171,
'YearA-AppDetails Current Date'!V:V,{"APRO","NODE"},
'YearA-AppDetails Current Date'!I:I,"SPRING"))), "")</f>
        <v/>
      </c>
      <c r="O171" s="74" t="str" cm="1">
        <f t="array" ref="O171">IFERROR(1/(1/SUM(COUNTIFS(
'YearA-AppDetails Current Date'!A:A,D171,
'YearA-AppDetails Current Date'!F:F,E171,
'YearA-AppDetails Current Date'!E:E,--F171,
'YearA-AppDetails Current Date'!T:T,{"CDMT","RQMT","WAIT"},
'YearA-AppDetails Current Date'!I:I,"SPRING"))), "")</f>
        <v/>
      </c>
      <c r="P171" s="74" t="str">
        <f>IFERROR(1/(1/COUNTIFS(
'YearA-AppDetails Current Date'!A:A,D171,
'YearA-AppDetails Current Date'!F:F,E171,
'YearA-AppDetails Current Date'!E:E,--F171,
'YearA-AppDetails Current Date'!Y:Y,"ENRO",
'YearA-AppDetails Current Date'!I:I,"SPRING")),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HC'!D:T,8,FALSE)),
N(VLOOKUP(D172&amp;F172,'Budgeted Projections Dom HC'!D:T,9,FALSE))
)
),"")</f>
        <v/>
      </c>
      <c r="I172" s="73" t="str">
        <f>IFERROR(1/(1/COUNTIFS(
'YearA-AppDetails Current Date'!A:A,D172,
'YearA-AppDetails Current Date'!F:F,E172,
'YearA-AppDetails Current Date'!E:E,--F172,
'YearA-AppDetails Current Date'!I:I,"SPRING")), "")</f>
        <v/>
      </c>
      <c r="J172" s="74" t="str" cm="1">
        <f t="array" ref="J172">IFERROR(1/(1/SUM(COUNTIFS(
'YearA-AppDetails Current Date'!A:A,D172,
'YearA-AppDetails Current Date'!F:F,E172,
'YearA-AppDetails Current Date'!E:E,--F172,
'YearA-AppDetails Current Date'!O:O,{"ACLN","ACPT","COND"},
'YearA-AppDetails Current Date'!S:S,"&lt;&gt;ACLN",
'YearA-AppDetails Current Date'!S:S,"&lt;&gt;ACPT",
'YearA-AppDetails Current Date'!S:S,"&lt;&gt;COND",
'YearA-AppDetails Current Date'!I:I,"SPRING"))), "")</f>
        <v/>
      </c>
      <c r="K172" s="73" t="str">
        <f>IFERROR(1/(1/SUM(COUNTIFS(
'YearA-AppDetails Current Date'!A:A,D172,
'YearA-AppDetails Current Date'!F:F,E172,
'YearA-AppDetails Current Date'!E:E,--F172,
'YearA-AppDetails Current Date'!R:R,"&lt;&gt;"&amp;"",
'YearA-AppDetails Current Date'!I:I,"SPRING"))), "")</f>
        <v/>
      </c>
      <c r="L172" s="74" t="str" cm="1">
        <f t="array" ref="L172">IFERROR(1/(1/SUM(COUNTIFS(
'YearA-AppDetails Current Date'!A:A,D172,
'YearA-AppDetails Current Date'!F:F,E172,
'YearA-AppDetails Current Date'!E:E,--F172,
'YearA-AppDetails Current Date'!T:T,{"APEX","DENY","NTSL"},
'YearA-AppDetails Current Date'!I:I,"SPRING"))), "")</f>
        <v/>
      </c>
      <c r="M172" s="74" t="str" cm="1">
        <f t="array" ref="M172">IFERROR(1/(1/SUM(COUNTIFS(
'YearA-AppDetails Current Date'!A:A,D172,
'YearA-AppDetails Current Date'!F:F,E172,
'YearA-AppDetails Current Date'!E:E,--F172,
'YearA-AppDetails Current Date'!U:U,{"CCAN","DECL"},
'YearA-AppDetails Current Date'!I:I,"SPRING"))), "")</f>
        <v/>
      </c>
      <c r="N172" s="74" t="str" cm="1">
        <f t="array" ref="N172">IFERROR(1/(1/SUM(COUNTIFS(
'YearA-AppDetails Current Date'!A:A,D172,
'YearA-AppDetails Current Date'!F:F,E172,
'YearA-AppDetails Current Date'!E:E,--F172,
'YearA-AppDetails Current Date'!V:V,{"APRO","NODE"},
'YearA-AppDetails Current Date'!I:I,"SPRING"))), "")</f>
        <v/>
      </c>
      <c r="O172" s="74" t="str" cm="1">
        <f t="array" ref="O172">IFERROR(1/(1/SUM(COUNTIFS(
'YearA-AppDetails Current Date'!A:A,D172,
'YearA-AppDetails Current Date'!F:F,E172,
'YearA-AppDetails Current Date'!E:E,--F172,
'YearA-AppDetails Current Date'!T:T,{"CDMT","RQMT","WAIT"},
'YearA-AppDetails Current Date'!I:I,"SPRING"))), "")</f>
        <v/>
      </c>
      <c r="P172" s="74" t="str">
        <f>IFERROR(1/(1/COUNTIFS(
'YearA-AppDetails Current Date'!A:A,D172,
'YearA-AppDetails Current Date'!F:F,E172,
'YearA-AppDetails Current Date'!E:E,--F172,
'YearA-AppDetails Current Date'!Y:Y,"ENRO",
'YearA-AppDetails Current Date'!I:I,"SPRING")),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HC'!D:T,8,FALSE)),
N(VLOOKUP(D173&amp;F173,'Budgeted Projections Intl HC'!D:T,9,FALSE))
)
),"")</f>
        <v/>
      </c>
      <c r="I173" s="73" t="str">
        <f>IFERROR(1/(1/COUNTIFS(
'YearA-AppDetails Current Date'!A:A,D173,
'YearA-AppDetails Current Date'!F:F,E173,
'YearA-AppDetails Current Date'!E:E,--F173,
'YearA-AppDetails Current Date'!I:I,"SPRING")), "")</f>
        <v/>
      </c>
      <c r="J173" s="74" t="str" cm="1">
        <f t="array" ref="J173">IFERROR(1/(1/SUM(COUNTIFS(
'YearA-AppDetails Current Date'!A:A,D173,
'YearA-AppDetails Current Date'!F:F,E173,
'YearA-AppDetails Current Date'!E:E,--F173,
'YearA-AppDetails Current Date'!O:O,{"ACLN","ACPT","COND"},
'YearA-AppDetails Current Date'!S:S,"&lt;&gt;ACLN",
'YearA-AppDetails Current Date'!S:S,"&lt;&gt;ACPT",
'YearA-AppDetails Current Date'!S:S,"&lt;&gt;COND",
'YearA-AppDetails Current Date'!I:I,"SPRING"))), "")</f>
        <v/>
      </c>
      <c r="K173" s="73" t="str">
        <f>IFERROR(1/(1/SUM(COUNTIFS(
'YearA-AppDetails Current Date'!A:A,D173,
'YearA-AppDetails Current Date'!F:F,E173,
'YearA-AppDetails Current Date'!E:E,--F173,
'YearA-AppDetails Current Date'!R:R,"&lt;&gt;"&amp;"",
'YearA-AppDetails Current Date'!I:I,"SPRING"))), "")</f>
        <v/>
      </c>
      <c r="L173" s="74" t="str" cm="1">
        <f t="array" ref="L173">IFERROR(1/(1/SUM(COUNTIFS(
'YearA-AppDetails Current Date'!A:A,D173,
'YearA-AppDetails Current Date'!F:F,E173,
'YearA-AppDetails Current Date'!E:E,--F173,
'YearA-AppDetails Current Date'!T:T,{"APEX","DENY","NTSL"},
'YearA-AppDetails Current Date'!I:I,"SPRING"))), "")</f>
        <v/>
      </c>
      <c r="M173" s="74" t="str" cm="1">
        <f t="array" ref="M173">IFERROR(1/(1/SUM(COUNTIFS(
'YearA-AppDetails Current Date'!A:A,D173,
'YearA-AppDetails Current Date'!F:F,E173,
'YearA-AppDetails Current Date'!E:E,--F173,
'YearA-AppDetails Current Date'!U:U,{"CCAN","DECL"},
'YearA-AppDetails Current Date'!I:I,"SPRING"))), "")</f>
        <v/>
      </c>
      <c r="N173" s="74" t="str" cm="1">
        <f t="array" ref="N173">IFERROR(1/(1/SUM(COUNTIFS(
'YearA-AppDetails Current Date'!A:A,D173,
'YearA-AppDetails Current Date'!F:F,E173,
'YearA-AppDetails Current Date'!E:E,--F173,
'YearA-AppDetails Current Date'!V:V,{"APRO","NODE"},
'YearA-AppDetails Current Date'!I:I,"SPRING"))), "")</f>
        <v/>
      </c>
      <c r="O173" s="74" t="str" cm="1">
        <f t="array" ref="O173">IFERROR(1/(1/SUM(COUNTIFS(
'YearA-AppDetails Current Date'!A:A,D173,
'YearA-AppDetails Current Date'!F:F,E173,
'YearA-AppDetails Current Date'!E:E,--F173,
'YearA-AppDetails Current Date'!T:T,{"CDMT","RQMT","WAIT"},
'YearA-AppDetails Current Date'!I:I,"SPRING"))), "")</f>
        <v/>
      </c>
      <c r="P173" s="74" t="str">
        <f>IFERROR(1/(1/COUNTIFS(
'YearA-AppDetails Current Date'!A:A,D173,
'YearA-AppDetails Current Date'!F:F,E173,
'YearA-AppDetails Current Date'!E:E,--F173,
'YearA-AppDetails Current Date'!Y:Y,"ENRO",
'YearA-AppDetails Current Date'!I:I,"SPRING")),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HC'!D:T,8,FALSE)),
N(VLOOKUP(D174&amp;F174,'Budgeted Projections Dom HC'!D:T,9,FALSE))
)
),"")</f>
        <v/>
      </c>
      <c r="I174" s="73" t="str">
        <f>IFERROR(1/(1/COUNTIFS(
'YearA-AppDetails Current Date'!A:A,D174,
'YearA-AppDetails Current Date'!F:F,E174,
'YearA-AppDetails Current Date'!E:E,--F174,
'YearA-AppDetails Current Date'!I:I,"SPRING")), "")</f>
        <v/>
      </c>
      <c r="J174" s="74" t="str" cm="1">
        <f t="array" ref="J174">IFERROR(1/(1/SUM(COUNTIFS(
'YearA-AppDetails Current Date'!A:A,D174,
'YearA-AppDetails Current Date'!F:F,E174,
'YearA-AppDetails Current Date'!E:E,--F174,
'YearA-AppDetails Current Date'!O:O,{"ACLN","ACPT","COND"},
'YearA-AppDetails Current Date'!S:S,"&lt;&gt;ACLN",
'YearA-AppDetails Current Date'!S:S,"&lt;&gt;ACPT",
'YearA-AppDetails Current Date'!S:S,"&lt;&gt;COND",
'YearA-AppDetails Current Date'!I:I,"SPRING"))), "")</f>
        <v/>
      </c>
      <c r="K174" s="73" t="str">
        <f>IFERROR(1/(1/SUM(COUNTIFS(
'YearA-AppDetails Current Date'!A:A,D174,
'YearA-AppDetails Current Date'!F:F,E174,
'YearA-AppDetails Current Date'!E:E,--F174,
'YearA-AppDetails Current Date'!R:R,"&lt;&gt;"&amp;"",
'YearA-AppDetails Current Date'!I:I,"SPRING"))), "")</f>
        <v/>
      </c>
      <c r="L174" s="74" t="str" cm="1">
        <f t="array" ref="L174">IFERROR(1/(1/SUM(COUNTIFS(
'YearA-AppDetails Current Date'!A:A,D174,
'YearA-AppDetails Current Date'!F:F,E174,
'YearA-AppDetails Current Date'!E:E,--F174,
'YearA-AppDetails Current Date'!T:T,{"APEX","DENY","NTSL"},
'YearA-AppDetails Current Date'!I:I,"SPRING"))), "")</f>
        <v/>
      </c>
      <c r="M174" s="74" t="str" cm="1">
        <f t="array" ref="M174">IFERROR(1/(1/SUM(COUNTIFS(
'YearA-AppDetails Current Date'!A:A,D174,
'YearA-AppDetails Current Date'!F:F,E174,
'YearA-AppDetails Current Date'!E:E,--F174,
'YearA-AppDetails Current Date'!U:U,{"CCAN","DECL"},
'YearA-AppDetails Current Date'!I:I,"SPRING"))), "")</f>
        <v/>
      </c>
      <c r="N174" s="74" t="str" cm="1">
        <f t="array" ref="N174">IFERROR(1/(1/SUM(COUNTIFS(
'YearA-AppDetails Current Date'!A:A,D174,
'YearA-AppDetails Current Date'!F:F,E174,
'YearA-AppDetails Current Date'!E:E,--F174,
'YearA-AppDetails Current Date'!V:V,{"APRO","NODE"},
'YearA-AppDetails Current Date'!I:I,"SPRING"))), "")</f>
        <v/>
      </c>
      <c r="O174" s="74" t="str" cm="1">
        <f t="array" ref="O174">IFERROR(1/(1/SUM(COUNTIFS(
'YearA-AppDetails Current Date'!A:A,D174,
'YearA-AppDetails Current Date'!F:F,E174,
'YearA-AppDetails Current Date'!E:E,--F174,
'YearA-AppDetails Current Date'!T:T,{"CDMT","RQMT","WAIT"},
'YearA-AppDetails Current Date'!I:I,"SPRING"))), "")</f>
        <v/>
      </c>
      <c r="P174" s="74" t="str">
        <f>IFERROR(1/(1/COUNTIFS(
'YearA-AppDetails Current Date'!A:A,D174,
'YearA-AppDetails Current Date'!F:F,E174,
'YearA-AppDetails Current Date'!E:E,--F174,
'YearA-AppDetails Current Date'!Y:Y,"ENRO",
'YearA-AppDetails Current Date'!I:I,"SPRING")),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HC'!D:T,8,FALSE)),
N(VLOOKUP(D175&amp;F175,'Budgeted Projections Intl HC'!D:T,9,FALSE))
)
),"")</f>
        <v/>
      </c>
      <c r="I175" s="73" t="str">
        <f>IFERROR(1/(1/COUNTIFS(
'YearA-AppDetails Current Date'!A:A,D175,
'YearA-AppDetails Current Date'!F:F,E175,
'YearA-AppDetails Current Date'!E:E,--F175,
'YearA-AppDetails Current Date'!I:I,"SPRING")), "")</f>
        <v/>
      </c>
      <c r="J175" s="74" t="str" cm="1">
        <f t="array" ref="J175">IFERROR(1/(1/SUM(COUNTIFS(
'YearA-AppDetails Current Date'!A:A,D175,
'YearA-AppDetails Current Date'!F:F,E175,
'YearA-AppDetails Current Date'!E:E,--F175,
'YearA-AppDetails Current Date'!O:O,{"ACLN","ACPT","COND"},
'YearA-AppDetails Current Date'!S:S,"&lt;&gt;ACLN",
'YearA-AppDetails Current Date'!S:S,"&lt;&gt;ACPT",
'YearA-AppDetails Current Date'!S:S,"&lt;&gt;COND",
'YearA-AppDetails Current Date'!I:I,"SPRING"))), "")</f>
        <v/>
      </c>
      <c r="K175" s="73" t="str">
        <f>IFERROR(1/(1/SUM(COUNTIFS(
'YearA-AppDetails Current Date'!A:A,D175,
'YearA-AppDetails Current Date'!F:F,E175,
'YearA-AppDetails Current Date'!E:E,--F175,
'YearA-AppDetails Current Date'!R:R,"&lt;&gt;"&amp;"",
'YearA-AppDetails Current Date'!I:I,"SPRING"))), "")</f>
        <v/>
      </c>
      <c r="L175" s="74" t="str" cm="1">
        <f t="array" ref="L175">IFERROR(1/(1/SUM(COUNTIFS(
'YearA-AppDetails Current Date'!A:A,D175,
'YearA-AppDetails Current Date'!F:F,E175,
'YearA-AppDetails Current Date'!E:E,--F175,
'YearA-AppDetails Current Date'!T:T,{"APEX","DENY","NTSL"},
'YearA-AppDetails Current Date'!I:I,"SPRING"))), "")</f>
        <v/>
      </c>
      <c r="M175" s="74" t="str" cm="1">
        <f t="array" ref="M175">IFERROR(1/(1/SUM(COUNTIFS(
'YearA-AppDetails Current Date'!A:A,D175,
'YearA-AppDetails Current Date'!F:F,E175,
'YearA-AppDetails Current Date'!E:E,--F175,
'YearA-AppDetails Current Date'!U:U,{"CCAN","DECL"},
'YearA-AppDetails Current Date'!I:I,"SPRING"))), "")</f>
        <v/>
      </c>
      <c r="N175" s="74" t="str" cm="1">
        <f t="array" ref="N175">IFERROR(1/(1/SUM(COUNTIFS(
'YearA-AppDetails Current Date'!A:A,D175,
'YearA-AppDetails Current Date'!F:F,E175,
'YearA-AppDetails Current Date'!E:E,--F175,
'YearA-AppDetails Current Date'!V:V,{"APRO","NODE"},
'YearA-AppDetails Current Date'!I:I,"SPRING"))), "")</f>
        <v/>
      </c>
      <c r="O175" s="74" t="str" cm="1">
        <f t="array" ref="O175">IFERROR(1/(1/SUM(COUNTIFS(
'YearA-AppDetails Current Date'!A:A,D175,
'YearA-AppDetails Current Date'!F:F,E175,
'YearA-AppDetails Current Date'!E:E,--F175,
'YearA-AppDetails Current Date'!T:T,{"CDMT","RQMT","WAIT"},
'YearA-AppDetails Current Date'!I:I,"SPRING"))), "")</f>
        <v/>
      </c>
      <c r="P175" s="74" t="str">
        <f>IFERROR(1/(1/COUNTIFS(
'YearA-AppDetails Current Date'!A:A,D175,
'YearA-AppDetails Current Date'!F:F,E175,
'YearA-AppDetails Current Date'!E:E,--F175,
'YearA-AppDetails Current Date'!Y:Y,"ENRO",
'YearA-AppDetails Current Date'!I:I,"SPRING")),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HC'!D:T,8,FALSE)),
N(VLOOKUP(D176&amp;F176,'Budgeted Projections Dom HC'!D:T,9,FALSE))
)
),"")</f>
        <v/>
      </c>
      <c r="I176" s="73" t="str">
        <f>IFERROR(1/(1/COUNTIFS(
'YearA-AppDetails Current Date'!A:A,D176,
'YearA-AppDetails Current Date'!F:F,E176,
'YearA-AppDetails Current Date'!E:E,--F176,
'YearA-AppDetails Current Date'!I:I,"SPRING")), "")</f>
        <v/>
      </c>
      <c r="J176" s="74" t="str" cm="1">
        <f t="array" ref="J176">IFERROR(1/(1/SUM(COUNTIFS(
'YearA-AppDetails Current Date'!A:A,D176,
'YearA-AppDetails Current Date'!F:F,E176,
'YearA-AppDetails Current Date'!E:E,--F176,
'YearA-AppDetails Current Date'!O:O,{"ACLN","ACPT","COND"},
'YearA-AppDetails Current Date'!S:S,"&lt;&gt;ACLN",
'YearA-AppDetails Current Date'!S:S,"&lt;&gt;ACPT",
'YearA-AppDetails Current Date'!S:S,"&lt;&gt;COND",
'YearA-AppDetails Current Date'!I:I,"SPRING"))), "")</f>
        <v/>
      </c>
      <c r="K176" s="73" t="str">
        <f>IFERROR(1/(1/SUM(COUNTIFS(
'YearA-AppDetails Current Date'!A:A,D176,
'YearA-AppDetails Current Date'!F:F,E176,
'YearA-AppDetails Current Date'!E:E,--F176,
'YearA-AppDetails Current Date'!R:R,"&lt;&gt;"&amp;"",
'YearA-AppDetails Current Date'!I:I,"SPRING"))), "")</f>
        <v/>
      </c>
      <c r="L176" s="74" t="str" cm="1">
        <f t="array" ref="L176">IFERROR(1/(1/SUM(COUNTIFS(
'YearA-AppDetails Current Date'!A:A,D176,
'YearA-AppDetails Current Date'!F:F,E176,
'YearA-AppDetails Current Date'!E:E,--F176,
'YearA-AppDetails Current Date'!T:T,{"APEX","DENY","NTSL"},
'YearA-AppDetails Current Date'!I:I,"SPRING"))), "")</f>
        <v/>
      </c>
      <c r="M176" s="74" t="str" cm="1">
        <f t="array" ref="M176">IFERROR(1/(1/SUM(COUNTIFS(
'YearA-AppDetails Current Date'!A:A,D176,
'YearA-AppDetails Current Date'!F:F,E176,
'YearA-AppDetails Current Date'!E:E,--F176,
'YearA-AppDetails Current Date'!U:U,{"CCAN","DECL"},
'YearA-AppDetails Current Date'!I:I,"SPRING"))), "")</f>
        <v/>
      </c>
      <c r="N176" s="74" t="str" cm="1">
        <f t="array" ref="N176">IFERROR(1/(1/SUM(COUNTIFS(
'YearA-AppDetails Current Date'!A:A,D176,
'YearA-AppDetails Current Date'!F:F,E176,
'YearA-AppDetails Current Date'!E:E,--F176,
'YearA-AppDetails Current Date'!V:V,{"APRO","NODE"},
'YearA-AppDetails Current Date'!I:I,"SPRING"))), "")</f>
        <v/>
      </c>
      <c r="O176" s="74" t="str" cm="1">
        <f t="array" ref="O176">IFERROR(1/(1/SUM(COUNTIFS(
'YearA-AppDetails Current Date'!A:A,D176,
'YearA-AppDetails Current Date'!F:F,E176,
'YearA-AppDetails Current Date'!E:E,--F176,
'YearA-AppDetails Current Date'!T:T,{"CDMT","RQMT","WAIT"},
'YearA-AppDetails Current Date'!I:I,"SPRING"))), "")</f>
        <v/>
      </c>
      <c r="P176" s="74" t="str">
        <f>IFERROR(1/(1/COUNTIFS(
'YearA-AppDetails Current Date'!A:A,D176,
'YearA-AppDetails Current Date'!F:F,E176,
'YearA-AppDetails Current Date'!E:E,--F176,
'YearA-AppDetails Current Date'!Y:Y,"ENRO",
'YearA-AppDetails Current Date'!I:I,"SPRING")),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HC'!D:T,8,FALSE)),
N(VLOOKUP(D177&amp;F177,'Budgeted Projections Intl HC'!D:T,9,FALSE))
)
),"")</f>
        <v/>
      </c>
      <c r="I177" s="73" t="str">
        <f>IFERROR(1/(1/COUNTIFS(
'YearA-AppDetails Current Date'!A:A,D177,
'YearA-AppDetails Current Date'!F:F,E177,
'YearA-AppDetails Current Date'!E:E,--F177,
'YearA-AppDetails Current Date'!I:I,"SPRING")), "")</f>
        <v/>
      </c>
      <c r="J177" s="74" t="str" cm="1">
        <f t="array" ref="J177">IFERROR(1/(1/SUM(COUNTIFS(
'YearA-AppDetails Current Date'!A:A,D177,
'YearA-AppDetails Current Date'!F:F,E177,
'YearA-AppDetails Current Date'!E:E,--F177,
'YearA-AppDetails Current Date'!O:O,{"ACLN","ACPT","COND"},
'YearA-AppDetails Current Date'!S:S,"&lt;&gt;ACLN",
'YearA-AppDetails Current Date'!S:S,"&lt;&gt;ACPT",
'YearA-AppDetails Current Date'!S:S,"&lt;&gt;COND",
'YearA-AppDetails Current Date'!I:I,"SPRING"))), "")</f>
        <v/>
      </c>
      <c r="K177" s="73" t="str">
        <f>IFERROR(1/(1/SUM(COUNTIFS(
'YearA-AppDetails Current Date'!A:A,D177,
'YearA-AppDetails Current Date'!F:F,E177,
'YearA-AppDetails Current Date'!E:E,--F177,
'YearA-AppDetails Current Date'!R:R,"&lt;&gt;"&amp;"",
'YearA-AppDetails Current Date'!I:I,"SPRING"))), "")</f>
        <v/>
      </c>
      <c r="L177" s="74" t="str" cm="1">
        <f t="array" ref="L177">IFERROR(1/(1/SUM(COUNTIFS(
'YearA-AppDetails Current Date'!A:A,D177,
'YearA-AppDetails Current Date'!F:F,E177,
'YearA-AppDetails Current Date'!E:E,--F177,
'YearA-AppDetails Current Date'!T:T,{"APEX","DENY","NTSL"},
'YearA-AppDetails Current Date'!I:I,"SPRING"))), "")</f>
        <v/>
      </c>
      <c r="M177" s="74" t="str" cm="1">
        <f t="array" ref="M177">IFERROR(1/(1/SUM(COUNTIFS(
'YearA-AppDetails Current Date'!A:A,D177,
'YearA-AppDetails Current Date'!F:F,E177,
'YearA-AppDetails Current Date'!E:E,--F177,
'YearA-AppDetails Current Date'!U:U,{"CCAN","DECL"},
'YearA-AppDetails Current Date'!I:I,"SPRING"))), "")</f>
        <v/>
      </c>
      <c r="N177" s="74" t="str" cm="1">
        <f t="array" ref="N177">IFERROR(1/(1/SUM(COUNTIFS(
'YearA-AppDetails Current Date'!A:A,D177,
'YearA-AppDetails Current Date'!F:F,E177,
'YearA-AppDetails Current Date'!E:E,--F177,
'YearA-AppDetails Current Date'!V:V,{"APRO","NODE"},
'YearA-AppDetails Current Date'!I:I,"SPRING"))), "")</f>
        <v/>
      </c>
      <c r="O177" s="74" t="str" cm="1">
        <f t="array" ref="O177">IFERROR(1/(1/SUM(COUNTIFS(
'YearA-AppDetails Current Date'!A:A,D177,
'YearA-AppDetails Current Date'!F:F,E177,
'YearA-AppDetails Current Date'!E:E,--F177,
'YearA-AppDetails Current Date'!T:T,{"CDMT","RQMT","WAIT"},
'YearA-AppDetails Current Date'!I:I,"SPRING"))), "")</f>
        <v/>
      </c>
      <c r="P177" s="74" t="str">
        <f>IFERROR(1/(1/COUNTIFS(
'YearA-AppDetails Current Date'!A:A,D177,
'YearA-AppDetails Current Date'!F:F,E177,
'YearA-AppDetails Current Date'!E:E,--F177,
'YearA-AppDetails Current Date'!Y:Y,"ENRO",
'YearA-AppDetails Current Date'!I:I,"SPRING")),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HC'!D:T,8,FALSE)),
N(VLOOKUP(D178&amp;F178,'Budgeted Projections Dom HC'!D:T,9,FALSE))
)
),"")</f>
        <v/>
      </c>
      <c r="I178" s="73" t="str">
        <f>IFERROR(1/(1/COUNTIFS(
'YearA-AppDetails Current Date'!A:A,D178,
'YearA-AppDetails Current Date'!F:F,E178,
'YearA-AppDetails Current Date'!E:E,--F178,
'YearA-AppDetails Current Date'!I:I,"SPRING")), "")</f>
        <v/>
      </c>
      <c r="J178" s="74" t="str" cm="1">
        <f t="array" ref="J178">IFERROR(1/(1/SUM(COUNTIFS(
'YearA-AppDetails Current Date'!A:A,D178,
'YearA-AppDetails Current Date'!F:F,E178,
'YearA-AppDetails Current Date'!E:E,--F178,
'YearA-AppDetails Current Date'!O:O,{"ACLN","ACPT","COND"},
'YearA-AppDetails Current Date'!S:S,"&lt;&gt;ACLN",
'YearA-AppDetails Current Date'!S:S,"&lt;&gt;ACPT",
'YearA-AppDetails Current Date'!S:S,"&lt;&gt;COND",
'YearA-AppDetails Current Date'!I:I,"SPRING"))), "")</f>
        <v/>
      </c>
      <c r="K178" s="73" t="str">
        <f>IFERROR(1/(1/SUM(COUNTIFS(
'YearA-AppDetails Current Date'!A:A,D178,
'YearA-AppDetails Current Date'!F:F,E178,
'YearA-AppDetails Current Date'!E:E,--F178,
'YearA-AppDetails Current Date'!R:R,"&lt;&gt;"&amp;"",
'YearA-AppDetails Current Date'!I:I,"SPRING"))), "")</f>
        <v/>
      </c>
      <c r="L178" s="74" t="str" cm="1">
        <f t="array" ref="L178">IFERROR(1/(1/SUM(COUNTIFS(
'YearA-AppDetails Current Date'!A:A,D178,
'YearA-AppDetails Current Date'!F:F,E178,
'YearA-AppDetails Current Date'!E:E,--F178,
'YearA-AppDetails Current Date'!T:T,{"APEX","DENY","NTSL"},
'YearA-AppDetails Current Date'!I:I,"SPRING"))), "")</f>
        <v/>
      </c>
      <c r="M178" s="74" t="str" cm="1">
        <f t="array" ref="M178">IFERROR(1/(1/SUM(COUNTIFS(
'YearA-AppDetails Current Date'!A:A,D178,
'YearA-AppDetails Current Date'!F:F,E178,
'YearA-AppDetails Current Date'!E:E,--F178,
'YearA-AppDetails Current Date'!U:U,{"CCAN","DECL"},
'YearA-AppDetails Current Date'!I:I,"SPRING"))), "")</f>
        <v/>
      </c>
      <c r="N178" s="74" t="str" cm="1">
        <f t="array" ref="N178">IFERROR(1/(1/SUM(COUNTIFS(
'YearA-AppDetails Current Date'!A:A,D178,
'YearA-AppDetails Current Date'!F:F,E178,
'YearA-AppDetails Current Date'!E:E,--F178,
'YearA-AppDetails Current Date'!V:V,{"APRO","NODE"},
'YearA-AppDetails Current Date'!I:I,"SPRING"))), "")</f>
        <v/>
      </c>
      <c r="O178" s="74" t="str" cm="1">
        <f t="array" ref="O178">IFERROR(1/(1/SUM(COUNTIFS(
'YearA-AppDetails Current Date'!A:A,D178,
'YearA-AppDetails Current Date'!F:F,E178,
'YearA-AppDetails Current Date'!E:E,--F178,
'YearA-AppDetails Current Date'!T:T,{"CDMT","RQMT","WAIT"},
'YearA-AppDetails Current Date'!I:I,"SPRING"))), "")</f>
        <v/>
      </c>
      <c r="P178" s="74" t="str">
        <f>IFERROR(1/(1/COUNTIFS(
'YearA-AppDetails Current Date'!A:A,D178,
'YearA-AppDetails Current Date'!F:F,E178,
'YearA-AppDetails Current Date'!E:E,--F178,
'YearA-AppDetails Current Date'!Y:Y,"ENRO",
'YearA-AppDetails Current Date'!I:I,"SPRING")),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HC'!D:T,8,FALSE)),
N(VLOOKUP(D179&amp;F179,'Budgeted Projections Intl HC'!D:T,9,FALSE))
)
),"")</f>
        <v/>
      </c>
      <c r="I179" s="73" t="str">
        <f>IFERROR(1/(1/COUNTIFS(
'YearA-AppDetails Current Date'!A:A,D179,
'YearA-AppDetails Current Date'!F:F,E179,
'YearA-AppDetails Current Date'!E:E,--F179,
'YearA-AppDetails Current Date'!I:I,"SPRING")), "")</f>
        <v/>
      </c>
      <c r="J179" s="74" t="str" cm="1">
        <f t="array" ref="J179">IFERROR(1/(1/SUM(COUNTIFS(
'YearA-AppDetails Current Date'!A:A,D179,
'YearA-AppDetails Current Date'!F:F,E179,
'YearA-AppDetails Current Date'!E:E,--F179,
'YearA-AppDetails Current Date'!O:O,{"ACLN","ACPT","COND"},
'YearA-AppDetails Current Date'!S:S,"&lt;&gt;ACLN",
'YearA-AppDetails Current Date'!S:S,"&lt;&gt;ACPT",
'YearA-AppDetails Current Date'!S:S,"&lt;&gt;COND",
'YearA-AppDetails Current Date'!I:I,"SPRING"))), "")</f>
        <v/>
      </c>
      <c r="K179" s="73" t="str">
        <f>IFERROR(1/(1/SUM(COUNTIFS(
'YearA-AppDetails Current Date'!A:A,D179,
'YearA-AppDetails Current Date'!F:F,E179,
'YearA-AppDetails Current Date'!E:E,--F179,
'YearA-AppDetails Current Date'!R:R,"&lt;&gt;"&amp;"",
'YearA-AppDetails Current Date'!I:I,"SPRING"))), "")</f>
        <v/>
      </c>
      <c r="L179" s="74" t="str" cm="1">
        <f t="array" ref="L179">IFERROR(1/(1/SUM(COUNTIFS(
'YearA-AppDetails Current Date'!A:A,D179,
'YearA-AppDetails Current Date'!F:F,E179,
'YearA-AppDetails Current Date'!E:E,--F179,
'YearA-AppDetails Current Date'!T:T,{"APEX","DENY","NTSL"},
'YearA-AppDetails Current Date'!I:I,"SPRING"))), "")</f>
        <v/>
      </c>
      <c r="M179" s="74" t="str" cm="1">
        <f t="array" ref="M179">IFERROR(1/(1/SUM(COUNTIFS(
'YearA-AppDetails Current Date'!A:A,D179,
'YearA-AppDetails Current Date'!F:F,E179,
'YearA-AppDetails Current Date'!E:E,--F179,
'YearA-AppDetails Current Date'!U:U,{"CCAN","DECL"},
'YearA-AppDetails Current Date'!I:I,"SPRING"))), "")</f>
        <v/>
      </c>
      <c r="N179" s="74" t="str" cm="1">
        <f t="array" ref="N179">IFERROR(1/(1/SUM(COUNTIFS(
'YearA-AppDetails Current Date'!A:A,D179,
'YearA-AppDetails Current Date'!F:F,E179,
'YearA-AppDetails Current Date'!E:E,--F179,
'YearA-AppDetails Current Date'!V:V,{"APRO","NODE"},
'YearA-AppDetails Current Date'!I:I,"SPRING"))), "")</f>
        <v/>
      </c>
      <c r="O179" s="74" t="str" cm="1">
        <f t="array" ref="O179">IFERROR(1/(1/SUM(COUNTIFS(
'YearA-AppDetails Current Date'!A:A,D179,
'YearA-AppDetails Current Date'!F:F,E179,
'YearA-AppDetails Current Date'!E:E,--F179,
'YearA-AppDetails Current Date'!T:T,{"CDMT","RQMT","WAIT"},
'YearA-AppDetails Current Date'!I:I,"SPRING"))), "")</f>
        <v/>
      </c>
      <c r="P179" s="74" t="str">
        <f>IFERROR(1/(1/COUNTIFS(
'YearA-AppDetails Current Date'!A:A,D179,
'YearA-AppDetails Current Date'!F:F,E179,
'YearA-AppDetails Current Date'!E:E,--F179,
'YearA-AppDetails Current Date'!Y:Y,"ENRO",
'YearA-AppDetails Current Date'!I:I,"SPRING")),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HC'!D:T,8,FALSE)),
N(VLOOKUP(D180&amp;F180,'Budgeted Projections Dom HC'!D:T,9,FALSE))
)
),"")</f>
        <v/>
      </c>
      <c r="I180" s="73" t="str">
        <f>IFERROR(1/(1/COUNTIFS(
'YearA-AppDetails Current Date'!A:A,D180,
'YearA-AppDetails Current Date'!F:F,E180,
'YearA-AppDetails Current Date'!E:E,--F180,
'YearA-AppDetails Current Date'!I:I,"SPRING")), "")</f>
        <v/>
      </c>
      <c r="J180" s="74" t="str" cm="1">
        <f t="array" ref="J180">IFERROR(1/(1/SUM(COUNTIFS(
'YearA-AppDetails Current Date'!A:A,D180,
'YearA-AppDetails Current Date'!F:F,E180,
'YearA-AppDetails Current Date'!E:E,--F180,
'YearA-AppDetails Current Date'!O:O,{"ACLN","ACPT","COND"},
'YearA-AppDetails Current Date'!S:S,"&lt;&gt;ACLN",
'YearA-AppDetails Current Date'!S:S,"&lt;&gt;ACPT",
'YearA-AppDetails Current Date'!S:S,"&lt;&gt;COND",
'YearA-AppDetails Current Date'!I:I,"SPRING"))), "")</f>
        <v/>
      </c>
      <c r="K180" s="73" t="str">
        <f>IFERROR(1/(1/SUM(COUNTIFS(
'YearA-AppDetails Current Date'!A:A,D180,
'YearA-AppDetails Current Date'!F:F,E180,
'YearA-AppDetails Current Date'!E:E,--F180,
'YearA-AppDetails Current Date'!R:R,"&lt;&gt;"&amp;"",
'YearA-AppDetails Current Date'!I:I,"SPRING"))), "")</f>
        <v/>
      </c>
      <c r="L180" s="74" t="str" cm="1">
        <f t="array" ref="L180">IFERROR(1/(1/SUM(COUNTIFS(
'YearA-AppDetails Current Date'!A:A,D180,
'YearA-AppDetails Current Date'!F:F,E180,
'YearA-AppDetails Current Date'!E:E,--F180,
'YearA-AppDetails Current Date'!T:T,{"APEX","DENY","NTSL"},
'YearA-AppDetails Current Date'!I:I,"SPRING"))), "")</f>
        <v/>
      </c>
      <c r="M180" s="74" t="str" cm="1">
        <f t="array" ref="M180">IFERROR(1/(1/SUM(COUNTIFS(
'YearA-AppDetails Current Date'!A:A,D180,
'YearA-AppDetails Current Date'!F:F,E180,
'YearA-AppDetails Current Date'!E:E,--F180,
'YearA-AppDetails Current Date'!U:U,{"CCAN","DECL"},
'YearA-AppDetails Current Date'!I:I,"SPRING"))), "")</f>
        <v/>
      </c>
      <c r="N180" s="74" t="str" cm="1">
        <f t="array" ref="N180">IFERROR(1/(1/SUM(COUNTIFS(
'YearA-AppDetails Current Date'!A:A,D180,
'YearA-AppDetails Current Date'!F:F,E180,
'YearA-AppDetails Current Date'!E:E,--F180,
'YearA-AppDetails Current Date'!V:V,{"APRO","NODE"},
'YearA-AppDetails Current Date'!I:I,"SPRING"))), "")</f>
        <v/>
      </c>
      <c r="O180" s="74" t="str" cm="1">
        <f t="array" ref="O180">IFERROR(1/(1/SUM(COUNTIFS(
'YearA-AppDetails Current Date'!A:A,D180,
'YearA-AppDetails Current Date'!F:F,E180,
'YearA-AppDetails Current Date'!E:E,--F180,
'YearA-AppDetails Current Date'!T:T,{"CDMT","RQMT","WAIT"},
'YearA-AppDetails Current Date'!I:I,"SPRING"))), "")</f>
        <v/>
      </c>
      <c r="P180" s="74" t="str">
        <f>IFERROR(1/(1/COUNTIFS(
'YearA-AppDetails Current Date'!A:A,D180,
'YearA-AppDetails Current Date'!F:F,E180,
'YearA-AppDetails Current Date'!E:E,--F180,
'YearA-AppDetails Current Date'!Y:Y,"ENRO",
'YearA-AppDetails Current Date'!I:I,"SPRING")),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HC'!D:T,8,FALSE)),
N(VLOOKUP(D181&amp;F181,'Budgeted Projections Intl HC'!D:T,9,FALSE))
)
),"")</f>
        <v/>
      </c>
      <c r="I181" s="73" t="str">
        <f>IFERROR(1/(1/COUNTIFS(
'YearA-AppDetails Current Date'!A:A,D181,
'YearA-AppDetails Current Date'!F:F,E181,
'YearA-AppDetails Current Date'!E:E,--F181,
'YearA-AppDetails Current Date'!I:I,"SPRING")), "")</f>
        <v/>
      </c>
      <c r="J181" s="74" t="str" cm="1">
        <f t="array" ref="J181">IFERROR(1/(1/SUM(COUNTIFS(
'YearA-AppDetails Current Date'!A:A,D181,
'YearA-AppDetails Current Date'!F:F,E181,
'YearA-AppDetails Current Date'!E:E,--F181,
'YearA-AppDetails Current Date'!O:O,{"ACLN","ACPT","COND"},
'YearA-AppDetails Current Date'!S:S,"&lt;&gt;ACLN",
'YearA-AppDetails Current Date'!S:S,"&lt;&gt;ACPT",
'YearA-AppDetails Current Date'!S:S,"&lt;&gt;COND",
'YearA-AppDetails Current Date'!I:I,"SPRING"))), "")</f>
        <v/>
      </c>
      <c r="K181" s="73" t="str">
        <f>IFERROR(1/(1/SUM(COUNTIFS(
'YearA-AppDetails Current Date'!A:A,D181,
'YearA-AppDetails Current Date'!F:F,E181,
'YearA-AppDetails Current Date'!E:E,--F181,
'YearA-AppDetails Current Date'!R:R,"&lt;&gt;"&amp;"",
'YearA-AppDetails Current Date'!I:I,"SPRING"))), "")</f>
        <v/>
      </c>
      <c r="L181" s="74" t="str" cm="1">
        <f t="array" ref="L181">IFERROR(1/(1/SUM(COUNTIFS(
'YearA-AppDetails Current Date'!A:A,D181,
'YearA-AppDetails Current Date'!F:F,E181,
'YearA-AppDetails Current Date'!E:E,--F181,
'YearA-AppDetails Current Date'!T:T,{"APEX","DENY","NTSL"},
'YearA-AppDetails Current Date'!I:I,"SPRING"))), "")</f>
        <v/>
      </c>
      <c r="M181" s="74" t="str" cm="1">
        <f t="array" ref="M181">IFERROR(1/(1/SUM(COUNTIFS(
'YearA-AppDetails Current Date'!A:A,D181,
'YearA-AppDetails Current Date'!F:F,E181,
'YearA-AppDetails Current Date'!E:E,--F181,
'YearA-AppDetails Current Date'!U:U,{"CCAN","DECL"},
'YearA-AppDetails Current Date'!I:I,"SPRING"))), "")</f>
        <v/>
      </c>
      <c r="N181" s="74" t="str" cm="1">
        <f t="array" ref="N181">IFERROR(1/(1/SUM(COUNTIFS(
'YearA-AppDetails Current Date'!A:A,D181,
'YearA-AppDetails Current Date'!F:F,E181,
'YearA-AppDetails Current Date'!E:E,--F181,
'YearA-AppDetails Current Date'!V:V,{"APRO","NODE"},
'YearA-AppDetails Current Date'!I:I,"SPRING"))), "")</f>
        <v/>
      </c>
      <c r="O181" s="74" t="str" cm="1">
        <f t="array" ref="O181">IFERROR(1/(1/SUM(COUNTIFS(
'YearA-AppDetails Current Date'!A:A,D181,
'YearA-AppDetails Current Date'!F:F,E181,
'YearA-AppDetails Current Date'!E:E,--F181,
'YearA-AppDetails Current Date'!T:T,{"CDMT","RQMT","WAIT"},
'YearA-AppDetails Current Date'!I:I,"SPRING"))), "")</f>
        <v/>
      </c>
      <c r="P181" s="74" t="str">
        <f>IFERROR(1/(1/COUNTIFS(
'YearA-AppDetails Current Date'!A:A,D181,
'YearA-AppDetails Current Date'!F:F,E181,
'YearA-AppDetails Current Date'!E:E,--F181,
'YearA-AppDetails Current Date'!Y:Y,"ENRO",
'YearA-AppDetails Current Date'!I:I,"SPRING")),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HC'!D:T,8,FALSE)),
N(VLOOKUP(D182&amp;F182,'Budgeted Projections Dom HC'!D:T,9,FALSE))
)
),"")</f>
        <v/>
      </c>
      <c r="I182" s="73" t="str">
        <f>IFERROR(1/(1/COUNTIFS(
'YearA-AppDetails Current Date'!A:A,D182,
'YearA-AppDetails Current Date'!F:F,E182,
'YearA-AppDetails Current Date'!E:E,--F182,
'YearA-AppDetails Current Date'!I:I,"SPRING")), "")</f>
        <v/>
      </c>
      <c r="J182" s="74" t="str" cm="1">
        <f t="array" ref="J182">IFERROR(1/(1/SUM(COUNTIFS(
'YearA-AppDetails Current Date'!A:A,D182,
'YearA-AppDetails Current Date'!F:F,E182,
'YearA-AppDetails Current Date'!E:E,--F182,
'YearA-AppDetails Current Date'!O:O,{"ACLN","ACPT","COND"},
'YearA-AppDetails Current Date'!S:S,"&lt;&gt;ACLN",
'YearA-AppDetails Current Date'!S:S,"&lt;&gt;ACPT",
'YearA-AppDetails Current Date'!S:S,"&lt;&gt;COND",
'YearA-AppDetails Current Date'!I:I,"SPRING"))), "")</f>
        <v/>
      </c>
      <c r="K182" s="73" t="str">
        <f>IFERROR(1/(1/SUM(COUNTIFS(
'YearA-AppDetails Current Date'!A:A,D182,
'YearA-AppDetails Current Date'!F:F,E182,
'YearA-AppDetails Current Date'!E:E,--F182,
'YearA-AppDetails Current Date'!R:R,"&lt;&gt;"&amp;"",
'YearA-AppDetails Current Date'!I:I,"SPRING"))), "")</f>
        <v/>
      </c>
      <c r="L182" s="74" t="str" cm="1">
        <f t="array" ref="L182">IFERROR(1/(1/SUM(COUNTIFS(
'YearA-AppDetails Current Date'!A:A,D182,
'YearA-AppDetails Current Date'!F:F,E182,
'YearA-AppDetails Current Date'!E:E,--F182,
'YearA-AppDetails Current Date'!T:T,{"APEX","DENY","NTSL"},
'YearA-AppDetails Current Date'!I:I,"SPRING"))), "")</f>
        <v/>
      </c>
      <c r="M182" s="74" t="str" cm="1">
        <f t="array" ref="M182">IFERROR(1/(1/SUM(COUNTIFS(
'YearA-AppDetails Current Date'!A:A,D182,
'YearA-AppDetails Current Date'!F:F,E182,
'YearA-AppDetails Current Date'!E:E,--F182,
'YearA-AppDetails Current Date'!U:U,{"CCAN","DECL"},
'YearA-AppDetails Current Date'!I:I,"SPRING"))), "")</f>
        <v/>
      </c>
      <c r="N182" s="74" t="str" cm="1">
        <f t="array" ref="N182">IFERROR(1/(1/SUM(COUNTIFS(
'YearA-AppDetails Current Date'!A:A,D182,
'YearA-AppDetails Current Date'!F:F,E182,
'YearA-AppDetails Current Date'!E:E,--F182,
'YearA-AppDetails Current Date'!V:V,{"APRO","NODE"},
'YearA-AppDetails Current Date'!I:I,"SPRING"))), "")</f>
        <v/>
      </c>
      <c r="O182" s="74" t="str" cm="1">
        <f t="array" ref="O182">IFERROR(1/(1/SUM(COUNTIFS(
'YearA-AppDetails Current Date'!A:A,D182,
'YearA-AppDetails Current Date'!F:F,E182,
'YearA-AppDetails Current Date'!E:E,--F182,
'YearA-AppDetails Current Date'!T:T,{"CDMT","RQMT","WAIT"},
'YearA-AppDetails Current Date'!I:I,"SPRING"))), "")</f>
        <v/>
      </c>
      <c r="P182" s="74" t="str">
        <f>IFERROR(1/(1/COUNTIFS(
'YearA-AppDetails Current Date'!A:A,D182,
'YearA-AppDetails Current Date'!F:F,E182,
'YearA-AppDetails Current Date'!E:E,--F182,
'YearA-AppDetails Current Date'!Y:Y,"ENRO",
'YearA-AppDetails Current Date'!I:I,"SPRING")),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HC'!D:T,8,FALSE)),
N(VLOOKUP(D183&amp;F183,'Budgeted Projections Intl HC'!D:T,9,FALSE))
)
),"")</f>
        <v/>
      </c>
      <c r="I183" s="73" t="str">
        <f>IFERROR(1/(1/COUNTIFS(
'YearA-AppDetails Current Date'!A:A,D183,
'YearA-AppDetails Current Date'!F:F,E183,
'YearA-AppDetails Current Date'!E:E,--F183,
'YearA-AppDetails Current Date'!I:I,"SPRING")), "")</f>
        <v/>
      </c>
      <c r="J183" s="74" t="str" cm="1">
        <f t="array" ref="J183">IFERROR(1/(1/SUM(COUNTIFS(
'YearA-AppDetails Current Date'!A:A,D183,
'YearA-AppDetails Current Date'!F:F,E183,
'YearA-AppDetails Current Date'!E:E,--F183,
'YearA-AppDetails Current Date'!O:O,{"ACLN","ACPT","COND"},
'YearA-AppDetails Current Date'!S:S,"&lt;&gt;ACLN",
'YearA-AppDetails Current Date'!S:S,"&lt;&gt;ACPT",
'YearA-AppDetails Current Date'!S:S,"&lt;&gt;COND",
'YearA-AppDetails Current Date'!I:I,"SPRING"))), "")</f>
        <v/>
      </c>
      <c r="K183" s="73" t="str">
        <f>IFERROR(1/(1/SUM(COUNTIFS(
'YearA-AppDetails Current Date'!A:A,D183,
'YearA-AppDetails Current Date'!F:F,E183,
'YearA-AppDetails Current Date'!E:E,--F183,
'YearA-AppDetails Current Date'!R:R,"&lt;&gt;"&amp;"",
'YearA-AppDetails Current Date'!I:I,"SPRING"))), "")</f>
        <v/>
      </c>
      <c r="L183" s="74" t="str" cm="1">
        <f t="array" ref="L183">IFERROR(1/(1/SUM(COUNTIFS(
'YearA-AppDetails Current Date'!A:A,D183,
'YearA-AppDetails Current Date'!F:F,E183,
'YearA-AppDetails Current Date'!E:E,--F183,
'YearA-AppDetails Current Date'!T:T,{"APEX","DENY","NTSL"},
'YearA-AppDetails Current Date'!I:I,"SPRING"))), "")</f>
        <v/>
      </c>
      <c r="M183" s="74" t="str" cm="1">
        <f t="array" ref="M183">IFERROR(1/(1/SUM(COUNTIFS(
'YearA-AppDetails Current Date'!A:A,D183,
'YearA-AppDetails Current Date'!F:F,E183,
'YearA-AppDetails Current Date'!E:E,--F183,
'YearA-AppDetails Current Date'!U:U,{"CCAN","DECL"},
'YearA-AppDetails Current Date'!I:I,"SPRING"))), "")</f>
        <v/>
      </c>
      <c r="N183" s="74" t="str" cm="1">
        <f t="array" ref="N183">IFERROR(1/(1/SUM(COUNTIFS(
'YearA-AppDetails Current Date'!A:A,D183,
'YearA-AppDetails Current Date'!F:F,E183,
'YearA-AppDetails Current Date'!E:E,--F183,
'YearA-AppDetails Current Date'!V:V,{"APRO","NODE"},
'YearA-AppDetails Current Date'!I:I,"SPRING"))), "")</f>
        <v/>
      </c>
      <c r="O183" s="74" t="str" cm="1">
        <f t="array" ref="O183">IFERROR(1/(1/SUM(COUNTIFS(
'YearA-AppDetails Current Date'!A:A,D183,
'YearA-AppDetails Current Date'!F:F,E183,
'YearA-AppDetails Current Date'!E:E,--F183,
'YearA-AppDetails Current Date'!T:T,{"CDMT","RQMT","WAIT"},
'YearA-AppDetails Current Date'!I:I,"SPRING"))), "")</f>
        <v/>
      </c>
      <c r="P183" s="74" t="str">
        <f>IFERROR(1/(1/COUNTIFS(
'YearA-AppDetails Current Date'!A:A,D183,
'YearA-AppDetails Current Date'!F:F,E183,
'YearA-AppDetails Current Date'!E:E,--F183,
'YearA-AppDetails Current Date'!Y:Y,"ENRO",
'YearA-AppDetails Current Date'!I:I,"SPRING")),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HC'!D:T,8,FALSE)),
N(VLOOKUP(D184&amp;F184,'Budgeted Projections Dom HC'!D:T,9,FALSE))
)
),"")</f>
        <v/>
      </c>
      <c r="I184" s="73" t="str">
        <f>IFERROR(1/(1/COUNTIFS(
'YearA-AppDetails Current Date'!A:A,D184,
'YearA-AppDetails Current Date'!F:F,E184,
'YearA-AppDetails Current Date'!E:E,--F184,
'YearA-AppDetails Current Date'!I:I,"SPRING")), "")</f>
        <v/>
      </c>
      <c r="J184" s="74" t="str" cm="1">
        <f t="array" ref="J184">IFERROR(1/(1/SUM(COUNTIFS(
'YearA-AppDetails Current Date'!A:A,D184,
'YearA-AppDetails Current Date'!F:F,E184,
'YearA-AppDetails Current Date'!E:E,--F184,
'YearA-AppDetails Current Date'!O:O,{"ACLN","ACPT","COND"},
'YearA-AppDetails Current Date'!S:S,"&lt;&gt;ACLN",
'YearA-AppDetails Current Date'!S:S,"&lt;&gt;ACPT",
'YearA-AppDetails Current Date'!S:S,"&lt;&gt;COND",
'YearA-AppDetails Current Date'!I:I,"SPRING"))), "")</f>
        <v/>
      </c>
      <c r="K184" s="73" t="str">
        <f>IFERROR(1/(1/SUM(COUNTIFS(
'YearA-AppDetails Current Date'!A:A,D184,
'YearA-AppDetails Current Date'!F:F,E184,
'YearA-AppDetails Current Date'!E:E,--F184,
'YearA-AppDetails Current Date'!R:R,"&lt;&gt;"&amp;"",
'YearA-AppDetails Current Date'!I:I,"SPRING"))), "")</f>
        <v/>
      </c>
      <c r="L184" s="74" t="str" cm="1">
        <f t="array" ref="L184">IFERROR(1/(1/SUM(COUNTIFS(
'YearA-AppDetails Current Date'!A:A,D184,
'YearA-AppDetails Current Date'!F:F,E184,
'YearA-AppDetails Current Date'!E:E,--F184,
'YearA-AppDetails Current Date'!T:T,{"APEX","DENY","NTSL"},
'YearA-AppDetails Current Date'!I:I,"SPRING"))), "")</f>
        <v/>
      </c>
      <c r="M184" s="74" t="str" cm="1">
        <f t="array" ref="M184">IFERROR(1/(1/SUM(COUNTIFS(
'YearA-AppDetails Current Date'!A:A,D184,
'YearA-AppDetails Current Date'!F:F,E184,
'YearA-AppDetails Current Date'!E:E,--F184,
'YearA-AppDetails Current Date'!U:U,{"CCAN","DECL"},
'YearA-AppDetails Current Date'!I:I,"SPRING"))), "")</f>
        <v/>
      </c>
      <c r="N184" s="74" t="str" cm="1">
        <f t="array" ref="N184">IFERROR(1/(1/SUM(COUNTIFS(
'YearA-AppDetails Current Date'!A:A,D184,
'YearA-AppDetails Current Date'!F:F,E184,
'YearA-AppDetails Current Date'!E:E,--F184,
'YearA-AppDetails Current Date'!V:V,{"APRO","NODE"},
'YearA-AppDetails Current Date'!I:I,"SPRING"))), "")</f>
        <v/>
      </c>
      <c r="O184" s="74" t="str" cm="1">
        <f t="array" ref="O184">IFERROR(1/(1/SUM(COUNTIFS(
'YearA-AppDetails Current Date'!A:A,D184,
'YearA-AppDetails Current Date'!F:F,E184,
'YearA-AppDetails Current Date'!E:E,--F184,
'YearA-AppDetails Current Date'!T:T,{"CDMT","RQMT","WAIT"},
'YearA-AppDetails Current Date'!I:I,"SPRING"))), "")</f>
        <v/>
      </c>
      <c r="P184" s="74" t="str">
        <f>IFERROR(1/(1/COUNTIFS(
'YearA-AppDetails Current Date'!A:A,D184,
'YearA-AppDetails Current Date'!F:F,E184,
'YearA-AppDetails Current Date'!E:E,--F184,
'YearA-AppDetails Current Date'!Y:Y,"ENRO",
'YearA-AppDetails Current Date'!I:I,"SPRING")),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HC'!D:T,8,FALSE)),
N(VLOOKUP(D185&amp;F185,'Budgeted Projections Intl HC'!D:T,9,FALSE))
)
),"")</f>
        <v/>
      </c>
      <c r="I185" s="73" t="str">
        <f>IFERROR(1/(1/COUNTIFS(
'YearA-AppDetails Current Date'!A:A,D185,
'YearA-AppDetails Current Date'!F:F,E185,
'YearA-AppDetails Current Date'!E:E,--F185,
'YearA-AppDetails Current Date'!I:I,"SPRING")), "")</f>
        <v/>
      </c>
      <c r="J185" s="74" t="str" cm="1">
        <f t="array" ref="J185">IFERROR(1/(1/SUM(COUNTIFS(
'YearA-AppDetails Current Date'!A:A,D185,
'YearA-AppDetails Current Date'!F:F,E185,
'YearA-AppDetails Current Date'!E:E,--F185,
'YearA-AppDetails Current Date'!O:O,{"ACLN","ACPT","COND"},
'YearA-AppDetails Current Date'!S:S,"&lt;&gt;ACLN",
'YearA-AppDetails Current Date'!S:S,"&lt;&gt;ACPT",
'YearA-AppDetails Current Date'!S:S,"&lt;&gt;COND",
'YearA-AppDetails Current Date'!I:I,"SPRING"))), "")</f>
        <v/>
      </c>
      <c r="K185" s="73" t="str">
        <f>IFERROR(1/(1/SUM(COUNTIFS(
'YearA-AppDetails Current Date'!A:A,D185,
'YearA-AppDetails Current Date'!F:F,E185,
'YearA-AppDetails Current Date'!E:E,--F185,
'YearA-AppDetails Current Date'!R:R,"&lt;&gt;"&amp;"",
'YearA-AppDetails Current Date'!I:I,"SPRING"))), "")</f>
        <v/>
      </c>
      <c r="L185" s="74" t="str" cm="1">
        <f t="array" ref="L185">IFERROR(1/(1/SUM(COUNTIFS(
'YearA-AppDetails Current Date'!A:A,D185,
'YearA-AppDetails Current Date'!F:F,E185,
'YearA-AppDetails Current Date'!E:E,--F185,
'YearA-AppDetails Current Date'!T:T,{"APEX","DENY","NTSL"},
'YearA-AppDetails Current Date'!I:I,"SPRING"))), "")</f>
        <v/>
      </c>
      <c r="M185" s="74" t="str" cm="1">
        <f t="array" ref="M185">IFERROR(1/(1/SUM(COUNTIFS(
'YearA-AppDetails Current Date'!A:A,D185,
'YearA-AppDetails Current Date'!F:F,E185,
'YearA-AppDetails Current Date'!E:E,--F185,
'YearA-AppDetails Current Date'!U:U,{"CCAN","DECL"},
'YearA-AppDetails Current Date'!I:I,"SPRING"))), "")</f>
        <v/>
      </c>
      <c r="N185" s="74" t="str" cm="1">
        <f t="array" ref="N185">IFERROR(1/(1/SUM(COUNTIFS(
'YearA-AppDetails Current Date'!A:A,D185,
'YearA-AppDetails Current Date'!F:F,E185,
'YearA-AppDetails Current Date'!E:E,--F185,
'YearA-AppDetails Current Date'!V:V,{"APRO","NODE"},
'YearA-AppDetails Current Date'!I:I,"SPRING"))), "")</f>
        <v/>
      </c>
      <c r="O185" s="74" t="str" cm="1">
        <f t="array" ref="O185">IFERROR(1/(1/SUM(COUNTIFS(
'YearA-AppDetails Current Date'!A:A,D185,
'YearA-AppDetails Current Date'!F:F,E185,
'YearA-AppDetails Current Date'!E:E,--F185,
'YearA-AppDetails Current Date'!T:T,{"CDMT","RQMT","WAIT"},
'YearA-AppDetails Current Date'!I:I,"SPRING"))), "")</f>
        <v/>
      </c>
      <c r="P185" s="74" t="str">
        <f>IFERROR(1/(1/COUNTIFS(
'YearA-AppDetails Current Date'!A:A,D185,
'YearA-AppDetails Current Date'!F:F,E185,
'YearA-AppDetails Current Date'!E:E,--F185,
'YearA-AppDetails Current Date'!Y:Y,"ENRO",
'YearA-AppDetails Current Date'!I:I,"SPRING")),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HC'!D:T,8,FALSE)),
N(VLOOKUP(D186&amp;F186,'Budgeted Projections Dom HC'!D:T,9,FALSE))
)
),"")</f>
        <v/>
      </c>
      <c r="I186" s="73" t="str">
        <f>IFERROR(1/(1/COUNTIFS(
'YearA-AppDetails Current Date'!A:A,D186,
'YearA-AppDetails Current Date'!F:F,E186,
'YearA-AppDetails Current Date'!E:E,--F186,
'YearA-AppDetails Current Date'!I:I,"SPRING")), "")</f>
        <v/>
      </c>
      <c r="J186" s="74" t="str" cm="1">
        <f t="array" ref="J186">IFERROR(1/(1/SUM(COUNTIFS(
'YearA-AppDetails Current Date'!A:A,D186,
'YearA-AppDetails Current Date'!F:F,E186,
'YearA-AppDetails Current Date'!E:E,--F186,
'YearA-AppDetails Current Date'!O:O,{"ACLN","ACPT","COND"},
'YearA-AppDetails Current Date'!S:S,"&lt;&gt;ACLN",
'YearA-AppDetails Current Date'!S:S,"&lt;&gt;ACPT",
'YearA-AppDetails Current Date'!S:S,"&lt;&gt;COND",
'YearA-AppDetails Current Date'!I:I,"SPRING"))), "")</f>
        <v/>
      </c>
      <c r="K186" s="73" t="str">
        <f>IFERROR(1/(1/SUM(COUNTIFS(
'YearA-AppDetails Current Date'!A:A,D186,
'YearA-AppDetails Current Date'!F:F,E186,
'YearA-AppDetails Current Date'!E:E,--F186,
'YearA-AppDetails Current Date'!R:R,"&lt;&gt;"&amp;"",
'YearA-AppDetails Current Date'!I:I,"SPRING"))), "")</f>
        <v/>
      </c>
      <c r="L186" s="74" t="str" cm="1">
        <f t="array" ref="L186">IFERROR(1/(1/SUM(COUNTIFS(
'YearA-AppDetails Current Date'!A:A,D186,
'YearA-AppDetails Current Date'!F:F,E186,
'YearA-AppDetails Current Date'!E:E,--F186,
'YearA-AppDetails Current Date'!T:T,{"APEX","DENY","NTSL"},
'YearA-AppDetails Current Date'!I:I,"SPRING"))), "")</f>
        <v/>
      </c>
      <c r="M186" s="74" t="str" cm="1">
        <f t="array" ref="M186">IFERROR(1/(1/SUM(COUNTIFS(
'YearA-AppDetails Current Date'!A:A,D186,
'YearA-AppDetails Current Date'!F:F,E186,
'YearA-AppDetails Current Date'!E:E,--F186,
'YearA-AppDetails Current Date'!U:U,{"CCAN","DECL"},
'YearA-AppDetails Current Date'!I:I,"SPRING"))), "")</f>
        <v/>
      </c>
      <c r="N186" s="74" t="str" cm="1">
        <f t="array" ref="N186">IFERROR(1/(1/SUM(COUNTIFS(
'YearA-AppDetails Current Date'!A:A,D186,
'YearA-AppDetails Current Date'!F:F,E186,
'YearA-AppDetails Current Date'!E:E,--F186,
'YearA-AppDetails Current Date'!V:V,{"APRO","NODE"},
'YearA-AppDetails Current Date'!I:I,"SPRING"))), "")</f>
        <v/>
      </c>
      <c r="O186" s="74" t="str" cm="1">
        <f t="array" ref="O186">IFERROR(1/(1/SUM(COUNTIFS(
'YearA-AppDetails Current Date'!A:A,D186,
'YearA-AppDetails Current Date'!F:F,E186,
'YearA-AppDetails Current Date'!E:E,--F186,
'YearA-AppDetails Current Date'!T:T,{"CDMT","RQMT","WAIT"},
'YearA-AppDetails Current Date'!I:I,"SPRING"))), "")</f>
        <v/>
      </c>
      <c r="P186" s="74" t="str">
        <f>IFERROR(1/(1/COUNTIFS(
'YearA-AppDetails Current Date'!A:A,D186,
'YearA-AppDetails Current Date'!F:F,E186,
'YearA-AppDetails Current Date'!E:E,--F186,
'YearA-AppDetails Current Date'!Y:Y,"ENRO",
'YearA-AppDetails Current Date'!I:I,"SPRING")),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HC'!D:T,8,FALSE)),
N(VLOOKUP(D187&amp;F187,'Budgeted Projections Intl HC'!D:T,9,FALSE))
)
),"")</f>
        <v/>
      </c>
      <c r="I187" s="73" t="str">
        <f>IFERROR(1/(1/COUNTIFS(
'YearA-AppDetails Current Date'!A:A,D187,
'YearA-AppDetails Current Date'!F:F,E187,
'YearA-AppDetails Current Date'!E:E,--F187,
'YearA-AppDetails Current Date'!I:I,"SPRING")), "")</f>
        <v/>
      </c>
      <c r="J187" s="74" t="str" cm="1">
        <f t="array" ref="J187">IFERROR(1/(1/SUM(COUNTIFS(
'YearA-AppDetails Current Date'!A:A,D187,
'YearA-AppDetails Current Date'!F:F,E187,
'YearA-AppDetails Current Date'!E:E,--F187,
'YearA-AppDetails Current Date'!O:O,{"ACLN","ACPT","COND"},
'YearA-AppDetails Current Date'!S:S,"&lt;&gt;ACLN",
'YearA-AppDetails Current Date'!S:S,"&lt;&gt;ACPT",
'YearA-AppDetails Current Date'!S:S,"&lt;&gt;COND",
'YearA-AppDetails Current Date'!I:I,"SPRING"))), "")</f>
        <v/>
      </c>
      <c r="K187" s="73" t="str">
        <f>IFERROR(1/(1/SUM(COUNTIFS(
'YearA-AppDetails Current Date'!A:A,D187,
'YearA-AppDetails Current Date'!F:F,E187,
'YearA-AppDetails Current Date'!E:E,--F187,
'YearA-AppDetails Current Date'!R:R,"&lt;&gt;"&amp;"",
'YearA-AppDetails Current Date'!I:I,"SPRING"))), "")</f>
        <v/>
      </c>
      <c r="L187" s="74" t="str" cm="1">
        <f t="array" ref="L187">IFERROR(1/(1/SUM(COUNTIFS(
'YearA-AppDetails Current Date'!A:A,D187,
'YearA-AppDetails Current Date'!F:F,E187,
'YearA-AppDetails Current Date'!E:E,--F187,
'YearA-AppDetails Current Date'!T:T,{"APEX","DENY","NTSL"},
'YearA-AppDetails Current Date'!I:I,"SPRING"))), "")</f>
        <v/>
      </c>
      <c r="M187" s="74" t="str" cm="1">
        <f t="array" ref="M187">IFERROR(1/(1/SUM(COUNTIFS(
'YearA-AppDetails Current Date'!A:A,D187,
'YearA-AppDetails Current Date'!F:F,E187,
'YearA-AppDetails Current Date'!E:E,--F187,
'YearA-AppDetails Current Date'!U:U,{"CCAN","DECL"},
'YearA-AppDetails Current Date'!I:I,"SPRING"))), "")</f>
        <v/>
      </c>
      <c r="N187" s="74" t="str" cm="1">
        <f t="array" ref="N187">IFERROR(1/(1/SUM(COUNTIFS(
'YearA-AppDetails Current Date'!A:A,D187,
'YearA-AppDetails Current Date'!F:F,E187,
'YearA-AppDetails Current Date'!E:E,--F187,
'YearA-AppDetails Current Date'!V:V,{"APRO","NODE"},
'YearA-AppDetails Current Date'!I:I,"SPRING"))), "")</f>
        <v/>
      </c>
      <c r="O187" s="74" t="str" cm="1">
        <f t="array" ref="O187">IFERROR(1/(1/SUM(COUNTIFS(
'YearA-AppDetails Current Date'!A:A,D187,
'YearA-AppDetails Current Date'!F:F,E187,
'YearA-AppDetails Current Date'!E:E,--F187,
'YearA-AppDetails Current Date'!T:T,{"CDMT","RQMT","WAIT"},
'YearA-AppDetails Current Date'!I:I,"SPRING"))), "")</f>
        <v/>
      </c>
      <c r="P187" s="74" t="str">
        <f>IFERROR(1/(1/COUNTIFS(
'YearA-AppDetails Current Date'!A:A,D187,
'YearA-AppDetails Current Date'!F:F,E187,
'YearA-AppDetails Current Date'!E:E,--F187,
'YearA-AppDetails Current Date'!Y:Y,"ENRO",
'YearA-AppDetails Current Date'!I:I,"SPRING")),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HC'!D:T,8,FALSE)),
N(VLOOKUP(D188&amp;F188,'Budgeted Projections Dom HC'!D:T,9,FALSE))
)
),"")</f>
        <v/>
      </c>
      <c r="I188" s="73" t="str">
        <f>IFERROR(1/(1/COUNTIFS(
'YearA-AppDetails Current Date'!A:A,D188,
'YearA-AppDetails Current Date'!F:F,E188,
'YearA-AppDetails Current Date'!E:E,--F188,
'YearA-AppDetails Current Date'!I:I,"SPRING")), "")</f>
        <v/>
      </c>
      <c r="J188" s="74" t="str" cm="1">
        <f t="array" ref="J188">IFERROR(1/(1/SUM(COUNTIFS(
'YearA-AppDetails Current Date'!A:A,D188,
'YearA-AppDetails Current Date'!F:F,E188,
'YearA-AppDetails Current Date'!E:E,--F188,
'YearA-AppDetails Current Date'!O:O,{"ACLN","ACPT","COND"},
'YearA-AppDetails Current Date'!S:S,"&lt;&gt;ACLN",
'YearA-AppDetails Current Date'!S:S,"&lt;&gt;ACPT",
'YearA-AppDetails Current Date'!S:S,"&lt;&gt;COND",
'YearA-AppDetails Current Date'!I:I,"SPRING"))), "")</f>
        <v/>
      </c>
      <c r="K188" s="73" t="str">
        <f>IFERROR(1/(1/SUM(COUNTIFS(
'YearA-AppDetails Current Date'!A:A,D188,
'YearA-AppDetails Current Date'!F:F,E188,
'YearA-AppDetails Current Date'!E:E,--F188,
'YearA-AppDetails Current Date'!R:R,"&lt;&gt;"&amp;"",
'YearA-AppDetails Current Date'!I:I,"SPRING"))), "")</f>
        <v/>
      </c>
      <c r="L188" s="74" t="str" cm="1">
        <f t="array" ref="L188">IFERROR(1/(1/SUM(COUNTIFS(
'YearA-AppDetails Current Date'!A:A,D188,
'YearA-AppDetails Current Date'!F:F,E188,
'YearA-AppDetails Current Date'!E:E,--F188,
'YearA-AppDetails Current Date'!T:T,{"APEX","DENY","NTSL"},
'YearA-AppDetails Current Date'!I:I,"SPRING"))), "")</f>
        <v/>
      </c>
      <c r="M188" s="74" t="str" cm="1">
        <f t="array" ref="M188">IFERROR(1/(1/SUM(COUNTIFS(
'YearA-AppDetails Current Date'!A:A,D188,
'YearA-AppDetails Current Date'!F:F,E188,
'YearA-AppDetails Current Date'!E:E,--F188,
'YearA-AppDetails Current Date'!U:U,{"CCAN","DECL"},
'YearA-AppDetails Current Date'!I:I,"SPRING"))), "")</f>
        <v/>
      </c>
      <c r="N188" s="74" t="str" cm="1">
        <f t="array" ref="N188">IFERROR(1/(1/SUM(COUNTIFS(
'YearA-AppDetails Current Date'!A:A,D188,
'YearA-AppDetails Current Date'!F:F,E188,
'YearA-AppDetails Current Date'!E:E,--F188,
'YearA-AppDetails Current Date'!V:V,{"APRO","NODE"},
'YearA-AppDetails Current Date'!I:I,"SPRING"))), "")</f>
        <v/>
      </c>
      <c r="O188" s="74" t="str" cm="1">
        <f t="array" ref="O188">IFERROR(1/(1/SUM(COUNTIFS(
'YearA-AppDetails Current Date'!A:A,D188,
'YearA-AppDetails Current Date'!F:F,E188,
'YearA-AppDetails Current Date'!E:E,--F188,
'YearA-AppDetails Current Date'!T:T,{"CDMT","RQMT","WAIT"},
'YearA-AppDetails Current Date'!I:I,"SPRING"))), "")</f>
        <v/>
      </c>
      <c r="P188" s="74" t="str">
        <f>IFERROR(1/(1/COUNTIFS(
'YearA-AppDetails Current Date'!A:A,D188,
'YearA-AppDetails Current Date'!F:F,E188,
'YearA-AppDetails Current Date'!E:E,--F188,
'YearA-AppDetails Current Date'!Y:Y,"ENRO",
'YearA-AppDetails Current Date'!I:I,"SPRING")),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HC'!D:T,8,FALSE)),
N(VLOOKUP(D189&amp;F189,'Budgeted Projections Intl HC'!D:T,9,FALSE))
)
),"")</f>
        <v/>
      </c>
      <c r="I189" s="73" t="str">
        <f>IFERROR(1/(1/COUNTIFS(
'YearA-AppDetails Current Date'!A:A,D189,
'YearA-AppDetails Current Date'!F:F,E189,
'YearA-AppDetails Current Date'!E:E,--F189,
'YearA-AppDetails Current Date'!I:I,"SPRING")), "")</f>
        <v/>
      </c>
      <c r="J189" s="74" t="str" cm="1">
        <f t="array" ref="J189">IFERROR(1/(1/SUM(COUNTIFS(
'YearA-AppDetails Current Date'!A:A,D189,
'YearA-AppDetails Current Date'!F:F,E189,
'YearA-AppDetails Current Date'!E:E,--F189,
'YearA-AppDetails Current Date'!O:O,{"ACLN","ACPT","COND"},
'YearA-AppDetails Current Date'!S:S,"&lt;&gt;ACLN",
'YearA-AppDetails Current Date'!S:S,"&lt;&gt;ACPT",
'YearA-AppDetails Current Date'!S:S,"&lt;&gt;COND",
'YearA-AppDetails Current Date'!I:I,"SPRING"))), "")</f>
        <v/>
      </c>
      <c r="K189" s="73" t="str">
        <f>IFERROR(1/(1/SUM(COUNTIFS(
'YearA-AppDetails Current Date'!A:A,D189,
'YearA-AppDetails Current Date'!F:F,E189,
'YearA-AppDetails Current Date'!E:E,--F189,
'YearA-AppDetails Current Date'!R:R,"&lt;&gt;"&amp;"",
'YearA-AppDetails Current Date'!I:I,"SPRING"))), "")</f>
        <v/>
      </c>
      <c r="L189" s="74" t="str" cm="1">
        <f t="array" ref="L189">IFERROR(1/(1/SUM(COUNTIFS(
'YearA-AppDetails Current Date'!A:A,D189,
'YearA-AppDetails Current Date'!F:F,E189,
'YearA-AppDetails Current Date'!E:E,--F189,
'YearA-AppDetails Current Date'!T:T,{"APEX","DENY","NTSL"},
'YearA-AppDetails Current Date'!I:I,"SPRING"))), "")</f>
        <v/>
      </c>
      <c r="M189" s="74" t="str" cm="1">
        <f t="array" ref="M189">IFERROR(1/(1/SUM(COUNTIFS(
'YearA-AppDetails Current Date'!A:A,D189,
'YearA-AppDetails Current Date'!F:F,E189,
'YearA-AppDetails Current Date'!E:E,--F189,
'YearA-AppDetails Current Date'!U:U,{"CCAN","DECL"},
'YearA-AppDetails Current Date'!I:I,"SPRING"))), "")</f>
        <v/>
      </c>
      <c r="N189" s="74" t="str" cm="1">
        <f t="array" ref="N189">IFERROR(1/(1/SUM(COUNTIFS(
'YearA-AppDetails Current Date'!A:A,D189,
'YearA-AppDetails Current Date'!F:F,E189,
'YearA-AppDetails Current Date'!E:E,--F189,
'YearA-AppDetails Current Date'!V:V,{"APRO","NODE"},
'YearA-AppDetails Current Date'!I:I,"SPRING"))), "")</f>
        <v/>
      </c>
      <c r="O189" s="74" t="str" cm="1">
        <f t="array" ref="O189">IFERROR(1/(1/SUM(COUNTIFS(
'YearA-AppDetails Current Date'!A:A,D189,
'YearA-AppDetails Current Date'!F:F,E189,
'YearA-AppDetails Current Date'!E:E,--F189,
'YearA-AppDetails Current Date'!T:T,{"CDMT","RQMT","WAIT"},
'YearA-AppDetails Current Date'!I:I,"SPRING"))), "")</f>
        <v/>
      </c>
      <c r="P189" s="74" t="str">
        <f>IFERROR(1/(1/COUNTIFS(
'YearA-AppDetails Current Date'!A:A,D189,
'YearA-AppDetails Current Date'!F:F,E189,
'YearA-AppDetails Current Date'!E:E,--F189,
'YearA-AppDetails Current Date'!Y:Y,"ENRO",
'YearA-AppDetails Current Date'!I:I,"SPRING")),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HC'!D:T,8,FALSE)),
N(VLOOKUP(D190&amp;F190,'Budgeted Projections Dom HC'!D:T,9,FALSE))
)
),"")</f>
        <v/>
      </c>
      <c r="I190" s="73" t="str">
        <f>IFERROR(1/(1/COUNTIFS(
'YearA-AppDetails Current Date'!A:A,D190,
'YearA-AppDetails Current Date'!F:F,E190,
'YearA-AppDetails Current Date'!E:E,--F190,
'YearA-AppDetails Current Date'!I:I,"SPRING")), "")</f>
        <v/>
      </c>
      <c r="J190" s="74" t="str" cm="1">
        <f t="array" ref="J190">IFERROR(1/(1/SUM(COUNTIFS(
'YearA-AppDetails Current Date'!A:A,D190,
'YearA-AppDetails Current Date'!F:F,E190,
'YearA-AppDetails Current Date'!E:E,--F190,
'YearA-AppDetails Current Date'!O:O,{"ACLN","ACPT","COND"},
'YearA-AppDetails Current Date'!S:S,"&lt;&gt;ACLN",
'YearA-AppDetails Current Date'!S:S,"&lt;&gt;ACPT",
'YearA-AppDetails Current Date'!S:S,"&lt;&gt;COND",
'YearA-AppDetails Current Date'!I:I,"SPRING"))), "")</f>
        <v/>
      </c>
      <c r="K190" s="73" t="str">
        <f>IFERROR(1/(1/SUM(COUNTIFS(
'YearA-AppDetails Current Date'!A:A,D190,
'YearA-AppDetails Current Date'!F:F,E190,
'YearA-AppDetails Current Date'!E:E,--F190,
'YearA-AppDetails Current Date'!R:R,"&lt;&gt;"&amp;"",
'YearA-AppDetails Current Date'!I:I,"SPRING"))), "")</f>
        <v/>
      </c>
      <c r="L190" s="74" t="str" cm="1">
        <f t="array" ref="L190">IFERROR(1/(1/SUM(COUNTIFS(
'YearA-AppDetails Current Date'!A:A,D190,
'YearA-AppDetails Current Date'!F:F,E190,
'YearA-AppDetails Current Date'!E:E,--F190,
'YearA-AppDetails Current Date'!T:T,{"APEX","DENY","NTSL"},
'YearA-AppDetails Current Date'!I:I,"SPRING"))), "")</f>
        <v/>
      </c>
      <c r="M190" s="74" t="str" cm="1">
        <f t="array" ref="M190">IFERROR(1/(1/SUM(COUNTIFS(
'YearA-AppDetails Current Date'!A:A,D190,
'YearA-AppDetails Current Date'!F:F,E190,
'YearA-AppDetails Current Date'!E:E,--F190,
'YearA-AppDetails Current Date'!U:U,{"CCAN","DECL"},
'YearA-AppDetails Current Date'!I:I,"SPRING"))), "")</f>
        <v/>
      </c>
      <c r="N190" s="74" t="str" cm="1">
        <f t="array" ref="N190">IFERROR(1/(1/SUM(COUNTIFS(
'YearA-AppDetails Current Date'!A:A,D190,
'YearA-AppDetails Current Date'!F:F,E190,
'YearA-AppDetails Current Date'!E:E,--F190,
'YearA-AppDetails Current Date'!V:V,{"APRO","NODE"},
'YearA-AppDetails Current Date'!I:I,"SPRING"))), "")</f>
        <v/>
      </c>
      <c r="O190" s="74" t="str" cm="1">
        <f t="array" ref="O190">IFERROR(1/(1/SUM(COUNTIFS(
'YearA-AppDetails Current Date'!A:A,D190,
'YearA-AppDetails Current Date'!F:F,E190,
'YearA-AppDetails Current Date'!E:E,--F190,
'YearA-AppDetails Current Date'!T:T,{"CDMT","RQMT","WAIT"},
'YearA-AppDetails Current Date'!I:I,"SPRING"))), "")</f>
        <v/>
      </c>
      <c r="P190" s="74" t="str">
        <f>IFERROR(1/(1/COUNTIFS(
'YearA-AppDetails Current Date'!A:A,D190,
'YearA-AppDetails Current Date'!F:F,E190,
'YearA-AppDetails Current Date'!E:E,--F190,
'YearA-AppDetails Current Date'!Y:Y,"ENRO",
'YearA-AppDetails Current Date'!I:I,"SPRING")),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HC'!D:T,8,FALSE)),
N(VLOOKUP(D191&amp;F191,'Budgeted Projections Intl HC'!D:T,9,FALSE))
)
),"")</f>
        <v/>
      </c>
      <c r="I191" s="73" t="str">
        <f>IFERROR(1/(1/COUNTIFS(
'YearA-AppDetails Current Date'!A:A,D191,
'YearA-AppDetails Current Date'!F:F,E191,
'YearA-AppDetails Current Date'!E:E,--F191,
'YearA-AppDetails Current Date'!I:I,"SPRING")), "")</f>
        <v/>
      </c>
      <c r="J191" s="74" t="str" cm="1">
        <f t="array" ref="J191">IFERROR(1/(1/SUM(COUNTIFS(
'YearA-AppDetails Current Date'!A:A,D191,
'YearA-AppDetails Current Date'!F:F,E191,
'YearA-AppDetails Current Date'!E:E,--F191,
'YearA-AppDetails Current Date'!O:O,{"ACLN","ACPT","COND"},
'YearA-AppDetails Current Date'!S:S,"&lt;&gt;ACLN",
'YearA-AppDetails Current Date'!S:S,"&lt;&gt;ACPT",
'YearA-AppDetails Current Date'!S:S,"&lt;&gt;COND",
'YearA-AppDetails Current Date'!I:I,"SPRING"))), "")</f>
        <v/>
      </c>
      <c r="K191" s="73" t="str">
        <f>IFERROR(1/(1/SUM(COUNTIFS(
'YearA-AppDetails Current Date'!A:A,D191,
'YearA-AppDetails Current Date'!F:F,E191,
'YearA-AppDetails Current Date'!E:E,--F191,
'YearA-AppDetails Current Date'!R:R,"&lt;&gt;"&amp;"",
'YearA-AppDetails Current Date'!I:I,"SPRING"))), "")</f>
        <v/>
      </c>
      <c r="L191" s="74" t="str" cm="1">
        <f t="array" ref="L191">IFERROR(1/(1/SUM(COUNTIFS(
'YearA-AppDetails Current Date'!A:A,D191,
'YearA-AppDetails Current Date'!F:F,E191,
'YearA-AppDetails Current Date'!E:E,--F191,
'YearA-AppDetails Current Date'!T:T,{"APEX","DENY","NTSL"},
'YearA-AppDetails Current Date'!I:I,"SPRING"))), "")</f>
        <v/>
      </c>
      <c r="M191" s="74" t="str" cm="1">
        <f t="array" ref="M191">IFERROR(1/(1/SUM(COUNTIFS(
'YearA-AppDetails Current Date'!A:A,D191,
'YearA-AppDetails Current Date'!F:F,E191,
'YearA-AppDetails Current Date'!E:E,--F191,
'YearA-AppDetails Current Date'!U:U,{"CCAN","DECL"},
'YearA-AppDetails Current Date'!I:I,"SPRING"))), "")</f>
        <v/>
      </c>
      <c r="N191" s="74" t="str" cm="1">
        <f t="array" ref="N191">IFERROR(1/(1/SUM(COUNTIFS(
'YearA-AppDetails Current Date'!A:A,D191,
'YearA-AppDetails Current Date'!F:F,E191,
'YearA-AppDetails Current Date'!E:E,--F191,
'YearA-AppDetails Current Date'!V:V,{"APRO","NODE"},
'YearA-AppDetails Current Date'!I:I,"SPRING"))), "")</f>
        <v/>
      </c>
      <c r="O191" s="74" t="str" cm="1">
        <f t="array" ref="O191">IFERROR(1/(1/SUM(COUNTIFS(
'YearA-AppDetails Current Date'!A:A,D191,
'YearA-AppDetails Current Date'!F:F,E191,
'YearA-AppDetails Current Date'!E:E,--F191,
'YearA-AppDetails Current Date'!T:T,{"CDMT","RQMT","WAIT"},
'YearA-AppDetails Current Date'!I:I,"SPRING"))), "")</f>
        <v/>
      </c>
      <c r="P191" s="74" t="str">
        <f>IFERROR(1/(1/COUNTIFS(
'YearA-AppDetails Current Date'!A:A,D191,
'YearA-AppDetails Current Date'!F:F,E191,
'YearA-AppDetails Current Date'!E:E,--F191,
'YearA-AppDetails Current Date'!Y:Y,"ENRO",
'YearA-AppDetails Current Date'!I:I,"SPRING")),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HC'!D:T,8,FALSE)),
N(VLOOKUP(D192&amp;F192,'Budgeted Projections Dom HC'!D:T,9,FALSE))
)
),"")</f>
        <v/>
      </c>
      <c r="I192" s="73" t="str">
        <f>IFERROR(1/(1/COUNTIFS(
'YearA-AppDetails Current Date'!A:A,D192,
'YearA-AppDetails Current Date'!F:F,E192,
'YearA-AppDetails Current Date'!E:E,--F192,
'YearA-AppDetails Current Date'!I:I,"SPRING")), "")</f>
        <v/>
      </c>
      <c r="J192" s="74" t="str" cm="1">
        <f t="array" ref="J192">IFERROR(1/(1/SUM(COUNTIFS(
'YearA-AppDetails Current Date'!A:A,D192,
'YearA-AppDetails Current Date'!F:F,E192,
'YearA-AppDetails Current Date'!E:E,--F192,
'YearA-AppDetails Current Date'!O:O,{"ACLN","ACPT","COND"},
'YearA-AppDetails Current Date'!S:S,"&lt;&gt;ACLN",
'YearA-AppDetails Current Date'!S:S,"&lt;&gt;ACPT",
'YearA-AppDetails Current Date'!S:S,"&lt;&gt;COND",
'YearA-AppDetails Current Date'!I:I,"SPRING"))), "")</f>
        <v/>
      </c>
      <c r="K192" s="73" t="str">
        <f>IFERROR(1/(1/SUM(COUNTIFS(
'YearA-AppDetails Current Date'!A:A,D192,
'YearA-AppDetails Current Date'!F:F,E192,
'YearA-AppDetails Current Date'!E:E,--F192,
'YearA-AppDetails Current Date'!R:R,"&lt;&gt;"&amp;"",
'YearA-AppDetails Current Date'!I:I,"SPRING"))), "")</f>
        <v/>
      </c>
      <c r="L192" s="74" t="str" cm="1">
        <f t="array" ref="L192">IFERROR(1/(1/SUM(COUNTIFS(
'YearA-AppDetails Current Date'!A:A,D192,
'YearA-AppDetails Current Date'!F:F,E192,
'YearA-AppDetails Current Date'!E:E,--F192,
'YearA-AppDetails Current Date'!T:T,{"APEX","DENY","NTSL"},
'YearA-AppDetails Current Date'!I:I,"SPRING"))), "")</f>
        <v/>
      </c>
      <c r="M192" s="74" t="str" cm="1">
        <f t="array" ref="M192">IFERROR(1/(1/SUM(COUNTIFS(
'YearA-AppDetails Current Date'!A:A,D192,
'YearA-AppDetails Current Date'!F:F,E192,
'YearA-AppDetails Current Date'!E:E,--F192,
'YearA-AppDetails Current Date'!U:U,{"CCAN","DECL"},
'YearA-AppDetails Current Date'!I:I,"SPRING"))), "")</f>
        <v/>
      </c>
      <c r="N192" s="74" t="str" cm="1">
        <f t="array" ref="N192">IFERROR(1/(1/SUM(COUNTIFS(
'YearA-AppDetails Current Date'!A:A,D192,
'YearA-AppDetails Current Date'!F:F,E192,
'YearA-AppDetails Current Date'!E:E,--F192,
'YearA-AppDetails Current Date'!V:V,{"APRO","NODE"},
'YearA-AppDetails Current Date'!I:I,"SPRING"))), "")</f>
        <v/>
      </c>
      <c r="O192" s="74" t="str" cm="1">
        <f t="array" ref="O192">IFERROR(1/(1/SUM(COUNTIFS(
'YearA-AppDetails Current Date'!A:A,D192,
'YearA-AppDetails Current Date'!F:F,E192,
'YearA-AppDetails Current Date'!E:E,--F192,
'YearA-AppDetails Current Date'!T:T,{"CDMT","RQMT","WAIT"},
'YearA-AppDetails Current Date'!I:I,"SPRING"))), "")</f>
        <v/>
      </c>
      <c r="P192" s="74" t="str">
        <f>IFERROR(1/(1/COUNTIFS(
'YearA-AppDetails Current Date'!A:A,D192,
'YearA-AppDetails Current Date'!F:F,E192,
'YearA-AppDetails Current Date'!E:E,--F192,
'YearA-AppDetails Current Date'!Y:Y,"ENRO",
'YearA-AppDetails Current Date'!I:I,"SPRING")),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HC'!D:T,8,FALSE)),
N(VLOOKUP(D193&amp;F193,'Budgeted Projections Intl HC'!D:T,9,FALSE))
)
),"")</f>
        <v/>
      </c>
      <c r="I193" s="73" t="str">
        <f>IFERROR(1/(1/COUNTIFS(
'YearA-AppDetails Current Date'!A:A,D193,
'YearA-AppDetails Current Date'!F:F,E193,
'YearA-AppDetails Current Date'!E:E,--F193,
'YearA-AppDetails Current Date'!I:I,"SPRING")), "")</f>
        <v/>
      </c>
      <c r="J193" s="74" t="str" cm="1">
        <f t="array" ref="J193">IFERROR(1/(1/SUM(COUNTIFS(
'YearA-AppDetails Current Date'!A:A,D193,
'YearA-AppDetails Current Date'!F:F,E193,
'YearA-AppDetails Current Date'!E:E,--F193,
'YearA-AppDetails Current Date'!O:O,{"ACLN","ACPT","COND"},
'YearA-AppDetails Current Date'!S:S,"&lt;&gt;ACLN",
'YearA-AppDetails Current Date'!S:S,"&lt;&gt;ACPT",
'YearA-AppDetails Current Date'!S:S,"&lt;&gt;COND",
'YearA-AppDetails Current Date'!I:I,"SPRING"))), "")</f>
        <v/>
      </c>
      <c r="K193" s="73" t="str">
        <f>IFERROR(1/(1/SUM(COUNTIFS(
'YearA-AppDetails Current Date'!A:A,D193,
'YearA-AppDetails Current Date'!F:F,E193,
'YearA-AppDetails Current Date'!E:E,--F193,
'YearA-AppDetails Current Date'!R:R,"&lt;&gt;"&amp;"",
'YearA-AppDetails Current Date'!I:I,"SPRING"))), "")</f>
        <v/>
      </c>
      <c r="L193" s="74" t="str" cm="1">
        <f t="array" ref="L193">IFERROR(1/(1/SUM(COUNTIFS(
'YearA-AppDetails Current Date'!A:A,D193,
'YearA-AppDetails Current Date'!F:F,E193,
'YearA-AppDetails Current Date'!E:E,--F193,
'YearA-AppDetails Current Date'!T:T,{"APEX","DENY","NTSL"},
'YearA-AppDetails Current Date'!I:I,"SPRING"))), "")</f>
        <v/>
      </c>
      <c r="M193" s="74" t="str" cm="1">
        <f t="array" ref="M193">IFERROR(1/(1/SUM(COUNTIFS(
'YearA-AppDetails Current Date'!A:A,D193,
'YearA-AppDetails Current Date'!F:F,E193,
'YearA-AppDetails Current Date'!E:E,--F193,
'YearA-AppDetails Current Date'!U:U,{"CCAN","DECL"},
'YearA-AppDetails Current Date'!I:I,"SPRING"))), "")</f>
        <v/>
      </c>
      <c r="N193" s="74" t="str" cm="1">
        <f t="array" ref="N193">IFERROR(1/(1/SUM(COUNTIFS(
'YearA-AppDetails Current Date'!A:A,D193,
'YearA-AppDetails Current Date'!F:F,E193,
'YearA-AppDetails Current Date'!E:E,--F193,
'YearA-AppDetails Current Date'!V:V,{"APRO","NODE"},
'YearA-AppDetails Current Date'!I:I,"SPRING"))), "")</f>
        <v/>
      </c>
      <c r="O193" s="74" t="str" cm="1">
        <f t="array" ref="O193">IFERROR(1/(1/SUM(COUNTIFS(
'YearA-AppDetails Current Date'!A:A,D193,
'YearA-AppDetails Current Date'!F:F,E193,
'YearA-AppDetails Current Date'!E:E,--F193,
'YearA-AppDetails Current Date'!T:T,{"CDMT","RQMT","WAIT"},
'YearA-AppDetails Current Date'!I:I,"SPRING"))), "")</f>
        <v/>
      </c>
      <c r="P193" s="74" t="str">
        <f>IFERROR(1/(1/COUNTIFS(
'YearA-AppDetails Current Date'!A:A,D193,
'YearA-AppDetails Current Date'!F:F,E193,
'YearA-AppDetails Current Date'!E:E,--F193,
'YearA-AppDetails Current Date'!Y:Y,"ENRO",
'YearA-AppDetails Current Date'!I:I,"SPRING")),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HC'!D:T,8,FALSE)),
N(VLOOKUP(D195&amp;F195,'Budgeted Projections Dom HC'!D:T,9,FALSE))
)
),"")</f>
        <v/>
      </c>
      <c r="I195" s="73" t="str">
        <f>IFERROR(1/(1/COUNTIFS(
'YearA-AppDetails Current Date'!A:A,D195,
'YearA-AppDetails Current Date'!F:F,E195,
'YearA-AppDetails Current Date'!E:E,--F195,
'YearA-AppDetails Current Date'!I:I,"SPRING")), "")</f>
        <v/>
      </c>
      <c r="J195" s="74" t="str" cm="1">
        <f t="array" ref="J195">IFERROR(1/(1/SUM(COUNTIFS(
'YearA-AppDetails Current Date'!A:A,D195,
'YearA-AppDetails Current Date'!F:F,E195,
'YearA-AppDetails Current Date'!E:E,--F195,
'YearA-AppDetails Current Date'!O:O,{"ACLN","ACPT","COND"},
'YearA-AppDetails Current Date'!S:S,"&lt;&gt;ACLN",
'YearA-AppDetails Current Date'!S:S,"&lt;&gt;ACPT",
'YearA-AppDetails Current Date'!S:S,"&lt;&gt;COND",
'YearA-AppDetails Current Date'!I:I,"SPRING"))), "")</f>
        <v/>
      </c>
      <c r="K195" s="73" t="str">
        <f>IFERROR(1/(1/SUM(COUNTIFS(
'YearA-AppDetails Current Date'!A:A,D195,
'YearA-AppDetails Current Date'!F:F,E195,
'YearA-AppDetails Current Date'!E:E,--F195,
'YearA-AppDetails Current Date'!R:R,"&lt;&gt;"&amp;"",
'YearA-AppDetails Current Date'!I:I,"SPRING"))), "")</f>
        <v/>
      </c>
      <c r="L195" s="74" t="str" cm="1">
        <f t="array" ref="L195">IFERROR(1/(1/SUM(COUNTIFS(
'YearA-AppDetails Current Date'!A:A,D195,
'YearA-AppDetails Current Date'!F:F,E195,
'YearA-AppDetails Current Date'!E:E,--F195,
'YearA-AppDetails Current Date'!T:T,{"APEX","DENY","NTSL"},
'YearA-AppDetails Current Date'!I:I,"SPRING"))), "")</f>
        <v/>
      </c>
      <c r="M195" s="74" t="str" cm="1">
        <f t="array" ref="M195">IFERROR(1/(1/SUM(COUNTIFS(
'YearA-AppDetails Current Date'!A:A,D195,
'YearA-AppDetails Current Date'!F:F,E195,
'YearA-AppDetails Current Date'!E:E,--F195,
'YearA-AppDetails Current Date'!U:U,{"CCAN","DECL"},
'YearA-AppDetails Current Date'!I:I,"SPRING"))), "")</f>
        <v/>
      </c>
      <c r="N195" s="74" t="str" cm="1">
        <f t="array" ref="N195">IFERROR(1/(1/SUM(COUNTIFS(
'YearA-AppDetails Current Date'!A:A,D195,
'YearA-AppDetails Current Date'!F:F,E195,
'YearA-AppDetails Current Date'!E:E,--F195,
'YearA-AppDetails Current Date'!V:V,{"APRO","NODE"},
'YearA-AppDetails Current Date'!I:I,"SPRING"))), "")</f>
        <v/>
      </c>
      <c r="O195" s="74" t="str" cm="1">
        <f t="array" ref="O195">IFERROR(1/(1/SUM(COUNTIFS(
'YearA-AppDetails Current Date'!A:A,D195,
'YearA-AppDetails Current Date'!F:F,E195,
'YearA-AppDetails Current Date'!E:E,--F195,
'YearA-AppDetails Current Date'!T:T,{"CDMT","RQMT","WAIT"},
'YearA-AppDetails Current Date'!I:I,"SPRING"))), "")</f>
        <v/>
      </c>
      <c r="P195" s="74" t="str">
        <f>IFERROR(1/(1/COUNTIFS(
'YearA-AppDetails Current Date'!A:A,D195,
'YearA-AppDetails Current Date'!F:F,E195,
'YearA-AppDetails Current Date'!E:E,--F195,
'YearA-AppDetails Current Date'!Y:Y,"ENRO",
'YearA-AppDetails Current Date'!I:I,"SPRING")),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HC'!D:T,8,FALSE)),
N(VLOOKUP(D196&amp;F196,'Budgeted Projections Intl HC'!D:T,9,FALSE))
)
),"")</f>
        <v/>
      </c>
      <c r="I196" s="73" t="str">
        <f>IFERROR(1/(1/COUNTIFS(
'YearA-AppDetails Current Date'!A:A,D196,
'YearA-AppDetails Current Date'!F:F,E196,
'YearA-AppDetails Current Date'!E:E,--F196,
'YearA-AppDetails Current Date'!I:I,"SPRING")), "")</f>
        <v/>
      </c>
      <c r="J196" s="74" t="str" cm="1">
        <f t="array" ref="J196">IFERROR(1/(1/SUM(COUNTIFS(
'YearA-AppDetails Current Date'!A:A,D196,
'YearA-AppDetails Current Date'!F:F,E196,
'YearA-AppDetails Current Date'!E:E,--F196,
'YearA-AppDetails Current Date'!O:O,{"ACLN","ACPT","COND"},
'YearA-AppDetails Current Date'!S:S,"&lt;&gt;ACLN",
'YearA-AppDetails Current Date'!S:S,"&lt;&gt;ACPT",
'YearA-AppDetails Current Date'!S:S,"&lt;&gt;COND",
'YearA-AppDetails Current Date'!I:I,"SPRING"))), "")</f>
        <v/>
      </c>
      <c r="K196" s="73" t="str">
        <f>IFERROR(1/(1/SUM(COUNTIFS(
'YearA-AppDetails Current Date'!A:A,D196,
'YearA-AppDetails Current Date'!F:F,E196,
'YearA-AppDetails Current Date'!E:E,--F196,
'YearA-AppDetails Current Date'!R:R,"&lt;&gt;"&amp;"",
'YearA-AppDetails Current Date'!I:I,"SPRING"))), "")</f>
        <v/>
      </c>
      <c r="L196" s="74" t="str" cm="1">
        <f t="array" ref="L196">IFERROR(1/(1/SUM(COUNTIFS(
'YearA-AppDetails Current Date'!A:A,D196,
'YearA-AppDetails Current Date'!F:F,E196,
'YearA-AppDetails Current Date'!E:E,--F196,
'YearA-AppDetails Current Date'!T:T,{"APEX","DENY","NTSL"},
'YearA-AppDetails Current Date'!I:I,"SPRING"))), "")</f>
        <v/>
      </c>
      <c r="M196" s="74" t="str" cm="1">
        <f t="array" ref="M196">IFERROR(1/(1/SUM(COUNTIFS(
'YearA-AppDetails Current Date'!A:A,D196,
'YearA-AppDetails Current Date'!F:F,E196,
'YearA-AppDetails Current Date'!E:E,--F196,
'YearA-AppDetails Current Date'!U:U,{"CCAN","DECL"},
'YearA-AppDetails Current Date'!I:I,"SPRING"))), "")</f>
        <v/>
      </c>
      <c r="N196" s="74" t="str" cm="1">
        <f t="array" ref="N196">IFERROR(1/(1/SUM(COUNTIFS(
'YearA-AppDetails Current Date'!A:A,D196,
'YearA-AppDetails Current Date'!F:F,E196,
'YearA-AppDetails Current Date'!E:E,--F196,
'YearA-AppDetails Current Date'!V:V,{"APRO","NODE"},
'YearA-AppDetails Current Date'!I:I,"SPRING"))), "")</f>
        <v/>
      </c>
      <c r="O196" s="74" t="str" cm="1">
        <f t="array" ref="O196">IFERROR(1/(1/SUM(COUNTIFS(
'YearA-AppDetails Current Date'!A:A,D196,
'YearA-AppDetails Current Date'!F:F,E196,
'YearA-AppDetails Current Date'!E:E,--F196,
'YearA-AppDetails Current Date'!T:T,{"CDMT","RQMT","WAIT"},
'YearA-AppDetails Current Date'!I:I,"SPRING"))), "")</f>
        <v/>
      </c>
      <c r="P196" s="74" t="str">
        <f>IFERROR(1/(1/COUNTIFS(
'YearA-AppDetails Current Date'!A:A,D196,
'YearA-AppDetails Current Date'!F:F,E196,
'YearA-AppDetails Current Date'!E:E,--F196,
'YearA-AppDetails Current Date'!Y:Y,"ENRO",
'YearA-AppDetails Current Date'!I:I,"SPRING")),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HC'!D:T,2,FALSE)),
N(VLOOKUP(D199&amp;F199,'Budgeted Projections Dom HC'!D:T,3,FALSE))
)/4)
),"")</f>
        <v/>
      </c>
      <c r="I199" s="73" t="str">
        <f>IFERROR(1/(1/COUNTIFS(
'YearA-AppDetails Current Date'!A:A,D199,
'YearA-AppDetails Current Date'!F:F,E199,
'YearA-AppDetails Current Date'!E:E,--F199,
'YearA-AppDetails Current Date'!I:I,"SPRING")), "")</f>
        <v/>
      </c>
      <c r="J199" s="74" t="str" cm="1">
        <f t="array" ref="J199">IFERROR(1/(1/SUM(COUNTIFS(
'YearA-AppDetails Current Date'!A:A,D199,
'YearA-AppDetails Current Date'!F:F,E199,
'YearA-AppDetails Current Date'!E:E,--F199,
'YearA-AppDetails Current Date'!O:O,{"ACLN","ACPT","COND"},
'YearA-AppDetails Current Date'!S:S,"&lt;&gt;ACLN",
'YearA-AppDetails Current Date'!S:S,"&lt;&gt;ACPT",
'YearA-AppDetails Current Date'!S:S,"&lt;&gt;COND",
'YearA-AppDetails Current Date'!I:I,"SPRING"))), "")</f>
        <v/>
      </c>
      <c r="K199" s="73" t="str">
        <f>IFERROR(1/(1/SUM(COUNTIFS(
'YearA-AppDetails Current Date'!A:A,D199,
'YearA-AppDetails Current Date'!F:F,E199,
'YearA-AppDetails Current Date'!E:E,--F199,
'YearA-AppDetails Current Date'!R:R,"&lt;&gt;"&amp;"",
'YearA-AppDetails Current Date'!I:I,"SPRING"))), "")</f>
        <v/>
      </c>
      <c r="L199" s="74" t="str" cm="1">
        <f t="array" ref="L199">IFERROR(1/(1/SUM(COUNTIFS(
'YearA-AppDetails Current Date'!A:A,D199,
'YearA-AppDetails Current Date'!F:F,E199,
'YearA-AppDetails Current Date'!E:E,--F199,
'YearA-AppDetails Current Date'!T:T,{"APEX","DENY","NTSL"},
'YearA-AppDetails Current Date'!I:I,"SPRING"))), "")</f>
        <v/>
      </c>
      <c r="M199" s="74" t="str" cm="1">
        <f t="array" ref="M199">IFERROR(1/(1/SUM(COUNTIFS(
'YearA-AppDetails Current Date'!A:A,D199,
'YearA-AppDetails Current Date'!F:F,E199,
'YearA-AppDetails Current Date'!E:E,--F199,
'YearA-AppDetails Current Date'!U:U,{"CCAN","DECL"},
'YearA-AppDetails Current Date'!I:I,"SPRING"))), "")</f>
        <v/>
      </c>
      <c r="N199" s="74" t="str" cm="1">
        <f t="array" ref="N199">IFERROR(1/(1/SUM(COUNTIFS(
'YearA-AppDetails Current Date'!A:A,D199,
'YearA-AppDetails Current Date'!F:F,E199,
'YearA-AppDetails Current Date'!E:E,--F199,
'YearA-AppDetails Current Date'!V:V,{"APRO","NODE"},
'YearA-AppDetails Current Date'!I:I,"SPRING"))), "")</f>
        <v/>
      </c>
      <c r="O199" s="74" t="str" cm="1">
        <f t="array" ref="O199">IFERROR(1/(1/SUM(COUNTIFS(
'YearA-AppDetails Current Date'!A:A,D199,
'YearA-AppDetails Current Date'!F:F,E199,
'YearA-AppDetails Current Date'!E:E,--F199,
'YearA-AppDetails Current Date'!T:T,{"CDMT","RQMT","WAIT"},
'YearA-AppDetails Current Date'!I:I,"SPRING"))), "")</f>
        <v/>
      </c>
      <c r="P199" s="74" t="str">
        <f>IFERROR(1/(1/COUNTIFS(
'YearA-AppDetails Current Date'!A:A,D199,
'YearA-AppDetails Current Date'!F:F,E199,
'YearA-AppDetails Current Date'!E:E,--F199,
'YearA-AppDetails Current Date'!Y:Y,"ENRO",
'YearA-AppDetails Current Date'!I:I,"SPRING")),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HC'!D:T,2,FALSE)),
N(VLOOKUP(D200&amp;F200,'Budgeted Projections Intl HC'!D:T,3,FALSE))
)/4)
),"")</f>
        <v/>
      </c>
      <c r="I200" s="73" t="str">
        <f>IFERROR(1/(1/COUNTIFS(
'YearA-AppDetails Current Date'!A:A,D200,
'YearA-AppDetails Current Date'!F:F,E200,
'YearA-AppDetails Current Date'!E:E,--F200,
'YearA-AppDetails Current Date'!I:I,"SPRING")), "")</f>
        <v/>
      </c>
      <c r="J200" s="74" t="str" cm="1">
        <f t="array" ref="J200">IFERROR(1/(1/SUM(COUNTIFS(
'YearA-AppDetails Current Date'!A:A,D200,
'YearA-AppDetails Current Date'!F:F,E200,
'YearA-AppDetails Current Date'!E:E,--F200,
'YearA-AppDetails Current Date'!O:O,{"ACLN","ACPT","COND"},
'YearA-AppDetails Current Date'!S:S,"&lt;&gt;ACLN",
'YearA-AppDetails Current Date'!S:S,"&lt;&gt;ACPT",
'YearA-AppDetails Current Date'!S:S,"&lt;&gt;COND",
'YearA-AppDetails Current Date'!I:I,"SPRING"))), "")</f>
        <v/>
      </c>
      <c r="K200" s="73" t="str">
        <f>IFERROR(1/(1/SUM(COUNTIFS(
'YearA-AppDetails Current Date'!A:A,D200,
'YearA-AppDetails Current Date'!F:F,E200,
'YearA-AppDetails Current Date'!E:E,--F200,
'YearA-AppDetails Current Date'!R:R,"&lt;&gt;"&amp;"",
'YearA-AppDetails Current Date'!I:I,"SPRING"))), "")</f>
        <v/>
      </c>
      <c r="L200" s="74" t="str" cm="1">
        <f t="array" ref="L200">IFERROR(1/(1/SUM(COUNTIFS(
'YearA-AppDetails Current Date'!A:A,D200,
'YearA-AppDetails Current Date'!F:F,E200,
'YearA-AppDetails Current Date'!E:E,--F200,
'YearA-AppDetails Current Date'!T:T,{"APEX","DENY","NTSL"},
'YearA-AppDetails Current Date'!I:I,"SPRING"))), "")</f>
        <v/>
      </c>
      <c r="M200" s="74" t="str" cm="1">
        <f t="array" ref="M200">IFERROR(1/(1/SUM(COUNTIFS(
'YearA-AppDetails Current Date'!A:A,D200,
'YearA-AppDetails Current Date'!F:F,E200,
'YearA-AppDetails Current Date'!E:E,--F200,
'YearA-AppDetails Current Date'!U:U,{"CCAN","DECL"},
'YearA-AppDetails Current Date'!I:I,"SPRING"))), "")</f>
        <v/>
      </c>
      <c r="N200" s="74" t="str" cm="1">
        <f t="array" ref="N200">IFERROR(1/(1/SUM(COUNTIFS(
'YearA-AppDetails Current Date'!A:A,D200,
'YearA-AppDetails Current Date'!F:F,E200,
'YearA-AppDetails Current Date'!E:E,--F200,
'YearA-AppDetails Current Date'!V:V,{"APRO","NODE"},
'YearA-AppDetails Current Date'!I:I,"SPRING"))), "")</f>
        <v/>
      </c>
      <c r="O200" s="74" t="str" cm="1">
        <f t="array" ref="O200">IFERROR(1/(1/SUM(COUNTIFS(
'YearA-AppDetails Current Date'!A:A,D200,
'YearA-AppDetails Current Date'!F:F,E200,
'YearA-AppDetails Current Date'!E:E,--F200,
'YearA-AppDetails Current Date'!T:T,{"CDMT","RQMT","WAIT"},
'YearA-AppDetails Current Date'!I:I,"SPRING"))), "")</f>
        <v/>
      </c>
      <c r="P200" s="74" t="str">
        <f>IFERROR(1/(1/COUNTIFS(
'YearA-AppDetails Current Date'!A:A,D200,
'YearA-AppDetails Current Date'!F:F,E200,
'YearA-AppDetails Current Date'!E:E,--F200,
'YearA-AppDetails Current Date'!Y:Y,"ENRO",
'YearA-AppDetails Current Date'!I:I,"SPRING")),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A3:A33"/>
    <mergeCell ref="B18:B28"/>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29" priority="5" operator="between">
      <formula>10</formula>
      <formula>100000000</formula>
    </cfRule>
    <cfRule type="cellIs" dxfId="28" priority="6" operator="between">
      <formula>1</formula>
      <formula>9</formula>
    </cfRule>
    <cfRule type="expression" dxfId="27" priority="7">
      <formula>AND(J3=0, J3&lt;&gt;"")</formula>
    </cfRule>
  </conditionalFormatting>
  <conditionalFormatting sqref="J29:J32">
    <cfRule type="cellIs" dxfId="26" priority="1" operator="between">
      <formula>10</formula>
      <formula>100000000</formula>
    </cfRule>
    <cfRule type="cellIs" dxfId="25" priority="2" operator="between">
      <formula>1</formula>
      <formula>9</formula>
    </cfRule>
    <cfRule type="expression" dxfId="24"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FB325-B8FF-4BEE-A304-593DC1FBC8DD}">
  <sheetPr codeName="Sheet8">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"Summer "&amp;'YearB-AppDetails Current Date'!$J$2</f>
        <v xml:space="preserve">Summer </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HC'!D:T,10,FALSE)),
N(VLOOKUP(D3&amp;F3,'Budgeted Projections Dom HC'!D:T,11,FALSE))
)/4)
),"")</f>
        <v/>
      </c>
      <c r="I3" s="73" t="str">
        <f>IFERROR(1/(1/COUNTIFS(
'YearB-AppDetails Current Date'!A:A,D3,
'YearB-AppDetails Current Date'!F:F,E3,
'YearB-AppDetails Current Date'!E:E,--F3,
'YearB-AppDetails Current Date'!I:I,"SUMMER")), "")</f>
        <v/>
      </c>
      <c r="J3" s="74" t="str" cm="1">
        <f t="array" ref="J3">IFERROR(1/(1/SUM(COUNTIFS(
'YearB-AppDetails Current Date'!A:A,D3,
'YearB-AppDetails Current Date'!F:F,E3,
'YearB-AppDetails Current Date'!E:E,--F3,
'YearB-AppDetails Current Date'!O:O,{"ACLN","ACPT","COND"},
'YearB-AppDetails Current Date'!S:S,"&lt;&gt;ACLN",
'YearB-AppDetails Current Date'!S:S,"&lt;&gt;ACPT",
'YearB-AppDetails Current Date'!S:S,"&lt;&gt;COND",
'YearB-AppDetails Current Date'!I:I,"SUMMER"))), "")</f>
        <v/>
      </c>
      <c r="K3" s="73" t="str">
        <f>IFERROR(1/(1/SUM(COUNTIFS(
'YearB-AppDetails Current Date'!A:A,D3,
'YearB-AppDetails Current Date'!F:F,E3,
'YearB-AppDetails Current Date'!E:E,--F3,
'YearB-AppDetails Current Date'!R:R,"&lt;&gt;"&amp;"",
'YearB-AppDetails Current Date'!I:I,"SUMMER"))), "")</f>
        <v/>
      </c>
      <c r="L3" s="74" t="str" cm="1">
        <f t="array" ref="L3">IFERROR(1/(1/SUM(COUNTIFS(
'YearB-AppDetails Current Date'!A:A,D3,
'YearB-AppDetails Current Date'!F:F,E3,
'YearB-AppDetails Current Date'!E:E,--F3,
'YearB-AppDetails Current Date'!T:T,{"APEX","DENY","NTSL"},
'YearB-AppDetails Current Date'!I:I,"SUMMER"))), "")</f>
        <v/>
      </c>
      <c r="M3" s="74" t="str" cm="1">
        <f t="array" ref="M3">IFERROR(1/(1/SUM(COUNTIFS(
'YearB-AppDetails Current Date'!A:A,D3,
'YearB-AppDetails Current Date'!F:F,E3,
'YearB-AppDetails Current Date'!E:E,--F3,
'YearB-AppDetails Current Date'!U:U,{"CCAN","DECL"},
'YearB-AppDetails Current Date'!I:I,"SUMMER"))), "")</f>
        <v/>
      </c>
      <c r="N3" s="74" t="str" cm="1">
        <f t="array" ref="N3">IFERROR(1/(1/SUM(COUNTIFS(
'YearB-AppDetails Current Date'!A:A,D3,
'YearB-AppDetails Current Date'!F:F,E3,
'YearB-AppDetails Current Date'!E:E,--F3,
'YearB-AppDetails Current Date'!V:V,{"APRO","NODE"},
'YearB-AppDetails Current Date'!I:I,"SUMMER"))), "")</f>
        <v/>
      </c>
      <c r="O3" s="74" t="str" cm="1">
        <f t="array" ref="O3">IFERROR(1/(1/SUM(COUNTIFS(
'YearB-AppDetails Current Date'!A:A,D3,
'YearB-AppDetails Current Date'!F:F,E3,
'YearB-AppDetails Current Date'!E:E,--F3,
'YearB-AppDetails Current Date'!T:T,{"CDMT","RQMT","WAIT"},
'YearB-AppDetails Current Date'!I:I,"SUMMER"))), "")</f>
        <v/>
      </c>
      <c r="P3" s="74" t="str">
        <f>IFERROR(1/(1/COUNTIFS(
'YearB-AppDetails Current Date'!A:A,D3,
'YearB-AppDetails Current Date'!F:F,E3,
'YearB-AppDetails Current Date'!E:E,--F3,
'YearB-AppDetails Current Date'!Y:Y,"ENRO",
'YearB-AppDetails Current Date'!I:I,"SUMMER")), "")</f>
        <v/>
      </c>
      <c r="Q3" s="3" t="str">
        <f>IFERROR(P3/J3,"")</f>
        <v/>
      </c>
    </row>
    <row r="4" spans="1:17" ht="15.75" customHeight="1" x14ac:dyDescent="0.25">
      <c r="A4" s="170"/>
      <c r="B4" s="122"/>
      <c r="C4" s="125"/>
      <c r="D4" s="2" t="s">
        <v>47</v>
      </c>
      <c r="E4" s="2" t="s">
        <v>43</v>
      </c>
      <c r="F4" s="31">
        <v>1</v>
      </c>
      <c r="G4" s="140"/>
      <c r="H4" s="73" t="str">
        <f>IFERROR(1/(1/(
SUM(
N(VLOOKUP(D4&amp;F4,'Budgeted Projections Intl HC'!D:T,10,FALSE)),
N(VLOOKUP(D4&amp;F4,'Budgeted Projections Intl HC'!D:T,11,FALSE))
)/4)
),"")</f>
        <v/>
      </c>
      <c r="I4" s="73" t="str">
        <f>IFERROR(1/(1/COUNTIFS(
'YearB-AppDetails Current Date'!A:A,D4,
'YearB-AppDetails Current Date'!F:F,E4,
'YearB-AppDetails Current Date'!E:E,--F4,
'YearB-AppDetails Current Date'!I:I,"SUMMER")), "")</f>
        <v/>
      </c>
      <c r="J4" s="74" t="str" cm="1">
        <f t="array" ref="J4">IFERROR(1/(1/SUM(COUNTIFS(
'YearB-AppDetails Current Date'!A:A,D4,
'YearB-AppDetails Current Date'!F:F,E4,
'YearB-AppDetails Current Date'!E:E,--F4,
'YearB-AppDetails Current Date'!O:O,{"ACLN","ACPT","COND"},
'YearB-AppDetails Current Date'!S:S,"&lt;&gt;ACLN",
'YearB-AppDetails Current Date'!S:S,"&lt;&gt;ACPT",
'YearB-AppDetails Current Date'!S:S,"&lt;&gt;COND",
'YearB-AppDetails Current Date'!I:I,"SUMMER"))), "")</f>
        <v/>
      </c>
      <c r="K4" s="73" t="str">
        <f>IFERROR(1/(1/SUM(COUNTIFS(
'YearB-AppDetails Current Date'!A:A,D4,
'YearB-AppDetails Current Date'!F:F,E4,
'YearB-AppDetails Current Date'!E:E,--F4,
'YearB-AppDetails Current Date'!R:R,"&lt;&gt;"&amp;"",
'YearB-AppDetails Current Date'!I:I,"SUMMER"))), "")</f>
        <v/>
      </c>
      <c r="L4" s="74" t="str" cm="1">
        <f t="array" ref="L4">IFERROR(1/(1/SUM(COUNTIFS(
'YearB-AppDetails Current Date'!A:A,D4,
'YearB-AppDetails Current Date'!F:F,E4,
'YearB-AppDetails Current Date'!E:E,--F4,
'YearB-AppDetails Current Date'!T:T,{"APEX","DENY","NTSL"},
'YearB-AppDetails Current Date'!I:I,"SUMMER"))), "")</f>
        <v/>
      </c>
      <c r="M4" s="74" t="str" cm="1">
        <f t="array" ref="M4">IFERROR(1/(1/SUM(COUNTIFS(
'YearB-AppDetails Current Date'!A:A,D4,
'YearB-AppDetails Current Date'!F:F,E4,
'YearB-AppDetails Current Date'!E:E,--F4,
'YearB-AppDetails Current Date'!U:U,{"CCAN","DECL"},
'YearB-AppDetails Current Date'!I:I,"SUMMER"))), "")</f>
        <v/>
      </c>
      <c r="N4" s="74" t="str" cm="1">
        <f t="array" ref="N4">IFERROR(1/(1/SUM(COUNTIFS(
'YearB-AppDetails Current Date'!A:A,D4,
'YearB-AppDetails Current Date'!F:F,E4,
'YearB-AppDetails Current Date'!E:E,--F4,
'YearB-AppDetails Current Date'!V:V,{"APRO","NODE"},
'YearB-AppDetails Current Date'!I:I,"SUMMER"))), "")</f>
        <v/>
      </c>
      <c r="O4" s="74" t="str" cm="1">
        <f t="array" ref="O4">IFERROR(1/(1/SUM(COUNTIFS(
'YearB-AppDetails Current Date'!A:A,D4,
'YearB-AppDetails Current Date'!F:F,E4,
'YearB-AppDetails Current Date'!E:E,--F4,
'YearB-AppDetails Current Date'!T:T,{"CDMT","RQMT","WAIT"},
'YearB-AppDetails Current Date'!I:I,"SUMMER"))), "")</f>
        <v/>
      </c>
      <c r="P4" s="74" t="str">
        <f>IFERROR(1/(1/COUNTIFS(
'YearB-AppDetails Current Date'!A:A,D4,
'YearB-AppDetails Current Date'!F:F,E4,
'YearB-AppDetails Current Date'!E:E,--F4,
'YearB-AppDetails Current Date'!Y:Y,"ENRO",
'YearB-AppDetails Current Date'!I:I,"SUMMER")),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HC'!D:T,10,FALSE)),
N(VLOOKUP(D5&amp;F5,'Budgeted Projections Dom HC'!D:T,11,FALSE))
)/4)
),"")</f>
        <v/>
      </c>
      <c r="I5" s="73" t="str">
        <f>IFERROR(1/(1/COUNTIFS(
'YearB-AppDetails Current Date'!A:A,D5,
'YearB-AppDetails Current Date'!F:F,E5,
'YearB-AppDetails Current Date'!E:E,--F5,
'YearB-AppDetails Current Date'!I:I,"SUMMER")), "")</f>
        <v/>
      </c>
      <c r="J5" s="74" t="str" cm="1">
        <f t="array" ref="J5">IFERROR(1/(1/SUM(COUNTIFS(
'YearB-AppDetails Current Date'!A:A,D5,
'YearB-AppDetails Current Date'!F:F,E5,
'YearB-AppDetails Current Date'!E:E,--F5,
'YearB-AppDetails Current Date'!O:O,{"ACLN","ACPT","COND"},
'YearB-AppDetails Current Date'!S:S,"&lt;&gt;ACLN",
'YearB-AppDetails Current Date'!S:S,"&lt;&gt;ACPT",
'YearB-AppDetails Current Date'!S:S,"&lt;&gt;COND",
'YearB-AppDetails Current Date'!I:I,"SUMMER"))), "")</f>
        <v/>
      </c>
      <c r="K5" s="73" t="str">
        <f>IFERROR(1/(1/SUM(COUNTIFS(
'YearB-AppDetails Current Date'!A:A,D5,
'YearB-AppDetails Current Date'!F:F,E5,
'YearB-AppDetails Current Date'!E:E,--F5,
'YearB-AppDetails Current Date'!R:R,"&lt;&gt;"&amp;"",
'YearB-AppDetails Current Date'!I:I,"SUMMER"))), "")</f>
        <v/>
      </c>
      <c r="L5" s="74" t="str" cm="1">
        <f t="array" ref="L5">IFERROR(1/(1/SUM(COUNTIFS(
'YearB-AppDetails Current Date'!A:A,D5,
'YearB-AppDetails Current Date'!F:F,E5,
'YearB-AppDetails Current Date'!E:E,--F5,
'YearB-AppDetails Current Date'!T:T,{"APEX","DENY","NTSL"},
'YearB-AppDetails Current Date'!I:I,"SUMMER"))), "")</f>
        <v/>
      </c>
      <c r="M5" s="74" t="str" cm="1">
        <f t="array" ref="M5">IFERROR(1/(1/SUM(COUNTIFS(
'YearB-AppDetails Current Date'!A:A,D5,
'YearB-AppDetails Current Date'!F:F,E5,
'YearB-AppDetails Current Date'!E:E,--F5,
'YearB-AppDetails Current Date'!U:U,{"CCAN","DECL"},
'YearB-AppDetails Current Date'!I:I,"SUMMER"))), "")</f>
        <v/>
      </c>
      <c r="N5" s="74" t="str" cm="1">
        <f t="array" ref="N5">IFERROR(1/(1/SUM(COUNTIFS(
'YearB-AppDetails Current Date'!A:A,D5,
'YearB-AppDetails Current Date'!F:F,E5,
'YearB-AppDetails Current Date'!E:E,--F5,
'YearB-AppDetails Current Date'!V:V,{"APRO","NODE"},
'YearB-AppDetails Current Date'!I:I,"SUMMER"))), "")</f>
        <v/>
      </c>
      <c r="O5" s="74" t="str" cm="1">
        <f t="array" ref="O5">IFERROR(1/(1/SUM(COUNTIFS(
'YearB-AppDetails Current Date'!A:A,D5,
'YearB-AppDetails Current Date'!F:F,E5,
'YearB-AppDetails Current Date'!E:E,--F5,
'YearB-AppDetails Current Date'!T:T,{"CDMT","RQMT","WAIT"},
'YearB-AppDetails Current Date'!I:I,"SUMMER"))), "")</f>
        <v/>
      </c>
      <c r="P5" s="74" t="str">
        <f>IFERROR(1/(1/COUNTIFS(
'YearB-AppDetails Current Date'!A:A,D5,
'YearB-AppDetails Current Date'!F:F,E5,
'YearB-AppDetails Current Date'!E:E,--F5,
'YearB-AppDetails Current Date'!Y:Y,"ENRO",
'YearB-AppDetails Current Date'!I:I,"SUMMER")), "")</f>
        <v/>
      </c>
      <c r="Q5" s="3" t="str">
        <f t="shared" si="0"/>
        <v/>
      </c>
    </row>
    <row r="6" spans="1:17" ht="15.75" customHeight="1" x14ac:dyDescent="0.25">
      <c r="A6" s="170"/>
      <c r="B6" s="122"/>
      <c r="C6" s="125"/>
      <c r="D6" s="2" t="s">
        <v>50</v>
      </c>
      <c r="E6" s="2" t="s">
        <v>43</v>
      </c>
      <c r="F6" s="31">
        <v>1</v>
      </c>
      <c r="G6" s="140"/>
      <c r="H6" s="73" t="str">
        <f>IFERROR(1/(1/(
SUM(
N(VLOOKUP(D6&amp;F6,'Budgeted Projections Intl HC'!D:T,10,FALSE)),
N(VLOOKUP(D6&amp;F6,'Budgeted Projections Intl HC'!D:T,11,FALSE))
)/4)
),"")</f>
        <v/>
      </c>
      <c r="I6" s="73" t="str">
        <f>IFERROR(1/(1/COUNTIFS(
'YearB-AppDetails Current Date'!A:A,D6,
'YearB-AppDetails Current Date'!F:F,E6,
'YearB-AppDetails Current Date'!E:E,--F6,
'YearB-AppDetails Current Date'!I:I,"SUMMER")), "")</f>
        <v/>
      </c>
      <c r="J6" s="74" t="str" cm="1">
        <f t="array" ref="J6">IFERROR(1/(1/SUM(COUNTIFS(
'YearB-AppDetails Current Date'!A:A,D6,
'YearB-AppDetails Current Date'!F:F,E6,
'YearB-AppDetails Current Date'!E:E,--F6,
'YearB-AppDetails Current Date'!O:O,{"ACLN","ACPT","COND"},
'YearB-AppDetails Current Date'!S:S,"&lt;&gt;ACLN",
'YearB-AppDetails Current Date'!S:S,"&lt;&gt;ACPT",
'YearB-AppDetails Current Date'!S:S,"&lt;&gt;COND",
'YearB-AppDetails Current Date'!I:I,"SUMMER"))), "")</f>
        <v/>
      </c>
      <c r="K6" s="73" t="str">
        <f>IFERROR(1/(1/SUM(COUNTIFS(
'YearB-AppDetails Current Date'!A:A,D6,
'YearB-AppDetails Current Date'!F:F,E6,
'YearB-AppDetails Current Date'!E:E,--F6,
'YearB-AppDetails Current Date'!R:R,"&lt;&gt;"&amp;"",
'YearB-AppDetails Current Date'!I:I,"SUMMER"))), "")</f>
        <v/>
      </c>
      <c r="L6" s="74" t="str" cm="1">
        <f t="array" ref="L6">IFERROR(1/(1/SUM(COUNTIFS(
'YearB-AppDetails Current Date'!A:A,D6,
'YearB-AppDetails Current Date'!F:F,E6,
'YearB-AppDetails Current Date'!E:E,--F6,
'YearB-AppDetails Current Date'!T:T,{"APEX","DENY","NTSL"},
'YearB-AppDetails Current Date'!I:I,"SUMMER"))), "")</f>
        <v/>
      </c>
      <c r="M6" s="74" t="str" cm="1">
        <f t="array" ref="M6">IFERROR(1/(1/SUM(COUNTIFS(
'YearB-AppDetails Current Date'!A:A,D6,
'YearB-AppDetails Current Date'!F:F,E6,
'YearB-AppDetails Current Date'!E:E,--F6,
'YearB-AppDetails Current Date'!U:U,{"CCAN","DECL"},
'YearB-AppDetails Current Date'!I:I,"SUMMER"))), "")</f>
        <v/>
      </c>
      <c r="N6" s="74" t="str" cm="1">
        <f t="array" ref="N6">IFERROR(1/(1/SUM(COUNTIFS(
'YearB-AppDetails Current Date'!A:A,D6,
'YearB-AppDetails Current Date'!F:F,E6,
'YearB-AppDetails Current Date'!E:E,--F6,
'YearB-AppDetails Current Date'!V:V,{"APRO","NODE"},
'YearB-AppDetails Current Date'!I:I,"SUMMER"))), "")</f>
        <v/>
      </c>
      <c r="O6" s="74" t="str" cm="1">
        <f t="array" ref="O6">IFERROR(1/(1/SUM(COUNTIFS(
'YearB-AppDetails Current Date'!A:A,D6,
'YearB-AppDetails Current Date'!F:F,E6,
'YearB-AppDetails Current Date'!E:E,--F6,
'YearB-AppDetails Current Date'!T:T,{"CDMT","RQMT","WAIT"},
'YearB-AppDetails Current Date'!I:I,"SUMMER"))), "")</f>
        <v/>
      </c>
      <c r="P6" s="74" t="str">
        <f>IFERROR(1/(1/COUNTIFS(
'YearB-AppDetails Current Date'!A:A,D6,
'YearB-AppDetails Current Date'!F:F,E6,
'YearB-AppDetails Current Date'!E:E,--F6,
'YearB-AppDetails Current Date'!Y:Y,"ENRO",
'YearB-AppDetails Current Date'!I:I,"SUMMER")),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HC'!D:T,10,FALSE)),
N(VLOOKUP(D7&amp;F7,'Budgeted Projections Dom HC'!D:T,11,FALSE))
)
),"")</f>
        <v/>
      </c>
      <c r="I7" s="73" t="str">
        <f>IFERROR(1/(1/COUNTIFS(
'YearB-AppDetails Current Date'!A:A,D7,
'YearB-AppDetails Current Date'!F:F,E7,
'YearB-AppDetails Current Date'!E:E,--F7,
'YearB-AppDetails Current Date'!I:I,"SUMMER")), "")</f>
        <v/>
      </c>
      <c r="J7" s="74" t="str" cm="1">
        <f t="array" ref="J7">IFERROR(1/(1/SUM(COUNTIFS(
'YearB-AppDetails Current Date'!A:A,D7,
'YearB-AppDetails Current Date'!F:F,E7,
'YearB-AppDetails Current Date'!E:E,--F7,
'YearB-AppDetails Current Date'!O:O,{"ACLN","ACPT","COND"},
'YearB-AppDetails Current Date'!S:S,"&lt;&gt;ACLN",
'YearB-AppDetails Current Date'!S:S,"&lt;&gt;ACPT",
'YearB-AppDetails Current Date'!S:S,"&lt;&gt;COND",
'YearB-AppDetails Current Date'!I:I,"SUMMER"))), "")</f>
        <v/>
      </c>
      <c r="K7" s="73" t="str">
        <f>IFERROR(1/(1/SUM(COUNTIFS(
'YearB-AppDetails Current Date'!A:A,D7,
'YearB-AppDetails Current Date'!F:F,E7,
'YearB-AppDetails Current Date'!E:E,--F7,
'YearB-AppDetails Current Date'!R:R,"&lt;&gt;"&amp;"",
'YearB-AppDetails Current Date'!I:I,"SUMMER"))), "")</f>
        <v/>
      </c>
      <c r="L7" s="74" t="str" cm="1">
        <f t="array" ref="L7">IFERROR(1/(1/SUM(COUNTIFS(
'YearB-AppDetails Current Date'!A:A,D7,
'YearB-AppDetails Current Date'!F:F,E7,
'YearB-AppDetails Current Date'!E:E,--F7,
'YearB-AppDetails Current Date'!T:T,{"APEX","DENY","NTSL"},
'YearB-AppDetails Current Date'!I:I,"SUMMER"))), "")</f>
        <v/>
      </c>
      <c r="M7" s="74" t="str" cm="1">
        <f t="array" ref="M7">IFERROR(1/(1/SUM(COUNTIFS(
'YearB-AppDetails Current Date'!A:A,D7,
'YearB-AppDetails Current Date'!F:F,E7,
'YearB-AppDetails Current Date'!E:E,--F7,
'YearB-AppDetails Current Date'!U:U,{"CCAN","DECL"},
'YearB-AppDetails Current Date'!I:I,"SUMMER"))), "")</f>
        <v/>
      </c>
      <c r="N7" s="74" t="str" cm="1">
        <f t="array" ref="N7">IFERROR(1/(1/SUM(COUNTIFS(
'YearB-AppDetails Current Date'!A:A,D7,
'YearB-AppDetails Current Date'!F:F,E7,
'YearB-AppDetails Current Date'!E:E,--F7,
'YearB-AppDetails Current Date'!V:V,{"APRO","NODE"},
'YearB-AppDetails Current Date'!I:I,"SUMMER"))), "")</f>
        <v/>
      </c>
      <c r="O7" s="74" t="str" cm="1">
        <f t="array" ref="O7">IFERROR(1/(1/SUM(COUNTIFS(
'YearB-AppDetails Current Date'!A:A,D7,
'YearB-AppDetails Current Date'!F:F,E7,
'YearB-AppDetails Current Date'!E:E,--F7,
'YearB-AppDetails Current Date'!T:T,{"CDMT","RQMT","WAIT"},
'YearB-AppDetails Current Date'!I:I,"SUMMER"))), "")</f>
        <v/>
      </c>
      <c r="P7" s="74" t="str">
        <f>IFERROR(1/(1/COUNTIFS(
'YearB-AppDetails Current Date'!A:A,D7,
'YearB-AppDetails Current Date'!F:F,E7,
'YearB-AppDetails Current Date'!E:E,--F7,
'YearB-AppDetails Current Date'!Y:Y,"ENRO",
'YearB-AppDetails Current Date'!I:I,"SUMMER")), "")</f>
        <v/>
      </c>
      <c r="Q7" s="3" t="str">
        <f t="shared" si="0"/>
        <v/>
      </c>
    </row>
    <row r="8" spans="1:17" ht="15.75" customHeight="1" x14ac:dyDescent="0.25">
      <c r="A8" s="170"/>
      <c r="B8" s="122"/>
      <c r="C8" s="125"/>
      <c r="D8" s="23" t="s">
        <v>41</v>
      </c>
      <c r="E8" s="2" t="s">
        <v>43</v>
      </c>
      <c r="F8" s="31">
        <v>1</v>
      </c>
      <c r="G8" s="140"/>
      <c r="H8" s="73" t="str">
        <f>IFERROR(1/(1/
SUM(
N(VLOOKUP(D8&amp;F8,'Budgeted Projections Intl HC'!D:T,10,FALSE)),
N(VLOOKUP(D8&amp;F8,'Budgeted Projections Intl HC'!D:T,11,FALSE))
)
),"")</f>
        <v/>
      </c>
      <c r="I8" s="73" t="str">
        <f>IFERROR(1/(1/COUNTIFS(
'YearB-AppDetails Current Date'!A:A,D8,
'YearB-AppDetails Current Date'!F:F,E8,
'YearB-AppDetails Current Date'!E:E,--F8,
'YearB-AppDetails Current Date'!I:I,"SUMMER")), "")</f>
        <v/>
      </c>
      <c r="J8" s="74" t="str" cm="1">
        <f t="array" ref="J8">IFERROR(1/(1/SUM(COUNTIFS(
'YearB-AppDetails Current Date'!A:A,D8,
'YearB-AppDetails Current Date'!F:F,E8,
'YearB-AppDetails Current Date'!E:E,--F8,
'YearB-AppDetails Current Date'!O:O,{"ACLN","ACPT","COND"},
'YearB-AppDetails Current Date'!S:S,"&lt;&gt;ACLN",
'YearB-AppDetails Current Date'!S:S,"&lt;&gt;ACPT",
'YearB-AppDetails Current Date'!S:S,"&lt;&gt;COND",
'YearB-AppDetails Current Date'!I:I,"SUMMER"))), "")</f>
        <v/>
      </c>
      <c r="K8" s="73" t="str">
        <f>IFERROR(1/(1/SUM(COUNTIFS(
'YearB-AppDetails Current Date'!A:A,D8,
'YearB-AppDetails Current Date'!F:F,E8,
'YearB-AppDetails Current Date'!E:E,--F8,
'YearB-AppDetails Current Date'!R:R,"&lt;&gt;"&amp;"",
'YearB-AppDetails Current Date'!I:I,"SUMMER"))), "")</f>
        <v/>
      </c>
      <c r="L8" s="74" t="str" cm="1">
        <f t="array" ref="L8">IFERROR(1/(1/SUM(COUNTIFS(
'YearB-AppDetails Current Date'!A:A,D8,
'YearB-AppDetails Current Date'!F:F,E8,
'YearB-AppDetails Current Date'!E:E,--F8,
'YearB-AppDetails Current Date'!T:T,{"APEX","DENY","NTSL"},
'YearB-AppDetails Current Date'!I:I,"SUMMER"))), "")</f>
        <v/>
      </c>
      <c r="M8" s="74" t="str" cm="1">
        <f t="array" ref="M8">IFERROR(1/(1/SUM(COUNTIFS(
'YearB-AppDetails Current Date'!A:A,D8,
'YearB-AppDetails Current Date'!F:F,E8,
'YearB-AppDetails Current Date'!E:E,--F8,
'YearB-AppDetails Current Date'!U:U,{"CCAN","DECL"},
'YearB-AppDetails Current Date'!I:I,"SUMMER"))), "")</f>
        <v/>
      </c>
      <c r="N8" s="74" t="str" cm="1">
        <f t="array" ref="N8">IFERROR(1/(1/SUM(COUNTIFS(
'YearB-AppDetails Current Date'!A:A,D8,
'YearB-AppDetails Current Date'!F:F,E8,
'YearB-AppDetails Current Date'!E:E,--F8,
'YearB-AppDetails Current Date'!V:V,{"APRO","NODE"},
'YearB-AppDetails Current Date'!I:I,"SUMMER"))), "")</f>
        <v/>
      </c>
      <c r="O8" s="74" t="str" cm="1">
        <f t="array" ref="O8">IFERROR(1/(1/SUM(COUNTIFS(
'YearB-AppDetails Current Date'!A:A,D8,
'YearB-AppDetails Current Date'!F:F,E8,
'YearB-AppDetails Current Date'!E:E,--F8,
'YearB-AppDetails Current Date'!T:T,{"CDMT","RQMT","WAIT"},
'YearB-AppDetails Current Date'!I:I,"SUMMER"))), "")</f>
        <v/>
      </c>
      <c r="P8" s="74" t="str">
        <f>IFERROR(1/(1/COUNTIFS(
'YearB-AppDetails Current Date'!A:A,D8,
'YearB-AppDetails Current Date'!F:F,E8,
'YearB-AppDetails Current Date'!E:E,--F8,
'YearB-AppDetails Current Date'!Y:Y,"ENRO",
'YearB-AppDetails Current Date'!I:I,"SUMMER")),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HC'!D:T,10,FALSE)),
N(VLOOKUP(D9&amp;F9,'Budgeted Projections Dom HC'!D:T,11,FALSE))
)
),"")</f>
        <v/>
      </c>
      <c r="I9" s="73" t="str">
        <f>IFERROR(1/(1/COUNTIFS(
'YearB-AppDetails Current Date'!A:A,D9,
'YearB-AppDetails Current Date'!F:F,E9,
'YearB-AppDetails Current Date'!E:E,--F9,
'YearB-AppDetails Current Date'!I:I,"SUMMER")), "")</f>
        <v/>
      </c>
      <c r="J9" s="74" t="str" cm="1">
        <f t="array" ref="J9">IFERROR(1/(1/SUM(COUNTIFS(
'YearB-AppDetails Current Date'!A:A,D9,
'YearB-AppDetails Current Date'!F:F,E9,
'YearB-AppDetails Current Date'!E:E,--F9,
'YearB-AppDetails Current Date'!O:O,{"ACLN","ACPT","COND"},
'YearB-AppDetails Current Date'!S:S,"&lt;&gt;ACLN",
'YearB-AppDetails Current Date'!S:S,"&lt;&gt;ACPT",
'YearB-AppDetails Current Date'!S:S,"&lt;&gt;COND",
'YearB-AppDetails Current Date'!I:I,"SUMMER"))), "")</f>
        <v/>
      </c>
      <c r="K9" s="73" t="str">
        <f>IFERROR(1/(1/SUM(COUNTIFS(
'YearB-AppDetails Current Date'!A:A,D9,
'YearB-AppDetails Current Date'!F:F,E9,
'YearB-AppDetails Current Date'!E:E,--F9,
'YearB-AppDetails Current Date'!R:R,"&lt;&gt;"&amp;"",
'YearB-AppDetails Current Date'!I:I,"SUMMER"))), "")</f>
        <v/>
      </c>
      <c r="L9" s="74" t="str" cm="1">
        <f t="array" ref="L9">IFERROR(1/(1/SUM(COUNTIFS(
'YearB-AppDetails Current Date'!A:A,D9,
'YearB-AppDetails Current Date'!F:F,E9,
'YearB-AppDetails Current Date'!E:E,--F9,
'YearB-AppDetails Current Date'!T:T,{"APEX","DENY","NTSL"},
'YearB-AppDetails Current Date'!I:I,"SUMMER"))), "")</f>
        <v/>
      </c>
      <c r="M9" s="74" t="str" cm="1">
        <f t="array" ref="M9">IFERROR(1/(1/SUM(COUNTIFS(
'YearB-AppDetails Current Date'!A:A,D9,
'YearB-AppDetails Current Date'!F:F,E9,
'YearB-AppDetails Current Date'!E:E,--F9,
'YearB-AppDetails Current Date'!U:U,{"CCAN","DECL"},
'YearB-AppDetails Current Date'!I:I,"SUMMER"))), "")</f>
        <v/>
      </c>
      <c r="N9" s="74" t="str" cm="1">
        <f t="array" ref="N9">IFERROR(1/(1/SUM(COUNTIFS(
'YearB-AppDetails Current Date'!A:A,D9,
'YearB-AppDetails Current Date'!F:F,E9,
'YearB-AppDetails Current Date'!E:E,--F9,
'YearB-AppDetails Current Date'!V:V,{"APRO","NODE"},
'YearB-AppDetails Current Date'!I:I,"SUMMER"))), "")</f>
        <v/>
      </c>
      <c r="O9" s="74" t="str" cm="1">
        <f t="array" ref="O9">IFERROR(1/(1/SUM(COUNTIFS(
'YearB-AppDetails Current Date'!A:A,D9,
'YearB-AppDetails Current Date'!F:F,E9,
'YearB-AppDetails Current Date'!E:E,--F9,
'YearB-AppDetails Current Date'!T:T,{"CDMT","RQMT","WAIT"},
'YearB-AppDetails Current Date'!I:I,"SUMMER"))), "")</f>
        <v/>
      </c>
      <c r="P9" s="74" t="str">
        <f>IFERROR(1/(1/COUNTIFS(
'YearB-AppDetails Current Date'!A:A,D9,
'YearB-AppDetails Current Date'!F:F,E9,
'YearB-AppDetails Current Date'!E:E,--F9,
'YearB-AppDetails Current Date'!Y:Y,"ENRO",
'YearB-AppDetails Current Date'!I:I,"SUMMER")),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HC'!D:T,10,FALSE)),
N(VLOOKUP(D10&amp;F10,'Budgeted Projections Intl HC'!D:T,11,FALSE))
)
),"")</f>
        <v/>
      </c>
      <c r="I10" s="73" t="str">
        <f>IFERROR(1/(1/COUNTIFS(
'YearB-AppDetails Current Date'!A:A,D10,
'YearB-AppDetails Current Date'!F:F,E10,
'YearB-AppDetails Current Date'!E:E,--F10,
'YearB-AppDetails Current Date'!I:I,"SUMMER")), "")</f>
        <v/>
      </c>
      <c r="J10" s="74" t="str" cm="1">
        <f t="array" ref="J10">IFERROR(1/(1/SUM(COUNTIFS(
'YearB-AppDetails Current Date'!A:A,D10,
'YearB-AppDetails Current Date'!F:F,E10,
'YearB-AppDetails Current Date'!E:E,--F10,
'YearB-AppDetails Current Date'!O:O,{"ACLN","ACPT","COND"},
'YearB-AppDetails Current Date'!S:S,"&lt;&gt;ACLN",
'YearB-AppDetails Current Date'!S:S,"&lt;&gt;ACPT",
'YearB-AppDetails Current Date'!S:S,"&lt;&gt;COND",
'YearB-AppDetails Current Date'!I:I,"SUMMER"))), "")</f>
        <v/>
      </c>
      <c r="K10" s="73" t="str">
        <f>IFERROR(1/(1/SUM(COUNTIFS(
'YearB-AppDetails Current Date'!A:A,D10,
'YearB-AppDetails Current Date'!F:F,E10,
'YearB-AppDetails Current Date'!E:E,--F10,
'YearB-AppDetails Current Date'!R:R,"&lt;&gt;"&amp;"",
'YearB-AppDetails Current Date'!I:I,"SUMMER"))), "")</f>
        <v/>
      </c>
      <c r="L10" s="74" t="str" cm="1">
        <f t="array" ref="L10">IFERROR(1/(1/SUM(COUNTIFS(
'YearB-AppDetails Current Date'!A:A,D10,
'YearB-AppDetails Current Date'!F:F,E10,
'YearB-AppDetails Current Date'!E:E,--F10,
'YearB-AppDetails Current Date'!T:T,{"APEX","DENY","NTSL"},
'YearB-AppDetails Current Date'!I:I,"SUMMER"))), "")</f>
        <v/>
      </c>
      <c r="M10" s="74" t="str" cm="1">
        <f t="array" ref="M10">IFERROR(1/(1/SUM(COUNTIFS(
'YearB-AppDetails Current Date'!A:A,D10,
'YearB-AppDetails Current Date'!F:F,E10,
'YearB-AppDetails Current Date'!E:E,--F10,
'YearB-AppDetails Current Date'!U:U,{"CCAN","DECL"},
'YearB-AppDetails Current Date'!I:I,"SUMMER"))), "")</f>
        <v/>
      </c>
      <c r="N10" s="74" t="str" cm="1">
        <f t="array" ref="N10">IFERROR(1/(1/SUM(COUNTIFS(
'YearB-AppDetails Current Date'!A:A,D10,
'YearB-AppDetails Current Date'!F:F,E10,
'YearB-AppDetails Current Date'!E:E,--F10,
'YearB-AppDetails Current Date'!V:V,{"APRO","NODE"},
'YearB-AppDetails Current Date'!I:I,"SUMMER"))), "")</f>
        <v/>
      </c>
      <c r="O10" s="74" t="str" cm="1">
        <f t="array" ref="O10">IFERROR(1/(1/SUM(COUNTIFS(
'YearB-AppDetails Current Date'!A:A,D10,
'YearB-AppDetails Current Date'!F:F,E10,
'YearB-AppDetails Current Date'!E:E,--F10,
'YearB-AppDetails Current Date'!T:T,{"CDMT","RQMT","WAIT"},
'YearB-AppDetails Current Date'!I:I,"SUMMER"))), "")</f>
        <v/>
      </c>
      <c r="P10" s="74" t="str">
        <f>IFERROR(1/(1/COUNTIFS(
'YearB-AppDetails Current Date'!A:A,D10,
'YearB-AppDetails Current Date'!F:F,E10,
'YearB-AppDetails Current Date'!E:E,--F10,
'YearB-AppDetails Current Date'!Y:Y,"ENRO",
'YearB-AppDetails Current Date'!I:I,"SUMMER")),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HC'!D:T,10,FALSE)),
N(VLOOKUP(D11&amp;F11,'Budgeted Projections Dom HC'!D:T,11,FALSE))
)
),"")</f>
        <v/>
      </c>
      <c r="I11" s="73" t="str">
        <f>IFERROR(1/(1/COUNTIFS(
'YearB-AppDetails Current Date'!A:A,D11,
'YearB-AppDetails Current Date'!F:F,E11,
'YearB-AppDetails Current Date'!E:E,--F11,
'YearB-AppDetails Current Date'!I:I,"SUMMER")), "")</f>
        <v/>
      </c>
      <c r="J11" s="74" t="str" cm="1">
        <f t="array" ref="J11">IFERROR(1/(1/SUM(COUNTIFS(
'YearB-AppDetails Current Date'!A:A,D11,
'YearB-AppDetails Current Date'!F:F,E11,
'YearB-AppDetails Current Date'!E:E,--F11,
'YearB-AppDetails Current Date'!O:O,{"ACLN","ACPT","COND"},
'YearB-AppDetails Current Date'!S:S,"&lt;&gt;ACLN",
'YearB-AppDetails Current Date'!S:S,"&lt;&gt;ACPT",
'YearB-AppDetails Current Date'!S:S,"&lt;&gt;COND",
'YearB-AppDetails Current Date'!I:I,"SUMMER"))), "")</f>
        <v/>
      </c>
      <c r="K11" s="73" t="str">
        <f>IFERROR(1/(1/SUM(COUNTIFS(
'YearB-AppDetails Current Date'!A:A,D11,
'YearB-AppDetails Current Date'!F:F,E11,
'YearB-AppDetails Current Date'!E:E,--F11,
'YearB-AppDetails Current Date'!R:R,"&lt;&gt;"&amp;"",
'YearB-AppDetails Current Date'!I:I,"SUMMER"))), "")</f>
        <v/>
      </c>
      <c r="L11" s="74" t="str" cm="1">
        <f t="array" ref="L11">IFERROR(1/(1/SUM(COUNTIFS(
'YearB-AppDetails Current Date'!A:A,D11,
'YearB-AppDetails Current Date'!F:F,E11,
'YearB-AppDetails Current Date'!E:E,--F11,
'YearB-AppDetails Current Date'!T:T,{"APEX","DENY","NTSL"},
'YearB-AppDetails Current Date'!I:I,"SUMMER"))), "")</f>
        <v/>
      </c>
      <c r="M11" s="74" t="str" cm="1">
        <f t="array" ref="M11">IFERROR(1/(1/SUM(COUNTIFS(
'YearB-AppDetails Current Date'!A:A,D11,
'YearB-AppDetails Current Date'!F:F,E11,
'YearB-AppDetails Current Date'!E:E,--F11,
'YearB-AppDetails Current Date'!U:U,{"CCAN","DECL"},
'YearB-AppDetails Current Date'!I:I,"SUMMER"))), "")</f>
        <v/>
      </c>
      <c r="N11" s="74" t="str" cm="1">
        <f t="array" ref="N11">IFERROR(1/(1/SUM(COUNTIFS(
'YearB-AppDetails Current Date'!A:A,D11,
'YearB-AppDetails Current Date'!F:F,E11,
'YearB-AppDetails Current Date'!E:E,--F11,
'YearB-AppDetails Current Date'!V:V,{"APRO","NODE"},
'YearB-AppDetails Current Date'!I:I,"SUMMER"))), "")</f>
        <v/>
      </c>
      <c r="O11" s="74" t="str" cm="1">
        <f t="array" ref="O11">IFERROR(1/(1/SUM(COUNTIFS(
'YearB-AppDetails Current Date'!A:A,D11,
'YearB-AppDetails Current Date'!F:F,E11,
'YearB-AppDetails Current Date'!E:E,--F11,
'YearB-AppDetails Current Date'!T:T,{"CDMT","RQMT","WAIT"},
'YearB-AppDetails Current Date'!I:I,"SUMMER"))), "")</f>
        <v/>
      </c>
      <c r="P11" s="74" t="str">
        <f>IFERROR(1/(1/COUNTIFS(
'YearB-AppDetails Current Date'!A:A,D11,
'YearB-AppDetails Current Date'!F:F,E11,
'YearB-AppDetails Current Date'!E:E,--F11,
'YearB-AppDetails Current Date'!Y:Y,"ENRO",
'YearB-AppDetails Current Date'!I:I,"SUMMER")),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HC'!D:T,10,FALSE)),
N(VLOOKUP(D12&amp;F12,'Budgeted Projections Intl HC'!D:T,11,FALSE))
)
),"")</f>
        <v/>
      </c>
      <c r="I12" s="73" t="str">
        <f>IFERROR(1/(1/COUNTIFS(
'YearB-AppDetails Current Date'!A:A,D12,
'YearB-AppDetails Current Date'!F:F,E12,
'YearB-AppDetails Current Date'!E:E,--F12,
'YearB-AppDetails Current Date'!I:I,"SUMMER")), "")</f>
        <v/>
      </c>
      <c r="J12" s="74" t="str" cm="1">
        <f t="array" ref="J12">IFERROR(1/(1/SUM(COUNTIFS(
'YearB-AppDetails Current Date'!A:A,D12,
'YearB-AppDetails Current Date'!F:F,E12,
'YearB-AppDetails Current Date'!E:E,--F12,
'YearB-AppDetails Current Date'!O:O,{"ACLN","ACPT","COND"},
'YearB-AppDetails Current Date'!S:S,"&lt;&gt;ACLN",
'YearB-AppDetails Current Date'!S:S,"&lt;&gt;ACPT",
'YearB-AppDetails Current Date'!S:S,"&lt;&gt;COND",
'YearB-AppDetails Current Date'!I:I,"SUMMER"))), "")</f>
        <v/>
      </c>
      <c r="K12" s="73" t="str">
        <f>IFERROR(1/(1/SUM(COUNTIFS(
'YearB-AppDetails Current Date'!A:A,D12,
'YearB-AppDetails Current Date'!F:F,E12,
'YearB-AppDetails Current Date'!E:E,--F12,
'YearB-AppDetails Current Date'!R:R,"&lt;&gt;"&amp;"",
'YearB-AppDetails Current Date'!I:I,"SUMMER"))), "")</f>
        <v/>
      </c>
      <c r="L12" s="74" t="str" cm="1">
        <f t="array" ref="L12">IFERROR(1/(1/SUM(COUNTIFS(
'YearB-AppDetails Current Date'!A:A,D12,
'YearB-AppDetails Current Date'!F:F,E12,
'YearB-AppDetails Current Date'!E:E,--F12,
'YearB-AppDetails Current Date'!T:T,{"APEX","DENY","NTSL"},
'YearB-AppDetails Current Date'!I:I,"SUMMER"))), "")</f>
        <v/>
      </c>
      <c r="M12" s="74" t="str" cm="1">
        <f t="array" ref="M12">IFERROR(1/(1/SUM(COUNTIFS(
'YearB-AppDetails Current Date'!A:A,D12,
'YearB-AppDetails Current Date'!F:F,E12,
'YearB-AppDetails Current Date'!E:E,--F12,
'YearB-AppDetails Current Date'!U:U,{"CCAN","DECL"},
'YearB-AppDetails Current Date'!I:I,"SUMMER"))), "")</f>
        <v/>
      </c>
      <c r="N12" s="74" t="str" cm="1">
        <f t="array" ref="N12">IFERROR(1/(1/SUM(COUNTIFS(
'YearB-AppDetails Current Date'!A:A,D12,
'YearB-AppDetails Current Date'!F:F,E12,
'YearB-AppDetails Current Date'!E:E,--F12,
'YearB-AppDetails Current Date'!V:V,{"APRO","NODE"},
'YearB-AppDetails Current Date'!I:I,"SUMMER"))), "")</f>
        <v/>
      </c>
      <c r="O12" s="74" t="str" cm="1">
        <f t="array" ref="O12">IFERROR(1/(1/SUM(COUNTIFS(
'YearB-AppDetails Current Date'!A:A,D12,
'YearB-AppDetails Current Date'!F:F,E12,
'YearB-AppDetails Current Date'!E:E,--F12,
'YearB-AppDetails Current Date'!T:T,{"CDMT","RQMT","WAIT"},
'YearB-AppDetails Current Date'!I:I,"SUMMER"))), "")</f>
        <v/>
      </c>
      <c r="P12" s="74" t="str">
        <f>IFERROR(1/(1/COUNTIFS(
'YearB-AppDetails Current Date'!A:A,D12,
'YearB-AppDetails Current Date'!F:F,E12,
'YearB-AppDetails Current Date'!E:E,--F12,
'YearB-AppDetails Current Date'!Y:Y,"ENRO",
'YearB-AppDetails Current Date'!I:I,"SUMMER")),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HC'!D:T,10,FALSE)),
N(VLOOKUP(D13&amp;F13,'Budgeted Projections Dom HC'!D:T,11,FALSE))
)
),"")</f>
        <v/>
      </c>
      <c r="I13" s="73" t="str">
        <f>IFERROR(1/(1/COUNTIFS(
'YearB-AppDetails Current Date'!A:A,D13,
'YearB-AppDetails Current Date'!F:F,E13,
'YearB-AppDetails Current Date'!E:E,--F13,
'YearB-AppDetails Current Date'!I:I,"SUMMER")), "")</f>
        <v/>
      </c>
      <c r="J13" s="74" t="str" cm="1">
        <f t="array" ref="J13">IFERROR(1/(1/SUM(COUNTIFS(
'YearB-AppDetails Current Date'!A:A,D13,
'YearB-AppDetails Current Date'!F:F,E13,
'YearB-AppDetails Current Date'!E:E,--F13,
'YearB-AppDetails Current Date'!O:O,{"ACLN","ACPT","COND"},
'YearB-AppDetails Current Date'!S:S,"&lt;&gt;ACLN",
'YearB-AppDetails Current Date'!S:S,"&lt;&gt;ACPT",
'YearB-AppDetails Current Date'!S:S,"&lt;&gt;COND",
'YearB-AppDetails Current Date'!I:I,"SUMMER"))), "")</f>
        <v/>
      </c>
      <c r="K13" s="73" t="str">
        <f>IFERROR(1/(1/SUM(COUNTIFS(
'YearB-AppDetails Current Date'!A:A,D13,
'YearB-AppDetails Current Date'!F:F,E13,
'YearB-AppDetails Current Date'!E:E,--F13,
'YearB-AppDetails Current Date'!R:R,"&lt;&gt;"&amp;"",
'YearB-AppDetails Current Date'!I:I,"SUMMER"))), "")</f>
        <v/>
      </c>
      <c r="L13" s="74" t="str" cm="1">
        <f t="array" ref="L13">IFERROR(1/(1/SUM(COUNTIFS(
'YearB-AppDetails Current Date'!A:A,D13,
'YearB-AppDetails Current Date'!F:F,E13,
'YearB-AppDetails Current Date'!E:E,--F13,
'YearB-AppDetails Current Date'!T:T,{"APEX","DENY","NTSL"},
'YearB-AppDetails Current Date'!I:I,"SUMMER"))), "")</f>
        <v/>
      </c>
      <c r="M13" s="74" t="str" cm="1">
        <f t="array" ref="M13">IFERROR(1/(1/SUM(COUNTIFS(
'YearB-AppDetails Current Date'!A:A,D13,
'YearB-AppDetails Current Date'!F:F,E13,
'YearB-AppDetails Current Date'!E:E,--F13,
'YearB-AppDetails Current Date'!U:U,{"CCAN","DECL"},
'YearB-AppDetails Current Date'!I:I,"SUMMER"))), "")</f>
        <v/>
      </c>
      <c r="N13" s="74" t="str" cm="1">
        <f t="array" ref="N13">IFERROR(1/(1/SUM(COUNTIFS(
'YearB-AppDetails Current Date'!A:A,D13,
'YearB-AppDetails Current Date'!F:F,E13,
'YearB-AppDetails Current Date'!E:E,--F13,
'YearB-AppDetails Current Date'!V:V,{"APRO","NODE"},
'YearB-AppDetails Current Date'!I:I,"SUMMER"))), "")</f>
        <v/>
      </c>
      <c r="O13" s="74" t="str" cm="1">
        <f t="array" ref="O13">IFERROR(1/(1/SUM(COUNTIFS(
'YearB-AppDetails Current Date'!A:A,D13,
'YearB-AppDetails Current Date'!F:F,E13,
'YearB-AppDetails Current Date'!E:E,--F13,
'YearB-AppDetails Current Date'!T:T,{"CDMT","RQMT","WAIT"},
'YearB-AppDetails Current Date'!I:I,"SUMMER"))), "")</f>
        <v/>
      </c>
      <c r="P13" s="74" t="str">
        <f>IFERROR(1/(1/COUNTIFS(
'YearB-AppDetails Current Date'!A:A,D13,
'YearB-AppDetails Current Date'!F:F,E13,
'YearB-AppDetails Current Date'!E:E,--F13,
'YearB-AppDetails Current Date'!Y:Y,"ENRO",
'YearB-AppDetails Current Date'!I:I,"SUMMER")),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HC'!D:T,10,FALSE)),
N(VLOOKUP(D14&amp;F14,'Budgeted Projections Intl HC'!D:T,11,FALSE))
)
),"")</f>
        <v/>
      </c>
      <c r="I14" s="73" t="str">
        <f>IFERROR(1/(1/COUNTIFS(
'YearB-AppDetails Current Date'!A:A,D14,
'YearB-AppDetails Current Date'!F:F,E14,
'YearB-AppDetails Current Date'!E:E,--F14,
'YearB-AppDetails Current Date'!I:I,"SUMMER")), "")</f>
        <v/>
      </c>
      <c r="J14" s="74" t="str" cm="1">
        <f t="array" ref="J14">IFERROR(1/(1/SUM(COUNTIFS(
'YearB-AppDetails Current Date'!A:A,D14,
'YearB-AppDetails Current Date'!F:F,E14,
'YearB-AppDetails Current Date'!E:E,--F14,
'YearB-AppDetails Current Date'!O:O,{"ACLN","ACPT","COND"},
'YearB-AppDetails Current Date'!S:S,"&lt;&gt;ACLN",
'YearB-AppDetails Current Date'!S:S,"&lt;&gt;ACPT",
'YearB-AppDetails Current Date'!S:S,"&lt;&gt;COND",
'YearB-AppDetails Current Date'!I:I,"SUMMER"))), "")</f>
        <v/>
      </c>
      <c r="K14" s="73" t="str">
        <f>IFERROR(1/(1/SUM(COUNTIFS(
'YearB-AppDetails Current Date'!A:A,D14,
'YearB-AppDetails Current Date'!F:F,E14,
'YearB-AppDetails Current Date'!E:E,--F14,
'YearB-AppDetails Current Date'!R:R,"&lt;&gt;"&amp;"",
'YearB-AppDetails Current Date'!I:I,"SUMMER"))), "")</f>
        <v/>
      </c>
      <c r="L14" s="74" t="str" cm="1">
        <f t="array" ref="L14">IFERROR(1/(1/SUM(COUNTIFS(
'YearB-AppDetails Current Date'!A:A,D14,
'YearB-AppDetails Current Date'!F:F,E14,
'YearB-AppDetails Current Date'!E:E,--F14,
'YearB-AppDetails Current Date'!T:T,{"APEX","DENY","NTSL"},
'YearB-AppDetails Current Date'!I:I,"SUMMER"))), "")</f>
        <v/>
      </c>
      <c r="M14" s="74" t="str" cm="1">
        <f t="array" ref="M14">IFERROR(1/(1/SUM(COUNTIFS(
'YearB-AppDetails Current Date'!A:A,D14,
'YearB-AppDetails Current Date'!F:F,E14,
'YearB-AppDetails Current Date'!E:E,--F14,
'YearB-AppDetails Current Date'!U:U,{"CCAN","DECL"},
'YearB-AppDetails Current Date'!I:I,"SUMMER"))), "")</f>
        <v/>
      </c>
      <c r="N14" s="74" t="str" cm="1">
        <f t="array" ref="N14">IFERROR(1/(1/SUM(COUNTIFS(
'YearB-AppDetails Current Date'!A:A,D14,
'YearB-AppDetails Current Date'!F:F,E14,
'YearB-AppDetails Current Date'!E:E,--F14,
'YearB-AppDetails Current Date'!V:V,{"APRO","NODE"},
'YearB-AppDetails Current Date'!I:I,"SUMMER"))), "")</f>
        <v/>
      </c>
      <c r="O14" s="74" t="str" cm="1">
        <f t="array" ref="O14">IFERROR(1/(1/SUM(COUNTIFS(
'YearB-AppDetails Current Date'!A:A,D14,
'YearB-AppDetails Current Date'!F:F,E14,
'YearB-AppDetails Current Date'!E:E,--F14,
'YearB-AppDetails Current Date'!T:T,{"CDMT","RQMT","WAIT"},
'YearB-AppDetails Current Date'!I:I,"SUMMER"))), "")</f>
        <v/>
      </c>
      <c r="P14" s="74" t="str">
        <f>IFERROR(1/(1/COUNTIFS(
'YearB-AppDetails Current Date'!A:A,D14,
'YearB-AppDetails Current Date'!F:F,E14,
'YearB-AppDetails Current Date'!E:E,--F14,
'YearB-AppDetails Current Date'!Y:Y,"ENRO",
'YearB-AppDetails Current Date'!I:I,"SUMMER")),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HC'!D:T,10,FALSE)),
N(VLOOKUP(D15&amp;F15,'Budgeted Projections Dom HC'!D:T,11,FALSE))
)
),"")</f>
        <v/>
      </c>
      <c r="I15" s="73" t="str">
        <f>IFERROR(1/(1/COUNTIFS(
'YearB-AppDetails Current Date'!A:A,D15,
'YearB-AppDetails Current Date'!F:F,E15,
'YearB-AppDetails Current Date'!E:E,--F15,
'YearB-AppDetails Current Date'!I:I,"SUMMER")), "")</f>
        <v/>
      </c>
      <c r="J15" s="74" t="str" cm="1">
        <f t="array" ref="J15">IFERROR(1/(1/SUM(COUNTIFS(
'YearB-AppDetails Current Date'!A:A,D15,
'YearB-AppDetails Current Date'!F:F,E15,
'YearB-AppDetails Current Date'!E:E,--F15,
'YearB-AppDetails Current Date'!O:O,{"ACLN","ACPT","COND"},
'YearB-AppDetails Current Date'!S:S,"&lt;&gt;ACLN",
'YearB-AppDetails Current Date'!S:S,"&lt;&gt;ACPT",
'YearB-AppDetails Current Date'!S:S,"&lt;&gt;COND",
'YearB-AppDetails Current Date'!I:I,"SUMMER"))), "")</f>
        <v/>
      </c>
      <c r="K15" s="73" t="str">
        <f>IFERROR(1/(1/SUM(COUNTIFS(
'YearB-AppDetails Current Date'!A:A,D15,
'YearB-AppDetails Current Date'!F:F,E15,
'YearB-AppDetails Current Date'!E:E,--F15,
'YearB-AppDetails Current Date'!R:R,"&lt;&gt;"&amp;"",
'YearB-AppDetails Current Date'!I:I,"SUMMER"))), "")</f>
        <v/>
      </c>
      <c r="L15" s="74" t="str" cm="1">
        <f t="array" ref="L15">IFERROR(1/(1/SUM(COUNTIFS(
'YearB-AppDetails Current Date'!A:A,D15,
'YearB-AppDetails Current Date'!F:F,E15,
'YearB-AppDetails Current Date'!E:E,--F15,
'YearB-AppDetails Current Date'!T:T,{"APEX","DENY","NTSL"},
'YearB-AppDetails Current Date'!I:I,"SUMMER"))), "")</f>
        <v/>
      </c>
      <c r="M15" s="74" t="str" cm="1">
        <f t="array" ref="M15">IFERROR(1/(1/SUM(COUNTIFS(
'YearB-AppDetails Current Date'!A:A,D15,
'YearB-AppDetails Current Date'!F:F,E15,
'YearB-AppDetails Current Date'!E:E,--F15,
'YearB-AppDetails Current Date'!U:U,{"CCAN","DECL"},
'YearB-AppDetails Current Date'!I:I,"SUMMER"))), "")</f>
        <v/>
      </c>
      <c r="N15" s="74" t="str" cm="1">
        <f t="array" ref="N15">IFERROR(1/(1/SUM(COUNTIFS(
'YearB-AppDetails Current Date'!A:A,D15,
'YearB-AppDetails Current Date'!F:F,E15,
'YearB-AppDetails Current Date'!E:E,--F15,
'YearB-AppDetails Current Date'!V:V,{"APRO","NODE"},
'YearB-AppDetails Current Date'!I:I,"SUMMER"))), "")</f>
        <v/>
      </c>
      <c r="O15" s="74" t="str" cm="1">
        <f t="array" ref="O15">IFERROR(1/(1/SUM(COUNTIFS(
'YearB-AppDetails Current Date'!A:A,D15,
'YearB-AppDetails Current Date'!F:F,E15,
'YearB-AppDetails Current Date'!E:E,--F15,
'YearB-AppDetails Current Date'!T:T,{"CDMT","RQMT","WAIT"},
'YearB-AppDetails Current Date'!I:I,"SUMMER"))), "")</f>
        <v/>
      </c>
      <c r="P15" s="74" t="str">
        <f>IFERROR(1/(1/COUNTIFS(
'YearB-AppDetails Current Date'!A:A,D15,
'YearB-AppDetails Current Date'!F:F,E15,
'YearB-AppDetails Current Date'!E:E,--F15,
'YearB-AppDetails Current Date'!Y:Y,"ENRO",
'YearB-AppDetails Current Date'!I:I,"SUMMER")),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HC'!D:T,10,FALSE)),
N(VLOOKUP(D16&amp;F16,'Budgeted Projections Intl HC'!D:T,11,FALSE))
)
),"")</f>
        <v/>
      </c>
      <c r="I16" s="73" t="str">
        <f>IFERROR(1/(1/COUNTIFS(
'YearB-AppDetails Current Date'!A:A,D16,
'YearB-AppDetails Current Date'!F:F,E16,
'YearB-AppDetails Current Date'!E:E,--F16,
'YearB-AppDetails Current Date'!I:I,"SUMMER")), "")</f>
        <v/>
      </c>
      <c r="J16" s="74" t="str" cm="1">
        <f t="array" ref="J16">IFERROR(1/(1/SUM(COUNTIFS(
'YearB-AppDetails Current Date'!A:A,D16,
'YearB-AppDetails Current Date'!F:F,E16,
'YearB-AppDetails Current Date'!E:E,--F16,
'YearB-AppDetails Current Date'!O:O,{"ACLN","ACPT","COND"},
'YearB-AppDetails Current Date'!S:S,"&lt;&gt;ACLN",
'YearB-AppDetails Current Date'!S:S,"&lt;&gt;ACPT",
'YearB-AppDetails Current Date'!S:S,"&lt;&gt;COND",
'YearB-AppDetails Current Date'!I:I,"SUMMER"))), "")</f>
        <v/>
      </c>
      <c r="K16" s="73" t="str">
        <f>IFERROR(1/(1/SUM(COUNTIFS(
'YearB-AppDetails Current Date'!A:A,D16,
'YearB-AppDetails Current Date'!F:F,E16,
'YearB-AppDetails Current Date'!E:E,--F16,
'YearB-AppDetails Current Date'!R:R,"&lt;&gt;"&amp;"",
'YearB-AppDetails Current Date'!I:I,"SUMMER"))), "")</f>
        <v/>
      </c>
      <c r="L16" s="74" t="str" cm="1">
        <f t="array" ref="L16">IFERROR(1/(1/SUM(COUNTIFS(
'YearB-AppDetails Current Date'!A:A,D16,
'YearB-AppDetails Current Date'!F:F,E16,
'YearB-AppDetails Current Date'!E:E,--F16,
'YearB-AppDetails Current Date'!T:T,{"APEX","DENY","NTSL"},
'YearB-AppDetails Current Date'!I:I,"SUMMER"))), "")</f>
        <v/>
      </c>
      <c r="M16" s="74" t="str" cm="1">
        <f t="array" ref="M16">IFERROR(1/(1/SUM(COUNTIFS(
'YearB-AppDetails Current Date'!A:A,D16,
'YearB-AppDetails Current Date'!F:F,E16,
'YearB-AppDetails Current Date'!E:E,--F16,
'YearB-AppDetails Current Date'!U:U,{"CCAN","DECL"},
'YearB-AppDetails Current Date'!I:I,"SUMMER"))), "")</f>
        <v/>
      </c>
      <c r="N16" s="74" t="str" cm="1">
        <f t="array" ref="N16">IFERROR(1/(1/SUM(COUNTIFS(
'YearB-AppDetails Current Date'!A:A,D16,
'YearB-AppDetails Current Date'!F:F,E16,
'YearB-AppDetails Current Date'!E:E,--F16,
'YearB-AppDetails Current Date'!V:V,{"APRO","NODE"},
'YearB-AppDetails Current Date'!I:I,"SUMMER"))), "")</f>
        <v/>
      </c>
      <c r="O16" s="74" t="str" cm="1">
        <f t="array" ref="O16">IFERROR(1/(1/SUM(COUNTIFS(
'YearB-AppDetails Current Date'!A:A,D16,
'YearB-AppDetails Current Date'!F:F,E16,
'YearB-AppDetails Current Date'!E:E,--F16,
'YearB-AppDetails Current Date'!T:T,{"CDMT","RQMT","WAIT"},
'YearB-AppDetails Current Date'!I:I,"SUMMER"))), "")</f>
        <v/>
      </c>
      <c r="P16" s="74" t="str">
        <f>IFERROR(1/(1/COUNTIFS(
'YearB-AppDetails Current Date'!A:A,D16,
'YearB-AppDetails Current Date'!F:F,E16,
'YearB-AppDetails Current Date'!E:E,--F16,
'YearB-AppDetails Current Date'!Y:Y,"ENRO",
'YearB-AppDetails Current Date'!I:I,"SUMMER")),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HC'!D:T,10,FALSE)),
N(VLOOKUP(D18&amp;F18,'Budgeted Projections Dom HC'!D:T,11,FALSE))
)
),"")</f>
        <v/>
      </c>
      <c r="I18" s="73" t="str">
        <f>IFERROR(1/(1/COUNTIFS(
'YearB-AppDetails Current Date'!A:A,D18,
'YearB-AppDetails Current Date'!F:F,E18,
'YearB-AppDetails Current Date'!E:E,--F18,
'YearB-AppDetails Current Date'!I:I,"SUMMER")), "")</f>
        <v/>
      </c>
      <c r="J18" s="74" t="str" cm="1">
        <f t="array" ref="J18">IFERROR(1/(1/SUM(COUNTIFS(
'YearB-AppDetails Current Date'!A:A,D18,
'YearB-AppDetails Current Date'!F:F,E18,
'YearB-AppDetails Current Date'!E:E,--F18,
'YearB-AppDetails Current Date'!O:O,{"ACLN","ACPT","COND"},
'YearB-AppDetails Current Date'!S:S,"&lt;&gt;ACLN",
'YearB-AppDetails Current Date'!S:S,"&lt;&gt;ACPT",
'YearB-AppDetails Current Date'!S:S,"&lt;&gt;COND",
'YearB-AppDetails Current Date'!I:I,"SUMMER"))), "")</f>
        <v/>
      </c>
      <c r="K18" s="73" t="str">
        <f>IFERROR(1/(1/SUM(COUNTIFS(
'YearB-AppDetails Current Date'!A:A,D18,
'YearB-AppDetails Current Date'!F:F,E18,
'YearB-AppDetails Current Date'!E:E,--F18,
'YearB-AppDetails Current Date'!R:R,"&lt;&gt;"&amp;"",
'YearB-AppDetails Current Date'!I:I,"SUMMER"))), "")</f>
        <v/>
      </c>
      <c r="L18" s="74" t="str" cm="1">
        <f t="array" ref="L18">IFERROR(1/(1/SUM(COUNTIFS(
'YearB-AppDetails Current Date'!A:A,D18,
'YearB-AppDetails Current Date'!F:F,E18,
'YearB-AppDetails Current Date'!E:E,--F18,
'YearB-AppDetails Current Date'!T:T,{"APEX","DENY","NTSL"},
'YearB-AppDetails Current Date'!I:I,"SUMMER"))), "")</f>
        <v/>
      </c>
      <c r="M18" s="74" t="str" cm="1">
        <f t="array" ref="M18">IFERROR(1/(1/SUM(COUNTIFS(
'YearB-AppDetails Current Date'!A:A,D18,
'YearB-AppDetails Current Date'!F:F,E18,
'YearB-AppDetails Current Date'!E:E,--F18,
'YearB-AppDetails Current Date'!U:U,{"CCAN","DECL"},
'YearB-AppDetails Current Date'!I:I,"SUMMER"))), "")</f>
        <v/>
      </c>
      <c r="N18" s="74" t="str" cm="1">
        <f t="array" ref="N18">IFERROR(1/(1/SUM(COUNTIFS(
'YearB-AppDetails Current Date'!A:A,D18,
'YearB-AppDetails Current Date'!F:F,E18,
'YearB-AppDetails Current Date'!E:E,--F18,
'YearB-AppDetails Current Date'!V:V,{"APRO","NODE"},
'YearB-AppDetails Current Date'!I:I,"SUMMER"))), "")</f>
        <v/>
      </c>
      <c r="O18" s="74" t="str" cm="1">
        <f t="array" ref="O18">IFERROR(1/(1/SUM(COUNTIFS(
'YearB-AppDetails Current Date'!A:A,D18,
'YearB-AppDetails Current Date'!F:F,E18,
'YearB-AppDetails Current Date'!E:E,--F18,
'YearB-AppDetails Current Date'!T:T,{"CDMT","RQMT","WAIT"},
'YearB-AppDetails Current Date'!I:I,"SUMMER"))), "")</f>
        <v/>
      </c>
      <c r="P18" s="74" t="str">
        <f>IFERROR(1/(1/COUNTIFS(
'YearB-AppDetails Current Date'!A:A,D18,
'YearB-AppDetails Current Date'!F:F,E18,
'YearB-AppDetails Current Date'!E:E,--F18,
'YearB-AppDetails Current Date'!Y:Y,"ENRO",
'YearB-AppDetails Current Date'!I:I,"SUMMER")),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HC'!D:T,10,FALSE)),
N(VLOOKUP(D19&amp;F19,'Budgeted Projections Intl HC'!D:T,11,FALSE))
)
),"")</f>
        <v/>
      </c>
      <c r="I19" s="73" t="str">
        <f>IFERROR(1/(1/COUNTIFS(
'YearB-AppDetails Current Date'!A:A,D19,
'YearB-AppDetails Current Date'!F:F,E19,
'YearB-AppDetails Current Date'!E:E,--F19,
'YearB-AppDetails Current Date'!I:I,"SUMMER")), "")</f>
        <v/>
      </c>
      <c r="J19" s="74" t="str" cm="1">
        <f t="array" ref="J19">IFERROR(1/(1/SUM(COUNTIFS(
'YearB-AppDetails Current Date'!A:A,D19,
'YearB-AppDetails Current Date'!F:F,E19,
'YearB-AppDetails Current Date'!E:E,--F19,
'YearB-AppDetails Current Date'!O:O,{"ACLN","ACPT","COND"},
'YearB-AppDetails Current Date'!S:S,"&lt;&gt;ACLN",
'YearB-AppDetails Current Date'!S:S,"&lt;&gt;ACPT",
'YearB-AppDetails Current Date'!S:S,"&lt;&gt;COND",
'YearB-AppDetails Current Date'!I:I,"SUMMER"))), "")</f>
        <v/>
      </c>
      <c r="K19" s="73" t="str">
        <f>IFERROR(1/(1/SUM(COUNTIFS(
'YearB-AppDetails Current Date'!A:A,D19,
'YearB-AppDetails Current Date'!F:F,E19,
'YearB-AppDetails Current Date'!E:E,--F19,
'YearB-AppDetails Current Date'!R:R,"&lt;&gt;"&amp;"",
'YearB-AppDetails Current Date'!I:I,"SUMMER"))), "")</f>
        <v/>
      </c>
      <c r="L19" s="74" t="str" cm="1">
        <f t="array" ref="L19">IFERROR(1/(1/SUM(COUNTIFS(
'YearB-AppDetails Current Date'!A:A,D19,
'YearB-AppDetails Current Date'!F:F,E19,
'YearB-AppDetails Current Date'!E:E,--F19,
'YearB-AppDetails Current Date'!T:T,{"APEX","DENY","NTSL"},
'YearB-AppDetails Current Date'!I:I,"SUMMER"))), "")</f>
        <v/>
      </c>
      <c r="M19" s="74" t="str" cm="1">
        <f t="array" ref="M19">IFERROR(1/(1/SUM(COUNTIFS(
'YearB-AppDetails Current Date'!A:A,D19,
'YearB-AppDetails Current Date'!F:F,E19,
'YearB-AppDetails Current Date'!E:E,--F19,
'YearB-AppDetails Current Date'!U:U,{"CCAN","DECL"},
'YearB-AppDetails Current Date'!I:I,"SUMMER"))), "")</f>
        <v/>
      </c>
      <c r="N19" s="74" t="str" cm="1">
        <f t="array" ref="N19">IFERROR(1/(1/SUM(COUNTIFS(
'YearB-AppDetails Current Date'!A:A,D19,
'YearB-AppDetails Current Date'!F:F,E19,
'YearB-AppDetails Current Date'!E:E,--F19,
'YearB-AppDetails Current Date'!V:V,{"APRO","NODE"},
'YearB-AppDetails Current Date'!I:I,"SUMMER"))), "")</f>
        <v/>
      </c>
      <c r="O19" s="74" t="str" cm="1">
        <f t="array" ref="O19">IFERROR(1/(1/SUM(COUNTIFS(
'YearB-AppDetails Current Date'!A:A,D19,
'YearB-AppDetails Current Date'!F:F,E19,
'YearB-AppDetails Current Date'!E:E,--F19,
'YearB-AppDetails Current Date'!T:T,{"CDMT","RQMT","WAIT"},
'YearB-AppDetails Current Date'!I:I,"SUMMER"))), "")</f>
        <v/>
      </c>
      <c r="P19" s="74" t="str">
        <f>IFERROR(1/(1/COUNTIFS(
'YearB-AppDetails Current Date'!A:A,D19,
'YearB-AppDetails Current Date'!F:F,E19,
'YearB-AppDetails Current Date'!E:E,--F19,
'YearB-AppDetails Current Date'!Y:Y,"ENRO",
'YearB-AppDetails Current Date'!I:I,"SUMMER")),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HC'!D:T,10,FALSE)),
N(VLOOKUP(D20&amp;F20,'Budgeted Projections Dom HC'!D:T,11,FALSE))
)
),"")</f>
        <v/>
      </c>
      <c r="I20" s="73" t="str">
        <f>IFERROR(1/(1/COUNTIFS(
'YearB-AppDetails Current Date'!A:A,D20,
'YearB-AppDetails Current Date'!F:F,E20,
'YearB-AppDetails Current Date'!E:E,--F20,
'YearB-AppDetails Current Date'!I:I,"SUMMER")), "")</f>
        <v/>
      </c>
      <c r="J20" s="74" t="str" cm="1">
        <f t="array" ref="J20">IFERROR(1/(1/SUM(COUNTIFS(
'YearB-AppDetails Current Date'!A:A,D20,
'YearB-AppDetails Current Date'!F:F,E20,
'YearB-AppDetails Current Date'!E:E,--F20,
'YearB-AppDetails Current Date'!O:O,{"ACLN","ACPT","COND"},
'YearB-AppDetails Current Date'!S:S,"&lt;&gt;ACLN",
'YearB-AppDetails Current Date'!S:S,"&lt;&gt;ACPT",
'YearB-AppDetails Current Date'!S:S,"&lt;&gt;COND",
'YearB-AppDetails Current Date'!I:I,"SUMMER"))), "")</f>
        <v/>
      </c>
      <c r="K20" s="73" t="str">
        <f>IFERROR(1/(1/SUM(COUNTIFS(
'YearB-AppDetails Current Date'!A:A,D20,
'YearB-AppDetails Current Date'!F:F,E20,
'YearB-AppDetails Current Date'!E:E,--F20,
'YearB-AppDetails Current Date'!R:R,"&lt;&gt;"&amp;"",
'YearB-AppDetails Current Date'!I:I,"SUMMER"))), "")</f>
        <v/>
      </c>
      <c r="L20" s="74" t="str" cm="1">
        <f t="array" ref="L20">IFERROR(1/(1/SUM(COUNTIFS(
'YearB-AppDetails Current Date'!A:A,D20,
'YearB-AppDetails Current Date'!F:F,E20,
'YearB-AppDetails Current Date'!E:E,--F20,
'YearB-AppDetails Current Date'!T:T,{"APEX","DENY","NTSL"},
'YearB-AppDetails Current Date'!I:I,"SUMMER"))), "")</f>
        <v/>
      </c>
      <c r="M20" s="74" t="str" cm="1">
        <f t="array" ref="M20">IFERROR(1/(1/SUM(COUNTIFS(
'YearB-AppDetails Current Date'!A:A,D20,
'YearB-AppDetails Current Date'!F:F,E20,
'YearB-AppDetails Current Date'!E:E,--F20,
'YearB-AppDetails Current Date'!U:U,{"CCAN","DECL"},
'YearB-AppDetails Current Date'!I:I,"SUMMER"))), "")</f>
        <v/>
      </c>
      <c r="N20" s="74" t="str" cm="1">
        <f t="array" ref="N20">IFERROR(1/(1/SUM(COUNTIFS(
'YearB-AppDetails Current Date'!A:A,D20,
'YearB-AppDetails Current Date'!F:F,E20,
'YearB-AppDetails Current Date'!E:E,--F20,
'YearB-AppDetails Current Date'!V:V,{"APRO","NODE"},
'YearB-AppDetails Current Date'!I:I,"SUMMER"))), "")</f>
        <v/>
      </c>
      <c r="O20" s="74" t="str" cm="1">
        <f t="array" ref="O20">IFERROR(1/(1/SUM(COUNTIFS(
'YearB-AppDetails Current Date'!A:A,D20,
'YearB-AppDetails Current Date'!F:F,E20,
'YearB-AppDetails Current Date'!E:E,--F20,
'YearB-AppDetails Current Date'!T:T,{"CDMT","RQMT","WAIT"},
'YearB-AppDetails Current Date'!I:I,"SUMMER"))), "")</f>
        <v/>
      </c>
      <c r="P20" s="74" t="str">
        <f>IFERROR(1/(1/COUNTIFS(
'YearB-AppDetails Current Date'!A:A,D20,
'YearB-AppDetails Current Date'!F:F,E20,
'YearB-AppDetails Current Date'!E:E,--F20,
'YearB-AppDetails Current Date'!Y:Y,"ENRO",
'YearB-AppDetails Current Date'!I:I,"SUMMER")),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HC'!D:T,10,FALSE)),
N(VLOOKUP(D21&amp;F21,'Budgeted Projections Intl HC'!D:T,11,FALSE))
)
),"")</f>
        <v/>
      </c>
      <c r="I21" s="73" t="str">
        <f>IFERROR(1/(1/COUNTIFS(
'YearB-AppDetails Current Date'!A:A,D21,
'YearB-AppDetails Current Date'!F:F,E21,
'YearB-AppDetails Current Date'!E:E,--F21,
'YearB-AppDetails Current Date'!I:I,"SUMMER")), "")</f>
        <v/>
      </c>
      <c r="J21" s="74" t="str" cm="1">
        <f t="array" ref="J21">IFERROR(1/(1/SUM(COUNTIFS(
'YearB-AppDetails Current Date'!A:A,D21,
'YearB-AppDetails Current Date'!F:F,E21,
'YearB-AppDetails Current Date'!E:E,--F21,
'YearB-AppDetails Current Date'!O:O,{"ACLN","ACPT","COND"},
'YearB-AppDetails Current Date'!S:S,"&lt;&gt;ACLN",
'YearB-AppDetails Current Date'!S:S,"&lt;&gt;ACPT",
'YearB-AppDetails Current Date'!S:S,"&lt;&gt;COND",
'YearB-AppDetails Current Date'!I:I,"SUMMER"))), "")</f>
        <v/>
      </c>
      <c r="K21" s="73" t="str">
        <f>IFERROR(1/(1/SUM(COUNTIFS(
'YearB-AppDetails Current Date'!A:A,D21,
'YearB-AppDetails Current Date'!F:F,E21,
'YearB-AppDetails Current Date'!E:E,--F21,
'YearB-AppDetails Current Date'!R:R,"&lt;&gt;"&amp;"",
'YearB-AppDetails Current Date'!I:I,"SUMMER"))), "")</f>
        <v/>
      </c>
      <c r="L21" s="74" t="str" cm="1">
        <f t="array" ref="L21">IFERROR(1/(1/SUM(COUNTIFS(
'YearB-AppDetails Current Date'!A:A,D21,
'YearB-AppDetails Current Date'!F:F,E21,
'YearB-AppDetails Current Date'!E:E,--F21,
'YearB-AppDetails Current Date'!T:T,{"APEX","DENY","NTSL"},
'YearB-AppDetails Current Date'!I:I,"SUMMER"))), "")</f>
        <v/>
      </c>
      <c r="M21" s="74" t="str" cm="1">
        <f t="array" ref="M21">IFERROR(1/(1/SUM(COUNTIFS(
'YearB-AppDetails Current Date'!A:A,D21,
'YearB-AppDetails Current Date'!F:F,E21,
'YearB-AppDetails Current Date'!E:E,--F21,
'YearB-AppDetails Current Date'!U:U,{"CCAN","DECL"},
'YearB-AppDetails Current Date'!I:I,"SUMMER"))), "")</f>
        <v/>
      </c>
      <c r="N21" s="74" t="str" cm="1">
        <f t="array" ref="N21">IFERROR(1/(1/SUM(COUNTIFS(
'YearB-AppDetails Current Date'!A:A,D21,
'YearB-AppDetails Current Date'!F:F,E21,
'YearB-AppDetails Current Date'!E:E,--F21,
'YearB-AppDetails Current Date'!V:V,{"APRO","NODE"},
'YearB-AppDetails Current Date'!I:I,"SUMMER"))), "")</f>
        <v/>
      </c>
      <c r="O21" s="74" t="str" cm="1">
        <f t="array" ref="O21">IFERROR(1/(1/SUM(COUNTIFS(
'YearB-AppDetails Current Date'!A:A,D21,
'YearB-AppDetails Current Date'!F:F,E21,
'YearB-AppDetails Current Date'!E:E,--F21,
'YearB-AppDetails Current Date'!T:T,{"CDMT","RQMT","WAIT"},
'YearB-AppDetails Current Date'!I:I,"SUMMER"))), "")</f>
        <v/>
      </c>
      <c r="P21" s="74" t="str">
        <f>IFERROR(1/(1/COUNTIFS(
'YearB-AppDetails Current Date'!A:A,D21,
'YearB-AppDetails Current Date'!F:F,E21,
'YearB-AppDetails Current Date'!E:E,--F21,
'YearB-AppDetails Current Date'!Y:Y,"ENRO",
'YearB-AppDetails Current Date'!I:I,"SUMMER")),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HC'!D:T,10,FALSE)),
N(VLOOKUP(D22&amp;F22,'Budgeted Projections Dom HC'!D:T,11,FALSE))
)
),"")</f>
        <v/>
      </c>
      <c r="I22" s="73" t="str">
        <f>IFERROR(1/(1/COUNTIFS(
'YearB-AppDetails Current Date'!A:A,D22,
'YearB-AppDetails Current Date'!F:F,E22,
'YearB-AppDetails Current Date'!E:E,--F22,
'YearB-AppDetails Current Date'!I:I,"SUMMER")), "")</f>
        <v/>
      </c>
      <c r="J22" s="74" t="str" cm="1">
        <f t="array" ref="J22">IFERROR(1/(1/SUM(COUNTIFS(
'YearB-AppDetails Current Date'!A:A,D22,
'YearB-AppDetails Current Date'!F:F,E22,
'YearB-AppDetails Current Date'!E:E,--F22,
'YearB-AppDetails Current Date'!O:O,{"ACLN","ACPT","COND"},
'YearB-AppDetails Current Date'!S:S,"&lt;&gt;ACLN",
'YearB-AppDetails Current Date'!S:S,"&lt;&gt;ACPT",
'YearB-AppDetails Current Date'!S:S,"&lt;&gt;COND",
'YearB-AppDetails Current Date'!I:I,"SUMMER"))), "")</f>
        <v/>
      </c>
      <c r="K22" s="73" t="str">
        <f>IFERROR(1/(1/SUM(COUNTIFS(
'YearB-AppDetails Current Date'!A:A,D22,
'YearB-AppDetails Current Date'!F:F,E22,
'YearB-AppDetails Current Date'!E:E,--F22,
'YearB-AppDetails Current Date'!R:R,"&lt;&gt;"&amp;"",
'YearB-AppDetails Current Date'!I:I,"SUMMER"))), "")</f>
        <v/>
      </c>
      <c r="L22" s="74" t="str" cm="1">
        <f t="array" ref="L22">IFERROR(1/(1/SUM(COUNTIFS(
'YearB-AppDetails Current Date'!A:A,D22,
'YearB-AppDetails Current Date'!F:F,E22,
'YearB-AppDetails Current Date'!E:E,--F22,
'YearB-AppDetails Current Date'!T:T,{"APEX","DENY","NTSL"},
'YearB-AppDetails Current Date'!I:I,"SUMMER"))), "")</f>
        <v/>
      </c>
      <c r="M22" s="74" t="str" cm="1">
        <f t="array" ref="M22">IFERROR(1/(1/SUM(COUNTIFS(
'YearB-AppDetails Current Date'!A:A,D22,
'YearB-AppDetails Current Date'!F:F,E22,
'YearB-AppDetails Current Date'!E:E,--F22,
'YearB-AppDetails Current Date'!U:U,{"CCAN","DECL"},
'YearB-AppDetails Current Date'!I:I,"SUMMER"))), "")</f>
        <v/>
      </c>
      <c r="N22" s="74" t="str" cm="1">
        <f t="array" ref="N22">IFERROR(1/(1/SUM(COUNTIFS(
'YearB-AppDetails Current Date'!A:A,D22,
'YearB-AppDetails Current Date'!F:F,E22,
'YearB-AppDetails Current Date'!E:E,--F22,
'YearB-AppDetails Current Date'!V:V,{"APRO","NODE"},
'YearB-AppDetails Current Date'!I:I,"SUMMER"))), "")</f>
        <v/>
      </c>
      <c r="O22" s="74" t="str" cm="1">
        <f t="array" ref="O22">IFERROR(1/(1/SUM(COUNTIFS(
'YearB-AppDetails Current Date'!A:A,D22,
'YearB-AppDetails Current Date'!F:F,E22,
'YearB-AppDetails Current Date'!E:E,--F22,
'YearB-AppDetails Current Date'!T:T,{"CDMT","RQMT","WAIT"},
'YearB-AppDetails Current Date'!I:I,"SUMMER"))), "")</f>
        <v/>
      </c>
      <c r="P22" s="74" t="str">
        <f>IFERROR(1/(1/COUNTIFS(
'YearB-AppDetails Current Date'!A:A,D22,
'YearB-AppDetails Current Date'!F:F,E22,
'YearB-AppDetails Current Date'!E:E,--F22,
'YearB-AppDetails Current Date'!Y:Y,"ENRO",
'YearB-AppDetails Current Date'!I:I,"SUMMER")),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HC'!D:T,10,FALSE)),
N(VLOOKUP(D23&amp;F23,'Budgeted Projections Intl HC'!D:T,11,FALSE))
)
),"")</f>
        <v/>
      </c>
      <c r="I23" s="73" t="str">
        <f>IFERROR(1/(1/COUNTIFS(
'YearB-AppDetails Current Date'!A:A,D23,
'YearB-AppDetails Current Date'!F:F,E23,
'YearB-AppDetails Current Date'!E:E,--F23,
'YearB-AppDetails Current Date'!I:I,"SUMMER")), "")</f>
        <v/>
      </c>
      <c r="J23" s="74" t="str" cm="1">
        <f t="array" ref="J23">IFERROR(1/(1/SUM(COUNTIFS(
'YearB-AppDetails Current Date'!A:A,D23,
'YearB-AppDetails Current Date'!F:F,E23,
'YearB-AppDetails Current Date'!E:E,--F23,
'YearB-AppDetails Current Date'!O:O,{"ACLN","ACPT","COND"},
'YearB-AppDetails Current Date'!S:S,"&lt;&gt;ACLN",
'YearB-AppDetails Current Date'!S:S,"&lt;&gt;ACPT",
'YearB-AppDetails Current Date'!S:S,"&lt;&gt;COND",
'YearB-AppDetails Current Date'!I:I,"SUMMER"))), "")</f>
        <v/>
      </c>
      <c r="K23" s="73" t="str">
        <f>IFERROR(1/(1/SUM(COUNTIFS(
'YearB-AppDetails Current Date'!A:A,D23,
'YearB-AppDetails Current Date'!F:F,E23,
'YearB-AppDetails Current Date'!E:E,--F23,
'YearB-AppDetails Current Date'!R:R,"&lt;&gt;"&amp;"",
'YearB-AppDetails Current Date'!I:I,"SUMMER"))), "")</f>
        <v/>
      </c>
      <c r="L23" s="74" t="str" cm="1">
        <f t="array" ref="L23">IFERROR(1/(1/SUM(COUNTIFS(
'YearB-AppDetails Current Date'!A:A,D23,
'YearB-AppDetails Current Date'!F:F,E23,
'YearB-AppDetails Current Date'!E:E,--F23,
'YearB-AppDetails Current Date'!T:T,{"APEX","DENY","NTSL"},
'YearB-AppDetails Current Date'!I:I,"SUMMER"))), "")</f>
        <v/>
      </c>
      <c r="M23" s="74" t="str" cm="1">
        <f t="array" ref="M23">IFERROR(1/(1/SUM(COUNTIFS(
'YearB-AppDetails Current Date'!A:A,D23,
'YearB-AppDetails Current Date'!F:F,E23,
'YearB-AppDetails Current Date'!E:E,--F23,
'YearB-AppDetails Current Date'!U:U,{"CCAN","DECL"},
'YearB-AppDetails Current Date'!I:I,"SUMMER"))), "")</f>
        <v/>
      </c>
      <c r="N23" s="74" t="str" cm="1">
        <f t="array" ref="N23">IFERROR(1/(1/SUM(COUNTIFS(
'YearB-AppDetails Current Date'!A:A,D23,
'YearB-AppDetails Current Date'!F:F,E23,
'YearB-AppDetails Current Date'!E:E,--F23,
'YearB-AppDetails Current Date'!V:V,{"APRO","NODE"},
'YearB-AppDetails Current Date'!I:I,"SUMMER"))), "")</f>
        <v/>
      </c>
      <c r="O23" s="74" t="str" cm="1">
        <f t="array" ref="O23">IFERROR(1/(1/SUM(COUNTIFS(
'YearB-AppDetails Current Date'!A:A,D23,
'YearB-AppDetails Current Date'!F:F,E23,
'YearB-AppDetails Current Date'!E:E,--F23,
'YearB-AppDetails Current Date'!T:T,{"CDMT","RQMT","WAIT"},
'YearB-AppDetails Current Date'!I:I,"SUMMER"))), "")</f>
        <v/>
      </c>
      <c r="P23" s="74" t="str">
        <f>IFERROR(1/(1/COUNTIFS(
'YearB-AppDetails Current Date'!A:A,D23,
'YearB-AppDetails Current Date'!F:F,E23,
'YearB-AppDetails Current Date'!E:E,--F23,
'YearB-AppDetails Current Date'!Y:Y,"ENRO",
'YearB-AppDetails Current Date'!I:I,"SUMMER")),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HC'!D:T,10,FALSE)),
N(VLOOKUP(D24&amp;F24,'Budgeted Projections Dom HC'!D:T,11,FALSE))
)
),"")</f>
        <v/>
      </c>
      <c r="I24" s="73" t="str">
        <f>IFERROR(1/(1/COUNTIFS(
'YearB-AppDetails Current Date'!A:A,D24,
'YearB-AppDetails Current Date'!F:F,E24,
'YearB-AppDetails Current Date'!E:E,--F24,
'YearB-AppDetails Current Date'!I:I,"SUMMER")), "")</f>
        <v/>
      </c>
      <c r="J24" s="74" t="str" cm="1">
        <f t="array" ref="J24">IFERROR(1/(1/SUM(COUNTIFS(
'YearB-AppDetails Current Date'!A:A,D24,
'YearB-AppDetails Current Date'!F:F,E24,
'YearB-AppDetails Current Date'!E:E,--F24,
'YearB-AppDetails Current Date'!O:O,{"ACLN","ACPT","COND"},
'YearB-AppDetails Current Date'!S:S,"&lt;&gt;ACLN",
'YearB-AppDetails Current Date'!S:S,"&lt;&gt;ACPT",
'YearB-AppDetails Current Date'!S:S,"&lt;&gt;COND",
'YearB-AppDetails Current Date'!I:I,"SUMMER"))), "")</f>
        <v/>
      </c>
      <c r="K24" s="73" t="str">
        <f>IFERROR(1/(1/SUM(COUNTIFS(
'YearB-AppDetails Current Date'!A:A,D24,
'YearB-AppDetails Current Date'!F:F,E24,
'YearB-AppDetails Current Date'!E:E,--F24,
'YearB-AppDetails Current Date'!R:R,"&lt;&gt;"&amp;"",
'YearB-AppDetails Current Date'!I:I,"SUMMER"))), "")</f>
        <v/>
      </c>
      <c r="L24" s="74" t="str" cm="1">
        <f t="array" ref="L24">IFERROR(1/(1/SUM(COUNTIFS(
'YearB-AppDetails Current Date'!A:A,D24,
'YearB-AppDetails Current Date'!F:F,E24,
'YearB-AppDetails Current Date'!E:E,--F24,
'YearB-AppDetails Current Date'!T:T,{"APEX","DENY","NTSL"},
'YearB-AppDetails Current Date'!I:I,"SUMMER"))), "")</f>
        <v/>
      </c>
      <c r="M24" s="74" t="str" cm="1">
        <f t="array" ref="M24">IFERROR(1/(1/SUM(COUNTIFS(
'YearB-AppDetails Current Date'!A:A,D24,
'YearB-AppDetails Current Date'!F:F,E24,
'YearB-AppDetails Current Date'!E:E,--F24,
'YearB-AppDetails Current Date'!U:U,{"CCAN","DECL"},
'YearB-AppDetails Current Date'!I:I,"SUMMER"))), "")</f>
        <v/>
      </c>
      <c r="N24" s="74" t="str" cm="1">
        <f t="array" ref="N24">IFERROR(1/(1/SUM(COUNTIFS(
'YearB-AppDetails Current Date'!A:A,D24,
'YearB-AppDetails Current Date'!F:F,E24,
'YearB-AppDetails Current Date'!E:E,--F24,
'YearB-AppDetails Current Date'!V:V,{"APRO","NODE"},
'YearB-AppDetails Current Date'!I:I,"SUMMER"))), "")</f>
        <v/>
      </c>
      <c r="O24" s="74" t="str" cm="1">
        <f t="array" ref="O24">IFERROR(1/(1/SUM(COUNTIFS(
'YearB-AppDetails Current Date'!A:A,D24,
'YearB-AppDetails Current Date'!F:F,E24,
'YearB-AppDetails Current Date'!E:E,--F24,
'YearB-AppDetails Current Date'!T:T,{"CDMT","RQMT","WAIT"},
'YearB-AppDetails Current Date'!I:I,"SUMMER"))), "")</f>
        <v/>
      </c>
      <c r="P24" s="74" t="str">
        <f>IFERROR(1/(1/COUNTIFS(
'YearB-AppDetails Current Date'!A:A,D24,
'YearB-AppDetails Current Date'!F:F,E24,
'YearB-AppDetails Current Date'!E:E,--F24,
'YearB-AppDetails Current Date'!Y:Y,"ENRO",
'YearB-AppDetails Current Date'!I:I,"SUMMER")),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HC'!D:T,10,FALSE)),
N(VLOOKUP(D25&amp;F25,'Budgeted Projections Intl HC'!D:T,11,FALSE))
)
),"")</f>
        <v/>
      </c>
      <c r="I25" s="73" t="str">
        <f>IFERROR(1/(1/COUNTIFS(
'YearB-AppDetails Current Date'!A:A,D25,
'YearB-AppDetails Current Date'!F:F,E25,
'YearB-AppDetails Current Date'!E:E,--F25,
'YearB-AppDetails Current Date'!I:I,"SUMMER")), "")</f>
        <v/>
      </c>
      <c r="J25" s="74" t="str" cm="1">
        <f t="array" ref="J25">IFERROR(1/(1/SUM(COUNTIFS(
'YearB-AppDetails Current Date'!A:A,D25,
'YearB-AppDetails Current Date'!F:F,E25,
'YearB-AppDetails Current Date'!E:E,--F25,
'YearB-AppDetails Current Date'!O:O,{"ACLN","ACPT","COND"},
'YearB-AppDetails Current Date'!S:S,"&lt;&gt;ACLN",
'YearB-AppDetails Current Date'!S:S,"&lt;&gt;ACPT",
'YearB-AppDetails Current Date'!S:S,"&lt;&gt;COND",
'YearB-AppDetails Current Date'!I:I,"SUMMER"))), "")</f>
        <v/>
      </c>
      <c r="K25" s="73" t="str">
        <f>IFERROR(1/(1/SUM(COUNTIFS(
'YearB-AppDetails Current Date'!A:A,D25,
'YearB-AppDetails Current Date'!F:F,E25,
'YearB-AppDetails Current Date'!E:E,--F25,
'YearB-AppDetails Current Date'!R:R,"&lt;&gt;"&amp;"",
'YearB-AppDetails Current Date'!I:I,"SUMMER"))), "")</f>
        <v/>
      </c>
      <c r="L25" s="74" t="str" cm="1">
        <f t="array" ref="L25">IFERROR(1/(1/SUM(COUNTIFS(
'YearB-AppDetails Current Date'!A:A,D25,
'YearB-AppDetails Current Date'!F:F,E25,
'YearB-AppDetails Current Date'!E:E,--F25,
'YearB-AppDetails Current Date'!T:T,{"APEX","DENY","NTSL"},
'YearB-AppDetails Current Date'!I:I,"SUMMER"))), "")</f>
        <v/>
      </c>
      <c r="M25" s="74" t="str" cm="1">
        <f t="array" ref="M25">IFERROR(1/(1/SUM(COUNTIFS(
'YearB-AppDetails Current Date'!A:A,D25,
'YearB-AppDetails Current Date'!F:F,E25,
'YearB-AppDetails Current Date'!E:E,--F25,
'YearB-AppDetails Current Date'!U:U,{"CCAN","DECL"},
'YearB-AppDetails Current Date'!I:I,"SUMMER"))), "")</f>
        <v/>
      </c>
      <c r="N25" s="74" t="str" cm="1">
        <f t="array" ref="N25">IFERROR(1/(1/SUM(COUNTIFS(
'YearB-AppDetails Current Date'!A:A,D25,
'YearB-AppDetails Current Date'!F:F,E25,
'YearB-AppDetails Current Date'!E:E,--F25,
'YearB-AppDetails Current Date'!V:V,{"APRO","NODE"},
'YearB-AppDetails Current Date'!I:I,"SUMMER"))), "")</f>
        <v/>
      </c>
      <c r="O25" s="74" t="str" cm="1">
        <f t="array" ref="O25">IFERROR(1/(1/SUM(COUNTIFS(
'YearB-AppDetails Current Date'!A:A,D25,
'YearB-AppDetails Current Date'!F:F,E25,
'YearB-AppDetails Current Date'!E:E,--F25,
'YearB-AppDetails Current Date'!T:T,{"CDMT","RQMT","WAIT"},
'YearB-AppDetails Current Date'!I:I,"SUMMER"))), "")</f>
        <v/>
      </c>
      <c r="P25" s="74" t="str">
        <f>IFERROR(1/(1/COUNTIFS(
'YearB-AppDetails Current Date'!A:A,D25,
'YearB-AppDetails Current Date'!F:F,E25,
'YearB-AppDetails Current Date'!E:E,--F25,
'YearB-AppDetails Current Date'!Y:Y,"ENRO",
'YearB-AppDetails Current Date'!I:I,"SUMMER")),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HC'!D:T,10,FALSE)),
N(VLOOKUP(D26&amp;F26,'Budgeted Projections Dom HC'!D:T,11,FALSE))
)
),"")</f>
        <v/>
      </c>
      <c r="I26" s="73" t="str">
        <f>IFERROR(1/(1/COUNTIFS(
'YearB-AppDetails Current Date'!A:A,D26,
'YearB-AppDetails Current Date'!F:F,E26,
'YearB-AppDetails Current Date'!E:E,--F26,
'YearB-AppDetails Current Date'!I:I,"SUMMER")), "")</f>
        <v/>
      </c>
      <c r="J26" s="74" t="str" cm="1">
        <f t="array" ref="J26">IFERROR(1/(1/SUM(COUNTIFS(
'YearB-AppDetails Current Date'!A:A,D26,
'YearB-AppDetails Current Date'!F:F,E26,
'YearB-AppDetails Current Date'!E:E,--F26,
'YearB-AppDetails Current Date'!O:O,{"ACLN","ACPT","COND"},
'YearB-AppDetails Current Date'!S:S,"&lt;&gt;ACLN",
'YearB-AppDetails Current Date'!S:S,"&lt;&gt;ACPT",
'YearB-AppDetails Current Date'!S:S,"&lt;&gt;COND",
'YearB-AppDetails Current Date'!I:I,"SUMMER"))), "")</f>
        <v/>
      </c>
      <c r="K26" s="73" t="str">
        <f>IFERROR(1/(1/SUM(COUNTIFS(
'YearB-AppDetails Current Date'!A:A,D26,
'YearB-AppDetails Current Date'!F:F,E26,
'YearB-AppDetails Current Date'!E:E,--F26,
'YearB-AppDetails Current Date'!R:R,"&lt;&gt;"&amp;"",
'YearB-AppDetails Current Date'!I:I,"SUMMER"))), "")</f>
        <v/>
      </c>
      <c r="L26" s="74" t="str" cm="1">
        <f t="array" ref="L26">IFERROR(1/(1/SUM(COUNTIFS(
'YearB-AppDetails Current Date'!A:A,D26,
'YearB-AppDetails Current Date'!F:F,E26,
'YearB-AppDetails Current Date'!E:E,--F26,
'YearB-AppDetails Current Date'!T:T,{"APEX","DENY","NTSL"},
'YearB-AppDetails Current Date'!I:I,"SUMMER"))), "")</f>
        <v/>
      </c>
      <c r="M26" s="74" t="str" cm="1">
        <f t="array" ref="M26">IFERROR(1/(1/SUM(COUNTIFS(
'YearB-AppDetails Current Date'!A:A,D26,
'YearB-AppDetails Current Date'!F:F,E26,
'YearB-AppDetails Current Date'!E:E,--F26,
'YearB-AppDetails Current Date'!U:U,{"CCAN","DECL"},
'YearB-AppDetails Current Date'!I:I,"SUMMER"))), "")</f>
        <v/>
      </c>
      <c r="N26" s="74" t="str" cm="1">
        <f t="array" ref="N26">IFERROR(1/(1/SUM(COUNTIFS(
'YearB-AppDetails Current Date'!A:A,D26,
'YearB-AppDetails Current Date'!F:F,E26,
'YearB-AppDetails Current Date'!E:E,--F26,
'YearB-AppDetails Current Date'!V:V,{"APRO","NODE"},
'YearB-AppDetails Current Date'!I:I,"SUMMER"))), "")</f>
        <v/>
      </c>
      <c r="O26" s="74" t="str" cm="1">
        <f t="array" ref="O26">IFERROR(1/(1/SUM(COUNTIFS(
'YearB-AppDetails Current Date'!A:A,D26,
'YearB-AppDetails Current Date'!F:F,E26,
'YearB-AppDetails Current Date'!E:E,--F26,
'YearB-AppDetails Current Date'!T:T,{"CDMT","RQMT","WAIT"},
'YearB-AppDetails Current Date'!I:I,"SUMMER"))), "")</f>
        <v/>
      </c>
      <c r="P26" s="74" t="str">
        <f>IFERROR(1/(1/COUNTIFS(
'YearB-AppDetails Current Date'!A:A,D26,
'YearB-AppDetails Current Date'!F:F,E26,
'YearB-AppDetails Current Date'!E:E,--F26,
'YearB-AppDetails Current Date'!Y:Y,"ENRO",
'YearB-AppDetails Current Date'!I:I,"SUMMER")),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HC'!D:T,10,FALSE)),
N(VLOOKUP(D27&amp;F27,'Budgeted Projections Intl HC'!D:T,11,FALSE))
)
),"")</f>
        <v/>
      </c>
      <c r="I27" s="73" t="str">
        <f>IFERROR(1/(1/COUNTIFS(
'YearB-AppDetails Current Date'!A:A,D27,
'YearB-AppDetails Current Date'!F:F,E27,
'YearB-AppDetails Current Date'!E:E,--F27,
'YearB-AppDetails Current Date'!I:I,"SUMMER")), "")</f>
        <v/>
      </c>
      <c r="J27" s="74" t="str" cm="1">
        <f t="array" ref="J27">IFERROR(1/(1/SUM(COUNTIFS(
'YearB-AppDetails Current Date'!A:A,D27,
'YearB-AppDetails Current Date'!F:F,E27,
'YearB-AppDetails Current Date'!E:E,--F27,
'YearB-AppDetails Current Date'!O:O,{"ACLN","ACPT","COND"},
'YearB-AppDetails Current Date'!S:S,"&lt;&gt;ACLN",
'YearB-AppDetails Current Date'!S:S,"&lt;&gt;ACPT",
'YearB-AppDetails Current Date'!S:S,"&lt;&gt;COND",
'YearB-AppDetails Current Date'!I:I,"SUMMER"))), "")</f>
        <v/>
      </c>
      <c r="K27" s="73" t="str">
        <f>IFERROR(1/(1/SUM(COUNTIFS(
'YearB-AppDetails Current Date'!A:A,D27,
'YearB-AppDetails Current Date'!F:F,E27,
'YearB-AppDetails Current Date'!E:E,--F27,
'YearB-AppDetails Current Date'!R:R,"&lt;&gt;"&amp;"",
'YearB-AppDetails Current Date'!I:I,"SUMMER"))), "")</f>
        <v/>
      </c>
      <c r="L27" s="74" t="str" cm="1">
        <f t="array" ref="L27">IFERROR(1/(1/SUM(COUNTIFS(
'YearB-AppDetails Current Date'!A:A,D27,
'YearB-AppDetails Current Date'!F:F,E27,
'YearB-AppDetails Current Date'!E:E,--F27,
'YearB-AppDetails Current Date'!T:T,{"APEX","DENY","NTSL"},
'YearB-AppDetails Current Date'!I:I,"SUMMER"))), "")</f>
        <v/>
      </c>
      <c r="M27" s="74" t="str" cm="1">
        <f t="array" ref="M27">IFERROR(1/(1/SUM(COUNTIFS(
'YearB-AppDetails Current Date'!A:A,D27,
'YearB-AppDetails Current Date'!F:F,E27,
'YearB-AppDetails Current Date'!E:E,--F27,
'YearB-AppDetails Current Date'!U:U,{"CCAN","DECL"},
'YearB-AppDetails Current Date'!I:I,"SUMMER"))), "")</f>
        <v/>
      </c>
      <c r="N27" s="74" t="str" cm="1">
        <f t="array" ref="N27">IFERROR(1/(1/SUM(COUNTIFS(
'YearB-AppDetails Current Date'!A:A,D27,
'YearB-AppDetails Current Date'!F:F,E27,
'YearB-AppDetails Current Date'!E:E,--F27,
'YearB-AppDetails Current Date'!V:V,{"APRO","NODE"},
'YearB-AppDetails Current Date'!I:I,"SUMMER"))), "")</f>
        <v/>
      </c>
      <c r="O27" s="74" t="str" cm="1">
        <f t="array" ref="O27">IFERROR(1/(1/SUM(COUNTIFS(
'YearB-AppDetails Current Date'!A:A,D27,
'YearB-AppDetails Current Date'!F:F,E27,
'YearB-AppDetails Current Date'!E:E,--F27,
'YearB-AppDetails Current Date'!T:T,{"CDMT","RQMT","WAIT"},
'YearB-AppDetails Current Date'!I:I,"SUMMER"))), "")</f>
        <v/>
      </c>
      <c r="P27" s="74" t="str">
        <f>IFERROR(1/(1/COUNTIFS(
'YearB-AppDetails Current Date'!A:A,D27,
'YearB-AppDetails Current Date'!F:F,E27,
'YearB-AppDetails Current Date'!E:E,--F27,
'YearB-AppDetails Current Date'!Y:Y,"ENRO",
'YearB-AppDetails Current Date'!I:I,"SUMMER")),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HC'!D:T,10,FALSE)),
N(VLOOKUP(D29&amp;F29,'Budgeted Projections Dom HC'!D:T,11,FALSE))
)
),"")</f>
        <v/>
      </c>
      <c r="I29" s="73" t="str">
        <f>IFERROR(1/(1/COUNTIFS(
'YearB-AppDetails Current Date'!A:A,D29,
'YearB-AppDetails Current Date'!F:F,E29,
'YearB-AppDetails Current Date'!E:E,--F29,
'YearB-AppDetails Current Date'!I:I,"SUMMER")), "")</f>
        <v/>
      </c>
      <c r="J29" s="74" t="str" cm="1">
        <f t="array" ref="J29">IFERROR(1/(1/SUM(COUNTIFS(
'YearB-AppDetails Current Date'!A:A,D29,
'YearB-AppDetails Current Date'!F:F,E29,
'YearB-AppDetails Current Date'!E:E,--F29,
'YearB-AppDetails Current Date'!O:O,{"ACLN","ACPT","COND"},
'YearB-AppDetails Current Date'!S:S,"&lt;&gt;ACLN",
'YearB-AppDetails Current Date'!S:S,"&lt;&gt;ACPT",
'YearB-AppDetails Current Date'!S:S,"&lt;&gt;COND",
'YearB-AppDetails Current Date'!I:I,"SUMMER"))), "")</f>
        <v/>
      </c>
      <c r="K29" s="73" t="str">
        <f>IFERROR(1/(1/SUM(COUNTIFS(
'YearB-AppDetails Current Date'!A:A,D29,
'YearB-AppDetails Current Date'!F:F,E29,
'YearB-AppDetails Current Date'!E:E,--F29,
'YearB-AppDetails Current Date'!R:R,"&lt;&gt;"&amp;"",
'YearB-AppDetails Current Date'!I:I,"SUMMER"))), "")</f>
        <v/>
      </c>
      <c r="L29" s="74" t="str" cm="1">
        <f t="array" ref="L29">IFERROR(1/(1/SUM(COUNTIFS(
'YearB-AppDetails Current Date'!A:A,D29,
'YearB-AppDetails Current Date'!F:F,E29,
'YearB-AppDetails Current Date'!E:E,--F29,
'YearB-AppDetails Current Date'!T:T,{"APEX","DENY","NTSL"},
'YearB-AppDetails Current Date'!I:I,"SUMMER"))), "")</f>
        <v/>
      </c>
      <c r="M29" s="74" t="str" cm="1">
        <f t="array" ref="M29">IFERROR(1/(1/SUM(COUNTIFS(
'YearB-AppDetails Current Date'!A:A,D29,
'YearB-AppDetails Current Date'!F:F,E29,
'YearB-AppDetails Current Date'!E:E,--F29,
'YearB-AppDetails Current Date'!U:U,{"CCAN","DECL"},
'YearB-AppDetails Current Date'!I:I,"SUMMER"))), "")</f>
        <v/>
      </c>
      <c r="N29" s="74" t="str" cm="1">
        <f t="array" ref="N29">IFERROR(1/(1/SUM(COUNTIFS(
'YearB-AppDetails Current Date'!A:A,D29,
'YearB-AppDetails Current Date'!F:F,E29,
'YearB-AppDetails Current Date'!E:E,--F29,
'YearB-AppDetails Current Date'!V:V,{"APRO","NODE"},
'YearB-AppDetails Current Date'!I:I,"SUMMER"))), "")</f>
        <v/>
      </c>
      <c r="O29" s="74" t="str" cm="1">
        <f t="array" ref="O29">IFERROR(1/(1/SUM(COUNTIFS(
'YearB-AppDetails Current Date'!A:A,D29,
'YearB-AppDetails Current Date'!F:F,E29,
'YearB-AppDetails Current Date'!E:E,--F29,
'YearB-AppDetails Current Date'!T:T,{"CDMT","RQMT","WAIT"},
'YearB-AppDetails Current Date'!I:I,"SUMMER"))), "")</f>
        <v/>
      </c>
      <c r="P29" s="74" t="str">
        <f>IFERROR(1/(1/COUNTIFS(
'YearB-AppDetails Current Date'!A:A,D29,
'YearB-AppDetails Current Date'!F:F,E29,
'YearB-AppDetails Current Date'!E:E,--F29,
'YearB-AppDetails Current Date'!Y:Y,"ENRO",
'YearB-AppDetails Current Date'!I:I,"SUMMER")),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HC'!D:T,10,FALSE)),
N(VLOOKUP(D30&amp;F30,'Budgeted Projections Intl HC'!D:T,11,FALSE))
)
),"")</f>
        <v/>
      </c>
      <c r="I30" s="73" t="str">
        <f>IFERROR(1/(1/COUNTIFS(
'YearB-AppDetails Current Date'!A:A,D30,
'YearB-AppDetails Current Date'!F:F,E30,
'YearB-AppDetails Current Date'!E:E,--F30,
'YearB-AppDetails Current Date'!I:I,"SUMMER")), "")</f>
        <v/>
      </c>
      <c r="J30" s="74" t="str" cm="1">
        <f t="array" ref="J30">IFERROR(1/(1/SUM(COUNTIFS(
'YearB-AppDetails Current Date'!A:A,D30,
'YearB-AppDetails Current Date'!F:F,E30,
'YearB-AppDetails Current Date'!E:E,--F30,
'YearB-AppDetails Current Date'!O:O,{"ACLN","ACPT","COND"},
'YearB-AppDetails Current Date'!S:S,"&lt;&gt;ACLN",
'YearB-AppDetails Current Date'!S:S,"&lt;&gt;ACPT",
'YearB-AppDetails Current Date'!S:S,"&lt;&gt;COND",
'YearB-AppDetails Current Date'!I:I,"SUMMER"))), "")</f>
        <v/>
      </c>
      <c r="K30" s="73" t="str">
        <f>IFERROR(1/(1/SUM(COUNTIFS(
'YearB-AppDetails Current Date'!A:A,D30,
'YearB-AppDetails Current Date'!F:F,E30,
'YearB-AppDetails Current Date'!E:E,--F30,
'YearB-AppDetails Current Date'!R:R,"&lt;&gt;"&amp;"",
'YearB-AppDetails Current Date'!I:I,"SUMMER"))), "")</f>
        <v/>
      </c>
      <c r="L30" s="74" t="str" cm="1">
        <f t="array" ref="L30">IFERROR(1/(1/SUM(COUNTIFS(
'YearB-AppDetails Current Date'!A:A,D30,
'YearB-AppDetails Current Date'!F:F,E30,
'YearB-AppDetails Current Date'!E:E,--F30,
'YearB-AppDetails Current Date'!T:T,{"APEX","DENY","NTSL"},
'YearB-AppDetails Current Date'!I:I,"SUMMER"))), "")</f>
        <v/>
      </c>
      <c r="M30" s="74" t="str" cm="1">
        <f t="array" ref="M30">IFERROR(1/(1/SUM(COUNTIFS(
'YearB-AppDetails Current Date'!A:A,D30,
'YearB-AppDetails Current Date'!F:F,E30,
'YearB-AppDetails Current Date'!E:E,--F30,
'YearB-AppDetails Current Date'!U:U,{"CCAN","DECL"},
'YearB-AppDetails Current Date'!I:I,"SUMMER"))), "")</f>
        <v/>
      </c>
      <c r="N30" s="74" t="str" cm="1">
        <f t="array" ref="N30">IFERROR(1/(1/SUM(COUNTIFS(
'YearB-AppDetails Current Date'!A:A,D30,
'YearB-AppDetails Current Date'!F:F,E30,
'YearB-AppDetails Current Date'!E:E,--F30,
'YearB-AppDetails Current Date'!V:V,{"APRO","NODE"},
'YearB-AppDetails Current Date'!I:I,"SUMMER"))), "")</f>
        <v/>
      </c>
      <c r="O30" s="74" t="str" cm="1">
        <f t="array" ref="O30">IFERROR(1/(1/SUM(COUNTIFS(
'YearB-AppDetails Current Date'!A:A,D30,
'YearB-AppDetails Current Date'!F:F,E30,
'YearB-AppDetails Current Date'!E:E,--F30,
'YearB-AppDetails Current Date'!T:T,{"CDMT","RQMT","WAIT"},
'YearB-AppDetails Current Date'!I:I,"SUMMER"))), "")</f>
        <v/>
      </c>
      <c r="P30" s="74" t="str">
        <f>IFERROR(1/(1/COUNTIFS(
'YearB-AppDetails Current Date'!A:A,D30,
'YearB-AppDetails Current Date'!F:F,E30,
'YearB-AppDetails Current Date'!E:E,--F30,
'YearB-AppDetails Current Date'!Y:Y,"ENRO",
'YearB-AppDetails Current Date'!I:I,"SUMMER")),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HC'!D:T,10,FALSE)),
N(VLOOKUP(D31&amp;F31,'Budgeted Projections Dom HC'!D:T,11,FALSE))
)
),"")</f>
        <v/>
      </c>
      <c r="I31" s="73" t="str">
        <f>IFERROR(1/(1/COUNTIFS(
'YearB-AppDetails Current Date'!A:A,D31,
'YearB-AppDetails Current Date'!F:F,E31,
'YearB-AppDetails Current Date'!E:E,--F31,
'YearB-AppDetails Current Date'!I:I,"SUMMER")), "")</f>
        <v/>
      </c>
      <c r="J31" s="74" t="str" cm="1">
        <f t="array" ref="J31">IFERROR(1/(1/SUM(COUNTIFS(
'YearB-AppDetails Current Date'!A:A,D31,
'YearB-AppDetails Current Date'!F:F,E31,
'YearB-AppDetails Current Date'!E:E,--F31,
'YearB-AppDetails Current Date'!O:O,{"ACLN","ACPT","COND"},
'YearB-AppDetails Current Date'!S:S,"&lt;&gt;ACLN",
'YearB-AppDetails Current Date'!S:S,"&lt;&gt;ACPT",
'YearB-AppDetails Current Date'!S:S,"&lt;&gt;COND",
'YearB-AppDetails Current Date'!I:I,"SUMMER"))), "")</f>
        <v/>
      </c>
      <c r="K31" s="73" t="str">
        <f>IFERROR(1/(1/SUM(COUNTIFS(
'YearB-AppDetails Current Date'!A:A,D31,
'YearB-AppDetails Current Date'!F:F,E31,
'YearB-AppDetails Current Date'!E:E,--F31,
'YearB-AppDetails Current Date'!R:R,"&lt;&gt;"&amp;"",
'YearB-AppDetails Current Date'!I:I,"SUMMER"))), "")</f>
        <v/>
      </c>
      <c r="L31" s="74" t="str" cm="1">
        <f t="array" ref="L31">IFERROR(1/(1/SUM(COUNTIFS(
'YearB-AppDetails Current Date'!A:A,D31,
'YearB-AppDetails Current Date'!F:F,E31,
'YearB-AppDetails Current Date'!E:E,--F31,
'YearB-AppDetails Current Date'!T:T,{"APEX","DENY","NTSL"},
'YearB-AppDetails Current Date'!I:I,"SUMMER"))), "")</f>
        <v/>
      </c>
      <c r="M31" s="74" t="str" cm="1">
        <f t="array" ref="M31">IFERROR(1/(1/SUM(COUNTIFS(
'YearB-AppDetails Current Date'!A:A,D31,
'YearB-AppDetails Current Date'!F:F,E31,
'YearB-AppDetails Current Date'!E:E,--F31,
'YearB-AppDetails Current Date'!U:U,{"CCAN","DECL"},
'YearB-AppDetails Current Date'!I:I,"SUMMER"))), "")</f>
        <v/>
      </c>
      <c r="N31" s="74" t="str" cm="1">
        <f t="array" ref="N31">IFERROR(1/(1/SUM(COUNTIFS(
'YearB-AppDetails Current Date'!A:A,D31,
'YearB-AppDetails Current Date'!F:F,E31,
'YearB-AppDetails Current Date'!E:E,--F31,
'YearB-AppDetails Current Date'!V:V,{"APRO","NODE"},
'YearB-AppDetails Current Date'!I:I,"SUMMER"))), "")</f>
        <v/>
      </c>
      <c r="O31" s="74" t="str" cm="1">
        <f t="array" ref="O31">IFERROR(1/(1/SUM(COUNTIFS(
'YearB-AppDetails Current Date'!A:A,D31,
'YearB-AppDetails Current Date'!F:F,E31,
'YearB-AppDetails Current Date'!E:E,--F31,
'YearB-AppDetails Current Date'!T:T,{"CDMT","RQMT","WAIT"},
'YearB-AppDetails Current Date'!I:I,"SUMMER"))), "")</f>
        <v/>
      </c>
      <c r="P31" s="74" t="str">
        <f>IFERROR(1/(1/COUNTIFS(
'YearB-AppDetails Current Date'!A:A,D31,
'YearB-AppDetails Current Date'!F:F,E31,
'YearB-AppDetails Current Date'!E:E,--F31,
'YearB-AppDetails Current Date'!Y:Y,"ENRO",
'YearB-AppDetails Current Date'!I:I,"SUMMER")),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HC'!D:T,10,FALSE)),
N(VLOOKUP(D32&amp;F32,'Budgeted Projections Intl HC'!D:T,11,FALSE))
)
),"")</f>
        <v/>
      </c>
      <c r="I32" s="73" t="str">
        <f>IFERROR(1/(1/COUNTIFS(
'YearB-AppDetails Current Date'!A:A,D32,
'YearB-AppDetails Current Date'!F:F,E32,
'YearB-AppDetails Current Date'!E:E,--F32,
'YearB-AppDetails Current Date'!I:I,"SUMMER")), "")</f>
        <v/>
      </c>
      <c r="J32" s="74" t="str" cm="1">
        <f t="array" ref="J32">IFERROR(1/(1/SUM(COUNTIFS(
'YearB-AppDetails Current Date'!A:A,D32,
'YearB-AppDetails Current Date'!F:F,E32,
'YearB-AppDetails Current Date'!E:E,--F32,
'YearB-AppDetails Current Date'!O:O,{"ACLN","ACPT","COND"},
'YearB-AppDetails Current Date'!S:S,"&lt;&gt;ACLN",
'YearB-AppDetails Current Date'!S:S,"&lt;&gt;ACPT",
'YearB-AppDetails Current Date'!S:S,"&lt;&gt;COND",
'YearB-AppDetails Current Date'!I:I,"SUMMER"))), "")</f>
        <v/>
      </c>
      <c r="K32" s="73" t="str">
        <f>IFERROR(1/(1/SUM(COUNTIFS(
'YearB-AppDetails Current Date'!A:A,D32,
'YearB-AppDetails Current Date'!F:F,E32,
'YearB-AppDetails Current Date'!E:E,--F32,
'YearB-AppDetails Current Date'!R:R,"&lt;&gt;"&amp;"",
'YearB-AppDetails Current Date'!I:I,"SUMMER"))), "")</f>
        <v/>
      </c>
      <c r="L32" s="74" t="str" cm="1">
        <f t="array" ref="L32">IFERROR(1/(1/SUM(COUNTIFS(
'YearB-AppDetails Current Date'!A:A,D32,
'YearB-AppDetails Current Date'!F:F,E32,
'YearB-AppDetails Current Date'!E:E,--F32,
'YearB-AppDetails Current Date'!T:T,{"APEX","DENY","NTSL"},
'YearB-AppDetails Current Date'!I:I,"SUMMER"))), "")</f>
        <v/>
      </c>
      <c r="M32" s="74" t="str" cm="1">
        <f t="array" ref="M32">IFERROR(1/(1/SUM(COUNTIFS(
'YearB-AppDetails Current Date'!A:A,D32,
'YearB-AppDetails Current Date'!F:F,E32,
'YearB-AppDetails Current Date'!E:E,--F32,
'YearB-AppDetails Current Date'!U:U,{"CCAN","DECL"},
'YearB-AppDetails Current Date'!I:I,"SUMMER"))), "")</f>
        <v/>
      </c>
      <c r="N32" s="74" t="str" cm="1">
        <f t="array" ref="N32">IFERROR(1/(1/SUM(COUNTIFS(
'YearB-AppDetails Current Date'!A:A,D32,
'YearB-AppDetails Current Date'!F:F,E32,
'YearB-AppDetails Current Date'!E:E,--F32,
'YearB-AppDetails Current Date'!V:V,{"APRO","NODE"},
'YearB-AppDetails Current Date'!I:I,"SUMMER"))), "")</f>
        <v/>
      </c>
      <c r="O32" s="74" t="str" cm="1">
        <f t="array" ref="O32">IFERROR(1/(1/SUM(COUNTIFS(
'YearB-AppDetails Current Date'!A:A,D32,
'YearB-AppDetails Current Date'!F:F,E32,
'YearB-AppDetails Current Date'!E:E,--F32,
'YearB-AppDetails Current Date'!T:T,{"CDMT","RQMT","WAIT"},
'YearB-AppDetails Current Date'!I:I,"SUMMER"))), "")</f>
        <v/>
      </c>
      <c r="P32" s="74" t="str">
        <f>IFERROR(1/(1/COUNTIFS(
'YearB-AppDetails Current Date'!A:A,D32,
'YearB-AppDetails Current Date'!F:F,E32,
'YearB-AppDetails Current Date'!E:E,--F32,
'YearB-AppDetails Current Date'!Y:Y,"ENRO",
'YearB-AppDetails Current Date'!I:I,"SUMMER")),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HC'!D:T,10,FALSE)),
N(VLOOKUP(D35&amp;F35,'Budgeted Projections Dom HC'!D:T,11,FALSE))
)
),"")</f>
        <v/>
      </c>
      <c r="I35" s="73" t="str">
        <f>IFERROR(1/(1/COUNTIFS(
'YearB-AppDetails Current Date'!A:A,D35,
'YearB-AppDetails Current Date'!F:F,E35,
'YearB-AppDetails Current Date'!E:E,--F35,
'YearB-AppDetails Current Date'!I:I,"SUMMER")), "")</f>
        <v/>
      </c>
      <c r="J35" s="74" t="str" cm="1">
        <f t="array" ref="J35">IFERROR(1/(1/SUM(COUNTIFS(
'YearB-AppDetails Current Date'!A:A,D35,
'YearB-AppDetails Current Date'!F:F,E35,
'YearB-AppDetails Current Date'!E:E,--F35,
'YearB-AppDetails Current Date'!O:O,{"ACLN","ACPT","COND"},
'YearB-AppDetails Current Date'!S:S,"&lt;&gt;ACLN",
'YearB-AppDetails Current Date'!S:S,"&lt;&gt;ACPT",
'YearB-AppDetails Current Date'!S:S,"&lt;&gt;COND",
'YearB-AppDetails Current Date'!I:I,"SUMMER"))), "")</f>
        <v/>
      </c>
      <c r="K35" s="73" t="str">
        <f>IFERROR(1/(1/SUM(COUNTIFS(
'YearB-AppDetails Current Date'!A:A,D35,
'YearB-AppDetails Current Date'!F:F,E35,
'YearB-AppDetails Current Date'!E:E,--F35,
'YearB-AppDetails Current Date'!R:R,"&lt;&gt;"&amp;"",
'YearB-AppDetails Current Date'!I:I,"SUMMER"))), "")</f>
        <v/>
      </c>
      <c r="L35" s="74" t="str" cm="1">
        <f t="array" ref="L35">IFERROR(1/(1/SUM(COUNTIFS(
'YearB-AppDetails Current Date'!A:A,D35,
'YearB-AppDetails Current Date'!F:F,E35,
'YearB-AppDetails Current Date'!E:E,--F35,
'YearB-AppDetails Current Date'!T:T,{"APEX","DENY","NTSL"},
'YearB-AppDetails Current Date'!I:I,"SUMMER"))), "")</f>
        <v/>
      </c>
      <c r="M35" s="74" t="str" cm="1">
        <f t="array" ref="M35">IFERROR(1/(1/SUM(COUNTIFS(
'YearB-AppDetails Current Date'!A:A,D35,
'YearB-AppDetails Current Date'!F:F,E35,
'YearB-AppDetails Current Date'!E:E,--F35,
'YearB-AppDetails Current Date'!U:U,{"CCAN","DECL"},
'YearB-AppDetails Current Date'!I:I,"SUMMER"))), "")</f>
        <v/>
      </c>
      <c r="N35" s="74" t="str" cm="1">
        <f t="array" ref="N35">IFERROR(1/(1/SUM(COUNTIFS(
'YearB-AppDetails Current Date'!A:A,D35,
'YearB-AppDetails Current Date'!F:F,E35,
'YearB-AppDetails Current Date'!E:E,--F35,
'YearB-AppDetails Current Date'!V:V,{"APRO","NODE"},
'YearB-AppDetails Current Date'!I:I,"SUMMER"))), "")</f>
        <v/>
      </c>
      <c r="O35" s="74" t="str" cm="1">
        <f t="array" ref="O35">IFERROR(1/(1/SUM(COUNTIFS(
'YearB-AppDetails Current Date'!A:A,D35,
'YearB-AppDetails Current Date'!F:F,E35,
'YearB-AppDetails Current Date'!E:E,--F35,
'YearB-AppDetails Current Date'!T:T,{"CDMT","RQMT","WAIT"},
'YearB-AppDetails Current Date'!I:I,"SUMMER"))), "")</f>
        <v/>
      </c>
      <c r="P35" s="74" t="str">
        <f>IFERROR(1/(1/COUNTIFS(
'YearB-AppDetails Current Date'!A:A,D35,
'YearB-AppDetails Current Date'!F:F,E35,
'YearB-AppDetails Current Date'!E:E,--F35,
'YearB-AppDetails Current Date'!Y:Y,"ENRO",
'YearB-AppDetails Current Date'!I:I,"SUMMER")),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HC'!D:T,10,FALSE)),
N(VLOOKUP(D36&amp;F36,'Budgeted Projections Intl HC'!D:T,11,FALSE))
)
),"")</f>
        <v/>
      </c>
      <c r="I36" s="73" t="str">
        <f>IFERROR(1/(1/COUNTIFS(
'YearB-AppDetails Current Date'!A:A,D36,
'YearB-AppDetails Current Date'!F:F,E36,
'YearB-AppDetails Current Date'!E:E,--F36,
'YearB-AppDetails Current Date'!I:I,"SUMMER")), "")</f>
        <v/>
      </c>
      <c r="J36" s="74" t="str" cm="1">
        <f t="array" ref="J36">IFERROR(1/(1/SUM(COUNTIFS(
'YearB-AppDetails Current Date'!A:A,D36,
'YearB-AppDetails Current Date'!F:F,E36,
'YearB-AppDetails Current Date'!E:E,--F36,
'YearB-AppDetails Current Date'!O:O,{"ACLN","ACPT","COND"},
'YearB-AppDetails Current Date'!S:S,"&lt;&gt;ACLN",
'YearB-AppDetails Current Date'!S:S,"&lt;&gt;ACPT",
'YearB-AppDetails Current Date'!S:S,"&lt;&gt;COND",
'YearB-AppDetails Current Date'!I:I,"SUMMER"))), "")</f>
        <v/>
      </c>
      <c r="K36" s="73" t="str">
        <f>IFERROR(1/(1/SUM(COUNTIFS(
'YearB-AppDetails Current Date'!A:A,D36,
'YearB-AppDetails Current Date'!F:F,E36,
'YearB-AppDetails Current Date'!E:E,--F36,
'YearB-AppDetails Current Date'!R:R,"&lt;&gt;"&amp;"",
'YearB-AppDetails Current Date'!I:I,"SUMMER"))), "")</f>
        <v/>
      </c>
      <c r="L36" s="74" t="str" cm="1">
        <f t="array" ref="L36">IFERROR(1/(1/SUM(COUNTIFS(
'YearB-AppDetails Current Date'!A:A,D36,
'YearB-AppDetails Current Date'!F:F,E36,
'YearB-AppDetails Current Date'!E:E,--F36,
'YearB-AppDetails Current Date'!T:T,{"APEX","DENY","NTSL"},
'YearB-AppDetails Current Date'!I:I,"SUMMER"))), "")</f>
        <v/>
      </c>
      <c r="M36" s="74" t="str" cm="1">
        <f t="array" ref="M36">IFERROR(1/(1/SUM(COUNTIFS(
'YearB-AppDetails Current Date'!A:A,D36,
'YearB-AppDetails Current Date'!F:F,E36,
'YearB-AppDetails Current Date'!E:E,--F36,
'YearB-AppDetails Current Date'!U:U,{"CCAN","DECL"},
'YearB-AppDetails Current Date'!I:I,"SUMMER"))), "")</f>
        <v/>
      </c>
      <c r="N36" s="74" t="str" cm="1">
        <f t="array" ref="N36">IFERROR(1/(1/SUM(COUNTIFS(
'YearB-AppDetails Current Date'!A:A,D36,
'YearB-AppDetails Current Date'!F:F,E36,
'YearB-AppDetails Current Date'!E:E,--F36,
'YearB-AppDetails Current Date'!V:V,{"APRO","NODE"},
'YearB-AppDetails Current Date'!I:I,"SUMMER"))), "")</f>
        <v/>
      </c>
      <c r="O36" s="74" t="str" cm="1">
        <f t="array" ref="O36">IFERROR(1/(1/SUM(COUNTIFS(
'YearB-AppDetails Current Date'!A:A,D36,
'YearB-AppDetails Current Date'!F:F,E36,
'YearB-AppDetails Current Date'!E:E,--F36,
'YearB-AppDetails Current Date'!T:T,{"CDMT","RQMT","WAIT"},
'YearB-AppDetails Current Date'!I:I,"SUMMER"))), "")</f>
        <v/>
      </c>
      <c r="P36" s="74" t="str">
        <f>IFERROR(1/(1/COUNTIFS(
'YearB-AppDetails Current Date'!A:A,D36,
'YearB-AppDetails Current Date'!F:F,E36,
'YearB-AppDetails Current Date'!E:E,--F36,
'YearB-AppDetails Current Date'!Y:Y,"ENRO",
'YearB-AppDetails Current Date'!I:I,"SUMMER")),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HC'!D:T,10,FALSE)),
N(VLOOKUP(D37&amp;F37,'Budgeted Projections Dom HC'!D:T,11,FALSE))
)
),"")</f>
        <v/>
      </c>
      <c r="I37" s="73" t="str">
        <f>IFERROR(1/(1/COUNTIFS(
'YearB-AppDetails Current Date'!A:A,D37,
'YearB-AppDetails Current Date'!F:F,E37,
'YearB-AppDetails Current Date'!E:E,--F37,
'YearB-AppDetails Current Date'!I:I,"SUMMER")), "")</f>
        <v/>
      </c>
      <c r="J37" s="74" t="str" cm="1">
        <f t="array" ref="J37">IFERROR(1/(1/SUM(COUNTIFS(
'YearB-AppDetails Current Date'!A:A,D37,
'YearB-AppDetails Current Date'!F:F,E37,
'YearB-AppDetails Current Date'!E:E,--F37,
'YearB-AppDetails Current Date'!O:O,{"ACLN","ACPT","COND"},
'YearB-AppDetails Current Date'!S:S,"&lt;&gt;ACLN",
'YearB-AppDetails Current Date'!S:S,"&lt;&gt;ACPT",
'YearB-AppDetails Current Date'!S:S,"&lt;&gt;COND",
'YearB-AppDetails Current Date'!I:I,"SUMMER"))), "")</f>
        <v/>
      </c>
      <c r="K37" s="73" t="str">
        <f>IFERROR(1/(1/SUM(COUNTIFS(
'YearB-AppDetails Current Date'!A:A,D37,
'YearB-AppDetails Current Date'!F:F,E37,
'YearB-AppDetails Current Date'!E:E,--F37,
'YearB-AppDetails Current Date'!R:R,"&lt;&gt;"&amp;"",
'YearB-AppDetails Current Date'!I:I,"SUMMER"))), "")</f>
        <v/>
      </c>
      <c r="L37" s="74" t="str" cm="1">
        <f t="array" ref="L37">IFERROR(1/(1/SUM(COUNTIFS(
'YearB-AppDetails Current Date'!A:A,D37,
'YearB-AppDetails Current Date'!F:F,E37,
'YearB-AppDetails Current Date'!E:E,--F37,
'YearB-AppDetails Current Date'!T:T,{"APEX","DENY","NTSL"},
'YearB-AppDetails Current Date'!I:I,"SUMMER"))), "")</f>
        <v/>
      </c>
      <c r="M37" s="74" t="str" cm="1">
        <f t="array" ref="M37">IFERROR(1/(1/SUM(COUNTIFS(
'YearB-AppDetails Current Date'!A:A,D37,
'YearB-AppDetails Current Date'!F:F,E37,
'YearB-AppDetails Current Date'!E:E,--F37,
'YearB-AppDetails Current Date'!U:U,{"CCAN","DECL"},
'YearB-AppDetails Current Date'!I:I,"SUMMER"))), "")</f>
        <v/>
      </c>
      <c r="N37" s="74" t="str" cm="1">
        <f t="array" ref="N37">IFERROR(1/(1/SUM(COUNTIFS(
'YearB-AppDetails Current Date'!A:A,D37,
'YearB-AppDetails Current Date'!F:F,E37,
'YearB-AppDetails Current Date'!E:E,--F37,
'YearB-AppDetails Current Date'!V:V,{"APRO","NODE"},
'YearB-AppDetails Current Date'!I:I,"SUMMER"))), "")</f>
        <v/>
      </c>
      <c r="O37" s="74" t="str" cm="1">
        <f t="array" ref="O37">IFERROR(1/(1/SUM(COUNTIFS(
'YearB-AppDetails Current Date'!A:A,D37,
'YearB-AppDetails Current Date'!F:F,E37,
'YearB-AppDetails Current Date'!E:E,--F37,
'YearB-AppDetails Current Date'!T:T,{"CDMT","RQMT","WAIT"},
'YearB-AppDetails Current Date'!I:I,"SUMMER"))), "")</f>
        <v/>
      </c>
      <c r="P37" s="74" t="str">
        <f>IFERROR(1/(1/COUNTIFS(
'YearB-AppDetails Current Date'!A:A,D37,
'YearB-AppDetails Current Date'!F:F,E37,
'YearB-AppDetails Current Date'!E:E,--F37,
'YearB-AppDetails Current Date'!Y:Y,"ENRO",
'YearB-AppDetails Current Date'!I:I,"SUMMER")),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HC'!D:T,10,FALSE)),
N(VLOOKUP(D38&amp;F38,'Budgeted Projections Intl HC'!D:T,11,FALSE))
)
),"")</f>
        <v/>
      </c>
      <c r="I38" s="73" t="str">
        <f>IFERROR(1/(1/COUNTIFS(
'YearB-AppDetails Current Date'!A:A,D38,
'YearB-AppDetails Current Date'!F:F,E38,
'YearB-AppDetails Current Date'!E:E,--F38,
'YearB-AppDetails Current Date'!I:I,"SUMMER")), "")</f>
        <v/>
      </c>
      <c r="J38" s="74" t="str" cm="1">
        <f t="array" ref="J38">IFERROR(1/(1/SUM(COUNTIFS(
'YearB-AppDetails Current Date'!A:A,D38,
'YearB-AppDetails Current Date'!F:F,E38,
'YearB-AppDetails Current Date'!E:E,--F38,
'YearB-AppDetails Current Date'!O:O,{"ACLN","ACPT","COND"},
'YearB-AppDetails Current Date'!S:S,"&lt;&gt;ACLN",
'YearB-AppDetails Current Date'!S:S,"&lt;&gt;ACPT",
'YearB-AppDetails Current Date'!S:S,"&lt;&gt;COND",
'YearB-AppDetails Current Date'!I:I,"SUMMER"))), "")</f>
        <v/>
      </c>
      <c r="K38" s="73" t="str">
        <f>IFERROR(1/(1/SUM(COUNTIFS(
'YearB-AppDetails Current Date'!A:A,D38,
'YearB-AppDetails Current Date'!F:F,E38,
'YearB-AppDetails Current Date'!E:E,--F38,
'YearB-AppDetails Current Date'!R:R,"&lt;&gt;"&amp;"",
'YearB-AppDetails Current Date'!I:I,"SUMMER"))), "")</f>
        <v/>
      </c>
      <c r="L38" s="74" t="str" cm="1">
        <f t="array" ref="L38">IFERROR(1/(1/SUM(COUNTIFS(
'YearB-AppDetails Current Date'!A:A,D38,
'YearB-AppDetails Current Date'!F:F,E38,
'YearB-AppDetails Current Date'!E:E,--F38,
'YearB-AppDetails Current Date'!T:T,{"APEX","DENY","NTSL"},
'YearB-AppDetails Current Date'!I:I,"SUMMER"))), "")</f>
        <v/>
      </c>
      <c r="M38" s="74" t="str" cm="1">
        <f t="array" ref="M38">IFERROR(1/(1/SUM(COUNTIFS(
'YearB-AppDetails Current Date'!A:A,D38,
'YearB-AppDetails Current Date'!F:F,E38,
'YearB-AppDetails Current Date'!E:E,--F38,
'YearB-AppDetails Current Date'!U:U,{"CCAN","DECL"},
'YearB-AppDetails Current Date'!I:I,"SUMMER"))), "")</f>
        <v/>
      </c>
      <c r="N38" s="74" t="str" cm="1">
        <f t="array" ref="N38">IFERROR(1/(1/SUM(COUNTIFS(
'YearB-AppDetails Current Date'!A:A,D38,
'YearB-AppDetails Current Date'!F:F,E38,
'YearB-AppDetails Current Date'!E:E,--F38,
'YearB-AppDetails Current Date'!V:V,{"APRO","NODE"},
'YearB-AppDetails Current Date'!I:I,"SUMMER"))), "")</f>
        <v/>
      </c>
      <c r="O38" s="74" t="str" cm="1">
        <f t="array" ref="O38">IFERROR(1/(1/SUM(COUNTIFS(
'YearB-AppDetails Current Date'!A:A,D38,
'YearB-AppDetails Current Date'!F:F,E38,
'YearB-AppDetails Current Date'!E:E,--F38,
'YearB-AppDetails Current Date'!T:T,{"CDMT","RQMT","WAIT"},
'YearB-AppDetails Current Date'!I:I,"SUMMER"))), "")</f>
        <v/>
      </c>
      <c r="P38" s="74" t="str">
        <f>IFERROR(1/(1/COUNTIFS(
'YearB-AppDetails Current Date'!A:A,D38,
'YearB-AppDetails Current Date'!F:F,E38,
'YearB-AppDetails Current Date'!E:E,--F38,
'YearB-AppDetails Current Date'!Y:Y,"ENRO",
'YearB-AppDetails Current Date'!I:I,"SUMMER")),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HC'!D:T,10,FALSE)),
N(VLOOKUP(D39&amp;F39,'Budgeted Projections Dom HC'!D:T,11,FALSE))
)
),"")</f>
        <v/>
      </c>
      <c r="I39" s="73" t="str">
        <f>IFERROR(1/(1/COUNTIFS(
'YearB-AppDetails Current Date'!A:A,D39,
'YearB-AppDetails Current Date'!F:F,E39,
'YearB-AppDetails Current Date'!E:E,--F39,
'YearB-AppDetails Current Date'!I:I,"SUMMER")), "")</f>
        <v/>
      </c>
      <c r="J39" s="74" t="str" cm="1">
        <f t="array" ref="J39">IFERROR(1/(1/SUM(COUNTIFS(
'YearB-AppDetails Current Date'!A:A,D39,
'YearB-AppDetails Current Date'!F:F,E39,
'YearB-AppDetails Current Date'!E:E,--F39,
'YearB-AppDetails Current Date'!O:O,{"ACLN","ACPT","COND"},
'YearB-AppDetails Current Date'!S:S,"&lt;&gt;ACLN",
'YearB-AppDetails Current Date'!S:S,"&lt;&gt;ACPT",
'YearB-AppDetails Current Date'!S:S,"&lt;&gt;COND",
'YearB-AppDetails Current Date'!I:I,"SUMMER"))), "")</f>
        <v/>
      </c>
      <c r="K39" s="73" t="str">
        <f>IFERROR(1/(1/SUM(COUNTIFS(
'YearB-AppDetails Current Date'!A:A,D39,
'YearB-AppDetails Current Date'!F:F,E39,
'YearB-AppDetails Current Date'!E:E,--F39,
'YearB-AppDetails Current Date'!R:R,"&lt;&gt;"&amp;"",
'YearB-AppDetails Current Date'!I:I,"SUMMER"))), "")</f>
        <v/>
      </c>
      <c r="L39" s="74" t="str" cm="1">
        <f t="array" ref="L39">IFERROR(1/(1/SUM(COUNTIFS(
'YearB-AppDetails Current Date'!A:A,D39,
'YearB-AppDetails Current Date'!F:F,E39,
'YearB-AppDetails Current Date'!E:E,--F39,
'YearB-AppDetails Current Date'!T:T,{"APEX","DENY","NTSL"},
'YearB-AppDetails Current Date'!I:I,"SUMMER"))), "")</f>
        <v/>
      </c>
      <c r="M39" s="74" t="str" cm="1">
        <f t="array" ref="M39">IFERROR(1/(1/SUM(COUNTIFS(
'YearB-AppDetails Current Date'!A:A,D39,
'YearB-AppDetails Current Date'!F:F,E39,
'YearB-AppDetails Current Date'!E:E,--F39,
'YearB-AppDetails Current Date'!U:U,{"CCAN","DECL"},
'YearB-AppDetails Current Date'!I:I,"SUMMER"))), "")</f>
        <v/>
      </c>
      <c r="N39" s="74" t="str" cm="1">
        <f t="array" ref="N39">IFERROR(1/(1/SUM(COUNTIFS(
'YearB-AppDetails Current Date'!A:A,D39,
'YearB-AppDetails Current Date'!F:F,E39,
'YearB-AppDetails Current Date'!E:E,--F39,
'YearB-AppDetails Current Date'!V:V,{"APRO","NODE"},
'YearB-AppDetails Current Date'!I:I,"SUMMER"))), "")</f>
        <v/>
      </c>
      <c r="O39" s="74" t="str" cm="1">
        <f t="array" ref="O39">IFERROR(1/(1/SUM(COUNTIFS(
'YearB-AppDetails Current Date'!A:A,D39,
'YearB-AppDetails Current Date'!F:F,E39,
'YearB-AppDetails Current Date'!E:E,--F39,
'YearB-AppDetails Current Date'!T:T,{"CDMT","RQMT","WAIT"},
'YearB-AppDetails Current Date'!I:I,"SUMMER"))), "")</f>
        <v/>
      </c>
      <c r="P39" s="74" t="str">
        <f>IFERROR(1/(1/COUNTIFS(
'YearB-AppDetails Current Date'!A:A,D39,
'YearB-AppDetails Current Date'!F:F,E39,
'YearB-AppDetails Current Date'!E:E,--F39,
'YearB-AppDetails Current Date'!Y:Y,"ENRO",
'YearB-AppDetails Current Date'!I:I,"SUMMER")),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HC'!D:T,10,FALSE)),
N(VLOOKUP(D40&amp;F40,'Budgeted Projections Intl HC'!D:T,11,FALSE))
)
),"")</f>
        <v/>
      </c>
      <c r="I40" s="73" t="str">
        <f>IFERROR(1/(1/COUNTIFS(
'YearB-AppDetails Current Date'!A:A,D40,
'YearB-AppDetails Current Date'!F:F,E40,
'YearB-AppDetails Current Date'!E:E,--F40,
'YearB-AppDetails Current Date'!I:I,"SUMMER")), "")</f>
        <v/>
      </c>
      <c r="J40" s="74" t="str" cm="1">
        <f t="array" ref="J40">IFERROR(1/(1/SUM(COUNTIFS(
'YearB-AppDetails Current Date'!A:A,D40,
'YearB-AppDetails Current Date'!F:F,E40,
'YearB-AppDetails Current Date'!E:E,--F40,
'YearB-AppDetails Current Date'!O:O,{"ACLN","ACPT","COND"},
'YearB-AppDetails Current Date'!S:S,"&lt;&gt;ACLN",
'YearB-AppDetails Current Date'!S:S,"&lt;&gt;ACPT",
'YearB-AppDetails Current Date'!S:S,"&lt;&gt;COND",
'YearB-AppDetails Current Date'!I:I,"SUMMER"))), "")</f>
        <v/>
      </c>
      <c r="K40" s="73" t="str">
        <f>IFERROR(1/(1/SUM(COUNTIFS(
'YearB-AppDetails Current Date'!A:A,D40,
'YearB-AppDetails Current Date'!F:F,E40,
'YearB-AppDetails Current Date'!E:E,--F40,
'YearB-AppDetails Current Date'!R:R,"&lt;&gt;"&amp;"",
'YearB-AppDetails Current Date'!I:I,"SUMMER"))), "")</f>
        <v/>
      </c>
      <c r="L40" s="74" t="str" cm="1">
        <f t="array" ref="L40">IFERROR(1/(1/SUM(COUNTIFS(
'YearB-AppDetails Current Date'!A:A,D40,
'YearB-AppDetails Current Date'!F:F,E40,
'YearB-AppDetails Current Date'!E:E,--F40,
'YearB-AppDetails Current Date'!T:T,{"APEX","DENY","NTSL"},
'YearB-AppDetails Current Date'!I:I,"SUMMER"))), "")</f>
        <v/>
      </c>
      <c r="M40" s="74" t="str" cm="1">
        <f t="array" ref="M40">IFERROR(1/(1/SUM(COUNTIFS(
'YearB-AppDetails Current Date'!A:A,D40,
'YearB-AppDetails Current Date'!F:F,E40,
'YearB-AppDetails Current Date'!E:E,--F40,
'YearB-AppDetails Current Date'!U:U,{"CCAN","DECL"},
'YearB-AppDetails Current Date'!I:I,"SUMMER"))), "")</f>
        <v/>
      </c>
      <c r="N40" s="74" t="str" cm="1">
        <f t="array" ref="N40">IFERROR(1/(1/SUM(COUNTIFS(
'YearB-AppDetails Current Date'!A:A,D40,
'YearB-AppDetails Current Date'!F:F,E40,
'YearB-AppDetails Current Date'!E:E,--F40,
'YearB-AppDetails Current Date'!V:V,{"APRO","NODE"},
'YearB-AppDetails Current Date'!I:I,"SUMMER"))), "")</f>
        <v/>
      </c>
      <c r="O40" s="74" t="str" cm="1">
        <f t="array" ref="O40">IFERROR(1/(1/SUM(COUNTIFS(
'YearB-AppDetails Current Date'!A:A,D40,
'YearB-AppDetails Current Date'!F:F,E40,
'YearB-AppDetails Current Date'!E:E,--F40,
'YearB-AppDetails Current Date'!T:T,{"CDMT","RQMT","WAIT"},
'YearB-AppDetails Current Date'!I:I,"SUMMER"))), "")</f>
        <v/>
      </c>
      <c r="P40" s="74" t="str">
        <f>IFERROR(1/(1/COUNTIFS(
'YearB-AppDetails Current Date'!A:A,D40,
'YearB-AppDetails Current Date'!F:F,E40,
'YearB-AppDetails Current Date'!E:E,--F40,
'YearB-AppDetails Current Date'!Y:Y,"ENRO",
'YearB-AppDetails Current Date'!I:I,"SUMMER")),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HC'!D:T,10,FALSE)),
N(VLOOKUP(D41&amp;F41,'Budgeted Projections Dom HC'!D:T,11,FALSE))
)
),"")</f>
        <v/>
      </c>
      <c r="I41" s="73" t="str">
        <f>IFERROR(1/(1/COUNTIFS(
'YearB-AppDetails Current Date'!A:A,D41,
'YearB-AppDetails Current Date'!F:F,E41,
'YearB-AppDetails Current Date'!E:E,--F41,
'YearB-AppDetails Current Date'!I:I,"SUMMER")), "")</f>
        <v/>
      </c>
      <c r="J41" s="74" t="str" cm="1">
        <f t="array" ref="J41">IFERROR(1/(1/SUM(COUNTIFS(
'YearB-AppDetails Current Date'!A:A,D41,
'YearB-AppDetails Current Date'!F:F,E41,
'YearB-AppDetails Current Date'!E:E,--F41,
'YearB-AppDetails Current Date'!O:O,{"ACLN","ACPT","COND"},
'YearB-AppDetails Current Date'!S:S,"&lt;&gt;ACLN",
'YearB-AppDetails Current Date'!S:S,"&lt;&gt;ACPT",
'YearB-AppDetails Current Date'!S:S,"&lt;&gt;COND",
'YearB-AppDetails Current Date'!I:I,"SUMMER"))), "")</f>
        <v/>
      </c>
      <c r="K41" s="73" t="str">
        <f>IFERROR(1/(1/SUM(COUNTIFS(
'YearB-AppDetails Current Date'!A:A,D41,
'YearB-AppDetails Current Date'!F:F,E41,
'YearB-AppDetails Current Date'!E:E,--F41,
'YearB-AppDetails Current Date'!R:R,"&lt;&gt;"&amp;"",
'YearB-AppDetails Current Date'!I:I,"SUMMER"))), "")</f>
        <v/>
      </c>
      <c r="L41" s="74" t="str" cm="1">
        <f t="array" ref="L41">IFERROR(1/(1/SUM(COUNTIFS(
'YearB-AppDetails Current Date'!A:A,D41,
'YearB-AppDetails Current Date'!F:F,E41,
'YearB-AppDetails Current Date'!E:E,--F41,
'YearB-AppDetails Current Date'!T:T,{"APEX","DENY","NTSL"},
'YearB-AppDetails Current Date'!I:I,"SUMMER"))), "")</f>
        <v/>
      </c>
      <c r="M41" s="74" t="str" cm="1">
        <f t="array" ref="M41">IFERROR(1/(1/SUM(COUNTIFS(
'YearB-AppDetails Current Date'!A:A,D41,
'YearB-AppDetails Current Date'!F:F,E41,
'YearB-AppDetails Current Date'!E:E,--F41,
'YearB-AppDetails Current Date'!U:U,{"CCAN","DECL"},
'YearB-AppDetails Current Date'!I:I,"SUMMER"))), "")</f>
        <v/>
      </c>
      <c r="N41" s="74" t="str" cm="1">
        <f t="array" ref="N41">IFERROR(1/(1/SUM(COUNTIFS(
'YearB-AppDetails Current Date'!A:A,D41,
'YearB-AppDetails Current Date'!F:F,E41,
'YearB-AppDetails Current Date'!E:E,--F41,
'YearB-AppDetails Current Date'!V:V,{"APRO","NODE"},
'YearB-AppDetails Current Date'!I:I,"SUMMER"))), "")</f>
        <v/>
      </c>
      <c r="O41" s="74" t="str" cm="1">
        <f t="array" ref="O41">IFERROR(1/(1/SUM(COUNTIFS(
'YearB-AppDetails Current Date'!A:A,D41,
'YearB-AppDetails Current Date'!F:F,E41,
'YearB-AppDetails Current Date'!E:E,--F41,
'YearB-AppDetails Current Date'!T:T,{"CDMT","RQMT","WAIT"},
'YearB-AppDetails Current Date'!I:I,"SUMMER"))), "")</f>
        <v/>
      </c>
      <c r="P41" s="74" t="str">
        <f>IFERROR(1/(1/COUNTIFS(
'YearB-AppDetails Current Date'!A:A,D41,
'YearB-AppDetails Current Date'!F:F,E41,
'YearB-AppDetails Current Date'!E:E,--F41,
'YearB-AppDetails Current Date'!Y:Y,"ENRO",
'YearB-AppDetails Current Date'!I:I,"SUMMER")),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HC'!D:T,10,FALSE)),
N(VLOOKUP(D42&amp;F42,'Budgeted Projections Intl HC'!D:T,11,FALSE))
)
),"")</f>
        <v/>
      </c>
      <c r="I42" s="73" t="str">
        <f>IFERROR(1/(1/COUNTIFS(
'YearB-AppDetails Current Date'!A:A,D42,
'YearB-AppDetails Current Date'!F:F,E42,
'YearB-AppDetails Current Date'!E:E,--F42,
'YearB-AppDetails Current Date'!I:I,"SUMMER")), "")</f>
        <v/>
      </c>
      <c r="J42" s="74" t="str" cm="1">
        <f t="array" ref="J42">IFERROR(1/(1/SUM(COUNTIFS(
'YearB-AppDetails Current Date'!A:A,D42,
'YearB-AppDetails Current Date'!F:F,E42,
'YearB-AppDetails Current Date'!E:E,--F42,
'YearB-AppDetails Current Date'!O:O,{"ACLN","ACPT","COND"},
'YearB-AppDetails Current Date'!S:S,"&lt;&gt;ACLN",
'YearB-AppDetails Current Date'!S:S,"&lt;&gt;ACPT",
'YearB-AppDetails Current Date'!S:S,"&lt;&gt;COND",
'YearB-AppDetails Current Date'!I:I,"SUMMER"))), "")</f>
        <v/>
      </c>
      <c r="K42" s="73" t="str">
        <f>IFERROR(1/(1/SUM(COUNTIFS(
'YearB-AppDetails Current Date'!A:A,D42,
'YearB-AppDetails Current Date'!F:F,E42,
'YearB-AppDetails Current Date'!E:E,--F42,
'YearB-AppDetails Current Date'!R:R,"&lt;&gt;"&amp;"",
'YearB-AppDetails Current Date'!I:I,"SUMMER"))), "")</f>
        <v/>
      </c>
      <c r="L42" s="74" t="str" cm="1">
        <f t="array" ref="L42">IFERROR(1/(1/SUM(COUNTIFS(
'YearB-AppDetails Current Date'!A:A,D42,
'YearB-AppDetails Current Date'!F:F,E42,
'YearB-AppDetails Current Date'!E:E,--F42,
'YearB-AppDetails Current Date'!T:T,{"APEX","DENY","NTSL"},
'YearB-AppDetails Current Date'!I:I,"SUMMER"))), "")</f>
        <v/>
      </c>
      <c r="M42" s="74" t="str" cm="1">
        <f t="array" ref="M42">IFERROR(1/(1/SUM(COUNTIFS(
'YearB-AppDetails Current Date'!A:A,D42,
'YearB-AppDetails Current Date'!F:F,E42,
'YearB-AppDetails Current Date'!E:E,--F42,
'YearB-AppDetails Current Date'!U:U,{"CCAN","DECL"},
'YearB-AppDetails Current Date'!I:I,"SUMMER"))), "")</f>
        <v/>
      </c>
      <c r="N42" s="74" t="str" cm="1">
        <f t="array" ref="N42">IFERROR(1/(1/SUM(COUNTIFS(
'YearB-AppDetails Current Date'!A:A,D42,
'YearB-AppDetails Current Date'!F:F,E42,
'YearB-AppDetails Current Date'!E:E,--F42,
'YearB-AppDetails Current Date'!V:V,{"APRO","NODE"},
'YearB-AppDetails Current Date'!I:I,"SUMMER"))), "")</f>
        <v/>
      </c>
      <c r="O42" s="74" t="str" cm="1">
        <f t="array" ref="O42">IFERROR(1/(1/SUM(COUNTIFS(
'YearB-AppDetails Current Date'!A:A,D42,
'YearB-AppDetails Current Date'!F:F,E42,
'YearB-AppDetails Current Date'!E:E,--F42,
'YearB-AppDetails Current Date'!T:T,{"CDMT","RQMT","WAIT"},
'YearB-AppDetails Current Date'!I:I,"SUMMER"))), "")</f>
        <v/>
      </c>
      <c r="P42" s="74" t="str">
        <f>IFERROR(1/(1/COUNTIFS(
'YearB-AppDetails Current Date'!A:A,D42,
'YearB-AppDetails Current Date'!F:F,E42,
'YearB-AppDetails Current Date'!E:E,--F42,
'YearB-AppDetails Current Date'!Y:Y,"ENRO",
'YearB-AppDetails Current Date'!I:I,"SUMMER")),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HC'!D:T,10,FALSE)),
N(VLOOKUP(D43&amp;F43,'Budgeted Projections Dom HC'!D:T,11,FALSE))
)
),"")</f>
        <v/>
      </c>
      <c r="I43" s="73" t="str">
        <f>IFERROR(1/(1/COUNTIFS(
'YearB-AppDetails Current Date'!A:A,D43,
'YearB-AppDetails Current Date'!F:F,E43,
'YearB-AppDetails Current Date'!E:E,--F43,
'YearB-AppDetails Current Date'!I:I,"SUMMER")), "")</f>
        <v/>
      </c>
      <c r="J43" s="74" t="str" cm="1">
        <f t="array" ref="J43">IFERROR(1/(1/SUM(COUNTIFS(
'YearB-AppDetails Current Date'!A:A,D43,
'YearB-AppDetails Current Date'!F:F,E43,
'YearB-AppDetails Current Date'!E:E,--F43,
'YearB-AppDetails Current Date'!O:O,{"ACLN","ACPT","COND"},
'YearB-AppDetails Current Date'!S:S,"&lt;&gt;ACLN",
'YearB-AppDetails Current Date'!S:S,"&lt;&gt;ACPT",
'YearB-AppDetails Current Date'!S:S,"&lt;&gt;COND",
'YearB-AppDetails Current Date'!I:I,"SUMMER"))), "")</f>
        <v/>
      </c>
      <c r="K43" s="73" t="str">
        <f>IFERROR(1/(1/SUM(COUNTIFS(
'YearB-AppDetails Current Date'!A:A,D43,
'YearB-AppDetails Current Date'!F:F,E43,
'YearB-AppDetails Current Date'!E:E,--F43,
'YearB-AppDetails Current Date'!R:R,"&lt;&gt;"&amp;"",
'YearB-AppDetails Current Date'!I:I,"SUMMER"))), "")</f>
        <v/>
      </c>
      <c r="L43" s="74" t="str" cm="1">
        <f t="array" ref="L43">IFERROR(1/(1/SUM(COUNTIFS(
'YearB-AppDetails Current Date'!A:A,D43,
'YearB-AppDetails Current Date'!F:F,E43,
'YearB-AppDetails Current Date'!E:E,--F43,
'YearB-AppDetails Current Date'!T:T,{"APEX","DENY","NTSL"},
'YearB-AppDetails Current Date'!I:I,"SUMMER"))), "")</f>
        <v/>
      </c>
      <c r="M43" s="74" t="str" cm="1">
        <f t="array" ref="M43">IFERROR(1/(1/SUM(COUNTIFS(
'YearB-AppDetails Current Date'!A:A,D43,
'YearB-AppDetails Current Date'!F:F,E43,
'YearB-AppDetails Current Date'!E:E,--F43,
'YearB-AppDetails Current Date'!U:U,{"CCAN","DECL"},
'YearB-AppDetails Current Date'!I:I,"SUMMER"))), "")</f>
        <v/>
      </c>
      <c r="N43" s="74" t="str" cm="1">
        <f t="array" ref="N43">IFERROR(1/(1/SUM(COUNTIFS(
'YearB-AppDetails Current Date'!A:A,D43,
'YearB-AppDetails Current Date'!F:F,E43,
'YearB-AppDetails Current Date'!E:E,--F43,
'YearB-AppDetails Current Date'!V:V,{"APRO","NODE"},
'YearB-AppDetails Current Date'!I:I,"SUMMER"))), "")</f>
        <v/>
      </c>
      <c r="O43" s="74" t="str" cm="1">
        <f t="array" ref="O43">IFERROR(1/(1/SUM(COUNTIFS(
'YearB-AppDetails Current Date'!A:A,D43,
'YearB-AppDetails Current Date'!F:F,E43,
'YearB-AppDetails Current Date'!E:E,--F43,
'YearB-AppDetails Current Date'!T:T,{"CDMT","RQMT","WAIT"},
'YearB-AppDetails Current Date'!I:I,"SUMMER"))), "")</f>
        <v/>
      </c>
      <c r="P43" s="74" t="str">
        <f>IFERROR(1/(1/COUNTIFS(
'YearB-AppDetails Current Date'!A:A,D43,
'YearB-AppDetails Current Date'!F:F,E43,
'YearB-AppDetails Current Date'!E:E,--F43,
'YearB-AppDetails Current Date'!Y:Y,"ENRO",
'YearB-AppDetails Current Date'!I:I,"SUMMER")),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HC'!D:T,10,FALSE)),
N(VLOOKUP(D44&amp;F44,'Budgeted Projections Intl HC'!D:T,11,FALSE))
)
),"")</f>
        <v/>
      </c>
      <c r="I44" s="73" t="str">
        <f>IFERROR(1/(1/COUNTIFS(
'YearB-AppDetails Current Date'!A:A,D44,
'YearB-AppDetails Current Date'!F:F,E44,
'YearB-AppDetails Current Date'!E:E,--F44,
'YearB-AppDetails Current Date'!I:I,"SUMMER")), "")</f>
        <v/>
      </c>
      <c r="J44" s="74" t="str" cm="1">
        <f t="array" ref="J44">IFERROR(1/(1/SUM(COUNTIFS(
'YearB-AppDetails Current Date'!A:A,D44,
'YearB-AppDetails Current Date'!F:F,E44,
'YearB-AppDetails Current Date'!E:E,--F44,
'YearB-AppDetails Current Date'!O:O,{"ACLN","ACPT","COND"},
'YearB-AppDetails Current Date'!S:S,"&lt;&gt;ACLN",
'YearB-AppDetails Current Date'!S:S,"&lt;&gt;ACPT",
'YearB-AppDetails Current Date'!S:S,"&lt;&gt;COND",
'YearB-AppDetails Current Date'!I:I,"SUMMER"))), "")</f>
        <v/>
      </c>
      <c r="K44" s="73" t="str">
        <f>IFERROR(1/(1/SUM(COUNTIFS(
'YearB-AppDetails Current Date'!A:A,D44,
'YearB-AppDetails Current Date'!F:F,E44,
'YearB-AppDetails Current Date'!E:E,--F44,
'YearB-AppDetails Current Date'!R:R,"&lt;&gt;"&amp;"",
'YearB-AppDetails Current Date'!I:I,"SUMMER"))), "")</f>
        <v/>
      </c>
      <c r="L44" s="74" t="str" cm="1">
        <f t="array" ref="L44">IFERROR(1/(1/SUM(COUNTIFS(
'YearB-AppDetails Current Date'!A:A,D44,
'YearB-AppDetails Current Date'!F:F,E44,
'YearB-AppDetails Current Date'!E:E,--F44,
'YearB-AppDetails Current Date'!T:T,{"APEX","DENY","NTSL"},
'YearB-AppDetails Current Date'!I:I,"SUMMER"))), "")</f>
        <v/>
      </c>
      <c r="M44" s="74" t="str" cm="1">
        <f t="array" ref="M44">IFERROR(1/(1/SUM(COUNTIFS(
'YearB-AppDetails Current Date'!A:A,D44,
'YearB-AppDetails Current Date'!F:F,E44,
'YearB-AppDetails Current Date'!E:E,--F44,
'YearB-AppDetails Current Date'!U:U,{"CCAN","DECL"},
'YearB-AppDetails Current Date'!I:I,"SUMMER"))), "")</f>
        <v/>
      </c>
      <c r="N44" s="74" t="str" cm="1">
        <f t="array" ref="N44">IFERROR(1/(1/SUM(COUNTIFS(
'YearB-AppDetails Current Date'!A:A,D44,
'YearB-AppDetails Current Date'!F:F,E44,
'YearB-AppDetails Current Date'!E:E,--F44,
'YearB-AppDetails Current Date'!V:V,{"APRO","NODE"},
'YearB-AppDetails Current Date'!I:I,"SUMMER"))), "")</f>
        <v/>
      </c>
      <c r="O44" s="74" t="str" cm="1">
        <f t="array" ref="O44">IFERROR(1/(1/SUM(COUNTIFS(
'YearB-AppDetails Current Date'!A:A,D44,
'YearB-AppDetails Current Date'!F:F,E44,
'YearB-AppDetails Current Date'!E:E,--F44,
'YearB-AppDetails Current Date'!T:T,{"CDMT","RQMT","WAIT"},
'YearB-AppDetails Current Date'!I:I,"SUMMER"))), "")</f>
        <v/>
      </c>
      <c r="P44" s="74" t="str">
        <f>IFERROR(1/(1/COUNTIFS(
'YearB-AppDetails Current Date'!A:A,D44,
'YearB-AppDetails Current Date'!F:F,E44,
'YearB-AppDetails Current Date'!E:E,--F44,
'YearB-AppDetails Current Date'!Y:Y,"ENRO",
'YearB-AppDetails Current Date'!I:I,"SUMMER")),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HC'!D:T,10,FALSE)),
N(VLOOKUP(D45&amp;F45,'Budgeted Projections Dom HC'!D:T,11,FALSE))
)
),"")</f>
        <v/>
      </c>
      <c r="I45" s="73" t="str">
        <f>IFERROR(1/(1/COUNTIFS(
'YearB-AppDetails Current Date'!A:A,D45,
'YearB-AppDetails Current Date'!F:F,E45,
'YearB-AppDetails Current Date'!E:E,--F45,
'YearB-AppDetails Current Date'!I:I,"SUMMER")), "")</f>
        <v/>
      </c>
      <c r="J45" s="74" t="str" cm="1">
        <f t="array" ref="J45">IFERROR(1/(1/SUM(COUNTIFS(
'YearB-AppDetails Current Date'!A:A,D45,
'YearB-AppDetails Current Date'!F:F,E45,
'YearB-AppDetails Current Date'!E:E,--F45,
'YearB-AppDetails Current Date'!O:O,{"ACLN","ACPT","COND"},
'YearB-AppDetails Current Date'!S:S,"&lt;&gt;ACLN",
'YearB-AppDetails Current Date'!S:S,"&lt;&gt;ACPT",
'YearB-AppDetails Current Date'!S:S,"&lt;&gt;COND",
'YearB-AppDetails Current Date'!I:I,"SUMMER"))), "")</f>
        <v/>
      </c>
      <c r="K45" s="73" t="str">
        <f>IFERROR(1/(1/SUM(COUNTIFS(
'YearB-AppDetails Current Date'!A:A,D45,
'YearB-AppDetails Current Date'!F:F,E45,
'YearB-AppDetails Current Date'!E:E,--F45,
'YearB-AppDetails Current Date'!R:R,"&lt;&gt;"&amp;"",
'YearB-AppDetails Current Date'!I:I,"SUMMER"))), "")</f>
        <v/>
      </c>
      <c r="L45" s="74" t="str" cm="1">
        <f t="array" ref="L45">IFERROR(1/(1/SUM(COUNTIFS(
'YearB-AppDetails Current Date'!A:A,D45,
'YearB-AppDetails Current Date'!F:F,E45,
'YearB-AppDetails Current Date'!E:E,--F45,
'YearB-AppDetails Current Date'!T:T,{"APEX","DENY","NTSL"},
'YearB-AppDetails Current Date'!I:I,"SUMMER"))), "")</f>
        <v/>
      </c>
      <c r="M45" s="74" t="str" cm="1">
        <f t="array" ref="M45">IFERROR(1/(1/SUM(COUNTIFS(
'YearB-AppDetails Current Date'!A:A,D45,
'YearB-AppDetails Current Date'!F:F,E45,
'YearB-AppDetails Current Date'!E:E,--F45,
'YearB-AppDetails Current Date'!U:U,{"CCAN","DECL"},
'YearB-AppDetails Current Date'!I:I,"SUMMER"))), "")</f>
        <v/>
      </c>
      <c r="N45" s="74" t="str" cm="1">
        <f t="array" ref="N45">IFERROR(1/(1/SUM(COUNTIFS(
'YearB-AppDetails Current Date'!A:A,D45,
'YearB-AppDetails Current Date'!F:F,E45,
'YearB-AppDetails Current Date'!E:E,--F45,
'YearB-AppDetails Current Date'!V:V,{"APRO","NODE"},
'YearB-AppDetails Current Date'!I:I,"SUMMER"))), "")</f>
        <v/>
      </c>
      <c r="O45" s="74" t="str" cm="1">
        <f t="array" ref="O45">IFERROR(1/(1/SUM(COUNTIFS(
'YearB-AppDetails Current Date'!A:A,D45,
'YearB-AppDetails Current Date'!F:F,E45,
'YearB-AppDetails Current Date'!E:E,--F45,
'YearB-AppDetails Current Date'!T:T,{"CDMT","RQMT","WAIT"},
'YearB-AppDetails Current Date'!I:I,"SUMMER"))), "")</f>
        <v/>
      </c>
      <c r="P45" s="74" t="str">
        <f>IFERROR(1/(1/COUNTIFS(
'YearB-AppDetails Current Date'!A:A,D45,
'YearB-AppDetails Current Date'!F:F,E45,
'YearB-AppDetails Current Date'!E:E,--F45,
'YearB-AppDetails Current Date'!Y:Y,"ENRO",
'YearB-AppDetails Current Date'!I:I,"SUMMER")),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HC'!D:T,10,FALSE)),
N(VLOOKUP(D46&amp;F46,'Budgeted Projections Intl HC'!D:T,11,FALSE))
)
),"")</f>
        <v/>
      </c>
      <c r="I46" s="73" t="str">
        <f>IFERROR(1/(1/COUNTIFS(
'YearB-AppDetails Current Date'!A:A,D46,
'YearB-AppDetails Current Date'!F:F,E46,
'YearB-AppDetails Current Date'!E:E,--F46,
'YearB-AppDetails Current Date'!I:I,"SUMMER")), "")</f>
        <v/>
      </c>
      <c r="J46" s="74" t="str" cm="1">
        <f t="array" ref="J46">IFERROR(1/(1/SUM(COUNTIFS(
'YearB-AppDetails Current Date'!A:A,D46,
'YearB-AppDetails Current Date'!F:F,E46,
'YearB-AppDetails Current Date'!E:E,--F46,
'YearB-AppDetails Current Date'!O:O,{"ACLN","ACPT","COND"},
'YearB-AppDetails Current Date'!S:S,"&lt;&gt;ACLN",
'YearB-AppDetails Current Date'!S:S,"&lt;&gt;ACPT",
'YearB-AppDetails Current Date'!S:S,"&lt;&gt;COND",
'YearB-AppDetails Current Date'!I:I,"SUMMER"))), "")</f>
        <v/>
      </c>
      <c r="K46" s="73" t="str">
        <f>IFERROR(1/(1/SUM(COUNTIFS(
'YearB-AppDetails Current Date'!A:A,D46,
'YearB-AppDetails Current Date'!F:F,E46,
'YearB-AppDetails Current Date'!E:E,--F46,
'YearB-AppDetails Current Date'!R:R,"&lt;&gt;"&amp;"",
'YearB-AppDetails Current Date'!I:I,"SUMMER"))), "")</f>
        <v/>
      </c>
      <c r="L46" s="74" t="str" cm="1">
        <f t="array" ref="L46">IFERROR(1/(1/SUM(COUNTIFS(
'YearB-AppDetails Current Date'!A:A,D46,
'YearB-AppDetails Current Date'!F:F,E46,
'YearB-AppDetails Current Date'!E:E,--F46,
'YearB-AppDetails Current Date'!T:T,{"APEX","DENY","NTSL"},
'YearB-AppDetails Current Date'!I:I,"SUMMER"))), "")</f>
        <v/>
      </c>
      <c r="M46" s="74" t="str" cm="1">
        <f t="array" ref="M46">IFERROR(1/(1/SUM(COUNTIFS(
'YearB-AppDetails Current Date'!A:A,D46,
'YearB-AppDetails Current Date'!F:F,E46,
'YearB-AppDetails Current Date'!E:E,--F46,
'YearB-AppDetails Current Date'!U:U,{"CCAN","DECL"},
'YearB-AppDetails Current Date'!I:I,"SUMMER"))), "")</f>
        <v/>
      </c>
      <c r="N46" s="74" t="str" cm="1">
        <f t="array" ref="N46">IFERROR(1/(1/SUM(COUNTIFS(
'YearB-AppDetails Current Date'!A:A,D46,
'YearB-AppDetails Current Date'!F:F,E46,
'YearB-AppDetails Current Date'!E:E,--F46,
'YearB-AppDetails Current Date'!V:V,{"APRO","NODE"},
'YearB-AppDetails Current Date'!I:I,"SUMMER"))), "")</f>
        <v/>
      </c>
      <c r="O46" s="74" t="str" cm="1">
        <f t="array" ref="O46">IFERROR(1/(1/SUM(COUNTIFS(
'YearB-AppDetails Current Date'!A:A,D46,
'YearB-AppDetails Current Date'!F:F,E46,
'YearB-AppDetails Current Date'!E:E,--F46,
'YearB-AppDetails Current Date'!T:T,{"CDMT","RQMT","WAIT"},
'YearB-AppDetails Current Date'!I:I,"SUMMER"))), "")</f>
        <v/>
      </c>
      <c r="P46" s="74" t="str">
        <f>IFERROR(1/(1/COUNTIFS(
'YearB-AppDetails Current Date'!A:A,D46,
'YearB-AppDetails Current Date'!F:F,E46,
'YearB-AppDetails Current Date'!E:E,--F46,
'YearB-AppDetails Current Date'!Y:Y,"ENRO",
'YearB-AppDetails Current Date'!I:I,"SUMMER")),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HC'!D:T,10,FALSE)),
N(VLOOKUP(D47&amp;F47,'Budgeted Projections Dom HC'!D:T,11,FALSE))
)
),"")</f>
        <v/>
      </c>
      <c r="I47" s="73" t="str">
        <f>IFERROR(1/(1/COUNTIFS(
'YearB-AppDetails Current Date'!A:A,D47,
'YearB-AppDetails Current Date'!F:F,E47,
'YearB-AppDetails Current Date'!E:E,--F47,
'YearB-AppDetails Current Date'!I:I,"SUMMER")), "")</f>
        <v/>
      </c>
      <c r="J47" s="74" t="str" cm="1">
        <f t="array" ref="J47">IFERROR(1/(1/SUM(COUNTIFS(
'YearB-AppDetails Current Date'!A:A,D47,
'YearB-AppDetails Current Date'!F:F,E47,
'YearB-AppDetails Current Date'!E:E,--F47,
'YearB-AppDetails Current Date'!O:O,{"ACLN","ACPT","COND"},
'YearB-AppDetails Current Date'!S:S,"&lt;&gt;ACLN",
'YearB-AppDetails Current Date'!S:S,"&lt;&gt;ACPT",
'YearB-AppDetails Current Date'!S:S,"&lt;&gt;COND",
'YearB-AppDetails Current Date'!I:I,"SUMMER"))), "")</f>
        <v/>
      </c>
      <c r="K47" s="73" t="str">
        <f>IFERROR(1/(1/SUM(COUNTIFS(
'YearB-AppDetails Current Date'!A:A,D47,
'YearB-AppDetails Current Date'!F:F,E47,
'YearB-AppDetails Current Date'!E:E,--F47,
'YearB-AppDetails Current Date'!R:R,"&lt;&gt;"&amp;"",
'YearB-AppDetails Current Date'!I:I,"SUMMER"))), "")</f>
        <v/>
      </c>
      <c r="L47" s="74" t="str" cm="1">
        <f t="array" ref="L47">IFERROR(1/(1/SUM(COUNTIFS(
'YearB-AppDetails Current Date'!A:A,D47,
'YearB-AppDetails Current Date'!F:F,E47,
'YearB-AppDetails Current Date'!E:E,--F47,
'YearB-AppDetails Current Date'!T:T,{"APEX","DENY","NTSL"},
'YearB-AppDetails Current Date'!I:I,"SUMMER"))), "")</f>
        <v/>
      </c>
      <c r="M47" s="74" t="str" cm="1">
        <f t="array" ref="M47">IFERROR(1/(1/SUM(COUNTIFS(
'YearB-AppDetails Current Date'!A:A,D47,
'YearB-AppDetails Current Date'!F:F,E47,
'YearB-AppDetails Current Date'!E:E,--F47,
'YearB-AppDetails Current Date'!U:U,{"CCAN","DECL"},
'YearB-AppDetails Current Date'!I:I,"SUMMER"))), "")</f>
        <v/>
      </c>
      <c r="N47" s="74" t="str" cm="1">
        <f t="array" ref="N47">IFERROR(1/(1/SUM(COUNTIFS(
'YearB-AppDetails Current Date'!A:A,D47,
'YearB-AppDetails Current Date'!F:F,E47,
'YearB-AppDetails Current Date'!E:E,--F47,
'YearB-AppDetails Current Date'!V:V,{"APRO","NODE"},
'YearB-AppDetails Current Date'!I:I,"SUMMER"))), "")</f>
        <v/>
      </c>
      <c r="O47" s="74" t="str" cm="1">
        <f t="array" ref="O47">IFERROR(1/(1/SUM(COUNTIFS(
'YearB-AppDetails Current Date'!A:A,D47,
'YearB-AppDetails Current Date'!F:F,E47,
'YearB-AppDetails Current Date'!E:E,--F47,
'YearB-AppDetails Current Date'!T:T,{"CDMT","RQMT","WAIT"},
'YearB-AppDetails Current Date'!I:I,"SUMMER"))), "")</f>
        <v/>
      </c>
      <c r="P47" s="74" t="str">
        <f>IFERROR(1/(1/COUNTIFS(
'YearB-AppDetails Current Date'!A:A,D47,
'YearB-AppDetails Current Date'!F:F,E47,
'YearB-AppDetails Current Date'!E:E,--F47,
'YearB-AppDetails Current Date'!Y:Y,"ENRO",
'YearB-AppDetails Current Date'!I:I,"SUMMER")),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HC'!D:T,10,FALSE)),
N(VLOOKUP(D48&amp;F48,'Budgeted Projections Intl HC'!D:T,11,FALSE))
)
),"")</f>
        <v/>
      </c>
      <c r="I48" s="73" t="str">
        <f>IFERROR(1/(1/COUNTIFS(
'YearB-AppDetails Current Date'!A:A,D48,
'YearB-AppDetails Current Date'!F:F,E48,
'YearB-AppDetails Current Date'!E:E,--F48,
'YearB-AppDetails Current Date'!I:I,"SUMMER")), "")</f>
        <v/>
      </c>
      <c r="J48" s="74" t="str" cm="1">
        <f t="array" ref="J48">IFERROR(1/(1/SUM(COUNTIFS(
'YearB-AppDetails Current Date'!A:A,D48,
'YearB-AppDetails Current Date'!F:F,E48,
'YearB-AppDetails Current Date'!E:E,--F48,
'YearB-AppDetails Current Date'!O:O,{"ACLN","ACPT","COND"},
'YearB-AppDetails Current Date'!S:S,"&lt;&gt;ACLN",
'YearB-AppDetails Current Date'!S:S,"&lt;&gt;ACPT",
'YearB-AppDetails Current Date'!S:S,"&lt;&gt;COND",
'YearB-AppDetails Current Date'!I:I,"SUMMER"))), "")</f>
        <v/>
      </c>
      <c r="K48" s="73" t="str">
        <f>IFERROR(1/(1/SUM(COUNTIFS(
'YearB-AppDetails Current Date'!A:A,D48,
'YearB-AppDetails Current Date'!F:F,E48,
'YearB-AppDetails Current Date'!E:E,--F48,
'YearB-AppDetails Current Date'!R:R,"&lt;&gt;"&amp;"",
'YearB-AppDetails Current Date'!I:I,"SUMMER"))), "")</f>
        <v/>
      </c>
      <c r="L48" s="74" t="str" cm="1">
        <f t="array" ref="L48">IFERROR(1/(1/SUM(COUNTIFS(
'YearB-AppDetails Current Date'!A:A,D48,
'YearB-AppDetails Current Date'!F:F,E48,
'YearB-AppDetails Current Date'!E:E,--F48,
'YearB-AppDetails Current Date'!T:T,{"APEX","DENY","NTSL"},
'YearB-AppDetails Current Date'!I:I,"SUMMER"))), "")</f>
        <v/>
      </c>
      <c r="M48" s="74" t="str" cm="1">
        <f t="array" ref="M48">IFERROR(1/(1/SUM(COUNTIFS(
'YearB-AppDetails Current Date'!A:A,D48,
'YearB-AppDetails Current Date'!F:F,E48,
'YearB-AppDetails Current Date'!E:E,--F48,
'YearB-AppDetails Current Date'!U:U,{"CCAN","DECL"},
'YearB-AppDetails Current Date'!I:I,"SUMMER"))), "")</f>
        <v/>
      </c>
      <c r="N48" s="74" t="str" cm="1">
        <f t="array" ref="N48">IFERROR(1/(1/SUM(COUNTIFS(
'YearB-AppDetails Current Date'!A:A,D48,
'YearB-AppDetails Current Date'!F:F,E48,
'YearB-AppDetails Current Date'!E:E,--F48,
'YearB-AppDetails Current Date'!V:V,{"APRO","NODE"},
'YearB-AppDetails Current Date'!I:I,"SUMMER"))), "")</f>
        <v/>
      </c>
      <c r="O48" s="74" t="str" cm="1">
        <f t="array" ref="O48">IFERROR(1/(1/SUM(COUNTIFS(
'YearB-AppDetails Current Date'!A:A,D48,
'YearB-AppDetails Current Date'!F:F,E48,
'YearB-AppDetails Current Date'!E:E,--F48,
'YearB-AppDetails Current Date'!T:T,{"CDMT","RQMT","WAIT"},
'YearB-AppDetails Current Date'!I:I,"SUMMER"))), "")</f>
        <v/>
      </c>
      <c r="P48" s="74" t="str">
        <f>IFERROR(1/(1/COUNTIFS(
'YearB-AppDetails Current Date'!A:A,D48,
'YearB-AppDetails Current Date'!F:F,E48,
'YearB-AppDetails Current Date'!E:E,--F48,
'YearB-AppDetails Current Date'!Y:Y,"ENRO",
'YearB-AppDetails Current Date'!I:I,"SUMMER")),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HC'!D:T,10,FALSE)),
N(VLOOKUP(D50&amp;F50,'Budgeted Projections Dom HC'!D:T,11,FALSE))
)
),"")</f>
        <v/>
      </c>
      <c r="I50" s="73" t="str">
        <f>IFERROR(1/(1/COUNTIFS(
'YearB-AppDetails Current Date'!A:A,D50,
'YearB-AppDetails Current Date'!F:F,E50,
'YearB-AppDetails Current Date'!E:E,--F50,
'YearB-AppDetails Current Date'!I:I,"SUMMER")), "")</f>
        <v/>
      </c>
      <c r="J50" s="74" t="str" cm="1">
        <f t="array" ref="J50">IFERROR(1/(1/SUM(COUNTIFS(
'YearB-AppDetails Current Date'!A:A,D50,
'YearB-AppDetails Current Date'!F:F,E50,
'YearB-AppDetails Current Date'!E:E,--F50,
'YearB-AppDetails Current Date'!O:O,{"ACLN","ACPT","COND"},
'YearB-AppDetails Current Date'!S:S,"&lt;&gt;ACLN",
'YearB-AppDetails Current Date'!S:S,"&lt;&gt;ACPT",
'YearB-AppDetails Current Date'!S:S,"&lt;&gt;COND",
'YearB-AppDetails Current Date'!I:I,"SUMMER"))), "")</f>
        <v/>
      </c>
      <c r="K50" s="73" t="str">
        <f>IFERROR(1/(1/SUM(COUNTIFS(
'YearB-AppDetails Current Date'!A:A,D50,
'YearB-AppDetails Current Date'!F:F,E50,
'YearB-AppDetails Current Date'!E:E,--F50,
'YearB-AppDetails Current Date'!R:R,"&lt;&gt;"&amp;"",
'YearB-AppDetails Current Date'!I:I,"SUMMER"))), "")</f>
        <v/>
      </c>
      <c r="L50" s="74" t="str" cm="1">
        <f t="array" ref="L50">IFERROR(1/(1/SUM(COUNTIFS(
'YearB-AppDetails Current Date'!A:A,D50,
'YearB-AppDetails Current Date'!F:F,E50,
'YearB-AppDetails Current Date'!E:E,--F50,
'YearB-AppDetails Current Date'!T:T,{"APEX","DENY","NTSL"},
'YearB-AppDetails Current Date'!I:I,"SUMMER"))), "")</f>
        <v/>
      </c>
      <c r="M50" s="74" t="str" cm="1">
        <f t="array" ref="M50">IFERROR(1/(1/SUM(COUNTIFS(
'YearB-AppDetails Current Date'!A:A,D50,
'YearB-AppDetails Current Date'!F:F,E50,
'YearB-AppDetails Current Date'!E:E,--F50,
'YearB-AppDetails Current Date'!U:U,{"CCAN","DECL"},
'YearB-AppDetails Current Date'!I:I,"SUMMER"))), "")</f>
        <v/>
      </c>
      <c r="N50" s="74" t="str" cm="1">
        <f t="array" ref="N50">IFERROR(1/(1/SUM(COUNTIFS(
'YearB-AppDetails Current Date'!A:A,D50,
'YearB-AppDetails Current Date'!F:F,E50,
'YearB-AppDetails Current Date'!E:E,--F50,
'YearB-AppDetails Current Date'!V:V,{"APRO","NODE"},
'YearB-AppDetails Current Date'!I:I,"SUMMER"))), "")</f>
        <v/>
      </c>
      <c r="O50" s="74" t="str" cm="1">
        <f t="array" ref="O50">IFERROR(1/(1/SUM(COUNTIFS(
'YearB-AppDetails Current Date'!A:A,D50,
'YearB-AppDetails Current Date'!F:F,E50,
'YearB-AppDetails Current Date'!E:E,--F50,
'YearB-AppDetails Current Date'!T:T,{"CDMT","RQMT","WAIT"},
'YearB-AppDetails Current Date'!I:I,"SUMMER"))), "")</f>
        <v/>
      </c>
      <c r="P50" s="74" t="str">
        <f>IFERROR(1/(1/COUNTIFS(
'YearB-AppDetails Current Date'!A:A,D50,
'YearB-AppDetails Current Date'!F:F,E50,
'YearB-AppDetails Current Date'!E:E,--F50,
'YearB-AppDetails Current Date'!Y:Y,"ENRO",
'YearB-AppDetails Current Date'!I:I,"SUMMER")),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HC'!D:T,10,FALSE)),
N(VLOOKUP(D51&amp;F51,'Budgeted Projections Intl HC'!D:T,11,FALSE))
)
),"")</f>
        <v/>
      </c>
      <c r="I51" s="73" t="str">
        <f>IFERROR(1/(1/COUNTIFS(
'YearB-AppDetails Current Date'!A:A,D51,
'YearB-AppDetails Current Date'!F:F,E51,
'YearB-AppDetails Current Date'!E:E,--F51,
'YearB-AppDetails Current Date'!I:I,"SUMMER")), "")</f>
        <v/>
      </c>
      <c r="J51" s="74" t="str" cm="1">
        <f t="array" ref="J51">IFERROR(1/(1/SUM(COUNTIFS(
'YearB-AppDetails Current Date'!A:A,D51,
'YearB-AppDetails Current Date'!F:F,E51,
'YearB-AppDetails Current Date'!E:E,--F51,
'YearB-AppDetails Current Date'!O:O,{"ACLN","ACPT","COND"},
'YearB-AppDetails Current Date'!S:S,"&lt;&gt;ACLN",
'YearB-AppDetails Current Date'!S:S,"&lt;&gt;ACPT",
'YearB-AppDetails Current Date'!S:S,"&lt;&gt;COND",
'YearB-AppDetails Current Date'!I:I,"SUMMER"))), "")</f>
        <v/>
      </c>
      <c r="K51" s="73" t="str">
        <f>IFERROR(1/(1/SUM(COUNTIFS(
'YearB-AppDetails Current Date'!A:A,D51,
'YearB-AppDetails Current Date'!F:F,E51,
'YearB-AppDetails Current Date'!E:E,--F51,
'YearB-AppDetails Current Date'!R:R,"&lt;&gt;"&amp;"",
'YearB-AppDetails Current Date'!I:I,"SUMMER"))), "")</f>
        <v/>
      </c>
      <c r="L51" s="74" t="str" cm="1">
        <f t="array" ref="L51">IFERROR(1/(1/SUM(COUNTIFS(
'YearB-AppDetails Current Date'!A:A,D51,
'YearB-AppDetails Current Date'!F:F,E51,
'YearB-AppDetails Current Date'!E:E,--F51,
'YearB-AppDetails Current Date'!T:T,{"APEX","DENY","NTSL"},
'YearB-AppDetails Current Date'!I:I,"SUMMER"))), "")</f>
        <v/>
      </c>
      <c r="M51" s="74" t="str" cm="1">
        <f t="array" ref="M51">IFERROR(1/(1/SUM(COUNTIFS(
'YearB-AppDetails Current Date'!A:A,D51,
'YearB-AppDetails Current Date'!F:F,E51,
'YearB-AppDetails Current Date'!E:E,--F51,
'YearB-AppDetails Current Date'!U:U,{"CCAN","DECL"},
'YearB-AppDetails Current Date'!I:I,"SUMMER"))), "")</f>
        <v/>
      </c>
      <c r="N51" s="74" t="str" cm="1">
        <f t="array" ref="N51">IFERROR(1/(1/SUM(COUNTIFS(
'YearB-AppDetails Current Date'!A:A,D51,
'YearB-AppDetails Current Date'!F:F,E51,
'YearB-AppDetails Current Date'!E:E,--F51,
'YearB-AppDetails Current Date'!V:V,{"APRO","NODE"},
'YearB-AppDetails Current Date'!I:I,"SUMMER"))), "")</f>
        <v/>
      </c>
      <c r="O51" s="74" t="str" cm="1">
        <f t="array" ref="O51">IFERROR(1/(1/SUM(COUNTIFS(
'YearB-AppDetails Current Date'!A:A,D51,
'YearB-AppDetails Current Date'!F:F,E51,
'YearB-AppDetails Current Date'!E:E,--F51,
'YearB-AppDetails Current Date'!T:T,{"CDMT","RQMT","WAIT"},
'YearB-AppDetails Current Date'!I:I,"SUMMER"))), "")</f>
        <v/>
      </c>
      <c r="P51" s="74" t="str">
        <f>IFERROR(1/(1/COUNTIFS(
'YearB-AppDetails Current Date'!A:A,D51,
'YearB-AppDetails Current Date'!F:F,E51,
'YearB-AppDetails Current Date'!E:E,--F51,
'YearB-AppDetails Current Date'!Y:Y,"ENRO",
'YearB-AppDetails Current Date'!I:I,"SUMMER")),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HC'!D:T,10,FALSE)),
N(VLOOKUP(D52&amp;F52,'Budgeted Projections Dom HC'!D:T,11,FALSE))
)
),"")</f>
        <v/>
      </c>
      <c r="I52" s="73" t="str">
        <f>IFERROR(1/(1/COUNTIFS(
'YearB-AppDetails Current Date'!A:A,D52,
'YearB-AppDetails Current Date'!F:F,E52,
'YearB-AppDetails Current Date'!E:E,--F52,
'YearB-AppDetails Current Date'!I:I,"SUMMER")), "")</f>
        <v/>
      </c>
      <c r="J52" s="74" t="str" cm="1">
        <f t="array" ref="J52">IFERROR(1/(1/SUM(COUNTIFS(
'YearB-AppDetails Current Date'!A:A,D52,
'YearB-AppDetails Current Date'!F:F,E52,
'YearB-AppDetails Current Date'!E:E,--F52,
'YearB-AppDetails Current Date'!O:O,{"ACLN","ACPT","COND"},
'YearB-AppDetails Current Date'!S:S,"&lt;&gt;ACLN",
'YearB-AppDetails Current Date'!S:S,"&lt;&gt;ACPT",
'YearB-AppDetails Current Date'!S:S,"&lt;&gt;COND",
'YearB-AppDetails Current Date'!I:I,"SUMMER"))), "")</f>
        <v/>
      </c>
      <c r="K52" s="73" t="str">
        <f>IFERROR(1/(1/SUM(COUNTIFS(
'YearB-AppDetails Current Date'!A:A,D52,
'YearB-AppDetails Current Date'!F:F,E52,
'YearB-AppDetails Current Date'!E:E,--F52,
'YearB-AppDetails Current Date'!R:R,"&lt;&gt;"&amp;"",
'YearB-AppDetails Current Date'!I:I,"SUMMER"))), "")</f>
        <v/>
      </c>
      <c r="L52" s="74" t="str" cm="1">
        <f t="array" ref="L52">IFERROR(1/(1/SUM(COUNTIFS(
'YearB-AppDetails Current Date'!A:A,D52,
'YearB-AppDetails Current Date'!F:F,E52,
'YearB-AppDetails Current Date'!E:E,--F52,
'YearB-AppDetails Current Date'!T:T,{"APEX","DENY","NTSL"},
'YearB-AppDetails Current Date'!I:I,"SUMMER"))), "")</f>
        <v/>
      </c>
      <c r="M52" s="74" t="str" cm="1">
        <f t="array" ref="M52">IFERROR(1/(1/SUM(COUNTIFS(
'YearB-AppDetails Current Date'!A:A,D52,
'YearB-AppDetails Current Date'!F:F,E52,
'YearB-AppDetails Current Date'!E:E,--F52,
'YearB-AppDetails Current Date'!U:U,{"CCAN","DECL"},
'YearB-AppDetails Current Date'!I:I,"SUMMER"))), "")</f>
        <v/>
      </c>
      <c r="N52" s="74" t="str" cm="1">
        <f t="array" ref="N52">IFERROR(1/(1/SUM(COUNTIFS(
'YearB-AppDetails Current Date'!A:A,D52,
'YearB-AppDetails Current Date'!F:F,E52,
'YearB-AppDetails Current Date'!E:E,--F52,
'YearB-AppDetails Current Date'!V:V,{"APRO","NODE"},
'YearB-AppDetails Current Date'!I:I,"SUMMER"))), "")</f>
        <v/>
      </c>
      <c r="O52" s="74" t="str" cm="1">
        <f t="array" ref="O52">IFERROR(1/(1/SUM(COUNTIFS(
'YearB-AppDetails Current Date'!A:A,D52,
'YearB-AppDetails Current Date'!F:F,E52,
'YearB-AppDetails Current Date'!E:E,--F52,
'YearB-AppDetails Current Date'!T:T,{"CDMT","RQMT","WAIT"},
'YearB-AppDetails Current Date'!I:I,"SUMMER"))), "")</f>
        <v/>
      </c>
      <c r="P52" s="74" t="str">
        <f>IFERROR(1/(1/COUNTIFS(
'YearB-AppDetails Current Date'!A:A,D52,
'YearB-AppDetails Current Date'!F:F,E52,
'YearB-AppDetails Current Date'!E:E,--F52,
'YearB-AppDetails Current Date'!Y:Y,"ENRO",
'YearB-AppDetails Current Date'!I:I,"SUMMER")),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HC'!D:T,10,FALSE)),
N(VLOOKUP(D53&amp;F53,'Budgeted Projections Intl HC'!D:T,11,FALSE))
)
),"")</f>
        <v/>
      </c>
      <c r="I53" s="73" t="str">
        <f>IFERROR(1/(1/COUNTIFS(
'YearB-AppDetails Current Date'!A:A,D53,
'YearB-AppDetails Current Date'!F:F,E53,
'YearB-AppDetails Current Date'!E:E,--F53,
'YearB-AppDetails Current Date'!I:I,"SUMMER")), "")</f>
        <v/>
      </c>
      <c r="J53" s="74" t="str" cm="1">
        <f t="array" ref="J53">IFERROR(1/(1/SUM(COUNTIFS(
'YearB-AppDetails Current Date'!A:A,D53,
'YearB-AppDetails Current Date'!F:F,E53,
'YearB-AppDetails Current Date'!E:E,--F53,
'YearB-AppDetails Current Date'!O:O,{"ACLN","ACPT","COND"},
'YearB-AppDetails Current Date'!S:S,"&lt;&gt;ACLN",
'YearB-AppDetails Current Date'!S:S,"&lt;&gt;ACPT",
'YearB-AppDetails Current Date'!S:S,"&lt;&gt;COND",
'YearB-AppDetails Current Date'!I:I,"SUMMER"))), "")</f>
        <v/>
      </c>
      <c r="K53" s="73" t="str">
        <f>IFERROR(1/(1/SUM(COUNTIFS(
'YearB-AppDetails Current Date'!A:A,D53,
'YearB-AppDetails Current Date'!F:F,E53,
'YearB-AppDetails Current Date'!E:E,--F53,
'YearB-AppDetails Current Date'!R:R,"&lt;&gt;"&amp;"",
'YearB-AppDetails Current Date'!I:I,"SUMMER"))), "")</f>
        <v/>
      </c>
      <c r="L53" s="74" t="str" cm="1">
        <f t="array" ref="L53">IFERROR(1/(1/SUM(COUNTIFS(
'YearB-AppDetails Current Date'!A:A,D53,
'YearB-AppDetails Current Date'!F:F,E53,
'YearB-AppDetails Current Date'!E:E,--F53,
'YearB-AppDetails Current Date'!T:T,{"APEX","DENY","NTSL"},
'YearB-AppDetails Current Date'!I:I,"SUMMER"))), "")</f>
        <v/>
      </c>
      <c r="M53" s="74" t="str" cm="1">
        <f t="array" ref="M53">IFERROR(1/(1/SUM(COUNTIFS(
'YearB-AppDetails Current Date'!A:A,D53,
'YearB-AppDetails Current Date'!F:F,E53,
'YearB-AppDetails Current Date'!E:E,--F53,
'YearB-AppDetails Current Date'!U:U,{"CCAN","DECL"},
'YearB-AppDetails Current Date'!I:I,"SUMMER"))), "")</f>
        <v/>
      </c>
      <c r="N53" s="74" t="str" cm="1">
        <f t="array" ref="N53">IFERROR(1/(1/SUM(COUNTIFS(
'YearB-AppDetails Current Date'!A:A,D53,
'YearB-AppDetails Current Date'!F:F,E53,
'YearB-AppDetails Current Date'!E:E,--F53,
'YearB-AppDetails Current Date'!V:V,{"APRO","NODE"},
'YearB-AppDetails Current Date'!I:I,"SUMMER"))), "")</f>
        <v/>
      </c>
      <c r="O53" s="74" t="str" cm="1">
        <f t="array" ref="O53">IFERROR(1/(1/SUM(COUNTIFS(
'YearB-AppDetails Current Date'!A:A,D53,
'YearB-AppDetails Current Date'!F:F,E53,
'YearB-AppDetails Current Date'!E:E,--F53,
'YearB-AppDetails Current Date'!T:T,{"CDMT","RQMT","WAIT"},
'YearB-AppDetails Current Date'!I:I,"SUMMER"))), "")</f>
        <v/>
      </c>
      <c r="P53" s="74" t="str">
        <f>IFERROR(1/(1/COUNTIFS(
'YearB-AppDetails Current Date'!A:A,D53,
'YearB-AppDetails Current Date'!F:F,E53,
'YearB-AppDetails Current Date'!E:E,--F53,
'YearB-AppDetails Current Date'!Y:Y,"ENRO",
'YearB-AppDetails Current Date'!I:I,"SUMMER")),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HC'!D:T,10,FALSE)),
N(VLOOKUP(D55&amp;F55,'Budgeted Projections Dom HC'!D:T,11,FALSE))
)
),"")</f>
        <v/>
      </c>
      <c r="I55" s="73" t="str">
        <f>IFERROR(1/(1/COUNTIFS(
'YearB-AppDetails Current Date'!A:A,D55,
'YearB-AppDetails Current Date'!F:F,E55,
'YearB-AppDetails Current Date'!E:E,--F55,
'YearB-AppDetails Current Date'!I:I,"SUMMER")), "")</f>
        <v/>
      </c>
      <c r="J55" s="74" t="str" cm="1">
        <f t="array" ref="J55">IFERROR(1/(1/SUM(COUNTIFS(
'YearB-AppDetails Current Date'!A:A,D55,
'YearB-AppDetails Current Date'!F:F,E55,
'YearB-AppDetails Current Date'!E:E,--F55,
'YearB-AppDetails Current Date'!O:O,{"ACLN","ACPT","COND"},
'YearB-AppDetails Current Date'!S:S,"&lt;&gt;ACLN",
'YearB-AppDetails Current Date'!S:S,"&lt;&gt;ACPT",
'YearB-AppDetails Current Date'!S:S,"&lt;&gt;COND",
'YearB-AppDetails Current Date'!I:I,"SUMMER"))), "")</f>
        <v/>
      </c>
      <c r="K55" s="73" t="str">
        <f>IFERROR(1/(1/SUM(COUNTIFS(
'YearB-AppDetails Current Date'!A:A,D55,
'YearB-AppDetails Current Date'!F:F,E55,
'YearB-AppDetails Current Date'!E:E,--F55,
'YearB-AppDetails Current Date'!R:R,"&lt;&gt;"&amp;"",
'YearB-AppDetails Current Date'!I:I,"SUMMER"))), "")</f>
        <v/>
      </c>
      <c r="L55" s="74" t="str" cm="1">
        <f t="array" ref="L55">IFERROR(1/(1/SUM(COUNTIFS(
'YearB-AppDetails Current Date'!A:A,D55,
'YearB-AppDetails Current Date'!F:F,E55,
'YearB-AppDetails Current Date'!E:E,--F55,
'YearB-AppDetails Current Date'!T:T,{"APEX","DENY","NTSL"},
'YearB-AppDetails Current Date'!I:I,"SUMMER"))), "")</f>
        <v/>
      </c>
      <c r="M55" s="74" t="str" cm="1">
        <f t="array" ref="M55">IFERROR(1/(1/SUM(COUNTIFS(
'YearB-AppDetails Current Date'!A:A,D55,
'YearB-AppDetails Current Date'!F:F,E55,
'YearB-AppDetails Current Date'!E:E,--F55,
'YearB-AppDetails Current Date'!U:U,{"CCAN","DECL"},
'YearB-AppDetails Current Date'!I:I,"SUMMER"))), "")</f>
        <v/>
      </c>
      <c r="N55" s="74" t="str" cm="1">
        <f t="array" ref="N55">IFERROR(1/(1/SUM(COUNTIFS(
'YearB-AppDetails Current Date'!A:A,D55,
'YearB-AppDetails Current Date'!F:F,E55,
'YearB-AppDetails Current Date'!E:E,--F55,
'YearB-AppDetails Current Date'!V:V,{"APRO","NODE"},
'YearB-AppDetails Current Date'!I:I,"SUMMER"))), "")</f>
        <v/>
      </c>
      <c r="O55" s="74" t="str" cm="1">
        <f t="array" ref="O55">IFERROR(1/(1/SUM(COUNTIFS(
'YearB-AppDetails Current Date'!A:A,D55,
'YearB-AppDetails Current Date'!F:F,E55,
'YearB-AppDetails Current Date'!E:E,--F55,
'YearB-AppDetails Current Date'!T:T,{"CDMT","RQMT","WAIT"},
'YearB-AppDetails Current Date'!I:I,"SUMMER"))), "")</f>
        <v/>
      </c>
      <c r="P55" s="74" t="str">
        <f>IFERROR(1/(1/COUNTIFS(
'YearB-AppDetails Current Date'!A:A,D55,
'YearB-AppDetails Current Date'!F:F,E55,
'YearB-AppDetails Current Date'!E:E,--F55,
'YearB-AppDetails Current Date'!Y:Y,"ENRO",
'YearB-AppDetails Current Date'!I:I,"SUMMER")),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HC'!D:T,10,FALSE)),
N(VLOOKUP(D56&amp;F56,'Budgeted Projections Intl HC'!D:T,11,FALSE))
)
),"")</f>
        <v/>
      </c>
      <c r="I56" s="73" t="str">
        <f>IFERROR(1/(1/COUNTIFS(
'YearB-AppDetails Current Date'!A:A,D56,
'YearB-AppDetails Current Date'!F:F,E56,
'YearB-AppDetails Current Date'!E:E,--F56,
'YearB-AppDetails Current Date'!I:I,"SUMMER")), "")</f>
        <v/>
      </c>
      <c r="J56" s="74" t="str" cm="1">
        <f t="array" ref="J56">IFERROR(1/(1/SUM(COUNTIFS(
'YearB-AppDetails Current Date'!A:A,D56,
'YearB-AppDetails Current Date'!F:F,E56,
'YearB-AppDetails Current Date'!E:E,--F56,
'YearB-AppDetails Current Date'!O:O,{"ACLN","ACPT","COND"},
'YearB-AppDetails Current Date'!S:S,"&lt;&gt;ACLN",
'YearB-AppDetails Current Date'!S:S,"&lt;&gt;ACPT",
'YearB-AppDetails Current Date'!S:S,"&lt;&gt;COND",
'YearB-AppDetails Current Date'!I:I,"SUMMER"))), "")</f>
        <v/>
      </c>
      <c r="K56" s="73" t="str">
        <f>IFERROR(1/(1/SUM(COUNTIFS(
'YearB-AppDetails Current Date'!A:A,D56,
'YearB-AppDetails Current Date'!F:F,E56,
'YearB-AppDetails Current Date'!E:E,--F56,
'YearB-AppDetails Current Date'!R:R,"&lt;&gt;"&amp;"",
'YearB-AppDetails Current Date'!I:I,"SUMMER"))), "")</f>
        <v/>
      </c>
      <c r="L56" s="74" t="str" cm="1">
        <f t="array" ref="L56">IFERROR(1/(1/SUM(COUNTIFS(
'YearB-AppDetails Current Date'!A:A,D56,
'YearB-AppDetails Current Date'!F:F,E56,
'YearB-AppDetails Current Date'!E:E,--F56,
'YearB-AppDetails Current Date'!T:T,{"APEX","DENY","NTSL"},
'YearB-AppDetails Current Date'!I:I,"SUMMER"))), "")</f>
        <v/>
      </c>
      <c r="M56" s="74" t="str" cm="1">
        <f t="array" ref="M56">IFERROR(1/(1/SUM(COUNTIFS(
'YearB-AppDetails Current Date'!A:A,D56,
'YearB-AppDetails Current Date'!F:F,E56,
'YearB-AppDetails Current Date'!E:E,--F56,
'YearB-AppDetails Current Date'!U:U,{"CCAN","DECL"},
'YearB-AppDetails Current Date'!I:I,"SUMMER"))), "")</f>
        <v/>
      </c>
      <c r="N56" s="74" t="str" cm="1">
        <f t="array" ref="N56">IFERROR(1/(1/SUM(COUNTIFS(
'YearB-AppDetails Current Date'!A:A,D56,
'YearB-AppDetails Current Date'!F:F,E56,
'YearB-AppDetails Current Date'!E:E,--F56,
'YearB-AppDetails Current Date'!V:V,{"APRO","NODE"},
'YearB-AppDetails Current Date'!I:I,"SUMMER"))), "")</f>
        <v/>
      </c>
      <c r="O56" s="74" t="str" cm="1">
        <f t="array" ref="O56">IFERROR(1/(1/SUM(COUNTIFS(
'YearB-AppDetails Current Date'!A:A,D56,
'YearB-AppDetails Current Date'!F:F,E56,
'YearB-AppDetails Current Date'!E:E,--F56,
'YearB-AppDetails Current Date'!T:T,{"CDMT","RQMT","WAIT"},
'YearB-AppDetails Current Date'!I:I,"SUMMER"))), "")</f>
        <v/>
      </c>
      <c r="P56" s="74" t="str">
        <f>IFERROR(1/(1/COUNTIFS(
'YearB-AppDetails Current Date'!A:A,D56,
'YearB-AppDetails Current Date'!F:F,E56,
'YearB-AppDetails Current Date'!E:E,--F56,
'YearB-AppDetails Current Date'!Y:Y,"ENRO",
'YearB-AppDetails Current Date'!I:I,"SUMMER")),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HC'!D:T,10,FALSE)),
N(VLOOKUP(D57&amp;F57,'Budgeted Projections Dom HC'!D:T,11,FALSE))
)
),"")</f>
        <v/>
      </c>
      <c r="I57" s="73" t="str">
        <f>IFERROR(1/(1/COUNTIFS(
'YearB-AppDetails Current Date'!A:A,D57,
'YearB-AppDetails Current Date'!F:F,E57,
'YearB-AppDetails Current Date'!E:E,--F57,
'YearB-AppDetails Current Date'!I:I,"SUMMER")), "")</f>
        <v/>
      </c>
      <c r="J57" s="74" t="str" cm="1">
        <f t="array" ref="J57">IFERROR(1/(1/SUM(COUNTIFS(
'YearB-AppDetails Current Date'!A:A,D57,
'YearB-AppDetails Current Date'!F:F,E57,
'YearB-AppDetails Current Date'!E:E,--F57,
'YearB-AppDetails Current Date'!O:O,{"ACLN","ACPT","COND"},
'YearB-AppDetails Current Date'!S:S,"&lt;&gt;ACLN",
'YearB-AppDetails Current Date'!S:S,"&lt;&gt;ACPT",
'YearB-AppDetails Current Date'!S:S,"&lt;&gt;COND",
'YearB-AppDetails Current Date'!I:I,"SUMMER"))), "")</f>
        <v/>
      </c>
      <c r="K57" s="73" t="str">
        <f>IFERROR(1/(1/SUM(COUNTIFS(
'YearB-AppDetails Current Date'!A:A,D57,
'YearB-AppDetails Current Date'!F:F,E57,
'YearB-AppDetails Current Date'!E:E,--F57,
'YearB-AppDetails Current Date'!R:R,"&lt;&gt;"&amp;"",
'YearB-AppDetails Current Date'!I:I,"SUMMER"))), "")</f>
        <v/>
      </c>
      <c r="L57" s="74" t="str" cm="1">
        <f t="array" ref="L57">IFERROR(1/(1/SUM(COUNTIFS(
'YearB-AppDetails Current Date'!A:A,D57,
'YearB-AppDetails Current Date'!F:F,E57,
'YearB-AppDetails Current Date'!E:E,--F57,
'YearB-AppDetails Current Date'!T:T,{"APEX","DENY","NTSL"},
'YearB-AppDetails Current Date'!I:I,"SUMMER"))), "")</f>
        <v/>
      </c>
      <c r="M57" s="74" t="str" cm="1">
        <f t="array" ref="M57">IFERROR(1/(1/SUM(COUNTIFS(
'YearB-AppDetails Current Date'!A:A,D57,
'YearB-AppDetails Current Date'!F:F,E57,
'YearB-AppDetails Current Date'!E:E,--F57,
'YearB-AppDetails Current Date'!U:U,{"CCAN","DECL"},
'YearB-AppDetails Current Date'!I:I,"SUMMER"))), "")</f>
        <v/>
      </c>
      <c r="N57" s="74" t="str" cm="1">
        <f t="array" ref="N57">IFERROR(1/(1/SUM(COUNTIFS(
'YearB-AppDetails Current Date'!A:A,D57,
'YearB-AppDetails Current Date'!F:F,E57,
'YearB-AppDetails Current Date'!E:E,--F57,
'YearB-AppDetails Current Date'!V:V,{"APRO","NODE"},
'YearB-AppDetails Current Date'!I:I,"SUMMER"))), "")</f>
        <v/>
      </c>
      <c r="O57" s="74" t="str" cm="1">
        <f t="array" ref="O57">IFERROR(1/(1/SUM(COUNTIFS(
'YearB-AppDetails Current Date'!A:A,D57,
'YearB-AppDetails Current Date'!F:F,E57,
'YearB-AppDetails Current Date'!E:E,--F57,
'YearB-AppDetails Current Date'!T:T,{"CDMT","RQMT","WAIT"},
'YearB-AppDetails Current Date'!I:I,"SUMMER"))), "")</f>
        <v/>
      </c>
      <c r="P57" s="74" t="str">
        <f>IFERROR(1/(1/COUNTIFS(
'YearB-AppDetails Current Date'!A:A,D57,
'YearB-AppDetails Current Date'!F:F,E57,
'YearB-AppDetails Current Date'!E:E,--F57,
'YearB-AppDetails Current Date'!Y:Y,"ENRO",
'YearB-AppDetails Current Date'!I:I,"SUMMER")),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HC'!D:T,10,FALSE)),
N(VLOOKUP(D58&amp;F58,'Budgeted Projections Intl HC'!D:T,11,FALSE))
)
),"")</f>
        <v/>
      </c>
      <c r="I58" s="73" t="str">
        <f>IFERROR(1/(1/COUNTIFS(
'YearB-AppDetails Current Date'!A:A,D58,
'YearB-AppDetails Current Date'!F:F,E58,
'YearB-AppDetails Current Date'!E:E,--F58,
'YearB-AppDetails Current Date'!I:I,"SUMMER")), "")</f>
        <v/>
      </c>
      <c r="J58" s="74" t="str" cm="1">
        <f t="array" ref="J58">IFERROR(1/(1/SUM(COUNTIFS(
'YearB-AppDetails Current Date'!A:A,D58,
'YearB-AppDetails Current Date'!F:F,E58,
'YearB-AppDetails Current Date'!E:E,--F58,
'YearB-AppDetails Current Date'!O:O,{"ACLN","ACPT","COND"},
'YearB-AppDetails Current Date'!S:S,"&lt;&gt;ACLN",
'YearB-AppDetails Current Date'!S:S,"&lt;&gt;ACPT",
'YearB-AppDetails Current Date'!S:S,"&lt;&gt;COND",
'YearB-AppDetails Current Date'!I:I,"SUMMER"))), "")</f>
        <v/>
      </c>
      <c r="K58" s="73" t="str">
        <f>IFERROR(1/(1/SUM(COUNTIFS(
'YearB-AppDetails Current Date'!A:A,D58,
'YearB-AppDetails Current Date'!F:F,E58,
'YearB-AppDetails Current Date'!E:E,--F58,
'YearB-AppDetails Current Date'!R:R,"&lt;&gt;"&amp;"",
'YearB-AppDetails Current Date'!I:I,"SUMMER"))), "")</f>
        <v/>
      </c>
      <c r="L58" s="74" t="str" cm="1">
        <f t="array" ref="L58">IFERROR(1/(1/SUM(COUNTIFS(
'YearB-AppDetails Current Date'!A:A,D58,
'YearB-AppDetails Current Date'!F:F,E58,
'YearB-AppDetails Current Date'!E:E,--F58,
'YearB-AppDetails Current Date'!T:T,{"APEX","DENY","NTSL"},
'YearB-AppDetails Current Date'!I:I,"SUMMER"))), "")</f>
        <v/>
      </c>
      <c r="M58" s="74" t="str" cm="1">
        <f t="array" ref="M58">IFERROR(1/(1/SUM(COUNTIFS(
'YearB-AppDetails Current Date'!A:A,D58,
'YearB-AppDetails Current Date'!F:F,E58,
'YearB-AppDetails Current Date'!E:E,--F58,
'YearB-AppDetails Current Date'!U:U,{"CCAN","DECL"},
'YearB-AppDetails Current Date'!I:I,"SUMMER"))), "")</f>
        <v/>
      </c>
      <c r="N58" s="74" t="str" cm="1">
        <f t="array" ref="N58">IFERROR(1/(1/SUM(COUNTIFS(
'YearB-AppDetails Current Date'!A:A,D58,
'YearB-AppDetails Current Date'!F:F,E58,
'YearB-AppDetails Current Date'!E:E,--F58,
'YearB-AppDetails Current Date'!V:V,{"APRO","NODE"},
'YearB-AppDetails Current Date'!I:I,"SUMMER"))), "")</f>
        <v/>
      </c>
      <c r="O58" s="74" t="str" cm="1">
        <f t="array" ref="O58">IFERROR(1/(1/SUM(COUNTIFS(
'YearB-AppDetails Current Date'!A:A,D58,
'YearB-AppDetails Current Date'!F:F,E58,
'YearB-AppDetails Current Date'!E:E,--F58,
'YearB-AppDetails Current Date'!T:T,{"CDMT","RQMT","WAIT"},
'YearB-AppDetails Current Date'!I:I,"SUMMER"))), "")</f>
        <v/>
      </c>
      <c r="P58" s="74" t="str">
        <f>IFERROR(1/(1/COUNTIFS(
'YearB-AppDetails Current Date'!A:A,D58,
'YearB-AppDetails Current Date'!F:F,E58,
'YearB-AppDetails Current Date'!E:E,--F58,
'YearB-AppDetails Current Date'!Y:Y,"ENRO",
'YearB-AppDetails Current Date'!I:I,"SUMMER")),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HC'!D:T,10,FALSE)),
N(VLOOKUP(D59&amp;F59,'Budgeted Projections Dom HC'!D:T,11,FALSE))
)
),"")</f>
        <v/>
      </c>
      <c r="I59" s="73" t="str">
        <f>IFERROR(1/(1/COUNTIFS(
'YearB-AppDetails Current Date'!A:A,D59,
'YearB-AppDetails Current Date'!F:F,E59,
'YearB-AppDetails Current Date'!E:E,--F59,
'YearB-AppDetails Current Date'!I:I,"SUMMER")), "")</f>
        <v/>
      </c>
      <c r="J59" s="74" t="str" cm="1">
        <f t="array" ref="J59">IFERROR(1/(1/SUM(COUNTIFS(
'YearB-AppDetails Current Date'!A:A,D59,
'YearB-AppDetails Current Date'!F:F,E59,
'YearB-AppDetails Current Date'!E:E,--F59,
'YearB-AppDetails Current Date'!O:O,{"ACLN","ACPT","COND"},
'YearB-AppDetails Current Date'!S:S,"&lt;&gt;ACLN",
'YearB-AppDetails Current Date'!S:S,"&lt;&gt;ACPT",
'YearB-AppDetails Current Date'!S:S,"&lt;&gt;COND",
'YearB-AppDetails Current Date'!I:I,"SUMMER"))), "")</f>
        <v/>
      </c>
      <c r="K59" s="73" t="str">
        <f>IFERROR(1/(1/SUM(COUNTIFS(
'YearB-AppDetails Current Date'!A:A,D59,
'YearB-AppDetails Current Date'!F:F,E59,
'YearB-AppDetails Current Date'!E:E,--F59,
'YearB-AppDetails Current Date'!R:R,"&lt;&gt;"&amp;"",
'YearB-AppDetails Current Date'!I:I,"SUMMER"))), "")</f>
        <v/>
      </c>
      <c r="L59" s="74" t="str" cm="1">
        <f t="array" ref="L59">IFERROR(1/(1/SUM(COUNTIFS(
'YearB-AppDetails Current Date'!A:A,D59,
'YearB-AppDetails Current Date'!F:F,E59,
'YearB-AppDetails Current Date'!E:E,--F59,
'YearB-AppDetails Current Date'!T:T,{"APEX","DENY","NTSL"},
'YearB-AppDetails Current Date'!I:I,"SUMMER"))), "")</f>
        <v/>
      </c>
      <c r="M59" s="74" t="str" cm="1">
        <f t="array" ref="M59">IFERROR(1/(1/SUM(COUNTIFS(
'YearB-AppDetails Current Date'!A:A,D59,
'YearB-AppDetails Current Date'!F:F,E59,
'YearB-AppDetails Current Date'!E:E,--F59,
'YearB-AppDetails Current Date'!U:U,{"CCAN","DECL"},
'YearB-AppDetails Current Date'!I:I,"SUMMER"))), "")</f>
        <v/>
      </c>
      <c r="N59" s="74" t="str" cm="1">
        <f t="array" ref="N59">IFERROR(1/(1/SUM(COUNTIFS(
'YearB-AppDetails Current Date'!A:A,D59,
'YearB-AppDetails Current Date'!F:F,E59,
'YearB-AppDetails Current Date'!E:E,--F59,
'YearB-AppDetails Current Date'!V:V,{"APRO","NODE"},
'YearB-AppDetails Current Date'!I:I,"SUMMER"))), "")</f>
        <v/>
      </c>
      <c r="O59" s="74" t="str" cm="1">
        <f t="array" ref="O59">IFERROR(1/(1/SUM(COUNTIFS(
'YearB-AppDetails Current Date'!A:A,D59,
'YearB-AppDetails Current Date'!F:F,E59,
'YearB-AppDetails Current Date'!E:E,--F59,
'YearB-AppDetails Current Date'!T:T,{"CDMT","RQMT","WAIT"},
'YearB-AppDetails Current Date'!I:I,"SUMMER"))), "")</f>
        <v/>
      </c>
      <c r="P59" s="74" t="str">
        <f>IFERROR(1/(1/COUNTIFS(
'YearB-AppDetails Current Date'!A:A,D59,
'YearB-AppDetails Current Date'!F:F,E59,
'YearB-AppDetails Current Date'!E:E,--F59,
'YearB-AppDetails Current Date'!Y:Y,"ENRO",
'YearB-AppDetails Current Date'!I:I,"SUMMER")),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HC'!D:T,10,FALSE)),
N(VLOOKUP(D60&amp;F60,'Budgeted Projections Intl HC'!D:T,11,FALSE))
)
),"")</f>
        <v/>
      </c>
      <c r="I60" s="73" t="str">
        <f>IFERROR(1/(1/COUNTIFS(
'YearB-AppDetails Current Date'!A:A,D60,
'YearB-AppDetails Current Date'!F:F,E60,
'YearB-AppDetails Current Date'!E:E,--F60,
'YearB-AppDetails Current Date'!I:I,"SUMMER")), "")</f>
        <v/>
      </c>
      <c r="J60" s="74" t="str" cm="1">
        <f t="array" ref="J60">IFERROR(1/(1/SUM(COUNTIFS(
'YearB-AppDetails Current Date'!A:A,D60,
'YearB-AppDetails Current Date'!F:F,E60,
'YearB-AppDetails Current Date'!E:E,--F60,
'YearB-AppDetails Current Date'!O:O,{"ACLN","ACPT","COND"},
'YearB-AppDetails Current Date'!S:S,"&lt;&gt;ACLN",
'YearB-AppDetails Current Date'!S:S,"&lt;&gt;ACPT",
'YearB-AppDetails Current Date'!S:S,"&lt;&gt;COND",
'YearB-AppDetails Current Date'!I:I,"SUMMER"))), "")</f>
        <v/>
      </c>
      <c r="K60" s="73" t="str">
        <f>IFERROR(1/(1/SUM(COUNTIFS(
'YearB-AppDetails Current Date'!A:A,D60,
'YearB-AppDetails Current Date'!F:F,E60,
'YearB-AppDetails Current Date'!E:E,--F60,
'YearB-AppDetails Current Date'!R:R,"&lt;&gt;"&amp;"",
'YearB-AppDetails Current Date'!I:I,"SUMMER"))), "")</f>
        <v/>
      </c>
      <c r="L60" s="74" t="str" cm="1">
        <f t="array" ref="L60">IFERROR(1/(1/SUM(COUNTIFS(
'YearB-AppDetails Current Date'!A:A,D60,
'YearB-AppDetails Current Date'!F:F,E60,
'YearB-AppDetails Current Date'!E:E,--F60,
'YearB-AppDetails Current Date'!T:T,{"APEX","DENY","NTSL"},
'YearB-AppDetails Current Date'!I:I,"SUMMER"))), "")</f>
        <v/>
      </c>
      <c r="M60" s="74" t="str" cm="1">
        <f t="array" ref="M60">IFERROR(1/(1/SUM(COUNTIFS(
'YearB-AppDetails Current Date'!A:A,D60,
'YearB-AppDetails Current Date'!F:F,E60,
'YearB-AppDetails Current Date'!E:E,--F60,
'YearB-AppDetails Current Date'!U:U,{"CCAN","DECL"},
'YearB-AppDetails Current Date'!I:I,"SUMMER"))), "")</f>
        <v/>
      </c>
      <c r="N60" s="74" t="str" cm="1">
        <f t="array" ref="N60">IFERROR(1/(1/SUM(COUNTIFS(
'YearB-AppDetails Current Date'!A:A,D60,
'YearB-AppDetails Current Date'!F:F,E60,
'YearB-AppDetails Current Date'!E:E,--F60,
'YearB-AppDetails Current Date'!V:V,{"APRO","NODE"},
'YearB-AppDetails Current Date'!I:I,"SUMMER"))), "")</f>
        <v/>
      </c>
      <c r="O60" s="74" t="str" cm="1">
        <f t="array" ref="O60">IFERROR(1/(1/SUM(COUNTIFS(
'YearB-AppDetails Current Date'!A:A,D60,
'YearB-AppDetails Current Date'!F:F,E60,
'YearB-AppDetails Current Date'!E:E,--F60,
'YearB-AppDetails Current Date'!T:T,{"CDMT","RQMT","WAIT"},
'YearB-AppDetails Current Date'!I:I,"SUMMER"))), "")</f>
        <v/>
      </c>
      <c r="P60" s="74" t="str">
        <f>IFERROR(1/(1/COUNTIFS(
'YearB-AppDetails Current Date'!A:A,D60,
'YearB-AppDetails Current Date'!F:F,E60,
'YearB-AppDetails Current Date'!E:E,--F60,
'YearB-AppDetails Current Date'!Y:Y,"ENRO",
'YearB-AppDetails Current Date'!I:I,"SUMMER")),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HC'!D:T,10,FALSE)),
N(VLOOKUP(D61&amp;F61,'Budgeted Projections Dom HC'!D:T,11,FALSE))
)
),"")</f>
        <v/>
      </c>
      <c r="I61" s="73" t="str">
        <f>IFERROR(1/(1/COUNTIFS(
'YearB-AppDetails Current Date'!A:A,D61,
'YearB-AppDetails Current Date'!F:F,E61,
'YearB-AppDetails Current Date'!E:E,--F61,
'YearB-AppDetails Current Date'!I:I,"SUMMER")), "")</f>
        <v/>
      </c>
      <c r="J61" s="74" t="str" cm="1">
        <f t="array" ref="J61">IFERROR(1/(1/SUM(COUNTIFS(
'YearB-AppDetails Current Date'!A:A,D61,
'YearB-AppDetails Current Date'!F:F,E61,
'YearB-AppDetails Current Date'!E:E,--F61,
'YearB-AppDetails Current Date'!O:O,{"ACLN","ACPT","COND"},
'YearB-AppDetails Current Date'!S:S,"&lt;&gt;ACLN",
'YearB-AppDetails Current Date'!S:S,"&lt;&gt;ACPT",
'YearB-AppDetails Current Date'!S:S,"&lt;&gt;COND",
'YearB-AppDetails Current Date'!I:I,"SUMMER"))), "")</f>
        <v/>
      </c>
      <c r="K61" s="73" t="str">
        <f>IFERROR(1/(1/SUM(COUNTIFS(
'YearB-AppDetails Current Date'!A:A,D61,
'YearB-AppDetails Current Date'!F:F,E61,
'YearB-AppDetails Current Date'!E:E,--F61,
'YearB-AppDetails Current Date'!R:R,"&lt;&gt;"&amp;"",
'YearB-AppDetails Current Date'!I:I,"SUMMER"))), "")</f>
        <v/>
      </c>
      <c r="L61" s="74" t="str" cm="1">
        <f t="array" ref="L61">IFERROR(1/(1/SUM(COUNTIFS(
'YearB-AppDetails Current Date'!A:A,D61,
'YearB-AppDetails Current Date'!F:F,E61,
'YearB-AppDetails Current Date'!E:E,--F61,
'YearB-AppDetails Current Date'!T:T,{"APEX","DENY","NTSL"},
'YearB-AppDetails Current Date'!I:I,"SUMMER"))), "")</f>
        <v/>
      </c>
      <c r="M61" s="74" t="str" cm="1">
        <f t="array" ref="M61">IFERROR(1/(1/SUM(COUNTIFS(
'YearB-AppDetails Current Date'!A:A,D61,
'YearB-AppDetails Current Date'!F:F,E61,
'YearB-AppDetails Current Date'!E:E,--F61,
'YearB-AppDetails Current Date'!U:U,{"CCAN","DECL"},
'YearB-AppDetails Current Date'!I:I,"SUMMER"))), "")</f>
        <v/>
      </c>
      <c r="N61" s="74" t="str" cm="1">
        <f t="array" ref="N61">IFERROR(1/(1/SUM(COUNTIFS(
'YearB-AppDetails Current Date'!A:A,D61,
'YearB-AppDetails Current Date'!F:F,E61,
'YearB-AppDetails Current Date'!E:E,--F61,
'YearB-AppDetails Current Date'!V:V,{"APRO","NODE"},
'YearB-AppDetails Current Date'!I:I,"SUMMER"))), "")</f>
        <v/>
      </c>
      <c r="O61" s="74" t="str" cm="1">
        <f t="array" ref="O61">IFERROR(1/(1/SUM(COUNTIFS(
'YearB-AppDetails Current Date'!A:A,D61,
'YearB-AppDetails Current Date'!F:F,E61,
'YearB-AppDetails Current Date'!E:E,--F61,
'YearB-AppDetails Current Date'!T:T,{"CDMT","RQMT","WAIT"},
'YearB-AppDetails Current Date'!I:I,"SUMMER"))), "")</f>
        <v/>
      </c>
      <c r="P61" s="74" t="str">
        <f>IFERROR(1/(1/COUNTIFS(
'YearB-AppDetails Current Date'!A:A,D61,
'YearB-AppDetails Current Date'!F:F,E61,
'YearB-AppDetails Current Date'!E:E,--F61,
'YearB-AppDetails Current Date'!Y:Y,"ENRO",
'YearB-AppDetails Current Date'!I:I,"SUMMER")),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HC'!D:T,10,FALSE)),
N(VLOOKUP(D62&amp;F62,'Budgeted Projections Intl HC'!D:T,11,FALSE))
)
),"")</f>
        <v/>
      </c>
      <c r="I62" s="73" t="str">
        <f>IFERROR(1/(1/COUNTIFS(
'YearB-AppDetails Current Date'!A:A,D62,
'YearB-AppDetails Current Date'!F:F,E62,
'YearB-AppDetails Current Date'!E:E,--F62,
'YearB-AppDetails Current Date'!I:I,"SUMMER")), "")</f>
        <v/>
      </c>
      <c r="J62" s="74" t="str" cm="1">
        <f t="array" ref="J62">IFERROR(1/(1/SUM(COUNTIFS(
'YearB-AppDetails Current Date'!A:A,D62,
'YearB-AppDetails Current Date'!F:F,E62,
'YearB-AppDetails Current Date'!E:E,--F62,
'YearB-AppDetails Current Date'!O:O,{"ACLN","ACPT","COND"},
'YearB-AppDetails Current Date'!S:S,"&lt;&gt;ACLN",
'YearB-AppDetails Current Date'!S:S,"&lt;&gt;ACPT",
'YearB-AppDetails Current Date'!S:S,"&lt;&gt;COND",
'YearB-AppDetails Current Date'!I:I,"SUMMER"))), "")</f>
        <v/>
      </c>
      <c r="K62" s="73" t="str">
        <f>IFERROR(1/(1/SUM(COUNTIFS(
'YearB-AppDetails Current Date'!A:A,D62,
'YearB-AppDetails Current Date'!F:F,E62,
'YearB-AppDetails Current Date'!E:E,--F62,
'YearB-AppDetails Current Date'!R:R,"&lt;&gt;"&amp;"",
'YearB-AppDetails Current Date'!I:I,"SUMMER"))), "")</f>
        <v/>
      </c>
      <c r="L62" s="74" t="str" cm="1">
        <f t="array" ref="L62">IFERROR(1/(1/SUM(COUNTIFS(
'YearB-AppDetails Current Date'!A:A,D62,
'YearB-AppDetails Current Date'!F:F,E62,
'YearB-AppDetails Current Date'!E:E,--F62,
'YearB-AppDetails Current Date'!T:T,{"APEX","DENY","NTSL"},
'YearB-AppDetails Current Date'!I:I,"SUMMER"))), "")</f>
        <v/>
      </c>
      <c r="M62" s="74" t="str" cm="1">
        <f t="array" ref="M62">IFERROR(1/(1/SUM(COUNTIFS(
'YearB-AppDetails Current Date'!A:A,D62,
'YearB-AppDetails Current Date'!F:F,E62,
'YearB-AppDetails Current Date'!E:E,--F62,
'YearB-AppDetails Current Date'!U:U,{"CCAN","DECL"},
'YearB-AppDetails Current Date'!I:I,"SUMMER"))), "")</f>
        <v/>
      </c>
      <c r="N62" s="74" t="str" cm="1">
        <f t="array" ref="N62">IFERROR(1/(1/SUM(COUNTIFS(
'YearB-AppDetails Current Date'!A:A,D62,
'YearB-AppDetails Current Date'!F:F,E62,
'YearB-AppDetails Current Date'!E:E,--F62,
'YearB-AppDetails Current Date'!V:V,{"APRO","NODE"},
'YearB-AppDetails Current Date'!I:I,"SUMMER"))), "")</f>
        <v/>
      </c>
      <c r="O62" s="74" t="str" cm="1">
        <f t="array" ref="O62">IFERROR(1/(1/SUM(COUNTIFS(
'YearB-AppDetails Current Date'!A:A,D62,
'YearB-AppDetails Current Date'!F:F,E62,
'YearB-AppDetails Current Date'!E:E,--F62,
'YearB-AppDetails Current Date'!T:T,{"CDMT","RQMT","WAIT"},
'YearB-AppDetails Current Date'!I:I,"SUMMER"))), "")</f>
        <v/>
      </c>
      <c r="P62" s="74" t="str">
        <f>IFERROR(1/(1/COUNTIFS(
'YearB-AppDetails Current Date'!A:A,D62,
'YearB-AppDetails Current Date'!F:F,E62,
'YearB-AppDetails Current Date'!E:E,--F62,
'YearB-AppDetails Current Date'!Y:Y,"ENRO",
'YearB-AppDetails Current Date'!I:I,"SUMMER")),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HC'!D:T,10,FALSE)),
N(VLOOKUP(D64&amp;F64,'Budgeted Projections Dom HC'!D:T,11,FALSE))
)
),"")</f>
        <v/>
      </c>
      <c r="I64" s="73" t="str">
        <f>IFERROR(1/(1/COUNTIFS(
'YearB-AppDetails Current Date'!A:A,D64,
'YearB-AppDetails Current Date'!F:F,E64,
'YearB-AppDetails Current Date'!E:E,--F64,
'YearB-AppDetails Current Date'!I:I,"SUMMER")), "")</f>
        <v/>
      </c>
      <c r="J64" s="74" t="str" cm="1">
        <f t="array" ref="J64">IFERROR(1/(1/SUM(COUNTIFS(
'YearB-AppDetails Current Date'!A:A,D64,
'YearB-AppDetails Current Date'!F:F,E64,
'YearB-AppDetails Current Date'!E:E,--F64,
'YearB-AppDetails Current Date'!O:O,{"ACLN","ACPT","COND"},
'YearB-AppDetails Current Date'!S:S,"&lt;&gt;ACLN",
'YearB-AppDetails Current Date'!S:S,"&lt;&gt;ACPT",
'YearB-AppDetails Current Date'!S:S,"&lt;&gt;COND",
'YearB-AppDetails Current Date'!I:I,"SUMMER"))), "")</f>
        <v/>
      </c>
      <c r="K64" s="73" t="str">
        <f>IFERROR(1/(1/SUM(COUNTIFS(
'YearB-AppDetails Current Date'!A:A,D64,
'YearB-AppDetails Current Date'!F:F,E64,
'YearB-AppDetails Current Date'!E:E,--F64,
'YearB-AppDetails Current Date'!R:R,"&lt;&gt;"&amp;"",
'YearB-AppDetails Current Date'!I:I,"SUMMER"))), "")</f>
        <v/>
      </c>
      <c r="L64" s="74" t="str" cm="1">
        <f t="array" ref="L64">IFERROR(1/(1/SUM(COUNTIFS(
'YearB-AppDetails Current Date'!A:A,D64,
'YearB-AppDetails Current Date'!F:F,E64,
'YearB-AppDetails Current Date'!E:E,--F64,
'YearB-AppDetails Current Date'!T:T,{"APEX","DENY","NTSL"},
'YearB-AppDetails Current Date'!I:I,"SUMMER"))), "")</f>
        <v/>
      </c>
      <c r="M64" s="74" t="str" cm="1">
        <f t="array" ref="M64">IFERROR(1/(1/SUM(COUNTIFS(
'YearB-AppDetails Current Date'!A:A,D64,
'YearB-AppDetails Current Date'!F:F,E64,
'YearB-AppDetails Current Date'!E:E,--F64,
'YearB-AppDetails Current Date'!U:U,{"CCAN","DECL"},
'YearB-AppDetails Current Date'!I:I,"SUMMER"))), "")</f>
        <v/>
      </c>
      <c r="N64" s="74" t="str" cm="1">
        <f t="array" ref="N64">IFERROR(1/(1/SUM(COUNTIFS(
'YearB-AppDetails Current Date'!A:A,D64,
'YearB-AppDetails Current Date'!F:F,E64,
'YearB-AppDetails Current Date'!E:E,--F64,
'YearB-AppDetails Current Date'!V:V,{"APRO","NODE"},
'YearB-AppDetails Current Date'!I:I,"SUMMER"))), "")</f>
        <v/>
      </c>
      <c r="O64" s="74" t="str" cm="1">
        <f t="array" ref="O64">IFERROR(1/(1/SUM(COUNTIFS(
'YearB-AppDetails Current Date'!A:A,D64,
'YearB-AppDetails Current Date'!F:F,E64,
'YearB-AppDetails Current Date'!E:E,--F64,
'YearB-AppDetails Current Date'!T:T,{"CDMT","RQMT","WAIT"},
'YearB-AppDetails Current Date'!I:I,"SUMMER"))), "")</f>
        <v/>
      </c>
      <c r="P64" s="74" t="str">
        <f>IFERROR(1/(1/COUNTIFS(
'YearB-AppDetails Current Date'!A:A,D64,
'YearB-AppDetails Current Date'!F:F,E64,
'YearB-AppDetails Current Date'!E:E,--F64,
'YearB-AppDetails Current Date'!Y:Y,"ENRO",
'YearB-AppDetails Current Date'!I:I,"SUMMER")),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HC'!D:T,10,FALSE)),
N(VLOOKUP(D65&amp;F65,'Budgeted Projections Intl HC'!D:T,11,FALSE))
)
),"")</f>
        <v/>
      </c>
      <c r="I65" s="73" t="str">
        <f>IFERROR(1/(1/COUNTIFS(
'YearB-AppDetails Current Date'!A:A,D65,
'YearB-AppDetails Current Date'!F:F,E65,
'YearB-AppDetails Current Date'!E:E,--F65,
'YearB-AppDetails Current Date'!I:I,"SUMMER")), "")</f>
        <v/>
      </c>
      <c r="J65" s="74" t="str" cm="1">
        <f t="array" ref="J65">IFERROR(1/(1/SUM(COUNTIFS(
'YearB-AppDetails Current Date'!A:A,D65,
'YearB-AppDetails Current Date'!F:F,E65,
'YearB-AppDetails Current Date'!E:E,--F65,
'YearB-AppDetails Current Date'!O:O,{"ACLN","ACPT","COND"},
'YearB-AppDetails Current Date'!S:S,"&lt;&gt;ACLN",
'YearB-AppDetails Current Date'!S:S,"&lt;&gt;ACPT",
'YearB-AppDetails Current Date'!S:S,"&lt;&gt;COND",
'YearB-AppDetails Current Date'!I:I,"SUMMER"))), "")</f>
        <v/>
      </c>
      <c r="K65" s="73" t="str">
        <f>IFERROR(1/(1/SUM(COUNTIFS(
'YearB-AppDetails Current Date'!A:A,D65,
'YearB-AppDetails Current Date'!F:F,E65,
'YearB-AppDetails Current Date'!E:E,--F65,
'YearB-AppDetails Current Date'!R:R,"&lt;&gt;"&amp;"",
'YearB-AppDetails Current Date'!I:I,"SUMMER"))), "")</f>
        <v/>
      </c>
      <c r="L65" s="74" t="str" cm="1">
        <f t="array" ref="L65">IFERROR(1/(1/SUM(COUNTIFS(
'YearB-AppDetails Current Date'!A:A,D65,
'YearB-AppDetails Current Date'!F:F,E65,
'YearB-AppDetails Current Date'!E:E,--F65,
'YearB-AppDetails Current Date'!T:T,{"APEX","DENY","NTSL"},
'YearB-AppDetails Current Date'!I:I,"SUMMER"))), "")</f>
        <v/>
      </c>
      <c r="M65" s="74" t="str" cm="1">
        <f t="array" ref="M65">IFERROR(1/(1/SUM(COUNTIFS(
'YearB-AppDetails Current Date'!A:A,D65,
'YearB-AppDetails Current Date'!F:F,E65,
'YearB-AppDetails Current Date'!E:E,--F65,
'YearB-AppDetails Current Date'!U:U,{"CCAN","DECL"},
'YearB-AppDetails Current Date'!I:I,"SUMMER"))), "")</f>
        <v/>
      </c>
      <c r="N65" s="74" t="str" cm="1">
        <f t="array" ref="N65">IFERROR(1/(1/SUM(COUNTIFS(
'YearB-AppDetails Current Date'!A:A,D65,
'YearB-AppDetails Current Date'!F:F,E65,
'YearB-AppDetails Current Date'!E:E,--F65,
'YearB-AppDetails Current Date'!V:V,{"APRO","NODE"},
'YearB-AppDetails Current Date'!I:I,"SUMMER"))), "")</f>
        <v/>
      </c>
      <c r="O65" s="74" t="str" cm="1">
        <f t="array" ref="O65">IFERROR(1/(1/SUM(COUNTIFS(
'YearB-AppDetails Current Date'!A:A,D65,
'YearB-AppDetails Current Date'!F:F,E65,
'YearB-AppDetails Current Date'!E:E,--F65,
'YearB-AppDetails Current Date'!T:T,{"CDMT","RQMT","WAIT"},
'YearB-AppDetails Current Date'!I:I,"SUMMER"))), "")</f>
        <v/>
      </c>
      <c r="P65" s="74" t="str">
        <f>IFERROR(1/(1/COUNTIFS(
'YearB-AppDetails Current Date'!A:A,D65,
'YearB-AppDetails Current Date'!F:F,E65,
'YearB-AppDetails Current Date'!E:E,--F65,
'YearB-AppDetails Current Date'!Y:Y,"ENRO",
'YearB-AppDetails Current Date'!I:I,"SUMMER")),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HC'!D:T,10,FALSE)),
N(VLOOKUP(D66&amp;F66,'Budgeted Projections Dom HC'!D:T,11,FALSE))
)
),"")</f>
        <v/>
      </c>
      <c r="I66" s="73" t="str">
        <f>IFERROR(1/(1/COUNTIFS(
'YearB-AppDetails Current Date'!A:A,D66,
'YearB-AppDetails Current Date'!F:F,E66,
'YearB-AppDetails Current Date'!E:E,--F66,
'YearB-AppDetails Current Date'!I:I,"SUMMER")), "")</f>
        <v/>
      </c>
      <c r="J66" s="74" t="str" cm="1">
        <f t="array" ref="J66">IFERROR(1/(1/SUM(COUNTIFS(
'YearB-AppDetails Current Date'!A:A,D66,
'YearB-AppDetails Current Date'!F:F,E66,
'YearB-AppDetails Current Date'!E:E,--F66,
'YearB-AppDetails Current Date'!O:O,{"ACLN","ACPT","COND"},
'YearB-AppDetails Current Date'!S:S,"&lt;&gt;ACLN",
'YearB-AppDetails Current Date'!S:S,"&lt;&gt;ACPT",
'YearB-AppDetails Current Date'!S:S,"&lt;&gt;COND",
'YearB-AppDetails Current Date'!I:I,"SUMMER"))), "")</f>
        <v/>
      </c>
      <c r="K66" s="73" t="str">
        <f>IFERROR(1/(1/SUM(COUNTIFS(
'YearB-AppDetails Current Date'!A:A,D66,
'YearB-AppDetails Current Date'!F:F,E66,
'YearB-AppDetails Current Date'!E:E,--F66,
'YearB-AppDetails Current Date'!R:R,"&lt;&gt;"&amp;"",
'YearB-AppDetails Current Date'!I:I,"SUMMER"))), "")</f>
        <v/>
      </c>
      <c r="L66" s="74" t="str" cm="1">
        <f t="array" ref="L66">IFERROR(1/(1/SUM(COUNTIFS(
'YearB-AppDetails Current Date'!A:A,D66,
'YearB-AppDetails Current Date'!F:F,E66,
'YearB-AppDetails Current Date'!E:E,--F66,
'YearB-AppDetails Current Date'!T:T,{"APEX","DENY","NTSL"},
'YearB-AppDetails Current Date'!I:I,"SUMMER"))), "")</f>
        <v/>
      </c>
      <c r="M66" s="74" t="str" cm="1">
        <f t="array" ref="M66">IFERROR(1/(1/SUM(COUNTIFS(
'YearB-AppDetails Current Date'!A:A,D66,
'YearB-AppDetails Current Date'!F:F,E66,
'YearB-AppDetails Current Date'!E:E,--F66,
'YearB-AppDetails Current Date'!U:U,{"CCAN","DECL"},
'YearB-AppDetails Current Date'!I:I,"SUMMER"))), "")</f>
        <v/>
      </c>
      <c r="N66" s="74" t="str" cm="1">
        <f t="array" ref="N66">IFERROR(1/(1/SUM(COUNTIFS(
'YearB-AppDetails Current Date'!A:A,D66,
'YearB-AppDetails Current Date'!F:F,E66,
'YearB-AppDetails Current Date'!E:E,--F66,
'YearB-AppDetails Current Date'!V:V,{"APRO","NODE"},
'YearB-AppDetails Current Date'!I:I,"SUMMER"))), "")</f>
        <v/>
      </c>
      <c r="O66" s="74" t="str" cm="1">
        <f t="array" ref="O66">IFERROR(1/(1/SUM(COUNTIFS(
'YearB-AppDetails Current Date'!A:A,D66,
'YearB-AppDetails Current Date'!F:F,E66,
'YearB-AppDetails Current Date'!E:E,--F66,
'YearB-AppDetails Current Date'!T:T,{"CDMT","RQMT","WAIT"},
'YearB-AppDetails Current Date'!I:I,"SUMMER"))), "")</f>
        <v/>
      </c>
      <c r="P66" s="74" t="str">
        <f>IFERROR(1/(1/COUNTIFS(
'YearB-AppDetails Current Date'!A:A,D66,
'YearB-AppDetails Current Date'!F:F,E66,
'YearB-AppDetails Current Date'!E:E,--F66,
'YearB-AppDetails Current Date'!Y:Y,"ENRO",
'YearB-AppDetails Current Date'!I:I,"SUMMER")),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HC'!D:T,10,FALSE)),
N(VLOOKUP(D67&amp;F67,'Budgeted Projections Intl HC'!D:T,11,FALSE))
)
),"")</f>
        <v/>
      </c>
      <c r="I67" s="73" t="str">
        <f>IFERROR(1/(1/COUNTIFS(
'YearB-AppDetails Current Date'!A:A,D67,
'YearB-AppDetails Current Date'!F:F,E67,
'YearB-AppDetails Current Date'!E:E,--F67,
'YearB-AppDetails Current Date'!I:I,"SUMMER")), "")</f>
        <v/>
      </c>
      <c r="J67" s="74" t="str" cm="1">
        <f t="array" ref="J67">IFERROR(1/(1/SUM(COUNTIFS(
'YearB-AppDetails Current Date'!A:A,D67,
'YearB-AppDetails Current Date'!F:F,E67,
'YearB-AppDetails Current Date'!E:E,--F67,
'YearB-AppDetails Current Date'!O:O,{"ACLN","ACPT","COND"},
'YearB-AppDetails Current Date'!S:S,"&lt;&gt;ACLN",
'YearB-AppDetails Current Date'!S:S,"&lt;&gt;ACPT",
'YearB-AppDetails Current Date'!S:S,"&lt;&gt;COND",
'YearB-AppDetails Current Date'!I:I,"SUMMER"))), "")</f>
        <v/>
      </c>
      <c r="K67" s="73" t="str">
        <f>IFERROR(1/(1/SUM(COUNTIFS(
'YearB-AppDetails Current Date'!A:A,D67,
'YearB-AppDetails Current Date'!F:F,E67,
'YearB-AppDetails Current Date'!E:E,--F67,
'YearB-AppDetails Current Date'!R:R,"&lt;&gt;"&amp;"",
'YearB-AppDetails Current Date'!I:I,"SUMMER"))), "")</f>
        <v/>
      </c>
      <c r="L67" s="74" t="str" cm="1">
        <f t="array" ref="L67">IFERROR(1/(1/SUM(COUNTIFS(
'YearB-AppDetails Current Date'!A:A,D67,
'YearB-AppDetails Current Date'!F:F,E67,
'YearB-AppDetails Current Date'!E:E,--F67,
'YearB-AppDetails Current Date'!T:T,{"APEX","DENY","NTSL"},
'YearB-AppDetails Current Date'!I:I,"SUMMER"))), "")</f>
        <v/>
      </c>
      <c r="M67" s="74" t="str" cm="1">
        <f t="array" ref="M67">IFERROR(1/(1/SUM(COUNTIFS(
'YearB-AppDetails Current Date'!A:A,D67,
'YearB-AppDetails Current Date'!F:F,E67,
'YearB-AppDetails Current Date'!E:E,--F67,
'YearB-AppDetails Current Date'!U:U,{"CCAN","DECL"},
'YearB-AppDetails Current Date'!I:I,"SUMMER"))), "")</f>
        <v/>
      </c>
      <c r="N67" s="74" t="str" cm="1">
        <f t="array" ref="N67">IFERROR(1/(1/SUM(COUNTIFS(
'YearB-AppDetails Current Date'!A:A,D67,
'YearB-AppDetails Current Date'!F:F,E67,
'YearB-AppDetails Current Date'!E:E,--F67,
'YearB-AppDetails Current Date'!V:V,{"APRO","NODE"},
'YearB-AppDetails Current Date'!I:I,"SUMMER"))), "")</f>
        <v/>
      </c>
      <c r="O67" s="74" t="str" cm="1">
        <f t="array" ref="O67">IFERROR(1/(1/SUM(COUNTIFS(
'YearB-AppDetails Current Date'!A:A,D67,
'YearB-AppDetails Current Date'!F:F,E67,
'YearB-AppDetails Current Date'!E:E,--F67,
'YearB-AppDetails Current Date'!T:T,{"CDMT","RQMT","WAIT"},
'YearB-AppDetails Current Date'!I:I,"SUMMER"))), "")</f>
        <v/>
      </c>
      <c r="P67" s="74" t="str">
        <f>IFERROR(1/(1/COUNTIFS(
'YearB-AppDetails Current Date'!A:A,D67,
'YearB-AppDetails Current Date'!F:F,E67,
'YearB-AppDetails Current Date'!E:E,--F67,
'YearB-AppDetails Current Date'!Y:Y,"ENRO",
'YearB-AppDetails Current Date'!I:I,"SUMMER")),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HC'!D:T,10,FALSE)),
N(VLOOKUP(D68&amp;F68,'Budgeted Projections Dom HC'!D:T,11,FALSE))
)
),"")</f>
        <v/>
      </c>
      <c r="I68" s="73" t="str">
        <f>IFERROR(1/(1/COUNTIFS(
'YearB-AppDetails Current Date'!A:A,D68,
'YearB-AppDetails Current Date'!F:F,E68,
'YearB-AppDetails Current Date'!E:E,--F68,
'YearB-AppDetails Current Date'!I:I,"SUMMER")), "")</f>
        <v/>
      </c>
      <c r="J68" s="74" t="str" cm="1">
        <f t="array" ref="J68">IFERROR(1/(1/SUM(COUNTIFS(
'YearB-AppDetails Current Date'!A:A,D68,
'YearB-AppDetails Current Date'!F:F,E68,
'YearB-AppDetails Current Date'!E:E,--F68,
'YearB-AppDetails Current Date'!O:O,{"ACLN","ACPT","COND"},
'YearB-AppDetails Current Date'!S:S,"&lt;&gt;ACLN",
'YearB-AppDetails Current Date'!S:S,"&lt;&gt;ACPT",
'YearB-AppDetails Current Date'!S:S,"&lt;&gt;COND",
'YearB-AppDetails Current Date'!I:I,"SUMMER"))), "")</f>
        <v/>
      </c>
      <c r="K68" s="73" t="str">
        <f>IFERROR(1/(1/SUM(COUNTIFS(
'YearB-AppDetails Current Date'!A:A,D68,
'YearB-AppDetails Current Date'!F:F,E68,
'YearB-AppDetails Current Date'!E:E,--F68,
'YearB-AppDetails Current Date'!R:R,"&lt;&gt;"&amp;"",
'YearB-AppDetails Current Date'!I:I,"SUMMER"))), "")</f>
        <v/>
      </c>
      <c r="L68" s="74" t="str" cm="1">
        <f t="array" ref="L68">IFERROR(1/(1/SUM(COUNTIFS(
'YearB-AppDetails Current Date'!A:A,D68,
'YearB-AppDetails Current Date'!F:F,E68,
'YearB-AppDetails Current Date'!E:E,--F68,
'YearB-AppDetails Current Date'!T:T,{"APEX","DENY","NTSL"},
'YearB-AppDetails Current Date'!I:I,"SUMMER"))), "")</f>
        <v/>
      </c>
      <c r="M68" s="74" t="str" cm="1">
        <f t="array" ref="M68">IFERROR(1/(1/SUM(COUNTIFS(
'YearB-AppDetails Current Date'!A:A,D68,
'YearB-AppDetails Current Date'!F:F,E68,
'YearB-AppDetails Current Date'!E:E,--F68,
'YearB-AppDetails Current Date'!U:U,{"CCAN","DECL"},
'YearB-AppDetails Current Date'!I:I,"SUMMER"))), "")</f>
        <v/>
      </c>
      <c r="N68" s="74" t="str" cm="1">
        <f t="array" ref="N68">IFERROR(1/(1/SUM(COUNTIFS(
'YearB-AppDetails Current Date'!A:A,D68,
'YearB-AppDetails Current Date'!F:F,E68,
'YearB-AppDetails Current Date'!E:E,--F68,
'YearB-AppDetails Current Date'!V:V,{"APRO","NODE"},
'YearB-AppDetails Current Date'!I:I,"SUMMER"))), "")</f>
        <v/>
      </c>
      <c r="O68" s="74" t="str" cm="1">
        <f t="array" ref="O68">IFERROR(1/(1/SUM(COUNTIFS(
'YearB-AppDetails Current Date'!A:A,D68,
'YearB-AppDetails Current Date'!F:F,E68,
'YearB-AppDetails Current Date'!E:E,--F68,
'YearB-AppDetails Current Date'!T:T,{"CDMT","RQMT","WAIT"},
'YearB-AppDetails Current Date'!I:I,"SUMMER"))), "")</f>
        <v/>
      </c>
      <c r="P68" s="74" t="str">
        <f>IFERROR(1/(1/COUNTIFS(
'YearB-AppDetails Current Date'!A:A,D68,
'YearB-AppDetails Current Date'!F:F,E68,
'YearB-AppDetails Current Date'!E:E,--F68,
'YearB-AppDetails Current Date'!Y:Y,"ENRO",
'YearB-AppDetails Current Date'!I:I,"SUMMER")),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HC'!D:T,10,FALSE)),
N(VLOOKUP(D69&amp;F69,'Budgeted Projections Intl HC'!D:T,11,FALSE))
)
),"")</f>
        <v/>
      </c>
      <c r="I69" s="73" t="str">
        <f>IFERROR(1/(1/COUNTIFS(
'YearB-AppDetails Current Date'!A:A,D69,
'YearB-AppDetails Current Date'!F:F,E69,
'YearB-AppDetails Current Date'!E:E,--F69,
'YearB-AppDetails Current Date'!I:I,"SUMMER")), "")</f>
        <v/>
      </c>
      <c r="J69" s="74" t="str" cm="1">
        <f t="array" ref="J69">IFERROR(1/(1/SUM(COUNTIFS(
'YearB-AppDetails Current Date'!A:A,D69,
'YearB-AppDetails Current Date'!F:F,E69,
'YearB-AppDetails Current Date'!E:E,--F69,
'YearB-AppDetails Current Date'!O:O,{"ACLN","ACPT","COND"},
'YearB-AppDetails Current Date'!S:S,"&lt;&gt;ACLN",
'YearB-AppDetails Current Date'!S:S,"&lt;&gt;ACPT",
'YearB-AppDetails Current Date'!S:S,"&lt;&gt;COND",
'YearB-AppDetails Current Date'!I:I,"SUMMER"))), "")</f>
        <v/>
      </c>
      <c r="K69" s="73" t="str">
        <f>IFERROR(1/(1/SUM(COUNTIFS(
'YearB-AppDetails Current Date'!A:A,D69,
'YearB-AppDetails Current Date'!F:F,E69,
'YearB-AppDetails Current Date'!E:E,--F69,
'YearB-AppDetails Current Date'!R:R,"&lt;&gt;"&amp;"",
'YearB-AppDetails Current Date'!I:I,"SUMMER"))), "")</f>
        <v/>
      </c>
      <c r="L69" s="74" t="str" cm="1">
        <f t="array" ref="L69">IFERROR(1/(1/SUM(COUNTIFS(
'YearB-AppDetails Current Date'!A:A,D69,
'YearB-AppDetails Current Date'!F:F,E69,
'YearB-AppDetails Current Date'!E:E,--F69,
'YearB-AppDetails Current Date'!T:T,{"APEX","DENY","NTSL"},
'YearB-AppDetails Current Date'!I:I,"SUMMER"))), "")</f>
        <v/>
      </c>
      <c r="M69" s="74" t="str" cm="1">
        <f t="array" ref="M69">IFERROR(1/(1/SUM(COUNTIFS(
'YearB-AppDetails Current Date'!A:A,D69,
'YearB-AppDetails Current Date'!F:F,E69,
'YearB-AppDetails Current Date'!E:E,--F69,
'YearB-AppDetails Current Date'!U:U,{"CCAN","DECL"},
'YearB-AppDetails Current Date'!I:I,"SUMMER"))), "")</f>
        <v/>
      </c>
      <c r="N69" s="74" t="str" cm="1">
        <f t="array" ref="N69">IFERROR(1/(1/SUM(COUNTIFS(
'YearB-AppDetails Current Date'!A:A,D69,
'YearB-AppDetails Current Date'!F:F,E69,
'YearB-AppDetails Current Date'!E:E,--F69,
'YearB-AppDetails Current Date'!V:V,{"APRO","NODE"},
'YearB-AppDetails Current Date'!I:I,"SUMMER"))), "")</f>
        <v/>
      </c>
      <c r="O69" s="74" t="str" cm="1">
        <f t="array" ref="O69">IFERROR(1/(1/SUM(COUNTIFS(
'YearB-AppDetails Current Date'!A:A,D69,
'YearB-AppDetails Current Date'!F:F,E69,
'YearB-AppDetails Current Date'!E:E,--F69,
'YearB-AppDetails Current Date'!T:T,{"CDMT","RQMT","WAIT"},
'YearB-AppDetails Current Date'!I:I,"SUMMER"))), "")</f>
        <v/>
      </c>
      <c r="P69" s="74" t="str">
        <f>IFERROR(1/(1/COUNTIFS(
'YearB-AppDetails Current Date'!A:A,D69,
'YearB-AppDetails Current Date'!F:F,E69,
'YearB-AppDetails Current Date'!E:E,--F69,
'YearB-AppDetails Current Date'!Y:Y,"ENRO",
'YearB-AppDetails Current Date'!I:I,"SUMMER")),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HC'!D:T,10,FALSE)),
N(VLOOKUP(D70&amp;F70,'Budgeted Projections Dom HC'!D:T,11,FALSE))
)
),"")</f>
        <v/>
      </c>
      <c r="I70" s="73" t="str">
        <f>IFERROR(1/(1/COUNTIFS(
'YearB-AppDetails Current Date'!A:A,D70,
'YearB-AppDetails Current Date'!F:F,E70,
'YearB-AppDetails Current Date'!E:E,--F70,
'YearB-AppDetails Current Date'!I:I,"SUMMER")), "")</f>
        <v/>
      </c>
      <c r="J70" s="74" t="str" cm="1">
        <f t="array" ref="J70">IFERROR(1/(1/SUM(COUNTIFS(
'YearB-AppDetails Current Date'!A:A,D70,
'YearB-AppDetails Current Date'!F:F,E70,
'YearB-AppDetails Current Date'!E:E,--F70,
'YearB-AppDetails Current Date'!O:O,{"ACLN","ACPT","COND"},
'YearB-AppDetails Current Date'!S:S,"&lt;&gt;ACLN",
'YearB-AppDetails Current Date'!S:S,"&lt;&gt;ACPT",
'YearB-AppDetails Current Date'!S:S,"&lt;&gt;COND",
'YearB-AppDetails Current Date'!I:I,"SUMMER"))), "")</f>
        <v/>
      </c>
      <c r="K70" s="73" t="str">
        <f>IFERROR(1/(1/SUM(COUNTIFS(
'YearB-AppDetails Current Date'!A:A,D70,
'YearB-AppDetails Current Date'!F:F,E70,
'YearB-AppDetails Current Date'!E:E,--F70,
'YearB-AppDetails Current Date'!R:R,"&lt;&gt;"&amp;"",
'YearB-AppDetails Current Date'!I:I,"SUMMER"))), "")</f>
        <v/>
      </c>
      <c r="L70" s="74" t="str" cm="1">
        <f t="array" ref="L70">IFERROR(1/(1/SUM(COUNTIFS(
'YearB-AppDetails Current Date'!A:A,D70,
'YearB-AppDetails Current Date'!F:F,E70,
'YearB-AppDetails Current Date'!E:E,--F70,
'YearB-AppDetails Current Date'!T:T,{"APEX","DENY","NTSL"},
'YearB-AppDetails Current Date'!I:I,"SUMMER"))), "")</f>
        <v/>
      </c>
      <c r="M70" s="74" t="str" cm="1">
        <f t="array" ref="M70">IFERROR(1/(1/SUM(COUNTIFS(
'YearB-AppDetails Current Date'!A:A,D70,
'YearB-AppDetails Current Date'!F:F,E70,
'YearB-AppDetails Current Date'!E:E,--F70,
'YearB-AppDetails Current Date'!U:U,{"CCAN","DECL"},
'YearB-AppDetails Current Date'!I:I,"SUMMER"))), "")</f>
        <v/>
      </c>
      <c r="N70" s="74" t="str" cm="1">
        <f t="array" ref="N70">IFERROR(1/(1/SUM(COUNTIFS(
'YearB-AppDetails Current Date'!A:A,D70,
'YearB-AppDetails Current Date'!F:F,E70,
'YearB-AppDetails Current Date'!E:E,--F70,
'YearB-AppDetails Current Date'!V:V,{"APRO","NODE"},
'YearB-AppDetails Current Date'!I:I,"SUMMER"))), "")</f>
        <v/>
      </c>
      <c r="O70" s="74" t="str" cm="1">
        <f t="array" ref="O70">IFERROR(1/(1/SUM(COUNTIFS(
'YearB-AppDetails Current Date'!A:A,D70,
'YearB-AppDetails Current Date'!F:F,E70,
'YearB-AppDetails Current Date'!E:E,--F70,
'YearB-AppDetails Current Date'!T:T,{"CDMT","RQMT","WAIT"},
'YearB-AppDetails Current Date'!I:I,"SUMMER"))), "")</f>
        <v/>
      </c>
      <c r="P70" s="74" t="str">
        <f>IFERROR(1/(1/COUNTIFS(
'YearB-AppDetails Current Date'!A:A,D70,
'YearB-AppDetails Current Date'!F:F,E70,
'YearB-AppDetails Current Date'!E:E,--F70,
'YearB-AppDetails Current Date'!Y:Y,"ENRO",
'YearB-AppDetails Current Date'!I:I,"SUMMER")),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HC'!D:T,10,FALSE)),
N(VLOOKUP(D71&amp;F71,'Budgeted Projections Intl HC'!D:T,11,FALSE))
)
),"")</f>
        <v/>
      </c>
      <c r="I71" s="73" t="str">
        <f>IFERROR(1/(1/COUNTIFS(
'YearB-AppDetails Current Date'!A:A,D71,
'YearB-AppDetails Current Date'!F:F,E71,
'YearB-AppDetails Current Date'!E:E,--F71,
'YearB-AppDetails Current Date'!I:I,"SUMMER")), "")</f>
        <v/>
      </c>
      <c r="J71" s="74" t="str" cm="1">
        <f t="array" ref="J71">IFERROR(1/(1/SUM(COUNTIFS(
'YearB-AppDetails Current Date'!A:A,D71,
'YearB-AppDetails Current Date'!F:F,E71,
'YearB-AppDetails Current Date'!E:E,--F71,
'YearB-AppDetails Current Date'!O:O,{"ACLN","ACPT","COND"},
'YearB-AppDetails Current Date'!S:S,"&lt;&gt;ACLN",
'YearB-AppDetails Current Date'!S:S,"&lt;&gt;ACPT",
'YearB-AppDetails Current Date'!S:S,"&lt;&gt;COND",
'YearB-AppDetails Current Date'!I:I,"SUMMER"))), "")</f>
        <v/>
      </c>
      <c r="K71" s="73" t="str">
        <f>IFERROR(1/(1/SUM(COUNTIFS(
'YearB-AppDetails Current Date'!A:A,D71,
'YearB-AppDetails Current Date'!F:F,E71,
'YearB-AppDetails Current Date'!E:E,--F71,
'YearB-AppDetails Current Date'!R:R,"&lt;&gt;"&amp;"",
'YearB-AppDetails Current Date'!I:I,"SUMMER"))), "")</f>
        <v/>
      </c>
      <c r="L71" s="74" t="str" cm="1">
        <f t="array" ref="L71">IFERROR(1/(1/SUM(COUNTIFS(
'YearB-AppDetails Current Date'!A:A,D71,
'YearB-AppDetails Current Date'!F:F,E71,
'YearB-AppDetails Current Date'!E:E,--F71,
'YearB-AppDetails Current Date'!T:T,{"APEX","DENY","NTSL"},
'YearB-AppDetails Current Date'!I:I,"SUMMER"))), "")</f>
        <v/>
      </c>
      <c r="M71" s="74" t="str" cm="1">
        <f t="array" ref="M71">IFERROR(1/(1/SUM(COUNTIFS(
'YearB-AppDetails Current Date'!A:A,D71,
'YearB-AppDetails Current Date'!F:F,E71,
'YearB-AppDetails Current Date'!E:E,--F71,
'YearB-AppDetails Current Date'!U:U,{"CCAN","DECL"},
'YearB-AppDetails Current Date'!I:I,"SUMMER"))), "")</f>
        <v/>
      </c>
      <c r="N71" s="74" t="str" cm="1">
        <f t="array" ref="N71">IFERROR(1/(1/SUM(COUNTIFS(
'YearB-AppDetails Current Date'!A:A,D71,
'YearB-AppDetails Current Date'!F:F,E71,
'YearB-AppDetails Current Date'!E:E,--F71,
'YearB-AppDetails Current Date'!V:V,{"APRO","NODE"},
'YearB-AppDetails Current Date'!I:I,"SUMMER"))), "")</f>
        <v/>
      </c>
      <c r="O71" s="74" t="str" cm="1">
        <f t="array" ref="O71">IFERROR(1/(1/SUM(COUNTIFS(
'YearB-AppDetails Current Date'!A:A,D71,
'YearB-AppDetails Current Date'!F:F,E71,
'YearB-AppDetails Current Date'!E:E,--F71,
'YearB-AppDetails Current Date'!T:T,{"CDMT","RQMT","WAIT"},
'YearB-AppDetails Current Date'!I:I,"SUMMER"))), "")</f>
        <v/>
      </c>
      <c r="P71" s="74" t="str">
        <f>IFERROR(1/(1/COUNTIFS(
'YearB-AppDetails Current Date'!A:A,D71,
'YearB-AppDetails Current Date'!F:F,E71,
'YearB-AppDetails Current Date'!E:E,--F71,
'YearB-AppDetails Current Date'!Y:Y,"ENRO",
'YearB-AppDetails Current Date'!I:I,"SUMMER")),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HC'!D:T,10,FALSE)),
N(VLOOKUP("BSCACN,BSCAFT,BSCAEE3",'Budgeted Projections Dom HC'!D:T,11,FALSE))
)
),"")</f>
        <v/>
      </c>
      <c r="I72" s="73" t="str" cm="1">
        <f t="array" ref="I72">IFERROR(1/(1/SUM(COUNTIFS(
'YearB-AppDetails Current Date'!A:A,TRIM(_xlfn.TEXTSPLIT(D72,{"&amp;",","})),
'YearB-AppDetails Current Date'!F:F,E72,
'YearB-AppDetails Current Date'!E:E,--F72,
'YearB-AppDetails Current Date'!I:I,"SUMMER"))), "")</f>
        <v/>
      </c>
      <c r="J72" s="74" t="str" cm="1">
        <f t="array" ref="J72">IFERROR(1/(1/SUM(
COUNTIFS(
'YearB-AppDetails Current Date'!A:A,"BSCN",
'YearB-AppDetails Current Date'!F:F,E72,
'YearB-AppDetails Current Date'!E:E,--F72,
'YearB-AppDetails Current Date'!O:O,{"ACLN","ACPT","COND"},
'YearB-AppDetails Current Date'!S:S,"&lt;&gt;ACLN",
'YearB-AppDetails Current Date'!S:S,"&lt;&gt;ACPT",
'YearB-AppDetails Current Date'!S:S,"&lt;&gt;COND",
'YearB-AppDetails Current Date'!I:I,"SUMMER")
+
COUNTIFS(
'YearB-AppDetails Current Date'!A:A,"BSCACN",
'YearB-AppDetails Current Date'!F:F,E72,
'YearB-AppDetails Current Date'!E:E,--F72,
'YearB-AppDetails Current Date'!O:O,{"ACLN","ACPT","COND"},
'YearB-AppDetails Current Date'!S:S,"&lt;&gt;ACLN",
'YearB-AppDetails Current Date'!S:S,"&lt;&gt;ACPT",
'YearB-AppDetails Current Date'!S:S,"&lt;&gt;COND",
'YearB-AppDetails Current Date'!I:I,"SUMMER")
+
COUNTIFS(
'YearB-AppDetails Current Date'!A:A,"BSCAFT",
'YearB-AppDetails Current Date'!F:F,E72,
'YearB-AppDetails Current Date'!E:E,--F72,
'YearB-AppDetails Current Date'!O:O,{"ACLN","ACPT","COND"},
'YearB-AppDetails Current Date'!S:S,"&lt;&gt;ACLN",
'YearB-AppDetails Current Date'!S:S,"&lt;&gt;ACPT",
'YearB-AppDetails Current Date'!S:S,"&lt;&gt;COND",
'YearB-AppDetails Current Date'!I:I,"SUMMER")
+
COUNTIFS(
'YearB-AppDetails Current Date'!A:A,"BSCAEE",
'YearB-AppDetails Current Date'!F:F,E72,
'YearB-AppDetails Current Date'!E:E,--F72,
'YearB-AppDetails Current Date'!O:O,{"ACLN","ACPT","COND"},
'YearB-AppDetails Current Date'!S:S,"&lt;&gt;ACLN",
'YearB-AppDetails Current Date'!S:S,"&lt;&gt;ACPT",
'YearB-AppDetails Current Date'!S:S,"&lt;&gt;COND",
'YearB-AppDetails Current Date'!I:I,"SUMMER")
)), "")</f>
        <v/>
      </c>
      <c r="K72" s="73" t="str">
        <f>IFERROR(1/(1/SUM(
COUNTIFS(
'YearB-AppDetails Current Date'!A:A,"BSCN",
'YearB-AppDetails Current Date'!F:F,E72,
'YearB-AppDetails Current Date'!E:E,--F72,
'YearB-AppDetails Current Date'!R:R,"&lt;&gt;"&amp;"",
'YearB-AppDetails Current Date'!I:I,"SUMMER")
+
COUNTIFS(
'YearB-AppDetails Current Date'!A:A,"BSCACN",
'YearB-AppDetails Current Date'!F:F,E72,
'YearB-AppDetails Current Date'!E:E,--F72,
'YearB-AppDetails Current Date'!R:R,"&lt;&gt;"&amp;"",
'YearB-AppDetails Current Date'!I:I,"SUMMER")
+
COUNTIFS(
'YearB-AppDetails Current Date'!A:A,"BSCAFT",
'YearB-AppDetails Current Date'!F:F,E72,
'YearB-AppDetails Current Date'!E:E,--F72,
'YearB-AppDetails Current Date'!R:R,"&lt;&gt;"&amp;"",
'YearB-AppDetails Current Date'!I:I,"SUMMER")
+
COUNTIFS(
'YearB-AppDetails Current Date'!A:A,"BSCAEE",
'YearB-AppDetails Current Date'!F:F,E72,
'YearB-AppDetails Current Date'!E:E,--F72,
'YearB-AppDetails Current Date'!R:R,"&lt;&gt;"&amp;"",
'YearB-AppDetails Current Date'!I:I,"SUMMER")
)), "")</f>
        <v/>
      </c>
      <c r="L72" s="74" t="str" cm="1">
        <f t="array" ref="L72">IFERROR(1/(1/SUM(
COUNTIFS(
'YearB-AppDetails Current Date'!A:A,"BSCN",
'YearB-AppDetails Current Date'!F:F,E72,
'YearB-AppDetails Current Date'!E:E,--F72,
'YearB-AppDetails Current Date'!T:T,{"APEX","DENY","NTSL"},
'YearB-AppDetails Current Date'!I:I,"SUMMER")
+
COUNTIFS(
'YearB-AppDetails Current Date'!A:A,"BSCACN",
'YearB-AppDetails Current Date'!F:F,E72,
'YearB-AppDetails Current Date'!E:E,--F72,
'YearB-AppDetails Current Date'!T:T,{"APEX","DENY","NTSL"},
'YearB-AppDetails Current Date'!I:I,"SUMMER")
+
COUNTIFS(
'YearB-AppDetails Current Date'!A:A,"BSCAFT",
'YearB-AppDetails Current Date'!F:F,E72,
'YearB-AppDetails Current Date'!E:E,--F72,
'YearB-AppDetails Current Date'!T:T,{"APEX","DENY","NTSL"},
'YearB-AppDetails Current Date'!I:I,"SUMMER")
+
COUNTIFS(
'YearB-AppDetails Current Date'!A:A,"BSCAEE",
'YearB-AppDetails Current Date'!F:F,E72,
'YearB-AppDetails Current Date'!E:E,--F72,
'YearB-AppDetails Current Date'!T:T,{"APEX","DENY","NTSL"},
'YearB-AppDetails Current Date'!I:I,"SUMMER")
)), "")</f>
        <v/>
      </c>
      <c r="M72" s="74" t="str" cm="1">
        <f t="array" ref="M72">IFERROR(1/(1/SUM(
COUNTIFS(
'YearB-AppDetails Current Date'!A:A,"BSCN",
'YearB-AppDetails Current Date'!F:F,E72,
'YearB-AppDetails Current Date'!E:E,--F72,
'YearB-AppDetails Current Date'!U:U,{"CCAN","DECL"},
'YearB-AppDetails Current Date'!I:I,"SUMMER")
+
COUNTIFS(
'YearB-AppDetails Current Date'!A:A,"BSCACN",
'YearB-AppDetails Current Date'!F:F,E72,
'YearB-AppDetails Current Date'!E:E,--F72,
'YearB-AppDetails Current Date'!U:U,{"CCAN","DECL"},
'YearB-AppDetails Current Date'!I:I,"SUMMER")
+
COUNTIFS(
'YearB-AppDetails Current Date'!A:A,"BSCAFT",
'YearB-AppDetails Current Date'!F:F,E72,
'YearB-AppDetails Current Date'!E:E,--F72,
'YearB-AppDetails Current Date'!U:U,{"CCAN","DECL"},
'YearB-AppDetails Current Date'!I:I,"SUMMER")
+
COUNTIFS(
'YearB-AppDetails Current Date'!A:A,"BSCAEE",
'YearB-AppDetails Current Date'!F:F,E72,
'YearB-AppDetails Current Date'!E:E,--F72,
'YearB-AppDetails Current Date'!U:U,{"CCAN","DECL"},
'YearB-AppDetails Current Date'!I:I,"SUMMER")
)), "")</f>
        <v/>
      </c>
      <c r="N72" s="74" t="str" cm="1">
        <f t="array" ref="N72">IFERROR(1/(1/SUM(
COUNTIFS(
'YearB-AppDetails Current Date'!A:A,"BSCN",
'YearB-AppDetails Current Date'!F:F,E72,
'YearB-AppDetails Current Date'!E:E,--F72,
'YearB-AppDetails Current Date'!V:V,{"APRO","NODE"},
'YearB-AppDetails Current Date'!I:I,"SUMMER")
+
COUNTIFS(
'YearB-AppDetails Current Date'!A:A,"BSCACN",
'YearB-AppDetails Current Date'!F:F,E72,
'YearB-AppDetails Current Date'!E:E,--F72,
'YearB-AppDetails Current Date'!V:V,{"APRO","NODE"},
'YearB-AppDetails Current Date'!I:I,"SUMMER")
+
COUNTIFS(
'YearB-AppDetails Current Date'!A:A,"BSCAFT",
'YearB-AppDetails Current Date'!F:F,E72,
'YearB-AppDetails Current Date'!E:E,--F72,
'YearB-AppDetails Current Date'!V:V,{"APRO","NODE"},
'YearB-AppDetails Current Date'!I:I,"SUMMER")
+
COUNTIFS(
'YearB-AppDetails Current Date'!A:A,"BSCAEE",
'YearB-AppDetails Current Date'!F:F,E72,
'YearB-AppDetails Current Date'!E:E,--F72,
'YearB-AppDetails Current Date'!V:V,{"APRO","NODE"},
'YearB-AppDetails Current Date'!I:I,"SUMMER")
)), "")</f>
        <v/>
      </c>
      <c r="O72" s="74" t="str" cm="1">
        <f t="array" ref="O72">IFERROR(1/(1/SUM(
COUNTIFS(
'YearB-AppDetails Current Date'!A:A,"BSCN",
'YearB-AppDetails Current Date'!F:F,E72,
'YearB-AppDetails Current Date'!E:E,--F72,
'YearB-AppDetails Current Date'!T:T,{"CDMT","RQMT","WAIT"},
'YearB-AppDetails Current Date'!I:I,"SUMMER")
+
COUNTIFS(
'YearB-AppDetails Current Date'!A:A,"BSCACN",
'YearB-AppDetails Current Date'!F:F,E72,
'YearB-AppDetails Current Date'!E:E,--F72,
'YearB-AppDetails Current Date'!T:T,{"CDMT","RQMT","WAIT"},
'YearB-AppDetails Current Date'!I:I,"SUMMER")
+
COUNTIFS(
'YearB-AppDetails Current Date'!A:A,"BSCAFT",
'YearB-AppDetails Current Date'!F:F,E72,
'YearB-AppDetails Current Date'!E:E,--F72,
'YearB-AppDetails Current Date'!T:T,{"CDMT","RQMT","WAIT"},
'YearB-AppDetails Current Date'!I:I,"SUMMER")
+
COUNTIFS(
'YearB-AppDetails Current Date'!A:A,"BSCAEE",
'YearB-AppDetails Current Date'!F:F,E72,
'YearB-AppDetails Current Date'!E:E,--F72,
'YearB-AppDetails Current Date'!T:T,{"CDMT","RQMT","WAIT"},
'YearB-AppDetails Current Date'!I:I,"SUMMER")
)), "")</f>
        <v/>
      </c>
      <c r="P72" s="74" t="str" cm="1">
        <f t="array" ref="P72">IFERROR(1/(1/SUM(COUNTIFS(
'YearB-AppDetails Current Date'!A:A,TRIM(_xlfn.TEXTSPLIT(D72,{"&amp;",","})),
'YearB-AppDetails Current Date'!F:F,E72,
'YearB-AppDetails Current Date'!E:E,--F72,
'YearB-AppDetails Current Date'!Y:Y,"ENRO",
'YearB-AppDetails Current Date'!I:I,"SUMMER"))),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HC'!D:T,10,FALSE)),
N(VLOOKUP("BSCACN,BSCAFT,BSCAEE3",'Budgeted Projections Intl HC'!D:T,11,FALSE))
)
),"")</f>
        <v/>
      </c>
      <c r="I73" s="73" t="str" cm="1">
        <f t="array" ref="I73">IFERROR(1/(1/SUM(COUNTIFS(
'YearB-AppDetails Current Date'!A:A,TRIM(_xlfn.TEXTSPLIT(D73,{"&amp;",","})),
'YearB-AppDetails Current Date'!F:F,E73,
'YearB-AppDetails Current Date'!E:E,--F73,
'YearB-AppDetails Current Date'!I:I,"SUMMER"))), "")</f>
        <v/>
      </c>
      <c r="J73" s="74" t="str" cm="1">
        <f t="array" ref="J73">IFERROR(1/(1/SUM(
COUNTIFS(
'YearB-AppDetails Current Date'!A:A,"BSCN",
'YearB-AppDetails Current Date'!F:F,E73,
'YearB-AppDetails Current Date'!E:E,--F73,
'YearB-AppDetails Current Date'!O:O,{"ACLN","ACPT","COND"},
'YearB-AppDetails Current Date'!S:S,"&lt;&gt;ACLN",
'YearB-AppDetails Current Date'!S:S,"&lt;&gt;ACPT",
'YearB-AppDetails Current Date'!S:S,"&lt;&gt;COND",
'YearB-AppDetails Current Date'!I:I,"SUMMER")
+
COUNTIFS(
'YearB-AppDetails Current Date'!A:A,"BSCACN",
'YearB-AppDetails Current Date'!F:F,E73,
'YearB-AppDetails Current Date'!E:E,--F73,
'YearB-AppDetails Current Date'!O:O,{"ACLN","ACPT","COND"},
'YearB-AppDetails Current Date'!S:S,"&lt;&gt;ACLN",
'YearB-AppDetails Current Date'!S:S,"&lt;&gt;ACPT",
'YearB-AppDetails Current Date'!S:S,"&lt;&gt;COND",
'YearB-AppDetails Current Date'!I:I,"SUMMER")
+
COUNTIFS(
'YearB-AppDetails Current Date'!A:A,"BSCAFT",
'YearB-AppDetails Current Date'!F:F,E73,
'YearB-AppDetails Current Date'!E:E,--F73,
'YearB-AppDetails Current Date'!O:O,{"ACLN","ACPT","COND"},
'YearB-AppDetails Current Date'!S:S,"&lt;&gt;ACLN",
'YearB-AppDetails Current Date'!S:S,"&lt;&gt;ACPT",
'YearB-AppDetails Current Date'!S:S,"&lt;&gt;COND",
'YearB-AppDetails Current Date'!I:I,"SUMMER")
+
COUNTIFS(
'YearB-AppDetails Current Date'!A:A,"BSCAEE",
'YearB-AppDetails Current Date'!F:F,E73,
'YearB-AppDetails Current Date'!E:E,--F73,
'YearB-AppDetails Current Date'!O:O,{"ACLN","ACPT","COND"},
'YearB-AppDetails Current Date'!S:S,"&lt;&gt;ACLN",
'YearB-AppDetails Current Date'!S:S,"&lt;&gt;ACPT",
'YearB-AppDetails Current Date'!S:S,"&lt;&gt;COND",
'YearB-AppDetails Current Date'!I:I,"SUMMER")
)), "")</f>
        <v/>
      </c>
      <c r="K73" s="73" t="str">
        <f>IFERROR(1/(1/SUM(
COUNTIFS(
'YearB-AppDetails Current Date'!A:A,"BSCN",
'YearB-AppDetails Current Date'!F:F,E73,
'YearB-AppDetails Current Date'!E:E,--F73,
'YearB-AppDetails Current Date'!R:R,"&lt;&gt;"&amp;"",
'YearB-AppDetails Current Date'!I:I,"SUMMER")
+
COUNTIFS(
'YearB-AppDetails Current Date'!A:A,"BSCACN",
'YearB-AppDetails Current Date'!F:F,E73,
'YearB-AppDetails Current Date'!E:E,--F73,
'YearB-AppDetails Current Date'!R:R,"&lt;&gt;"&amp;"",
'YearB-AppDetails Current Date'!I:I,"SUMMER")
+
COUNTIFS(
'YearB-AppDetails Current Date'!A:A,"BSCAFT",
'YearB-AppDetails Current Date'!F:F,E73,
'YearB-AppDetails Current Date'!E:E,--F73,
'YearB-AppDetails Current Date'!R:R,"&lt;&gt;"&amp;"",
'YearB-AppDetails Current Date'!I:I,"SUMMER")
+
COUNTIFS(
'YearB-AppDetails Current Date'!A:A,"BSCAEE",
'YearB-AppDetails Current Date'!F:F,E73,
'YearB-AppDetails Current Date'!E:E,--F73,
'YearB-AppDetails Current Date'!R:R,"&lt;&gt;"&amp;"",
'YearB-AppDetails Current Date'!I:I,"SUMMER")
)), "")</f>
        <v/>
      </c>
      <c r="L73" s="74" t="str" cm="1">
        <f t="array" ref="L73">IFERROR(1/(1/SUM(
COUNTIFS(
'YearB-AppDetails Current Date'!A:A,"BSCN",
'YearB-AppDetails Current Date'!F:F,E73,
'YearB-AppDetails Current Date'!E:E,--F73,
'YearB-AppDetails Current Date'!T:T,{"APEX","DENY","NTSL"},
'YearB-AppDetails Current Date'!I:I,"SUMMER")
+
COUNTIFS(
'YearB-AppDetails Current Date'!A:A,"BSCACN",
'YearB-AppDetails Current Date'!F:F,E73,
'YearB-AppDetails Current Date'!E:E,--F73,
'YearB-AppDetails Current Date'!T:T,{"APEX","DENY","NTSL"},
'YearB-AppDetails Current Date'!I:I,"SUMMER")
+
COUNTIFS(
'YearB-AppDetails Current Date'!A:A,"BSCAFT",
'YearB-AppDetails Current Date'!F:F,E73,
'YearB-AppDetails Current Date'!E:E,--F73,
'YearB-AppDetails Current Date'!T:T,{"APEX","DENY","NTSL"},
'YearB-AppDetails Current Date'!I:I,"SUMMER")
+
COUNTIFS(
'YearB-AppDetails Current Date'!A:A,"BSCAEE",
'YearB-AppDetails Current Date'!F:F,E73,
'YearB-AppDetails Current Date'!E:E,--F73,
'YearB-AppDetails Current Date'!T:T,{"APEX","DENY","NTSL"},
'YearB-AppDetails Current Date'!I:I,"SUMMER")
)), "")</f>
        <v/>
      </c>
      <c r="M73" s="74" t="str" cm="1">
        <f t="array" ref="M73">IFERROR(1/(1/SUM(
COUNTIFS(
'YearB-AppDetails Current Date'!A:A,"BSCN",
'YearB-AppDetails Current Date'!F:F,E73,
'YearB-AppDetails Current Date'!E:E,--F73,
'YearB-AppDetails Current Date'!U:U,{"CCAN","DECL"},
'YearB-AppDetails Current Date'!I:I,"SUMMER")
+
COUNTIFS(
'YearB-AppDetails Current Date'!A:A,"BSCACN",
'YearB-AppDetails Current Date'!F:F,E73,
'YearB-AppDetails Current Date'!E:E,--F73,
'YearB-AppDetails Current Date'!U:U,{"CCAN","DECL"},
'YearB-AppDetails Current Date'!I:I,"SUMMER")
+
COUNTIFS(
'YearB-AppDetails Current Date'!A:A,"BSCAFT",
'YearB-AppDetails Current Date'!F:F,E73,
'YearB-AppDetails Current Date'!E:E,--F73,
'YearB-AppDetails Current Date'!U:U,{"CCAN","DECL"},
'YearB-AppDetails Current Date'!I:I,"SUMMER")
+
COUNTIFS(
'YearB-AppDetails Current Date'!A:A,"BSCAEE",
'YearB-AppDetails Current Date'!F:F,E73,
'YearB-AppDetails Current Date'!E:E,--F73,
'YearB-AppDetails Current Date'!U:U,{"CCAN","DECL"},
'YearB-AppDetails Current Date'!I:I,"SUMMER")
)), "")</f>
        <v/>
      </c>
      <c r="N73" s="74" t="str" cm="1">
        <f t="array" ref="N73">IFERROR(1/(1/SUM(
COUNTIFS(
'YearB-AppDetails Current Date'!A:A,"BSCN",
'YearB-AppDetails Current Date'!F:F,E73,
'YearB-AppDetails Current Date'!E:E,--F73,
'YearB-AppDetails Current Date'!V:V,{"APRO","NODE"},
'YearB-AppDetails Current Date'!I:I,"SUMMER")
+
COUNTIFS(
'YearB-AppDetails Current Date'!A:A,"BSCACN",
'YearB-AppDetails Current Date'!F:F,E73,
'YearB-AppDetails Current Date'!E:E,--F73,
'YearB-AppDetails Current Date'!V:V,{"APRO","NODE"},
'YearB-AppDetails Current Date'!I:I,"SUMMER")
+
COUNTIFS(
'YearB-AppDetails Current Date'!A:A,"BSCAFT",
'YearB-AppDetails Current Date'!F:F,E73,
'YearB-AppDetails Current Date'!E:E,--F73,
'YearB-AppDetails Current Date'!V:V,{"APRO","NODE"},
'YearB-AppDetails Current Date'!I:I,"SUMMER")
+
COUNTIFS(
'YearB-AppDetails Current Date'!A:A,"BSCAEE",
'YearB-AppDetails Current Date'!F:F,E73,
'YearB-AppDetails Current Date'!E:E,--F73,
'YearB-AppDetails Current Date'!V:V,{"APRO","NODE"},
'YearB-AppDetails Current Date'!I:I,"SUMMER")
)), "")</f>
        <v/>
      </c>
      <c r="O73" s="74" t="str" cm="1">
        <f t="array" ref="O73">IFERROR(1/(1/SUM(
COUNTIFS(
'YearB-AppDetails Current Date'!A:A,"BSCN",
'YearB-AppDetails Current Date'!F:F,E73,
'YearB-AppDetails Current Date'!E:E,--F73,
'YearB-AppDetails Current Date'!T:T,{"CDMT","RQMT","WAIT"},
'YearB-AppDetails Current Date'!I:I,"SUMMER")
+
COUNTIFS(
'YearB-AppDetails Current Date'!A:A,"BSCACN",
'YearB-AppDetails Current Date'!F:F,E73,
'YearB-AppDetails Current Date'!E:E,--F73,
'YearB-AppDetails Current Date'!T:T,{"CDMT","RQMT","WAIT"},
'YearB-AppDetails Current Date'!I:I,"SUMMER")
+
COUNTIFS(
'YearB-AppDetails Current Date'!A:A,"BSCAFT",
'YearB-AppDetails Current Date'!F:F,E73,
'YearB-AppDetails Current Date'!E:E,--F73,
'YearB-AppDetails Current Date'!T:T,{"CDMT","RQMT","WAIT"},
'YearB-AppDetails Current Date'!I:I,"SUMMER")
+
COUNTIFS(
'YearB-AppDetails Current Date'!A:A,"BSCAEE",
'YearB-AppDetails Current Date'!F:F,E73,
'YearB-AppDetails Current Date'!E:E,--F73,
'YearB-AppDetails Current Date'!T:T,{"CDMT","RQMT","WAIT"},
'YearB-AppDetails Current Date'!I:I,"SUMMER")
)), "")</f>
        <v/>
      </c>
      <c r="P73" s="74" t="str" cm="1">
        <f t="array" ref="P73">IFERROR(1/(1/SUM(COUNTIFS(
'YearB-AppDetails Current Date'!A:A,TRIM(_xlfn.TEXTSPLIT(D73,{"&amp;",","})),
'YearB-AppDetails Current Date'!F:F,E73,
'YearB-AppDetails Current Date'!E:E,--F73,
'YearB-AppDetails Current Date'!Y:Y,"ENRO",
'YearB-AppDetails Current Date'!I:I,"SUMMER"))),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HC'!D:T,10,FALSE)),
N(VLOOKUP(D74&amp;F74,'Budgeted Projections Dom HC'!D:T,11,FALSE))
)
),"")</f>
        <v/>
      </c>
      <c r="I74" s="73" t="str">
        <f>IFERROR(1/(1/COUNTIFS(
'YearB-AppDetails Current Date'!A:A,D74,
'YearB-AppDetails Current Date'!F:F,E74,
'YearB-AppDetails Current Date'!E:E,--F74,
'YearB-AppDetails Current Date'!I:I,"SUMMER")), "")</f>
        <v/>
      </c>
      <c r="J74" s="74" t="str" cm="1">
        <f t="array" ref="J74">IFERROR(1/(1/SUM(COUNTIFS(
'YearB-AppDetails Current Date'!A:A,D74,
'YearB-AppDetails Current Date'!F:F,E74,
'YearB-AppDetails Current Date'!E:E,--F74,
'YearB-AppDetails Current Date'!O:O,{"ACLN","ACPT","COND"},
'YearB-AppDetails Current Date'!S:S,"&lt;&gt;ACLN",
'YearB-AppDetails Current Date'!S:S,"&lt;&gt;ACPT",
'YearB-AppDetails Current Date'!S:S,"&lt;&gt;COND",
'YearB-AppDetails Current Date'!I:I,"SUMMER"))), "")</f>
        <v/>
      </c>
      <c r="K74" s="73" t="str">
        <f>IFERROR(1/(1/SUM(COUNTIFS(
'YearB-AppDetails Current Date'!A:A,D74,
'YearB-AppDetails Current Date'!F:F,E74,
'YearB-AppDetails Current Date'!E:E,--F74,
'YearB-AppDetails Current Date'!R:R,"&lt;&gt;"&amp;"",
'YearB-AppDetails Current Date'!I:I,"SUMMER"))), "")</f>
        <v/>
      </c>
      <c r="L74" s="74" t="str" cm="1">
        <f t="array" ref="L74">IFERROR(1/(1/SUM(COUNTIFS(
'YearB-AppDetails Current Date'!A:A,D74,
'YearB-AppDetails Current Date'!F:F,E74,
'YearB-AppDetails Current Date'!E:E,--F74,
'YearB-AppDetails Current Date'!T:T,{"APEX","DENY","NTSL"},
'YearB-AppDetails Current Date'!I:I,"SUMMER"))), "")</f>
        <v/>
      </c>
      <c r="M74" s="74" t="str" cm="1">
        <f t="array" ref="M74">IFERROR(1/(1/SUM(COUNTIFS(
'YearB-AppDetails Current Date'!A:A,D74,
'YearB-AppDetails Current Date'!F:F,E74,
'YearB-AppDetails Current Date'!E:E,--F74,
'YearB-AppDetails Current Date'!U:U,{"CCAN","DECL"},
'YearB-AppDetails Current Date'!I:I,"SUMMER"))), "")</f>
        <v/>
      </c>
      <c r="N74" s="74" t="str" cm="1">
        <f t="array" ref="N74">IFERROR(1/(1/SUM(COUNTIFS(
'YearB-AppDetails Current Date'!A:A,D74,
'YearB-AppDetails Current Date'!F:F,E74,
'YearB-AppDetails Current Date'!E:E,--F74,
'YearB-AppDetails Current Date'!V:V,{"APRO","NODE"},
'YearB-AppDetails Current Date'!I:I,"SUMMER"))), "")</f>
        <v/>
      </c>
      <c r="O74" s="74" t="str" cm="1">
        <f t="array" ref="O74">IFERROR(1/(1/SUM(COUNTIFS(
'YearB-AppDetails Current Date'!A:A,D74,
'YearB-AppDetails Current Date'!F:F,E74,
'YearB-AppDetails Current Date'!E:E,--F74,
'YearB-AppDetails Current Date'!T:T,{"CDMT","RQMT","WAIT"},
'YearB-AppDetails Current Date'!I:I,"SUMMER"))), "")</f>
        <v/>
      </c>
      <c r="P74" s="74" t="str">
        <f>IFERROR(1/(1/COUNTIFS(
'YearB-AppDetails Current Date'!A:A,D74,
'YearB-AppDetails Current Date'!F:F,E74,
'YearB-AppDetails Current Date'!E:E,--F74,
'YearB-AppDetails Current Date'!Y:Y,"ENRO",
'YearB-AppDetails Current Date'!I:I,"SUMMER")),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HC'!D:T,10,FALSE)),
N(VLOOKUP(D75&amp;F75,'Budgeted Projections Intl HC'!D:T,11,FALSE))
)
),"")</f>
        <v/>
      </c>
      <c r="I75" s="73" t="str">
        <f>IFERROR(1/(1/COUNTIFS(
'YearB-AppDetails Current Date'!A:A,D75,
'YearB-AppDetails Current Date'!F:F,E75,
'YearB-AppDetails Current Date'!E:E,--F75,
'YearB-AppDetails Current Date'!I:I,"SUMMER")), "")</f>
        <v/>
      </c>
      <c r="J75" s="74" t="str" cm="1">
        <f t="array" ref="J75">IFERROR(1/(1/SUM(COUNTIFS(
'YearB-AppDetails Current Date'!A:A,D75,
'YearB-AppDetails Current Date'!F:F,E75,
'YearB-AppDetails Current Date'!E:E,--F75,
'YearB-AppDetails Current Date'!O:O,{"ACLN","ACPT","COND"},
'YearB-AppDetails Current Date'!S:S,"&lt;&gt;ACLN",
'YearB-AppDetails Current Date'!S:S,"&lt;&gt;ACPT",
'YearB-AppDetails Current Date'!S:S,"&lt;&gt;COND",
'YearB-AppDetails Current Date'!I:I,"SUMMER"))), "")</f>
        <v/>
      </c>
      <c r="K75" s="73" t="str">
        <f>IFERROR(1/(1/SUM(COUNTIFS(
'YearB-AppDetails Current Date'!A:A,D75,
'YearB-AppDetails Current Date'!F:F,E75,
'YearB-AppDetails Current Date'!E:E,--F75,
'YearB-AppDetails Current Date'!R:R,"&lt;&gt;"&amp;"",
'YearB-AppDetails Current Date'!I:I,"SUMMER"))), "")</f>
        <v/>
      </c>
      <c r="L75" s="74" t="str" cm="1">
        <f t="array" ref="L75">IFERROR(1/(1/SUM(COUNTIFS(
'YearB-AppDetails Current Date'!A:A,D75,
'YearB-AppDetails Current Date'!F:F,E75,
'YearB-AppDetails Current Date'!E:E,--F75,
'YearB-AppDetails Current Date'!T:T,{"APEX","DENY","NTSL"},
'YearB-AppDetails Current Date'!I:I,"SUMMER"))), "")</f>
        <v/>
      </c>
      <c r="M75" s="74" t="str" cm="1">
        <f t="array" ref="M75">IFERROR(1/(1/SUM(COUNTIFS(
'YearB-AppDetails Current Date'!A:A,D75,
'YearB-AppDetails Current Date'!F:F,E75,
'YearB-AppDetails Current Date'!E:E,--F75,
'YearB-AppDetails Current Date'!U:U,{"CCAN","DECL"},
'YearB-AppDetails Current Date'!I:I,"SUMMER"))), "")</f>
        <v/>
      </c>
      <c r="N75" s="74" t="str" cm="1">
        <f t="array" ref="N75">IFERROR(1/(1/SUM(COUNTIFS(
'YearB-AppDetails Current Date'!A:A,D75,
'YearB-AppDetails Current Date'!F:F,E75,
'YearB-AppDetails Current Date'!E:E,--F75,
'YearB-AppDetails Current Date'!V:V,{"APRO","NODE"},
'YearB-AppDetails Current Date'!I:I,"SUMMER"))), "")</f>
        <v/>
      </c>
      <c r="O75" s="74" t="str" cm="1">
        <f t="array" ref="O75">IFERROR(1/(1/SUM(COUNTIFS(
'YearB-AppDetails Current Date'!A:A,D75,
'YearB-AppDetails Current Date'!F:F,E75,
'YearB-AppDetails Current Date'!E:E,--F75,
'YearB-AppDetails Current Date'!T:T,{"CDMT","RQMT","WAIT"},
'YearB-AppDetails Current Date'!I:I,"SUMMER"))), "")</f>
        <v/>
      </c>
      <c r="P75" s="74" t="str">
        <f>IFERROR(1/(1/COUNTIFS(
'YearB-AppDetails Current Date'!A:A,D75,
'YearB-AppDetails Current Date'!F:F,E75,
'YearB-AppDetails Current Date'!E:E,--F75,
'YearB-AppDetails Current Date'!Y:Y,"ENRO",
'YearB-AppDetails Current Date'!I:I,"SUMMER")),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HC'!D:T,10,FALSE)),
N(VLOOKUP(D78&amp;F78,'Budgeted Projections Dom HC'!D:T,11,FALSE))
)
),"")</f>
        <v/>
      </c>
      <c r="I78" s="73" t="str">
        <f>IFERROR(1/(1/COUNTIFS(
'YearB-AppDetails Current Date'!A:A,D78,
'YearB-AppDetails Current Date'!F:F,E78,
'YearB-AppDetails Current Date'!E:E,--F78,
'YearB-AppDetails Current Date'!I:I,"SUMMER")), "")</f>
        <v/>
      </c>
      <c r="J78" s="74" t="str" cm="1">
        <f t="array" ref="J78">IFERROR(1/(1/SUM(COUNTIFS(
'YearB-AppDetails Current Date'!A:A,D78,
'YearB-AppDetails Current Date'!F:F,E78,
'YearB-AppDetails Current Date'!E:E,--F78,
'YearB-AppDetails Current Date'!O:O,{"ACLN","ACPT","COND"},
'YearB-AppDetails Current Date'!S:S,"&lt;&gt;ACLN",
'YearB-AppDetails Current Date'!S:S,"&lt;&gt;ACPT",
'YearB-AppDetails Current Date'!S:S,"&lt;&gt;COND",
'YearB-AppDetails Current Date'!I:I,"SUMMER"))), "")</f>
        <v/>
      </c>
      <c r="K78" s="73" t="str">
        <f>IFERROR(1/(1/SUM(COUNTIFS(
'YearB-AppDetails Current Date'!A:A,D78,
'YearB-AppDetails Current Date'!F:F,E78,
'YearB-AppDetails Current Date'!E:E,--F78,
'YearB-AppDetails Current Date'!R:R,"&lt;&gt;"&amp;"",
'YearB-AppDetails Current Date'!I:I,"SUMMER"))), "")</f>
        <v/>
      </c>
      <c r="L78" s="74" t="str" cm="1">
        <f t="array" ref="L78">IFERROR(1/(1/SUM(COUNTIFS(
'YearB-AppDetails Current Date'!A:A,D78,
'YearB-AppDetails Current Date'!F:F,E78,
'YearB-AppDetails Current Date'!E:E,--F78,
'YearB-AppDetails Current Date'!T:T,{"APEX","DENY","NTSL"},
'YearB-AppDetails Current Date'!I:I,"SUMMER"))), "")</f>
        <v/>
      </c>
      <c r="M78" s="74" t="str" cm="1">
        <f t="array" ref="M78">IFERROR(1/(1/SUM(COUNTIFS(
'YearB-AppDetails Current Date'!A:A,D78,
'YearB-AppDetails Current Date'!F:F,E78,
'YearB-AppDetails Current Date'!E:E,--F78,
'YearB-AppDetails Current Date'!U:U,{"CCAN","DECL"},
'YearB-AppDetails Current Date'!I:I,"SUMMER"))), "")</f>
        <v/>
      </c>
      <c r="N78" s="74" t="str" cm="1">
        <f t="array" ref="N78">IFERROR(1/(1/SUM(COUNTIFS(
'YearB-AppDetails Current Date'!A:A,D78,
'YearB-AppDetails Current Date'!F:F,E78,
'YearB-AppDetails Current Date'!E:E,--F78,
'YearB-AppDetails Current Date'!V:V,{"APRO","NODE"},
'YearB-AppDetails Current Date'!I:I,"SUMMER"))), "")</f>
        <v/>
      </c>
      <c r="O78" s="74" t="str" cm="1">
        <f t="array" ref="O78">IFERROR(1/(1/SUM(COUNTIFS(
'YearB-AppDetails Current Date'!A:A,D78,
'YearB-AppDetails Current Date'!F:F,E78,
'YearB-AppDetails Current Date'!E:E,--F78,
'YearB-AppDetails Current Date'!T:T,{"CDMT","RQMT","WAIT"},
'YearB-AppDetails Current Date'!I:I,"SUMMER"))), "")</f>
        <v/>
      </c>
      <c r="P78" s="74" t="str">
        <f>IFERROR(1/(1/COUNTIFS(
'YearB-AppDetails Current Date'!A:A,D78,
'YearB-AppDetails Current Date'!F:F,E78,
'YearB-AppDetails Current Date'!E:E,--F78,
'YearB-AppDetails Current Date'!Y:Y,"ENRO",
'YearB-AppDetails Current Date'!I:I,"SUMMER")),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HC'!D:T,10,FALSE)),
N(VLOOKUP(D79&amp;F79,'Budgeted Projections Intl HC'!D:T,11,FALSE))
)
),"")</f>
        <v/>
      </c>
      <c r="I79" s="73" t="str">
        <f>IFERROR(1/(1/COUNTIFS(
'YearB-AppDetails Current Date'!A:A,D79,
'YearB-AppDetails Current Date'!F:F,E79,
'YearB-AppDetails Current Date'!E:E,--F79,
'YearB-AppDetails Current Date'!I:I,"SUMMER")), "")</f>
        <v/>
      </c>
      <c r="J79" s="74" t="str" cm="1">
        <f t="array" ref="J79">IFERROR(1/(1/SUM(COUNTIFS(
'YearB-AppDetails Current Date'!A:A,D79,
'YearB-AppDetails Current Date'!F:F,E79,
'YearB-AppDetails Current Date'!E:E,--F79,
'YearB-AppDetails Current Date'!O:O,{"ACLN","ACPT","COND"},
'YearB-AppDetails Current Date'!S:S,"&lt;&gt;ACLN",
'YearB-AppDetails Current Date'!S:S,"&lt;&gt;ACPT",
'YearB-AppDetails Current Date'!S:S,"&lt;&gt;COND",
'YearB-AppDetails Current Date'!I:I,"SUMMER"))), "")</f>
        <v/>
      </c>
      <c r="K79" s="73" t="str">
        <f>IFERROR(1/(1/SUM(COUNTIFS(
'YearB-AppDetails Current Date'!A:A,D79,
'YearB-AppDetails Current Date'!F:F,E79,
'YearB-AppDetails Current Date'!E:E,--F79,
'YearB-AppDetails Current Date'!R:R,"&lt;&gt;"&amp;"",
'YearB-AppDetails Current Date'!I:I,"SUMMER"))), "")</f>
        <v/>
      </c>
      <c r="L79" s="74" t="str" cm="1">
        <f t="array" ref="L79">IFERROR(1/(1/SUM(COUNTIFS(
'YearB-AppDetails Current Date'!A:A,D79,
'YearB-AppDetails Current Date'!F:F,E79,
'YearB-AppDetails Current Date'!E:E,--F79,
'YearB-AppDetails Current Date'!T:T,{"APEX","DENY","NTSL"},
'YearB-AppDetails Current Date'!I:I,"SUMMER"))), "")</f>
        <v/>
      </c>
      <c r="M79" s="74" t="str" cm="1">
        <f t="array" ref="M79">IFERROR(1/(1/SUM(COUNTIFS(
'YearB-AppDetails Current Date'!A:A,D79,
'YearB-AppDetails Current Date'!F:F,E79,
'YearB-AppDetails Current Date'!E:E,--F79,
'YearB-AppDetails Current Date'!U:U,{"CCAN","DECL"},
'YearB-AppDetails Current Date'!I:I,"SUMMER"))), "")</f>
        <v/>
      </c>
      <c r="N79" s="74" t="str" cm="1">
        <f t="array" ref="N79">IFERROR(1/(1/SUM(COUNTIFS(
'YearB-AppDetails Current Date'!A:A,D79,
'YearB-AppDetails Current Date'!F:F,E79,
'YearB-AppDetails Current Date'!E:E,--F79,
'YearB-AppDetails Current Date'!V:V,{"APRO","NODE"},
'YearB-AppDetails Current Date'!I:I,"SUMMER"))), "")</f>
        <v/>
      </c>
      <c r="O79" s="74" t="str" cm="1">
        <f t="array" ref="O79">IFERROR(1/(1/SUM(COUNTIFS(
'YearB-AppDetails Current Date'!A:A,D79,
'YearB-AppDetails Current Date'!F:F,E79,
'YearB-AppDetails Current Date'!E:E,--F79,
'YearB-AppDetails Current Date'!T:T,{"CDMT","RQMT","WAIT"},
'YearB-AppDetails Current Date'!I:I,"SUMMER"))), "")</f>
        <v/>
      </c>
      <c r="P79" s="74" t="str">
        <f>IFERROR(1/(1/COUNTIFS(
'YearB-AppDetails Current Date'!A:A,D79,
'YearB-AppDetails Current Date'!F:F,E79,
'YearB-AppDetails Current Date'!E:E,--F79,
'YearB-AppDetails Current Date'!Y:Y,"ENRO",
'YearB-AppDetails Current Date'!I:I,"SUMMER")),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HC'!D:T,10,FALSE)),
N(VLOOKUP(D80&amp;F80,'Budgeted Projections Dom HC'!D:T,11,FALSE))
)
),"")</f>
        <v/>
      </c>
      <c r="I80" s="73" t="str">
        <f>IFERROR(1/(1/COUNTIFS(
'YearB-AppDetails Current Date'!A:A,D80,
'YearB-AppDetails Current Date'!F:F,E80,
'YearB-AppDetails Current Date'!E:E,--F80,
'YearB-AppDetails Current Date'!I:I,"SUMMER")), "")</f>
        <v/>
      </c>
      <c r="J80" s="74" t="str" cm="1">
        <f t="array" ref="J80">IFERROR(1/(1/SUM(COUNTIFS(
'YearB-AppDetails Current Date'!A:A,D80,
'YearB-AppDetails Current Date'!F:F,E80,
'YearB-AppDetails Current Date'!E:E,--F80,
'YearB-AppDetails Current Date'!O:O,{"ACLN","ACPT","COND"},
'YearB-AppDetails Current Date'!S:S,"&lt;&gt;ACLN",
'YearB-AppDetails Current Date'!S:S,"&lt;&gt;ACPT",
'YearB-AppDetails Current Date'!S:S,"&lt;&gt;COND",
'YearB-AppDetails Current Date'!I:I,"SUMMER"))), "")</f>
        <v/>
      </c>
      <c r="K80" s="73" t="str">
        <f>IFERROR(1/(1/SUM(COUNTIFS(
'YearB-AppDetails Current Date'!A:A,D80,
'YearB-AppDetails Current Date'!F:F,E80,
'YearB-AppDetails Current Date'!E:E,--F80,
'YearB-AppDetails Current Date'!R:R,"&lt;&gt;"&amp;"",
'YearB-AppDetails Current Date'!I:I,"SUMMER"))), "")</f>
        <v/>
      </c>
      <c r="L80" s="74" t="str" cm="1">
        <f t="array" ref="L80">IFERROR(1/(1/SUM(COUNTIFS(
'YearB-AppDetails Current Date'!A:A,D80,
'YearB-AppDetails Current Date'!F:F,E80,
'YearB-AppDetails Current Date'!E:E,--F80,
'YearB-AppDetails Current Date'!T:T,{"APEX","DENY","NTSL"},
'YearB-AppDetails Current Date'!I:I,"SUMMER"))), "")</f>
        <v/>
      </c>
      <c r="M80" s="74" t="str" cm="1">
        <f t="array" ref="M80">IFERROR(1/(1/SUM(COUNTIFS(
'YearB-AppDetails Current Date'!A:A,D80,
'YearB-AppDetails Current Date'!F:F,E80,
'YearB-AppDetails Current Date'!E:E,--F80,
'YearB-AppDetails Current Date'!U:U,{"CCAN","DECL"},
'YearB-AppDetails Current Date'!I:I,"SUMMER"))), "")</f>
        <v/>
      </c>
      <c r="N80" s="74" t="str" cm="1">
        <f t="array" ref="N80">IFERROR(1/(1/SUM(COUNTIFS(
'YearB-AppDetails Current Date'!A:A,D80,
'YearB-AppDetails Current Date'!F:F,E80,
'YearB-AppDetails Current Date'!E:E,--F80,
'YearB-AppDetails Current Date'!V:V,{"APRO","NODE"},
'YearB-AppDetails Current Date'!I:I,"SUMMER"))), "")</f>
        <v/>
      </c>
      <c r="O80" s="74" t="str" cm="1">
        <f t="array" ref="O80">IFERROR(1/(1/SUM(COUNTIFS(
'YearB-AppDetails Current Date'!A:A,D80,
'YearB-AppDetails Current Date'!F:F,E80,
'YearB-AppDetails Current Date'!E:E,--F80,
'YearB-AppDetails Current Date'!T:T,{"CDMT","RQMT","WAIT"},
'YearB-AppDetails Current Date'!I:I,"SUMMER"))), "")</f>
        <v/>
      </c>
      <c r="P80" s="74" t="str">
        <f>IFERROR(1/(1/COUNTIFS(
'YearB-AppDetails Current Date'!A:A,D80,
'YearB-AppDetails Current Date'!F:F,E80,
'YearB-AppDetails Current Date'!E:E,--F80,
'YearB-AppDetails Current Date'!Y:Y,"ENRO",
'YearB-AppDetails Current Date'!I:I,"SUMMER")),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HC'!D:T,10,FALSE)),
N(VLOOKUP(D81&amp;F81,'Budgeted Projections Intl HC'!D:T,11,FALSE))
)
),"")</f>
        <v/>
      </c>
      <c r="I81" s="73" t="str">
        <f>IFERROR(1/(1/COUNTIFS(
'YearB-AppDetails Current Date'!A:A,D81,
'YearB-AppDetails Current Date'!F:F,E81,
'YearB-AppDetails Current Date'!E:E,--F81,
'YearB-AppDetails Current Date'!I:I,"SUMMER")), "")</f>
        <v/>
      </c>
      <c r="J81" s="74" t="str" cm="1">
        <f t="array" ref="J81">IFERROR(1/(1/SUM(COUNTIFS(
'YearB-AppDetails Current Date'!A:A,D81,
'YearB-AppDetails Current Date'!F:F,E81,
'YearB-AppDetails Current Date'!E:E,--F81,
'YearB-AppDetails Current Date'!O:O,{"ACLN","ACPT","COND"},
'YearB-AppDetails Current Date'!S:S,"&lt;&gt;ACLN",
'YearB-AppDetails Current Date'!S:S,"&lt;&gt;ACPT",
'YearB-AppDetails Current Date'!S:S,"&lt;&gt;COND",
'YearB-AppDetails Current Date'!I:I,"SUMMER"))), "")</f>
        <v/>
      </c>
      <c r="K81" s="73" t="str">
        <f>IFERROR(1/(1/SUM(COUNTIFS(
'YearB-AppDetails Current Date'!A:A,D81,
'YearB-AppDetails Current Date'!F:F,E81,
'YearB-AppDetails Current Date'!E:E,--F81,
'YearB-AppDetails Current Date'!R:R,"&lt;&gt;"&amp;"",
'YearB-AppDetails Current Date'!I:I,"SUMMER"))), "")</f>
        <v/>
      </c>
      <c r="L81" s="74" t="str" cm="1">
        <f t="array" ref="L81">IFERROR(1/(1/SUM(COUNTIFS(
'YearB-AppDetails Current Date'!A:A,D81,
'YearB-AppDetails Current Date'!F:F,E81,
'YearB-AppDetails Current Date'!E:E,--F81,
'YearB-AppDetails Current Date'!T:T,{"APEX","DENY","NTSL"},
'YearB-AppDetails Current Date'!I:I,"SUMMER"))), "")</f>
        <v/>
      </c>
      <c r="M81" s="74" t="str" cm="1">
        <f t="array" ref="M81">IFERROR(1/(1/SUM(COUNTIFS(
'YearB-AppDetails Current Date'!A:A,D81,
'YearB-AppDetails Current Date'!F:F,E81,
'YearB-AppDetails Current Date'!E:E,--F81,
'YearB-AppDetails Current Date'!U:U,{"CCAN","DECL"},
'YearB-AppDetails Current Date'!I:I,"SUMMER"))), "")</f>
        <v/>
      </c>
      <c r="N81" s="74" t="str" cm="1">
        <f t="array" ref="N81">IFERROR(1/(1/SUM(COUNTIFS(
'YearB-AppDetails Current Date'!A:A,D81,
'YearB-AppDetails Current Date'!F:F,E81,
'YearB-AppDetails Current Date'!E:E,--F81,
'YearB-AppDetails Current Date'!V:V,{"APRO","NODE"},
'YearB-AppDetails Current Date'!I:I,"SUMMER"))), "")</f>
        <v/>
      </c>
      <c r="O81" s="74" t="str" cm="1">
        <f t="array" ref="O81">IFERROR(1/(1/SUM(COUNTIFS(
'YearB-AppDetails Current Date'!A:A,D81,
'YearB-AppDetails Current Date'!F:F,E81,
'YearB-AppDetails Current Date'!E:E,--F81,
'YearB-AppDetails Current Date'!T:T,{"CDMT","RQMT","WAIT"},
'YearB-AppDetails Current Date'!I:I,"SUMMER"))), "")</f>
        <v/>
      </c>
      <c r="P81" s="74" t="str">
        <f>IFERROR(1/(1/COUNTIFS(
'YearB-AppDetails Current Date'!A:A,D81,
'YearB-AppDetails Current Date'!F:F,E81,
'YearB-AppDetails Current Date'!E:E,--F81,
'YearB-AppDetails Current Date'!Y:Y,"ENRO",
'YearB-AppDetails Current Date'!I:I,"SUMMER")),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HC'!D:T,10,FALSE)),
N(VLOOKUP(D82&amp;F82,'Budgeted Projections Dom HC'!D:T,11,FALSE))
)
),"")</f>
        <v/>
      </c>
      <c r="I82" s="73" t="str">
        <f>IFERROR(1/(1/COUNTIFS(
'YearB-AppDetails Current Date'!A:A,D82,
'YearB-AppDetails Current Date'!F:F,E82,
'YearB-AppDetails Current Date'!E:E,--F82,
'YearB-AppDetails Current Date'!I:I,"SUMMER")), "")</f>
        <v/>
      </c>
      <c r="J82" s="74" t="str" cm="1">
        <f t="array" ref="J82">IFERROR(1/(1/SUM(COUNTIFS(
'YearB-AppDetails Current Date'!A:A,D82,
'YearB-AppDetails Current Date'!F:F,E82,
'YearB-AppDetails Current Date'!E:E,--F82,
'YearB-AppDetails Current Date'!O:O,{"ACLN","ACPT","COND"},
'YearB-AppDetails Current Date'!S:S,"&lt;&gt;ACLN",
'YearB-AppDetails Current Date'!S:S,"&lt;&gt;ACPT",
'YearB-AppDetails Current Date'!S:S,"&lt;&gt;COND",
'YearB-AppDetails Current Date'!I:I,"SUMMER"))), "")</f>
        <v/>
      </c>
      <c r="K82" s="73" t="str">
        <f>IFERROR(1/(1/SUM(COUNTIFS(
'YearB-AppDetails Current Date'!A:A,D82,
'YearB-AppDetails Current Date'!F:F,E82,
'YearB-AppDetails Current Date'!E:E,--F82,
'YearB-AppDetails Current Date'!R:R,"&lt;&gt;"&amp;"",
'YearB-AppDetails Current Date'!I:I,"SUMMER"))), "")</f>
        <v/>
      </c>
      <c r="L82" s="74" t="str" cm="1">
        <f t="array" ref="L82">IFERROR(1/(1/SUM(COUNTIFS(
'YearB-AppDetails Current Date'!A:A,D82,
'YearB-AppDetails Current Date'!F:F,E82,
'YearB-AppDetails Current Date'!E:E,--F82,
'YearB-AppDetails Current Date'!T:T,{"APEX","DENY","NTSL"},
'YearB-AppDetails Current Date'!I:I,"SUMMER"))), "")</f>
        <v/>
      </c>
      <c r="M82" s="74" t="str" cm="1">
        <f t="array" ref="M82">IFERROR(1/(1/SUM(COUNTIFS(
'YearB-AppDetails Current Date'!A:A,D82,
'YearB-AppDetails Current Date'!F:F,E82,
'YearB-AppDetails Current Date'!E:E,--F82,
'YearB-AppDetails Current Date'!U:U,{"CCAN","DECL"},
'YearB-AppDetails Current Date'!I:I,"SUMMER"))), "")</f>
        <v/>
      </c>
      <c r="N82" s="74" t="str" cm="1">
        <f t="array" ref="N82">IFERROR(1/(1/SUM(COUNTIFS(
'YearB-AppDetails Current Date'!A:A,D82,
'YearB-AppDetails Current Date'!F:F,E82,
'YearB-AppDetails Current Date'!E:E,--F82,
'YearB-AppDetails Current Date'!V:V,{"APRO","NODE"},
'YearB-AppDetails Current Date'!I:I,"SUMMER"))), "")</f>
        <v/>
      </c>
      <c r="O82" s="74" t="str" cm="1">
        <f t="array" ref="O82">IFERROR(1/(1/SUM(COUNTIFS(
'YearB-AppDetails Current Date'!A:A,D82,
'YearB-AppDetails Current Date'!F:F,E82,
'YearB-AppDetails Current Date'!E:E,--F82,
'YearB-AppDetails Current Date'!T:T,{"CDMT","RQMT","WAIT"},
'YearB-AppDetails Current Date'!I:I,"SUMMER"))), "")</f>
        <v/>
      </c>
      <c r="P82" s="74" t="str">
        <f>IFERROR(1/(1/COUNTIFS(
'YearB-AppDetails Current Date'!A:A,D82,
'YearB-AppDetails Current Date'!F:F,E82,
'YearB-AppDetails Current Date'!E:E,--F82,
'YearB-AppDetails Current Date'!Y:Y,"ENRO",
'YearB-AppDetails Current Date'!I:I,"SUMMER")),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HC'!D:T,10,FALSE)),
N(VLOOKUP(D83&amp;F83,'Budgeted Projections Intl HC'!D:T,11,FALSE))
)
),"")</f>
        <v/>
      </c>
      <c r="I83" s="73" t="str">
        <f>IFERROR(1/(1/COUNTIFS(
'YearB-AppDetails Current Date'!A:A,D83,
'YearB-AppDetails Current Date'!F:F,E83,
'YearB-AppDetails Current Date'!E:E,--F83,
'YearB-AppDetails Current Date'!I:I,"SUMMER")), "")</f>
        <v/>
      </c>
      <c r="J83" s="74" t="str" cm="1">
        <f t="array" ref="J83">IFERROR(1/(1/SUM(COUNTIFS(
'YearB-AppDetails Current Date'!A:A,D83,
'YearB-AppDetails Current Date'!F:F,E83,
'YearB-AppDetails Current Date'!E:E,--F83,
'YearB-AppDetails Current Date'!O:O,{"ACLN","ACPT","COND"},
'YearB-AppDetails Current Date'!S:S,"&lt;&gt;ACLN",
'YearB-AppDetails Current Date'!S:S,"&lt;&gt;ACPT",
'YearB-AppDetails Current Date'!S:S,"&lt;&gt;COND",
'YearB-AppDetails Current Date'!I:I,"SUMMER"))), "")</f>
        <v/>
      </c>
      <c r="K83" s="73" t="str">
        <f>IFERROR(1/(1/SUM(COUNTIFS(
'YearB-AppDetails Current Date'!A:A,D83,
'YearB-AppDetails Current Date'!F:F,E83,
'YearB-AppDetails Current Date'!E:E,--F83,
'YearB-AppDetails Current Date'!R:R,"&lt;&gt;"&amp;"",
'YearB-AppDetails Current Date'!I:I,"SUMMER"))), "")</f>
        <v/>
      </c>
      <c r="L83" s="74" t="str" cm="1">
        <f t="array" ref="L83">IFERROR(1/(1/SUM(COUNTIFS(
'YearB-AppDetails Current Date'!A:A,D83,
'YearB-AppDetails Current Date'!F:F,E83,
'YearB-AppDetails Current Date'!E:E,--F83,
'YearB-AppDetails Current Date'!T:T,{"APEX","DENY","NTSL"},
'YearB-AppDetails Current Date'!I:I,"SUMMER"))), "")</f>
        <v/>
      </c>
      <c r="M83" s="74" t="str" cm="1">
        <f t="array" ref="M83">IFERROR(1/(1/SUM(COUNTIFS(
'YearB-AppDetails Current Date'!A:A,D83,
'YearB-AppDetails Current Date'!F:F,E83,
'YearB-AppDetails Current Date'!E:E,--F83,
'YearB-AppDetails Current Date'!U:U,{"CCAN","DECL"},
'YearB-AppDetails Current Date'!I:I,"SUMMER"))), "")</f>
        <v/>
      </c>
      <c r="N83" s="74" t="str" cm="1">
        <f t="array" ref="N83">IFERROR(1/(1/SUM(COUNTIFS(
'YearB-AppDetails Current Date'!A:A,D83,
'YearB-AppDetails Current Date'!F:F,E83,
'YearB-AppDetails Current Date'!E:E,--F83,
'YearB-AppDetails Current Date'!V:V,{"APRO","NODE"},
'YearB-AppDetails Current Date'!I:I,"SUMMER"))), "")</f>
        <v/>
      </c>
      <c r="O83" s="74" t="str" cm="1">
        <f t="array" ref="O83">IFERROR(1/(1/SUM(COUNTIFS(
'YearB-AppDetails Current Date'!A:A,D83,
'YearB-AppDetails Current Date'!F:F,E83,
'YearB-AppDetails Current Date'!E:E,--F83,
'YearB-AppDetails Current Date'!T:T,{"CDMT","RQMT","WAIT"},
'YearB-AppDetails Current Date'!I:I,"SUMMER"))), "")</f>
        <v/>
      </c>
      <c r="P83" s="74" t="str">
        <f>IFERROR(1/(1/COUNTIFS(
'YearB-AppDetails Current Date'!A:A,D83,
'YearB-AppDetails Current Date'!F:F,E83,
'YearB-AppDetails Current Date'!E:E,--F83,
'YearB-AppDetails Current Date'!Y:Y,"ENRO",
'YearB-AppDetails Current Date'!I:I,"SUMMER")),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HC'!D:T,10,FALSE)),
N(VLOOKUP(D84&amp;F84,'Budgeted Projections Dom HC'!D:T,11,FALSE))
)
),"")</f>
        <v/>
      </c>
      <c r="I84" s="73" t="str">
        <f>IFERROR(1/(1/COUNTIFS(
'YearB-AppDetails Current Date'!A:A,D84,
'YearB-AppDetails Current Date'!F:F,E84,
'YearB-AppDetails Current Date'!E:E,--F84,
'YearB-AppDetails Current Date'!I:I,"SUMMER")), "")</f>
        <v/>
      </c>
      <c r="J84" s="74" t="str" cm="1">
        <f t="array" ref="J84">IFERROR(1/(1/SUM(COUNTIFS(
'YearB-AppDetails Current Date'!A:A,D84,
'YearB-AppDetails Current Date'!F:F,E84,
'YearB-AppDetails Current Date'!E:E,--F84,
'YearB-AppDetails Current Date'!O:O,{"ACLN","ACPT","COND"},
'YearB-AppDetails Current Date'!S:S,"&lt;&gt;ACLN",
'YearB-AppDetails Current Date'!S:S,"&lt;&gt;ACPT",
'YearB-AppDetails Current Date'!S:S,"&lt;&gt;COND",
'YearB-AppDetails Current Date'!I:I,"SUMMER"))), "")</f>
        <v/>
      </c>
      <c r="K84" s="73" t="str">
        <f>IFERROR(1/(1/SUM(COUNTIFS(
'YearB-AppDetails Current Date'!A:A,D84,
'YearB-AppDetails Current Date'!F:F,E84,
'YearB-AppDetails Current Date'!E:E,--F84,
'YearB-AppDetails Current Date'!R:R,"&lt;&gt;"&amp;"",
'YearB-AppDetails Current Date'!I:I,"SUMMER"))), "")</f>
        <v/>
      </c>
      <c r="L84" s="74" t="str" cm="1">
        <f t="array" ref="L84">IFERROR(1/(1/SUM(COUNTIFS(
'YearB-AppDetails Current Date'!A:A,D84,
'YearB-AppDetails Current Date'!F:F,E84,
'YearB-AppDetails Current Date'!E:E,--F84,
'YearB-AppDetails Current Date'!T:T,{"APEX","DENY","NTSL"},
'YearB-AppDetails Current Date'!I:I,"SUMMER"))), "")</f>
        <v/>
      </c>
      <c r="M84" s="74" t="str" cm="1">
        <f t="array" ref="M84">IFERROR(1/(1/SUM(COUNTIFS(
'YearB-AppDetails Current Date'!A:A,D84,
'YearB-AppDetails Current Date'!F:F,E84,
'YearB-AppDetails Current Date'!E:E,--F84,
'YearB-AppDetails Current Date'!U:U,{"CCAN","DECL"},
'YearB-AppDetails Current Date'!I:I,"SUMMER"))), "")</f>
        <v/>
      </c>
      <c r="N84" s="74" t="str" cm="1">
        <f t="array" ref="N84">IFERROR(1/(1/SUM(COUNTIFS(
'YearB-AppDetails Current Date'!A:A,D84,
'YearB-AppDetails Current Date'!F:F,E84,
'YearB-AppDetails Current Date'!E:E,--F84,
'YearB-AppDetails Current Date'!V:V,{"APRO","NODE"},
'YearB-AppDetails Current Date'!I:I,"SUMMER"))), "")</f>
        <v/>
      </c>
      <c r="O84" s="74" t="str" cm="1">
        <f t="array" ref="O84">IFERROR(1/(1/SUM(COUNTIFS(
'YearB-AppDetails Current Date'!A:A,D84,
'YearB-AppDetails Current Date'!F:F,E84,
'YearB-AppDetails Current Date'!E:E,--F84,
'YearB-AppDetails Current Date'!T:T,{"CDMT","RQMT","WAIT"},
'YearB-AppDetails Current Date'!I:I,"SUMMER"))), "")</f>
        <v/>
      </c>
      <c r="P84" s="74" t="str">
        <f>IFERROR(1/(1/COUNTIFS(
'YearB-AppDetails Current Date'!A:A,D84,
'YearB-AppDetails Current Date'!F:F,E84,
'YearB-AppDetails Current Date'!E:E,--F84,
'YearB-AppDetails Current Date'!Y:Y,"ENRO",
'YearB-AppDetails Current Date'!I:I,"SUMMER")),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HC'!D:T,10,FALSE)),
N(VLOOKUP(D85&amp;F85,'Budgeted Projections Intl HC'!D:T,11,FALSE))
)
),"")</f>
        <v/>
      </c>
      <c r="I85" s="73" t="str">
        <f>IFERROR(1/(1/COUNTIFS(
'YearB-AppDetails Current Date'!A:A,D85,
'YearB-AppDetails Current Date'!F:F,E85,
'YearB-AppDetails Current Date'!E:E,--F85,
'YearB-AppDetails Current Date'!I:I,"SUMMER")), "")</f>
        <v/>
      </c>
      <c r="J85" s="74" t="str" cm="1">
        <f t="array" ref="J85">IFERROR(1/(1/SUM(COUNTIFS(
'YearB-AppDetails Current Date'!A:A,D85,
'YearB-AppDetails Current Date'!F:F,E85,
'YearB-AppDetails Current Date'!E:E,--F85,
'YearB-AppDetails Current Date'!O:O,{"ACLN","ACPT","COND"},
'YearB-AppDetails Current Date'!S:S,"&lt;&gt;ACLN",
'YearB-AppDetails Current Date'!S:S,"&lt;&gt;ACPT",
'YearB-AppDetails Current Date'!S:S,"&lt;&gt;COND",
'YearB-AppDetails Current Date'!I:I,"SUMMER"))), "")</f>
        <v/>
      </c>
      <c r="K85" s="73" t="str">
        <f>IFERROR(1/(1/SUM(COUNTIFS(
'YearB-AppDetails Current Date'!A:A,D85,
'YearB-AppDetails Current Date'!F:F,E85,
'YearB-AppDetails Current Date'!E:E,--F85,
'YearB-AppDetails Current Date'!R:R,"&lt;&gt;"&amp;"",
'YearB-AppDetails Current Date'!I:I,"SUMMER"))), "")</f>
        <v/>
      </c>
      <c r="L85" s="74" t="str" cm="1">
        <f t="array" ref="L85">IFERROR(1/(1/SUM(COUNTIFS(
'YearB-AppDetails Current Date'!A:A,D85,
'YearB-AppDetails Current Date'!F:F,E85,
'YearB-AppDetails Current Date'!E:E,--F85,
'YearB-AppDetails Current Date'!T:T,{"APEX","DENY","NTSL"},
'YearB-AppDetails Current Date'!I:I,"SUMMER"))), "")</f>
        <v/>
      </c>
      <c r="M85" s="74" t="str" cm="1">
        <f t="array" ref="M85">IFERROR(1/(1/SUM(COUNTIFS(
'YearB-AppDetails Current Date'!A:A,D85,
'YearB-AppDetails Current Date'!F:F,E85,
'YearB-AppDetails Current Date'!E:E,--F85,
'YearB-AppDetails Current Date'!U:U,{"CCAN","DECL"},
'YearB-AppDetails Current Date'!I:I,"SUMMER"))), "")</f>
        <v/>
      </c>
      <c r="N85" s="74" t="str" cm="1">
        <f t="array" ref="N85">IFERROR(1/(1/SUM(COUNTIFS(
'YearB-AppDetails Current Date'!A:A,D85,
'YearB-AppDetails Current Date'!F:F,E85,
'YearB-AppDetails Current Date'!E:E,--F85,
'YearB-AppDetails Current Date'!V:V,{"APRO","NODE"},
'YearB-AppDetails Current Date'!I:I,"SUMMER"))), "")</f>
        <v/>
      </c>
      <c r="O85" s="74" t="str" cm="1">
        <f t="array" ref="O85">IFERROR(1/(1/SUM(COUNTIFS(
'YearB-AppDetails Current Date'!A:A,D85,
'YearB-AppDetails Current Date'!F:F,E85,
'YearB-AppDetails Current Date'!E:E,--F85,
'YearB-AppDetails Current Date'!T:T,{"CDMT","RQMT","WAIT"},
'YearB-AppDetails Current Date'!I:I,"SUMMER"))), "")</f>
        <v/>
      </c>
      <c r="P85" s="74" t="str">
        <f>IFERROR(1/(1/COUNTIFS(
'YearB-AppDetails Current Date'!A:A,D85,
'YearB-AppDetails Current Date'!F:F,E85,
'YearB-AppDetails Current Date'!E:E,--F85,
'YearB-AppDetails Current Date'!Y:Y,"ENRO",
'YearB-AppDetails Current Date'!I:I,"SUMMER")),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HC'!D:T,10,FALSE)),
N(VLOOKUP(D86&amp;F86,'Budgeted Projections Dom HC'!D:T,11,FALSE))
)
),"")</f>
        <v/>
      </c>
      <c r="I86" s="73" t="str">
        <f>IFERROR(1/(1/COUNTIFS(
'YearB-AppDetails Current Date'!A:A,D86,
'YearB-AppDetails Current Date'!F:F,E86,
'YearB-AppDetails Current Date'!E:E,--F86,
'YearB-AppDetails Current Date'!I:I,"SUMMER")), "")</f>
        <v/>
      </c>
      <c r="J86" s="74" t="str" cm="1">
        <f t="array" ref="J86">IFERROR(1/(1/SUM(COUNTIFS(
'YearB-AppDetails Current Date'!A:A,D86,
'YearB-AppDetails Current Date'!F:F,E86,
'YearB-AppDetails Current Date'!E:E,--F86,
'YearB-AppDetails Current Date'!O:O,{"ACLN","ACPT","COND"},
'YearB-AppDetails Current Date'!S:S,"&lt;&gt;ACLN",
'YearB-AppDetails Current Date'!S:S,"&lt;&gt;ACPT",
'YearB-AppDetails Current Date'!S:S,"&lt;&gt;COND",
'YearB-AppDetails Current Date'!I:I,"SUMMER"))), "")</f>
        <v/>
      </c>
      <c r="K86" s="73" t="str">
        <f>IFERROR(1/(1/SUM(COUNTIFS(
'YearB-AppDetails Current Date'!A:A,D86,
'YearB-AppDetails Current Date'!F:F,E86,
'YearB-AppDetails Current Date'!E:E,--F86,
'YearB-AppDetails Current Date'!R:R,"&lt;&gt;"&amp;"",
'YearB-AppDetails Current Date'!I:I,"SUMMER"))), "")</f>
        <v/>
      </c>
      <c r="L86" s="74" t="str" cm="1">
        <f t="array" ref="L86">IFERROR(1/(1/SUM(COUNTIFS(
'YearB-AppDetails Current Date'!A:A,D86,
'YearB-AppDetails Current Date'!F:F,E86,
'YearB-AppDetails Current Date'!E:E,--F86,
'YearB-AppDetails Current Date'!T:T,{"APEX","DENY","NTSL"},
'YearB-AppDetails Current Date'!I:I,"SUMMER"))), "")</f>
        <v/>
      </c>
      <c r="M86" s="74" t="str" cm="1">
        <f t="array" ref="M86">IFERROR(1/(1/SUM(COUNTIFS(
'YearB-AppDetails Current Date'!A:A,D86,
'YearB-AppDetails Current Date'!F:F,E86,
'YearB-AppDetails Current Date'!E:E,--F86,
'YearB-AppDetails Current Date'!U:U,{"CCAN","DECL"},
'YearB-AppDetails Current Date'!I:I,"SUMMER"))), "")</f>
        <v/>
      </c>
      <c r="N86" s="74" t="str" cm="1">
        <f t="array" ref="N86">IFERROR(1/(1/SUM(COUNTIFS(
'YearB-AppDetails Current Date'!A:A,D86,
'YearB-AppDetails Current Date'!F:F,E86,
'YearB-AppDetails Current Date'!E:E,--F86,
'YearB-AppDetails Current Date'!V:V,{"APRO","NODE"},
'YearB-AppDetails Current Date'!I:I,"SUMMER"))), "")</f>
        <v/>
      </c>
      <c r="O86" s="74" t="str" cm="1">
        <f t="array" ref="O86">IFERROR(1/(1/SUM(COUNTIFS(
'YearB-AppDetails Current Date'!A:A,D86,
'YearB-AppDetails Current Date'!F:F,E86,
'YearB-AppDetails Current Date'!E:E,--F86,
'YearB-AppDetails Current Date'!T:T,{"CDMT","RQMT","WAIT"},
'YearB-AppDetails Current Date'!I:I,"SUMMER"))), "")</f>
        <v/>
      </c>
      <c r="P86" s="74" t="str">
        <f>IFERROR(1/(1/COUNTIFS(
'YearB-AppDetails Current Date'!A:A,D86,
'YearB-AppDetails Current Date'!F:F,E86,
'YearB-AppDetails Current Date'!E:E,--F86,
'YearB-AppDetails Current Date'!Y:Y,"ENRO",
'YearB-AppDetails Current Date'!I:I,"SUMMER")),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HC'!D:T,10,FALSE)),
N(VLOOKUP(D87&amp;F87,'Budgeted Projections Intl HC'!D:T,11,FALSE))
)
),"")</f>
        <v/>
      </c>
      <c r="I87" s="73" t="str">
        <f>IFERROR(1/(1/COUNTIFS(
'YearB-AppDetails Current Date'!A:A,D87,
'YearB-AppDetails Current Date'!F:F,E87,
'YearB-AppDetails Current Date'!E:E,--F87,
'YearB-AppDetails Current Date'!I:I,"SUMMER")), "")</f>
        <v/>
      </c>
      <c r="J87" s="74" t="str" cm="1">
        <f t="array" ref="J87">IFERROR(1/(1/SUM(COUNTIFS(
'YearB-AppDetails Current Date'!A:A,D87,
'YearB-AppDetails Current Date'!F:F,E87,
'YearB-AppDetails Current Date'!E:E,--F87,
'YearB-AppDetails Current Date'!O:O,{"ACLN","ACPT","COND"},
'YearB-AppDetails Current Date'!S:S,"&lt;&gt;ACLN",
'YearB-AppDetails Current Date'!S:S,"&lt;&gt;ACPT",
'YearB-AppDetails Current Date'!S:S,"&lt;&gt;COND",
'YearB-AppDetails Current Date'!I:I,"SUMMER"))), "")</f>
        <v/>
      </c>
      <c r="K87" s="73" t="str">
        <f>IFERROR(1/(1/SUM(COUNTIFS(
'YearB-AppDetails Current Date'!A:A,D87,
'YearB-AppDetails Current Date'!F:F,E87,
'YearB-AppDetails Current Date'!E:E,--F87,
'YearB-AppDetails Current Date'!R:R,"&lt;&gt;"&amp;"",
'YearB-AppDetails Current Date'!I:I,"SUMMER"))), "")</f>
        <v/>
      </c>
      <c r="L87" s="74" t="str" cm="1">
        <f t="array" ref="L87">IFERROR(1/(1/SUM(COUNTIFS(
'YearB-AppDetails Current Date'!A:A,D87,
'YearB-AppDetails Current Date'!F:F,E87,
'YearB-AppDetails Current Date'!E:E,--F87,
'YearB-AppDetails Current Date'!T:T,{"APEX","DENY","NTSL"},
'YearB-AppDetails Current Date'!I:I,"SUMMER"))), "")</f>
        <v/>
      </c>
      <c r="M87" s="74" t="str" cm="1">
        <f t="array" ref="M87">IFERROR(1/(1/SUM(COUNTIFS(
'YearB-AppDetails Current Date'!A:A,D87,
'YearB-AppDetails Current Date'!F:F,E87,
'YearB-AppDetails Current Date'!E:E,--F87,
'YearB-AppDetails Current Date'!U:U,{"CCAN","DECL"},
'YearB-AppDetails Current Date'!I:I,"SUMMER"))), "")</f>
        <v/>
      </c>
      <c r="N87" s="74" t="str" cm="1">
        <f t="array" ref="N87">IFERROR(1/(1/SUM(COUNTIFS(
'YearB-AppDetails Current Date'!A:A,D87,
'YearB-AppDetails Current Date'!F:F,E87,
'YearB-AppDetails Current Date'!E:E,--F87,
'YearB-AppDetails Current Date'!V:V,{"APRO","NODE"},
'YearB-AppDetails Current Date'!I:I,"SUMMER"))), "")</f>
        <v/>
      </c>
      <c r="O87" s="74" t="str" cm="1">
        <f t="array" ref="O87">IFERROR(1/(1/SUM(COUNTIFS(
'YearB-AppDetails Current Date'!A:A,D87,
'YearB-AppDetails Current Date'!F:F,E87,
'YearB-AppDetails Current Date'!E:E,--F87,
'YearB-AppDetails Current Date'!T:T,{"CDMT","RQMT","WAIT"},
'YearB-AppDetails Current Date'!I:I,"SUMMER"))), "")</f>
        <v/>
      </c>
      <c r="P87" s="74" t="str">
        <f>IFERROR(1/(1/COUNTIFS(
'YearB-AppDetails Current Date'!A:A,D87,
'YearB-AppDetails Current Date'!F:F,E87,
'YearB-AppDetails Current Date'!E:E,--F87,
'YearB-AppDetails Current Date'!Y:Y,"ENRO",
'YearB-AppDetails Current Date'!I:I,"SUMMER")),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HC'!D:T,10,FALSE)),
N(VLOOKUP(D88&amp;F88,'Budgeted Projections Dom HC'!D:T,11,FALSE))
)
),"")</f>
        <v/>
      </c>
      <c r="I88" s="73" t="str">
        <f>IFERROR(1/(1/COUNTIFS(
'YearB-AppDetails Current Date'!A:A,D88,
'YearB-AppDetails Current Date'!F:F,E88,
'YearB-AppDetails Current Date'!E:E,--F88,
'YearB-AppDetails Current Date'!I:I,"SUMMER")), "")</f>
        <v/>
      </c>
      <c r="J88" s="74" t="str" cm="1">
        <f t="array" ref="J88">IFERROR(1/(1/SUM(COUNTIFS(
'YearB-AppDetails Current Date'!A:A,D88,
'YearB-AppDetails Current Date'!F:F,E88,
'YearB-AppDetails Current Date'!E:E,--F88,
'YearB-AppDetails Current Date'!O:O,{"ACLN","ACPT","COND"},
'YearB-AppDetails Current Date'!S:S,"&lt;&gt;ACLN",
'YearB-AppDetails Current Date'!S:S,"&lt;&gt;ACPT",
'YearB-AppDetails Current Date'!S:S,"&lt;&gt;COND",
'YearB-AppDetails Current Date'!I:I,"SUMMER"))), "")</f>
        <v/>
      </c>
      <c r="K88" s="73" t="str">
        <f>IFERROR(1/(1/SUM(COUNTIFS(
'YearB-AppDetails Current Date'!A:A,D88,
'YearB-AppDetails Current Date'!F:F,E88,
'YearB-AppDetails Current Date'!E:E,--F88,
'YearB-AppDetails Current Date'!R:R,"&lt;&gt;"&amp;"",
'YearB-AppDetails Current Date'!I:I,"SUMMER"))), "")</f>
        <v/>
      </c>
      <c r="L88" s="74" t="str" cm="1">
        <f t="array" ref="L88">IFERROR(1/(1/SUM(COUNTIFS(
'YearB-AppDetails Current Date'!A:A,D88,
'YearB-AppDetails Current Date'!F:F,E88,
'YearB-AppDetails Current Date'!E:E,--F88,
'YearB-AppDetails Current Date'!T:T,{"APEX","DENY","NTSL"},
'YearB-AppDetails Current Date'!I:I,"SUMMER"))), "")</f>
        <v/>
      </c>
      <c r="M88" s="74" t="str" cm="1">
        <f t="array" ref="M88">IFERROR(1/(1/SUM(COUNTIFS(
'YearB-AppDetails Current Date'!A:A,D88,
'YearB-AppDetails Current Date'!F:F,E88,
'YearB-AppDetails Current Date'!E:E,--F88,
'YearB-AppDetails Current Date'!U:U,{"CCAN","DECL"},
'YearB-AppDetails Current Date'!I:I,"SUMMER"))), "")</f>
        <v/>
      </c>
      <c r="N88" s="74" t="str" cm="1">
        <f t="array" ref="N88">IFERROR(1/(1/SUM(COUNTIFS(
'YearB-AppDetails Current Date'!A:A,D88,
'YearB-AppDetails Current Date'!F:F,E88,
'YearB-AppDetails Current Date'!E:E,--F88,
'YearB-AppDetails Current Date'!V:V,{"APRO","NODE"},
'YearB-AppDetails Current Date'!I:I,"SUMMER"))), "")</f>
        <v/>
      </c>
      <c r="O88" s="74" t="str" cm="1">
        <f t="array" ref="O88">IFERROR(1/(1/SUM(COUNTIFS(
'YearB-AppDetails Current Date'!A:A,D88,
'YearB-AppDetails Current Date'!F:F,E88,
'YearB-AppDetails Current Date'!E:E,--F88,
'YearB-AppDetails Current Date'!T:T,{"CDMT","RQMT","WAIT"},
'YearB-AppDetails Current Date'!I:I,"SUMMER"))), "")</f>
        <v/>
      </c>
      <c r="P88" s="74" t="str">
        <f>IFERROR(1/(1/COUNTIFS(
'YearB-AppDetails Current Date'!A:A,D88,
'YearB-AppDetails Current Date'!F:F,E88,
'YearB-AppDetails Current Date'!E:E,--F88,
'YearB-AppDetails Current Date'!Y:Y,"ENRO",
'YearB-AppDetails Current Date'!I:I,"SUMMER")),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HC'!D:T,10,FALSE)),
N(VLOOKUP(D89&amp;F89,'Budgeted Projections Intl HC'!D:T,11,FALSE))
)
),"")</f>
        <v/>
      </c>
      <c r="I89" s="73" t="str">
        <f>IFERROR(1/(1/COUNTIFS(
'YearB-AppDetails Current Date'!A:A,D89,
'YearB-AppDetails Current Date'!F:F,E89,
'YearB-AppDetails Current Date'!E:E,--F89,
'YearB-AppDetails Current Date'!I:I,"SUMMER")), "")</f>
        <v/>
      </c>
      <c r="J89" s="74" t="str" cm="1">
        <f t="array" ref="J89">IFERROR(1/(1/SUM(COUNTIFS(
'YearB-AppDetails Current Date'!A:A,D89,
'YearB-AppDetails Current Date'!F:F,E89,
'YearB-AppDetails Current Date'!E:E,--F89,
'YearB-AppDetails Current Date'!O:O,{"ACLN","ACPT","COND"},
'YearB-AppDetails Current Date'!S:S,"&lt;&gt;ACLN",
'YearB-AppDetails Current Date'!S:S,"&lt;&gt;ACPT",
'YearB-AppDetails Current Date'!S:S,"&lt;&gt;COND",
'YearB-AppDetails Current Date'!I:I,"SUMMER"))), "")</f>
        <v/>
      </c>
      <c r="K89" s="73" t="str">
        <f>IFERROR(1/(1/SUM(COUNTIFS(
'YearB-AppDetails Current Date'!A:A,D89,
'YearB-AppDetails Current Date'!F:F,E89,
'YearB-AppDetails Current Date'!E:E,--F89,
'YearB-AppDetails Current Date'!R:R,"&lt;&gt;"&amp;"",
'YearB-AppDetails Current Date'!I:I,"SUMMER"))), "")</f>
        <v/>
      </c>
      <c r="L89" s="74" t="str" cm="1">
        <f t="array" ref="L89">IFERROR(1/(1/SUM(COUNTIFS(
'YearB-AppDetails Current Date'!A:A,D89,
'YearB-AppDetails Current Date'!F:F,E89,
'YearB-AppDetails Current Date'!E:E,--F89,
'YearB-AppDetails Current Date'!T:T,{"APEX","DENY","NTSL"},
'YearB-AppDetails Current Date'!I:I,"SUMMER"))), "")</f>
        <v/>
      </c>
      <c r="M89" s="74" t="str" cm="1">
        <f t="array" ref="M89">IFERROR(1/(1/SUM(COUNTIFS(
'YearB-AppDetails Current Date'!A:A,D89,
'YearB-AppDetails Current Date'!F:F,E89,
'YearB-AppDetails Current Date'!E:E,--F89,
'YearB-AppDetails Current Date'!U:U,{"CCAN","DECL"},
'YearB-AppDetails Current Date'!I:I,"SUMMER"))), "")</f>
        <v/>
      </c>
      <c r="N89" s="74" t="str" cm="1">
        <f t="array" ref="N89">IFERROR(1/(1/SUM(COUNTIFS(
'YearB-AppDetails Current Date'!A:A,D89,
'YearB-AppDetails Current Date'!F:F,E89,
'YearB-AppDetails Current Date'!E:E,--F89,
'YearB-AppDetails Current Date'!V:V,{"APRO","NODE"},
'YearB-AppDetails Current Date'!I:I,"SUMMER"))), "")</f>
        <v/>
      </c>
      <c r="O89" s="74" t="str" cm="1">
        <f t="array" ref="O89">IFERROR(1/(1/SUM(COUNTIFS(
'YearB-AppDetails Current Date'!A:A,D89,
'YearB-AppDetails Current Date'!F:F,E89,
'YearB-AppDetails Current Date'!E:E,--F89,
'YearB-AppDetails Current Date'!T:T,{"CDMT","RQMT","WAIT"},
'YearB-AppDetails Current Date'!I:I,"SUMMER"))), "")</f>
        <v/>
      </c>
      <c r="P89" s="74" t="str">
        <f>IFERROR(1/(1/COUNTIFS(
'YearB-AppDetails Current Date'!A:A,D89,
'YearB-AppDetails Current Date'!F:F,E89,
'YearB-AppDetails Current Date'!E:E,--F89,
'YearB-AppDetails Current Date'!Y:Y,"ENRO",
'YearB-AppDetails Current Date'!I:I,"SUMMER")),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HC'!D:T,10,FALSE)),
N(VLOOKUP(D90&amp;F90,'Budgeted Projections Dom HC'!D:T,11,FALSE))
)
),"")</f>
        <v/>
      </c>
      <c r="I90" s="73" t="str">
        <f>IFERROR(1/(1/COUNTIFS(
'YearB-AppDetails Current Date'!A:A,D90,
'YearB-AppDetails Current Date'!F:F,E90,
'YearB-AppDetails Current Date'!E:E,--F90,
'YearB-AppDetails Current Date'!I:I,"SUMMER")), "")</f>
        <v/>
      </c>
      <c r="J90" s="74" t="str" cm="1">
        <f t="array" ref="J90">IFERROR(1/(1/SUM(COUNTIFS(
'YearB-AppDetails Current Date'!A:A,D90,
'YearB-AppDetails Current Date'!F:F,E90,
'YearB-AppDetails Current Date'!E:E,--F90,
'YearB-AppDetails Current Date'!O:O,{"ACLN","ACPT","COND"},
'YearB-AppDetails Current Date'!S:S,"&lt;&gt;ACLN",
'YearB-AppDetails Current Date'!S:S,"&lt;&gt;ACPT",
'YearB-AppDetails Current Date'!S:S,"&lt;&gt;COND",
'YearB-AppDetails Current Date'!I:I,"SUMMER"))), "")</f>
        <v/>
      </c>
      <c r="K90" s="73" t="str">
        <f>IFERROR(1/(1/SUM(COUNTIFS(
'YearB-AppDetails Current Date'!A:A,D90,
'YearB-AppDetails Current Date'!F:F,E90,
'YearB-AppDetails Current Date'!E:E,--F90,
'YearB-AppDetails Current Date'!R:R,"&lt;&gt;"&amp;"",
'YearB-AppDetails Current Date'!I:I,"SUMMER"))), "")</f>
        <v/>
      </c>
      <c r="L90" s="74" t="str" cm="1">
        <f t="array" ref="L90">IFERROR(1/(1/SUM(COUNTIFS(
'YearB-AppDetails Current Date'!A:A,D90,
'YearB-AppDetails Current Date'!F:F,E90,
'YearB-AppDetails Current Date'!E:E,--F90,
'YearB-AppDetails Current Date'!T:T,{"APEX","DENY","NTSL"},
'YearB-AppDetails Current Date'!I:I,"SUMMER"))), "")</f>
        <v/>
      </c>
      <c r="M90" s="74" t="str" cm="1">
        <f t="array" ref="M90">IFERROR(1/(1/SUM(COUNTIFS(
'YearB-AppDetails Current Date'!A:A,D90,
'YearB-AppDetails Current Date'!F:F,E90,
'YearB-AppDetails Current Date'!E:E,--F90,
'YearB-AppDetails Current Date'!U:U,{"CCAN","DECL"},
'YearB-AppDetails Current Date'!I:I,"SUMMER"))), "")</f>
        <v/>
      </c>
      <c r="N90" s="74" t="str" cm="1">
        <f t="array" ref="N90">IFERROR(1/(1/SUM(COUNTIFS(
'YearB-AppDetails Current Date'!A:A,D90,
'YearB-AppDetails Current Date'!F:F,E90,
'YearB-AppDetails Current Date'!E:E,--F90,
'YearB-AppDetails Current Date'!V:V,{"APRO","NODE"},
'YearB-AppDetails Current Date'!I:I,"SUMMER"))), "")</f>
        <v/>
      </c>
      <c r="O90" s="74" t="str" cm="1">
        <f t="array" ref="O90">IFERROR(1/(1/SUM(COUNTIFS(
'YearB-AppDetails Current Date'!A:A,D90,
'YearB-AppDetails Current Date'!F:F,E90,
'YearB-AppDetails Current Date'!E:E,--F90,
'YearB-AppDetails Current Date'!T:T,{"CDMT","RQMT","WAIT"},
'YearB-AppDetails Current Date'!I:I,"SUMMER"))), "")</f>
        <v/>
      </c>
      <c r="P90" s="74" t="str">
        <f>IFERROR(1/(1/COUNTIFS(
'YearB-AppDetails Current Date'!A:A,D90,
'YearB-AppDetails Current Date'!F:F,E90,
'YearB-AppDetails Current Date'!E:E,--F90,
'YearB-AppDetails Current Date'!Y:Y,"ENRO",
'YearB-AppDetails Current Date'!I:I,"SUMMER")),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HC'!D:T,10,FALSE)),
N(VLOOKUP(D91&amp;F91,'Budgeted Projections Intl HC'!D:T,11,FALSE))
)
),"")</f>
        <v/>
      </c>
      <c r="I91" s="73" t="str">
        <f>IFERROR(1/(1/COUNTIFS(
'YearB-AppDetails Current Date'!A:A,D91,
'YearB-AppDetails Current Date'!F:F,E91,
'YearB-AppDetails Current Date'!E:E,--F91,
'YearB-AppDetails Current Date'!I:I,"SUMMER")), "")</f>
        <v/>
      </c>
      <c r="J91" s="74" t="str" cm="1">
        <f t="array" ref="J91">IFERROR(1/(1/SUM(COUNTIFS(
'YearB-AppDetails Current Date'!A:A,D91,
'YearB-AppDetails Current Date'!F:F,E91,
'YearB-AppDetails Current Date'!E:E,--F91,
'YearB-AppDetails Current Date'!O:O,{"ACLN","ACPT","COND"},
'YearB-AppDetails Current Date'!S:S,"&lt;&gt;ACLN",
'YearB-AppDetails Current Date'!S:S,"&lt;&gt;ACPT",
'YearB-AppDetails Current Date'!S:S,"&lt;&gt;COND",
'YearB-AppDetails Current Date'!I:I,"SUMMER"))), "")</f>
        <v/>
      </c>
      <c r="K91" s="73" t="str">
        <f>IFERROR(1/(1/SUM(COUNTIFS(
'YearB-AppDetails Current Date'!A:A,D91,
'YearB-AppDetails Current Date'!F:F,E91,
'YearB-AppDetails Current Date'!E:E,--F91,
'YearB-AppDetails Current Date'!R:R,"&lt;&gt;"&amp;"",
'YearB-AppDetails Current Date'!I:I,"SUMMER"))), "")</f>
        <v/>
      </c>
      <c r="L91" s="74" t="str" cm="1">
        <f t="array" ref="L91">IFERROR(1/(1/SUM(COUNTIFS(
'YearB-AppDetails Current Date'!A:A,D91,
'YearB-AppDetails Current Date'!F:F,E91,
'YearB-AppDetails Current Date'!E:E,--F91,
'YearB-AppDetails Current Date'!T:T,{"APEX","DENY","NTSL"},
'YearB-AppDetails Current Date'!I:I,"SUMMER"))), "")</f>
        <v/>
      </c>
      <c r="M91" s="74" t="str" cm="1">
        <f t="array" ref="M91">IFERROR(1/(1/SUM(COUNTIFS(
'YearB-AppDetails Current Date'!A:A,D91,
'YearB-AppDetails Current Date'!F:F,E91,
'YearB-AppDetails Current Date'!E:E,--F91,
'YearB-AppDetails Current Date'!U:U,{"CCAN","DECL"},
'YearB-AppDetails Current Date'!I:I,"SUMMER"))), "")</f>
        <v/>
      </c>
      <c r="N91" s="74" t="str" cm="1">
        <f t="array" ref="N91">IFERROR(1/(1/SUM(COUNTIFS(
'YearB-AppDetails Current Date'!A:A,D91,
'YearB-AppDetails Current Date'!F:F,E91,
'YearB-AppDetails Current Date'!E:E,--F91,
'YearB-AppDetails Current Date'!V:V,{"APRO","NODE"},
'YearB-AppDetails Current Date'!I:I,"SUMMER"))), "")</f>
        <v/>
      </c>
      <c r="O91" s="74" t="str" cm="1">
        <f t="array" ref="O91">IFERROR(1/(1/SUM(COUNTIFS(
'YearB-AppDetails Current Date'!A:A,D91,
'YearB-AppDetails Current Date'!F:F,E91,
'YearB-AppDetails Current Date'!E:E,--F91,
'YearB-AppDetails Current Date'!T:T,{"CDMT","RQMT","WAIT"},
'YearB-AppDetails Current Date'!I:I,"SUMMER"))), "")</f>
        <v/>
      </c>
      <c r="P91" s="74" t="str">
        <f>IFERROR(1/(1/COUNTIFS(
'YearB-AppDetails Current Date'!A:A,D91,
'YearB-AppDetails Current Date'!F:F,E91,
'YearB-AppDetails Current Date'!E:E,--F91,
'YearB-AppDetails Current Date'!Y:Y,"ENRO",
'YearB-AppDetails Current Date'!I:I,"SUMMER")),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HC'!D:T,10,FALSE)),
N(VLOOKUP(D92&amp;F92,'Budgeted Projections Dom HC'!D:T,11,FALSE))
)
),"")</f>
        <v/>
      </c>
      <c r="I92" s="73" t="str">
        <f>IFERROR(1/(1/COUNTIFS(
'YearB-AppDetails Current Date'!A:A,D92,
'YearB-AppDetails Current Date'!F:F,E92,
'YearB-AppDetails Current Date'!E:E,--F92,
'YearB-AppDetails Current Date'!I:I,"SUMMER")), "")</f>
        <v/>
      </c>
      <c r="J92" s="74" t="str" cm="1">
        <f t="array" ref="J92">IFERROR(1/(1/SUM(COUNTIFS(
'YearB-AppDetails Current Date'!A:A,D92,
'YearB-AppDetails Current Date'!F:F,E92,
'YearB-AppDetails Current Date'!E:E,--F92,
'YearB-AppDetails Current Date'!O:O,{"ACLN","ACPT","COND"},
'YearB-AppDetails Current Date'!S:S,"&lt;&gt;ACLN",
'YearB-AppDetails Current Date'!S:S,"&lt;&gt;ACPT",
'YearB-AppDetails Current Date'!S:S,"&lt;&gt;COND",
'YearB-AppDetails Current Date'!I:I,"SUMMER"))), "")</f>
        <v/>
      </c>
      <c r="K92" s="73" t="str">
        <f>IFERROR(1/(1/SUM(COUNTIFS(
'YearB-AppDetails Current Date'!A:A,D92,
'YearB-AppDetails Current Date'!F:F,E92,
'YearB-AppDetails Current Date'!E:E,--F92,
'YearB-AppDetails Current Date'!R:R,"&lt;&gt;"&amp;"",
'YearB-AppDetails Current Date'!I:I,"SUMMER"))), "")</f>
        <v/>
      </c>
      <c r="L92" s="74" t="str" cm="1">
        <f t="array" ref="L92">IFERROR(1/(1/SUM(COUNTIFS(
'YearB-AppDetails Current Date'!A:A,D92,
'YearB-AppDetails Current Date'!F:F,E92,
'YearB-AppDetails Current Date'!E:E,--F92,
'YearB-AppDetails Current Date'!T:T,{"APEX","DENY","NTSL"},
'YearB-AppDetails Current Date'!I:I,"SUMMER"))), "")</f>
        <v/>
      </c>
      <c r="M92" s="74" t="str" cm="1">
        <f t="array" ref="M92">IFERROR(1/(1/SUM(COUNTIFS(
'YearB-AppDetails Current Date'!A:A,D92,
'YearB-AppDetails Current Date'!F:F,E92,
'YearB-AppDetails Current Date'!E:E,--F92,
'YearB-AppDetails Current Date'!U:U,{"CCAN","DECL"},
'YearB-AppDetails Current Date'!I:I,"SUMMER"))), "")</f>
        <v/>
      </c>
      <c r="N92" s="74" t="str" cm="1">
        <f t="array" ref="N92">IFERROR(1/(1/SUM(COUNTIFS(
'YearB-AppDetails Current Date'!A:A,D92,
'YearB-AppDetails Current Date'!F:F,E92,
'YearB-AppDetails Current Date'!E:E,--F92,
'YearB-AppDetails Current Date'!V:V,{"APRO","NODE"},
'YearB-AppDetails Current Date'!I:I,"SUMMER"))), "")</f>
        <v/>
      </c>
      <c r="O92" s="74" t="str" cm="1">
        <f t="array" ref="O92">IFERROR(1/(1/SUM(COUNTIFS(
'YearB-AppDetails Current Date'!A:A,D92,
'YearB-AppDetails Current Date'!F:F,E92,
'YearB-AppDetails Current Date'!E:E,--F92,
'YearB-AppDetails Current Date'!T:T,{"CDMT","RQMT","WAIT"},
'YearB-AppDetails Current Date'!I:I,"SUMMER"))), "")</f>
        <v/>
      </c>
      <c r="P92" s="74" t="str">
        <f>IFERROR(1/(1/COUNTIFS(
'YearB-AppDetails Current Date'!A:A,D92,
'YearB-AppDetails Current Date'!F:F,E92,
'YearB-AppDetails Current Date'!E:E,--F92,
'YearB-AppDetails Current Date'!Y:Y,"ENRO",
'YearB-AppDetails Current Date'!I:I,"SUMMER")),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HC'!D:T,10,FALSE)),
N(VLOOKUP(D93&amp;F93,'Budgeted Projections Intl HC'!D:T,11,FALSE))
)
),"")</f>
        <v/>
      </c>
      <c r="I93" s="73" t="str">
        <f>IFERROR(1/(1/COUNTIFS(
'YearB-AppDetails Current Date'!A:A,D93,
'YearB-AppDetails Current Date'!F:F,E93,
'YearB-AppDetails Current Date'!E:E,--F93,
'YearB-AppDetails Current Date'!I:I,"SUMMER")), "")</f>
        <v/>
      </c>
      <c r="J93" s="74" t="str" cm="1">
        <f t="array" ref="J93">IFERROR(1/(1/SUM(COUNTIFS(
'YearB-AppDetails Current Date'!A:A,D93,
'YearB-AppDetails Current Date'!F:F,E93,
'YearB-AppDetails Current Date'!E:E,--F93,
'YearB-AppDetails Current Date'!O:O,{"ACLN","ACPT","COND"},
'YearB-AppDetails Current Date'!S:S,"&lt;&gt;ACLN",
'YearB-AppDetails Current Date'!S:S,"&lt;&gt;ACPT",
'YearB-AppDetails Current Date'!S:S,"&lt;&gt;COND",
'YearB-AppDetails Current Date'!I:I,"SUMMER"))), "")</f>
        <v/>
      </c>
      <c r="K93" s="73" t="str">
        <f>IFERROR(1/(1/SUM(COUNTIFS(
'YearB-AppDetails Current Date'!A:A,D93,
'YearB-AppDetails Current Date'!F:F,E93,
'YearB-AppDetails Current Date'!E:E,--F93,
'YearB-AppDetails Current Date'!R:R,"&lt;&gt;"&amp;"",
'YearB-AppDetails Current Date'!I:I,"SUMMER"))), "")</f>
        <v/>
      </c>
      <c r="L93" s="74" t="str" cm="1">
        <f t="array" ref="L93">IFERROR(1/(1/SUM(COUNTIFS(
'YearB-AppDetails Current Date'!A:A,D93,
'YearB-AppDetails Current Date'!F:F,E93,
'YearB-AppDetails Current Date'!E:E,--F93,
'YearB-AppDetails Current Date'!T:T,{"APEX","DENY","NTSL"},
'YearB-AppDetails Current Date'!I:I,"SUMMER"))), "")</f>
        <v/>
      </c>
      <c r="M93" s="74" t="str" cm="1">
        <f t="array" ref="M93">IFERROR(1/(1/SUM(COUNTIFS(
'YearB-AppDetails Current Date'!A:A,D93,
'YearB-AppDetails Current Date'!F:F,E93,
'YearB-AppDetails Current Date'!E:E,--F93,
'YearB-AppDetails Current Date'!U:U,{"CCAN","DECL"},
'YearB-AppDetails Current Date'!I:I,"SUMMER"))), "")</f>
        <v/>
      </c>
      <c r="N93" s="74" t="str" cm="1">
        <f t="array" ref="N93">IFERROR(1/(1/SUM(COUNTIFS(
'YearB-AppDetails Current Date'!A:A,D93,
'YearB-AppDetails Current Date'!F:F,E93,
'YearB-AppDetails Current Date'!E:E,--F93,
'YearB-AppDetails Current Date'!V:V,{"APRO","NODE"},
'YearB-AppDetails Current Date'!I:I,"SUMMER"))), "")</f>
        <v/>
      </c>
      <c r="O93" s="74" t="str" cm="1">
        <f t="array" ref="O93">IFERROR(1/(1/SUM(COUNTIFS(
'YearB-AppDetails Current Date'!A:A,D93,
'YearB-AppDetails Current Date'!F:F,E93,
'YearB-AppDetails Current Date'!E:E,--F93,
'YearB-AppDetails Current Date'!T:T,{"CDMT","RQMT","WAIT"},
'YearB-AppDetails Current Date'!I:I,"SUMMER"))), "")</f>
        <v/>
      </c>
      <c r="P93" s="74" t="str">
        <f>IFERROR(1/(1/COUNTIFS(
'YearB-AppDetails Current Date'!A:A,D93,
'YearB-AppDetails Current Date'!F:F,E93,
'YearB-AppDetails Current Date'!E:E,--F93,
'YearB-AppDetails Current Date'!Y:Y,"ENRO",
'YearB-AppDetails Current Date'!I:I,"SUMMER")),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HC'!D:T,10,FALSE)),
N(VLOOKUP(D94&amp;F94,'Budgeted Projections Dom HC'!D:T,11,FALSE))
)
),"")</f>
        <v/>
      </c>
      <c r="I94" s="73" t="str">
        <f>IFERROR(1/(1/COUNTIFS(
'YearB-AppDetails Current Date'!A:A,D94,
'YearB-AppDetails Current Date'!F:F,E94,
'YearB-AppDetails Current Date'!E:E,--F94,
'YearB-AppDetails Current Date'!I:I,"SUMMER")), "")</f>
        <v/>
      </c>
      <c r="J94" s="74" t="str" cm="1">
        <f t="array" ref="J94">IFERROR(1/(1/SUM(COUNTIFS(
'YearB-AppDetails Current Date'!A:A,D94,
'YearB-AppDetails Current Date'!F:F,E94,
'YearB-AppDetails Current Date'!E:E,--F94,
'YearB-AppDetails Current Date'!O:O,{"ACLN","ACPT","COND"},
'YearB-AppDetails Current Date'!S:S,"&lt;&gt;ACLN",
'YearB-AppDetails Current Date'!S:S,"&lt;&gt;ACPT",
'YearB-AppDetails Current Date'!S:S,"&lt;&gt;COND",
'YearB-AppDetails Current Date'!I:I,"SUMMER"))), "")</f>
        <v/>
      </c>
      <c r="K94" s="73" t="str">
        <f>IFERROR(1/(1/SUM(COUNTIFS(
'YearB-AppDetails Current Date'!A:A,D94,
'YearB-AppDetails Current Date'!F:F,E94,
'YearB-AppDetails Current Date'!E:E,--F94,
'YearB-AppDetails Current Date'!R:R,"&lt;&gt;"&amp;"",
'YearB-AppDetails Current Date'!I:I,"SUMMER"))), "")</f>
        <v/>
      </c>
      <c r="L94" s="74" t="str" cm="1">
        <f t="array" ref="L94">IFERROR(1/(1/SUM(COUNTIFS(
'YearB-AppDetails Current Date'!A:A,D94,
'YearB-AppDetails Current Date'!F:F,E94,
'YearB-AppDetails Current Date'!E:E,--F94,
'YearB-AppDetails Current Date'!T:T,{"APEX","DENY","NTSL"},
'YearB-AppDetails Current Date'!I:I,"SUMMER"))), "")</f>
        <v/>
      </c>
      <c r="M94" s="74" t="str" cm="1">
        <f t="array" ref="M94">IFERROR(1/(1/SUM(COUNTIFS(
'YearB-AppDetails Current Date'!A:A,D94,
'YearB-AppDetails Current Date'!F:F,E94,
'YearB-AppDetails Current Date'!E:E,--F94,
'YearB-AppDetails Current Date'!U:U,{"CCAN","DECL"},
'YearB-AppDetails Current Date'!I:I,"SUMMER"))), "")</f>
        <v/>
      </c>
      <c r="N94" s="74" t="str" cm="1">
        <f t="array" ref="N94">IFERROR(1/(1/SUM(COUNTIFS(
'YearB-AppDetails Current Date'!A:A,D94,
'YearB-AppDetails Current Date'!F:F,E94,
'YearB-AppDetails Current Date'!E:E,--F94,
'YearB-AppDetails Current Date'!V:V,{"APRO","NODE"},
'YearB-AppDetails Current Date'!I:I,"SUMMER"))), "")</f>
        <v/>
      </c>
      <c r="O94" s="74" t="str" cm="1">
        <f t="array" ref="O94">IFERROR(1/(1/SUM(COUNTIFS(
'YearB-AppDetails Current Date'!A:A,D94,
'YearB-AppDetails Current Date'!F:F,E94,
'YearB-AppDetails Current Date'!E:E,--F94,
'YearB-AppDetails Current Date'!T:T,{"CDMT","RQMT","WAIT"},
'YearB-AppDetails Current Date'!I:I,"SUMMER"))), "")</f>
        <v/>
      </c>
      <c r="P94" s="74" t="str">
        <f>IFERROR(1/(1/COUNTIFS(
'YearB-AppDetails Current Date'!A:A,D94,
'YearB-AppDetails Current Date'!F:F,E94,
'YearB-AppDetails Current Date'!E:E,--F94,
'YearB-AppDetails Current Date'!Y:Y,"ENRO",
'YearB-AppDetails Current Date'!I:I,"SUMMER")),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HC'!D:T,10,FALSE)),
N(VLOOKUP(D95&amp;F95,'Budgeted Projections Intl HC'!D:T,11,FALSE))
)
),"")</f>
        <v/>
      </c>
      <c r="I95" s="73" t="str">
        <f>IFERROR(1/(1/COUNTIFS(
'YearB-AppDetails Current Date'!A:A,D95,
'YearB-AppDetails Current Date'!F:F,E95,
'YearB-AppDetails Current Date'!E:E,--F95,
'YearB-AppDetails Current Date'!I:I,"SUMMER")), "")</f>
        <v/>
      </c>
      <c r="J95" s="74" t="str" cm="1">
        <f t="array" ref="J95">IFERROR(1/(1/SUM(COUNTIFS(
'YearB-AppDetails Current Date'!A:A,D95,
'YearB-AppDetails Current Date'!F:F,E95,
'YearB-AppDetails Current Date'!E:E,--F95,
'YearB-AppDetails Current Date'!O:O,{"ACLN","ACPT","COND"},
'YearB-AppDetails Current Date'!S:S,"&lt;&gt;ACLN",
'YearB-AppDetails Current Date'!S:S,"&lt;&gt;ACPT",
'YearB-AppDetails Current Date'!S:S,"&lt;&gt;COND",
'YearB-AppDetails Current Date'!I:I,"SUMMER"))), "")</f>
        <v/>
      </c>
      <c r="K95" s="73" t="str">
        <f>IFERROR(1/(1/SUM(COUNTIFS(
'YearB-AppDetails Current Date'!A:A,D95,
'YearB-AppDetails Current Date'!F:F,E95,
'YearB-AppDetails Current Date'!E:E,--F95,
'YearB-AppDetails Current Date'!R:R,"&lt;&gt;"&amp;"",
'YearB-AppDetails Current Date'!I:I,"SUMMER"))), "")</f>
        <v/>
      </c>
      <c r="L95" s="74" t="str" cm="1">
        <f t="array" ref="L95">IFERROR(1/(1/SUM(COUNTIFS(
'YearB-AppDetails Current Date'!A:A,D95,
'YearB-AppDetails Current Date'!F:F,E95,
'YearB-AppDetails Current Date'!E:E,--F95,
'YearB-AppDetails Current Date'!T:T,{"APEX","DENY","NTSL"},
'YearB-AppDetails Current Date'!I:I,"SUMMER"))), "")</f>
        <v/>
      </c>
      <c r="M95" s="74" t="str" cm="1">
        <f t="array" ref="M95">IFERROR(1/(1/SUM(COUNTIFS(
'YearB-AppDetails Current Date'!A:A,D95,
'YearB-AppDetails Current Date'!F:F,E95,
'YearB-AppDetails Current Date'!E:E,--F95,
'YearB-AppDetails Current Date'!U:U,{"CCAN","DECL"},
'YearB-AppDetails Current Date'!I:I,"SUMMER"))), "")</f>
        <v/>
      </c>
      <c r="N95" s="74" t="str" cm="1">
        <f t="array" ref="N95">IFERROR(1/(1/SUM(COUNTIFS(
'YearB-AppDetails Current Date'!A:A,D95,
'YearB-AppDetails Current Date'!F:F,E95,
'YearB-AppDetails Current Date'!E:E,--F95,
'YearB-AppDetails Current Date'!V:V,{"APRO","NODE"},
'YearB-AppDetails Current Date'!I:I,"SUMMER"))), "")</f>
        <v/>
      </c>
      <c r="O95" s="74" t="str" cm="1">
        <f t="array" ref="O95">IFERROR(1/(1/SUM(COUNTIFS(
'YearB-AppDetails Current Date'!A:A,D95,
'YearB-AppDetails Current Date'!F:F,E95,
'YearB-AppDetails Current Date'!E:E,--F95,
'YearB-AppDetails Current Date'!T:T,{"CDMT","RQMT","WAIT"},
'YearB-AppDetails Current Date'!I:I,"SUMMER"))), "")</f>
        <v/>
      </c>
      <c r="P95" s="74" t="str">
        <f>IFERROR(1/(1/COUNTIFS(
'YearB-AppDetails Current Date'!A:A,D95,
'YearB-AppDetails Current Date'!F:F,E95,
'YearB-AppDetails Current Date'!E:E,--F95,
'YearB-AppDetails Current Date'!Y:Y,"ENRO",
'YearB-AppDetails Current Date'!I:I,"SUMMER")),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HC'!D:T,10,FALSE)),
N(VLOOKUP(D96&amp;F96,'Budgeted Projections Dom HC'!D:T,11,FALSE))
)
),"")</f>
        <v/>
      </c>
      <c r="I96" s="73" t="str">
        <f>IFERROR(1/(1/COUNTIFS(
'YearB-AppDetails Current Date'!A:A,D96,
'YearB-AppDetails Current Date'!F:F,E96,
'YearB-AppDetails Current Date'!E:E,--F96,
'YearB-AppDetails Current Date'!I:I,"SUMMER")), "")</f>
        <v/>
      </c>
      <c r="J96" s="74" t="str" cm="1">
        <f t="array" ref="J96">IFERROR(1/(1/SUM(COUNTIFS(
'YearB-AppDetails Current Date'!A:A,D96,
'YearB-AppDetails Current Date'!F:F,E96,
'YearB-AppDetails Current Date'!E:E,--F96,
'YearB-AppDetails Current Date'!O:O,{"ACLN","ACPT","COND"},
'YearB-AppDetails Current Date'!S:S,"&lt;&gt;ACLN",
'YearB-AppDetails Current Date'!S:S,"&lt;&gt;ACPT",
'YearB-AppDetails Current Date'!S:S,"&lt;&gt;COND",
'YearB-AppDetails Current Date'!I:I,"SUMMER"))), "")</f>
        <v/>
      </c>
      <c r="K96" s="73" t="str">
        <f>IFERROR(1/(1/SUM(COUNTIFS(
'YearB-AppDetails Current Date'!A:A,D96,
'YearB-AppDetails Current Date'!F:F,E96,
'YearB-AppDetails Current Date'!E:E,--F96,
'YearB-AppDetails Current Date'!R:R,"&lt;&gt;"&amp;"",
'YearB-AppDetails Current Date'!I:I,"SUMMER"))), "")</f>
        <v/>
      </c>
      <c r="L96" s="74" t="str" cm="1">
        <f t="array" ref="L96">IFERROR(1/(1/SUM(COUNTIFS(
'YearB-AppDetails Current Date'!A:A,D96,
'YearB-AppDetails Current Date'!F:F,E96,
'YearB-AppDetails Current Date'!E:E,--F96,
'YearB-AppDetails Current Date'!T:T,{"APEX","DENY","NTSL"},
'YearB-AppDetails Current Date'!I:I,"SUMMER"))), "")</f>
        <v/>
      </c>
      <c r="M96" s="74" t="str" cm="1">
        <f t="array" ref="M96">IFERROR(1/(1/SUM(COUNTIFS(
'YearB-AppDetails Current Date'!A:A,D96,
'YearB-AppDetails Current Date'!F:F,E96,
'YearB-AppDetails Current Date'!E:E,--F96,
'YearB-AppDetails Current Date'!U:U,{"CCAN","DECL"},
'YearB-AppDetails Current Date'!I:I,"SUMMER"))), "")</f>
        <v/>
      </c>
      <c r="N96" s="74" t="str" cm="1">
        <f t="array" ref="N96">IFERROR(1/(1/SUM(COUNTIFS(
'YearB-AppDetails Current Date'!A:A,D96,
'YearB-AppDetails Current Date'!F:F,E96,
'YearB-AppDetails Current Date'!E:E,--F96,
'YearB-AppDetails Current Date'!V:V,{"APRO","NODE"},
'YearB-AppDetails Current Date'!I:I,"SUMMER"))), "")</f>
        <v/>
      </c>
      <c r="O96" s="74" t="str" cm="1">
        <f t="array" ref="O96">IFERROR(1/(1/SUM(COUNTIFS(
'YearB-AppDetails Current Date'!A:A,D96,
'YearB-AppDetails Current Date'!F:F,E96,
'YearB-AppDetails Current Date'!E:E,--F96,
'YearB-AppDetails Current Date'!T:T,{"CDMT","RQMT","WAIT"},
'YearB-AppDetails Current Date'!I:I,"SUMMER"))), "")</f>
        <v/>
      </c>
      <c r="P96" s="74" t="str">
        <f>IFERROR(1/(1/COUNTIFS(
'YearB-AppDetails Current Date'!A:A,D96,
'YearB-AppDetails Current Date'!F:F,E96,
'YearB-AppDetails Current Date'!E:E,--F96,
'YearB-AppDetails Current Date'!Y:Y,"ENRO",
'YearB-AppDetails Current Date'!I:I,"SUMMER")),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HC'!D:T,10,FALSE)),
N(VLOOKUP(D97&amp;F97,'Budgeted Projections Intl HC'!D:T,11,FALSE))
)
),"")</f>
        <v/>
      </c>
      <c r="I97" s="73" t="str">
        <f>IFERROR(1/(1/COUNTIFS(
'YearB-AppDetails Current Date'!A:A,D97,
'YearB-AppDetails Current Date'!F:F,E97,
'YearB-AppDetails Current Date'!E:E,--F97,
'YearB-AppDetails Current Date'!I:I,"SUMMER")), "")</f>
        <v/>
      </c>
      <c r="J97" s="74" t="str" cm="1">
        <f t="array" ref="J97">IFERROR(1/(1/SUM(COUNTIFS(
'YearB-AppDetails Current Date'!A:A,D97,
'YearB-AppDetails Current Date'!F:F,E97,
'YearB-AppDetails Current Date'!E:E,--F97,
'YearB-AppDetails Current Date'!O:O,{"ACLN","ACPT","COND"},
'YearB-AppDetails Current Date'!S:S,"&lt;&gt;ACLN",
'YearB-AppDetails Current Date'!S:S,"&lt;&gt;ACPT",
'YearB-AppDetails Current Date'!S:S,"&lt;&gt;COND",
'YearB-AppDetails Current Date'!I:I,"SUMMER"))), "")</f>
        <v/>
      </c>
      <c r="K97" s="73" t="str">
        <f>IFERROR(1/(1/SUM(COUNTIFS(
'YearB-AppDetails Current Date'!A:A,D97,
'YearB-AppDetails Current Date'!F:F,E97,
'YearB-AppDetails Current Date'!E:E,--F97,
'YearB-AppDetails Current Date'!R:R,"&lt;&gt;"&amp;"",
'YearB-AppDetails Current Date'!I:I,"SUMMER"))), "")</f>
        <v/>
      </c>
      <c r="L97" s="74" t="str" cm="1">
        <f t="array" ref="L97">IFERROR(1/(1/SUM(COUNTIFS(
'YearB-AppDetails Current Date'!A:A,D97,
'YearB-AppDetails Current Date'!F:F,E97,
'YearB-AppDetails Current Date'!E:E,--F97,
'YearB-AppDetails Current Date'!T:T,{"APEX","DENY","NTSL"},
'YearB-AppDetails Current Date'!I:I,"SUMMER"))), "")</f>
        <v/>
      </c>
      <c r="M97" s="74" t="str" cm="1">
        <f t="array" ref="M97">IFERROR(1/(1/SUM(COUNTIFS(
'YearB-AppDetails Current Date'!A:A,D97,
'YearB-AppDetails Current Date'!F:F,E97,
'YearB-AppDetails Current Date'!E:E,--F97,
'YearB-AppDetails Current Date'!U:U,{"CCAN","DECL"},
'YearB-AppDetails Current Date'!I:I,"SUMMER"))), "")</f>
        <v/>
      </c>
      <c r="N97" s="74" t="str" cm="1">
        <f t="array" ref="N97">IFERROR(1/(1/SUM(COUNTIFS(
'YearB-AppDetails Current Date'!A:A,D97,
'YearB-AppDetails Current Date'!F:F,E97,
'YearB-AppDetails Current Date'!E:E,--F97,
'YearB-AppDetails Current Date'!V:V,{"APRO","NODE"},
'YearB-AppDetails Current Date'!I:I,"SUMMER"))), "")</f>
        <v/>
      </c>
      <c r="O97" s="74" t="str" cm="1">
        <f t="array" ref="O97">IFERROR(1/(1/SUM(COUNTIFS(
'YearB-AppDetails Current Date'!A:A,D97,
'YearB-AppDetails Current Date'!F:F,E97,
'YearB-AppDetails Current Date'!E:E,--F97,
'YearB-AppDetails Current Date'!T:T,{"CDMT","RQMT","WAIT"},
'YearB-AppDetails Current Date'!I:I,"SUMMER"))), "")</f>
        <v/>
      </c>
      <c r="P97" s="74" t="str">
        <f>IFERROR(1/(1/COUNTIFS(
'YearB-AppDetails Current Date'!A:A,D97,
'YearB-AppDetails Current Date'!F:F,E97,
'YearB-AppDetails Current Date'!E:E,--F97,
'YearB-AppDetails Current Date'!Y:Y,"ENRO",
'YearB-AppDetails Current Date'!I:I,"SUMMER")),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HC'!D:T,10,FALSE)),
N(VLOOKUP(D98&amp;F98,'Budgeted Projections Dom HC'!D:T,11,FALSE))
)
),"")</f>
        <v/>
      </c>
      <c r="I98" s="73" t="str">
        <f>IFERROR(1/(1/COUNTIFS(
'YearB-AppDetails Current Date'!A:A,D98,
'YearB-AppDetails Current Date'!F:F,E98,
'YearB-AppDetails Current Date'!E:E,--F98,
'YearB-AppDetails Current Date'!I:I,"SUMMER")), "")</f>
        <v/>
      </c>
      <c r="J98" s="74" t="str" cm="1">
        <f t="array" ref="J98">IFERROR(1/(1/SUM(COUNTIFS(
'YearB-AppDetails Current Date'!A:A,D98,
'YearB-AppDetails Current Date'!F:F,E98,
'YearB-AppDetails Current Date'!E:E,--F98,
'YearB-AppDetails Current Date'!O:O,{"ACLN","ACPT","COND"},
'YearB-AppDetails Current Date'!S:S,"&lt;&gt;ACLN",
'YearB-AppDetails Current Date'!S:S,"&lt;&gt;ACPT",
'YearB-AppDetails Current Date'!S:S,"&lt;&gt;COND",
'YearB-AppDetails Current Date'!I:I,"SUMMER"))), "")</f>
        <v/>
      </c>
      <c r="K98" s="73" t="str">
        <f>IFERROR(1/(1/SUM(COUNTIFS(
'YearB-AppDetails Current Date'!A:A,D98,
'YearB-AppDetails Current Date'!F:F,E98,
'YearB-AppDetails Current Date'!E:E,--F98,
'YearB-AppDetails Current Date'!R:R,"&lt;&gt;"&amp;"",
'YearB-AppDetails Current Date'!I:I,"SUMMER"))), "")</f>
        <v/>
      </c>
      <c r="L98" s="74" t="str" cm="1">
        <f t="array" ref="L98">IFERROR(1/(1/SUM(COUNTIFS(
'YearB-AppDetails Current Date'!A:A,D98,
'YearB-AppDetails Current Date'!F:F,E98,
'YearB-AppDetails Current Date'!E:E,--F98,
'YearB-AppDetails Current Date'!T:T,{"APEX","DENY","NTSL"},
'YearB-AppDetails Current Date'!I:I,"SUMMER"))), "")</f>
        <v/>
      </c>
      <c r="M98" s="74" t="str" cm="1">
        <f t="array" ref="M98">IFERROR(1/(1/SUM(COUNTIFS(
'YearB-AppDetails Current Date'!A:A,D98,
'YearB-AppDetails Current Date'!F:F,E98,
'YearB-AppDetails Current Date'!E:E,--F98,
'YearB-AppDetails Current Date'!U:U,{"CCAN","DECL"},
'YearB-AppDetails Current Date'!I:I,"SUMMER"))), "")</f>
        <v/>
      </c>
      <c r="N98" s="74" t="str" cm="1">
        <f t="array" ref="N98">IFERROR(1/(1/SUM(COUNTIFS(
'YearB-AppDetails Current Date'!A:A,D98,
'YearB-AppDetails Current Date'!F:F,E98,
'YearB-AppDetails Current Date'!E:E,--F98,
'YearB-AppDetails Current Date'!V:V,{"APRO","NODE"},
'YearB-AppDetails Current Date'!I:I,"SUMMER"))), "")</f>
        <v/>
      </c>
      <c r="O98" s="74" t="str" cm="1">
        <f t="array" ref="O98">IFERROR(1/(1/SUM(COUNTIFS(
'YearB-AppDetails Current Date'!A:A,D98,
'YearB-AppDetails Current Date'!F:F,E98,
'YearB-AppDetails Current Date'!E:E,--F98,
'YearB-AppDetails Current Date'!T:T,{"CDMT","RQMT","WAIT"},
'YearB-AppDetails Current Date'!I:I,"SUMMER"))), "")</f>
        <v/>
      </c>
      <c r="P98" s="74" t="str">
        <f>IFERROR(1/(1/COUNTIFS(
'YearB-AppDetails Current Date'!A:A,D98,
'YearB-AppDetails Current Date'!F:F,E98,
'YearB-AppDetails Current Date'!E:E,--F98,
'YearB-AppDetails Current Date'!Y:Y,"ENRO",
'YearB-AppDetails Current Date'!I:I,"SUMMER")),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HC'!D:T,10,FALSE)),
N(VLOOKUP(D99&amp;F99,'Budgeted Projections Intl HC'!D:T,11,FALSE))
)
),"")</f>
        <v/>
      </c>
      <c r="I99" s="73" t="str">
        <f>IFERROR(1/(1/COUNTIFS(
'YearB-AppDetails Current Date'!A:A,D99,
'YearB-AppDetails Current Date'!F:F,E99,
'YearB-AppDetails Current Date'!E:E,--F99,
'YearB-AppDetails Current Date'!I:I,"SUMMER")), "")</f>
        <v/>
      </c>
      <c r="J99" s="74" t="str" cm="1">
        <f t="array" ref="J99">IFERROR(1/(1/SUM(COUNTIFS(
'YearB-AppDetails Current Date'!A:A,D99,
'YearB-AppDetails Current Date'!F:F,E99,
'YearB-AppDetails Current Date'!E:E,--F99,
'YearB-AppDetails Current Date'!O:O,{"ACLN","ACPT","COND"},
'YearB-AppDetails Current Date'!S:S,"&lt;&gt;ACLN",
'YearB-AppDetails Current Date'!S:S,"&lt;&gt;ACPT",
'YearB-AppDetails Current Date'!S:S,"&lt;&gt;COND",
'YearB-AppDetails Current Date'!I:I,"SUMMER"))), "")</f>
        <v/>
      </c>
      <c r="K99" s="73" t="str">
        <f>IFERROR(1/(1/SUM(COUNTIFS(
'YearB-AppDetails Current Date'!A:A,D99,
'YearB-AppDetails Current Date'!F:F,E99,
'YearB-AppDetails Current Date'!E:E,--F99,
'YearB-AppDetails Current Date'!R:R,"&lt;&gt;"&amp;"",
'YearB-AppDetails Current Date'!I:I,"SUMMER"))), "")</f>
        <v/>
      </c>
      <c r="L99" s="74" t="str" cm="1">
        <f t="array" ref="L99">IFERROR(1/(1/SUM(COUNTIFS(
'YearB-AppDetails Current Date'!A:A,D99,
'YearB-AppDetails Current Date'!F:F,E99,
'YearB-AppDetails Current Date'!E:E,--F99,
'YearB-AppDetails Current Date'!T:T,{"APEX","DENY","NTSL"},
'YearB-AppDetails Current Date'!I:I,"SUMMER"))), "")</f>
        <v/>
      </c>
      <c r="M99" s="74" t="str" cm="1">
        <f t="array" ref="M99">IFERROR(1/(1/SUM(COUNTIFS(
'YearB-AppDetails Current Date'!A:A,D99,
'YearB-AppDetails Current Date'!F:F,E99,
'YearB-AppDetails Current Date'!E:E,--F99,
'YearB-AppDetails Current Date'!U:U,{"CCAN","DECL"},
'YearB-AppDetails Current Date'!I:I,"SUMMER"))), "")</f>
        <v/>
      </c>
      <c r="N99" s="74" t="str" cm="1">
        <f t="array" ref="N99">IFERROR(1/(1/SUM(COUNTIFS(
'YearB-AppDetails Current Date'!A:A,D99,
'YearB-AppDetails Current Date'!F:F,E99,
'YearB-AppDetails Current Date'!E:E,--F99,
'YearB-AppDetails Current Date'!V:V,{"APRO","NODE"},
'YearB-AppDetails Current Date'!I:I,"SUMMER"))), "")</f>
        <v/>
      </c>
      <c r="O99" s="74" t="str" cm="1">
        <f t="array" ref="O99">IFERROR(1/(1/SUM(COUNTIFS(
'YearB-AppDetails Current Date'!A:A,D99,
'YearB-AppDetails Current Date'!F:F,E99,
'YearB-AppDetails Current Date'!E:E,--F99,
'YearB-AppDetails Current Date'!T:T,{"CDMT","RQMT","WAIT"},
'YearB-AppDetails Current Date'!I:I,"SUMMER"))), "")</f>
        <v/>
      </c>
      <c r="P99" s="74" t="str">
        <f>IFERROR(1/(1/COUNTIFS(
'YearB-AppDetails Current Date'!A:A,D99,
'YearB-AppDetails Current Date'!F:F,E99,
'YearB-AppDetails Current Date'!E:E,--F99,
'YearB-AppDetails Current Date'!Y:Y,"ENRO",
'YearB-AppDetails Current Date'!I:I,"SUMMER")),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HC'!D:T,10,FALSE)),
N(VLOOKUP(D100&amp;F100,'Budgeted Projections Dom HC'!D:T,11,FALSE))
)
),"")</f>
        <v/>
      </c>
      <c r="I100" s="73" t="str">
        <f>IFERROR(1/(1/COUNTIFS(
'YearB-AppDetails Current Date'!A:A,D100,
'YearB-AppDetails Current Date'!F:F,E100,
'YearB-AppDetails Current Date'!E:E,--F100,
'YearB-AppDetails Current Date'!I:I,"SUMMER")), "")</f>
        <v/>
      </c>
      <c r="J100" s="74" t="str" cm="1">
        <f t="array" ref="J100">IFERROR(1/(1/SUM(COUNTIFS(
'YearB-AppDetails Current Date'!A:A,D100,
'YearB-AppDetails Current Date'!F:F,E100,
'YearB-AppDetails Current Date'!E:E,--F100,
'YearB-AppDetails Current Date'!O:O,{"ACLN","ACPT","COND"},
'YearB-AppDetails Current Date'!S:S,"&lt;&gt;ACLN",
'YearB-AppDetails Current Date'!S:S,"&lt;&gt;ACPT",
'YearB-AppDetails Current Date'!S:S,"&lt;&gt;COND",
'YearB-AppDetails Current Date'!I:I,"SUMMER"))), "")</f>
        <v/>
      </c>
      <c r="K100" s="73" t="str">
        <f>IFERROR(1/(1/SUM(COUNTIFS(
'YearB-AppDetails Current Date'!A:A,D100,
'YearB-AppDetails Current Date'!F:F,E100,
'YearB-AppDetails Current Date'!E:E,--F100,
'YearB-AppDetails Current Date'!R:R,"&lt;&gt;"&amp;"",
'YearB-AppDetails Current Date'!I:I,"SUMMER"))), "")</f>
        <v/>
      </c>
      <c r="L100" s="74" t="str" cm="1">
        <f t="array" ref="L100">IFERROR(1/(1/SUM(COUNTIFS(
'YearB-AppDetails Current Date'!A:A,D100,
'YearB-AppDetails Current Date'!F:F,E100,
'YearB-AppDetails Current Date'!E:E,--F100,
'YearB-AppDetails Current Date'!T:T,{"APEX","DENY","NTSL"},
'YearB-AppDetails Current Date'!I:I,"SUMMER"))), "")</f>
        <v/>
      </c>
      <c r="M100" s="74" t="str" cm="1">
        <f t="array" ref="M100">IFERROR(1/(1/SUM(COUNTIFS(
'YearB-AppDetails Current Date'!A:A,D100,
'YearB-AppDetails Current Date'!F:F,E100,
'YearB-AppDetails Current Date'!E:E,--F100,
'YearB-AppDetails Current Date'!U:U,{"CCAN","DECL"},
'YearB-AppDetails Current Date'!I:I,"SUMMER"))), "")</f>
        <v/>
      </c>
      <c r="N100" s="74" t="str" cm="1">
        <f t="array" ref="N100">IFERROR(1/(1/SUM(COUNTIFS(
'YearB-AppDetails Current Date'!A:A,D100,
'YearB-AppDetails Current Date'!F:F,E100,
'YearB-AppDetails Current Date'!E:E,--F100,
'YearB-AppDetails Current Date'!V:V,{"APRO","NODE"},
'YearB-AppDetails Current Date'!I:I,"SUMMER"))), "")</f>
        <v/>
      </c>
      <c r="O100" s="74" t="str" cm="1">
        <f t="array" ref="O100">IFERROR(1/(1/SUM(COUNTIFS(
'YearB-AppDetails Current Date'!A:A,D100,
'YearB-AppDetails Current Date'!F:F,E100,
'YearB-AppDetails Current Date'!E:E,--F100,
'YearB-AppDetails Current Date'!T:T,{"CDMT","RQMT","WAIT"},
'YearB-AppDetails Current Date'!I:I,"SUMMER"))), "")</f>
        <v/>
      </c>
      <c r="P100" s="74" t="str">
        <f>IFERROR(1/(1/COUNTIFS(
'YearB-AppDetails Current Date'!A:A,D100,
'YearB-AppDetails Current Date'!F:F,E100,
'YearB-AppDetails Current Date'!E:E,--F100,
'YearB-AppDetails Current Date'!Y:Y,"ENRO",
'YearB-AppDetails Current Date'!I:I,"SUMMER")),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HC'!D:T,10,FALSE)),
N(VLOOKUP(D101&amp;F101,'Budgeted Projections Intl HC'!D:T,11,FALSE))
)
),"")</f>
        <v/>
      </c>
      <c r="I101" s="73" t="str">
        <f>IFERROR(1/(1/COUNTIFS(
'YearB-AppDetails Current Date'!A:A,D101,
'YearB-AppDetails Current Date'!F:F,E101,
'YearB-AppDetails Current Date'!E:E,--F101,
'YearB-AppDetails Current Date'!I:I,"SUMMER")), "")</f>
        <v/>
      </c>
      <c r="J101" s="74" t="str" cm="1">
        <f t="array" ref="J101">IFERROR(1/(1/SUM(COUNTIFS(
'YearB-AppDetails Current Date'!A:A,D101,
'YearB-AppDetails Current Date'!F:F,E101,
'YearB-AppDetails Current Date'!E:E,--F101,
'YearB-AppDetails Current Date'!O:O,{"ACLN","ACPT","COND"},
'YearB-AppDetails Current Date'!S:S,"&lt;&gt;ACLN",
'YearB-AppDetails Current Date'!S:S,"&lt;&gt;ACPT",
'YearB-AppDetails Current Date'!S:S,"&lt;&gt;COND",
'YearB-AppDetails Current Date'!I:I,"SUMMER"))), "")</f>
        <v/>
      </c>
      <c r="K101" s="73" t="str">
        <f>IFERROR(1/(1/SUM(COUNTIFS(
'YearB-AppDetails Current Date'!A:A,D101,
'YearB-AppDetails Current Date'!F:F,E101,
'YearB-AppDetails Current Date'!E:E,--F101,
'YearB-AppDetails Current Date'!R:R,"&lt;&gt;"&amp;"",
'YearB-AppDetails Current Date'!I:I,"SUMMER"))), "")</f>
        <v/>
      </c>
      <c r="L101" s="74" t="str" cm="1">
        <f t="array" ref="L101">IFERROR(1/(1/SUM(COUNTIFS(
'YearB-AppDetails Current Date'!A:A,D101,
'YearB-AppDetails Current Date'!F:F,E101,
'YearB-AppDetails Current Date'!E:E,--F101,
'YearB-AppDetails Current Date'!T:T,{"APEX","DENY","NTSL"},
'YearB-AppDetails Current Date'!I:I,"SUMMER"))), "")</f>
        <v/>
      </c>
      <c r="M101" s="74" t="str" cm="1">
        <f t="array" ref="M101">IFERROR(1/(1/SUM(COUNTIFS(
'YearB-AppDetails Current Date'!A:A,D101,
'YearB-AppDetails Current Date'!F:F,E101,
'YearB-AppDetails Current Date'!E:E,--F101,
'YearB-AppDetails Current Date'!U:U,{"CCAN","DECL"},
'YearB-AppDetails Current Date'!I:I,"SUMMER"))), "")</f>
        <v/>
      </c>
      <c r="N101" s="74" t="str" cm="1">
        <f t="array" ref="N101">IFERROR(1/(1/SUM(COUNTIFS(
'YearB-AppDetails Current Date'!A:A,D101,
'YearB-AppDetails Current Date'!F:F,E101,
'YearB-AppDetails Current Date'!E:E,--F101,
'YearB-AppDetails Current Date'!V:V,{"APRO","NODE"},
'YearB-AppDetails Current Date'!I:I,"SUMMER"))), "")</f>
        <v/>
      </c>
      <c r="O101" s="74" t="str" cm="1">
        <f t="array" ref="O101">IFERROR(1/(1/SUM(COUNTIFS(
'YearB-AppDetails Current Date'!A:A,D101,
'YearB-AppDetails Current Date'!F:F,E101,
'YearB-AppDetails Current Date'!E:E,--F101,
'YearB-AppDetails Current Date'!T:T,{"CDMT","RQMT","WAIT"},
'YearB-AppDetails Current Date'!I:I,"SUMMER"))), "")</f>
        <v/>
      </c>
      <c r="P101" s="74" t="str">
        <f>IFERROR(1/(1/COUNTIFS(
'YearB-AppDetails Current Date'!A:A,D101,
'YearB-AppDetails Current Date'!F:F,E101,
'YearB-AppDetails Current Date'!E:E,--F101,
'YearB-AppDetails Current Date'!Y:Y,"ENRO",
'YearB-AppDetails Current Date'!I:I,"SUMMER")),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HC'!D:T,10,FALSE)),
N(VLOOKUP(D102&amp;F102,'Budgeted Projections Dom HC'!D:T,11,FALSE))
)
),"")</f>
        <v/>
      </c>
      <c r="I102" s="73" t="str">
        <f>IFERROR(1/(1/COUNTIFS(
'YearB-AppDetails Current Date'!A:A,D102,
'YearB-AppDetails Current Date'!F:F,E102,
'YearB-AppDetails Current Date'!E:E,--F102,
'YearB-AppDetails Current Date'!I:I,"SUMMER")), "")</f>
        <v/>
      </c>
      <c r="J102" s="74" t="str" cm="1">
        <f t="array" ref="J102">IFERROR(1/(1/SUM(COUNTIFS(
'YearB-AppDetails Current Date'!A:A,D102,
'YearB-AppDetails Current Date'!F:F,E102,
'YearB-AppDetails Current Date'!E:E,--F102,
'YearB-AppDetails Current Date'!O:O,{"ACLN","ACPT","COND"},
'YearB-AppDetails Current Date'!S:S,"&lt;&gt;ACLN",
'YearB-AppDetails Current Date'!S:S,"&lt;&gt;ACPT",
'YearB-AppDetails Current Date'!S:S,"&lt;&gt;COND",
'YearB-AppDetails Current Date'!I:I,"SUMMER"))), "")</f>
        <v/>
      </c>
      <c r="K102" s="73" t="str">
        <f>IFERROR(1/(1/SUM(COUNTIFS(
'YearB-AppDetails Current Date'!A:A,D102,
'YearB-AppDetails Current Date'!F:F,E102,
'YearB-AppDetails Current Date'!E:E,--F102,
'YearB-AppDetails Current Date'!R:R,"&lt;&gt;"&amp;"",
'YearB-AppDetails Current Date'!I:I,"SUMMER"))), "")</f>
        <v/>
      </c>
      <c r="L102" s="74" t="str" cm="1">
        <f t="array" ref="L102">IFERROR(1/(1/SUM(COUNTIFS(
'YearB-AppDetails Current Date'!A:A,D102,
'YearB-AppDetails Current Date'!F:F,E102,
'YearB-AppDetails Current Date'!E:E,--F102,
'YearB-AppDetails Current Date'!T:T,{"APEX","DENY","NTSL"},
'YearB-AppDetails Current Date'!I:I,"SUMMER"))), "")</f>
        <v/>
      </c>
      <c r="M102" s="74" t="str" cm="1">
        <f t="array" ref="M102">IFERROR(1/(1/SUM(COUNTIFS(
'YearB-AppDetails Current Date'!A:A,D102,
'YearB-AppDetails Current Date'!F:F,E102,
'YearB-AppDetails Current Date'!E:E,--F102,
'YearB-AppDetails Current Date'!U:U,{"CCAN","DECL"},
'YearB-AppDetails Current Date'!I:I,"SUMMER"))), "")</f>
        <v/>
      </c>
      <c r="N102" s="74" t="str" cm="1">
        <f t="array" ref="N102">IFERROR(1/(1/SUM(COUNTIFS(
'YearB-AppDetails Current Date'!A:A,D102,
'YearB-AppDetails Current Date'!F:F,E102,
'YearB-AppDetails Current Date'!E:E,--F102,
'YearB-AppDetails Current Date'!V:V,{"APRO","NODE"},
'YearB-AppDetails Current Date'!I:I,"SUMMER"))), "")</f>
        <v/>
      </c>
      <c r="O102" s="74" t="str" cm="1">
        <f t="array" ref="O102">IFERROR(1/(1/SUM(COUNTIFS(
'YearB-AppDetails Current Date'!A:A,D102,
'YearB-AppDetails Current Date'!F:F,E102,
'YearB-AppDetails Current Date'!E:E,--F102,
'YearB-AppDetails Current Date'!T:T,{"CDMT","RQMT","WAIT"},
'YearB-AppDetails Current Date'!I:I,"SUMMER"))), "")</f>
        <v/>
      </c>
      <c r="P102" s="74" t="str">
        <f>IFERROR(1/(1/COUNTIFS(
'YearB-AppDetails Current Date'!A:A,D102,
'YearB-AppDetails Current Date'!F:F,E102,
'YearB-AppDetails Current Date'!E:E,--F102,
'YearB-AppDetails Current Date'!Y:Y,"ENRO",
'YearB-AppDetails Current Date'!I:I,"SUMMER")),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HC'!D:T,10,FALSE)),
N(VLOOKUP(D103&amp;F103,'Budgeted Projections Intl HC'!D:T,11,FALSE))
)
),"")</f>
        <v/>
      </c>
      <c r="I103" s="73" t="str">
        <f>IFERROR(1/(1/COUNTIFS(
'YearB-AppDetails Current Date'!A:A,D103,
'YearB-AppDetails Current Date'!F:F,E103,
'YearB-AppDetails Current Date'!E:E,--F103,
'YearB-AppDetails Current Date'!I:I,"SUMMER")), "")</f>
        <v/>
      </c>
      <c r="J103" s="74" t="str" cm="1">
        <f t="array" ref="J103">IFERROR(1/(1/SUM(COUNTIFS(
'YearB-AppDetails Current Date'!A:A,D103,
'YearB-AppDetails Current Date'!F:F,E103,
'YearB-AppDetails Current Date'!E:E,--F103,
'YearB-AppDetails Current Date'!O:O,{"ACLN","ACPT","COND"},
'YearB-AppDetails Current Date'!S:S,"&lt;&gt;ACLN",
'YearB-AppDetails Current Date'!S:S,"&lt;&gt;ACPT",
'YearB-AppDetails Current Date'!S:S,"&lt;&gt;COND",
'YearB-AppDetails Current Date'!I:I,"SUMMER"))), "")</f>
        <v/>
      </c>
      <c r="K103" s="73" t="str">
        <f>IFERROR(1/(1/SUM(COUNTIFS(
'YearB-AppDetails Current Date'!A:A,D103,
'YearB-AppDetails Current Date'!F:F,E103,
'YearB-AppDetails Current Date'!E:E,--F103,
'YearB-AppDetails Current Date'!R:R,"&lt;&gt;"&amp;"",
'YearB-AppDetails Current Date'!I:I,"SUMMER"))), "")</f>
        <v/>
      </c>
      <c r="L103" s="74" t="str" cm="1">
        <f t="array" ref="L103">IFERROR(1/(1/SUM(COUNTIFS(
'YearB-AppDetails Current Date'!A:A,D103,
'YearB-AppDetails Current Date'!F:F,E103,
'YearB-AppDetails Current Date'!E:E,--F103,
'YearB-AppDetails Current Date'!T:T,{"APEX","DENY","NTSL"},
'YearB-AppDetails Current Date'!I:I,"SUMMER"))), "")</f>
        <v/>
      </c>
      <c r="M103" s="74" t="str" cm="1">
        <f t="array" ref="M103">IFERROR(1/(1/SUM(COUNTIFS(
'YearB-AppDetails Current Date'!A:A,D103,
'YearB-AppDetails Current Date'!F:F,E103,
'YearB-AppDetails Current Date'!E:E,--F103,
'YearB-AppDetails Current Date'!U:U,{"CCAN","DECL"},
'YearB-AppDetails Current Date'!I:I,"SUMMER"))), "")</f>
        <v/>
      </c>
      <c r="N103" s="74" t="str" cm="1">
        <f t="array" ref="N103">IFERROR(1/(1/SUM(COUNTIFS(
'YearB-AppDetails Current Date'!A:A,D103,
'YearB-AppDetails Current Date'!F:F,E103,
'YearB-AppDetails Current Date'!E:E,--F103,
'YearB-AppDetails Current Date'!V:V,{"APRO","NODE"},
'YearB-AppDetails Current Date'!I:I,"SUMMER"))), "")</f>
        <v/>
      </c>
      <c r="O103" s="74" t="str" cm="1">
        <f t="array" ref="O103">IFERROR(1/(1/SUM(COUNTIFS(
'YearB-AppDetails Current Date'!A:A,D103,
'YearB-AppDetails Current Date'!F:F,E103,
'YearB-AppDetails Current Date'!E:E,--F103,
'YearB-AppDetails Current Date'!T:T,{"CDMT","RQMT","WAIT"},
'YearB-AppDetails Current Date'!I:I,"SUMMER"))), "")</f>
        <v/>
      </c>
      <c r="P103" s="74" t="str">
        <f>IFERROR(1/(1/COUNTIFS(
'YearB-AppDetails Current Date'!A:A,D103,
'YearB-AppDetails Current Date'!F:F,E103,
'YearB-AppDetails Current Date'!E:E,--F103,
'YearB-AppDetails Current Date'!Y:Y,"ENRO",
'YearB-AppDetails Current Date'!I:I,"SUMMER")),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HC'!D:T,10,FALSE)),
N(VLOOKUP(D104&amp;F104,'Budgeted Projections Dom HC'!D:T,11,FALSE))
)
),"")</f>
        <v/>
      </c>
      <c r="I104" s="73" t="str">
        <f>IFERROR(1/(1/COUNTIFS(
'YearB-AppDetails Current Date'!A:A,D104,
'YearB-AppDetails Current Date'!F:F,E104,
'YearB-AppDetails Current Date'!E:E,--F104,
'YearB-AppDetails Current Date'!I:I,"SUMMER")), "")</f>
        <v/>
      </c>
      <c r="J104" s="74" t="str" cm="1">
        <f t="array" ref="J104">IFERROR(1/(1/SUM(COUNTIFS(
'YearB-AppDetails Current Date'!A:A,D104,
'YearB-AppDetails Current Date'!F:F,E104,
'YearB-AppDetails Current Date'!E:E,--F104,
'YearB-AppDetails Current Date'!O:O,{"ACLN","ACPT","COND"},
'YearB-AppDetails Current Date'!S:S,"&lt;&gt;ACLN",
'YearB-AppDetails Current Date'!S:S,"&lt;&gt;ACPT",
'YearB-AppDetails Current Date'!S:S,"&lt;&gt;COND",
'YearB-AppDetails Current Date'!I:I,"SUMMER"))), "")</f>
        <v/>
      </c>
      <c r="K104" s="73" t="str">
        <f>IFERROR(1/(1/SUM(COUNTIFS(
'YearB-AppDetails Current Date'!A:A,D104,
'YearB-AppDetails Current Date'!F:F,E104,
'YearB-AppDetails Current Date'!E:E,--F104,
'YearB-AppDetails Current Date'!R:R,"&lt;&gt;"&amp;"",
'YearB-AppDetails Current Date'!I:I,"SUMMER"))), "")</f>
        <v/>
      </c>
      <c r="L104" s="74" t="str" cm="1">
        <f t="array" ref="L104">IFERROR(1/(1/SUM(COUNTIFS(
'YearB-AppDetails Current Date'!A:A,D104,
'YearB-AppDetails Current Date'!F:F,E104,
'YearB-AppDetails Current Date'!E:E,--F104,
'YearB-AppDetails Current Date'!T:T,{"APEX","DENY","NTSL"},
'YearB-AppDetails Current Date'!I:I,"SUMMER"))), "")</f>
        <v/>
      </c>
      <c r="M104" s="74" t="str" cm="1">
        <f t="array" ref="M104">IFERROR(1/(1/SUM(COUNTIFS(
'YearB-AppDetails Current Date'!A:A,D104,
'YearB-AppDetails Current Date'!F:F,E104,
'YearB-AppDetails Current Date'!E:E,--F104,
'YearB-AppDetails Current Date'!U:U,{"CCAN","DECL"},
'YearB-AppDetails Current Date'!I:I,"SUMMER"))), "")</f>
        <v/>
      </c>
      <c r="N104" s="74" t="str" cm="1">
        <f t="array" ref="N104">IFERROR(1/(1/SUM(COUNTIFS(
'YearB-AppDetails Current Date'!A:A,D104,
'YearB-AppDetails Current Date'!F:F,E104,
'YearB-AppDetails Current Date'!E:E,--F104,
'YearB-AppDetails Current Date'!V:V,{"APRO","NODE"},
'YearB-AppDetails Current Date'!I:I,"SUMMER"))), "")</f>
        <v/>
      </c>
      <c r="O104" s="74" t="str" cm="1">
        <f t="array" ref="O104">IFERROR(1/(1/SUM(COUNTIFS(
'YearB-AppDetails Current Date'!A:A,D104,
'YearB-AppDetails Current Date'!F:F,E104,
'YearB-AppDetails Current Date'!E:E,--F104,
'YearB-AppDetails Current Date'!T:T,{"CDMT","RQMT","WAIT"},
'YearB-AppDetails Current Date'!I:I,"SUMMER"))), "")</f>
        <v/>
      </c>
      <c r="P104" s="74" t="str">
        <f>IFERROR(1/(1/COUNTIFS(
'YearB-AppDetails Current Date'!A:A,D104,
'YearB-AppDetails Current Date'!F:F,E104,
'YearB-AppDetails Current Date'!E:E,--F104,
'YearB-AppDetails Current Date'!Y:Y,"ENRO",
'YearB-AppDetails Current Date'!I:I,"SUMMER")),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HC'!D:T,10,FALSE)),
N(VLOOKUP(D105&amp;F105,'Budgeted Projections Intl HC'!D:T,11,FALSE))
)
),"")</f>
        <v/>
      </c>
      <c r="I105" s="73" t="str">
        <f>IFERROR(1/(1/COUNTIFS(
'YearB-AppDetails Current Date'!A:A,D105,
'YearB-AppDetails Current Date'!F:F,E105,
'YearB-AppDetails Current Date'!E:E,--F105,
'YearB-AppDetails Current Date'!I:I,"SUMMER")), "")</f>
        <v/>
      </c>
      <c r="J105" s="74" t="str" cm="1">
        <f t="array" ref="J105">IFERROR(1/(1/SUM(COUNTIFS(
'YearB-AppDetails Current Date'!A:A,D105,
'YearB-AppDetails Current Date'!F:F,E105,
'YearB-AppDetails Current Date'!E:E,--F105,
'YearB-AppDetails Current Date'!O:O,{"ACLN","ACPT","COND"},
'YearB-AppDetails Current Date'!S:S,"&lt;&gt;ACLN",
'YearB-AppDetails Current Date'!S:S,"&lt;&gt;ACPT",
'YearB-AppDetails Current Date'!S:S,"&lt;&gt;COND",
'YearB-AppDetails Current Date'!I:I,"SUMMER"))), "")</f>
        <v/>
      </c>
      <c r="K105" s="73" t="str">
        <f>IFERROR(1/(1/SUM(COUNTIFS(
'YearB-AppDetails Current Date'!A:A,D105,
'YearB-AppDetails Current Date'!F:F,E105,
'YearB-AppDetails Current Date'!E:E,--F105,
'YearB-AppDetails Current Date'!R:R,"&lt;&gt;"&amp;"",
'YearB-AppDetails Current Date'!I:I,"SUMMER"))), "")</f>
        <v/>
      </c>
      <c r="L105" s="74" t="str" cm="1">
        <f t="array" ref="L105">IFERROR(1/(1/SUM(COUNTIFS(
'YearB-AppDetails Current Date'!A:A,D105,
'YearB-AppDetails Current Date'!F:F,E105,
'YearB-AppDetails Current Date'!E:E,--F105,
'YearB-AppDetails Current Date'!T:T,{"APEX","DENY","NTSL"},
'YearB-AppDetails Current Date'!I:I,"SUMMER"))), "")</f>
        <v/>
      </c>
      <c r="M105" s="74" t="str" cm="1">
        <f t="array" ref="M105">IFERROR(1/(1/SUM(COUNTIFS(
'YearB-AppDetails Current Date'!A:A,D105,
'YearB-AppDetails Current Date'!F:F,E105,
'YearB-AppDetails Current Date'!E:E,--F105,
'YearB-AppDetails Current Date'!U:U,{"CCAN","DECL"},
'YearB-AppDetails Current Date'!I:I,"SUMMER"))), "")</f>
        <v/>
      </c>
      <c r="N105" s="74" t="str" cm="1">
        <f t="array" ref="N105">IFERROR(1/(1/SUM(COUNTIFS(
'YearB-AppDetails Current Date'!A:A,D105,
'YearB-AppDetails Current Date'!F:F,E105,
'YearB-AppDetails Current Date'!E:E,--F105,
'YearB-AppDetails Current Date'!V:V,{"APRO","NODE"},
'YearB-AppDetails Current Date'!I:I,"SUMMER"))), "")</f>
        <v/>
      </c>
      <c r="O105" s="74" t="str" cm="1">
        <f t="array" ref="O105">IFERROR(1/(1/SUM(COUNTIFS(
'YearB-AppDetails Current Date'!A:A,D105,
'YearB-AppDetails Current Date'!F:F,E105,
'YearB-AppDetails Current Date'!E:E,--F105,
'YearB-AppDetails Current Date'!T:T,{"CDMT","RQMT","WAIT"},
'YearB-AppDetails Current Date'!I:I,"SUMMER"))), "")</f>
        <v/>
      </c>
      <c r="P105" s="74" t="str">
        <f>IFERROR(1/(1/COUNTIFS(
'YearB-AppDetails Current Date'!A:A,D105,
'YearB-AppDetails Current Date'!F:F,E105,
'YearB-AppDetails Current Date'!E:E,--F105,
'YearB-AppDetails Current Date'!Y:Y,"ENRO",
'YearB-AppDetails Current Date'!I:I,"SUMMER")),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HC'!D:T,10,FALSE)),
N(VLOOKUP(D106&amp;F106,'Budgeted Projections Dom HC'!D:T,11,FALSE))
)
),"")</f>
        <v/>
      </c>
      <c r="I106" s="73" t="str">
        <f>IFERROR(1/(1/COUNTIFS(
'YearB-AppDetails Current Date'!A:A,D106,
'YearB-AppDetails Current Date'!F:F,E106,
'YearB-AppDetails Current Date'!E:E,--F106,
'YearB-AppDetails Current Date'!I:I,"SUMMER")), "")</f>
        <v/>
      </c>
      <c r="J106" s="74" t="str" cm="1">
        <f t="array" ref="J106">IFERROR(1/(1/SUM(COUNTIFS(
'YearB-AppDetails Current Date'!A:A,D106,
'YearB-AppDetails Current Date'!F:F,E106,
'YearB-AppDetails Current Date'!E:E,--F106,
'YearB-AppDetails Current Date'!O:O,{"ACLN","ACPT","COND"},
'YearB-AppDetails Current Date'!S:S,"&lt;&gt;ACLN",
'YearB-AppDetails Current Date'!S:S,"&lt;&gt;ACPT",
'YearB-AppDetails Current Date'!S:S,"&lt;&gt;COND",
'YearB-AppDetails Current Date'!I:I,"SUMMER"))), "")</f>
        <v/>
      </c>
      <c r="K106" s="73" t="str">
        <f>IFERROR(1/(1/SUM(COUNTIFS(
'YearB-AppDetails Current Date'!A:A,D106,
'YearB-AppDetails Current Date'!F:F,E106,
'YearB-AppDetails Current Date'!E:E,--F106,
'YearB-AppDetails Current Date'!R:R,"&lt;&gt;"&amp;"",
'YearB-AppDetails Current Date'!I:I,"SUMMER"))), "")</f>
        <v/>
      </c>
      <c r="L106" s="74" t="str" cm="1">
        <f t="array" ref="L106">IFERROR(1/(1/SUM(COUNTIFS(
'YearB-AppDetails Current Date'!A:A,D106,
'YearB-AppDetails Current Date'!F:F,E106,
'YearB-AppDetails Current Date'!E:E,--F106,
'YearB-AppDetails Current Date'!T:T,{"APEX","DENY","NTSL"},
'YearB-AppDetails Current Date'!I:I,"SUMMER"))), "")</f>
        <v/>
      </c>
      <c r="M106" s="74" t="str" cm="1">
        <f t="array" ref="M106">IFERROR(1/(1/SUM(COUNTIFS(
'YearB-AppDetails Current Date'!A:A,D106,
'YearB-AppDetails Current Date'!F:F,E106,
'YearB-AppDetails Current Date'!E:E,--F106,
'YearB-AppDetails Current Date'!U:U,{"CCAN","DECL"},
'YearB-AppDetails Current Date'!I:I,"SUMMER"))), "")</f>
        <v/>
      </c>
      <c r="N106" s="74" t="str" cm="1">
        <f t="array" ref="N106">IFERROR(1/(1/SUM(COUNTIFS(
'YearB-AppDetails Current Date'!A:A,D106,
'YearB-AppDetails Current Date'!F:F,E106,
'YearB-AppDetails Current Date'!E:E,--F106,
'YearB-AppDetails Current Date'!V:V,{"APRO","NODE"},
'YearB-AppDetails Current Date'!I:I,"SUMMER"))), "")</f>
        <v/>
      </c>
      <c r="O106" s="74" t="str" cm="1">
        <f t="array" ref="O106">IFERROR(1/(1/SUM(COUNTIFS(
'YearB-AppDetails Current Date'!A:A,D106,
'YearB-AppDetails Current Date'!F:F,E106,
'YearB-AppDetails Current Date'!E:E,--F106,
'YearB-AppDetails Current Date'!T:T,{"CDMT","RQMT","WAIT"},
'YearB-AppDetails Current Date'!I:I,"SUMMER"))), "")</f>
        <v/>
      </c>
      <c r="P106" s="74" t="str">
        <f>IFERROR(1/(1/COUNTIFS(
'YearB-AppDetails Current Date'!A:A,D106,
'YearB-AppDetails Current Date'!F:F,E106,
'YearB-AppDetails Current Date'!E:E,--F106,
'YearB-AppDetails Current Date'!Y:Y,"ENRO",
'YearB-AppDetails Current Date'!I:I,"SUMMER")),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HC'!D:T,10,FALSE)),
N(VLOOKUP(D107&amp;F107,'Budgeted Projections Intl HC'!D:T,11,FALSE))
)
),"")</f>
        <v/>
      </c>
      <c r="I107" s="73" t="str">
        <f>IFERROR(1/(1/COUNTIFS(
'YearB-AppDetails Current Date'!A:A,D107,
'YearB-AppDetails Current Date'!F:F,E107,
'YearB-AppDetails Current Date'!E:E,--F107,
'YearB-AppDetails Current Date'!I:I,"SUMMER")), "")</f>
        <v/>
      </c>
      <c r="J107" s="74" t="str" cm="1">
        <f t="array" ref="J107">IFERROR(1/(1/SUM(COUNTIFS(
'YearB-AppDetails Current Date'!A:A,D107,
'YearB-AppDetails Current Date'!F:F,E107,
'YearB-AppDetails Current Date'!E:E,--F107,
'YearB-AppDetails Current Date'!O:O,{"ACLN","ACPT","COND"},
'YearB-AppDetails Current Date'!S:S,"&lt;&gt;ACLN",
'YearB-AppDetails Current Date'!S:S,"&lt;&gt;ACPT",
'YearB-AppDetails Current Date'!S:S,"&lt;&gt;COND",
'YearB-AppDetails Current Date'!I:I,"SUMMER"))), "")</f>
        <v/>
      </c>
      <c r="K107" s="73" t="str">
        <f>IFERROR(1/(1/SUM(COUNTIFS(
'YearB-AppDetails Current Date'!A:A,D107,
'YearB-AppDetails Current Date'!F:F,E107,
'YearB-AppDetails Current Date'!E:E,--F107,
'YearB-AppDetails Current Date'!R:R,"&lt;&gt;"&amp;"",
'YearB-AppDetails Current Date'!I:I,"SUMMER"))), "")</f>
        <v/>
      </c>
      <c r="L107" s="74" t="str" cm="1">
        <f t="array" ref="L107">IFERROR(1/(1/SUM(COUNTIFS(
'YearB-AppDetails Current Date'!A:A,D107,
'YearB-AppDetails Current Date'!F:F,E107,
'YearB-AppDetails Current Date'!E:E,--F107,
'YearB-AppDetails Current Date'!T:T,{"APEX","DENY","NTSL"},
'YearB-AppDetails Current Date'!I:I,"SUMMER"))), "")</f>
        <v/>
      </c>
      <c r="M107" s="74" t="str" cm="1">
        <f t="array" ref="M107">IFERROR(1/(1/SUM(COUNTIFS(
'YearB-AppDetails Current Date'!A:A,D107,
'YearB-AppDetails Current Date'!F:F,E107,
'YearB-AppDetails Current Date'!E:E,--F107,
'YearB-AppDetails Current Date'!U:U,{"CCAN","DECL"},
'YearB-AppDetails Current Date'!I:I,"SUMMER"))), "")</f>
        <v/>
      </c>
      <c r="N107" s="74" t="str" cm="1">
        <f t="array" ref="N107">IFERROR(1/(1/SUM(COUNTIFS(
'YearB-AppDetails Current Date'!A:A,D107,
'YearB-AppDetails Current Date'!F:F,E107,
'YearB-AppDetails Current Date'!E:E,--F107,
'YearB-AppDetails Current Date'!V:V,{"APRO","NODE"},
'YearB-AppDetails Current Date'!I:I,"SUMMER"))), "")</f>
        <v/>
      </c>
      <c r="O107" s="74" t="str" cm="1">
        <f t="array" ref="O107">IFERROR(1/(1/SUM(COUNTIFS(
'YearB-AppDetails Current Date'!A:A,D107,
'YearB-AppDetails Current Date'!F:F,E107,
'YearB-AppDetails Current Date'!E:E,--F107,
'YearB-AppDetails Current Date'!T:T,{"CDMT","RQMT","WAIT"},
'YearB-AppDetails Current Date'!I:I,"SUMMER"))), "")</f>
        <v/>
      </c>
      <c r="P107" s="74" t="str">
        <f>IFERROR(1/(1/COUNTIFS(
'YearB-AppDetails Current Date'!A:A,D107,
'YearB-AppDetails Current Date'!F:F,E107,
'YearB-AppDetails Current Date'!E:E,--F107,
'YearB-AppDetails Current Date'!Y:Y,"ENRO",
'YearB-AppDetails Current Date'!I:I,"SUMMER")),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HC'!D:T,10,FALSE)),
N(VLOOKUP(D108&amp;F108,'Budgeted Projections Dom HC'!D:T,11,FALSE))
)
),"")</f>
        <v/>
      </c>
      <c r="I108" s="73" t="str">
        <f>IFERROR(1/(1/COUNTIFS(
'YearB-AppDetails Current Date'!A:A,D108,
'YearB-AppDetails Current Date'!F:F,E108,
'YearB-AppDetails Current Date'!E:E,--F108,
'YearB-AppDetails Current Date'!I:I,"SUMMER")), "")</f>
        <v/>
      </c>
      <c r="J108" s="74" t="str" cm="1">
        <f t="array" ref="J108">IFERROR(1/(1/SUM(COUNTIFS(
'YearB-AppDetails Current Date'!A:A,D108,
'YearB-AppDetails Current Date'!F:F,E108,
'YearB-AppDetails Current Date'!E:E,--F108,
'YearB-AppDetails Current Date'!O:O,{"ACLN","ACPT","COND"},
'YearB-AppDetails Current Date'!S:S,"&lt;&gt;ACLN",
'YearB-AppDetails Current Date'!S:S,"&lt;&gt;ACPT",
'YearB-AppDetails Current Date'!S:S,"&lt;&gt;COND",
'YearB-AppDetails Current Date'!I:I,"SUMMER"))), "")</f>
        <v/>
      </c>
      <c r="K108" s="73" t="str">
        <f>IFERROR(1/(1/SUM(COUNTIFS(
'YearB-AppDetails Current Date'!A:A,D108,
'YearB-AppDetails Current Date'!F:F,E108,
'YearB-AppDetails Current Date'!E:E,--F108,
'YearB-AppDetails Current Date'!R:R,"&lt;&gt;"&amp;"",
'YearB-AppDetails Current Date'!I:I,"SUMMER"))), "")</f>
        <v/>
      </c>
      <c r="L108" s="74" t="str" cm="1">
        <f t="array" ref="L108">IFERROR(1/(1/SUM(COUNTIFS(
'YearB-AppDetails Current Date'!A:A,D108,
'YearB-AppDetails Current Date'!F:F,E108,
'YearB-AppDetails Current Date'!E:E,--F108,
'YearB-AppDetails Current Date'!T:T,{"APEX","DENY","NTSL"},
'YearB-AppDetails Current Date'!I:I,"SUMMER"))), "")</f>
        <v/>
      </c>
      <c r="M108" s="74" t="str" cm="1">
        <f t="array" ref="M108">IFERROR(1/(1/SUM(COUNTIFS(
'YearB-AppDetails Current Date'!A:A,D108,
'YearB-AppDetails Current Date'!F:F,E108,
'YearB-AppDetails Current Date'!E:E,--F108,
'YearB-AppDetails Current Date'!U:U,{"CCAN","DECL"},
'YearB-AppDetails Current Date'!I:I,"SUMMER"))), "")</f>
        <v/>
      </c>
      <c r="N108" s="74" t="str" cm="1">
        <f t="array" ref="N108">IFERROR(1/(1/SUM(COUNTIFS(
'YearB-AppDetails Current Date'!A:A,D108,
'YearB-AppDetails Current Date'!F:F,E108,
'YearB-AppDetails Current Date'!E:E,--F108,
'YearB-AppDetails Current Date'!V:V,{"APRO","NODE"},
'YearB-AppDetails Current Date'!I:I,"SUMMER"))), "")</f>
        <v/>
      </c>
      <c r="O108" s="74" t="str" cm="1">
        <f t="array" ref="O108">IFERROR(1/(1/SUM(COUNTIFS(
'YearB-AppDetails Current Date'!A:A,D108,
'YearB-AppDetails Current Date'!F:F,E108,
'YearB-AppDetails Current Date'!E:E,--F108,
'YearB-AppDetails Current Date'!T:T,{"CDMT","RQMT","WAIT"},
'YearB-AppDetails Current Date'!I:I,"SUMMER"))), "")</f>
        <v/>
      </c>
      <c r="P108" s="74" t="str">
        <f>IFERROR(1/(1/COUNTIFS(
'YearB-AppDetails Current Date'!A:A,D108,
'YearB-AppDetails Current Date'!F:F,E108,
'YearB-AppDetails Current Date'!E:E,--F108,
'YearB-AppDetails Current Date'!Y:Y,"ENRO",
'YearB-AppDetails Current Date'!I:I,"SUMMER")),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HC'!D:T,10,FALSE)),
N(VLOOKUP(D109&amp;F109,'Budgeted Projections Intl HC'!D:T,11,FALSE))
)
),"")</f>
        <v/>
      </c>
      <c r="I109" s="73" t="str">
        <f>IFERROR(1/(1/COUNTIFS(
'YearB-AppDetails Current Date'!A:A,D109,
'YearB-AppDetails Current Date'!F:F,E109,
'YearB-AppDetails Current Date'!E:E,--F109,
'YearB-AppDetails Current Date'!I:I,"SUMMER")), "")</f>
        <v/>
      </c>
      <c r="J109" s="74" t="str" cm="1">
        <f t="array" ref="J109">IFERROR(1/(1/SUM(COUNTIFS(
'YearB-AppDetails Current Date'!A:A,D109,
'YearB-AppDetails Current Date'!F:F,E109,
'YearB-AppDetails Current Date'!E:E,--F109,
'YearB-AppDetails Current Date'!O:O,{"ACLN","ACPT","COND"},
'YearB-AppDetails Current Date'!S:S,"&lt;&gt;ACLN",
'YearB-AppDetails Current Date'!S:S,"&lt;&gt;ACPT",
'YearB-AppDetails Current Date'!S:S,"&lt;&gt;COND",
'YearB-AppDetails Current Date'!I:I,"SUMMER"))), "")</f>
        <v/>
      </c>
      <c r="K109" s="73" t="str">
        <f>IFERROR(1/(1/SUM(COUNTIFS(
'YearB-AppDetails Current Date'!A:A,D109,
'YearB-AppDetails Current Date'!F:F,E109,
'YearB-AppDetails Current Date'!E:E,--F109,
'YearB-AppDetails Current Date'!R:R,"&lt;&gt;"&amp;"",
'YearB-AppDetails Current Date'!I:I,"SUMMER"))), "")</f>
        <v/>
      </c>
      <c r="L109" s="74" t="str" cm="1">
        <f t="array" ref="L109">IFERROR(1/(1/SUM(COUNTIFS(
'YearB-AppDetails Current Date'!A:A,D109,
'YearB-AppDetails Current Date'!F:F,E109,
'YearB-AppDetails Current Date'!E:E,--F109,
'YearB-AppDetails Current Date'!T:T,{"APEX","DENY","NTSL"},
'YearB-AppDetails Current Date'!I:I,"SUMMER"))), "")</f>
        <v/>
      </c>
      <c r="M109" s="74" t="str" cm="1">
        <f t="array" ref="M109">IFERROR(1/(1/SUM(COUNTIFS(
'YearB-AppDetails Current Date'!A:A,D109,
'YearB-AppDetails Current Date'!F:F,E109,
'YearB-AppDetails Current Date'!E:E,--F109,
'YearB-AppDetails Current Date'!U:U,{"CCAN","DECL"},
'YearB-AppDetails Current Date'!I:I,"SUMMER"))), "")</f>
        <v/>
      </c>
      <c r="N109" s="74" t="str" cm="1">
        <f t="array" ref="N109">IFERROR(1/(1/SUM(COUNTIFS(
'YearB-AppDetails Current Date'!A:A,D109,
'YearB-AppDetails Current Date'!F:F,E109,
'YearB-AppDetails Current Date'!E:E,--F109,
'YearB-AppDetails Current Date'!V:V,{"APRO","NODE"},
'YearB-AppDetails Current Date'!I:I,"SUMMER"))), "")</f>
        <v/>
      </c>
      <c r="O109" s="74" t="str" cm="1">
        <f t="array" ref="O109">IFERROR(1/(1/SUM(COUNTIFS(
'YearB-AppDetails Current Date'!A:A,D109,
'YearB-AppDetails Current Date'!F:F,E109,
'YearB-AppDetails Current Date'!E:E,--F109,
'YearB-AppDetails Current Date'!T:T,{"CDMT","RQMT","WAIT"},
'YearB-AppDetails Current Date'!I:I,"SUMMER"))), "")</f>
        <v/>
      </c>
      <c r="P109" s="74" t="str">
        <f>IFERROR(1/(1/COUNTIFS(
'YearB-AppDetails Current Date'!A:A,D109,
'YearB-AppDetails Current Date'!F:F,E109,
'YearB-AppDetails Current Date'!E:E,--F109,
'YearB-AppDetails Current Date'!Y:Y,"ENRO",
'YearB-AppDetails Current Date'!I:I,"SUMMER")),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HC'!D:T,10,FALSE)),
N(VLOOKUP(D110&amp;F110,'Budgeted Projections Dom HC'!D:T,11,FALSE))
)
),"")</f>
        <v/>
      </c>
      <c r="I110" s="73" t="str">
        <f>IFERROR(1/(1/COUNTIFS(
'YearB-AppDetails Current Date'!A:A,D110,
'YearB-AppDetails Current Date'!F:F,E110,
'YearB-AppDetails Current Date'!E:E,--F110,
'YearB-AppDetails Current Date'!I:I,"SUMMER")), "")</f>
        <v/>
      </c>
      <c r="J110" s="74" t="str" cm="1">
        <f t="array" ref="J110">IFERROR(1/(1/SUM(COUNTIFS(
'YearB-AppDetails Current Date'!A:A,D110,
'YearB-AppDetails Current Date'!F:F,E110,
'YearB-AppDetails Current Date'!E:E,--F110,
'YearB-AppDetails Current Date'!O:O,{"ACLN","ACPT","COND"},
'YearB-AppDetails Current Date'!S:S,"&lt;&gt;ACLN",
'YearB-AppDetails Current Date'!S:S,"&lt;&gt;ACPT",
'YearB-AppDetails Current Date'!S:S,"&lt;&gt;COND",
'YearB-AppDetails Current Date'!I:I,"SUMMER"))), "")</f>
        <v/>
      </c>
      <c r="K110" s="73" t="str">
        <f>IFERROR(1/(1/SUM(COUNTIFS(
'YearB-AppDetails Current Date'!A:A,D110,
'YearB-AppDetails Current Date'!F:F,E110,
'YearB-AppDetails Current Date'!E:E,--F110,
'YearB-AppDetails Current Date'!R:R,"&lt;&gt;"&amp;"",
'YearB-AppDetails Current Date'!I:I,"SUMMER"))), "")</f>
        <v/>
      </c>
      <c r="L110" s="74" t="str" cm="1">
        <f t="array" ref="L110">IFERROR(1/(1/SUM(COUNTIFS(
'YearB-AppDetails Current Date'!A:A,D110,
'YearB-AppDetails Current Date'!F:F,E110,
'YearB-AppDetails Current Date'!E:E,--F110,
'YearB-AppDetails Current Date'!T:T,{"APEX","DENY","NTSL"},
'YearB-AppDetails Current Date'!I:I,"SUMMER"))), "")</f>
        <v/>
      </c>
      <c r="M110" s="74" t="str" cm="1">
        <f t="array" ref="M110">IFERROR(1/(1/SUM(COUNTIFS(
'YearB-AppDetails Current Date'!A:A,D110,
'YearB-AppDetails Current Date'!F:F,E110,
'YearB-AppDetails Current Date'!E:E,--F110,
'YearB-AppDetails Current Date'!U:U,{"CCAN","DECL"},
'YearB-AppDetails Current Date'!I:I,"SUMMER"))), "")</f>
        <v/>
      </c>
      <c r="N110" s="74" t="str" cm="1">
        <f t="array" ref="N110">IFERROR(1/(1/SUM(COUNTIFS(
'YearB-AppDetails Current Date'!A:A,D110,
'YearB-AppDetails Current Date'!F:F,E110,
'YearB-AppDetails Current Date'!E:E,--F110,
'YearB-AppDetails Current Date'!V:V,{"APRO","NODE"},
'YearB-AppDetails Current Date'!I:I,"SUMMER"))), "")</f>
        <v/>
      </c>
      <c r="O110" s="74" t="str" cm="1">
        <f t="array" ref="O110">IFERROR(1/(1/SUM(COUNTIFS(
'YearB-AppDetails Current Date'!A:A,D110,
'YearB-AppDetails Current Date'!F:F,E110,
'YearB-AppDetails Current Date'!E:E,--F110,
'YearB-AppDetails Current Date'!T:T,{"CDMT","RQMT","WAIT"},
'YearB-AppDetails Current Date'!I:I,"SUMMER"))), "")</f>
        <v/>
      </c>
      <c r="P110" s="74" t="str">
        <f>IFERROR(1/(1/COUNTIFS(
'YearB-AppDetails Current Date'!A:A,D110,
'YearB-AppDetails Current Date'!F:F,E110,
'YearB-AppDetails Current Date'!E:E,--F110,
'YearB-AppDetails Current Date'!Y:Y,"ENRO",
'YearB-AppDetails Current Date'!I:I,"SUMMER")),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HC'!D:T,10,FALSE)),
N(VLOOKUP(D111&amp;F111,'Budgeted Projections Intl HC'!D:T,11,FALSE))
)
),"")</f>
        <v/>
      </c>
      <c r="I111" s="73" t="str">
        <f>IFERROR(1/(1/COUNTIFS(
'YearB-AppDetails Current Date'!A:A,D111,
'YearB-AppDetails Current Date'!F:F,E111,
'YearB-AppDetails Current Date'!E:E,--F111,
'YearB-AppDetails Current Date'!I:I,"SUMMER")), "")</f>
        <v/>
      </c>
      <c r="J111" s="74" t="str" cm="1">
        <f t="array" ref="J111">IFERROR(1/(1/SUM(COUNTIFS(
'YearB-AppDetails Current Date'!A:A,D111,
'YearB-AppDetails Current Date'!F:F,E111,
'YearB-AppDetails Current Date'!E:E,--F111,
'YearB-AppDetails Current Date'!O:O,{"ACLN","ACPT","COND"},
'YearB-AppDetails Current Date'!S:S,"&lt;&gt;ACLN",
'YearB-AppDetails Current Date'!S:S,"&lt;&gt;ACPT",
'YearB-AppDetails Current Date'!S:S,"&lt;&gt;COND",
'YearB-AppDetails Current Date'!I:I,"SUMMER"))), "")</f>
        <v/>
      </c>
      <c r="K111" s="73" t="str">
        <f>IFERROR(1/(1/SUM(COUNTIFS(
'YearB-AppDetails Current Date'!A:A,D111,
'YearB-AppDetails Current Date'!F:F,E111,
'YearB-AppDetails Current Date'!E:E,--F111,
'YearB-AppDetails Current Date'!R:R,"&lt;&gt;"&amp;"",
'YearB-AppDetails Current Date'!I:I,"SUMMER"))), "")</f>
        <v/>
      </c>
      <c r="L111" s="74" t="str" cm="1">
        <f t="array" ref="L111">IFERROR(1/(1/SUM(COUNTIFS(
'YearB-AppDetails Current Date'!A:A,D111,
'YearB-AppDetails Current Date'!F:F,E111,
'YearB-AppDetails Current Date'!E:E,--F111,
'YearB-AppDetails Current Date'!T:T,{"APEX","DENY","NTSL"},
'YearB-AppDetails Current Date'!I:I,"SUMMER"))), "")</f>
        <v/>
      </c>
      <c r="M111" s="74" t="str" cm="1">
        <f t="array" ref="M111">IFERROR(1/(1/SUM(COUNTIFS(
'YearB-AppDetails Current Date'!A:A,D111,
'YearB-AppDetails Current Date'!F:F,E111,
'YearB-AppDetails Current Date'!E:E,--F111,
'YearB-AppDetails Current Date'!U:U,{"CCAN","DECL"},
'YearB-AppDetails Current Date'!I:I,"SUMMER"))), "")</f>
        <v/>
      </c>
      <c r="N111" s="74" t="str" cm="1">
        <f t="array" ref="N111">IFERROR(1/(1/SUM(COUNTIFS(
'YearB-AppDetails Current Date'!A:A,D111,
'YearB-AppDetails Current Date'!F:F,E111,
'YearB-AppDetails Current Date'!E:E,--F111,
'YearB-AppDetails Current Date'!V:V,{"APRO","NODE"},
'YearB-AppDetails Current Date'!I:I,"SUMMER"))), "")</f>
        <v/>
      </c>
      <c r="O111" s="74" t="str" cm="1">
        <f t="array" ref="O111">IFERROR(1/(1/SUM(COUNTIFS(
'YearB-AppDetails Current Date'!A:A,D111,
'YearB-AppDetails Current Date'!F:F,E111,
'YearB-AppDetails Current Date'!E:E,--F111,
'YearB-AppDetails Current Date'!T:T,{"CDMT","RQMT","WAIT"},
'YearB-AppDetails Current Date'!I:I,"SUMMER"))), "")</f>
        <v/>
      </c>
      <c r="P111" s="74" t="str">
        <f>IFERROR(1/(1/COUNTIFS(
'YearB-AppDetails Current Date'!A:A,D111,
'YearB-AppDetails Current Date'!F:F,E111,
'YearB-AppDetails Current Date'!E:E,--F111,
'YearB-AppDetails Current Date'!Y:Y,"ENRO",
'YearB-AppDetails Current Date'!I:I,"SUMMER")),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HC'!D:T,10,FALSE)),
N(VLOOKUP(D112&amp;F112,'Budgeted Projections Dom HC'!D:T,11,FALSE))
)
),"")</f>
        <v/>
      </c>
      <c r="I112" s="73" t="str">
        <f>IFERROR(1/(1/COUNTIFS(
'YearB-AppDetails Current Date'!A:A,D112,
'YearB-AppDetails Current Date'!F:F,E112,
'YearB-AppDetails Current Date'!E:E,--F112,
'YearB-AppDetails Current Date'!I:I,"SUMMER")), "")</f>
        <v/>
      </c>
      <c r="J112" s="74" t="str" cm="1">
        <f t="array" ref="J112">IFERROR(1/(1/SUM(COUNTIFS(
'YearB-AppDetails Current Date'!A:A,D112,
'YearB-AppDetails Current Date'!F:F,E112,
'YearB-AppDetails Current Date'!E:E,--F112,
'YearB-AppDetails Current Date'!O:O,{"ACLN","ACPT","COND"},
'YearB-AppDetails Current Date'!S:S,"&lt;&gt;ACLN",
'YearB-AppDetails Current Date'!S:S,"&lt;&gt;ACPT",
'YearB-AppDetails Current Date'!S:S,"&lt;&gt;COND",
'YearB-AppDetails Current Date'!I:I,"SUMMER"))), "")</f>
        <v/>
      </c>
      <c r="K112" s="73" t="str">
        <f>IFERROR(1/(1/SUM(COUNTIFS(
'YearB-AppDetails Current Date'!A:A,D112,
'YearB-AppDetails Current Date'!F:F,E112,
'YearB-AppDetails Current Date'!E:E,--F112,
'YearB-AppDetails Current Date'!R:R,"&lt;&gt;"&amp;"",
'YearB-AppDetails Current Date'!I:I,"SUMMER"))), "")</f>
        <v/>
      </c>
      <c r="L112" s="74" t="str" cm="1">
        <f t="array" ref="L112">IFERROR(1/(1/SUM(COUNTIFS(
'YearB-AppDetails Current Date'!A:A,D112,
'YearB-AppDetails Current Date'!F:F,E112,
'YearB-AppDetails Current Date'!E:E,--F112,
'YearB-AppDetails Current Date'!T:T,{"APEX","DENY","NTSL"},
'YearB-AppDetails Current Date'!I:I,"SUMMER"))), "")</f>
        <v/>
      </c>
      <c r="M112" s="74" t="str" cm="1">
        <f t="array" ref="M112">IFERROR(1/(1/SUM(COUNTIFS(
'YearB-AppDetails Current Date'!A:A,D112,
'YearB-AppDetails Current Date'!F:F,E112,
'YearB-AppDetails Current Date'!E:E,--F112,
'YearB-AppDetails Current Date'!U:U,{"CCAN","DECL"},
'YearB-AppDetails Current Date'!I:I,"SUMMER"))), "")</f>
        <v/>
      </c>
      <c r="N112" s="74" t="str" cm="1">
        <f t="array" ref="N112">IFERROR(1/(1/SUM(COUNTIFS(
'YearB-AppDetails Current Date'!A:A,D112,
'YearB-AppDetails Current Date'!F:F,E112,
'YearB-AppDetails Current Date'!E:E,--F112,
'YearB-AppDetails Current Date'!V:V,{"APRO","NODE"},
'YearB-AppDetails Current Date'!I:I,"SUMMER"))), "")</f>
        <v/>
      </c>
      <c r="O112" s="74" t="str" cm="1">
        <f t="array" ref="O112">IFERROR(1/(1/SUM(COUNTIFS(
'YearB-AppDetails Current Date'!A:A,D112,
'YearB-AppDetails Current Date'!F:F,E112,
'YearB-AppDetails Current Date'!E:E,--F112,
'YearB-AppDetails Current Date'!T:T,{"CDMT","RQMT","WAIT"},
'YearB-AppDetails Current Date'!I:I,"SUMMER"))), "")</f>
        <v/>
      </c>
      <c r="P112" s="74" t="str">
        <f>IFERROR(1/(1/COUNTIFS(
'YearB-AppDetails Current Date'!A:A,D112,
'YearB-AppDetails Current Date'!F:F,E112,
'YearB-AppDetails Current Date'!E:E,--F112,
'YearB-AppDetails Current Date'!Y:Y,"ENRO",
'YearB-AppDetails Current Date'!I:I,"SUMMER")),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HC'!D:T,10,FALSE)),
N(VLOOKUP(D113&amp;F113,'Budgeted Projections Intl HC'!D:T,11,FALSE))
)
),"")</f>
        <v/>
      </c>
      <c r="I113" s="73" t="str">
        <f>IFERROR(1/(1/COUNTIFS(
'YearB-AppDetails Current Date'!A:A,D113,
'YearB-AppDetails Current Date'!F:F,E113,
'YearB-AppDetails Current Date'!E:E,--F113,
'YearB-AppDetails Current Date'!I:I,"SUMMER")), "")</f>
        <v/>
      </c>
      <c r="J113" s="74" t="str" cm="1">
        <f t="array" ref="J113">IFERROR(1/(1/SUM(COUNTIFS(
'YearB-AppDetails Current Date'!A:A,D113,
'YearB-AppDetails Current Date'!F:F,E113,
'YearB-AppDetails Current Date'!E:E,--F113,
'YearB-AppDetails Current Date'!O:O,{"ACLN","ACPT","COND"},
'YearB-AppDetails Current Date'!S:S,"&lt;&gt;ACLN",
'YearB-AppDetails Current Date'!S:S,"&lt;&gt;ACPT",
'YearB-AppDetails Current Date'!S:S,"&lt;&gt;COND",
'YearB-AppDetails Current Date'!I:I,"SUMMER"))), "")</f>
        <v/>
      </c>
      <c r="K113" s="73" t="str">
        <f>IFERROR(1/(1/SUM(COUNTIFS(
'YearB-AppDetails Current Date'!A:A,D113,
'YearB-AppDetails Current Date'!F:F,E113,
'YearB-AppDetails Current Date'!E:E,--F113,
'YearB-AppDetails Current Date'!R:R,"&lt;&gt;"&amp;"",
'YearB-AppDetails Current Date'!I:I,"SUMMER"))), "")</f>
        <v/>
      </c>
      <c r="L113" s="74" t="str" cm="1">
        <f t="array" ref="L113">IFERROR(1/(1/SUM(COUNTIFS(
'YearB-AppDetails Current Date'!A:A,D113,
'YearB-AppDetails Current Date'!F:F,E113,
'YearB-AppDetails Current Date'!E:E,--F113,
'YearB-AppDetails Current Date'!T:T,{"APEX","DENY","NTSL"},
'YearB-AppDetails Current Date'!I:I,"SUMMER"))), "")</f>
        <v/>
      </c>
      <c r="M113" s="74" t="str" cm="1">
        <f t="array" ref="M113">IFERROR(1/(1/SUM(COUNTIFS(
'YearB-AppDetails Current Date'!A:A,D113,
'YearB-AppDetails Current Date'!F:F,E113,
'YearB-AppDetails Current Date'!E:E,--F113,
'YearB-AppDetails Current Date'!U:U,{"CCAN","DECL"},
'YearB-AppDetails Current Date'!I:I,"SUMMER"))), "")</f>
        <v/>
      </c>
      <c r="N113" s="74" t="str" cm="1">
        <f t="array" ref="N113">IFERROR(1/(1/SUM(COUNTIFS(
'YearB-AppDetails Current Date'!A:A,D113,
'YearB-AppDetails Current Date'!F:F,E113,
'YearB-AppDetails Current Date'!E:E,--F113,
'YearB-AppDetails Current Date'!V:V,{"APRO","NODE"},
'YearB-AppDetails Current Date'!I:I,"SUMMER"))), "")</f>
        <v/>
      </c>
      <c r="O113" s="74" t="str" cm="1">
        <f t="array" ref="O113">IFERROR(1/(1/SUM(COUNTIFS(
'YearB-AppDetails Current Date'!A:A,D113,
'YearB-AppDetails Current Date'!F:F,E113,
'YearB-AppDetails Current Date'!E:E,--F113,
'YearB-AppDetails Current Date'!T:T,{"CDMT","RQMT","WAIT"},
'YearB-AppDetails Current Date'!I:I,"SUMMER"))), "")</f>
        <v/>
      </c>
      <c r="P113" s="74" t="str">
        <f>IFERROR(1/(1/COUNTIFS(
'YearB-AppDetails Current Date'!A:A,D113,
'YearB-AppDetails Current Date'!F:F,E113,
'YearB-AppDetails Current Date'!E:E,--F113,
'YearB-AppDetails Current Date'!Y:Y,"ENRO",
'YearB-AppDetails Current Date'!I:I,"SUMMER")),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HC'!D:T,10,FALSE)),
N(VLOOKUP(D114&amp;F114,'Budgeted Projections Dom HC'!D:T,11,FALSE))
)
),"")</f>
        <v/>
      </c>
      <c r="I114" s="73" t="str">
        <f>IFERROR(1/(1/COUNTIFS(
'YearB-AppDetails Current Date'!A:A,D114,
'YearB-AppDetails Current Date'!F:F,E114,
'YearB-AppDetails Current Date'!E:E,--F114,
'YearB-AppDetails Current Date'!I:I,"SUMMER")), "")</f>
        <v/>
      </c>
      <c r="J114" s="74" t="str" cm="1">
        <f t="array" ref="J114">IFERROR(1/(1/SUM(COUNTIFS(
'YearB-AppDetails Current Date'!A:A,D114,
'YearB-AppDetails Current Date'!F:F,E114,
'YearB-AppDetails Current Date'!E:E,--F114,
'YearB-AppDetails Current Date'!O:O,{"ACLN","ACPT","COND"},
'YearB-AppDetails Current Date'!S:S,"&lt;&gt;ACLN",
'YearB-AppDetails Current Date'!S:S,"&lt;&gt;ACPT",
'YearB-AppDetails Current Date'!S:S,"&lt;&gt;COND",
'YearB-AppDetails Current Date'!I:I,"SUMMER"))), "")</f>
        <v/>
      </c>
      <c r="K114" s="73" t="str">
        <f>IFERROR(1/(1/SUM(COUNTIFS(
'YearB-AppDetails Current Date'!A:A,D114,
'YearB-AppDetails Current Date'!F:F,E114,
'YearB-AppDetails Current Date'!E:E,--F114,
'YearB-AppDetails Current Date'!R:R,"&lt;&gt;"&amp;"",
'YearB-AppDetails Current Date'!I:I,"SUMMER"))), "")</f>
        <v/>
      </c>
      <c r="L114" s="74" t="str" cm="1">
        <f t="array" ref="L114">IFERROR(1/(1/SUM(COUNTIFS(
'YearB-AppDetails Current Date'!A:A,D114,
'YearB-AppDetails Current Date'!F:F,E114,
'YearB-AppDetails Current Date'!E:E,--F114,
'YearB-AppDetails Current Date'!T:T,{"APEX","DENY","NTSL"},
'YearB-AppDetails Current Date'!I:I,"SUMMER"))), "")</f>
        <v/>
      </c>
      <c r="M114" s="74" t="str" cm="1">
        <f t="array" ref="M114">IFERROR(1/(1/SUM(COUNTIFS(
'YearB-AppDetails Current Date'!A:A,D114,
'YearB-AppDetails Current Date'!F:F,E114,
'YearB-AppDetails Current Date'!E:E,--F114,
'YearB-AppDetails Current Date'!U:U,{"CCAN","DECL"},
'YearB-AppDetails Current Date'!I:I,"SUMMER"))), "")</f>
        <v/>
      </c>
      <c r="N114" s="74" t="str" cm="1">
        <f t="array" ref="N114">IFERROR(1/(1/SUM(COUNTIFS(
'YearB-AppDetails Current Date'!A:A,D114,
'YearB-AppDetails Current Date'!F:F,E114,
'YearB-AppDetails Current Date'!E:E,--F114,
'YearB-AppDetails Current Date'!V:V,{"APRO","NODE"},
'YearB-AppDetails Current Date'!I:I,"SUMMER"))), "")</f>
        <v/>
      </c>
      <c r="O114" s="74" t="str" cm="1">
        <f t="array" ref="O114">IFERROR(1/(1/SUM(COUNTIFS(
'YearB-AppDetails Current Date'!A:A,D114,
'YearB-AppDetails Current Date'!F:F,E114,
'YearB-AppDetails Current Date'!E:E,--F114,
'YearB-AppDetails Current Date'!T:T,{"CDMT","RQMT","WAIT"},
'YearB-AppDetails Current Date'!I:I,"SUMMER"))), "")</f>
        <v/>
      </c>
      <c r="P114" s="74" t="str">
        <f>IFERROR(1/(1/COUNTIFS(
'YearB-AppDetails Current Date'!A:A,D114,
'YearB-AppDetails Current Date'!F:F,E114,
'YearB-AppDetails Current Date'!E:E,--F114,
'YearB-AppDetails Current Date'!Y:Y,"ENRO",
'YearB-AppDetails Current Date'!I:I,"SUMMER")),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HC'!D:T,10,FALSE)),
N(VLOOKUP(D115&amp;F115,'Budgeted Projections Intl HC'!D:T,11,FALSE))
)
),"")</f>
        <v/>
      </c>
      <c r="I115" s="73" t="str">
        <f>IFERROR(1/(1/COUNTIFS(
'YearB-AppDetails Current Date'!A:A,D115,
'YearB-AppDetails Current Date'!F:F,E115,
'YearB-AppDetails Current Date'!E:E,--F115,
'YearB-AppDetails Current Date'!I:I,"SUMMER")), "")</f>
        <v/>
      </c>
      <c r="J115" s="74" t="str" cm="1">
        <f t="array" ref="J115">IFERROR(1/(1/SUM(COUNTIFS(
'YearB-AppDetails Current Date'!A:A,D115,
'YearB-AppDetails Current Date'!F:F,E115,
'YearB-AppDetails Current Date'!E:E,--F115,
'YearB-AppDetails Current Date'!O:O,{"ACLN","ACPT","COND"},
'YearB-AppDetails Current Date'!S:S,"&lt;&gt;ACLN",
'YearB-AppDetails Current Date'!S:S,"&lt;&gt;ACPT",
'YearB-AppDetails Current Date'!S:S,"&lt;&gt;COND",
'YearB-AppDetails Current Date'!I:I,"SUMMER"))), "")</f>
        <v/>
      </c>
      <c r="K115" s="73" t="str">
        <f>IFERROR(1/(1/SUM(COUNTIFS(
'YearB-AppDetails Current Date'!A:A,D115,
'YearB-AppDetails Current Date'!F:F,E115,
'YearB-AppDetails Current Date'!E:E,--F115,
'YearB-AppDetails Current Date'!R:R,"&lt;&gt;"&amp;"",
'YearB-AppDetails Current Date'!I:I,"SUMMER"))), "")</f>
        <v/>
      </c>
      <c r="L115" s="74" t="str" cm="1">
        <f t="array" ref="L115">IFERROR(1/(1/SUM(COUNTIFS(
'YearB-AppDetails Current Date'!A:A,D115,
'YearB-AppDetails Current Date'!F:F,E115,
'YearB-AppDetails Current Date'!E:E,--F115,
'YearB-AppDetails Current Date'!T:T,{"APEX","DENY","NTSL"},
'YearB-AppDetails Current Date'!I:I,"SUMMER"))), "")</f>
        <v/>
      </c>
      <c r="M115" s="74" t="str" cm="1">
        <f t="array" ref="M115">IFERROR(1/(1/SUM(COUNTIFS(
'YearB-AppDetails Current Date'!A:A,D115,
'YearB-AppDetails Current Date'!F:F,E115,
'YearB-AppDetails Current Date'!E:E,--F115,
'YearB-AppDetails Current Date'!U:U,{"CCAN","DECL"},
'YearB-AppDetails Current Date'!I:I,"SUMMER"))), "")</f>
        <v/>
      </c>
      <c r="N115" s="74" t="str" cm="1">
        <f t="array" ref="N115">IFERROR(1/(1/SUM(COUNTIFS(
'YearB-AppDetails Current Date'!A:A,D115,
'YearB-AppDetails Current Date'!F:F,E115,
'YearB-AppDetails Current Date'!E:E,--F115,
'YearB-AppDetails Current Date'!V:V,{"APRO","NODE"},
'YearB-AppDetails Current Date'!I:I,"SUMMER"))), "")</f>
        <v/>
      </c>
      <c r="O115" s="74" t="str" cm="1">
        <f t="array" ref="O115">IFERROR(1/(1/SUM(COUNTIFS(
'YearB-AppDetails Current Date'!A:A,D115,
'YearB-AppDetails Current Date'!F:F,E115,
'YearB-AppDetails Current Date'!E:E,--F115,
'YearB-AppDetails Current Date'!T:T,{"CDMT","RQMT","WAIT"},
'YearB-AppDetails Current Date'!I:I,"SUMMER"))), "")</f>
        <v/>
      </c>
      <c r="P115" s="74" t="str">
        <f>IFERROR(1/(1/COUNTIFS(
'YearB-AppDetails Current Date'!A:A,D115,
'YearB-AppDetails Current Date'!F:F,E115,
'YearB-AppDetails Current Date'!E:E,--F115,
'YearB-AppDetails Current Date'!Y:Y,"ENRO",
'YearB-AppDetails Current Date'!I:I,"SUMMER")),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HC'!D:T,10,FALSE)),
N(VLOOKUP(D116&amp;F116,'Budgeted Projections Dom HC'!D:T,11,FALSE))
)
),"")</f>
        <v/>
      </c>
      <c r="I116" s="73" t="str">
        <f>IFERROR(1/(1/COUNTIFS(
'YearB-AppDetails Current Date'!A:A,D116,
'YearB-AppDetails Current Date'!F:F,E116,
'YearB-AppDetails Current Date'!E:E,--F116,
'YearB-AppDetails Current Date'!I:I,"SUMMER")), "")</f>
        <v/>
      </c>
      <c r="J116" s="74" t="str" cm="1">
        <f t="array" ref="J116">IFERROR(1/(1/SUM(COUNTIFS(
'YearB-AppDetails Current Date'!A:A,D116,
'YearB-AppDetails Current Date'!F:F,E116,
'YearB-AppDetails Current Date'!E:E,--F116,
'YearB-AppDetails Current Date'!O:O,{"ACLN","ACPT","COND"},
'YearB-AppDetails Current Date'!S:S,"&lt;&gt;ACLN",
'YearB-AppDetails Current Date'!S:S,"&lt;&gt;ACPT",
'YearB-AppDetails Current Date'!S:S,"&lt;&gt;COND",
'YearB-AppDetails Current Date'!I:I,"SUMMER"))), "")</f>
        <v/>
      </c>
      <c r="K116" s="73" t="str">
        <f>IFERROR(1/(1/SUM(COUNTIFS(
'YearB-AppDetails Current Date'!A:A,D116,
'YearB-AppDetails Current Date'!F:F,E116,
'YearB-AppDetails Current Date'!E:E,--F116,
'YearB-AppDetails Current Date'!R:R,"&lt;&gt;"&amp;"",
'YearB-AppDetails Current Date'!I:I,"SUMMER"))), "")</f>
        <v/>
      </c>
      <c r="L116" s="74" t="str" cm="1">
        <f t="array" ref="L116">IFERROR(1/(1/SUM(COUNTIFS(
'YearB-AppDetails Current Date'!A:A,D116,
'YearB-AppDetails Current Date'!F:F,E116,
'YearB-AppDetails Current Date'!E:E,--F116,
'YearB-AppDetails Current Date'!T:T,{"APEX","DENY","NTSL"},
'YearB-AppDetails Current Date'!I:I,"SUMMER"))), "")</f>
        <v/>
      </c>
      <c r="M116" s="74" t="str" cm="1">
        <f t="array" ref="M116">IFERROR(1/(1/SUM(COUNTIFS(
'YearB-AppDetails Current Date'!A:A,D116,
'YearB-AppDetails Current Date'!F:F,E116,
'YearB-AppDetails Current Date'!E:E,--F116,
'YearB-AppDetails Current Date'!U:U,{"CCAN","DECL"},
'YearB-AppDetails Current Date'!I:I,"SUMMER"))), "")</f>
        <v/>
      </c>
      <c r="N116" s="74" t="str" cm="1">
        <f t="array" ref="N116">IFERROR(1/(1/SUM(COUNTIFS(
'YearB-AppDetails Current Date'!A:A,D116,
'YearB-AppDetails Current Date'!F:F,E116,
'YearB-AppDetails Current Date'!E:E,--F116,
'YearB-AppDetails Current Date'!V:V,{"APRO","NODE"},
'YearB-AppDetails Current Date'!I:I,"SUMMER"))), "")</f>
        <v/>
      </c>
      <c r="O116" s="74" t="str" cm="1">
        <f t="array" ref="O116">IFERROR(1/(1/SUM(COUNTIFS(
'YearB-AppDetails Current Date'!A:A,D116,
'YearB-AppDetails Current Date'!F:F,E116,
'YearB-AppDetails Current Date'!E:E,--F116,
'YearB-AppDetails Current Date'!T:T,{"CDMT","RQMT","WAIT"},
'YearB-AppDetails Current Date'!I:I,"SUMMER"))), "")</f>
        <v/>
      </c>
      <c r="P116" s="74" t="str">
        <f>IFERROR(1/(1/COUNTIFS(
'YearB-AppDetails Current Date'!A:A,D116,
'YearB-AppDetails Current Date'!F:F,E116,
'YearB-AppDetails Current Date'!E:E,--F116,
'YearB-AppDetails Current Date'!Y:Y,"ENRO",
'YearB-AppDetails Current Date'!I:I,"SUMMER")),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HC'!D:T,10,FALSE)),
N(VLOOKUP(D117&amp;F117,'Budgeted Projections Intl HC'!D:T,11,FALSE))
)
),"")</f>
        <v/>
      </c>
      <c r="I117" s="73" t="str">
        <f>IFERROR(1/(1/COUNTIFS(
'YearB-AppDetails Current Date'!A:A,D117,
'YearB-AppDetails Current Date'!F:F,E117,
'YearB-AppDetails Current Date'!E:E,--F117,
'YearB-AppDetails Current Date'!I:I,"SUMMER")), "")</f>
        <v/>
      </c>
      <c r="J117" s="74" t="str" cm="1">
        <f t="array" ref="J117">IFERROR(1/(1/SUM(COUNTIFS(
'YearB-AppDetails Current Date'!A:A,D117,
'YearB-AppDetails Current Date'!F:F,E117,
'YearB-AppDetails Current Date'!E:E,--F117,
'YearB-AppDetails Current Date'!O:O,{"ACLN","ACPT","COND"},
'YearB-AppDetails Current Date'!S:S,"&lt;&gt;ACLN",
'YearB-AppDetails Current Date'!S:S,"&lt;&gt;ACPT",
'YearB-AppDetails Current Date'!S:S,"&lt;&gt;COND",
'YearB-AppDetails Current Date'!I:I,"SUMMER"))), "")</f>
        <v/>
      </c>
      <c r="K117" s="73" t="str">
        <f>IFERROR(1/(1/SUM(COUNTIFS(
'YearB-AppDetails Current Date'!A:A,D117,
'YearB-AppDetails Current Date'!F:F,E117,
'YearB-AppDetails Current Date'!E:E,--F117,
'YearB-AppDetails Current Date'!R:R,"&lt;&gt;"&amp;"",
'YearB-AppDetails Current Date'!I:I,"SUMMER"))), "")</f>
        <v/>
      </c>
      <c r="L117" s="74" t="str" cm="1">
        <f t="array" ref="L117">IFERROR(1/(1/SUM(COUNTIFS(
'YearB-AppDetails Current Date'!A:A,D117,
'YearB-AppDetails Current Date'!F:F,E117,
'YearB-AppDetails Current Date'!E:E,--F117,
'YearB-AppDetails Current Date'!T:T,{"APEX","DENY","NTSL"},
'YearB-AppDetails Current Date'!I:I,"SUMMER"))), "")</f>
        <v/>
      </c>
      <c r="M117" s="74" t="str" cm="1">
        <f t="array" ref="M117">IFERROR(1/(1/SUM(COUNTIFS(
'YearB-AppDetails Current Date'!A:A,D117,
'YearB-AppDetails Current Date'!F:F,E117,
'YearB-AppDetails Current Date'!E:E,--F117,
'YearB-AppDetails Current Date'!U:U,{"CCAN","DECL"},
'YearB-AppDetails Current Date'!I:I,"SUMMER"))), "")</f>
        <v/>
      </c>
      <c r="N117" s="74" t="str" cm="1">
        <f t="array" ref="N117">IFERROR(1/(1/SUM(COUNTIFS(
'YearB-AppDetails Current Date'!A:A,D117,
'YearB-AppDetails Current Date'!F:F,E117,
'YearB-AppDetails Current Date'!E:E,--F117,
'YearB-AppDetails Current Date'!V:V,{"APRO","NODE"},
'YearB-AppDetails Current Date'!I:I,"SUMMER"))), "")</f>
        <v/>
      </c>
      <c r="O117" s="74" t="str" cm="1">
        <f t="array" ref="O117">IFERROR(1/(1/SUM(COUNTIFS(
'YearB-AppDetails Current Date'!A:A,D117,
'YearB-AppDetails Current Date'!F:F,E117,
'YearB-AppDetails Current Date'!E:E,--F117,
'YearB-AppDetails Current Date'!T:T,{"CDMT","RQMT","WAIT"},
'YearB-AppDetails Current Date'!I:I,"SUMMER"))), "")</f>
        <v/>
      </c>
      <c r="P117" s="74" t="str">
        <f>IFERROR(1/(1/COUNTIFS(
'YearB-AppDetails Current Date'!A:A,D117,
'YearB-AppDetails Current Date'!F:F,E117,
'YearB-AppDetails Current Date'!E:E,--F117,
'YearB-AppDetails Current Date'!Y:Y,"ENRO",
'YearB-AppDetails Current Date'!I:I,"SUMMER")),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HC'!D:T,10,FALSE)),
N(VLOOKUP(D118&amp;F118,'Budgeted Projections Dom HC'!D:T,11,FALSE))
)
),"")</f>
        <v/>
      </c>
      <c r="I118" s="73" t="str">
        <f>IFERROR(1/(1/COUNTIFS(
'YearB-AppDetails Current Date'!A:A,D118,
'YearB-AppDetails Current Date'!F:F,E118,
'YearB-AppDetails Current Date'!E:E,--F118,
'YearB-AppDetails Current Date'!I:I,"SUMMER")), "")</f>
        <v/>
      </c>
      <c r="J118" s="74" t="str" cm="1">
        <f t="array" ref="J118">IFERROR(1/(1/SUM(COUNTIFS(
'YearB-AppDetails Current Date'!A:A,D118,
'YearB-AppDetails Current Date'!F:F,E118,
'YearB-AppDetails Current Date'!E:E,--F118,
'YearB-AppDetails Current Date'!O:O,{"ACLN","ACPT","COND"},
'YearB-AppDetails Current Date'!S:S,"&lt;&gt;ACLN",
'YearB-AppDetails Current Date'!S:S,"&lt;&gt;ACPT",
'YearB-AppDetails Current Date'!S:S,"&lt;&gt;COND",
'YearB-AppDetails Current Date'!I:I,"SUMMER"))), "")</f>
        <v/>
      </c>
      <c r="K118" s="73" t="str">
        <f>IFERROR(1/(1/SUM(COUNTIFS(
'YearB-AppDetails Current Date'!A:A,D118,
'YearB-AppDetails Current Date'!F:F,E118,
'YearB-AppDetails Current Date'!E:E,--F118,
'YearB-AppDetails Current Date'!R:R,"&lt;&gt;"&amp;"",
'YearB-AppDetails Current Date'!I:I,"SUMMER"))), "")</f>
        <v/>
      </c>
      <c r="L118" s="74" t="str" cm="1">
        <f t="array" ref="L118">IFERROR(1/(1/SUM(COUNTIFS(
'YearB-AppDetails Current Date'!A:A,D118,
'YearB-AppDetails Current Date'!F:F,E118,
'YearB-AppDetails Current Date'!E:E,--F118,
'YearB-AppDetails Current Date'!T:T,{"APEX","DENY","NTSL"},
'YearB-AppDetails Current Date'!I:I,"SUMMER"))), "")</f>
        <v/>
      </c>
      <c r="M118" s="74" t="str" cm="1">
        <f t="array" ref="M118">IFERROR(1/(1/SUM(COUNTIFS(
'YearB-AppDetails Current Date'!A:A,D118,
'YearB-AppDetails Current Date'!F:F,E118,
'YearB-AppDetails Current Date'!E:E,--F118,
'YearB-AppDetails Current Date'!U:U,{"CCAN","DECL"},
'YearB-AppDetails Current Date'!I:I,"SUMMER"))), "")</f>
        <v/>
      </c>
      <c r="N118" s="74" t="str" cm="1">
        <f t="array" ref="N118">IFERROR(1/(1/SUM(COUNTIFS(
'YearB-AppDetails Current Date'!A:A,D118,
'YearB-AppDetails Current Date'!F:F,E118,
'YearB-AppDetails Current Date'!E:E,--F118,
'YearB-AppDetails Current Date'!V:V,{"APRO","NODE"},
'YearB-AppDetails Current Date'!I:I,"SUMMER"))), "")</f>
        <v/>
      </c>
      <c r="O118" s="74" t="str" cm="1">
        <f t="array" ref="O118">IFERROR(1/(1/SUM(COUNTIFS(
'YearB-AppDetails Current Date'!A:A,D118,
'YearB-AppDetails Current Date'!F:F,E118,
'YearB-AppDetails Current Date'!E:E,--F118,
'YearB-AppDetails Current Date'!T:T,{"CDMT","RQMT","WAIT"},
'YearB-AppDetails Current Date'!I:I,"SUMMER"))), "")</f>
        <v/>
      </c>
      <c r="P118" s="74" t="str">
        <f>IFERROR(1/(1/COUNTIFS(
'YearB-AppDetails Current Date'!A:A,D118,
'YearB-AppDetails Current Date'!F:F,E118,
'YearB-AppDetails Current Date'!E:E,--F118,
'YearB-AppDetails Current Date'!Y:Y,"ENRO",
'YearB-AppDetails Current Date'!I:I,"SUMMER")),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HC'!D:T,10,FALSE)),
N(VLOOKUP(D119&amp;F119,'Budgeted Projections Intl HC'!D:T,11,FALSE))
)
),"")</f>
        <v/>
      </c>
      <c r="I119" s="73" t="str">
        <f>IFERROR(1/(1/COUNTIFS(
'YearB-AppDetails Current Date'!A:A,D119,
'YearB-AppDetails Current Date'!F:F,E119,
'YearB-AppDetails Current Date'!E:E,--F119,
'YearB-AppDetails Current Date'!I:I,"SUMMER")), "")</f>
        <v/>
      </c>
      <c r="J119" s="74" t="str" cm="1">
        <f t="array" ref="J119">IFERROR(1/(1/SUM(COUNTIFS(
'YearB-AppDetails Current Date'!A:A,D119,
'YearB-AppDetails Current Date'!F:F,E119,
'YearB-AppDetails Current Date'!E:E,--F119,
'YearB-AppDetails Current Date'!O:O,{"ACLN","ACPT","COND"},
'YearB-AppDetails Current Date'!S:S,"&lt;&gt;ACLN",
'YearB-AppDetails Current Date'!S:S,"&lt;&gt;ACPT",
'YearB-AppDetails Current Date'!S:S,"&lt;&gt;COND",
'YearB-AppDetails Current Date'!I:I,"SUMMER"))), "")</f>
        <v/>
      </c>
      <c r="K119" s="73" t="str">
        <f>IFERROR(1/(1/SUM(COUNTIFS(
'YearB-AppDetails Current Date'!A:A,D119,
'YearB-AppDetails Current Date'!F:F,E119,
'YearB-AppDetails Current Date'!E:E,--F119,
'YearB-AppDetails Current Date'!R:R,"&lt;&gt;"&amp;"",
'YearB-AppDetails Current Date'!I:I,"SUMMER"))), "")</f>
        <v/>
      </c>
      <c r="L119" s="74" t="str" cm="1">
        <f t="array" ref="L119">IFERROR(1/(1/SUM(COUNTIFS(
'YearB-AppDetails Current Date'!A:A,D119,
'YearB-AppDetails Current Date'!F:F,E119,
'YearB-AppDetails Current Date'!E:E,--F119,
'YearB-AppDetails Current Date'!T:T,{"APEX","DENY","NTSL"},
'YearB-AppDetails Current Date'!I:I,"SUMMER"))), "")</f>
        <v/>
      </c>
      <c r="M119" s="74" t="str" cm="1">
        <f t="array" ref="M119">IFERROR(1/(1/SUM(COUNTIFS(
'YearB-AppDetails Current Date'!A:A,D119,
'YearB-AppDetails Current Date'!F:F,E119,
'YearB-AppDetails Current Date'!E:E,--F119,
'YearB-AppDetails Current Date'!U:U,{"CCAN","DECL"},
'YearB-AppDetails Current Date'!I:I,"SUMMER"))), "")</f>
        <v/>
      </c>
      <c r="N119" s="74" t="str" cm="1">
        <f t="array" ref="N119">IFERROR(1/(1/SUM(COUNTIFS(
'YearB-AppDetails Current Date'!A:A,D119,
'YearB-AppDetails Current Date'!F:F,E119,
'YearB-AppDetails Current Date'!E:E,--F119,
'YearB-AppDetails Current Date'!V:V,{"APRO","NODE"},
'YearB-AppDetails Current Date'!I:I,"SUMMER"))), "")</f>
        <v/>
      </c>
      <c r="O119" s="74" t="str" cm="1">
        <f t="array" ref="O119">IFERROR(1/(1/SUM(COUNTIFS(
'YearB-AppDetails Current Date'!A:A,D119,
'YearB-AppDetails Current Date'!F:F,E119,
'YearB-AppDetails Current Date'!E:E,--F119,
'YearB-AppDetails Current Date'!T:T,{"CDMT","RQMT","WAIT"},
'YearB-AppDetails Current Date'!I:I,"SUMMER"))), "")</f>
        <v/>
      </c>
      <c r="P119" s="74" t="str">
        <f>IFERROR(1/(1/COUNTIFS(
'YearB-AppDetails Current Date'!A:A,D119,
'YearB-AppDetails Current Date'!F:F,E119,
'YearB-AppDetails Current Date'!E:E,--F119,
'YearB-AppDetails Current Date'!Y:Y,"ENRO",
'YearB-AppDetails Current Date'!I:I,"SUMMER")),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HC'!D:T,10,FALSE)),
N(VLOOKUP(D120&amp;F120,'Budgeted Projections Dom HC'!D:T,11,FALSE))
)
),"")</f>
        <v/>
      </c>
      <c r="I120" s="73" t="str">
        <f>IFERROR(1/(1/COUNTIFS(
'YearB-AppDetails Current Date'!A:A,D120,
'YearB-AppDetails Current Date'!F:F,E120,
'YearB-AppDetails Current Date'!E:E,--F120,
'YearB-AppDetails Current Date'!I:I,"SUMMER")), "")</f>
        <v/>
      </c>
      <c r="J120" s="74" t="str" cm="1">
        <f t="array" ref="J120">IFERROR(1/(1/SUM(COUNTIFS(
'YearB-AppDetails Current Date'!A:A,D120,
'YearB-AppDetails Current Date'!F:F,E120,
'YearB-AppDetails Current Date'!E:E,--F120,
'YearB-AppDetails Current Date'!O:O,{"ACLN","ACPT","COND"},
'YearB-AppDetails Current Date'!S:S,"&lt;&gt;ACLN",
'YearB-AppDetails Current Date'!S:S,"&lt;&gt;ACPT",
'YearB-AppDetails Current Date'!S:S,"&lt;&gt;COND",
'YearB-AppDetails Current Date'!I:I,"SUMMER"))), "")</f>
        <v/>
      </c>
      <c r="K120" s="73" t="str">
        <f>IFERROR(1/(1/SUM(COUNTIFS(
'YearB-AppDetails Current Date'!A:A,D120,
'YearB-AppDetails Current Date'!F:F,E120,
'YearB-AppDetails Current Date'!E:E,--F120,
'YearB-AppDetails Current Date'!R:R,"&lt;&gt;"&amp;"",
'YearB-AppDetails Current Date'!I:I,"SUMMER"))), "")</f>
        <v/>
      </c>
      <c r="L120" s="74" t="str" cm="1">
        <f t="array" ref="L120">IFERROR(1/(1/SUM(COUNTIFS(
'YearB-AppDetails Current Date'!A:A,D120,
'YearB-AppDetails Current Date'!F:F,E120,
'YearB-AppDetails Current Date'!E:E,--F120,
'YearB-AppDetails Current Date'!T:T,{"APEX","DENY","NTSL"},
'YearB-AppDetails Current Date'!I:I,"SUMMER"))), "")</f>
        <v/>
      </c>
      <c r="M120" s="74" t="str" cm="1">
        <f t="array" ref="M120">IFERROR(1/(1/SUM(COUNTIFS(
'YearB-AppDetails Current Date'!A:A,D120,
'YearB-AppDetails Current Date'!F:F,E120,
'YearB-AppDetails Current Date'!E:E,--F120,
'YearB-AppDetails Current Date'!U:U,{"CCAN","DECL"},
'YearB-AppDetails Current Date'!I:I,"SUMMER"))), "")</f>
        <v/>
      </c>
      <c r="N120" s="74" t="str" cm="1">
        <f t="array" ref="N120">IFERROR(1/(1/SUM(COUNTIFS(
'YearB-AppDetails Current Date'!A:A,D120,
'YearB-AppDetails Current Date'!F:F,E120,
'YearB-AppDetails Current Date'!E:E,--F120,
'YearB-AppDetails Current Date'!V:V,{"APRO","NODE"},
'YearB-AppDetails Current Date'!I:I,"SUMMER"))), "")</f>
        <v/>
      </c>
      <c r="O120" s="74" t="str" cm="1">
        <f t="array" ref="O120">IFERROR(1/(1/SUM(COUNTIFS(
'YearB-AppDetails Current Date'!A:A,D120,
'YearB-AppDetails Current Date'!F:F,E120,
'YearB-AppDetails Current Date'!E:E,--F120,
'YearB-AppDetails Current Date'!T:T,{"CDMT","RQMT","WAIT"},
'YearB-AppDetails Current Date'!I:I,"SUMMER"))), "")</f>
        <v/>
      </c>
      <c r="P120" s="74" t="str">
        <f>IFERROR(1/(1/COUNTIFS(
'YearB-AppDetails Current Date'!A:A,D120,
'YearB-AppDetails Current Date'!F:F,E120,
'YearB-AppDetails Current Date'!E:E,--F120,
'YearB-AppDetails Current Date'!Y:Y,"ENRO",
'YearB-AppDetails Current Date'!I:I,"SUMMER")),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HC'!D:T,10,FALSE)),
N(VLOOKUP(D121&amp;F121,'Budgeted Projections Intl HC'!D:T,11,FALSE))
)
),"")</f>
        <v/>
      </c>
      <c r="I121" s="73" t="str">
        <f>IFERROR(1/(1/COUNTIFS(
'YearB-AppDetails Current Date'!A:A,D121,
'YearB-AppDetails Current Date'!F:F,E121,
'YearB-AppDetails Current Date'!E:E,--F121,
'YearB-AppDetails Current Date'!I:I,"SUMMER")), "")</f>
        <v/>
      </c>
      <c r="J121" s="74" t="str" cm="1">
        <f t="array" ref="J121">IFERROR(1/(1/SUM(COUNTIFS(
'YearB-AppDetails Current Date'!A:A,D121,
'YearB-AppDetails Current Date'!F:F,E121,
'YearB-AppDetails Current Date'!E:E,--F121,
'YearB-AppDetails Current Date'!O:O,{"ACLN","ACPT","COND"},
'YearB-AppDetails Current Date'!S:S,"&lt;&gt;ACLN",
'YearB-AppDetails Current Date'!S:S,"&lt;&gt;ACPT",
'YearB-AppDetails Current Date'!S:S,"&lt;&gt;COND",
'YearB-AppDetails Current Date'!I:I,"SUMMER"))), "")</f>
        <v/>
      </c>
      <c r="K121" s="73" t="str">
        <f>IFERROR(1/(1/SUM(COUNTIFS(
'YearB-AppDetails Current Date'!A:A,D121,
'YearB-AppDetails Current Date'!F:F,E121,
'YearB-AppDetails Current Date'!E:E,--F121,
'YearB-AppDetails Current Date'!R:R,"&lt;&gt;"&amp;"",
'YearB-AppDetails Current Date'!I:I,"SUMMER"))), "")</f>
        <v/>
      </c>
      <c r="L121" s="74" t="str" cm="1">
        <f t="array" ref="L121">IFERROR(1/(1/SUM(COUNTIFS(
'YearB-AppDetails Current Date'!A:A,D121,
'YearB-AppDetails Current Date'!F:F,E121,
'YearB-AppDetails Current Date'!E:E,--F121,
'YearB-AppDetails Current Date'!T:T,{"APEX","DENY","NTSL"},
'YearB-AppDetails Current Date'!I:I,"SUMMER"))), "")</f>
        <v/>
      </c>
      <c r="M121" s="74" t="str" cm="1">
        <f t="array" ref="M121">IFERROR(1/(1/SUM(COUNTIFS(
'YearB-AppDetails Current Date'!A:A,D121,
'YearB-AppDetails Current Date'!F:F,E121,
'YearB-AppDetails Current Date'!E:E,--F121,
'YearB-AppDetails Current Date'!U:U,{"CCAN","DECL"},
'YearB-AppDetails Current Date'!I:I,"SUMMER"))), "")</f>
        <v/>
      </c>
      <c r="N121" s="74" t="str" cm="1">
        <f t="array" ref="N121">IFERROR(1/(1/SUM(COUNTIFS(
'YearB-AppDetails Current Date'!A:A,D121,
'YearB-AppDetails Current Date'!F:F,E121,
'YearB-AppDetails Current Date'!E:E,--F121,
'YearB-AppDetails Current Date'!V:V,{"APRO","NODE"},
'YearB-AppDetails Current Date'!I:I,"SUMMER"))), "")</f>
        <v/>
      </c>
      <c r="O121" s="74" t="str" cm="1">
        <f t="array" ref="O121">IFERROR(1/(1/SUM(COUNTIFS(
'YearB-AppDetails Current Date'!A:A,D121,
'YearB-AppDetails Current Date'!F:F,E121,
'YearB-AppDetails Current Date'!E:E,--F121,
'YearB-AppDetails Current Date'!T:T,{"CDMT","RQMT","WAIT"},
'YearB-AppDetails Current Date'!I:I,"SUMMER"))), "")</f>
        <v/>
      </c>
      <c r="P121" s="74" t="str">
        <f>IFERROR(1/(1/COUNTIFS(
'YearB-AppDetails Current Date'!A:A,D121,
'YearB-AppDetails Current Date'!F:F,E121,
'YearB-AppDetails Current Date'!E:E,--F121,
'YearB-AppDetails Current Date'!Y:Y,"ENRO",
'YearB-AppDetails Current Date'!I:I,"SUMMER")),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HC'!D:T,10,FALSE)),
N(VLOOKUP(D122&amp;F122,'Budgeted Projections Dom HC'!D:T,11,FALSE))
)
),"")</f>
        <v/>
      </c>
      <c r="I122" s="73" t="str">
        <f>IFERROR(1/(1/COUNTIFS(
'YearB-AppDetails Current Date'!A:A,D122,
'YearB-AppDetails Current Date'!F:F,E122,
'YearB-AppDetails Current Date'!E:E,--F122,
'YearB-AppDetails Current Date'!I:I,"SUMMER")), "")</f>
        <v/>
      </c>
      <c r="J122" s="74" t="str" cm="1">
        <f t="array" ref="J122">IFERROR(1/(1/SUM(COUNTIFS(
'YearB-AppDetails Current Date'!A:A,D122,
'YearB-AppDetails Current Date'!F:F,E122,
'YearB-AppDetails Current Date'!E:E,--F122,
'YearB-AppDetails Current Date'!O:O,{"ACLN","ACPT","COND"},
'YearB-AppDetails Current Date'!S:S,"&lt;&gt;ACLN",
'YearB-AppDetails Current Date'!S:S,"&lt;&gt;ACPT",
'YearB-AppDetails Current Date'!S:S,"&lt;&gt;COND",
'YearB-AppDetails Current Date'!I:I,"SUMMER"))), "")</f>
        <v/>
      </c>
      <c r="K122" s="73" t="str">
        <f>IFERROR(1/(1/SUM(COUNTIFS(
'YearB-AppDetails Current Date'!A:A,D122,
'YearB-AppDetails Current Date'!F:F,E122,
'YearB-AppDetails Current Date'!E:E,--F122,
'YearB-AppDetails Current Date'!R:R,"&lt;&gt;"&amp;"",
'YearB-AppDetails Current Date'!I:I,"SUMMER"))), "")</f>
        <v/>
      </c>
      <c r="L122" s="74" t="str" cm="1">
        <f t="array" ref="L122">IFERROR(1/(1/SUM(COUNTIFS(
'YearB-AppDetails Current Date'!A:A,D122,
'YearB-AppDetails Current Date'!F:F,E122,
'YearB-AppDetails Current Date'!E:E,--F122,
'YearB-AppDetails Current Date'!T:T,{"APEX","DENY","NTSL"},
'YearB-AppDetails Current Date'!I:I,"SUMMER"))), "")</f>
        <v/>
      </c>
      <c r="M122" s="74" t="str" cm="1">
        <f t="array" ref="M122">IFERROR(1/(1/SUM(COUNTIFS(
'YearB-AppDetails Current Date'!A:A,D122,
'YearB-AppDetails Current Date'!F:F,E122,
'YearB-AppDetails Current Date'!E:E,--F122,
'YearB-AppDetails Current Date'!U:U,{"CCAN","DECL"},
'YearB-AppDetails Current Date'!I:I,"SUMMER"))), "")</f>
        <v/>
      </c>
      <c r="N122" s="74" t="str" cm="1">
        <f t="array" ref="N122">IFERROR(1/(1/SUM(COUNTIFS(
'YearB-AppDetails Current Date'!A:A,D122,
'YearB-AppDetails Current Date'!F:F,E122,
'YearB-AppDetails Current Date'!E:E,--F122,
'YearB-AppDetails Current Date'!V:V,{"APRO","NODE"},
'YearB-AppDetails Current Date'!I:I,"SUMMER"))), "")</f>
        <v/>
      </c>
      <c r="O122" s="74" t="str" cm="1">
        <f t="array" ref="O122">IFERROR(1/(1/SUM(COUNTIFS(
'YearB-AppDetails Current Date'!A:A,D122,
'YearB-AppDetails Current Date'!F:F,E122,
'YearB-AppDetails Current Date'!E:E,--F122,
'YearB-AppDetails Current Date'!T:T,{"CDMT","RQMT","WAIT"},
'YearB-AppDetails Current Date'!I:I,"SUMMER"))), "")</f>
        <v/>
      </c>
      <c r="P122" s="74" t="str">
        <f>IFERROR(1/(1/COUNTIFS(
'YearB-AppDetails Current Date'!A:A,D122,
'YearB-AppDetails Current Date'!F:F,E122,
'YearB-AppDetails Current Date'!E:E,--F122,
'YearB-AppDetails Current Date'!Y:Y,"ENRO",
'YearB-AppDetails Current Date'!I:I,"SUMMER")),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HC'!D:T,10,FALSE)),
N(VLOOKUP(D123&amp;F123,'Budgeted Projections Intl HC'!D:T,11,FALSE))
)
),"")</f>
        <v/>
      </c>
      <c r="I123" s="73" t="str">
        <f>IFERROR(1/(1/COUNTIFS(
'YearB-AppDetails Current Date'!A:A,D123,
'YearB-AppDetails Current Date'!F:F,E123,
'YearB-AppDetails Current Date'!E:E,--F123,
'YearB-AppDetails Current Date'!I:I,"SUMMER")), "")</f>
        <v/>
      </c>
      <c r="J123" s="74" t="str" cm="1">
        <f t="array" ref="J123">IFERROR(1/(1/SUM(COUNTIFS(
'YearB-AppDetails Current Date'!A:A,D123,
'YearB-AppDetails Current Date'!F:F,E123,
'YearB-AppDetails Current Date'!E:E,--F123,
'YearB-AppDetails Current Date'!O:O,{"ACLN","ACPT","COND"},
'YearB-AppDetails Current Date'!S:S,"&lt;&gt;ACLN",
'YearB-AppDetails Current Date'!S:S,"&lt;&gt;ACPT",
'YearB-AppDetails Current Date'!S:S,"&lt;&gt;COND",
'YearB-AppDetails Current Date'!I:I,"SUMMER"))), "")</f>
        <v/>
      </c>
      <c r="K123" s="73" t="str">
        <f>IFERROR(1/(1/SUM(COUNTIFS(
'YearB-AppDetails Current Date'!A:A,D123,
'YearB-AppDetails Current Date'!F:F,E123,
'YearB-AppDetails Current Date'!E:E,--F123,
'YearB-AppDetails Current Date'!R:R,"&lt;&gt;"&amp;"",
'YearB-AppDetails Current Date'!I:I,"SUMMER"))), "")</f>
        <v/>
      </c>
      <c r="L123" s="74" t="str" cm="1">
        <f t="array" ref="L123">IFERROR(1/(1/SUM(COUNTIFS(
'YearB-AppDetails Current Date'!A:A,D123,
'YearB-AppDetails Current Date'!F:F,E123,
'YearB-AppDetails Current Date'!E:E,--F123,
'YearB-AppDetails Current Date'!T:T,{"APEX","DENY","NTSL"},
'YearB-AppDetails Current Date'!I:I,"SUMMER"))), "")</f>
        <v/>
      </c>
      <c r="M123" s="74" t="str" cm="1">
        <f t="array" ref="M123">IFERROR(1/(1/SUM(COUNTIFS(
'YearB-AppDetails Current Date'!A:A,D123,
'YearB-AppDetails Current Date'!F:F,E123,
'YearB-AppDetails Current Date'!E:E,--F123,
'YearB-AppDetails Current Date'!U:U,{"CCAN","DECL"},
'YearB-AppDetails Current Date'!I:I,"SUMMER"))), "")</f>
        <v/>
      </c>
      <c r="N123" s="74" t="str" cm="1">
        <f t="array" ref="N123">IFERROR(1/(1/SUM(COUNTIFS(
'YearB-AppDetails Current Date'!A:A,D123,
'YearB-AppDetails Current Date'!F:F,E123,
'YearB-AppDetails Current Date'!E:E,--F123,
'YearB-AppDetails Current Date'!V:V,{"APRO","NODE"},
'YearB-AppDetails Current Date'!I:I,"SUMMER"))), "")</f>
        <v/>
      </c>
      <c r="O123" s="74" t="str" cm="1">
        <f t="array" ref="O123">IFERROR(1/(1/SUM(COUNTIFS(
'YearB-AppDetails Current Date'!A:A,D123,
'YearB-AppDetails Current Date'!F:F,E123,
'YearB-AppDetails Current Date'!E:E,--F123,
'YearB-AppDetails Current Date'!T:T,{"CDMT","RQMT","WAIT"},
'YearB-AppDetails Current Date'!I:I,"SUMMER"))), "")</f>
        <v/>
      </c>
      <c r="P123" s="74" t="str">
        <f>IFERROR(1/(1/COUNTIFS(
'YearB-AppDetails Current Date'!A:A,D123,
'YearB-AppDetails Current Date'!F:F,E123,
'YearB-AppDetails Current Date'!E:E,--F123,
'YearB-AppDetails Current Date'!Y:Y,"ENRO",
'YearB-AppDetails Current Date'!I:I,"SUMMER")),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HC'!D:T,10,FALSE)),
N(VLOOKUP(D124&amp;F124,'Budgeted Projections Dom HC'!D:T,11,FALSE))
)
),"")</f>
        <v/>
      </c>
      <c r="I124" s="73" t="str">
        <f>IFERROR(1/(1/COUNTIFS(
'YearB-AppDetails Current Date'!A:A,D124,
'YearB-AppDetails Current Date'!F:F,E124,
'YearB-AppDetails Current Date'!E:E,--F124,
'YearB-AppDetails Current Date'!I:I,"SUMMER")), "")</f>
        <v/>
      </c>
      <c r="J124" s="74" t="str" cm="1">
        <f t="array" ref="J124">IFERROR(1/(1/SUM(COUNTIFS(
'YearB-AppDetails Current Date'!A:A,D124,
'YearB-AppDetails Current Date'!F:F,E124,
'YearB-AppDetails Current Date'!E:E,--F124,
'YearB-AppDetails Current Date'!O:O,{"ACLN","ACPT","COND"},
'YearB-AppDetails Current Date'!S:S,"&lt;&gt;ACLN",
'YearB-AppDetails Current Date'!S:S,"&lt;&gt;ACPT",
'YearB-AppDetails Current Date'!S:S,"&lt;&gt;COND",
'YearB-AppDetails Current Date'!I:I,"SUMMER"))), "")</f>
        <v/>
      </c>
      <c r="K124" s="73" t="str">
        <f>IFERROR(1/(1/SUM(COUNTIFS(
'YearB-AppDetails Current Date'!A:A,D124,
'YearB-AppDetails Current Date'!F:F,E124,
'YearB-AppDetails Current Date'!E:E,--F124,
'YearB-AppDetails Current Date'!R:R,"&lt;&gt;"&amp;"",
'YearB-AppDetails Current Date'!I:I,"SUMMER"))), "")</f>
        <v/>
      </c>
      <c r="L124" s="74" t="str" cm="1">
        <f t="array" ref="L124">IFERROR(1/(1/SUM(COUNTIFS(
'YearB-AppDetails Current Date'!A:A,D124,
'YearB-AppDetails Current Date'!F:F,E124,
'YearB-AppDetails Current Date'!E:E,--F124,
'YearB-AppDetails Current Date'!T:T,{"APEX","DENY","NTSL"},
'YearB-AppDetails Current Date'!I:I,"SUMMER"))), "")</f>
        <v/>
      </c>
      <c r="M124" s="74" t="str" cm="1">
        <f t="array" ref="M124">IFERROR(1/(1/SUM(COUNTIFS(
'YearB-AppDetails Current Date'!A:A,D124,
'YearB-AppDetails Current Date'!F:F,E124,
'YearB-AppDetails Current Date'!E:E,--F124,
'YearB-AppDetails Current Date'!U:U,{"CCAN","DECL"},
'YearB-AppDetails Current Date'!I:I,"SUMMER"))), "")</f>
        <v/>
      </c>
      <c r="N124" s="74" t="str" cm="1">
        <f t="array" ref="N124">IFERROR(1/(1/SUM(COUNTIFS(
'YearB-AppDetails Current Date'!A:A,D124,
'YearB-AppDetails Current Date'!F:F,E124,
'YearB-AppDetails Current Date'!E:E,--F124,
'YearB-AppDetails Current Date'!V:V,{"APRO","NODE"},
'YearB-AppDetails Current Date'!I:I,"SUMMER"))), "")</f>
        <v/>
      </c>
      <c r="O124" s="74" t="str" cm="1">
        <f t="array" ref="O124">IFERROR(1/(1/SUM(COUNTIFS(
'YearB-AppDetails Current Date'!A:A,D124,
'YearB-AppDetails Current Date'!F:F,E124,
'YearB-AppDetails Current Date'!E:E,--F124,
'YearB-AppDetails Current Date'!T:T,{"CDMT","RQMT","WAIT"},
'YearB-AppDetails Current Date'!I:I,"SUMMER"))), "")</f>
        <v/>
      </c>
      <c r="P124" s="74" t="str">
        <f>IFERROR(1/(1/COUNTIFS(
'YearB-AppDetails Current Date'!A:A,D124,
'YearB-AppDetails Current Date'!F:F,E124,
'YearB-AppDetails Current Date'!E:E,--F124,
'YearB-AppDetails Current Date'!Y:Y,"ENRO",
'YearB-AppDetails Current Date'!I:I,"SUMMER")),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HC'!D:T,10,FALSE)),
N(VLOOKUP(D125&amp;F125,'Budgeted Projections Intl HC'!D:T,11,FALSE))
)
),"")</f>
        <v/>
      </c>
      <c r="I125" s="73" t="str">
        <f>IFERROR(1/(1/COUNTIFS(
'YearB-AppDetails Current Date'!A:A,D125,
'YearB-AppDetails Current Date'!F:F,E125,
'YearB-AppDetails Current Date'!E:E,--F125,
'YearB-AppDetails Current Date'!I:I,"SUMMER")), "")</f>
        <v/>
      </c>
      <c r="J125" s="74" t="str" cm="1">
        <f t="array" ref="J125">IFERROR(1/(1/SUM(COUNTIFS(
'YearB-AppDetails Current Date'!A:A,D125,
'YearB-AppDetails Current Date'!F:F,E125,
'YearB-AppDetails Current Date'!E:E,--F125,
'YearB-AppDetails Current Date'!O:O,{"ACLN","ACPT","COND"},
'YearB-AppDetails Current Date'!S:S,"&lt;&gt;ACLN",
'YearB-AppDetails Current Date'!S:S,"&lt;&gt;ACPT",
'YearB-AppDetails Current Date'!S:S,"&lt;&gt;COND",
'YearB-AppDetails Current Date'!I:I,"SUMMER"))), "")</f>
        <v/>
      </c>
      <c r="K125" s="73" t="str">
        <f>IFERROR(1/(1/SUM(COUNTIFS(
'YearB-AppDetails Current Date'!A:A,D125,
'YearB-AppDetails Current Date'!F:F,E125,
'YearB-AppDetails Current Date'!E:E,--F125,
'YearB-AppDetails Current Date'!R:R,"&lt;&gt;"&amp;"",
'YearB-AppDetails Current Date'!I:I,"SUMMER"))), "")</f>
        <v/>
      </c>
      <c r="L125" s="74" t="str" cm="1">
        <f t="array" ref="L125">IFERROR(1/(1/SUM(COUNTIFS(
'YearB-AppDetails Current Date'!A:A,D125,
'YearB-AppDetails Current Date'!F:F,E125,
'YearB-AppDetails Current Date'!E:E,--F125,
'YearB-AppDetails Current Date'!T:T,{"APEX","DENY","NTSL"},
'YearB-AppDetails Current Date'!I:I,"SUMMER"))), "")</f>
        <v/>
      </c>
      <c r="M125" s="74" t="str" cm="1">
        <f t="array" ref="M125">IFERROR(1/(1/SUM(COUNTIFS(
'YearB-AppDetails Current Date'!A:A,D125,
'YearB-AppDetails Current Date'!F:F,E125,
'YearB-AppDetails Current Date'!E:E,--F125,
'YearB-AppDetails Current Date'!U:U,{"CCAN","DECL"},
'YearB-AppDetails Current Date'!I:I,"SUMMER"))), "")</f>
        <v/>
      </c>
      <c r="N125" s="74" t="str" cm="1">
        <f t="array" ref="N125">IFERROR(1/(1/SUM(COUNTIFS(
'YearB-AppDetails Current Date'!A:A,D125,
'YearB-AppDetails Current Date'!F:F,E125,
'YearB-AppDetails Current Date'!E:E,--F125,
'YearB-AppDetails Current Date'!V:V,{"APRO","NODE"},
'YearB-AppDetails Current Date'!I:I,"SUMMER"))), "")</f>
        <v/>
      </c>
      <c r="O125" s="74" t="str" cm="1">
        <f t="array" ref="O125">IFERROR(1/(1/SUM(COUNTIFS(
'YearB-AppDetails Current Date'!A:A,D125,
'YearB-AppDetails Current Date'!F:F,E125,
'YearB-AppDetails Current Date'!E:E,--F125,
'YearB-AppDetails Current Date'!T:T,{"CDMT","RQMT","WAIT"},
'YearB-AppDetails Current Date'!I:I,"SUMMER"))), "")</f>
        <v/>
      </c>
      <c r="P125" s="74" t="str">
        <f>IFERROR(1/(1/COUNTIFS(
'YearB-AppDetails Current Date'!A:A,D125,
'YearB-AppDetails Current Date'!F:F,E125,
'YearB-AppDetails Current Date'!E:E,--F125,
'YearB-AppDetails Current Date'!Y:Y,"ENRO",
'YearB-AppDetails Current Date'!I:I,"SUMMER")),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HC'!D:T,10,FALSE)),
N(VLOOKUP(D126&amp;F126,'Budgeted Projections Dom HC'!D:T,11,FALSE))
)
),"")</f>
        <v/>
      </c>
      <c r="I126" s="73" t="str">
        <f>IFERROR(1/(1/COUNTIFS(
'YearB-AppDetails Current Date'!A:A,D126,
'YearB-AppDetails Current Date'!F:F,E126,
'YearB-AppDetails Current Date'!E:E,--F126,
'YearB-AppDetails Current Date'!I:I,"SUMMER")), "")</f>
        <v/>
      </c>
      <c r="J126" s="74" t="str" cm="1">
        <f t="array" ref="J126">IFERROR(1/(1/SUM(COUNTIFS(
'YearB-AppDetails Current Date'!A:A,D126,
'YearB-AppDetails Current Date'!F:F,E126,
'YearB-AppDetails Current Date'!E:E,--F126,
'YearB-AppDetails Current Date'!O:O,{"ACLN","ACPT","COND"},
'YearB-AppDetails Current Date'!S:S,"&lt;&gt;ACLN",
'YearB-AppDetails Current Date'!S:S,"&lt;&gt;ACPT",
'YearB-AppDetails Current Date'!S:S,"&lt;&gt;COND",
'YearB-AppDetails Current Date'!I:I,"SUMMER"))), "")</f>
        <v/>
      </c>
      <c r="K126" s="73" t="str">
        <f>IFERROR(1/(1/SUM(COUNTIFS(
'YearB-AppDetails Current Date'!A:A,D126,
'YearB-AppDetails Current Date'!F:F,E126,
'YearB-AppDetails Current Date'!E:E,--F126,
'YearB-AppDetails Current Date'!R:R,"&lt;&gt;"&amp;"",
'YearB-AppDetails Current Date'!I:I,"SUMMER"))), "")</f>
        <v/>
      </c>
      <c r="L126" s="74" t="str" cm="1">
        <f t="array" ref="L126">IFERROR(1/(1/SUM(COUNTIFS(
'YearB-AppDetails Current Date'!A:A,D126,
'YearB-AppDetails Current Date'!F:F,E126,
'YearB-AppDetails Current Date'!E:E,--F126,
'YearB-AppDetails Current Date'!T:T,{"APEX","DENY","NTSL"},
'YearB-AppDetails Current Date'!I:I,"SUMMER"))), "")</f>
        <v/>
      </c>
      <c r="M126" s="74" t="str" cm="1">
        <f t="array" ref="M126">IFERROR(1/(1/SUM(COUNTIFS(
'YearB-AppDetails Current Date'!A:A,D126,
'YearB-AppDetails Current Date'!F:F,E126,
'YearB-AppDetails Current Date'!E:E,--F126,
'YearB-AppDetails Current Date'!U:U,{"CCAN","DECL"},
'YearB-AppDetails Current Date'!I:I,"SUMMER"))), "")</f>
        <v/>
      </c>
      <c r="N126" s="74" t="str" cm="1">
        <f t="array" ref="N126">IFERROR(1/(1/SUM(COUNTIFS(
'YearB-AppDetails Current Date'!A:A,D126,
'YearB-AppDetails Current Date'!F:F,E126,
'YearB-AppDetails Current Date'!E:E,--F126,
'YearB-AppDetails Current Date'!V:V,{"APRO","NODE"},
'YearB-AppDetails Current Date'!I:I,"SUMMER"))), "")</f>
        <v/>
      </c>
      <c r="O126" s="74" t="str" cm="1">
        <f t="array" ref="O126">IFERROR(1/(1/SUM(COUNTIFS(
'YearB-AppDetails Current Date'!A:A,D126,
'YearB-AppDetails Current Date'!F:F,E126,
'YearB-AppDetails Current Date'!E:E,--F126,
'YearB-AppDetails Current Date'!T:T,{"CDMT","RQMT","WAIT"},
'YearB-AppDetails Current Date'!I:I,"SUMMER"))), "")</f>
        <v/>
      </c>
      <c r="P126" s="74" t="str">
        <f>IFERROR(1/(1/COUNTIFS(
'YearB-AppDetails Current Date'!A:A,D126,
'YearB-AppDetails Current Date'!F:F,E126,
'YearB-AppDetails Current Date'!E:E,--F126,
'YearB-AppDetails Current Date'!Y:Y,"ENRO",
'YearB-AppDetails Current Date'!I:I,"SUMMER")),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HC'!D:T,10,FALSE)),
N(VLOOKUP(D127&amp;F127,'Budgeted Projections Intl HC'!D:T,11,FALSE))
)
),"")</f>
        <v/>
      </c>
      <c r="I127" s="73" t="str">
        <f>IFERROR(1/(1/COUNTIFS(
'YearB-AppDetails Current Date'!A:A,D127,
'YearB-AppDetails Current Date'!F:F,E127,
'YearB-AppDetails Current Date'!E:E,--F127,
'YearB-AppDetails Current Date'!I:I,"SUMMER")), "")</f>
        <v/>
      </c>
      <c r="J127" s="74" t="str" cm="1">
        <f t="array" ref="J127">IFERROR(1/(1/SUM(COUNTIFS(
'YearB-AppDetails Current Date'!A:A,D127,
'YearB-AppDetails Current Date'!F:F,E127,
'YearB-AppDetails Current Date'!E:E,--F127,
'YearB-AppDetails Current Date'!O:O,{"ACLN","ACPT","COND"},
'YearB-AppDetails Current Date'!S:S,"&lt;&gt;ACLN",
'YearB-AppDetails Current Date'!S:S,"&lt;&gt;ACPT",
'YearB-AppDetails Current Date'!S:S,"&lt;&gt;COND",
'YearB-AppDetails Current Date'!I:I,"SUMMER"))), "")</f>
        <v/>
      </c>
      <c r="K127" s="73" t="str">
        <f>IFERROR(1/(1/SUM(COUNTIFS(
'YearB-AppDetails Current Date'!A:A,D127,
'YearB-AppDetails Current Date'!F:F,E127,
'YearB-AppDetails Current Date'!E:E,--F127,
'YearB-AppDetails Current Date'!R:R,"&lt;&gt;"&amp;"",
'YearB-AppDetails Current Date'!I:I,"SUMMER"))), "")</f>
        <v/>
      </c>
      <c r="L127" s="74" t="str" cm="1">
        <f t="array" ref="L127">IFERROR(1/(1/SUM(COUNTIFS(
'YearB-AppDetails Current Date'!A:A,D127,
'YearB-AppDetails Current Date'!F:F,E127,
'YearB-AppDetails Current Date'!E:E,--F127,
'YearB-AppDetails Current Date'!T:T,{"APEX","DENY","NTSL"},
'YearB-AppDetails Current Date'!I:I,"SUMMER"))), "")</f>
        <v/>
      </c>
      <c r="M127" s="74" t="str" cm="1">
        <f t="array" ref="M127">IFERROR(1/(1/SUM(COUNTIFS(
'YearB-AppDetails Current Date'!A:A,D127,
'YearB-AppDetails Current Date'!F:F,E127,
'YearB-AppDetails Current Date'!E:E,--F127,
'YearB-AppDetails Current Date'!U:U,{"CCAN","DECL"},
'YearB-AppDetails Current Date'!I:I,"SUMMER"))), "")</f>
        <v/>
      </c>
      <c r="N127" s="74" t="str" cm="1">
        <f t="array" ref="N127">IFERROR(1/(1/SUM(COUNTIFS(
'YearB-AppDetails Current Date'!A:A,D127,
'YearB-AppDetails Current Date'!F:F,E127,
'YearB-AppDetails Current Date'!E:E,--F127,
'YearB-AppDetails Current Date'!V:V,{"APRO","NODE"},
'YearB-AppDetails Current Date'!I:I,"SUMMER"))), "")</f>
        <v/>
      </c>
      <c r="O127" s="74" t="str" cm="1">
        <f t="array" ref="O127">IFERROR(1/(1/SUM(COUNTIFS(
'YearB-AppDetails Current Date'!A:A,D127,
'YearB-AppDetails Current Date'!F:F,E127,
'YearB-AppDetails Current Date'!E:E,--F127,
'YearB-AppDetails Current Date'!T:T,{"CDMT","RQMT","WAIT"},
'YearB-AppDetails Current Date'!I:I,"SUMMER"))), "")</f>
        <v/>
      </c>
      <c r="P127" s="74" t="str">
        <f>IFERROR(1/(1/COUNTIFS(
'YearB-AppDetails Current Date'!A:A,D127,
'YearB-AppDetails Current Date'!F:F,E127,
'YearB-AppDetails Current Date'!E:E,--F127,
'YearB-AppDetails Current Date'!Y:Y,"ENRO",
'YearB-AppDetails Current Date'!I:I,"SUMMER")),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HC'!D:T,10,FALSE)),
N(VLOOKUP(D129&amp;F129,'Budgeted Projections Dom HC'!D:T,11,FALSE))
)
),"")</f>
        <v/>
      </c>
      <c r="I129" s="73" t="str">
        <f>IFERROR(1/(1/COUNTIFS(
'YearB-AppDetails Current Date'!A:A,D129,
'YearB-AppDetails Current Date'!F:F,E129,
'YearB-AppDetails Current Date'!E:E,--F129,
'YearB-AppDetails Current Date'!I:I,"SUMMER")), "")</f>
        <v/>
      </c>
      <c r="J129" s="74" t="str" cm="1">
        <f t="array" ref="J129">IFERROR(1/(1/SUM(COUNTIFS(
'YearB-AppDetails Current Date'!A:A,D129,
'YearB-AppDetails Current Date'!F:F,E129,
'YearB-AppDetails Current Date'!E:E,--F129,
'YearB-AppDetails Current Date'!O:O,{"ACLN","ACPT","COND"},
'YearB-AppDetails Current Date'!S:S,"&lt;&gt;ACLN",
'YearB-AppDetails Current Date'!S:S,"&lt;&gt;ACPT",
'YearB-AppDetails Current Date'!S:S,"&lt;&gt;COND",
'YearB-AppDetails Current Date'!I:I,"SUMMER"))), "")</f>
        <v/>
      </c>
      <c r="K129" s="73" t="str">
        <f>IFERROR(1/(1/SUM(COUNTIFS(
'YearB-AppDetails Current Date'!A:A,D129,
'YearB-AppDetails Current Date'!F:F,E129,
'YearB-AppDetails Current Date'!E:E,--F129,
'YearB-AppDetails Current Date'!R:R,"&lt;&gt;"&amp;"",
'YearB-AppDetails Current Date'!I:I,"SUMMER"))), "")</f>
        <v/>
      </c>
      <c r="L129" s="74" t="str" cm="1">
        <f t="array" ref="L129">IFERROR(1/(1/SUM(COUNTIFS(
'YearB-AppDetails Current Date'!A:A,D129,
'YearB-AppDetails Current Date'!F:F,E129,
'YearB-AppDetails Current Date'!E:E,--F129,
'YearB-AppDetails Current Date'!T:T,{"APEX","DENY","NTSL"},
'YearB-AppDetails Current Date'!I:I,"SUMMER"))), "")</f>
        <v/>
      </c>
      <c r="M129" s="74" t="str" cm="1">
        <f t="array" ref="M129">IFERROR(1/(1/SUM(COUNTIFS(
'YearB-AppDetails Current Date'!A:A,D129,
'YearB-AppDetails Current Date'!F:F,E129,
'YearB-AppDetails Current Date'!E:E,--F129,
'YearB-AppDetails Current Date'!U:U,{"CCAN","DECL"},
'YearB-AppDetails Current Date'!I:I,"SUMMER"))), "")</f>
        <v/>
      </c>
      <c r="N129" s="74" t="str" cm="1">
        <f t="array" ref="N129">IFERROR(1/(1/SUM(COUNTIFS(
'YearB-AppDetails Current Date'!A:A,D129,
'YearB-AppDetails Current Date'!F:F,E129,
'YearB-AppDetails Current Date'!E:E,--F129,
'YearB-AppDetails Current Date'!V:V,{"APRO","NODE"},
'YearB-AppDetails Current Date'!I:I,"SUMMER"))), "")</f>
        <v/>
      </c>
      <c r="O129" s="74" t="str" cm="1">
        <f t="array" ref="O129">IFERROR(1/(1/SUM(COUNTIFS(
'YearB-AppDetails Current Date'!A:A,D129,
'YearB-AppDetails Current Date'!F:F,E129,
'YearB-AppDetails Current Date'!E:E,--F129,
'YearB-AppDetails Current Date'!T:T,{"CDMT","RQMT","WAIT"},
'YearB-AppDetails Current Date'!I:I,"SUMMER"))), "")</f>
        <v/>
      </c>
      <c r="P129" s="74" t="str">
        <f>IFERROR(1/(1/COUNTIFS(
'YearB-AppDetails Current Date'!A:A,D129,
'YearB-AppDetails Current Date'!F:F,E129,
'YearB-AppDetails Current Date'!E:E,--F129,
'YearB-AppDetails Current Date'!Y:Y,"ENRO",
'YearB-AppDetails Current Date'!I:I,"SUMMER")),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HC'!D:T,10,FALSE)),
N(VLOOKUP(D130&amp;F130,'Budgeted Projections Intl HC'!D:T,11,FALSE))
)
),"")</f>
        <v/>
      </c>
      <c r="I130" s="73" t="str">
        <f>IFERROR(1/(1/COUNTIFS(
'YearB-AppDetails Current Date'!A:A,D130,
'YearB-AppDetails Current Date'!F:F,E130,
'YearB-AppDetails Current Date'!E:E,--F130,
'YearB-AppDetails Current Date'!I:I,"SUMMER")), "")</f>
        <v/>
      </c>
      <c r="J130" s="74" t="str" cm="1">
        <f t="array" ref="J130">IFERROR(1/(1/SUM(COUNTIFS(
'YearB-AppDetails Current Date'!A:A,D130,
'YearB-AppDetails Current Date'!F:F,E130,
'YearB-AppDetails Current Date'!E:E,--F130,
'YearB-AppDetails Current Date'!O:O,{"ACLN","ACPT","COND"},
'YearB-AppDetails Current Date'!S:S,"&lt;&gt;ACLN",
'YearB-AppDetails Current Date'!S:S,"&lt;&gt;ACPT",
'YearB-AppDetails Current Date'!S:S,"&lt;&gt;COND",
'YearB-AppDetails Current Date'!I:I,"SUMMER"))), "")</f>
        <v/>
      </c>
      <c r="K130" s="73" t="str">
        <f>IFERROR(1/(1/SUM(COUNTIFS(
'YearB-AppDetails Current Date'!A:A,D130,
'YearB-AppDetails Current Date'!F:F,E130,
'YearB-AppDetails Current Date'!E:E,--F130,
'YearB-AppDetails Current Date'!R:R,"&lt;&gt;"&amp;"",
'YearB-AppDetails Current Date'!I:I,"SUMMER"))), "")</f>
        <v/>
      </c>
      <c r="L130" s="74" t="str" cm="1">
        <f t="array" ref="L130">IFERROR(1/(1/SUM(COUNTIFS(
'YearB-AppDetails Current Date'!A:A,D130,
'YearB-AppDetails Current Date'!F:F,E130,
'YearB-AppDetails Current Date'!E:E,--F130,
'YearB-AppDetails Current Date'!T:T,{"APEX","DENY","NTSL"},
'YearB-AppDetails Current Date'!I:I,"SUMMER"))), "")</f>
        <v/>
      </c>
      <c r="M130" s="74" t="str" cm="1">
        <f t="array" ref="M130">IFERROR(1/(1/SUM(COUNTIFS(
'YearB-AppDetails Current Date'!A:A,D130,
'YearB-AppDetails Current Date'!F:F,E130,
'YearB-AppDetails Current Date'!E:E,--F130,
'YearB-AppDetails Current Date'!U:U,{"CCAN","DECL"},
'YearB-AppDetails Current Date'!I:I,"SUMMER"))), "")</f>
        <v/>
      </c>
      <c r="N130" s="74" t="str" cm="1">
        <f t="array" ref="N130">IFERROR(1/(1/SUM(COUNTIFS(
'YearB-AppDetails Current Date'!A:A,D130,
'YearB-AppDetails Current Date'!F:F,E130,
'YearB-AppDetails Current Date'!E:E,--F130,
'YearB-AppDetails Current Date'!V:V,{"APRO","NODE"},
'YearB-AppDetails Current Date'!I:I,"SUMMER"))), "")</f>
        <v/>
      </c>
      <c r="O130" s="74" t="str" cm="1">
        <f t="array" ref="O130">IFERROR(1/(1/SUM(COUNTIFS(
'YearB-AppDetails Current Date'!A:A,D130,
'YearB-AppDetails Current Date'!F:F,E130,
'YearB-AppDetails Current Date'!E:E,--F130,
'YearB-AppDetails Current Date'!T:T,{"CDMT","RQMT","WAIT"},
'YearB-AppDetails Current Date'!I:I,"SUMMER"))), "")</f>
        <v/>
      </c>
      <c r="P130" s="74" t="str">
        <f>IFERROR(1/(1/COUNTIFS(
'YearB-AppDetails Current Date'!A:A,D130,
'YearB-AppDetails Current Date'!F:F,E130,
'YearB-AppDetails Current Date'!E:E,--F130,
'YearB-AppDetails Current Date'!Y:Y,"ENRO",
'YearB-AppDetails Current Date'!I:I,"SUMMER")),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HC'!D:T,10,FALSE)),
N(VLOOKUP(D131&amp;F131,'Budgeted Projections Dom HC'!D:T,11,FALSE))
)
),"")</f>
        <v/>
      </c>
      <c r="I131" s="73" t="str">
        <f>IFERROR(1/(1/COUNTIFS(
'YearB-AppDetails Current Date'!A:A,D131,
'YearB-AppDetails Current Date'!F:F,E131,
'YearB-AppDetails Current Date'!E:E,--F131,
'YearB-AppDetails Current Date'!I:I,"SUMMER")), "")</f>
        <v/>
      </c>
      <c r="J131" s="74" t="str" cm="1">
        <f t="array" ref="J131">IFERROR(1/(1/SUM(COUNTIFS(
'YearB-AppDetails Current Date'!A:A,D131,
'YearB-AppDetails Current Date'!F:F,E131,
'YearB-AppDetails Current Date'!E:E,--F131,
'YearB-AppDetails Current Date'!O:O,{"ACLN","ACPT","COND"},
'YearB-AppDetails Current Date'!S:S,"&lt;&gt;ACLN",
'YearB-AppDetails Current Date'!S:S,"&lt;&gt;ACPT",
'YearB-AppDetails Current Date'!S:S,"&lt;&gt;COND",
'YearB-AppDetails Current Date'!I:I,"SUMMER"))), "")</f>
        <v/>
      </c>
      <c r="K131" s="73" t="str">
        <f>IFERROR(1/(1/SUM(COUNTIFS(
'YearB-AppDetails Current Date'!A:A,D131,
'YearB-AppDetails Current Date'!F:F,E131,
'YearB-AppDetails Current Date'!E:E,--F131,
'YearB-AppDetails Current Date'!R:R,"&lt;&gt;"&amp;"",
'YearB-AppDetails Current Date'!I:I,"SUMMER"))), "")</f>
        <v/>
      </c>
      <c r="L131" s="74" t="str" cm="1">
        <f t="array" ref="L131">IFERROR(1/(1/SUM(COUNTIFS(
'YearB-AppDetails Current Date'!A:A,D131,
'YearB-AppDetails Current Date'!F:F,E131,
'YearB-AppDetails Current Date'!E:E,--F131,
'YearB-AppDetails Current Date'!T:T,{"APEX","DENY","NTSL"},
'YearB-AppDetails Current Date'!I:I,"SUMMER"))), "")</f>
        <v/>
      </c>
      <c r="M131" s="74" t="str" cm="1">
        <f t="array" ref="M131">IFERROR(1/(1/SUM(COUNTIFS(
'YearB-AppDetails Current Date'!A:A,D131,
'YearB-AppDetails Current Date'!F:F,E131,
'YearB-AppDetails Current Date'!E:E,--F131,
'YearB-AppDetails Current Date'!U:U,{"CCAN","DECL"},
'YearB-AppDetails Current Date'!I:I,"SUMMER"))), "")</f>
        <v/>
      </c>
      <c r="N131" s="74" t="str" cm="1">
        <f t="array" ref="N131">IFERROR(1/(1/SUM(COUNTIFS(
'YearB-AppDetails Current Date'!A:A,D131,
'YearB-AppDetails Current Date'!F:F,E131,
'YearB-AppDetails Current Date'!E:E,--F131,
'YearB-AppDetails Current Date'!V:V,{"APRO","NODE"},
'YearB-AppDetails Current Date'!I:I,"SUMMER"))), "")</f>
        <v/>
      </c>
      <c r="O131" s="74" t="str" cm="1">
        <f t="array" ref="O131">IFERROR(1/(1/SUM(COUNTIFS(
'YearB-AppDetails Current Date'!A:A,D131,
'YearB-AppDetails Current Date'!F:F,E131,
'YearB-AppDetails Current Date'!E:E,--F131,
'YearB-AppDetails Current Date'!T:T,{"CDMT","RQMT","WAIT"},
'YearB-AppDetails Current Date'!I:I,"SUMMER"))), "")</f>
        <v/>
      </c>
      <c r="P131" s="74" t="str">
        <f>IFERROR(1/(1/COUNTIFS(
'YearB-AppDetails Current Date'!A:A,D131,
'YearB-AppDetails Current Date'!F:F,E131,
'YearB-AppDetails Current Date'!E:E,--F131,
'YearB-AppDetails Current Date'!Y:Y,"ENRO",
'YearB-AppDetails Current Date'!I:I,"SUMMER")),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HC'!D:T,10,FALSE)),
N(VLOOKUP(D132&amp;F132,'Budgeted Projections Intl HC'!D:T,11,FALSE))
)
),"")</f>
        <v/>
      </c>
      <c r="I132" s="73" t="str">
        <f>IFERROR(1/(1/COUNTIFS(
'YearB-AppDetails Current Date'!A:A,D132,
'YearB-AppDetails Current Date'!F:F,E132,
'YearB-AppDetails Current Date'!E:E,--F132,
'YearB-AppDetails Current Date'!I:I,"SUMMER")), "")</f>
        <v/>
      </c>
      <c r="J132" s="74" t="str" cm="1">
        <f t="array" ref="J132">IFERROR(1/(1/SUM(COUNTIFS(
'YearB-AppDetails Current Date'!A:A,D132,
'YearB-AppDetails Current Date'!F:F,E132,
'YearB-AppDetails Current Date'!E:E,--F132,
'YearB-AppDetails Current Date'!O:O,{"ACLN","ACPT","COND"},
'YearB-AppDetails Current Date'!S:S,"&lt;&gt;ACLN",
'YearB-AppDetails Current Date'!S:S,"&lt;&gt;ACPT",
'YearB-AppDetails Current Date'!S:S,"&lt;&gt;COND",
'YearB-AppDetails Current Date'!I:I,"SUMMER"))), "")</f>
        <v/>
      </c>
      <c r="K132" s="73" t="str">
        <f>IFERROR(1/(1/SUM(COUNTIFS(
'YearB-AppDetails Current Date'!A:A,D132,
'YearB-AppDetails Current Date'!F:F,E132,
'YearB-AppDetails Current Date'!E:E,--F132,
'YearB-AppDetails Current Date'!R:R,"&lt;&gt;"&amp;"",
'YearB-AppDetails Current Date'!I:I,"SUMMER"))), "")</f>
        <v/>
      </c>
      <c r="L132" s="74" t="str" cm="1">
        <f t="array" ref="L132">IFERROR(1/(1/SUM(COUNTIFS(
'YearB-AppDetails Current Date'!A:A,D132,
'YearB-AppDetails Current Date'!F:F,E132,
'YearB-AppDetails Current Date'!E:E,--F132,
'YearB-AppDetails Current Date'!T:T,{"APEX","DENY","NTSL"},
'YearB-AppDetails Current Date'!I:I,"SUMMER"))), "")</f>
        <v/>
      </c>
      <c r="M132" s="74" t="str" cm="1">
        <f t="array" ref="M132">IFERROR(1/(1/SUM(COUNTIFS(
'YearB-AppDetails Current Date'!A:A,D132,
'YearB-AppDetails Current Date'!F:F,E132,
'YearB-AppDetails Current Date'!E:E,--F132,
'YearB-AppDetails Current Date'!U:U,{"CCAN","DECL"},
'YearB-AppDetails Current Date'!I:I,"SUMMER"))), "")</f>
        <v/>
      </c>
      <c r="N132" s="74" t="str" cm="1">
        <f t="array" ref="N132">IFERROR(1/(1/SUM(COUNTIFS(
'YearB-AppDetails Current Date'!A:A,D132,
'YearB-AppDetails Current Date'!F:F,E132,
'YearB-AppDetails Current Date'!E:E,--F132,
'YearB-AppDetails Current Date'!V:V,{"APRO","NODE"},
'YearB-AppDetails Current Date'!I:I,"SUMMER"))), "")</f>
        <v/>
      </c>
      <c r="O132" s="74" t="str" cm="1">
        <f t="array" ref="O132">IFERROR(1/(1/SUM(COUNTIFS(
'YearB-AppDetails Current Date'!A:A,D132,
'YearB-AppDetails Current Date'!F:F,E132,
'YearB-AppDetails Current Date'!E:E,--F132,
'YearB-AppDetails Current Date'!T:T,{"CDMT","RQMT","WAIT"},
'YearB-AppDetails Current Date'!I:I,"SUMMER"))), "")</f>
        <v/>
      </c>
      <c r="P132" s="74" t="str">
        <f>IFERROR(1/(1/COUNTIFS(
'YearB-AppDetails Current Date'!A:A,D132,
'YearB-AppDetails Current Date'!F:F,E132,
'YearB-AppDetails Current Date'!E:E,--F132,
'YearB-AppDetails Current Date'!Y:Y,"ENRO",
'YearB-AppDetails Current Date'!I:I,"SUMMER")),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HC'!D:T,10,FALSE)),
N(VLOOKUP(D133&amp;F133,'Budgeted Projections Dom HC'!D:T,11,FALSE))
)
),"")</f>
        <v/>
      </c>
      <c r="I133" s="73" t="str">
        <f>IFERROR(1/(1/COUNTIFS(
'YearB-AppDetails Current Date'!A:A,D133,
'YearB-AppDetails Current Date'!F:F,E133,
'YearB-AppDetails Current Date'!E:E,--F133,
'YearB-AppDetails Current Date'!I:I,"SUMMER")), "")</f>
        <v/>
      </c>
      <c r="J133" s="74" t="str" cm="1">
        <f t="array" ref="J133">IFERROR(1/(1/SUM(COUNTIFS(
'YearB-AppDetails Current Date'!A:A,D133,
'YearB-AppDetails Current Date'!F:F,E133,
'YearB-AppDetails Current Date'!E:E,--F133,
'YearB-AppDetails Current Date'!O:O,{"ACLN","ACPT","COND"},
'YearB-AppDetails Current Date'!S:S,"&lt;&gt;ACLN",
'YearB-AppDetails Current Date'!S:S,"&lt;&gt;ACPT",
'YearB-AppDetails Current Date'!S:S,"&lt;&gt;COND",
'YearB-AppDetails Current Date'!I:I,"SUMMER"))), "")</f>
        <v/>
      </c>
      <c r="K133" s="73" t="str">
        <f>IFERROR(1/(1/SUM(COUNTIFS(
'YearB-AppDetails Current Date'!A:A,D133,
'YearB-AppDetails Current Date'!F:F,E133,
'YearB-AppDetails Current Date'!E:E,--F133,
'YearB-AppDetails Current Date'!R:R,"&lt;&gt;"&amp;"",
'YearB-AppDetails Current Date'!I:I,"SUMMER"))), "")</f>
        <v/>
      </c>
      <c r="L133" s="74" t="str" cm="1">
        <f t="array" ref="L133">IFERROR(1/(1/SUM(COUNTIFS(
'YearB-AppDetails Current Date'!A:A,D133,
'YearB-AppDetails Current Date'!F:F,E133,
'YearB-AppDetails Current Date'!E:E,--F133,
'YearB-AppDetails Current Date'!T:T,{"APEX","DENY","NTSL"},
'YearB-AppDetails Current Date'!I:I,"SUMMER"))), "")</f>
        <v/>
      </c>
      <c r="M133" s="74" t="str" cm="1">
        <f t="array" ref="M133">IFERROR(1/(1/SUM(COUNTIFS(
'YearB-AppDetails Current Date'!A:A,D133,
'YearB-AppDetails Current Date'!F:F,E133,
'YearB-AppDetails Current Date'!E:E,--F133,
'YearB-AppDetails Current Date'!U:U,{"CCAN","DECL"},
'YearB-AppDetails Current Date'!I:I,"SUMMER"))), "")</f>
        <v/>
      </c>
      <c r="N133" s="74" t="str" cm="1">
        <f t="array" ref="N133">IFERROR(1/(1/SUM(COUNTIFS(
'YearB-AppDetails Current Date'!A:A,D133,
'YearB-AppDetails Current Date'!F:F,E133,
'YearB-AppDetails Current Date'!E:E,--F133,
'YearB-AppDetails Current Date'!V:V,{"APRO","NODE"},
'YearB-AppDetails Current Date'!I:I,"SUMMER"))), "")</f>
        <v/>
      </c>
      <c r="O133" s="74" t="str" cm="1">
        <f t="array" ref="O133">IFERROR(1/(1/SUM(COUNTIFS(
'YearB-AppDetails Current Date'!A:A,D133,
'YearB-AppDetails Current Date'!F:F,E133,
'YearB-AppDetails Current Date'!E:E,--F133,
'YearB-AppDetails Current Date'!T:T,{"CDMT","RQMT","WAIT"},
'YearB-AppDetails Current Date'!I:I,"SUMMER"))), "")</f>
        <v/>
      </c>
      <c r="P133" s="74" t="str">
        <f>IFERROR(1/(1/COUNTIFS(
'YearB-AppDetails Current Date'!A:A,D133,
'YearB-AppDetails Current Date'!F:F,E133,
'YearB-AppDetails Current Date'!E:E,--F133,
'YearB-AppDetails Current Date'!Y:Y,"ENRO",
'YearB-AppDetails Current Date'!I:I,"SUMMER")),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HC'!D:T,10,FALSE)),
N(VLOOKUP(D134&amp;F134,'Budgeted Projections Intl HC'!D:T,11,FALSE))
)
),"")</f>
        <v/>
      </c>
      <c r="I134" s="73" t="str">
        <f>IFERROR(1/(1/COUNTIFS(
'YearB-AppDetails Current Date'!A:A,D134,
'YearB-AppDetails Current Date'!F:F,E134,
'YearB-AppDetails Current Date'!E:E,--F134,
'YearB-AppDetails Current Date'!I:I,"SUMMER")), "")</f>
        <v/>
      </c>
      <c r="J134" s="74" t="str" cm="1">
        <f t="array" ref="J134">IFERROR(1/(1/SUM(COUNTIFS(
'YearB-AppDetails Current Date'!A:A,D134,
'YearB-AppDetails Current Date'!F:F,E134,
'YearB-AppDetails Current Date'!E:E,--F134,
'YearB-AppDetails Current Date'!O:O,{"ACLN","ACPT","COND"},
'YearB-AppDetails Current Date'!S:S,"&lt;&gt;ACLN",
'YearB-AppDetails Current Date'!S:S,"&lt;&gt;ACPT",
'YearB-AppDetails Current Date'!S:S,"&lt;&gt;COND",
'YearB-AppDetails Current Date'!I:I,"SUMMER"))), "")</f>
        <v/>
      </c>
      <c r="K134" s="73" t="str">
        <f>IFERROR(1/(1/SUM(COUNTIFS(
'YearB-AppDetails Current Date'!A:A,D134,
'YearB-AppDetails Current Date'!F:F,E134,
'YearB-AppDetails Current Date'!E:E,--F134,
'YearB-AppDetails Current Date'!R:R,"&lt;&gt;"&amp;"",
'YearB-AppDetails Current Date'!I:I,"SUMMER"))), "")</f>
        <v/>
      </c>
      <c r="L134" s="74" t="str" cm="1">
        <f t="array" ref="L134">IFERROR(1/(1/SUM(COUNTIFS(
'YearB-AppDetails Current Date'!A:A,D134,
'YearB-AppDetails Current Date'!F:F,E134,
'YearB-AppDetails Current Date'!E:E,--F134,
'YearB-AppDetails Current Date'!T:T,{"APEX","DENY","NTSL"},
'YearB-AppDetails Current Date'!I:I,"SUMMER"))), "")</f>
        <v/>
      </c>
      <c r="M134" s="74" t="str" cm="1">
        <f t="array" ref="M134">IFERROR(1/(1/SUM(COUNTIFS(
'YearB-AppDetails Current Date'!A:A,D134,
'YearB-AppDetails Current Date'!F:F,E134,
'YearB-AppDetails Current Date'!E:E,--F134,
'YearB-AppDetails Current Date'!U:U,{"CCAN","DECL"},
'YearB-AppDetails Current Date'!I:I,"SUMMER"))), "")</f>
        <v/>
      </c>
      <c r="N134" s="74" t="str" cm="1">
        <f t="array" ref="N134">IFERROR(1/(1/SUM(COUNTIFS(
'YearB-AppDetails Current Date'!A:A,D134,
'YearB-AppDetails Current Date'!F:F,E134,
'YearB-AppDetails Current Date'!E:E,--F134,
'YearB-AppDetails Current Date'!V:V,{"APRO","NODE"},
'YearB-AppDetails Current Date'!I:I,"SUMMER"))), "")</f>
        <v/>
      </c>
      <c r="O134" s="74" t="str" cm="1">
        <f t="array" ref="O134">IFERROR(1/(1/SUM(COUNTIFS(
'YearB-AppDetails Current Date'!A:A,D134,
'YearB-AppDetails Current Date'!F:F,E134,
'YearB-AppDetails Current Date'!E:E,--F134,
'YearB-AppDetails Current Date'!T:T,{"CDMT","RQMT","WAIT"},
'YearB-AppDetails Current Date'!I:I,"SUMMER"))), "")</f>
        <v/>
      </c>
      <c r="P134" s="74" t="str">
        <f>IFERROR(1/(1/COUNTIFS(
'YearB-AppDetails Current Date'!A:A,D134,
'YearB-AppDetails Current Date'!F:F,E134,
'YearB-AppDetails Current Date'!E:E,--F134,
'YearB-AppDetails Current Date'!Y:Y,"ENRO",
'YearB-AppDetails Current Date'!I:I,"SUMMER")),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HC'!D:T,10,FALSE)),
N(VLOOKUP(D135&amp;F135,'Budgeted Projections Dom HC'!D:T,11,FALSE))
)
),"")</f>
        <v/>
      </c>
      <c r="I135" s="73" t="str">
        <f>IFERROR(1/(1/COUNTIFS(
'YearB-AppDetails Current Date'!A:A,D135,
'YearB-AppDetails Current Date'!F:F,E135,
'YearB-AppDetails Current Date'!E:E,--F135,
'YearB-AppDetails Current Date'!I:I,"SUMMER")), "")</f>
        <v/>
      </c>
      <c r="J135" s="74" t="str" cm="1">
        <f t="array" ref="J135">IFERROR(1/(1/SUM(COUNTIFS(
'YearB-AppDetails Current Date'!A:A,D135,
'YearB-AppDetails Current Date'!F:F,E135,
'YearB-AppDetails Current Date'!E:E,--F135,
'YearB-AppDetails Current Date'!O:O,{"ACLN","ACPT","COND"},
'YearB-AppDetails Current Date'!S:S,"&lt;&gt;ACLN",
'YearB-AppDetails Current Date'!S:S,"&lt;&gt;ACPT",
'YearB-AppDetails Current Date'!S:S,"&lt;&gt;COND",
'YearB-AppDetails Current Date'!I:I,"SUMMER"))), "")</f>
        <v/>
      </c>
      <c r="K135" s="73" t="str">
        <f>IFERROR(1/(1/SUM(COUNTIFS(
'YearB-AppDetails Current Date'!A:A,D135,
'YearB-AppDetails Current Date'!F:F,E135,
'YearB-AppDetails Current Date'!E:E,--F135,
'YearB-AppDetails Current Date'!R:R,"&lt;&gt;"&amp;"",
'YearB-AppDetails Current Date'!I:I,"SUMMER"))), "")</f>
        <v/>
      </c>
      <c r="L135" s="74" t="str" cm="1">
        <f t="array" ref="L135">IFERROR(1/(1/SUM(COUNTIFS(
'YearB-AppDetails Current Date'!A:A,D135,
'YearB-AppDetails Current Date'!F:F,E135,
'YearB-AppDetails Current Date'!E:E,--F135,
'YearB-AppDetails Current Date'!T:T,{"APEX","DENY","NTSL"},
'YearB-AppDetails Current Date'!I:I,"SUMMER"))), "")</f>
        <v/>
      </c>
      <c r="M135" s="74" t="str" cm="1">
        <f t="array" ref="M135">IFERROR(1/(1/SUM(COUNTIFS(
'YearB-AppDetails Current Date'!A:A,D135,
'YearB-AppDetails Current Date'!F:F,E135,
'YearB-AppDetails Current Date'!E:E,--F135,
'YearB-AppDetails Current Date'!U:U,{"CCAN","DECL"},
'YearB-AppDetails Current Date'!I:I,"SUMMER"))), "")</f>
        <v/>
      </c>
      <c r="N135" s="74" t="str" cm="1">
        <f t="array" ref="N135">IFERROR(1/(1/SUM(COUNTIFS(
'YearB-AppDetails Current Date'!A:A,D135,
'YearB-AppDetails Current Date'!F:F,E135,
'YearB-AppDetails Current Date'!E:E,--F135,
'YearB-AppDetails Current Date'!V:V,{"APRO","NODE"},
'YearB-AppDetails Current Date'!I:I,"SUMMER"))), "")</f>
        <v/>
      </c>
      <c r="O135" s="74" t="str" cm="1">
        <f t="array" ref="O135">IFERROR(1/(1/SUM(COUNTIFS(
'YearB-AppDetails Current Date'!A:A,D135,
'YearB-AppDetails Current Date'!F:F,E135,
'YearB-AppDetails Current Date'!E:E,--F135,
'YearB-AppDetails Current Date'!T:T,{"CDMT","RQMT","WAIT"},
'YearB-AppDetails Current Date'!I:I,"SUMMER"))), "")</f>
        <v/>
      </c>
      <c r="P135" s="74" t="str">
        <f>IFERROR(1/(1/COUNTIFS(
'YearB-AppDetails Current Date'!A:A,D135,
'YearB-AppDetails Current Date'!F:F,E135,
'YearB-AppDetails Current Date'!E:E,--F135,
'YearB-AppDetails Current Date'!Y:Y,"ENRO",
'YearB-AppDetails Current Date'!I:I,"SUMMER")),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HC'!D:T,10,FALSE)),
N(VLOOKUP(D136&amp;F136,'Budgeted Projections Intl HC'!D:T,11,FALSE))
)
),"")</f>
        <v/>
      </c>
      <c r="I136" s="73" t="str">
        <f>IFERROR(1/(1/COUNTIFS(
'YearB-AppDetails Current Date'!A:A,D136,
'YearB-AppDetails Current Date'!F:F,E136,
'YearB-AppDetails Current Date'!E:E,--F136,
'YearB-AppDetails Current Date'!I:I,"SUMMER")), "")</f>
        <v/>
      </c>
      <c r="J136" s="74" t="str" cm="1">
        <f t="array" ref="J136">IFERROR(1/(1/SUM(COUNTIFS(
'YearB-AppDetails Current Date'!A:A,D136,
'YearB-AppDetails Current Date'!F:F,E136,
'YearB-AppDetails Current Date'!E:E,--F136,
'YearB-AppDetails Current Date'!O:O,{"ACLN","ACPT","COND"},
'YearB-AppDetails Current Date'!S:S,"&lt;&gt;ACLN",
'YearB-AppDetails Current Date'!S:S,"&lt;&gt;ACPT",
'YearB-AppDetails Current Date'!S:S,"&lt;&gt;COND",
'YearB-AppDetails Current Date'!I:I,"SUMMER"))), "")</f>
        <v/>
      </c>
      <c r="K136" s="73" t="str">
        <f>IFERROR(1/(1/SUM(COUNTIFS(
'YearB-AppDetails Current Date'!A:A,D136,
'YearB-AppDetails Current Date'!F:F,E136,
'YearB-AppDetails Current Date'!E:E,--F136,
'YearB-AppDetails Current Date'!R:R,"&lt;&gt;"&amp;"",
'YearB-AppDetails Current Date'!I:I,"SUMMER"))), "")</f>
        <v/>
      </c>
      <c r="L136" s="74" t="str" cm="1">
        <f t="array" ref="L136">IFERROR(1/(1/SUM(COUNTIFS(
'YearB-AppDetails Current Date'!A:A,D136,
'YearB-AppDetails Current Date'!F:F,E136,
'YearB-AppDetails Current Date'!E:E,--F136,
'YearB-AppDetails Current Date'!T:T,{"APEX","DENY","NTSL"},
'YearB-AppDetails Current Date'!I:I,"SUMMER"))), "")</f>
        <v/>
      </c>
      <c r="M136" s="74" t="str" cm="1">
        <f t="array" ref="M136">IFERROR(1/(1/SUM(COUNTIFS(
'YearB-AppDetails Current Date'!A:A,D136,
'YearB-AppDetails Current Date'!F:F,E136,
'YearB-AppDetails Current Date'!E:E,--F136,
'YearB-AppDetails Current Date'!U:U,{"CCAN","DECL"},
'YearB-AppDetails Current Date'!I:I,"SUMMER"))), "")</f>
        <v/>
      </c>
      <c r="N136" s="74" t="str" cm="1">
        <f t="array" ref="N136">IFERROR(1/(1/SUM(COUNTIFS(
'YearB-AppDetails Current Date'!A:A,D136,
'YearB-AppDetails Current Date'!F:F,E136,
'YearB-AppDetails Current Date'!E:E,--F136,
'YearB-AppDetails Current Date'!V:V,{"APRO","NODE"},
'YearB-AppDetails Current Date'!I:I,"SUMMER"))), "")</f>
        <v/>
      </c>
      <c r="O136" s="74" t="str" cm="1">
        <f t="array" ref="O136">IFERROR(1/(1/SUM(COUNTIFS(
'YearB-AppDetails Current Date'!A:A,D136,
'YearB-AppDetails Current Date'!F:F,E136,
'YearB-AppDetails Current Date'!E:E,--F136,
'YearB-AppDetails Current Date'!T:T,{"CDMT","RQMT","WAIT"},
'YearB-AppDetails Current Date'!I:I,"SUMMER"))), "")</f>
        <v/>
      </c>
      <c r="P136" s="74" t="str">
        <f>IFERROR(1/(1/COUNTIFS(
'YearB-AppDetails Current Date'!A:A,D136,
'YearB-AppDetails Current Date'!F:F,E136,
'YearB-AppDetails Current Date'!E:E,--F136,
'YearB-AppDetails Current Date'!Y:Y,"ENRO",
'YearB-AppDetails Current Date'!I:I,"SUMMER")),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HC'!D:T,10,FALSE)),
N(VLOOKUP(D137&amp;F137,'Budgeted Projections Dom HC'!D:T,11,FALSE))
)
),"")</f>
        <v/>
      </c>
      <c r="I137" s="73" t="str">
        <f>IFERROR(1/(1/COUNTIFS(
'YearB-AppDetails Current Date'!A:A,D137,
'YearB-AppDetails Current Date'!F:F,E137,
'YearB-AppDetails Current Date'!E:E,--F137,
'YearB-AppDetails Current Date'!I:I,"SUMMER")), "")</f>
        <v/>
      </c>
      <c r="J137" s="74" t="str" cm="1">
        <f t="array" ref="J137">IFERROR(1/(1/SUM(COUNTIFS(
'YearB-AppDetails Current Date'!A:A,D137,
'YearB-AppDetails Current Date'!F:F,E137,
'YearB-AppDetails Current Date'!E:E,--F137,
'YearB-AppDetails Current Date'!O:O,{"ACLN","ACPT","COND"},
'YearB-AppDetails Current Date'!S:S,"&lt;&gt;ACLN",
'YearB-AppDetails Current Date'!S:S,"&lt;&gt;ACPT",
'YearB-AppDetails Current Date'!S:S,"&lt;&gt;COND",
'YearB-AppDetails Current Date'!I:I,"SUMMER"))), "")</f>
        <v/>
      </c>
      <c r="K137" s="73" t="str">
        <f>IFERROR(1/(1/SUM(COUNTIFS(
'YearB-AppDetails Current Date'!A:A,D137,
'YearB-AppDetails Current Date'!F:F,E137,
'YearB-AppDetails Current Date'!E:E,--F137,
'YearB-AppDetails Current Date'!R:R,"&lt;&gt;"&amp;"",
'YearB-AppDetails Current Date'!I:I,"SUMMER"))), "")</f>
        <v/>
      </c>
      <c r="L137" s="74" t="str" cm="1">
        <f t="array" ref="L137">IFERROR(1/(1/SUM(COUNTIFS(
'YearB-AppDetails Current Date'!A:A,D137,
'YearB-AppDetails Current Date'!F:F,E137,
'YearB-AppDetails Current Date'!E:E,--F137,
'YearB-AppDetails Current Date'!T:T,{"APEX","DENY","NTSL"},
'YearB-AppDetails Current Date'!I:I,"SUMMER"))), "")</f>
        <v/>
      </c>
      <c r="M137" s="74" t="str" cm="1">
        <f t="array" ref="M137">IFERROR(1/(1/SUM(COUNTIFS(
'YearB-AppDetails Current Date'!A:A,D137,
'YearB-AppDetails Current Date'!F:F,E137,
'YearB-AppDetails Current Date'!E:E,--F137,
'YearB-AppDetails Current Date'!U:U,{"CCAN","DECL"},
'YearB-AppDetails Current Date'!I:I,"SUMMER"))), "")</f>
        <v/>
      </c>
      <c r="N137" s="74" t="str" cm="1">
        <f t="array" ref="N137">IFERROR(1/(1/SUM(COUNTIFS(
'YearB-AppDetails Current Date'!A:A,D137,
'YearB-AppDetails Current Date'!F:F,E137,
'YearB-AppDetails Current Date'!E:E,--F137,
'YearB-AppDetails Current Date'!V:V,{"APRO","NODE"},
'YearB-AppDetails Current Date'!I:I,"SUMMER"))), "")</f>
        <v/>
      </c>
      <c r="O137" s="74" t="str" cm="1">
        <f t="array" ref="O137">IFERROR(1/(1/SUM(COUNTIFS(
'YearB-AppDetails Current Date'!A:A,D137,
'YearB-AppDetails Current Date'!F:F,E137,
'YearB-AppDetails Current Date'!E:E,--F137,
'YearB-AppDetails Current Date'!T:T,{"CDMT","RQMT","WAIT"},
'YearB-AppDetails Current Date'!I:I,"SUMMER"))), "")</f>
        <v/>
      </c>
      <c r="P137" s="74" t="str">
        <f>IFERROR(1/(1/COUNTIFS(
'YearB-AppDetails Current Date'!A:A,D137,
'YearB-AppDetails Current Date'!F:F,E137,
'YearB-AppDetails Current Date'!E:E,--F137,
'YearB-AppDetails Current Date'!Y:Y,"ENRO",
'YearB-AppDetails Current Date'!I:I,"SUMMER")),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HC'!D:T,10,FALSE)),
N(VLOOKUP(D138&amp;F138,'Budgeted Projections Intl HC'!D:T,11,FALSE))
)
),"")</f>
        <v/>
      </c>
      <c r="I138" s="73" t="str">
        <f>IFERROR(1/(1/COUNTIFS(
'YearB-AppDetails Current Date'!A:A,D138,
'YearB-AppDetails Current Date'!F:F,E138,
'YearB-AppDetails Current Date'!E:E,--F138,
'YearB-AppDetails Current Date'!I:I,"SUMMER")), "")</f>
        <v/>
      </c>
      <c r="J138" s="74" t="str" cm="1">
        <f t="array" ref="J138">IFERROR(1/(1/SUM(COUNTIFS(
'YearB-AppDetails Current Date'!A:A,D138,
'YearB-AppDetails Current Date'!F:F,E138,
'YearB-AppDetails Current Date'!E:E,--F138,
'YearB-AppDetails Current Date'!O:O,{"ACLN","ACPT","COND"},
'YearB-AppDetails Current Date'!S:S,"&lt;&gt;ACLN",
'YearB-AppDetails Current Date'!S:S,"&lt;&gt;ACPT",
'YearB-AppDetails Current Date'!S:S,"&lt;&gt;COND",
'YearB-AppDetails Current Date'!I:I,"SUMMER"))), "")</f>
        <v/>
      </c>
      <c r="K138" s="73" t="str">
        <f>IFERROR(1/(1/SUM(COUNTIFS(
'YearB-AppDetails Current Date'!A:A,D138,
'YearB-AppDetails Current Date'!F:F,E138,
'YearB-AppDetails Current Date'!E:E,--F138,
'YearB-AppDetails Current Date'!R:R,"&lt;&gt;"&amp;"",
'YearB-AppDetails Current Date'!I:I,"SUMMER"))), "")</f>
        <v/>
      </c>
      <c r="L138" s="74" t="str" cm="1">
        <f t="array" ref="L138">IFERROR(1/(1/SUM(COUNTIFS(
'YearB-AppDetails Current Date'!A:A,D138,
'YearB-AppDetails Current Date'!F:F,E138,
'YearB-AppDetails Current Date'!E:E,--F138,
'YearB-AppDetails Current Date'!T:T,{"APEX","DENY","NTSL"},
'YearB-AppDetails Current Date'!I:I,"SUMMER"))), "")</f>
        <v/>
      </c>
      <c r="M138" s="74" t="str" cm="1">
        <f t="array" ref="M138">IFERROR(1/(1/SUM(COUNTIFS(
'YearB-AppDetails Current Date'!A:A,D138,
'YearB-AppDetails Current Date'!F:F,E138,
'YearB-AppDetails Current Date'!E:E,--F138,
'YearB-AppDetails Current Date'!U:U,{"CCAN","DECL"},
'YearB-AppDetails Current Date'!I:I,"SUMMER"))), "")</f>
        <v/>
      </c>
      <c r="N138" s="74" t="str" cm="1">
        <f t="array" ref="N138">IFERROR(1/(1/SUM(COUNTIFS(
'YearB-AppDetails Current Date'!A:A,D138,
'YearB-AppDetails Current Date'!F:F,E138,
'YearB-AppDetails Current Date'!E:E,--F138,
'YearB-AppDetails Current Date'!V:V,{"APRO","NODE"},
'YearB-AppDetails Current Date'!I:I,"SUMMER"))), "")</f>
        <v/>
      </c>
      <c r="O138" s="74" t="str" cm="1">
        <f t="array" ref="O138">IFERROR(1/(1/SUM(COUNTIFS(
'YearB-AppDetails Current Date'!A:A,D138,
'YearB-AppDetails Current Date'!F:F,E138,
'YearB-AppDetails Current Date'!E:E,--F138,
'YearB-AppDetails Current Date'!T:T,{"CDMT","RQMT","WAIT"},
'YearB-AppDetails Current Date'!I:I,"SUMMER"))), "")</f>
        <v/>
      </c>
      <c r="P138" s="74" t="str">
        <f>IFERROR(1/(1/COUNTIFS(
'YearB-AppDetails Current Date'!A:A,D138,
'YearB-AppDetails Current Date'!F:F,E138,
'YearB-AppDetails Current Date'!E:E,--F138,
'YearB-AppDetails Current Date'!Y:Y,"ENRO",
'YearB-AppDetails Current Date'!I:I,"SUMMER")),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HC'!D:T,10,FALSE)),
N(VLOOKUP(D140&amp;F140,'Budgeted Projections Dom HC'!D:T,11,FALSE))
)
),"")</f>
        <v/>
      </c>
      <c r="I140" s="73" t="str">
        <f>IFERROR(1/(1/COUNTIFS(
'YearB-AppDetails Current Date'!A:A,D140,
'YearB-AppDetails Current Date'!F:F,E140,
'YearB-AppDetails Current Date'!E:E,--F140,
'YearB-AppDetails Current Date'!I:I,"SUMMER")), "")</f>
        <v/>
      </c>
      <c r="J140" s="74" t="str" cm="1">
        <f t="array" ref="J140">IFERROR(1/(1/SUM(COUNTIFS(
'YearB-AppDetails Current Date'!A:A,D140,
'YearB-AppDetails Current Date'!F:F,E140,
'YearB-AppDetails Current Date'!E:E,--F140,
'YearB-AppDetails Current Date'!O:O,{"ACLN","ACPT","COND"},
'YearB-AppDetails Current Date'!S:S,"&lt;&gt;ACLN",
'YearB-AppDetails Current Date'!S:S,"&lt;&gt;ACPT",
'YearB-AppDetails Current Date'!S:S,"&lt;&gt;COND",
'YearB-AppDetails Current Date'!I:I,"SUMMER"))), "")</f>
        <v/>
      </c>
      <c r="K140" s="73" t="str">
        <f>IFERROR(1/(1/SUM(COUNTIFS(
'YearB-AppDetails Current Date'!A:A,D140,
'YearB-AppDetails Current Date'!F:F,E140,
'YearB-AppDetails Current Date'!E:E,--F140,
'YearB-AppDetails Current Date'!R:R,"&lt;&gt;"&amp;"",
'YearB-AppDetails Current Date'!I:I,"SUMMER"))), "")</f>
        <v/>
      </c>
      <c r="L140" s="74" t="str" cm="1">
        <f t="array" ref="L140">IFERROR(1/(1/SUM(COUNTIFS(
'YearB-AppDetails Current Date'!A:A,D140,
'YearB-AppDetails Current Date'!F:F,E140,
'YearB-AppDetails Current Date'!E:E,--F140,
'YearB-AppDetails Current Date'!T:T,{"APEX","DENY","NTSL"},
'YearB-AppDetails Current Date'!I:I,"SUMMER"))), "")</f>
        <v/>
      </c>
      <c r="M140" s="74" t="str" cm="1">
        <f t="array" ref="M140">IFERROR(1/(1/SUM(COUNTIFS(
'YearB-AppDetails Current Date'!A:A,D140,
'YearB-AppDetails Current Date'!F:F,E140,
'YearB-AppDetails Current Date'!E:E,--F140,
'YearB-AppDetails Current Date'!U:U,{"CCAN","DECL"},
'YearB-AppDetails Current Date'!I:I,"SUMMER"))), "")</f>
        <v/>
      </c>
      <c r="N140" s="74" t="str" cm="1">
        <f t="array" ref="N140">IFERROR(1/(1/SUM(COUNTIFS(
'YearB-AppDetails Current Date'!A:A,D140,
'YearB-AppDetails Current Date'!F:F,E140,
'YearB-AppDetails Current Date'!E:E,--F140,
'YearB-AppDetails Current Date'!V:V,{"APRO","NODE"},
'YearB-AppDetails Current Date'!I:I,"SUMMER"))), "")</f>
        <v/>
      </c>
      <c r="O140" s="74" t="str" cm="1">
        <f t="array" ref="O140">IFERROR(1/(1/SUM(COUNTIFS(
'YearB-AppDetails Current Date'!A:A,D140,
'YearB-AppDetails Current Date'!F:F,E140,
'YearB-AppDetails Current Date'!E:E,--F140,
'YearB-AppDetails Current Date'!T:T,{"CDMT","RQMT","WAIT"},
'YearB-AppDetails Current Date'!I:I,"SUMMER"))), "")</f>
        <v/>
      </c>
      <c r="P140" s="74" t="str">
        <f>IFERROR(1/(1/COUNTIFS(
'YearB-AppDetails Current Date'!A:A,D140,
'YearB-AppDetails Current Date'!F:F,E140,
'YearB-AppDetails Current Date'!E:E,--F140,
'YearB-AppDetails Current Date'!Y:Y,"ENRO",
'YearB-AppDetails Current Date'!I:I,"SUMMER")),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HC'!D:T,10,FALSE)),
N(VLOOKUP(D141&amp;F141,'Budgeted Projections Intl HC'!D:T,11,FALSE))
)
),"")</f>
        <v/>
      </c>
      <c r="I141" s="73" t="str">
        <f>IFERROR(1/(1/COUNTIFS(
'YearB-AppDetails Current Date'!A:A,D141,
'YearB-AppDetails Current Date'!F:F,E141,
'YearB-AppDetails Current Date'!E:E,--F141,
'YearB-AppDetails Current Date'!I:I,"SUMMER")), "")</f>
        <v/>
      </c>
      <c r="J141" s="74" t="str" cm="1">
        <f t="array" ref="J141">IFERROR(1/(1/SUM(COUNTIFS(
'YearB-AppDetails Current Date'!A:A,D141,
'YearB-AppDetails Current Date'!F:F,E141,
'YearB-AppDetails Current Date'!E:E,--F141,
'YearB-AppDetails Current Date'!O:O,{"ACLN","ACPT","COND"},
'YearB-AppDetails Current Date'!S:S,"&lt;&gt;ACLN",
'YearB-AppDetails Current Date'!S:S,"&lt;&gt;ACPT",
'YearB-AppDetails Current Date'!S:S,"&lt;&gt;COND",
'YearB-AppDetails Current Date'!I:I,"SUMMER"))), "")</f>
        <v/>
      </c>
      <c r="K141" s="73" t="str">
        <f>IFERROR(1/(1/SUM(COUNTIFS(
'YearB-AppDetails Current Date'!A:A,D141,
'YearB-AppDetails Current Date'!F:F,E141,
'YearB-AppDetails Current Date'!E:E,--F141,
'YearB-AppDetails Current Date'!R:R,"&lt;&gt;"&amp;"",
'YearB-AppDetails Current Date'!I:I,"SUMMER"))), "")</f>
        <v/>
      </c>
      <c r="L141" s="74" t="str" cm="1">
        <f t="array" ref="L141">IFERROR(1/(1/SUM(COUNTIFS(
'YearB-AppDetails Current Date'!A:A,D141,
'YearB-AppDetails Current Date'!F:F,E141,
'YearB-AppDetails Current Date'!E:E,--F141,
'YearB-AppDetails Current Date'!T:T,{"APEX","DENY","NTSL"},
'YearB-AppDetails Current Date'!I:I,"SUMMER"))), "")</f>
        <v/>
      </c>
      <c r="M141" s="74" t="str" cm="1">
        <f t="array" ref="M141">IFERROR(1/(1/SUM(COUNTIFS(
'YearB-AppDetails Current Date'!A:A,D141,
'YearB-AppDetails Current Date'!F:F,E141,
'YearB-AppDetails Current Date'!E:E,--F141,
'YearB-AppDetails Current Date'!U:U,{"CCAN","DECL"},
'YearB-AppDetails Current Date'!I:I,"SUMMER"))), "")</f>
        <v/>
      </c>
      <c r="N141" s="74" t="str" cm="1">
        <f t="array" ref="N141">IFERROR(1/(1/SUM(COUNTIFS(
'YearB-AppDetails Current Date'!A:A,D141,
'YearB-AppDetails Current Date'!F:F,E141,
'YearB-AppDetails Current Date'!E:E,--F141,
'YearB-AppDetails Current Date'!V:V,{"APRO","NODE"},
'YearB-AppDetails Current Date'!I:I,"SUMMER"))), "")</f>
        <v/>
      </c>
      <c r="O141" s="74" t="str" cm="1">
        <f t="array" ref="O141">IFERROR(1/(1/SUM(COUNTIFS(
'YearB-AppDetails Current Date'!A:A,D141,
'YearB-AppDetails Current Date'!F:F,E141,
'YearB-AppDetails Current Date'!E:E,--F141,
'YearB-AppDetails Current Date'!T:T,{"CDMT","RQMT","WAIT"},
'YearB-AppDetails Current Date'!I:I,"SUMMER"))), "")</f>
        <v/>
      </c>
      <c r="P141" s="74" t="str">
        <f>IFERROR(1/(1/COUNTIFS(
'YearB-AppDetails Current Date'!A:A,D141,
'YearB-AppDetails Current Date'!F:F,E141,
'YearB-AppDetails Current Date'!E:E,--F141,
'YearB-AppDetails Current Date'!Y:Y,"ENRO",
'YearB-AppDetails Current Date'!I:I,"SUMMER")),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HC'!D:T,10,FALSE)),
N(VLOOKUP(D142&amp;F142,'Budgeted Projections Dom HC'!D:T,11,FALSE))
)
),"")</f>
        <v/>
      </c>
      <c r="I142" s="73" t="str">
        <f>IFERROR(1/(1/COUNTIFS(
'YearB-AppDetails Current Date'!A:A,D142,
'YearB-AppDetails Current Date'!F:F,E142,
'YearB-AppDetails Current Date'!E:E,--F142,
'YearB-AppDetails Current Date'!I:I,"SUMMER")), "")</f>
        <v/>
      </c>
      <c r="J142" s="74" t="str" cm="1">
        <f t="array" ref="J142">IFERROR(1/(1/SUM(COUNTIFS(
'YearB-AppDetails Current Date'!A:A,D142,
'YearB-AppDetails Current Date'!F:F,E142,
'YearB-AppDetails Current Date'!E:E,--F142,
'YearB-AppDetails Current Date'!O:O,{"ACLN","ACPT","COND"},
'YearB-AppDetails Current Date'!S:S,"&lt;&gt;ACLN",
'YearB-AppDetails Current Date'!S:S,"&lt;&gt;ACPT",
'YearB-AppDetails Current Date'!S:S,"&lt;&gt;COND",
'YearB-AppDetails Current Date'!I:I,"SUMMER"))), "")</f>
        <v/>
      </c>
      <c r="K142" s="73" t="str">
        <f>IFERROR(1/(1/SUM(COUNTIFS(
'YearB-AppDetails Current Date'!A:A,D142,
'YearB-AppDetails Current Date'!F:F,E142,
'YearB-AppDetails Current Date'!E:E,--F142,
'YearB-AppDetails Current Date'!R:R,"&lt;&gt;"&amp;"",
'YearB-AppDetails Current Date'!I:I,"SUMMER"))), "")</f>
        <v/>
      </c>
      <c r="L142" s="74" t="str" cm="1">
        <f t="array" ref="L142">IFERROR(1/(1/SUM(COUNTIFS(
'YearB-AppDetails Current Date'!A:A,D142,
'YearB-AppDetails Current Date'!F:F,E142,
'YearB-AppDetails Current Date'!E:E,--F142,
'YearB-AppDetails Current Date'!T:T,{"APEX","DENY","NTSL"},
'YearB-AppDetails Current Date'!I:I,"SUMMER"))), "")</f>
        <v/>
      </c>
      <c r="M142" s="74" t="str" cm="1">
        <f t="array" ref="M142">IFERROR(1/(1/SUM(COUNTIFS(
'YearB-AppDetails Current Date'!A:A,D142,
'YearB-AppDetails Current Date'!F:F,E142,
'YearB-AppDetails Current Date'!E:E,--F142,
'YearB-AppDetails Current Date'!U:U,{"CCAN","DECL"},
'YearB-AppDetails Current Date'!I:I,"SUMMER"))), "")</f>
        <v/>
      </c>
      <c r="N142" s="74" t="str" cm="1">
        <f t="array" ref="N142">IFERROR(1/(1/SUM(COUNTIFS(
'YearB-AppDetails Current Date'!A:A,D142,
'YearB-AppDetails Current Date'!F:F,E142,
'YearB-AppDetails Current Date'!E:E,--F142,
'YearB-AppDetails Current Date'!V:V,{"APRO","NODE"},
'YearB-AppDetails Current Date'!I:I,"SUMMER"))), "")</f>
        <v/>
      </c>
      <c r="O142" s="74" t="str" cm="1">
        <f t="array" ref="O142">IFERROR(1/(1/SUM(COUNTIFS(
'YearB-AppDetails Current Date'!A:A,D142,
'YearB-AppDetails Current Date'!F:F,E142,
'YearB-AppDetails Current Date'!E:E,--F142,
'YearB-AppDetails Current Date'!T:T,{"CDMT","RQMT","WAIT"},
'YearB-AppDetails Current Date'!I:I,"SUMMER"))), "")</f>
        <v/>
      </c>
      <c r="P142" s="74" t="str">
        <f>IFERROR(1/(1/COUNTIFS(
'YearB-AppDetails Current Date'!A:A,D142,
'YearB-AppDetails Current Date'!F:F,E142,
'YearB-AppDetails Current Date'!E:E,--F142,
'YearB-AppDetails Current Date'!Y:Y,"ENRO",
'YearB-AppDetails Current Date'!I:I,"SUMMER")),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HC'!D:T,10,FALSE)),
N(VLOOKUP(D143&amp;F143,'Budgeted Projections Intl HC'!D:T,11,FALSE))
)
),"")</f>
        <v/>
      </c>
      <c r="I143" s="73" t="str">
        <f>IFERROR(1/(1/COUNTIFS(
'YearB-AppDetails Current Date'!A:A,D143,
'YearB-AppDetails Current Date'!F:F,E143,
'YearB-AppDetails Current Date'!E:E,--F143,
'YearB-AppDetails Current Date'!I:I,"SUMMER")), "")</f>
        <v/>
      </c>
      <c r="J143" s="74" t="str" cm="1">
        <f t="array" ref="J143">IFERROR(1/(1/SUM(COUNTIFS(
'YearB-AppDetails Current Date'!A:A,D143,
'YearB-AppDetails Current Date'!F:F,E143,
'YearB-AppDetails Current Date'!E:E,--F143,
'YearB-AppDetails Current Date'!O:O,{"ACLN","ACPT","COND"},
'YearB-AppDetails Current Date'!S:S,"&lt;&gt;ACLN",
'YearB-AppDetails Current Date'!S:S,"&lt;&gt;ACPT",
'YearB-AppDetails Current Date'!S:S,"&lt;&gt;COND",
'YearB-AppDetails Current Date'!I:I,"SUMMER"))), "")</f>
        <v/>
      </c>
      <c r="K143" s="73" t="str">
        <f>IFERROR(1/(1/SUM(COUNTIFS(
'YearB-AppDetails Current Date'!A:A,D143,
'YearB-AppDetails Current Date'!F:F,E143,
'YearB-AppDetails Current Date'!E:E,--F143,
'YearB-AppDetails Current Date'!R:R,"&lt;&gt;"&amp;"",
'YearB-AppDetails Current Date'!I:I,"SUMMER"))), "")</f>
        <v/>
      </c>
      <c r="L143" s="74" t="str" cm="1">
        <f t="array" ref="L143">IFERROR(1/(1/SUM(COUNTIFS(
'YearB-AppDetails Current Date'!A:A,D143,
'YearB-AppDetails Current Date'!F:F,E143,
'YearB-AppDetails Current Date'!E:E,--F143,
'YearB-AppDetails Current Date'!T:T,{"APEX","DENY","NTSL"},
'YearB-AppDetails Current Date'!I:I,"SUMMER"))), "")</f>
        <v/>
      </c>
      <c r="M143" s="74" t="str" cm="1">
        <f t="array" ref="M143">IFERROR(1/(1/SUM(COUNTIFS(
'YearB-AppDetails Current Date'!A:A,D143,
'YearB-AppDetails Current Date'!F:F,E143,
'YearB-AppDetails Current Date'!E:E,--F143,
'YearB-AppDetails Current Date'!U:U,{"CCAN","DECL"},
'YearB-AppDetails Current Date'!I:I,"SUMMER"))), "")</f>
        <v/>
      </c>
      <c r="N143" s="74" t="str" cm="1">
        <f t="array" ref="N143">IFERROR(1/(1/SUM(COUNTIFS(
'YearB-AppDetails Current Date'!A:A,D143,
'YearB-AppDetails Current Date'!F:F,E143,
'YearB-AppDetails Current Date'!E:E,--F143,
'YearB-AppDetails Current Date'!V:V,{"APRO","NODE"},
'YearB-AppDetails Current Date'!I:I,"SUMMER"))), "")</f>
        <v/>
      </c>
      <c r="O143" s="74" t="str" cm="1">
        <f t="array" ref="O143">IFERROR(1/(1/SUM(COUNTIFS(
'YearB-AppDetails Current Date'!A:A,D143,
'YearB-AppDetails Current Date'!F:F,E143,
'YearB-AppDetails Current Date'!E:E,--F143,
'YearB-AppDetails Current Date'!T:T,{"CDMT","RQMT","WAIT"},
'YearB-AppDetails Current Date'!I:I,"SUMMER"))), "")</f>
        <v/>
      </c>
      <c r="P143" s="74" t="str">
        <f>IFERROR(1/(1/COUNTIFS(
'YearB-AppDetails Current Date'!A:A,D143,
'YearB-AppDetails Current Date'!F:F,E143,
'YearB-AppDetails Current Date'!E:E,--F143,
'YearB-AppDetails Current Date'!Y:Y,"ENRO",
'YearB-AppDetails Current Date'!I:I,"SUMMER")),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HC'!D:T,10,FALSE)),
N(VLOOKUP(D144&amp;F144,'Budgeted Projections Dom HC'!D:T,11,FALSE))
)
),"")</f>
        <v/>
      </c>
      <c r="I144" s="73" t="str">
        <f>IFERROR(1/(1/COUNTIFS(
'YearB-AppDetails Current Date'!A:A,D144,
'YearB-AppDetails Current Date'!F:F,E144,
'YearB-AppDetails Current Date'!E:E,--F144,
'YearB-AppDetails Current Date'!I:I,"SUMMER")), "")</f>
        <v/>
      </c>
      <c r="J144" s="74" t="str" cm="1">
        <f t="array" ref="J144">IFERROR(1/(1/SUM(COUNTIFS(
'YearB-AppDetails Current Date'!A:A,D144,
'YearB-AppDetails Current Date'!F:F,E144,
'YearB-AppDetails Current Date'!E:E,--F144,
'YearB-AppDetails Current Date'!O:O,{"ACLN","ACPT","COND"},
'YearB-AppDetails Current Date'!S:S,"&lt;&gt;ACLN",
'YearB-AppDetails Current Date'!S:S,"&lt;&gt;ACPT",
'YearB-AppDetails Current Date'!S:S,"&lt;&gt;COND",
'YearB-AppDetails Current Date'!I:I,"SUMMER"))), "")</f>
        <v/>
      </c>
      <c r="K144" s="73" t="str">
        <f>IFERROR(1/(1/SUM(COUNTIFS(
'YearB-AppDetails Current Date'!A:A,D144,
'YearB-AppDetails Current Date'!F:F,E144,
'YearB-AppDetails Current Date'!E:E,--F144,
'YearB-AppDetails Current Date'!R:R,"&lt;&gt;"&amp;"",
'YearB-AppDetails Current Date'!I:I,"SUMMER"))), "")</f>
        <v/>
      </c>
      <c r="L144" s="74" t="str" cm="1">
        <f t="array" ref="L144">IFERROR(1/(1/SUM(COUNTIFS(
'YearB-AppDetails Current Date'!A:A,D144,
'YearB-AppDetails Current Date'!F:F,E144,
'YearB-AppDetails Current Date'!E:E,--F144,
'YearB-AppDetails Current Date'!T:T,{"APEX","DENY","NTSL"},
'YearB-AppDetails Current Date'!I:I,"SUMMER"))), "")</f>
        <v/>
      </c>
      <c r="M144" s="74" t="str" cm="1">
        <f t="array" ref="M144">IFERROR(1/(1/SUM(COUNTIFS(
'YearB-AppDetails Current Date'!A:A,D144,
'YearB-AppDetails Current Date'!F:F,E144,
'YearB-AppDetails Current Date'!E:E,--F144,
'YearB-AppDetails Current Date'!U:U,{"CCAN","DECL"},
'YearB-AppDetails Current Date'!I:I,"SUMMER"))), "")</f>
        <v/>
      </c>
      <c r="N144" s="74" t="str" cm="1">
        <f t="array" ref="N144">IFERROR(1/(1/SUM(COUNTIFS(
'YearB-AppDetails Current Date'!A:A,D144,
'YearB-AppDetails Current Date'!F:F,E144,
'YearB-AppDetails Current Date'!E:E,--F144,
'YearB-AppDetails Current Date'!V:V,{"APRO","NODE"},
'YearB-AppDetails Current Date'!I:I,"SUMMER"))), "")</f>
        <v/>
      </c>
      <c r="O144" s="74" t="str" cm="1">
        <f t="array" ref="O144">IFERROR(1/(1/SUM(COUNTIFS(
'YearB-AppDetails Current Date'!A:A,D144,
'YearB-AppDetails Current Date'!F:F,E144,
'YearB-AppDetails Current Date'!E:E,--F144,
'YearB-AppDetails Current Date'!T:T,{"CDMT","RQMT","WAIT"},
'YearB-AppDetails Current Date'!I:I,"SUMMER"))), "")</f>
        <v/>
      </c>
      <c r="P144" s="74" t="str">
        <f>IFERROR(1/(1/COUNTIFS(
'YearB-AppDetails Current Date'!A:A,D144,
'YearB-AppDetails Current Date'!F:F,E144,
'YearB-AppDetails Current Date'!E:E,--F144,
'YearB-AppDetails Current Date'!Y:Y,"ENRO",
'YearB-AppDetails Current Date'!I:I,"SUMMER")),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HC'!D:T,10,FALSE)),
N(VLOOKUP(D145&amp;F145,'Budgeted Projections Intl HC'!D:T,11,FALSE))
)
),"")</f>
        <v/>
      </c>
      <c r="I145" s="73" t="str">
        <f>IFERROR(1/(1/COUNTIFS(
'YearB-AppDetails Current Date'!A:A,D145,
'YearB-AppDetails Current Date'!F:F,E145,
'YearB-AppDetails Current Date'!E:E,--F145,
'YearB-AppDetails Current Date'!I:I,"SUMMER")), "")</f>
        <v/>
      </c>
      <c r="J145" s="74" t="str" cm="1">
        <f t="array" ref="J145">IFERROR(1/(1/SUM(COUNTIFS(
'YearB-AppDetails Current Date'!A:A,D145,
'YearB-AppDetails Current Date'!F:F,E145,
'YearB-AppDetails Current Date'!E:E,--F145,
'YearB-AppDetails Current Date'!O:O,{"ACLN","ACPT","COND"},
'YearB-AppDetails Current Date'!S:S,"&lt;&gt;ACLN",
'YearB-AppDetails Current Date'!S:S,"&lt;&gt;ACPT",
'YearB-AppDetails Current Date'!S:S,"&lt;&gt;COND",
'YearB-AppDetails Current Date'!I:I,"SUMMER"))), "")</f>
        <v/>
      </c>
      <c r="K145" s="73" t="str">
        <f>IFERROR(1/(1/SUM(COUNTIFS(
'YearB-AppDetails Current Date'!A:A,D145,
'YearB-AppDetails Current Date'!F:F,E145,
'YearB-AppDetails Current Date'!E:E,--F145,
'YearB-AppDetails Current Date'!R:R,"&lt;&gt;"&amp;"",
'YearB-AppDetails Current Date'!I:I,"SUMMER"))), "")</f>
        <v/>
      </c>
      <c r="L145" s="74" t="str" cm="1">
        <f t="array" ref="L145">IFERROR(1/(1/SUM(COUNTIFS(
'YearB-AppDetails Current Date'!A:A,D145,
'YearB-AppDetails Current Date'!F:F,E145,
'YearB-AppDetails Current Date'!E:E,--F145,
'YearB-AppDetails Current Date'!T:T,{"APEX","DENY","NTSL"},
'YearB-AppDetails Current Date'!I:I,"SUMMER"))), "")</f>
        <v/>
      </c>
      <c r="M145" s="74" t="str" cm="1">
        <f t="array" ref="M145">IFERROR(1/(1/SUM(COUNTIFS(
'YearB-AppDetails Current Date'!A:A,D145,
'YearB-AppDetails Current Date'!F:F,E145,
'YearB-AppDetails Current Date'!E:E,--F145,
'YearB-AppDetails Current Date'!U:U,{"CCAN","DECL"},
'YearB-AppDetails Current Date'!I:I,"SUMMER"))), "")</f>
        <v/>
      </c>
      <c r="N145" s="74" t="str" cm="1">
        <f t="array" ref="N145">IFERROR(1/(1/SUM(COUNTIFS(
'YearB-AppDetails Current Date'!A:A,D145,
'YearB-AppDetails Current Date'!F:F,E145,
'YearB-AppDetails Current Date'!E:E,--F145,
'YearB-AppDetails Current Date'!V:V,{"APRO","NODE"},
'YearB-AppDetails Current Date'!I:I,"SUMMER"))), "")</f>
        <v/>
      </c>
      <c r="O145" s="74" t="str" cm="1">
        <f t="array" ref="O145">IFERROR(1/(1/SUM(COUNTIFS(
'YearB-AppDetails Current Date'!A:A,D145,
'YearB-AppDetails Current Date'!F:F,E145,
'YearB-AppDetails Current Date'!E:E,--F145,
'YearB-AppDetails Current Date'!T:T,{"CDMT","RQMT","WAIT"},
'YearB-AppDetails Current Date'!I:I,"SUMMER"))), "")</f>
        <v/>
      </c>
      <c r="P145" s="74" t="str">
        <f>IFERROR(1/(1/COUNTIFS(
'YearB-AppDetails Current Date'!A:A,D145,
'YearB-AppDetails Current Date'!F:F,E145,
'YearB-AppDetails Current Date'!E:E,--F145,
'YearB-AppDetails Current Date'!Y:Y,"ENRO",
'YearB-AppDetails Current Date'!I:I,"SUMMER")),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HC'!D:T,10,FALSE)),
N(VLOOKUP(D146&amp;F146,'Budgeted Projections Dom HC'!D:T,11,FALSE))
)
),"")</f>
        <v/>
      </c>
      <c r="I146" s="73" t="str">
        <f>IFERROR(1/(1/COUNTIFS(
'YearB-AppDetails Current Date'!A:A,D146,
'YearB-AppDetails Current Date'!F:F,E146,
'YearB-AppDetails Current Date'!E:E,--F146,
'YearB-AppDetails Current Date'!I:I,"SUMMER")), "")</f>
        <v/>
      </c>
      <c r="J146" s="74" t="str" cm="1">
        <f t="array" ref="J146">IFERROR(1/(1/SUM(COUNTIFS(
'YearB-AppDetails Current Date'!A:A,D146,
'YearB-AppDetails Current Date'!F:F,E146,
'YearB-AppDetails Current Date'!E:E,--F146,
'YearB-AppDetails Current Date'!O:O,{"ACLN","ACPT","COND"},
'YearB-AppDetails Current Date'!S:S,"&lt;&gt;ACLN",
'YearB-AppDetails Current Date'!S:S,"&lt;&gt;ACPT",
'YearB-AppDetails Current Date'!S:S,"&lt;&gt;COND",
'YearB-AppDetails Current Date'!I:I,"SUMMER"))), "")</f>
        <v/>
      </c>
      <c r="K146" s="73" t="str">
        <f>IFERROR(1/(1/SUM(COUNTIFS(
'YearB-AppDetails Current Date'!A:A,D146,
'YearB-AppDetails Current Date'!F:F,E146,
'YearB-AppDetails Current Date'!E:E,--F146,
'YearB-AppDetails Current Date'!R:R,"&lt;&gt;"&amp;"",
'YearB-AppDetails Current Date'!I:I,"SUMMER"))), "")</f>
        <v/>
      </c>
      <c r="L146" s="74" t="str" cm="1">
        <f t="array" ref="L146">IFERROR(1/(1/SUM(COUNTIFS(
'YearB-AppDetails Current Date'!A:A,D146,
'YearB-AppDetails Current Date'!F:F,E146,
'YearB-AppDetails Current Date'!E:E,--F146,
'YearB-AppDetails Current Date'!T:T,{"APEX","DENY","NTSL"},
'YearB-AppDetails Current Date'!I:I,"SUMMER"))), "")</f>
        <v/>
      </c>
      <c r="M146" s="74" t="str" cm="1">
        <f t="array" ref="M146">IFERROR(1/(1/SUM(COUNTIFS(
'YearB-AppDetails Current Date'!A:A,D146,
'YearB-AppDetails Current Date'!F:F,E146,
'YearB-AppDetails Current Date'!E:E,--F146,
'YearB-AppDetails Current Date'!U:U,{"CCAN","DECL"},
'YearB-AppDetails Current Date'!I:I,"SUMMER"))), "")</f>
        <v/>
      </c>
      <c r="N146" s="74" t="str" cm="1">
        <f t="array" ref="N146">IFERROR(1/(1/SUM(COUNTIFS(
'YearB-AppDetails Current Date'!A:A,D146,
'YearB-AppDetails Current Date'!F:F,E146,
'YearB-AppDetails Current Date'!E:E,--F146,
'YearB-AppDetails Current Date'!V:V,{"APRO","NODE"},
'YearB-AppDetails Current Date'!I:I,"SUMMER"))), "")</f>
        <v/>
      </c>
      <c r="O146" s="74" t="str" cm="1">
        <f t="array" ref="O146">IFERROR(1/(1/SUM(COUNTIFS(
'YearB-AppDetails Current Date'!A:A,D146,
'YearB-AppDetails Current Date'!F:F,E146,
'YearB-AppDetails Current Date'!E:E,--F146,
'YearB-AppDetails Current Date'!T:T,{"CDMT","RQMT","WAIT"},
'YearB-AppDetails Current Date'!I:I,"SUMMER"))), "")</f>
        <v/>
      </c>
      <c r="P146" s="74" t="str">
        <f>IFERROR(1/(1/COUNTIFS(
'YearB-AppDetails Current Date'!A:A,D146,
'YearB-AppDetails Current Date'!F:F,E146,
'YearB-AppDetails Current Date'!E:E,--F146,
'YearB-AppDetails Current Date'!Y:Y,"ENRO",
'YearB-AppDetails Current Date'!I:I,"SUMMER")),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HC'!D:T,10,FALSE)),
N(VLOOKUP(D147&amp;F147,'Budgeted Projections Intl HC'!D:T,11,FALSE))
)
),"")</f>
        <v/>
      </c>
      <c r="I147" s="73" t="str">
        <f>IFERROR(1/(1/COUNTIFS(
'YearB-AppDetails Current Date'!A:A,D147,
'YearB-AppDetails Current Date'!F:F,E147,
'YearB-AppDetails Current Date'!E:E,--F147,
'YearB-AppDetails Current Date'!I:I,"SUMMER")), "")</f>
        <v/>
      </c>
      <c r="J147" s="74" t="str" cm="1">
        <f t="array" ref="J147">IFERROR(1/(1/SUM(COUNTIFS(
'YearB-AppDetails Current Date'!A:A,D147,
'YearB-AppDetails Current Date'!F:F,E147,
'YearB-AppDetails Current Date'!E:E,--F147,
'YearB-AppDetails Current Date'!O:O,{"ACLN","ACPT","COND"},
'YearB-AppDetails Current Date'!S:S,"&lt;&gt;ACLN",
'YearB-AppDetails Current Date'!S:S,"&lt;&gt;ACPT",
'YearB-AppDetails Current Date'!S:S,"&lt;&gt;COND",
'YearB-AppDetails Current Date'!I:I,"SUMMER"))), "")</f>
        <v/>
      </c>
      <c r="K147" s="73" t="str">
        <f>IFERROR(1/(1/SUM(COUNTIFS(
'YearB-AppDetails Current Date'!A:A,D147,
'YearB-AppDetails Current Date'!F:F,E147,
'YearB-AppDetails Current Date'!E:E,--F147,
'YearB-AppDetails Current Date'!R:R,"&lt;&gt;"&amp;"",
'YearB-AppDetails Current Date'!I:I,"SUMMER"))), "")</f>
        <v/>
      </c>
      <c r="L147" s="74" t="str" cm="1">
        <f t="array" ref="L147">IFERROR(1/(1/SUM(COUNTIFS(
'YearB-AppDetails Current Date'!A:A,D147,
'YearB-AppDetails Current Date'!F:F,E147,
'YearB-AppDetails Current Date'!E:E,--F147,
'YearB-AppDetails Current Date'!T:T,{"APEX","DENY","NTSL"},
'YearB-AppDetails Current Date'!I:I,"SUMMER"))), "")</f>
        <v/>
      </c>
      <c r="M147" s="74" t="str" cm="1">
        <f t="array" ref="M147">IFERROR(1/(1/SUM(COUNTIFS(
'YearB-AppDetails Current Date'!A:A,D147,
'YearB-AppDetails Current Date'!F:F,E147,
'YearB-AppDetails Current Date'!E:E,--F147,
'YearB-AppDetails Current Date'!U:U,{"CCAN","DECL"},
'YearB-AppDetails Current Date'!I:I,"SUMMER"))), "")</f>
        <v/>
      </c>
      <c r="N147" s="74" t="str" cm="1">
        <f t="array" ref="N147">IFERROR(1/(1/SUM(COUNTIFS(
'YearB-AppDetails Current Date'!A:A,D147,
'YearB-AppDetails Current Date'!F:F,E147,
'YearB-AppDetails Current Date'!E:E,--F147,
'YearB-AppDetails Current Date'!V:V,{"APRO","NODE"},
'YearB-AppDetails Current Date'!I:I,"SUMMER"))), "")</f>
        <v/>
      </c>
      <c r="O147" s="74" t="str" cm="1">
        <f t="array" ref="O147">IFERROR(1/(1/SUM(COUNTIFS(
'YearB-AppDetails Current Date'!A:A,D147,
'YearB-AppDetails Current Date'!F:F,E147,
'YearB-AppDetails Current Date'!E:E,--F147,
'YearB-AppDetails Current Date'!T:T,{"CDMT","RQMT","WAIT"},
'YearB-AppDetails Current Date'!I:I,"SUMMER"))), "")</f>
        <v/>
      </c>
      <c r="P147" s="74" t="str">
        <f>IFERROR(1/(1/COUNTIFS(
'YearB-AppDetails Current Date'!A:A,D147,
'YearB-AppDetails Current Date'!F:F,E147,
'YearB-AppDetails Current Date'!E:E,--F147,
'YearB-AppDetails Current Date'!Y:Y,"ENRO",
'YearB-AppDetails Current Date'!I:I,"SUMMER")),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HC'!D:T,10,FALSE)),
N(VLOOKUP(D149&amp;F149,'Budgeted Projections Dom HC'!D:T,11,FALSE))
)
),"")</f>
        <v/>
      </c>
      <c r="I149" s="73" t="str">
        <f>IFERROR(1/(1/COUNTIFS(
'YearB-AppDetails Current Date'!A:A,D149,
'YearB-AppDetails Current Date'!F:F,E149,
'YearB-AppDetails Current Date'!E:E,--F149,
'YearB-AppDetails Current Date'!I:I,"SUMMER")), "")</f>
        <v/>
      </c>
      <c r="J149" s="74" t="str" cm="1">
        <f t="array" ref="J149">IFERROR(1/(1/SUM(COUNTIFS(
'YearB-AppDetails Current Date'!A:A,D149,
'YearB-AppDetails Current Date'!F:F,E149,
'YearB-AppDetails Current Date'!E:E,--F149,
'YearB-AppDetails Current Date'!O:O,{"ACLN","ACPT","COND"},
'YearB-AppDetails Current Date'!S:S,"&lt;&gt;ACLN",
'YearB-AppDetails Current Date'!S:S,"&lt;&gt;ACPT",
'YearB-AppDetails Current Date'!S:S,"&lt;&gt;COND",
'YearB-AppDetails Current Date'!I:I,"SUMMER"))), "")</f>
        <v/>
      </c>
      <c r="K149" s="73" t="str">
        <f>IFERROR(1/(1/SUM(COUNTIFS(
'YearB-AppDetails Current Date'!A:A,D149,
'YearB-AppDetails Current Date'!F:F,E149,
'YearB-AppDetails Current Date'!E:E,--F149,
'YearB-AppDetails Current Date'!R:R,"&lt;&gt;"&amp;"",
'YearB-AppDetails Current Date'!I:I,"SUMMER"))), "")</f>
        <v/>
      </c>
      <c r="L149" s="74" t="str" cm="1">
        <f t="array" ref="L149">IFERROR(1/(1/SUM(COUNTIFS(
'YearB-AppDetails Current Date'!A:A,D149,
'YearB-AppDetails Current Date'!F:F,E149,
'YearB-AppDetails Current Date'!E:E,--F149,
'YearB-AppDetails Current Date'!T:T,{"APEX","DENY","NTSL"},
'YearB-AppDetails Current Date'!I:I,"SUMMER"))), "")</f>
        <v/>
      </c>
      <c r="M149" s="74" t="str" cm="1">
        <f t="array" ref="M149">IFERROR(1/(1/SUM(COUNTIFS(
'YearB-AppDetails Current Date'!A:A,D149,
'YearB-AppDetails Current Date'!F:F,E149,
'YearB-AppDetails Current Date'!E:E,--F149,
'YearB-AppDetails Current Date'!U:U,{"CCAN","DECL"},
'YearB-AppDetails Current Date'!I:I,"SUMMER"))), "")</f>
        <v/>
      </c>
      <c r="N149" s="74" t="str" cm="1">
        <f t="array" ref="N149">IFERROR(1/(1/SUM(COUNTIFS(
'YearB-AppDetails Current Date'!A:A,D149,
'YearB-AppDetails Current Date'!F:F,E149,
'YearB-AppDetails Current Date'!E:E,--F149,
'YearB-AppDetails Current Date'!V:V,{"APRO","NODE"},
'YearB-AppDetails Current Date'!I:I,"SUMMER"))), "")</f>
        <v/>
      </c>
      <c r="O149" s="74" t="str" cm="1">
        <f t="array" ref="O149">IFERROR(1/(1/SUM(COUNTIFS(
'YearB-AppDetails Current Date'!A:A,D149,
'YearB-AppDetails Current Date'!F:F,E149,
'YearB-AppDetails Current Date'!E:E,--F149,
'YearB-AppDetails Current Date'!T:T,{"CDMT","RQMT","WAIT"},
'YearB-AppDetails Current Date'!I:I,"SUMMER"))), "")</f>
        <v/>
      </c>
      <c r="P149" s="74" t="str">
        <f>IFERROR(1/(1/COUNTIFS(
'YearB-AppDetails Current Date'!A:A,D149,
'YearB-AppDetails Current Date'!F:F,E149,
'YearB-AppDetails Current Date'!E:E,--F149,
'YearB-AppDetails Current Date'!Y:Y,"ENRO",
'YearB-AppDetails Current Date'!I:I,"SUMMER")),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HC'!D:T,10,FALSE)),
N(VLOOKUP(D150&amp;F150,'Budgeted Projections Intl HC'!D:T,11,FALSE))
)
),"")</f>
        <v/>
      </c>
      <c r="I150" s="73" t="str">
        <f>IFERROR(1/(1/COUNTIFS(
'YearB-AppDetails Current Date'!A:A,D150,
'YearB-AppDetails Current Date'!F:F,E150,
'YearB-AppDetails Current Date'!E:E,--F150,
'YearB-AppDetails Current Date'!I:I,"SUMMER")), "")</f>
        <v/>
      </c>
      <c r="J150" s="74" t="str" cm="1">
        <f t="array" ref="J150">IFERROR(1/(1/SUM(COUNTIFS(
'YearB-AppDetails Current Date'!A:A,D150,
'YearB-AppDetails Current Date'!F:F,E150,
'YearB-AppDetails Current Date'!E:E,--F150,
'YearB-AppDetails Current Date'!O:O,{"ACLN","ACPT","COND"},
'YearB-AppDetails Current Date'!S:S,"&lt;&gt;ACLN",
'YearB-AppDetails Current Date'!S:S,"&lt;&gt;ACPT",
'YearB-AppDetails Current Date'!S:S,"&lt;&gt;COND",
'YearB-AppDetails Current Date'!I:I,"SUMMER"))), "")</f>
        <v/>
      </c>
      <c r="K150" s="73" t="str">
        <f>IFERROR(1/(1/SUM(COUNTIFS(
'YearB-AppDetails Current Date'!A:A,D150,
'YearB-AppDetails Current Date'!F:F,E150,
'YearB-AppDetails Current Date'!E:E,--F150,
'YearB-AppDetails Current Date'!R:R,"&lt;&gt;"&amp;"",
'YearB-AppDetails Current Date'!I:I,"SUMMER"))), "")</f>
        <v/>
      </c>
      <c r="L150" s="74" t="str" cm="1">
        <f t="array" ref="L150">IFERROR(1/(1/SUM(COUNTIFS(
'YearB-AppDetails Current Date'!A:A,D150,
'YearB-AppDetails Current Date'!F:F,E150,
'YearB-AppDetails Current Date'!E:E,--F150,
'YearB-AppDetails Current Date'!T:T,{"APEX","DENY","NTSL"},
'YearB-AppDetails Current Date'!I:I,"SUMMER"))), "")</f>
        <v/>
      </c>
      <c r="M150" s="74" t="str" cm="1">
        <f t="array" ref="M150">IFERROR(1/(1/SUM(COUNTIFS(
'YearB-AppDetails Current Date'!A:A,D150,
'YearB-AppDetails Current Date'!F:F,E150,
'YearB-AppDetails Current Date'!E:E,--F150,
'YearB-AppDetails Current Date'!U:U,{"CCAN","DECL"},
'YearB-AppDetails Current Date'!I:I,"SUMMER"))), "")</f>
        <v/>
      </c>
      <c r="N150" s="74" t="str" cm="1">
        <f t="array" ref="N150">IFERROR(1/(1/SUM(COUNTIFS(
'YearB-AppDetails Current Date'!A:A,D150,
'YearB-AppDetails Current Date'!F:F,E150,
'YearB-AppDetails Current Date'!E:E,--F150,
'YearB-AppDetails Current Date'!V:V,{"APRO","NODE"},
'YearB-AppDetails Current Date'!I:I,"SUMMER"))), "")</f>
        <v/>
      </c>
      <c r="O150" s="74" t="str" cm="1">
        <f t="array" ref="O150">IFERROR(1/(1/SUM(COUNTIFS(
'YearB-AppDetails Current Date'!A:A,D150,
'YearB-AppDetails Current Date'!F:F,E150,
'YearB-AppDetails Current Date'!E:E,--F150,
'YearB-AppDetails Current Date'!T:T,{"CDMT","RQMT","WAIT"},
'YearB-AppDetails Current Date'!I:I,"SUMMER"))), "")</f>
        <v/>
      </c>
      <c r="P150" s="74" t="str">
        <f>IFERROR(1/(1/COUNTIFS(
'YearB-AppDetails Current Date'!A:A,D150,
'YearB-AppDetails Current Date'!F:F,E150,
'YearB-AppDetails Current Date'!E:E,--F150,
'YearB-AppDetails Current Date'!Y:Y,"ENRO",
'YearB-AppDetails Current Date'!I:I,"SUMMER")),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HC'!D:T,10,FALSE)),
N(VLOOKUP(D151&amp;F151,'Budgeted Projections Dom HC'!D:T,11,FALSE))
)
),"")</f>
        <v/>
      </c>
      <c r="I151" s="73" t="str">
        <f>IFERROR(1/(1/COUNTIFS(
'YearB-AppDetails Current Date'!A:A,D151,
'YearB-AppDetails Current Date'!F:F,E151,
'YearB-AppDetails Current Date'!E:E,--F151,
'YearB-AppDetails Current Date'!I:I,"SUMMER")), "")</f>
        <v/>
      </c>
      <c r="J151" s="74" t="str" cm="1">
        <f t="array" ref="J151">IFERROR(1/(1/SUM(COUNTIFS(
'YearB-AppDetails Current Date'!A:A,D151,
'YearB-AppDetails Current Date'!F:F,E151,
'YearB-AppDetails Current Date'!E:E,--F151,
'YearB-AppDetails Current Date'!O:O,{"ACLN","ACPT","COND"},
'YearB-AppDetails Current Date'!S:S,"&lt;&gt;ACLN",
'YearB-AppDetails Current Date'!S:S,"&lt;&gt;ACPT",
'YearB-AppDetails Current Date'!S:S,"&lt;&gt;COND",
'YearB-AppDetails Current Date'!I:I,"SUMMER"))), "")</f>
        <v/>
      </c>
      <c r="K151" s="73" t="str">
        <f>IFERROR(1/(1/SUM(COUNTIFS(
'YearB-AppDetails Current Date'!A:A,D151,
'YearB-AppDetails Current Date'!F:F,E151,
'YearB-AppDetails Current Date'!E:E,--F151,
'YearB-AppDetails Current Date'!R:R,"&lt;&gt;"&amp;"",
'YearB-AppDetails Current Date'!I:I,"SUMMER"))), "")</f>
        <v/>
      </c>
      <c r="L151" s="74" t="str" cm="1">
        <f t="array" ref="L151">IFERROR(1/(1/SUM(COUNTIFS(
'YearB-AppDetails Current Date'!A:A,D151,
'YearB-AppDetails Current Date'!F:F,E151,
'YearB-AppDetails Current Date'!E:E,--F151,
'YearB-AppDetails Current Date'!T:T,{"APEX","DENY","NTSL"},
'YearB-AppDetails Current Date'!I:I,"SUMMER"))), "")</f>
        <v/>
      </c>
      <c r="M151" s="74" t="str" cm="1">
        <f t="array" ref="M151">IFERROR(1/(1/SUM(COUNTIFS(
'YearB-AppDetails Current Date'!A:A,D151,
'YearB-AppDetails Current Date'!F:F,E151,
'YearB-AppDetails Current Date'!E:E,--F151,
'YearB-AppDetails Current Date'!U:U,{"CCAN","DECL"},
'YearB-AppDetails Current Date'!I:I,"SUMMER"))), "")</f>
        <v/>
      </c>
      <c r="N151" s="74" t="str" cm="1">
        <f t="array" ref="N151">IFERROR(1/(1/SUM(COUNTIFS(
'YearB-AppDetails Current Date'!A:A,D151,
'YearB-AppDetails Current Date'!F:F,E151,
'YearB-AppDetails Current Date'!E:E,--F151,
'YearB-AppDetails Current Date'!V:V,{"APRO","NODE"},
'YearB-AppDetails Current Date'!I:I,"SUMMER"))), "")</f>
        <v/>
      </c>
      <c r="O151" s="74" t="str" cm="1">
        <f t="array" ref="O151">IFERROR(1/(1/SUM(COUNTIFS(
'YearB-AppDetails Current Date'!A:A,D151,
'YearB-AppDetails Current Date'!F:F,E151,
'YearB-AppDetails Current Date'!E:E,--F151,
'YearB-AppDetails Current Date'!T:T,{"CDMT","RQMT","WAIT"},
'YearB-AppDetails Current Date'!I:I,"SUMMER"))), "")</f>
        <v/>
      </c>
      <c r="P151" s="74" t="str">
        <f>IFERROR(1/(1/COUNTIFS(
'YearB-AppDetails Current Date'!A:A,D151,
'YearB-AppDetails Current Date'!F:F,E151,
'YearB-AppDetails Current Date'!E:E,--F151,
'YearB-AppDetails Current Date'!Y:Y,"ENRO",
'YearB-AppDetails Current Date'!I:I,"SUMMER")),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HC'!D:T,10,FALSE)),
N(VLOOKUP(D152&amp;F152,'Budgeted Projections Intl HC'!D:T,11,FALSE))
)
),"")</f>
        <v/>
      </c>
      <c r="I152" s="73" t="str">
        <f>IFERROR(1/(1/COUNTIFS(
'YearB-AppDetails Current Date'!A:A,D152,
'YearB-AppDetails Current Date'!F:F,E152,
'YearB-AppDetails Current Date'!E:E,--F152,
'YearB-AppDetails Current Date'!I:I,"SUMMER")), "")</f>
        <v/>
      </c>
      <c r="J152" s="74" t="str" cm="1">
        <f t="array" ref="J152">IFERROR(1/(1/SUM(COUNTIFS(
'YearB-AppDetails Current Date'!A:A,D152,
'YearB-AppDetails Current Date'!F:F,E152,
'YearB-AppDetails Current Date'!E:E,--F152,
'YearB-AppDetails Current Date'!O:O,{"ACLN","ACPT","COND"},
'YearB-AppDetails Current Date'!S:S,"&lt;&gt;ACLN",
'YearB-AppDetails Current Date'!S:S,"&lt;&gt;ACPT",
'YearB-AppDetails Current Date'!S:S,"&lt;&gt;COND",
'YearB-AppDetails Current Date'!I:I,"SUMMER"))), "")</f>
        <v/>
      </c>
      <c r="K152" s="73" t="str">
        <f>IFERROR(1/(1/SUM(COUNTIFS(
'YearB-AppDetails Current Date'!A:A,D152,
'YearB-AppDetails Current Date'!F:F,E152,
'YearB-AppDetails Current Date'!E:E,--F152,
'YearB-AppDetails Current Date'!R:R,"&lt;&gt;"&amp;"",
'YearB-AppDetails Current Date'!I:I,"SUMMER"))), "")</f>
        <v/>
      </c>
      <c r="L152" s="74" t="str" cm="1">
        <f t="array" ref="L152">IFERROR(1/(1/SUM(COUNTIFS(
'YearB-AppDetails Current Date'!A:A,D152,
'YearB-AppDetails Current Date'!F:F,E152,
'YearB-AppDetails Current Date'!E:E,--F152,
'YearB-AppDetails Current Date'!T:T,{"APEX","DENY","NTSL"},
'YearB-AppDetails Current Date'!I:I,"SUMMER"))), "")</f>
        <v/>
      </c>
      <c r="M152" s="74" t="str" cm="1">
        <f t="array" ref="M152">IFERROR(1/(1/SUM(COUNTIFS(
'YearB-AppDetails Current Date'!A:A,D152,
'YearB-AppDetails Current Date'!F:F,E152,
'YearB-AppDetails Current Date'!E:E,--F152,
'YearB-AppDetails Current Date'!U:U,{"CCAN","DECL"},
'YearB-AppDetails Current Date'!I:I,"SUMMER"))), "")</f>
        <v/>
      </c>
      <c r="N152" s="74" t="str" cm="1">
        <f t="array" ref="N152">IFERROR(1/(1/SUM(COUNTIFS(
'YearB-AppDetails Current Date'!A:A,D152,
'YearB-AppDetails Current Date'!F:F,E152,
'YearB-AppDetails Current Date'!E:E,--F152,
'YearB-AppDetails Current Date'!V:V,{"APRO","NODE"},
'YearB-AppDetails Current Date'!I:I,"SUMMER"))), "")</f>
        <v/>
      </c>
      <c r="O152" s="74" t="str" cm="1">
        <f t="array" ref="O152">IFERROR(1/(1/SUM(COUNTIFS(
'YearB-AppDetails Current Date'!A:A,D152,
'YearB-AppDetails Current Date'!F:F,E152,
'YearB-AppDetails Current Date'!E:E,--F152,
'YearB-AppDetails Current Date'!T:T,{"CDMT","RQMT","WAIT"},
'YearB-AppDetails Current Date'!I:I,"SUMMER"))), "")</f>
        <v/>
      </c>
      <c r="P152" s="74" t="str">
        <f>IFERROR(1/(1/COUNTIFS(
'YearB-AppDetails Current Date'!A:A,D152,
'YearB-AppDetails Current Date'!F:F,E152,
'YearB-AppDetails Current Date'!E:E,--F152,
'YearB-AppDetails Current Date'!Y:Y,"ENRO",
'YearB-AppDetails Current Date'!I:I,"SUMMER")),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HC'!D:T,10,FALSE)),
N(VLOOKUP(D153&amp;F153,'Budgeted Projections Dom HC'!D:T,11,FALSE))
)
),"")</f>
        <v/>
      </c>
      <c r="I153" s="73" t="str">
        <f>IFERROR(1/(1/COUNTIFS(
'YearB-AppDetails Current Date'!A:A,D153,
'YearB-AppDetails Current Date'!F:F,E153,
'YearB-AppDetails Current Date'!E:E,--F153,
'YearB-AppDetails Current Date'!I:I,"SUMMER")), "")</f>
        <v/>
      </c>
      <c r="J153" s="74" t="str" cm="1">
        <f t="array" ref="J153">IFERROR(1/(1/SUM(COUNTIFS(
'YearB-AppDetails Current Date'!A:A,D153,
'YearB-AppDetails Current Date'!F:F,E153,
'YearB-AppDetails Current Date'!E:E,--F153,
'YearB-AppDetails Current Date'!O:O,{"ACLN","ACPT","COND"},
'YearB-AppDetails Current Date'!S:S,"&lt;&gt;ACLN",
'YearB-AppDetails Current Date'!S:S,"&lt;&gt;ACPT",
'YearB-AppDetails Current Date'!S:S,"&lt;&gt;COND",
'YearB-AppDetails Current Date'!I:I,"SUMMER"))), "")</f>
        <v/>
      </c>
      <c r="K153" s="73" t="str">
        <f>IFERROR(1/(1/SUM(COUNTIFS(
'YearB-AppDetails Current Date'!A:A,D153,
'YearB-AppDetails Current Date'!F:F,E153,
'YearB-AppDetails Current Date'!E:E,--F153,
'YearB-AppDetails Current Date'!R:R,"&lt;&gt;"&amp;"",
'YearB-AppDetails Current Date'!I:I,"SUMMER"))), "")</f>
        <v/>
      </c>
      <c r="L153" s="74" t="str" cm="1">
        <f t="array" ref="L153">IFERROR(1/(1/SUM(COUNTIFS(
'YearB-AppDetails Current Date'!A:A,D153,
'YearB-AppDetails Current Date'!F:F,E153,
'YearB-AppDetails Current Date'!E:E,--F153,
'YearB-AppDetails Current Date'!T:T,{"APEX","DENY","NTSL"},
'YearB-AppDetails Current Date'!I:I,"SUMMER"))), "")</f>
        <v/>
      </c>
      <c r="M153" s="74" t="str" cm="1">
        <f t="array" ref="M153">IFERROR(1/(1/SUM(COUNTIFS(
'YearB-AppDetails Current Date'!A:A,D153,
'YearB-AppDetails Current Date'!F:F,E153,
'YearB-AppDetails Current Date'!E:E,--F153,
'YearB-AppDetails Current Date'!U:U,{"CCAN","DECL"},
'YearB-AppDetails Current Date'!I:I,"SUMMER"))), "")</f>
        <v/>
      </c>
      <c r="N153" s="74" t="str" cm="1">
        <f t="array" ref="N153">IFERROR(1/(1/SUM(COUNTIFS(
'YearB-AppDetails Current Date'!A:A,D153,
'YearB-AppDetails Current Date'!F:F,E153,
'YearB-AppDetails Current Date'!E:E,--F153,
'YearB-AppDetails Current Date'!V:V,{"APRO","NODE"},
'YearB-AppDetails Current Date'!I:I,"SUMMER"))), "")</f>
        <v/>
      </c>
      <c r="O153" s="74" t="str" cm="1">
        <f t="array" ref="O153">IFERROR(1/(1/SUM(COUNTIFS(
'YearB-AppDetails Current Date'!A:A,D153,
'YearB-AppDetails Current Date'!F:F,E153,
'YearB-AppDetails Current Date'!E:E,--F153,
'YearB-AppDetails Current Date'!T:T,{"CDMT","RQMT","WAIT"},
'YearB-AppDetails Current Date'!I:I,"SUMMER"))), "")</f>
        <v/>
      </c>
      <c r="P153" s="74" t="str">
        <f>IFERROR(1/(1/COUNTIFS(
'YearB-AppDetails Current Date'!A:A,D153,
'YearB-AppDetails Current Date'!F:F,E153,
'YearB-AppDetails Current Date'!E:E,--F153,
'YearB-AppDetails Current Date'!Y:Y,"ENRO",
'YearB-AppDetails Current Date'!I:I,"SUMMER")),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HC'!D:T,10,FALSE)),
N(VLOOKUP(D154&amp;F154,'Budgeted Projections Intl HC'!D:T,11,FALSE))
)
),"")</f>
        <v/>
      </c>
      <c r="I154" s="73" t="str">
        <f>IFERROR(1/(1/COUNTIFS(
'YearB-AppDetails Current Date'!A:A,D154,
'YearB-AppDetails Current Date'!F:F,E154,
'YearB-AppDetails Current Date'!E:E,--F154,
'YearB-AppDetails Current Date'!I:I,"SUMMER")), "")</f>
        <v/>
      </c>
      <c r="J154" s="74" t="str" cm="1">
        <f t="array" ref="J154">IFERROR(1/(1/SUM(COUNTIFS(
'YearB-AppDetails Current Date'!A:A,D154,
'YearB-AppDetails Current Date'!F:F,E154,
'YearB-AppDetails Current Date'!E:E,--F154,
'YearB-AppDetails Current Date'!O:O,{"ACLN","ACPT","COND"},
'YearB-AppDetails Current Date'!S:S,"&lt;&gt;ACLN",
'YearB-AppDetails Current Date'!S:S,"&lt;&gt;ACPT",
'YearB-AppDetails Current Date'!S:S,"&lt;&gt;COND",
'YearB-AppDetails Current Date'!I:I,"SUMMER"))), "")</f>
        <v/>
      </c>
      <c r="K154" s="73" t="str">
        <f>IFERROR(1/(1/SUM(COUNTIFS(
'YearB-AppDetails Current Date'!A:A,D154,
'YearB-AppDetails Current Date'!F:F,E154,
'YearB-AppDetails Current Date'!E:E,--F154,
'YearB-AppDetails Current Date'!R:R,"&lt;&gt;"&amp;"",
'YearB-AppDetails Current Date'!I:I,"SUMMER"))), "")</f>
        <v/>
      </c>
      <c r="L154" s="74" t="str" cm="1">
        <f t="array" ref="L154">IFERROR(1/(1/SUM(COUNTIFS(
'YearB-AppDetails Current Date'!A:A,D154,
'YearB-AppDetails Current Date'!F:F,E154,
'YearB-AppDetails Current Date'!E:E,--F154,
'YearB-AppDetails Current Date'!T:T,{"APEX","DENY","NTSL"},
'YearB-AppDetails Current Date'!I:I,"SUMMER"))), "")</f>
        <v/>
      </c>
      <c r="M154" s="74" t="str" cm="1">
        <f t="array" ref="M154">IFERROR(1/(1/SUM(COUNTIFS(
'YearB-AppDetails Current Date'!A:A,D154,
'YearB-AppDetails Current Date'!F:F,E154,
'YearB-AppDetails Current Date'!E:E,--F154,
'YearB-AppDetails Current Date'!U:U,{"CCAN","DECL"},
'YearB-AppDetails Current Date'!I:I,"SUMMER"))), "")</f>
        <v/>
      </c>
      <c r="N154" s="74" t="str" cm="1">
        <f t="array" ref="N154">IFERROR(1/(1/SUM(COUNTIFS(
'YearB-AppDetails Current Date'!A:A,D154,
'YearB-AppDetails Current Date'!F:F,E154,
'YearB-AppDetails Current Date'!E:E,--F154,
'YearB-AppDetails Current Date'!V:V,{"APRO","NODE"},
'YearB-AppDetails Current Date'!I:I,"SUMMER"))), "")</f>
        <v/>
      </c>
      <c r="O154" s="74" t="str" cm="1">
        <f t="array" ref="O154">IFERROR(1/(1/SUM(COUNTIFS(
'YearB-AppDetails Current Date'!A:A,D154,
'YearB-AppDetails Current Date'!F:F,E154,
'YearB-AppDetails Current Date'!E:E,--F154,
'YearB-AppDetails Current Date'!T:T,{"CDMT","RQMT","WAIT"},
'YearB-AppDetails Current Date'!I:I,"SUMMER"))), "")</f>
        <v/>
      </c>
      <c r="P154" s="74" t="str">
        <f>IFERROR(1/(1/COUNTIFS(
'YearB-AppDetails Current Date'!A:A,D154,
'YearB-AppDetails Current Date'!F:F,E154,
'YearB-AppDetails Current Date'!E:E,--F154,
'YearB-AppDetails Current Date'!Y:Y,"ENRO",
'YearB-AppDetails Current Date'!I:I,"SUMMER")),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HC'!D:T,10,FALSE)),
N(VLOOKUP(D155&amp;F155,'Budgeted Projections Dom HC'!D:T,11,FALSE))
)
),"")</f>
        <v/>
      </c>
      <c r="I155" s="73" t="str">
        <f>IFERROR(1/(1/COUNTIFS(
'YearB-AppDetails Current Date'!A:A,D155,
'YearB-AppDetails Current Date'!F:F,E155,
'YearB-AppDetails Current Date'!E:E,--F155,
'YearB-AppDetails Current Date'!I:I,"SUMMER")), "")</f>
        <v/>
      </c>
      <c r="J155" s="74" t="str" cm="1">
        <f t="array" ref="J155">IFERROR(1/(1/SUM(COUNTIFS(
'YearB-AppDetails Current Date'!A:A,D155,
'YearB-AppDetails Current Date'!F:F,E155,
'YearB-AppDetails Current Date'!E:E,--F155,
'YearB-AppDetails Current Date'!O:O,{"ACLN","ACPT","COND"},
'YearB-AppDetails Current Date'!S:S,"&lt;&gt;ACLN",
'YearB-AppDetails Current Date'!S:S,"&lt;&gt;ACPT",
'YearB-AppDetails Current Date'!S:S,"&lt;&gt;COND",
'YearB-AppDetails Current Date'!I:I,"SUMMER"))), "")</f>
        <v/>
      </c>
      <c r="K155" s="73" t="str">
        <f>IFERROR(1/(1/SUM(COUNTIFS(
'YearB-AppDetails Current Date'!A:A,D155,
'YearB-AppDetails Current Date'!F:F,E155,
'YearB-AppDetails Current Date'!E:E,--F155,
'YearB-AppDetails Current Date'!R:R,"&lt;&gt;"&amp;"",
'YearB-AppDetails Current Date'!I:I,"SUMMER"))), "")</f>
        <v/>
      </c>
      <c r="L155" s="74" t="str" cm="1">
        <f t="array" ref="L155">IFERROR(1/(1/SUM(COUNTIFS(
'YearB-AppDetails Current Date'!A:A,D155,
'YearB-AppDetails Current Date'!F:F,E155,
'YearB-AppDetails Current Date'!E:E,--F155,
'YearB-AppDetails Current Date'!T:T,{"APEX","DENY","NTSL"},
'YearB-AppDetails Current Date'!I:I,"SUMMER"))), "")</f>
        <v/>
      </c>
      <c r="M155" s="74" t="str" cm="1">
        <f t="array" ref="M155">IFERROR(1/(1/SUM(COUNTIFS(
'YearB-AppDetails Current Date'!A:A,D155,
'YearB-AppDetails Current Date'!F:F,E155,
'YearB-AppDetails Current Date'!E:E,--F155,
'YearB-AppDetails Current Date'!U:U,{"CCAN","DECL"},
'YearB-AppDetails Current Date'!I:I,"SUMMER"))), "")</f>
        <v/>
      </c>
      <c r="N155" s="74" t="str" cm="1">
        <f t="array" ref="N155">IFERROR(1/(1/SUM(COUNTIFS(
'YearB-AppDetails Current Date'!A:A,D155,
'YearB-AppDetails Current Date'!F:F,E155,
'YearB-AppDetails Current Date'!E:E,--F155,
'YearB-AppDetails Current Date'!V:V,{"APRO","NODE"},
'YearB-AppDetails Current Date'!I:I,"SUMMER"))), "")</f>
        <v/>
      </c>
      <c r="O155" s="74" t="str" cm="1">
        <f t="array" ref="O155">IFERROR(1/(1/SUM(COUNTIFS(
'YearB-AppDetails Current Date'!A:A,D155,
'YearB-AppDetails Current Date'!F:F,E155,
'YearB-AppDetails Current Date'!E:E,--F155,
'YearB-AppDetails Current Date'!T:T,{"CDMT","RQMT","WAIT"},
'YearB-AppDetails Current Date'!I:I,"SUMMER"))), "")</f>
        <v/>
      </c>
      <c r="P155" s="74" t="str">
        <f>IFERROR(1/(1/COUNTIFS(
'YearB-AppDetails Current Date'!A:A,D155,
'YearB-AppDetails Current Date'!F:F,E155,
'YearB-AppDetails Current Date'!E:E,--F155,
'YearB-AppDetails Current Date'!Y:Y,"ENRO",
'YearB-AppDetails Current Date'!I:I,"SUMMER")),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HC'!D:T,10,FALSE)),
N(VLOOKUP(D156&amp;F156,'Budgeted Projections Intl HC'!D:T,11,FALSE))
)
),"")</f>
        <v/>
      </c>
      <c r="I156" s="73" t="str">
        <f>IFERROR(1/(1/COUNTIFS(
'YearB-AppDetails Current Date'!A:A,D156,
'YearB-AppDetails Current Date'!F:F,E156,
'YearB-AppDetails Current Date'!E:E,--F156,
'YearB-AppDetails Current Date'!I:I,"SUMMER")), "")</f>
        <v/>
      </c>
      <c r="J156" s="74" t="str" cm="1">
        <f t="array" ref="J156">IFERROR(1/(1/SUM(COUNTIFS(
'YearB-AppDetails Current Date'!A:A,D156,
'YearB-AppDetails Current Date'!F:F,E156,
'YearB-AppDetails Current Date'!E:E,--F156,
'YearB-AppDetails Current Date'!O:O,{"ACLN","ACPT","COND"},
'YearB-AppDetails Current Date'!S:S,"&lt;&gt;ACLN",
'YearB-AppDetails Current Date'!S:S,"&lt;&gt;ACPT",
'YearB-AppDetails Current Date'!S:S,"&lt;&gt;COND",
'YearB-AppDetails Current Date'!I:I,"SUMMER"))), "")</f>
        <v/>
      </c>
      <c r="K156" s="73" t="str">
        <f>IFERROR(1/(1/SUM(COUNTIFS(
'YearB-AppDetails Current Date'!A:A,D156,
'YearB-AppDetails Current Date'!F:F,E156,
'YearB-AppDetails Current Date'!E:E,--F156,
'YearB-AppDetails Current Date'!R:R,"&lt;&gt;"&amp;"",
'YearB-AppDetails Current Date'!I:I,"SUMMER"))), "")</f>
        <v/>
      </c>
      <c r="L156" s="74" t="str" cm="1">
        <f t="array" ref="L156">IFERROR(1/(1/SUM(COUNTIFS(
'YearB-AppDetails Current Date'!A:A,D156,
'YearB-AppDetails Current Date'!F:F,E156,
'YearB-AppDetails Current Date'!E:E,--F156,
'YearB-AppDetails Current Date'!T:T,{"APEX","DENY","NTSL"},
'YearB-AppDetails Current Date'!I:I,"SUMMER"))), "")</f>
        <v/>
      </c>
      <c r="M156" s="74" t="str" cm="1">
        <f t="array" ref="M156">IFERROR(1/(1/SUM(COUNTIFS(
'YearB-AppDetails Current Date'!A:A,D156,
'YearB-AppDetails Current Date'!F:F,E156,
'YearB-AppDetails Current Date'!E:E,--F156,
'YearB-AppDetails Current Date'!U:U,{"CCAN","DECL"},
'YearB-AppDetails Current Date'!I:I,"SUMMER"))), "")</f>
        <v/>
      </c>
      <c r="N156" s="74" t="str" cm="1">
        <f t="array" ref="N156">IFERROR(1/(1/SUM(COUNTIFS(
'YearB-AppDetails Current Date'!A:A,D156,
'YearB-AppDetails Current Date'!F:F,E156,
'YearB-AppDetails Current Date'!E:E,--F156,
'YearB-AppDetails Current Date'!V:V,{"APRO","NODE"},
'YearB-AppDetails Current Date'!I:I,"SUMMER"))), "")</f>
        <v/>
      </c>
      <c r="O156" s="74" t="str" cm="1">
        <f t="array" ref="O156">IFERROR(1/(1/SUM(COUNTIFS(
'YearB-AppDetails Current Date'!A:A,D156,
'YearB-AppDetails Current Date'!F:F,E156,
'YearB-AppDetails Current Date'!E:E,--F156,
'YearB-AppDetails Current Date'!T:T,{"CDMT","RQMT","WAIT"},
'YearB-AppDetails Current Date'!I:I,"SUMMER"))), "")</f>
        <v/>
      </c>
      <c r="P156" s="74" t="str">
        <f>IFERROR(1/(1/COUNTIFS(
'YearB-AppDetails Current Date'!A:A,D156,
'YearB-AppDetails Current Date'!F:F,E156,
'YearB-AppDetails Current Date'!E:E,--F156,
'YearB-AppDetails Current Date'!Y:Y,"ENRO",
'YearB-AppDetails Current Date'!I:I,"SUMMER")),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HC'!D:T,10,FALSE)),
N(VLOOKUP(D158&amp;F158,'Budgeted Projections Dom HC'!D:T,11,FALSE))
)
),"")</f>
        <v/>
      </c>
      <c r="I158" s="73" t="str">
        <f>IFERROR(1/(1/COUNTIFS(
'YearB-AppDetails Current Date'!A:A,D158,
'YearB-AppDetails Current Date'!F:F,E158,
'YearB-AppDetails Current Date'!E:E,--F158,
'YearB-AppDetails Current Date'!I:I,"SUMMER")), "")</f>
        <v/>
      </c>
      <c r="J158" s="74" t="str" cm="1">
        <f t="array" ref="J158">IFERROR(1/(1/SUM(COUNTIFS(
'YearB-AppDetails Current Date'!A:A,D158,
'YearB-AppDetails Current Date'!F:F,E158,
'YearB-AppDetails Current Date'!E:E,--F158,
'YearB-AppDetails Current Date'!O:O,{"ACLN","ACPT","COND"},
'YearB-AppDetails Current Date'!S:S,"&lt;&gt;ACLN",
'YearB-AppDetails Current Date'!S:S,"&lt;&gt;ACPT",
'YearB-AppDetails Current Date'!S:S,"&lt;&gt;COND",
'YearB-AppDetails Current Date'!I:I,"SUMMER"))), "")</f>
        <v/>
      </c>
      <c r="K158" s="73" t="str">
        <f>IFERROR(1/(1/SUM(COUNTIFS(
'YearB-AppDetails Current Date'!A:A,D158,
'YearB-AppDetails Current Date'!F:F,E158,
'YearB-AppDetails Current Date'!E:E,--F158,
'YearB-AppDetails Current Date'!R:R,"&lt;&gt;"&amp;"",
'YearB-AppDetails Current Date'!I:I,"SUMMER"))), "")</f>
        <v/>
      </c>
      <c r="L158" s="74" t="str" cm="1">
        <f t="array" ref="L158">IFERROR(1/(1/SUM(COUNTIFS(
'YearB-AppDetails Current Date'!A:A,D158,
'YearB-AppDetails Current Date'!F:F,E158,
'YearB-AppDetails Current Date'!E:E,--F158,
'YearB-AppDetails Current Date'!T:T,{"APEX","DENY","NTSL"},
'YearB-AppDetails Current Date'!I:I,"SUMMER"))), "")</f>
        <v/>
      </c>
      <c r="M158" s="74" t="str" cm="1">
        <f t="array" ref="M158">IFERROR(1/(1/SUM(COUNTIFS(
'YearB-AppDetails Current Date'!A:A,D158,
'YearB-AppDetails Current Date'!F:F,E158,
'YearB-AppDetails Current Date'!E:E,--F158,
'YearB-AppDetails Current Date'!U:U,{"CCAN","DECL"},
'YearB-AppDetails Current Date'!I:I,"SUMMER"))), "")</f>
        <v/>
      </c>
      <c r="N158" s="74" t="str" cm="1">
        <f t="array" ref="N158">IFERROR(1/(1/SUM(COUNTIFS(
'YearB-AppDetails Current Date'!A:A,D158,
'YearB-AppDetails Current Date'!F:F,E158,
'YearB-AppDetails Current Date'!E:E,--F158,
'YearB-AppDetails Current Date'!V:V,{"APRO","NODE"},
'YearB-AppDetails Current Date'!I:I,"SUMMER"))), "")</f>
        <v/>
      </c>
      <c r="O158" s="74" t="str" cm="1">
        <f t="array" ref="O158">IFERROR(1/(1/SUM(COUNTIFS(
'YearB-AppDetails Current Date'!A:A,D158,
'YearB-AppDetails Current Date'!F:F,E158,
'YearB-AppDetails Current Date'!E:E,--F158,
'YearB-AppDetails Current Date'!T:T,{"CDMT","RQMT","WAIT"},
'YearB-AppDetails Current Date'!I:I,"SUMMER"))), "")</f>
        <v/>
      </c>
      <c r="P158" s="74" t="str">
        <f>IFERROR(1/(1/COUNTIFS(
'YearB-AppDetails Current Date'!A:A,D158,
'YearB-AppDetails Current Date'!F:F,E158,
'YearB-AppDetails Current Date'!E:E,--F158,
'YearB-AppDetails Current Date'!Y:Y,"ENRO",
'YearB-AppDetails Current Date'!I:I,"SUMMER")),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HC'!D:T,10,FALSE)),
N(VLOOKUP(D159&amp;F159,'Budgeted Projections Intl HC'!D:T,11,FALSE))
)
),"")</f>
        <v/>
      </c>
      <c r="I159" s="73" t="str">
        <f>IFERROR(1/(1/COUNTIFS(
'YearB-AppDetails Current Date'!A:A,D159,
'YearB-AppDetails Current Date'!F:F,E159,
'YearB-AppDetails Current Date'!E:E,--F159,
'YearB-AppDetails Current Date'!I:I,"SUMMER")), "")</f>
        <v/>
      </c>
      <c r="J159" s="74" t="str" cm="1">
        <f t="array" ref="J159">IFERROR(1/(1/SUM(COUNTIFS(
'YearB-AppDetails Current Date'!A:A,D159,
'YearB-AppDetails Current Date'!F:F,E159,
'YearB-AppDetails Current Date'!E:E,--F159,
'YearB-AppDetails Current Date'!O:O,{"ACLN","ACPT","COND"},
'YearB-AppDetails Current Date'!S:S,"&lt;&gt;ACLN",
'YearB-AppDetails Current Date'!S:S,"&lt;&gt;ACPT",
'YearB-AppDetails Current Date'!S:S,"&lt;&gt;COND",
'YearB-AppDetails Current Date'!I:I,"SUMMER"))), "")</f>
        <v/>
      </c>
      <c r="K159" s="73" t="str">
        <f>IFERROR(1/(1/SUM(COUNTIFS(
'YearB-AppDetails Current Date'!A:A,D159,
'YearB-AppDetails Current Date'!F:F,E159,
'YearB-AppDetails Current Date'!E:E,--F159,
'YearB-AppDetails Current Date'!R:R,"&lt;&gt;"&amp;"",
'YearB-AppDetails Current Date'!I:I,"SUMMER"))), "")</f>
        <v/>
      </c>
      <c r="L159" s="74" t="str" cm="1">
        <f t="array" ref="L159">IFERROR(1/(1/SUM(COUNTIFS(
'YearB-AppDetails Current Date'!A:A,D159,
'YearB-AppDetails Current Date'!F:F,E159,
'YearB-AppDetails Current Date'!E:E,--F159,
'YearB-AppDetails Current Date'!T:T,{"APEX","DENY","NTSL"},
'YearB-AppDetails Current Date'!I:I,"SUMMER"))), "")</f>
        <v/>
      </c>
      <c r="M159" s="74" t="str" cm="1">
        <f t="array" ref="M159">IFERROR(1/(1/SUM(COUNTIFS(
'YearB-AppDetails Current Date'!A:A,D159,
'YearB-AppDetails Current Date'!F:F,E159,
'YearB-AppDetails Current Date'!E:E,--F159,
'YearB-AppDetails Current Date'!U:U,{"CCAN","DECL"},
'YearB-AppDetails Current Date'!I:I,"SUMMER"))), "")</f>
        <v/>
      </c>
      <c r="N159" s="74" t="str" cm="1">
        <f t="array" ref="N159">IFERROR(1/(1/SUM(COUNTIFS(
'YearB-AppDetails Current Date'!A:A,D159,
'YearB-AppDetails Current Date'!F:F,E159,
'YearB-AppDetails Current Date'!E:E,--F159,
'YearB-AppDetails Current Date'!V:V,{"APRO","NODE"},
'YearB-AppDetails Current Date'!I:I,"SUMMER"))), "")</f>
        <v/>
      </c>
      <c r="O159" s="74" t="str" cm="1">
        <f t="array" ref="O159">IFERROR(1/(1/SUM(COUNTIFS(
'YearB-AppDetails Current Date'!A:A,D159,
'YearB-AppDetails Current Date'!F:F,E159,
'YearB-AppDetails Current Date'!E:E,--F159,
'YearB-AppDetails Current Date'!T:T,{"CDMT","RQMT","WAIT"},
'YearB-AppDetails Current Date'!I:I,"SUMMER"))), "")</f>
        <v/>
      </c>
      <c r="P159" s="74" t="str">
        <f>IFERROR(1/(1/COUNTIFS(
'YearB-AppDetails Current Date'!A:A,D159,
'YearB-AppDetails Current Date'!F:F,E159,
'YearB-AppDetails Current Date'!E:E,--F159,
'YearB-AppDetails Current Date'!Y:Y,"ENRO",
'YearB-AppDetails Current Date'!I:I,"SUMMER")),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HC'!D:T,10,FALSE)),
N(VLOOKUP(D160&amp;F160,'Budgeted Projections Dom HC'!D:T,11,FALSE))
)
),"")</f>
        <v/>
      </c>
      <c r="I160" s="73" t="str">
        <f>IFERROR(1/(1/COUNTIFS(
'YearB-AppDetails Current Date'!A:A,D160,
'YearB-AppDetails Current Date'!F:F,E160,
'YearB-AppDetails Current Date'!E:E,--F160,
'YearB-AppDetails Current Date'!I:I,"SUMMER")), "")</f>
        <v/>
      </c>
      <c r="J160" s="74" t="str" cm="1">
        <f t="array" ref="J160">IFERROR(1/(1/SUM(COUNTIFS(
'YearB-AppDetails Current Date'!A:A,D160,
'YearB-AppDetails Current Date'!F:F,E160,
'YearB-AppDetails Current Date'!E:E,--F160,
'YearB-AppDetails Current Date'!O:O,{"ACLN","ACPT","COND"},
'YearB-AppDetails Current Date'!S:S,"&lt;&gt;ACLN",
'YearB-AppDetails Current Date'!S:S,"&lt;&gt;ACPT",
'YearB-AppDetails Current Date'!S:S,"&lt;&gt;COND",
'YearB-AppDetails Current Date'!I:I,"SUMMER"))), "")</f>
        <v/>
      </c>
      <c r="K160" s="73" t="str">
        <f>IFERROR(1/(1/SUM(COUNTIFS(
'YearB-AppDetails Current Date'!A:A,D160,
'YearB-AppDetails Current Date'!F:F,E160,
'YearB-AppDetails Current Date'!E:E,--F160,
'YearB-AppDetails Current Date'!R:R,"&lt;&gt;"&amp;"",
'YearB-AppDetails Current Date'!I:I,"SUMMER"))), "")</f>
        <v/>
      </c>
      <c r="L160" s="74" t="str" cm="1">
        <f t="array" ref="L160">IFERROR(1/(1/SUM(COUNTIFS(
'YearB-AppDetails Current Date'!A:A,D160,
'YearB-AppDetails Current Date'!F:F,E160,
'YearB-AppDetails Current Date'!E:E,--F160,
'YearB-AppDetails Current Date'!T:T,{"APEX","DENY","NTSL"},
'YearB-AppDetails Current Date'!I:I,"SUMMER"))), "")</f>
        <v/>
      </c>
      <c r="M160" s="74" t="str" cm="1">
        <f t="array" ref="M160">IFERROR(1/(1/SUM(COUNTIFS(
'YearB-AppDetails Current Date'!A:A,D160,
'YearB-AppDetails Current Date'!F:F,E160,
'YearB-AppDetails Current Date'!E:E,--F160,
'YearB-AppDetails Current Date'!U:U,{"CCAN","DECL"},
'YearB-AppDetails Current Date'!I:I,"SUMMER"))), "")</f>
        <v/>
      </c>
      <c r="N160" s="74" t="str" cm="1">
        <f t="array" ref="N160">IFERROR(1/(1/SUM(COUNTIFS(
'YearB-AppDetails Current Date'!A:A,D160,
'YearB-AppDetails Current Date'!F:F,E160,
'YearB-AppDetails Current Date'!E:E,--F160,
'YearB-AppDetails Current Date'!V:V,{"APRO","NODE"},
'YearB-AppDetails Current Date'!I:I,"SUMMER"))), "")</f>
        <v/>
      </c>
      <c r="O160" s="74" t="str" cm="1">
        <f t="array" ref="O160">IFERROR(1/(1/SUM(COUNTIFS(
'YearB-AppDetails Current Date'!A:A,D160,
'YearB-AppDetails Current Date'!F:F,E160,
'YearB-AppDetails Current Date'!E:E,--F160,
'YearB-AppDetails Current Date'!T:T,{"CDMT","RQMT","WAIT"},
'YearB-AppDetails Current Date'!I:I,"SUMMER"))), "")</f>
        <v/>
      </c>
      <c r="P160" s="74" t="str">
        <f>IFERROR(1/(1/COUNTIFS(
'YearB-AppDetails Current Date'!A:A,D160,
'YearB-AppDetails Current Date'!F:F,E160,
'YearB-AppDetails Current Date'!E:E,--F160,
'YearB-AppDetails Current Date'!Y:Y,"ENRO",
'YearB-AppDetails Current Date'!I:I,"SUMMER")),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HC'!D:T,10,FALSE)),
N(VLOOKUP(D161&amp;F161,'Budgeted Projections Intl HC'!D:T,11,FALSE))
)
),"")</f>
        <v/>
      </c>
      <c r="I161" s="73" t="str">
        <f>IFERROR(1/(1/COUNTIFS(
'YearB-AppDetails Current Date'!A:A,D161,
'YearB-AppDetails Current Date'!F:F,E161,
'YearB-AppDetails Current Date'!E:E,--F161,
'YearB-AppDetails Current Date'!I:I,"SUMMER")), "")</f>
        <v/>
      </c>
      <c r="J161" s="74" t="str" cm="1">
        <f t="array" ref="J161">IFERROR(1/(1/SUM(COUNTIFS(
'YearB-AppDetails Current Date'!A:A,D161,
'YearB-AppDetails Current Date'!F:F,E161,
'YearB-AppDetails Current Date'!E:E,--F161,
'YearB-AppDetails Current Date'!O:O,{"ACLN","ACPT","COND"},
'YearB-AppDetails Current Date'!S:S,"&lt;&gt;ACLN",
'YearB-AppDetails Current Date'!S:S,"&lt;&gt;ACPT",
'YearB-AppDetails Current Date'!S:S,"&lt;&gt;COND",
'YearB-AppDetails Current Date'!I:I,"SUMMER"))), "")</f>
        <v/>
      </c>
      <c r="K161" s="73" t="str">
        <f>IFERROR(1/(1/SUM(COUNTIFS(
'YearB-AppDetails Current Date'!A:A,D161,
'YearB-AppDetails Current Date'!F:F,E161,
'YearB-AppDetails Current Date'!E:E,--F161,
'YearB-AppDetails Current Date'!R:R,"&lt;&gt;"&amp;"",
'YearB-AppDetails Current Date'!I:I,"SUMMER"))), "")</f>
        <v/>
      </c>
      <c r="L161" s="74" t="str" cm="1">
        <f t="array" ref="L161">IFERROR(1/(1/SUM(COUNTIFS(
'YearB-AppDetails Current Date'!A:A,D161,
'YearB-AppDetails Current Date'!F:F,E161,
'YearB-AppDetails Current Date'!E:E,--F161,
'YearB-AppDetails Current Date'!T:T,{"APEX","DENY","NTSL"},
'YearB-AppDetails Current Date'!I:I,"SUMMER"))), "")</f>
        <v/>
      </c>
      <c r="M161" s="74" t="str" cm="1">
        <f t="array" ref="M161">IFERROR(1/(1/SUM(COUNTIFS(
'YearB-AppDetails Current Date'!A:A,D161,
'YearB-AppDetails Current Date'!F:F,E161,
'YearB-AppDetails Current Date'!E:E,--F161,
'YearB-AppDetails Current Date'!U:U,{"CCAN","DECL"},
'YearB-AppDetails Current Date'!I:I,"SUMMER"))), "")</f>
        <v/>
      </c>
      <c r="N161" s="74" t="str" cm="1">
        <f t="array" ref="N161">IFERROR(1/(1/SUM(COUNTIFS(
'YearB-AppDetails Current Date'!A:A,D161,
'YearB-AppDetails Current Date'!F:F,E161,
'YearB-AppDetails Current Date'!E:E,--F161,
'YearB-AppDetails Current Date'!V:V,{"APRO","NODE"},
'YearB-AppDetails Current Date'!I:I,"SUMMER"))), "")</f>
        <v/>
      </c>
      <c r="O161" s="74" t="str" cm="1">
        <f t="array" ref="O161">IFERROR(1/(1/SUM(COUNTIFS(
'YearB-AppDetails Current Date'!A:A,D161,
'YearB-AppDetails Current Date'!F:F,E161,
'YearB-AppDetails Current Date'!E:E,--F161,
'YearB-AppDetails Current Date'!T:T,{"CDMT","RQMT","WAIT"},
'YearB-AppDetails Current Date'!I:I,"SUMMER"))), "")</f>
        <v/>
      </c>
      <c r="P161" s="74" t="str">
        <f>IFERROR(1/(1/COUNTIFS(
'YearB-AppDetails Current Date'!A:A,D161,
'YearB-AppDetails Current Date'!F:F,E161,
'YearB-AppDetails Current Date'!E:E,--F161,
'YearB-AppDetails Current Date'!Y:Y,"ENRO",
'YearB-AppDetails Current Date'!I:I,"SUMMER")),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HC'!D:T,10,FALSE)),
N(VLOOKUP(D162&amp;F162,'Budgeted Projections Dom HC'!D:T,11,FALSE))
)
),"")</f>
        <v/>
      </c>
      <c r="I162" s="73" t="str">
        <f>IFERROR(1/(1/COUNTIFS(
'YearB-AppDetails Current Date'!A:A,D162,
'YearB-AppDetails Current Date'!F:F,E162,
'YearB-AppDetails Current Date'!E:E,--F162,
'YearB-AppDetails Current Date'!I:I,"SUMMER")), "")</f>
        <v/>
      </c>
      <c r="J162" s="74" t="str" cm="1">
        <f t="array" ref="J162">IFERROR(1/(1/SUM(COUNTIFS(
'YearB-AppDetails Current Date'!A:A,D162,
'YearB-AppDetails Current Date'!F:F,E162,
'YearB-AppDetails Current Date'!E:E,--F162,
'YearB-AppDetails Current Date'!O:O,{"ACLN","ACPT","COND"},
'YearB-AppDetails Current Date'!S:S,"&lt;&gt;ACLN",
'YearB-AppDetails Current Date'!S:S,"&lt;&gt;ACPT",
'YearB-AppDetails Current Date'!S:S,"&lt;&gt;COND",
'YearB-AppDetails Current Date'!I:I,"SUMMER"))), "")</f>
        <v/>
      </c>
      <c r="K162" s="73" t="str">
        <f>IFERROR(1/(1/SUM(COUNTIFS(
'YearB-AppDetails Current Date'!A:A,D162,
'YearB-AppDetails Current Date'!F:F,E162,
'YearB-AppDetails Current Date'!E:E,--F162,
'YearB-AppDetails Current Date'!R:R,"&lt;&gt;"&amp;"",
'YearB-AppDetails Current Date'!I:I,"SUMMER"))), "")</f>
        <v/>
      </c>
      <c r="L162" s="74" t="str" cm="1">
        <f t="array" ref="L162">IFERROR(1/(1/SUM(COUNTIFS(
'YearB-AppDetails Current Date'!A:A,D162,
'YearB-AppDetails Current Date'!F:F,E162,
'YearB-AppDetails Current Date'!E:E,--F162,
'YearB-AppDetails Current Date'!T:T,{"APEX","DENY","NTSL"},
'YearB-AppDetails Current Date'!I:I,"SUMMER"))), "")</f>
        <v/>
      </c>
      <c r="M162" s="74" t="str" cm="1">
        <f t="array" ref="M162">IFERROR(1/(1/SUM(COUNTIFS(
'YearB-AppDetails Current Date'!A:A,D162,
'YearB-AppDetails Current Date'!F:F,E162,
'YearB-AppDetails Current Date'!E:E,--F162,
'YearB-AppDetails Current Date'!U:U,{"CCAN","DECL"},
'YearB-AppDetails Current Date'!I:I,"SUMMER"))), "")</f>
        <v/>
      </c>
      <c r="N162" s="74" t="str" cm="1">
        <f t="array" ref="N162">IFERROR(1/(1/SUM(COUNTIFS(
'YearB-AppDetails Current Date'!A:A,D162,
'YearB-AppDetails Current Date'!F:F,E162,
'YearB-AppDetails Current Date'!E:E,--F162,
'YearB-AppDetails Current Date'!V:V,{"APRO","NODE"},
'YearB-AppDetails Current Date'!I:I,"SUMMER"))), "")</f>
        <v/>
      </c>
      <c r="O162" s="74" t="str" cm="1">
        <f t="array" ref="O162">IFERROR(1/(1/SUM(COUNTIFS(
'YearB-AppDetails Current Date'!A:A,D162,
'YearB-AppDetails Current Date'!F:F,E162,
'YearB-AppDetails Current Date'!E:E,--F162,
'YearB-AppDetails Current Date'!T:T,{"CDMT","RQMT","WAIT"},
'YearB-AppDetails Current Date'!I:I,"SUMMER"))), "")</f>
        <v/>
      </c>
      <c r="P162" s="74" t="str">
        <f>IFERROR(1/(1/COUNTIFS(
'YearB-AppDetails Current Date'!A:A,D162,
'YearB-AppDetails Current Date'!F:F,E162,
'YearB-AppDetails Current Date'!E:E,--F162,
'YearB-AppDetails Current Date'!Y:Y,"ENRO",
'YearB-AppDetails Current Date'!I:I,"SUMMER")),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HC'!D:T,10,FALSE)),
N(VLOOKUP(D163&amp;F163,'Budgeted Projections Intl HC'!D:T,11,FALSE))
)
),"")</f>
        <v/>
      </c>
      <c r="I163" s="73" t="str">
        <f>IFERROR(1/(1/COUNTIFS(
'YearB-AppDetails Current Date'!A:A,D163,
'YearB-AppDetails Current Date'!F:F,E163,
'YearB-AppDetails Current Date'!E:E,--F163,
'YearB-AppDetails Current Date'!I:I,"SUMMER")), "")</f>
        <v/>
      </c>
      <c r="J163" s="74" t="str" cm="1">
        <f t="array" ref="J163">IFERROR(1/(1/SUM(COUNTIFS(
'YearB-AppDetails Current Date'!A:A,D163,
'YearB-AppDetails Current Date'!F:F,E163,
'YearB-AppDetails Current Date'!E:E,--F163,
'YearB-AppDetails Current Date'!O:O,{"ACLN","ACPT","COND"},
'YearB-AppDetails Current Date'!S:S,"&lt;&gt;ACLN",
'YearB-AppDetails Current Date'!S:S,"&lt;&gt;ACPT",
'YearB-AppDetails Current Date'!S:S,"&lt;&gt;COND",
'YearB-AppDetails Current Date'!I:I,"SUMMER"))), "")</f>
        <v/>
      </c>
      <c r="K163" s="73" t="str">
        <f>IFERROR(1/(1/SUM(COUNTIFS(
'YearB-AppDetails Current Date'!A:A,D163,
'YearB-AppDetails Current Date'!F:F,E163,
'YearB-AppDetails Current Date'!E:E,--F163,
'YearB-AppDetails Current Date'!R:R,"&lt;&gt;"&amp;"",
'YearB-AppDetails Current Date'!I:I,"SUMMER"))), "")</f>
        <v/>
      </c>
      <c r="L163" s="74" t="str" cm="1">
        <f t="array" ref="L163">IFERROR(1/(1/SUM(COUNTIFS(
'YearB-AppDetails Current Date'!A:A,D163,
'YearB-AppDetails Current Date'!F:F,E163,
'YearB-AppDetails Current Date'!E:E,--F163,
'YearB-AppDetails Current Date'!T:T,{"APEX","DENY","NTSL"},
'YearB-AppDetails Current Date'!I:I,"SUMMER"))), "")</f>
        <v/>
      </c>
      <c r="M163" s="74" t="str" cm="1">
        <f t="array" ref="M163">IFERROR(1/(1/SUM(COUNTIFS(
'YearB-AppDetails Current Date'!A:A,D163,
'YearB-AppDetails Current Date'!F:F,E163,
'YearB-AppDetails Current Date'!E:E,--F163,
'YearB-AppDetails Current Date'!U:U,{"CCAN","DECL"},
'YearB-AppDetails Current Date'!I:I,"SUMMER"))), "")</f>
        <v/>
      </c>
      <c r="N163" s="74" t="str" cm="1">
        <f t="array" ref="N163">IFERROR(1/(1/SUM(COUNTIFS(
'YearB-AppDetails Current Date'!A:A,D163,
'YearB-AppDetails Current Date'!F:F,E163,
'YearB-AppDetails Current Date'!E:E,--F163,
'YearB-AppDetails Current Date'!V:V,{"APRO","NODE"},
'YearB-AppDetails Current Date'!I:I,"SUMMER"))), "")</f>
        <v/>
      </c>
      <c r="O163" s="74" t="str" cm="1">
        <f t="array" ref="O163">IFERROR(1/(1/SUM(COUNTIFS(
'YearB-AppDetails Current Date'!A:A,D163,
'YearB-AppDetails Current Date'!F:F,E163,
'YearB-AppDetails Current Date'!E:E,--F163,
'YearB-AppDetails Current Date'!T:T,{"CDMT","RQMT","WAIT"},
'YearB-AppDetails Current Date'!I:I,"SUMMER"))), "")</f>
        <v/>
      </c>
      <c r="P163" s="74" t="str">
        <f>IFERROR(1/(1/COUNTIFS(
'YearB-AppDetails Current Date'!A:A,D163,
'YearB-AppDetails Current Date'!F:F,E163,
'YearB-AppDetails Current Date'!E:E,--F163,
'YearB-AppDetails Current Date'!Y:Y,"ENRO",
'YearB-AppDetails Current Date'!I:I,"SUMMER")),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HC'!D:T,10,FALSE)),
N(VLOOKUP(D164&amp;F164,'Budgeted Projections Dom HC'!D:T,11,FALSE))
)
),"")</f>
        <v/>
      </c>
      <c r="I164" s="73" t="str">
        <f>IFERROR(1/(1/COUNTIFS(
'YearB-AppDetails Current Date'!A:A,D164,
'YearB-AppDetails Current Date'!F:F,E164,
'YearB-AppDetails Current Date'!E:E,--F164,
'YearB-AppDetails Current Date'!I:I,"SUMMER")), "")</f>
        <v/>
      </c>
      <c r="J164" s="74" t="str" cm="1">
        <f t="array" ref="J164">IFERROR(1/(1/SUM(COUNTIFS(
'YearB-AppDetails Current Date'!A:A,D164,
'YearB-AppDetails Current Date'!F:F,E164,
'YearB-AppDetails Current Date'!E:E,--F164,
'YearB-AppDetails Current Date'!O:O,{"ACLN","ACPT","COND"},
'YearB-AppDetails Current Date'!S:S,"&lt;&gt;ACLN",
'YearB-AppDetails Current Date'!S:S,"&lt;&gt;ACPT",
'YearB-AppDetails Current Date'!S:S,"&lt;&gt;COND",
'YearB-AppDetails Current Date'!I:I,"SUMMER"))), "")</f>
        <v/>
      </c>
      <c r="K164" s="73" t="str">
        <f>IFERROR(1/(1/SUM(COUNTIFS(
'YearB-AppDetails Current Date'!A:A,D164,
'YearB-AppDetails Current Date'!F:F,E164,
'YearB-AppDetails Current Date'!E:E,--F164,
'YearB-AppDetails Current Date'!R:R,"&lt;&gt;"&amp;"",
'YearB-AppDetails Current Date'!I:I,"SUMMER"))), "")</f>
        <v/>
      </c>
      <c r="L164" s="74" t="str" cm="1">
        <f t="array" ref="L164">IFERROR(1/(1/SUM(COUNTIFS(
'YearB-AppDetails Current Date'!A:A,D164,
'YearB-AppDetails Current Date'!F:F,E164,
'YearB-AppDetails Current Date'!E:E,--F164,
'YearB-AppDetails Current Date'!T:T,{"APEX","DENY","NTSL"},
'YearB-AppDetails Current Date'!I:I,"SUMMER"))), "")</f>
        <v/>
      </c>
      <c r="M164" s="74" t="str" cm="1">
        <f t="array" ref="M164">IFERROR(1/(1/SUM(COUNTIFS(
'YearB-AppDetails Current Date'!A:A,D164,
'YearB-AppDetails Current Date'!F:F,E164,
'YearB-AppDetails Current Date'!E:E,--F164,
'YearB-AppDetails Current Date'!U:U,{"CCAN","DECL"},
'YearB-AppDetails Current Date'!I:I,"SUMMER"))), "")</f>
        <v/>
      </c>
      <c r="N164" s="74" t="str" cm="1">
        <f t="array" ref="N164">IFERROR(1/(1/SUM(COUNTIFS(
'YearB-AppDetails Current Date'!A:A,D164,
'YearB-AppDetails Current Date'!F:F,E164,
'YearB-AppDetails Current Date'!E:E,--F164,
'YearB-AppDetails Current Date'!V:V,{"APRO","NODE"},
'YearB-AppDetails Current Date'!I:I,"SUMMER"))), "")</f>
        <v/>
      </c>
      <c r="O164" s="74" t="str" cm="1">
        <f t="array" ref="O164">IFERROR(1/(1/SUM(COUNTIFS(
'YearB-AppDetails Current Date'!A:A,D164,
'YearB-AppDetails Current Date'!F:F,E164,
'YearB-AppDetails Current Date'!E:E,--F164,
'YearB-AppDetails Current Date'!T:T,{"CDMT","RQMT","WAIT"},
'YearB-AppDetails Current Date'!I:I,"SUMMER"))), "")</f>
        <v/>
      </c>
      <c r="P164" s="74" t="str">
        <f>IFERROR(1/(1/COUNTIFS(
'YearB-AppDetails Current Date'!A:A,D164,
'YearB-AppDetails Current Date'!F:F,E164,
'YearB-AppDetails Current Date'!E:E,--F164,
'YearB-AppDetails Current Date'!Y:Y,"ENRO",
'YearB-AppDetails Current Date'!I:I,"SUMMER")),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HC'!D:T,10,FALSE)),
N(VLOOKUP(D165&amp;F165,'Budgeted Projections Intl HC'!D:T,11,FALSE))
)
),"")</f>
        <v/>
      </c>
      <c r="I165" s="73" t="str">
        <f>IFERROR(1/(1/COUNTIFS(
'YearB-AppDetails Current Date'!A:A,D165,
'YearB-AppDetails Current Date'!F:F,E165,
'YearB-AppDetails Current Date'!E:E,--F165,
'YearB-AppDetails Current Date'!I:I,"SUMMER")), "")</f>
        <v/>
      </c>
      <c r="J165" s="74" t="str" cm="1">
        <f t="array" ref="J165">IFERROR(1/(1/SUM(COUNTIFS(
'YearB-AppDetails Current Date'!A:A,D165,
'YearB-AppDetails Current Date'!F:F,E165,
'YearB-AppDetails Current Date'!E:E,--F165,
'YearB-AppDetails Current Date'!O:O,{"ACLN","ACPT","COND"},
'YearB-AppDetails Current Date'!S:S,"&lt;&gt;ACLN",
'YearB-AppDetails Current Date'!S:S,"&lt;&gt;ACPT",
'YearB-AppDetails Current Date'!S:S,"&lt;&gt;COND",
'YearB-AppDetails Current Date'!I:I,"SUMMER"))), "")</f>
        <v/>
      </c>
      <c r="K165" s="73" t="str">
        <f>IFERROR(1/(1/SUM(COUNTIFS(
'YearB-AppDetails Current Date'!A:A,D165,
'YearB-AppDetails Current Date'!F:F,E165,
'YearB-AppDetails Current Date'!E:E,--F165,
'YearB-AppDetails Current Date'!R:R,"&lt;&gt;"&amp;"",
'YearB-AppDetails Current Date'!I:I,"SUMMER"))), "")</f>
        <v/>
      </c>
      <c r="L165" s="74" t="str" cm="1">
        <f t="array" ref="L165">IFERROR(1/(1/SUM(COUNTIFS(
'YearB-AppDetails Current Date'!A:A,D165,
'YearB-AppDetails Current Date'!F:F,E165,
'YearB-AppDetails Current Date'!E:E,--F165,
'YearB-AppDetails Current Date'!T:T,{"APEX","DENY","NTSL"},
'YearB-AppDetails Current Date'!I:I,"SUMMER"))), "")</f>
        <v/>
      </c>
      <c r="M165" s="74" t="str" cm="1">
        <f t="array" ref="M165">IFERROR(1/(1/SUM(COUNTIFS(
'YearB-AppDetails Current Date'!A:A,D165,
'YearB-AppDetails Current Date'!F:F,E165,
'YearB-AppDetails Current Date'!E:E,--F165,
'YearB-AppDetails Current Date'!U:U,{"CCAN","DECL"},
'YearB-AppDetails Current Date'!I:I,"SUMMER"))), "")</f>
        <v/>
      </c>
      <c r="N165" s="74" t="str" cm="1">
        <f t="array" ref="N165">IFERROR(1/(1/SUM(COUNTIFS(
'YearB-AppDetails Current Date'!A:A,D165,
'YearB-AppDetails Current Date'!F:F,E165,
'YearB-AppDetails Current Date'!E:E,--F165,
'YearB-AppDetails Current Date'!V:V,{"APRO","NODE"},
'YearB-AppDetails Current Date'!I:I,"SUMMER"))), "")</f>
        <v/>
      </c>
      <c r="O165" s="74" t="str" cm="1">
        <f t="array" ref="O165">IFERROR(1/(1/SUM(COUNTIFS(
'YearB-AppDetails Current Date'!A:A,D165,
'YearB-AppDetails Current Date'!F:F,E165,
'YearB-AppDetails Current Date'!E:E,--F165,
'YearB-AppDetails Current Date'!T:T,{"CDMT","RQMT","WAIT"},
'YearB-AppDetails Current Date'!I:I,"SUMMER"))), "")</f>
        <v/>
      </c>
      <c r="P165" s="74" t="str">
        <f>IFERROR(1/(1/COUNTIFS(
'YearB-AppDetails Current Date'!A:A,D165,
'YearB-AppDetails Current Date'!F:F,E165,
'YearB-AppDetails Current Date'!E:E,--F165,
'YearB-AppDetails Current Date'!Y:Y,"ENRO",
'YearB-AppDetails Current Date'!I:I,"SUMMER")),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HC'!D:T,10,FALSE)),
N(VLOOKUP(D166&amp;F166,'Budgeted Projections Dom HC'!D:T,11,FALSE))
)
),"")</f>
        <v/>
      </c>
      <c r="I166" s="73" t="str">
        <f>IFERROR(1/(1/COUNTIFS(
'YearB-AppDetails Current Date'!A:A,D166,
'YearB-AppDetails Current Date'!F:F,E166,
'YearB-AppDetails Current Date'!E:E,--F166,
'YearB-AppDetails Current Date'!I:I,"SUMMER")), "")</f>
        <v/>
      </c>
      <c r="J166" s="74" t="str" cm="1">
        <f t="array" ref="J166">IFERROR(1/(1/SUM(COUNTIFS(
'YearB-AppDetails Current Date'!A:A,D166,
'YearB-AppDetails Current Date'!F:F,E166,
'YearB-AppDetails Current Date'!E:E,--F166,
'YearB-AppDetails Current Date'!O:O,{"ACLN","ACPT","COND"},
'YearB-AppDetails Current Date'!S:S,"&lt;&gt;ACLN",
'YearB-AppDetails Current Date'!S:S,"&lt;&gt;ACPT",
'YearB-AppDetails Current Date'!S:S,"&lt;&gt;COND",
'YearB-AppDetails Current Date'!I:I,"SUMMER"))), "")</f>
        <v/>
      </c>
      <c r="K166" s="73" t="str">
        <f>IFERROR(1/(1/SUM(COUNTIFS(
'YearB-AppDetails Current Date'!A:A,D166,
'YearB-AppDetails Current Date'!F:F,E166,
'YearB-AppDetails Current Date'!E:E,--F166,
'YearB-AppDetails Current Date'!R:R,"&lt;&gt;"&amp;"",
'YearB-AppDetails Current Date'!I:I,"SUMMER"))), "")</f>
        <v/>
      </c>
      <c r="L166" s="74" t="str" cm="1">
        <f t="array" ref="L166">IFERROR(1/(1/SUM(COUNTIFS(
'YearB-AppDetails Current Date'!A:A,D166,
'YearB-AppDetails Current Date'!F:F,E166,
'YearB-AppDetails Current Date'!E:E,--F166,
'YearB-AppDetails Current Date'!T:T,{"APEX","DENY","NTSL"},
'YearB-AppDetails Current Date'!I:I,"SUMMER"))), "")</f>
        <v/>
      </c>
      <c r="M166" s="74" t="str" cm="1">
        <f t="array" ref="M166">IFERROR(1/(1/SUM(COUNTIFS(
'YearB-AppDetails Current Date'!A:A,D166,
'YearB-AppDetails Current Date'!F:F,E166,
'YearB-AppDetails Current Date'!E:E,--F166,
'YearB-AppDetails Current Date'!U:U,{"CCAN","DECL"},
'YearB-AppDetails Current Date'!I:I,"SUMMER"))), "")</f>
        <v/>
      </c>
      <c r="N166" s="74" t="str" cm="1">
        <f t="array" ref="N166">IFERROR(1/(1/SUM(COUNTIFS(
'YearB-AppDetails Current Date'!A:A,D166,
'YearB-AppDetails Current Date'!F:F,E166,
'YearB-AppDetails Current Date'!E:E,--F166,
'YearB-AppDetails Current Date'!V:V,{"APRO","NODE"},
'YearB-AppDetails Current Date'!I:I,"SUMMER"))), "")</f>
        <v/>
      </c>
      <c r="O166" s="74" t="str" cm="1">
        <f t="array" ref="O166">IFERROR(1/(1/SUM(COUNTIFS(
'YearB-AppDetails Current Date'!A:A,D166,
'YearB-AppDetails Current Date'!F:F,E166,
'YearB-AppDetails Current Date'!E:E,--F166,
'YearB-AppDetails Current Date'!T:T,{"CDMT","RQMT","WAIT"},
'YearB-AppDetails Current Date'!I:I,"SUMMER"))), "")</f>
        <v/>
      </c>
      <c r="P166" s="74" t="str">
        <f>IFERROR(1/(1/COUNTIFS(
'YearB-AppDetails Current Date'!A:A,D166,
'YearB-AppDetails Current Date'!F:F,E166,
'YearB-AppDetails Current Date'!E:E,--F166,
'YearB-AppDetails Current Date'!Y:Y,"ENRO",
'YearB-AppDetails Current Date'!I:I,"SUMMER")),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HC'!D:T,10,FALSE)),
N(VLOOKUP(D167&amp;F167,'Budgeted Projections Intl HC'!D:T,11,FALSE))
)
),"")</f>
        <v/>
      </c>
      <c r="I167" s="73" t="str">
        <f>IFERROR(1/(1/COUNTIFS(
'YearB-AppDetails Current Date'!A:A,D167,
'YearB-AppDetails Current Date'!F:F,E167,
'YearB-AppDetails Current Date'!E:E,--F167,
'YearB-AppDetails Current Date'!I:I,"SUMMER")), "")</f>
        <v/>
      </c>
      <c r="J167" s="74" t="str" cm="1">
        <f t="array" ref="J167">IFERROR(1/(1/SUM(COUNTIFS(
'YearB-AppDetails Current Date'!A:A,D167,
'YearB-AppDetails Current Date'!F:F,E167,
'YearB-AppDetails Current Date'!E:E,--F167,
'YearB-AppDetails Current Date'!O:O,{"ACLN","ACPT","COND"},
'YearB-AppDetails Current Date'!S:S,"&lt;&gt;ACLN",
'YearB-AppDetails Current Date'!S:S,"&lt;&gt;ACPT",
'YearB-AppDetails Current Date'!S:S,"&lt;&gt;COND",
'YearB-AppDetails Current Date'!I:I,"SUMMER"))), "")</f>
        <v/>
      </c>
      <c r="K167" s="73" t="str">
        <f>IFERROR(1/(1/SUM(COUNTIFS(
'YearB-AppDetails Current Date'!A:A,D167,
'YearB-AppDetails Current Date'!F:F,E167,
'YearB-AppDetails Current Date'!E:E,--F167,
'YearB-AppDetails Current Date'!R:R,"&lt;&gt;"&amp;"",
'YearB-AppDetails Current Date'!I:I,"SUMMER"))), "")</f>
        <v/>
      </c>
      <c r="L167" s="74" t="str" cm="1">
        <f t="array" ref="L167">IFERROR(1/(1/SUM(COUNTIFS(
'YearB-AppDetails Current Date'!A:A,D167,
'YearB-AppDetails Current Date'!F:F,E167,
'YearB-AppDetails Current Date'!E:E,--F167,
'YearB-AppDetails Current Date'!T:T,{"APEX","DENY","NTSL"},
'YearB-AppDetails Current Date'!I:I,"SUMMER"))), "")</f>
        <v/>
      </c>
      <c r="M167" s="74" t="str" cm="1">
        <f t="array" ref="M167">IFERROR(1/(1/SUM(COUNTIFS(
'YearB-AppDetails Current Date'!A:A,D167,
'YearB-AppDetails Current Date'!F:F,E167,
'YearB-AppDetails Current Date'!E:E,--F167,
'YearB-AppDetails Current Date'!U:U,{"CCAN","DECL"},
'YearB-AppDetails Current Date'!I:I,"SUMMER"))), "")</f>
        <v/>
      </c>
      <c r="N167" s="74" t="str" cm="1">
        <f t="array" ref="N167">IFERROR(1/(1/SUM(COUNTIFS(
'YearB-AppDetails Current Date'!A:A,D167,
'YearB-AppDetails Current Date'!F:F,E167,
'YearB-AppDetails Current Date'!E:E,--F167,
'YearB-AppDetails Current Date'!V:V,{"APRO","NODE"},
'YearB-AppDetails Current Date'!I:I,"SUMMER"))), "")</f>
        <v/>
      </c>
      <c r="O167" s="74" t="str" cm="1">
        <f t="array" ref="O167">IFERROR(1/(1/SUM(COUNTIFS(
'YearB-AppDetails Current Date'!A:A,D167,
'YearB-AppDetails Current Date'!F:F,E167,
'YearB-AppDetails Current Date'!E:E,--F167,
'YearB-AppDetails Current Date'!T:T,{"CDMT","RQMT","WAIT"},
'YearB-AppDetails Current Date'!I:I,"SUMMER"))), "")</f>
        <v/>
      </c>
      <c r="P167" s="74" t="str">
        <f>IFERROR(1/(1/COUNTIFS(
'YearB-AppDetails Current Date'!A:A,D167,
'YearB-AppDetails Current Date'!F:F,E167,
'YearB-AppDetails Current Date'!E:E,--F167,
'YearB-AppDetails Current Date'!Y:Y,"ENRO",
'YearB-AppDetails Current Date'!I:I,"SUMMER")),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HC'!D:T,10,FALSE)),
N(VLOOKUP(D168&amp;F168,'Budgeted Projections Dom HC'!D:T,11,FALSE))
)
),"")</f>
        <v/>
      </c>
      <c r="I168" s="73" t="str">
        <f>IFERROR(1/(1/COUNTIFS(
'YearB-AppDetails Current Date'!A:A,D168,
'YearB-AppDetails Current Date'!F:F,E168,
'YearB-AppDetails Current Date'!E:E,--F168,
'YearB-AppDetails Current Date'!I:I,"SUMMER")), "")</f>
        <v/>
      </c>
      <c r="J168" s="74" t="str" cm="1">
        <f t="array" ref="J168">IFERROR(1/(1/SUM(COUNTIFS(
'YearB-AppDetails Current Date'!A:A,D168,
'YearB-AppDetails Current Date'!F:F,E168,
'YearB-AppDetails Current Date'!E:E,--F168,
'YearB-AppDetails Current Date'!O:O,{"ACLN","ACPT","COND"},
'YearB-AppDetails Current Date'!S:S,"&lt;&gt;ACLN",
'YearB-AppDetails Current Date'!S:S,"&lt;&gt;ACPT",
'YearB-AppDetails Current Date'!S:S,"&lt;&gt;COND",
'YearB-AppDetails Current Date'!I:I,"SUMMER"))), "")</f>
        <v/>
      </c>
      <c r="K168" s="73" t="str">
        <f>IFERROR(1/(1/SUM(COUNTIFS(
'YearB-AppDetails Current Date'!A:A,D168,
'YearB-AppDetails Current Date'!F:F,E168,
'YearB-AppDetails Current Date'!E:E,--F168,
'YearB-AppDetails Current Date'!R:R,"&lt;&gt;"&amp;"",
'YearB-AppDetails Current Date'!I:I,"SUMMER"))), "")</f>
        <v/>
      </c>
      <c r="L168" s="74" t="str" cm="1">
        <f t="array" ref="L168">IFERROR(1/(1/SUM(COUNTIFS(
'YearB-AppDetails Current Date'!A:A,D168,
'YearB-AppDetails Current Date'!F:F,E168,
'YearB-AppDetails Current Date'!E:E,--F168,
'YearB-AppDetails Current Date'!T:T,{"APEX","DENY","NTSL"},
'YearB-AppDetails Current Date'!I:I,"SUMMER"))), "")</f>
        <v/>
      </c>
      <c r="M168" s="74" t="str" cm="1">
        <f t="array" ref="M168">IFERROR(1/(1/SUM(COUNTIFS(
'YearB-AppDetails Current Date'!A:A,D168,
'YearB-AppDetails Current Date'!F:F,E168,
'YearB-AppDetails Current Date'!E:E,--F168,
'YearB-AppDetails Current Date'!U:U,{"CCAN","DECL"},
'YearB-AppDetails Current Date'!I:I,"SUMMER"))), "")</f>
        <v/>
      </c>
      <c r="N168" s="74" t="str" cm="1">
        <f t="array" ref="N168">IFERROR(1/(1/SUM(COUNTIFS(
'YearB-AppDetails Current Date'!A:A,D168,
'YearB-AppDetails Current Date'!F:F,E168,
'YearB-AppDetails Current Date'!E:E,--F168,
'YearB-AppDetails Current Date'!V:V,{"APRO","NODE"},
'YearB-AppDetails Current Date'!I:I,"SUMMER"))), "")</f>
        <v/>
      </c>
      <c r="O168" s="74" t="str" cm="1">
        <f t="array" ref="O168">IFERROR(1/(1/SUM(COUNTIFS(
'YearB-AppDetails Current Date'!A:A,D168,
'YearB-AppDetails Current Date'!F:F,E168,
'YearB-AppDetails Current Date'!E:E,--F168,
'YearB-AppDetails Current Date'!T:T,{"CDMT","RQMT","WAIT"},
'YearB-AppDetails Current Date'!I:I,"SUMMER"))), "")</f>
        <v/>
      </c>
      <c r="P168" s="74" t="str">
        <f>IFERROR(1/(1/COUNTIFS(
'YearB-AppDetails Current Date'!A:A,D168,
'YearB-AppDetails Current Date'!F:F,E168,
'YearB-AppDetails Current Date'!E:E,--F168,
'YearB-AppDetails Current Date'!Y:Y,"ENRO",
'YearB-AppDetails Current Date'!I:I,"SUMMER")),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HC'!D:T,10,FALSE)),
N(VLOOKUP(D169&amp;F169,'Budgeted Projections Intl HC'!D:T,11,FALSE))
)
),"")</f>
        <v/>
      </c>
      <c r="I169" s="73" t="str">
        <f>IFERROR(1/(1/COUNTIFS(
'YearB-AppDetails Current Date'!A:A,D169,
'YearB-AppDetails Current Date'!F:F,E169,
'YearB-AppDetails Current Date'!E:E,--F169,
'YearB-AppDetails Current Date'!I:I,"SUMMER")), "")</f>
        <v/>
      </c>
      <c r="J169" s="74" t="str" cm="1">
        <f t="array" ref="J169">IFERROR(1/(1/SUM(COUNTIFS(
'YearB-AppDetails Current Date'!A:A,D169,
'YearB-AppDetails Current Date'!F:F,E169,
'YearB-AppDetails Current Date'!E:E,--F169,
'YearB-AppDetails Current Date'!O:O,{"ACLN","ACPT","COND"},
'YearB-AppDetails Current Date'!S:S,"&lt;&gt;ACLN",
'YearB-AppDetails Current Date'!S:S,"&lt;&gt;ACPT",
'YearB-AppDetails Current Date'!S:S,"&lt;&gt;COND",
'YearB-AppDetails Current Date'!I:I,"SUMMER"))), "")</f>
        <v/>
      </c>
      <c r="K169" s="73" t="str">
        <f>IFERROR(1/(1/SUM(COUNTIFS(
'YearB-AppDetails Current Date'!A:A,D169,
'YearB-AppDetails Current Date'!F:F,E169,
'YearB-AppDetails Current Date'!E:E,--F169,
'YearB-AppDetails Current Date'!R:R,"&lt;&gt;"&amp;"",
'YearB-AppDetails Current Date'!I:I,"SUMMER"))), "")</f>
        <v/>
      </c>
      <c r="L169" s="74" t="str" cm="1">
        <f t="array" ref="L169">IFERROR(1/(1/SUM(COUNTIFS(
'YearB-AppDetails Current Date'!A:A,D169,
'YearB-AppDetails Current Date'!F:F,E169,
'YearB-AppDetails Current Date'!E:E,--F169,
'YearB-AppDetails Current Date'!T:T,{"APEX","DENY","NTSL"},
'YearB-AppDetails Current Date'!I:I,"SUMMER"))), "")</f>
        <v/>
      </c>
      <c r="M169" s="74" t="str" cm="1">
        <f t="array" ref="M169">IFERROR(1/(1/SUM(COUNTIFS(
'YearB-AppDetails Current Date'!A:A,D169,
'YearB-AppDetails Current Date'!F:F,E169,
'YearB-AppDetails Current Date'!E:E,--F169,
'YearB-AppDetails Current Date'!U:U,{"CCAN","DECL"},
'YearB-AppDetails Current Date'!I:I,"SUMMER"))), "")</f>
        <v/>
      </c>
      <c r="N169" s="74" t="str" cm="1">
        <f t="array" ref="N169">IFERROR(1/(1/SUM(COUNTIFS(
'YearB-AppDetails Current Date'!A:A,D169,
'YearB-AppDetails Current Date'!F:F,E169,
'YearB-AppDetails Current Date'!E:E,--F169,
'YearB-AppDetails Current Date'!V:V,{"APRO","NODE"},
'YearB-AppDetails Current Date'!I:I,"SUMMER"))), "")</f>
        <v/>
      </c>
      <c r="O169" s="74" t="str" cm="1">
        <f t="array" ref="O169">IFERROR(1/(1/SUM(COUNTIFS(
'YearB-AppDetails Current Date'!A:A,D169,
'YearB-AppDetails Current Date'!F:F,E169,
'YearB-AppDetails Current Date'!E:E,--F169,
'YearB-AppDetails Current Date'!T:T,{"CDMT","RQMT","WAIT"},
'YearB-AppDetails Current Date'!I:I,"SUMMER"))), "")</f>
        <v/>
      </c>
      <c r="P169" s="74" t="str">
        <f>IFERROR(1/(1/COUNTIFS(
'YearB-AppDetails Current Date'!A:A,D169,
'YearB-AppDetails Current Date'!F:F,E169,
'YearB-AppDetails Current Date'!E:E,--F169,
'YearB-AppDetails Current Date'!Y:Y,"ENRO",
'YearB-AppDetails Current Date'!I:I,"SUMMER")),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HC'!D:T,10,FALSE)),
N(VLOOKUP(D170&amp;F170,'Budgeted Projections Dom HC'!D:T,11,FALSE))
)
),"")</f>
        <v/>
      </c>
      <c r="I170" s="73" t="str">
        <f>IFERROR(1/(1/COUNTIFS(
'YearB-AppDetails Current Date'!A:A,D170,
'YearB-AppDetails Current Date'!F:F,E170,
'YearB-AppDetails Current Date'!E:E,--F170,
'YearB-AppDetails Current Date'!I:I,"SUMMER")), "")</f>
        <v/>
      </c>
      <c r="J170" s="74" t="str" cm="1">
        <f t="array" ref="J170">IFERROR(1/(1/SUM(COUNTIFS(
'YearB-AppDetails Current Date'!A:A,D170,
'YearB-AppDetails Current Date'!F:F,E170,
'YearB-AppDetails Current Date'!E:E,--F170,
'YearB-AppDetails Current Date'!O:O,{"ACLN","ACPT","COND"},
'YearB-AppDetails Current Date'!S:S,"&lt;&gt;ACLN",
'YearB-AppDetails Current Date'!S:S,"&lt;&gt;ACPT",
'YearB-AppDetails Current Date'!S:S,"&lt;&gt;COND",
'YearB-AppDetails Current Date'!I:I,"SUMMER"))), "")</f>
        <v/>
      </c>
      <c r="K170" s="73" t="str">
        <f>IFERROR(1/(1/SUM(COUNTIFS(
'YearB-AppDetails Current Date'!A:A,D170,
'YearB-AppDetails Current Date'!F:F,E170,
'YearB-AppDetails Current Date'!E:E,--F170,
'YearB-AppDetails Current Date'!R:R,"&lt;&gt;"&amp;"",
'YearB-AppDetails Current Date'!I:I,"SUMMER"))), "")</f>
        <v/>
      </c>
      <c r="L170" s="74" t="str" cm="1">
        <f t="array" ref="L170">IFERROR(1/(1/SUM(COUNTIFS(
'YearB-AppDetails Current Date'!A:A,D170,
'YearB-AppDetails Current Date'!F:F,E170,
'YearB-AppDetails Current Date'!E:E,--F170,
'YearB-AppDetails Current Date'!T:T,{"APEX","DENY","NTSL"},
'YearB-AppDetails Current Date'!I:I,"SUMMER"))), "")</f>
        <v/>
      </c>
      <c r="M170" s="74" t="str" cm="1">
        <f t="array" ref="M170">IFERROR(1/(1/SUM(COUNTIFS(
'YearB-AppDetails Current Date'!A:A,D170,
'YearB-AppDetails Current Date'!F:F,E170,
'YearB-AppDetails Current Date'!E:E,--F170,
'YearB-AppDetails Current Date'!U:U,{"CCAN","DECL"},
'YearB-AppDetails Current Date'!I:I,"SUMMER"))), "")</f>
        <v/>
      </c>
      <c r="N170" s="74" t="str" cm="1">
        <f t="array" ref="N170">IFERROR(1/(1/SUM(COUNTIFS(
'YearB-AppDetails Current Date'!A:A,D170,
'YearB-AppDetails Current Date'!F:F,E170,
'YearB-AppDetails Current Date'!E:E,--F170,
'YearB-AppDetails Current Date'!V:V,{"APRO","NODE"},
'YearB-AppDetails Current Date'!I:I,"SUMMER"))), "")</f>
        <v/>
      </c>
      <c r="O170" s="74" t="str" cm="1">
        <f t="array" ref="O170">IFERROR(1/(1/SUM(COUNTIFS(
'YearB-AppDetails Current Date'!A:A,D170,
'YearB-AppDetails Current Date'!F:F,E170,
'YearB-AppDetails Current Date'!E:E,--F170,
'YearB-AppDetails Current Date'!T:T,{"CDMT","RQMT","WAIT"},
'YearB-AppDetails Current Date'!I:I,"SUMMER"))), "")</f>
        <v/>
      </c>
      <c r="P170" s="74" t="str">
        <f>IFERROR(1/(1/COUNTIFS(
'YearB-AppDetails Current Date'!A:A,D170,
'YearB-AppDetails Current Date'!F:F,E170,
'YearB-AppDetails Current Date'!E:E,--F170,
'YearB-AppDetails Current Date'!Y:Y,"ENRO",
'YearB-AppDetails Current Date'!I:I,"SUMMER")),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HC'!D:T,10,FALSE)),
N(VLOOKUP(D171&amp;F171,'Budgeted Projections Intl HC'!D:T,11,FALSE))
)
),"")</f>
        <v/>
      </c>
      <c r="I171" s="73" t="str">
        <f>IFERROR(1/(1/COUNTIFS(
'YearB-AppDetails Current Date'!A:A,D171,
'YearB-AppDetails Current Date'!F:F,E171,
'YearB-AppDetails Current Date'!E:E,--F171,
'YearB-AppDetails Current Date'!I:I,"SUMMER")), "")</f>
        <v/>
      </c>
      <c r="J171" s="74" t="str" cm="1">
        <f t="array" ref="J171">IFERROR(1/(1/SUM(COUNTIFS(
'YearB-AppDetails Current Date'!A:A,D171,
'YearB-AppDetails Current Date'!F:F,E171,
'YearB-AppDetails Current Date'!E:E,--F171,
'YearB-AppDetails Current Date'!O:O,{"ACLN","ACPT","COND"},
'YearB-AppDetails Current Date'!S:S,"&lt;&gt;ACLN",
'YearB-AppDetails Current Date'!S:S,"&lt;&gt;ACPT",
'YearB-AppDetails Current Date'!S:S,"&lt;&gt;COND",
'YearB-AppDetails Current Date'!I:I,"SUMMER"))), "")</f>
        <v/>
      </c>
      <c r="K171" s="73" t="str">
        <f>IFERROR(1/(1/SUM(COUNTIFS(
'YearB-AppDetails Current Date'!A:A,D171,
'YearB-AppDetails Current Date'!F:F,E171,
'YearB-AppDetails Current Date'!E:E,--F171,
'YearB-AppDetails Current Date'!R:R,"&lt;&gt;"&amp;"",
'YearB-AppDetails Current Date'!I:I,"SUMMER"))), "")</f>
        <v/>
      </c>
      <c r="L171" s="74" t="str" cm="1">
        <f t="array" ref="L171">IFERROR(1/(1/SUM(COUNTIFS(
'YearB-AppDetails Current Date'!A:A,D171,
'YearB-AppDetails Current Date'!F:F,E171,
'YearB-AppDetails Current Date'!E:E,--F171,
'YearB-AppDetails Current Date'!T:T,{"APEX","DENY","NTSL"},
'YearB-AppDetails Current Date'!I:I,"SUMMER"))), "")</f>
        <v/>
      </c>
      <c r="M171" s="74" t="str" cm="1">
        <f t="array" ref="M171">IFERROR(1/(1/SUM(COUNTIFS(
'YearB-AppDetails Current Date'!A:A,D171,
'YearB-AppDetails Current Date'!F:F,E171,
'YearB-AppDetails Current Date'!E:E,--F171,
'YearB-AppDetails Current Date'!U:U,{"CCAN","DECL"},
'YearB-AppDetails Current Date'!I:I,"SUMMER"))), "")</f>
        <v/>
      </c>
      <c r="N171" s="74" t="str" cm="1">
        <f t="array" ref="N171">IFERROR(1/(1/SUM(COUNTIFS(
'YearB-AppDetails Current Date'!A:A,D171,
'YearB-AppDetails Current Date'!F:F,E171,
'YearB-AppDetails Current Date'!E:E,--F171,
'YearB-AppDetails Current Date'!V:V,{"APRO","NODE"},
'YearB-AppDetails Current Date'!I:I,"SUMMER"))), "")</f>
        <v/>
      </c>
      <c r="O171" s="74" t="str" cm="1">
        <f t="array" ref="O171">IFERROR(1/(1/SUM(COUNTIFS(
'YearB-AppDetails Current Date'!A:A,D171,
'YearB-AppDetails Current Date'!F:F,E171,
'YearB-AppDetails Current Date'!E:E,--F171,
'YearB-AppDetails Current Date'!T:T,{"CDMT","RQMT","WAIT"},
'YearB-AppDetails Current Date'!I:I,"SUMMER"))), "")</f>
        <v/>
      </c>
      <c r="P171" s="74" t="str">
        <f>IFERROR(1/(1/COUNTIFS(
'YearB-AppDetails Current Date'!A:A,D171,
'YearB-AppDetails Current Date'!F:F,E171,
'YearB-AppDetails Current Date'!E:E,--F171,
'YearB-AppDetails Current Date'!Y:Y,"ENRO",
'YearB-AppDetails Current Date'!I:I,"SUMMER")),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HC'!D:T,10,FALSE)),
N(VLOOKUP(D172&amp;F172,'Budgeted Projections Dom HC'!D:T,11,FALSE))
)
),"")</f>
        <v/>
      </c>
      <c r="I172" s="73" t="str">
        <f>IFERROR(1/(1/COUNTIFS(
'YearB-AppDetails Current Date'!A:A,D172,
'YearB-AppDetails Current Date'!F:F,E172,
'YearB-AppDetails Current Date'!E:E,--F172,
'YearB-AppDetails Current Date'!I:I,"SUMMER")), "")</f>
        <v/>
      </c>
      <c r="J172" s="74" t="str" cm="1">
        <f t="array" ref="J172">IFERROR(1/(1/SUM(COUNTIFS(
'YearB-AppDetails Current Date'!A:A,D172,
'YearB-AppDetails Current Date'!F:F,E172,
'YearB-AppDetails Current Date'!E:E,--F172,
'YearB-AppDetails Current Date'!O:O,{"ACLN","ACPT","COND"},
'YearB-AppDetails Current Date'!S:S,"&lt;&gt;ACLN",
'YearB-AppDetails Current Date'!S:S,"&lt;&gt;ACPT",
'YearB-AppDetails Current Date'!S:S,"&lt;&gt;COND",
'YearB-AppDetails Current Date'!I:I,"SUMMER"))), "")</f>
        <v/>
      </c>
      <c r="K172" s="73" t="str">
        <f>IFERROR(1/(1/SUM(COUNTIFS(
'YearB-AppDetails Current Date'!A:A,D172,
'YearB-AppDetails Current Date'!F:F,E172,
'YearB-AppDetails Current Date'!E:E,--F172,
'YearB-AppDetails Current Date'!R:R,"&lt;&gt;"&amp;"",
'YearB-AppDetails Current Date'!I:I,"SUMMER"))), "")</f>
        <v/>
      </c>
      <c r="L172" s="74" t="str" cm="1">
        <f t="array" ref="L172">IFERROR(1/(1/SUM(COUNTIFS(
'YearB-AppDetails Current Date'!A:A,D172,
'YearB-AppDetails Current Date'!F:F,E172,
'YearB-AppDetails Current Date'!E:E,--F172,
'YearB-AppDetails Current Date'!T:T,{"APEX","DENY","NTSL"},
'YearB-AppDetails Current Date'!I:I,"SUMMER"))), "")</f>
        <v/>
      </c>
      <c r="M172" s="74" t="str" cm="1">
        <f t="array" ref="M172">IFERROR(1/(1/SUM(COUNTIFS(
'YearB-AppDetails Current Date'!A:A,D172,
'YearB-AppDetails Current Date'!F:F,E172,
'YearB-AppDetails Current Date'!E:E,--F172,
'YearB-AppDetails Current Date'!U:U,{"CCAN","DECL"},
'YearB-AppDetails Current Date'!I:I,"SUMMER"))), "")</f>
        <v/>
      </c>
      <c r="N172" s="74" t="str" cm="1">
        <f t="array" ref="N172">IFERROR(1/(1/SUM(COUNTIFS(
'YearB-AppDetails Current Date'!A:A,D172,
'YearB-AppDetails Current Date'!F:F,E172,
'YearB-AppDetails Current Date'!E:E,--F172,
'YearB-AppDetails Current Date'!V:V,{"APRO","NODE"},
'YearB-AppDetails Current Date'!I:I,"SUMMER"))), "")</f>
        <v/>
      </c>
      <c r="O172" s="74" t="str" cm="1">
        <f t="array" ref="O172">IFERROR(1/(1/SUM(COUNTIFS(
'YearB-AppDetails Current Date'!A:A,D172,
'YearB-AppDetails Current Date'!F:F,E172,
'YearB-AppDetails Current Date'!E:E,--F172,
'YearB-AppDetails Current Date'!T:T,{"CDMT","RQMT","WAIT"},
'YearB-AppDetails Current Date'!I:I,"SUMMER"))), "")</f>
        <v/>
      </c>
      <c r="P172" s="74" t="str">
        <f>IFERROR(1/(1/COUNTIFS(
'YearB-AppDetails Current Date'!A:A,D172,
'YearB-AppDetails Current Date'!F:F,E172,
'YearB-AppDetails Current Date'!E:E,--F172,
'YearB-AppDetails Current Date'!Y:Y,"ENRO",
'YearB-AppDetails Current Date'!I:I,"SUMMER")),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HC'!D:T,10,FALSE)),
N(VLOOKUP(D173&amp;F173,'Budgeted Projections Intl HC'!D:T,11,FALSE))
)
),"")</f>
        <v/>
      </c>
      <c r="I173" s="73" t="str">
        <f>IFERROR(1/(1/COUNTIFS(
'YearB-AppDetails Current Date'!A:A,D173,
'YearB-AppDetails Current Date'!F:F,E173,
'YearB-AppDetails Current Date'!E:E,--F173,
'YearB-AppDetails Current Date'!I:I,"SUMMER")), "")</f>
        <v/>
      </c>
      <c r="J173" s="74" t="str" cm="1">
        <f t="array" ref="J173">IFERROR(1/(1/SUM(COUNTIFS(
'YearB-AppDetails Current Date'!A:A,D173,
'YearB-AppDetails Current Date'!F:F,E173,
'YearB-AppDetails Current Date'!E:E,--F173,
'YearB-AppDetails Current Date'!O:O,{"ACLN","ACPT","COND"},
'YearB-AppDetails Current Date'!S:S,"&lt;&gt;ACLN",
'YearB-AppDetails Current Date'!S:S,"&lt;&gt;ACPT",
'YearB-AppDetails Current Date'!S:S,"&lt;&gt;COND",
'YearB-AppDetails Current Date'!I:I,"SUMMER"))), "")</f>
        <v/>
      </c>
      <c r="K173" s="73" t="str">
        <f>IFERROR(1/(1/SUM(COUNTIFS(
'YearB-AppDetails Current Date'!A:A,D173,
'YearB-AppDetails Current Date'!F:F,E173,
'YearB-AppDetails Current Date'!E:E,--F173,
'YearB-AppDetails Current Date'!R:R,"&lt;&gt;"&amp;"",
'YearB-AppDetails Current Date'!I:I,"SUMMER"))), "")</f>
        <v/>
      </c>
      <c r="L173" s="74" t="str" cm="1">
        <f t="array" ref="L173">IFERROR(1/(1/SUM(COUNTIFS(
'YearB-AppDetails Current Date'!A:A,D173,
'YearB-AppDetails Current Date'!F:F,E173,
'YearB-AppDetails Current Date'!E:E,--F173,
'YearB-AppDetails Current Date'!T:T,{"APEX","DENY","NTSL"},
'YearB-AppDetails Current Date'!I:I,"SUMMER"))), "")</f>
        <v/>
      </c>
      <c r="M173" s="74" t="str" cm="1">
        <f t="array" ref="M173">IFERROR(1/(1/SUM(COUNTIFS(
'YearB-AppDetails Current Date'!A:A,D173,
'YearB-AppDetails Current Date'!F:F,E173,
'YearB-AppDetails Current Date'!E:E,--F173,
'YearB-AppDetails Current Date'!U:U,{"CCAN","DECL"},
'YearB-AppDetails Current Date'!I:I,"SUMMER"))), "")</f>
        <v/>
      </c>
      <c r="N173" s="74" t="str" cm="1">
        <f t="array" ref="N173">IFERROR(1/(1/SUM(COUNTIFS(
'YearB-AppDetails Current Date'!A:A,D173,
'YearB-AppDetails Current Date'!F:F,E173,
'YearB-AppDetails Current Date'!E:E,--F173,
'YearB-AppDetails Current Date'!V:V,{"APRO","NODE"},
'YearB-AppDetails Current Date'!I:I,"SUMMER"))), "")</f>
        <v/>
      </c>
      <c r="O173" s="74" t="str" cm="1">
        <f t="array" ref="O173">IFERROR(1/(1/SUM(COUNTIFS(
'YearB-AppDetails Current Date'!A:A,D173,
'YearB-AppDetails Current Date'!F:F,E173,
'YearB-AppDetails Current Date'!E:E,--F173,
'YearB-AppDetails Current Date'!T:T,{"CDMT","RQMT","WAIT"},
'YearB-AppDetails Current Date'!I:I,"SUMMER"))), "")</f>
        <v/>
      </c>
      <c r="P173" s="74" t="str">
        <f>IFERROR(1/(1/COUNTIFS(
'YearB-AppDetails Current Date'!A:A,D173,
'YearB-AppDetails Current Date'!F:F,E173,
'YearB-AppDetails Current Date'!E:E,--F173,
'YearB-AppDetails Current Date'!Y:Y,"ENRO",
'YearB-AppDetails Current Date'!I:I,"SUMMER")),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HC'!D:T,10,FALSE)),
N(VLOOKUP(D174&amp;F174,'Budgeted Projections Dom HC'!D:T,11,FALSE))
)
),"")</f>
        <v/>
      </c>
      <c r="I174" s="73" t="str">
        <f>IFERROR(1/(1/COUNTIFS(
'YearB-AppDetails Current Date'!A:A,D174,
'YearB-AppDetails Current Date'!F:F,E174,
'YearB-AppDetails Current Date'!E:E,--F174,
'YearB-AppDetails Current Date'!I:I,"SUMMER")), "")</f>
        <v/>
      </c>
      <c r="J174" s="74" t="str" cm="1">
        <f t="array" ref="J174">IFERROR(1/(1/SUM(COUNTIFS(
'YearB-AppDetails Current Date'!A:A,D174,
'YearB-AppDetails Current Date'!F:F,E174,
'YearB-AppDetails Current Date'!E:E,--F174,
'YearB-AppDetails Current Date'!O:O,{"ACLN","ACPT","COND"},
'YearB-AppDetails Current Date'!S:S,"&lt;&gt;ACLN",
'YearB-AppDetails Current Date'!S:S,"&lt;&gt;ACPT",
'YearB-AppDetails Current Date'!S:S,"&lt;&gt;COND",
'YearB-AppDetails Current Date'!I:I,"SUMMER"))), "")</f>
        <v/>
      </c>
      <c r="K174" s="73" t="str">
        <f>IFERROR(1/(1/SUM(COUNTIFS(
'YearB-AppDetails Current Date'!A:A,D174,
'YearB-AppDetails Current Date'!F:F,E174,
'YearB-AppDetails Current Date'!E:E,--F174,
'YearB-AppDetails Current Date'!R:R,"&lt;&gt;"&amp;"",
'YearB-AppDetails Current Date'!I:I,"SUMMER"))), "")</f>
        <v/>
      </c>
      <c r="L174" s="74" t="str" cm="1">
        <f t="array" ref="L174">IFERROR(1/(1/SUM(COUNTIFS(
'YearB-AppDetails Current Date'!A:A,D174,
'YearB-AppDetails Current Date'!F:F,E174,
'YearB-AppDetails Current Date'!E:E,--F174,
'YearB-AppDetails Current Date'!T:T,{"APEX","DENY","NTSL"},
'YearB-AppDetails Current Date'!I:I,"SUMMER"))), "")</f>
        <v/>
      </c>
      <c r="M174" s="74" t="str" cm="1">
        <f t="array" ref="M174">IFERROR(1/(1/SUM(COUNTIFS(
'YearB-AppDetails Current Date'!A:A,D174,
'YearB-AppDetails Current Date'!F:F,E174,
'YearB-AppDetails Current Date'!E:E,--F174,
'YearB-AppDetails Current Date'!U:U,{"CCAN","DECL"},
'YearB-AppDetails Current Date'!I:I,"SUMMER"))), "")</f>
        <v/>
      </c>
      <c r="N174" s="74" t="str" cm="1">
        <f t="array" ref="N174">IFERROR(1/(1/SUM(COUNTIFS(
'YearB-AppDetails Current Date'!A:A,D174,
'YearB-AppDetails Current Date'!F:F,E174,
'YearB-AppDetails Current Date'!E:E,--F174,
'YearB-AppDetails Current Date'!V:V,{"APRO","NODE"},
'YearB-AppDetails Current Date'!I:I,"SUMMER"))), "")</f>
        <v/>
      </c>
      <c r="O174" s="74" t="str" cm="1">
        <f t="array" ref="O174">IFERROR(1/(1/SUM(COUNTIFS(
'YearB-AppDetails Current Date'!A:A,D174,
'YearB-AppDetails Current Date'!F:F,E174,
'YearB-AppDetails Current Date'!E:E,--F174,
'YearB-AppDetails Current Date'!T:T,{"CDMT","RQMT","WAIT"},
'YearB-AppDetails Current Date'!I:I,"SUMMER"))), "")</f>
        <v/>
      </c>
      <c r="P174" s="74" t="str">
        <f>IFERROR(1/(1/COUNTIFS(
'YearB-AppDetails Current Date'!A:A,D174,
'YearB-AppDetails Current Date'!F:F,E174,
'YearB-AppDetails Current Date'!E:E,--F174,
'YearB-AppDetails Current Date'!Y:Y,"ENRO",
'YearB-AppDetails Current Date'!I:I,"SUMMER")),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HC'!D:T,10,FALSE)),
N(VLOOKUP(D175&amp;F175,'Budgeted Projections Intl HC'!D:T,11,FALSE))
)
),"")</f>
        <v/>
      </c>
      <c r="I175" s="73" t="str">
        <f>IFERROR(1/(1/COUNTIFS(
'YearB-AppDetails Current Date'!A:A,D175,
'YearB-AppDetails Current Date'!F:F,E175,
'YearB-AppDetails Current Date'!E:E,--F175,
'YearB-AppDetails Current Date'!I:I,"SUMMER")), "")</f>
        <v/>
      </c>
      <c r="J175" s="74" t="str" cm="1">
        <f t="array" ref="J175">IFERROR(1/(1/SUM(COUNTIFS(
'YearB-AppDetails Current Date'!A:A,D175,
'YearB-AppDetails Current Date'!F:F,E175,
'YearB-AppDetails Current Date'!E:E,--F175,
'YearB-AppDetails Current Date'!O:O,{"ACLN","ACPT","COND"},
'YearB-AppDetails Current Date'!S:S,"&lt;&gt;ACLN",
'YearB-AppDetails Current Date'!S:S,"&lt;&gt;ACPT",
'YearB-AppDetails Current Date'!S:S,"&lt;&gt;COND",
'YearB-AppDetails Current Date'!I:I,"SUMMER"))), "")</f>
        <v/>
      </c>
      <c r="K175" s="73" t="str">
        <f>IFERROR(1/(1/SUM(COUNTIFS(
'YearB-AppDetails Current Date'!A:A,D175,
'YearB-AppDetails Current Date'!F:F,E175,
'YearB-AppDetails Current Date'!E:E,--F175,
'YearB-AppDetails Current Date'!R:R,"&lt;&gt;"&amp;"",
'YearB-AppDetails Current Date'!I:I,"SUMMER"))), "")</f>
        <v/>
      </c>
      <c r="L175" s="74" t="str" cm="1">
        <f t="array" ref="L175">IFERROR(1/(1/SUM(COUNTIFS(
'YearB-AppDetails Current Date'!A:A,D175,
'YearB-AppDetails Current Date'!F:F,E175,
'YearB-AppDetails Current Date'!E:E,--F175,
'YearB-AppDetails Current Date'!T:T,{"APEX","DENY","NTSL"},
'YearB-AppDetails Current Date'!I:I,"SUMMER"))), "")</f>
        <v/>
      </c>
      <c r="M175" s="74" t="str" cm="1">
        <f t="array" ref="M175">IFERROR(1/(1/SUM(COUNTIFS(
'YearB-AppDetails Current Date'!A:A,D175,
'YearB-AppDetails Current Date'!F:F,E175,
'YearB-AppDetails Current Date'!E:E,--F175,
'YearB-AppDetails Current Date'!U:U,{"CCAN","DECL"},
'YearB-AppDetails Current Date'!I:I,"SUMMER"))), "")</f>
        <v/>
      </c>
      <c r="N175" s="74" t="str" cm="1">
        <f t="array" ref="N175">IFERROR(1/(1/SUM(COUNTIFS(
'YearB-AppDetails Current Date'!A:A,D175,
'YearB-AppDetails Current Date'!F:F,E175,
'YearB-AppDetails Current Date'!E:E,--F175,
'YearB-AppDetails Current Date'!V:V,{"APRO","NODE"},
'YearB-AppDetails Current Date'!I:I,"SUMMER"))), "")</f>
        <v/>
      </c>
      <c r="O175" s="74" t="str" cm="1">
        <f t="array" ref="O175">IFERROR(1/(1/SUM(COUNTIFS(
'YearB-AppDetails Current Date'!A:A,D175,
'YearB-AppDetails Current Date'!F:F,E175,
'YearB-AppDetails Current Date'!E:E,--F175,
'YearB-AppDetails Current Date'!T:T,{"CDMT","RQMT","WAIT"},
'YearB-AppDetails Current Date'!I:I,"SUMMER"))), "")</f>
        <v/>
      </c>
      <c r="P175" s="74" t="str">
        <f>IFERROR(1/(1/COUNTIFS(
'YearB-AppDetails Current Date'!A:A,D175,
'YearB-AppDetails Current Date'!F:F,E175,
'YearB-AppDetails Current Date'!E:E,--F175,
'YearB-AppDetails Current Date'!Y:Y,"ENRO",
'YearB-AppDetails Current Date'!I:I,"SUMMER")),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HC'!D:T,10,FALSE)),
N(VLOOKUP(D176&amp;F176,'Budgeted Projections Dom HC'!D:T,11,FALSE))
)
),"")</f>
        <v/>
      </c>
      <c r="I176" s="73" t="str">
        <f>IFERROR(1/(1/COUNTIFS(
'YearB-AppDetails Current Date'!A:A,D176,
'YearB-AppDetails Current Date'!F:F,E176,
'YearB-AppDetails Current Date'!E:E,--F176,
'YearB-AppDetails Current Date'!I:I,"SUMMER")), "")</f>
        <v/>
      </c>
      <c r="J176" s="74" t="str" cm="1">
        <f t="array" ref="J176">IFERROR(1/(1/SUM(COUNTIFS(
'YearB-AppDetails Current Date'!A:A,D176,
'YearB-AppDetails Current Date'!F:F,E176,
'YearB-AppDetails Current Date'!E:E,--F176,
'YearB-AppDetails Current Date'!O:O,{"ACLN","ACPT","COND"},
'YearB-AppDetails Current Date'!S:S,"&lt;&gt;ACLN",
'YearB-AppDetails Current Date'!S:S,"&lt;&gt;ACPT",
'YearB-AppDetails Current Date'!S:S,"&lt;&gt;COND",
'YearB-AppDetails Current Date'!I:I,"SUMMER"))), "")</f>
        <v/>
      </c>
      <c r="K176" s="73" t="str">
        <f>IFERROR(1/(1/SUM(COUNTIFS(
'YearB-AppDetails Current Date'!A:A,D176,
'YearB-AppDetails Current Date'!F:F,E176,
'YearB-AppDetails Current Date'!E:E,--F176,
'YearB-AppDetails Current Date'!R:R,"&lt;&gt;"&amp;"",
'YearB-AppDetails Current Date'!I:I,"SUMMER"))), "")</f>
        <v/>
      </c>
      <c r="L176" s="74" t="str" cm="1">
        <f t="array" ref="L176">IFERROR(1/(1/SUM(COUNTIFS(
'YearB-AppDetails Current Date'!A:A,D176,
'YearB-AppDetails Current Date'!F:F,E176,
'YearB-AppDetails Current Date'!E:E,--F176,
'YearB-AppDetails Current Date'!T:T,{"APEX","DENY","NTSL"},
'YearB-AppDetails Current Date'!I:I,"SUMMER"))), "")</f>
        <v/>
      </c>
      <c r="M176" s="74" t="str" cm="1">
        <f t="array" ref="M176">IFERROR(1/(1/SUM(COUNTIFS(
'YearB-AppDetails Current Date'!A:A,D176,
'YearB-AppDetails Current Date'!F:F,E176,
'YearB-AppDetails Current Date'!E:E,--F176,
'YearB-AppDetails Current Date'!U:U,{"CCAN","DECL"},
'YearB-AppDetails Current Date'!I:I,"SUMMER"))), "")</f>
        <v/>
      </c>
      <c r="N176" s="74" t="str" cm="1">
        <f t="array" ref="N176">IFERROR(1/(1/SUM(COUNTIFS(
'YearB-AppDetails Current Date'!A:A,D176,
'YearB-AppDetails Current Date'!F:F,E176,
'YearB-AppDetails Current Date'!E:E,--F176,
'YearB-AppDetails Current Date'!V:V,{"APRO","NODE"},
'YearB-AppDetails Current Date'!I:I,"SUMMER"))), "")</f>
        <v/>
      </c>
      <c r="O176" s="74" t="str" cm="1">
        <f t="array" ref="O176">IFERROR(1/(1/SUM(COUNTIFS(
'YearB-AppDetails Current Date'!A:A,D176,
'YearB-AppDetails Current Date'!F:F,E176,
'YearB-AppDetails Current Date'!E:E,--F176,
'YearB-AppDetails Current Date'!T:T,{"CDMT","RQMT","WAIT"},
'YearB-AppDetails Current Date'!I:I,"SUMMER"))), "")</f>
        <v/>
      </c>
      <c r="P176" s="74" t="str">
        <f>IFERROR(1/(1/COUNTIFS(
'YearB-AppDetails Current Date'!A:A,D176,
'YearB-AppDetails Current Date'!F:F,E176,
'YearB-AppDetails Current Date'!E:E,--F176,
'YearB-AppDetails Current Date'!Y:Y,"ENRO",
'YearB-AppDetails Current Date'!I:I,"SUMMER")),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HC'!D:T,10,FALSE)),
N(VLOOKUP(D177&amp;F177,'Budgeted Projections Intl HC'!D:T,11,FALSE))
)
),"")</f>
        <v/>
      </c>
      <c r="I177" s="73" t="str">
        <f>IFERROR(1/(1/COUNTIFS(
'YearB-AppDetails Current Date'!A:A,D177,
'YearB-AppDetails Current Date'!F:F,E177,
'YearB-AppDetails Current Date'!E:E,--F177,
'YearB-AppDetails Current Date'!I:I,"SUMMER")), "")</f>
        <v/>
      </c>
      <c r="J177" s="74" t="str" cm="1">
        <f t="array" ref="J177">IFERROR(1/(1/SUM(COUNTIFS(
'YearB-AppDetails Current Date'!A:A,D177,
'YearB-AppDetails Current Date'!F:F,E177,
'YearB-AppDetails Current Date'!E:E,--F177,
'YearB-AppDetails Current Date'!O:O,{"ACLN","ACPT","COND"},
'YearB-AppDetails Current Date'!S:S,"&lt;&gt;ACLN",
'YearB-AppDetails Current Date'!S:S,"&lt;&gt;ACPT",
'YearB-AppDetails Current Date'!S:S,"&lt;&gt;COND",
'YearB-AppDetails Current Date'!I:I,"SUMMER"))), "")</f>
        <v/>
      </c>
      <c r="K177" s="73" t="str">
        <f>IFERROR(1/(1/SUM(COUNTIFS(
'YearB-AppDetails Current Date'!A:A,D177,
'YearB-AppDetails Current Date'!F:F,E177,
'YearB-AppDetails Current Date'!E:E,--F177,
'YearB-AppDetails Current Date'!R:R,"&lt;&gt;"&amp;"",
'YearB-AppDetails Current Date'!I:I,"SUMMER"))), "")</f>
        <v/>
      </c>
      <c r="L177" s="74" t="str" cm="1">
        <f t="array" ref="L177">IFERROR(1/(1/SUM(COUNTIFS(
'YearB-AppDetails Current Date'!A:A,D177,
'YearB-AppDetails Current Date'!F:F,E177,
'YearB-AppDetails Current Date'!E:E,--F177,
'YearB-AppDetails Current Date'!T:T,{"APEX","DENY","NTSL"},
'YearB-AppDetails Current Date'!I:I,"SUMMER"))), "")</f>
        <v/>
      </c>
      <c r="M177" s="74" t="str" cm="1">
        <f t="array" ref="M177">IFERROR(1/(1/SUM(COUNTIFS(
'YearB-AppDetails Current Date'!A:A,D177,
'YearB-AppDetails Current Date'!F:F,E177,
'YearB-AppDetails Current Date'!E:E,--F177,
'YearB-AppDetails Current Date'!U:U,{"CCAN","DECL"},
'YearB-AppDetails Current Date'!I:I,"SUMMER"))), "")</f>
        <v/>
      </c>
      <c r="N177" s="74" t="str" cm="1">
        <f t="array" ref="N177">IFERROR(1/(1/SUM(COUNTIFS(
'YearB-AppDetails Current Date'!A:A,D177,
'YearB-AppDetails Current Date'!F:F,E177,
'YearB-AppDetails Current Date'!E:E,--F177,
'YearB-AppDetails Current Date'!V:V,{"APRO","NODE"},
'YearB-AppDetails Current Date'!I:I,"SUMMER"))), "")</f>
        <v/>
      </c>
      <c r="O177" s="74" t="str" cm="1">
        <f t="array" ref="O177">IFERROR(1/(1/SUM(COUNTIFS(
'YearB-AppDetails Current Date'!A:A,D177,
'YearB-AppDetails Current Date'!F:F,E177,
'YearB-AppDetails Current Date'!E:E,--F177,
'YearB-AppDetails Current Date'!T:T,{"CDMT","RQMT","WAIT"},
'YearB-AppDetails Current Date'!I:I,"SUMMER"))), "")</f>
        <v/>
      </c>
      <c r="P177" s="74" t="str">
        <f>IFERROR(1/(1/COUNTIFS(
'YearB-AppDetails Current Date'!A:A,D177,
'YearB-AppDetails Current Date'!F:F,E177,
'YearB-AppDetails Current Date'!E:E,--F177,
'YearB-AppDetails Current Date'!Y:Y,"ENRO",
'YearB-AppDetails Current Date'!I:I,"SUMMER")),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HC'!D:T,10,FALSE)),
N(VLOOKUP(D178&amp;F178,'Budgeted Projections Dom HC'!D:T,11,FALSE))
)
),"")</f>
        <v/>
      </c>
      <c r="I178" s="73" t="str">
        <f>IFERROR(1/(1/COUNTIFS(
'YearB-AppDetails Current Date'!A:A,D178,
'YearB-AppDetails Current Date'!F:F,E178,
'YearB-AppDetails Current Date'!E:E,--F178,
'YearB-AppDetails Current Date'!I:I,"SUMMER")), "")</f>
        <v/>
      </c>
      <c r="J178" s="74" t="str" cm="1">
        <f t="array" ref="J178">IFERROR(1/(1/SUM(COUNTIFS(
'YearB-AppDetails Current Date'!A:A,D178,
'YearB-AppDetails Current Date'!F:F,E178,
'YearB-AppDetails Current Date'!E:E,--F178,
'YearB-AppDetails Current Date'!O:O,{"ACLN","ACPT","COND"},
'YearB-AppDetails Current Date'!S:S,"&lt;&gt;ACLN",
'YearB-AppDetails Current Date'!S:S,"&lt;&gt;ACPT",
'YearB-AppDetails Current Date'!S:S,"&lt;&gt;COND",
'YearB-AppDetails Current Date'!I:I,"SUMMER"))), "")</f>
        <v/>
      </c>
      <c r="K178" s="73" t="str">
        <f>IFERROR(1/(1/SUM(COUNTIFS(
'YearB-AppDetails Current Date'!A:A,D178,
'YearB-AppDetails Current Date'!F:F,E178,
'YearB-AppDetails Current Date'!E:E,--F178,
'YearB-AppDetails Current Date'!R:R,"&lt;&gt;"&amp;"",
'YearB-AppDetails Current Date'!I:I,"SUMMER"))), "")</f>
        <v/>
      </c>
      <c r="L178" s="74" t="str" cm="1">
        <f t="array" ref="L178">IFERROR(1/(1/SUM(COUNTIFS(
'YearB-AppDetails Current Date'!A:A,D178,
'YearB-AppDetails Current Date'!F:F,E178,
'YearB-AppDetails Current Date'!E:E,--F178,
'YearB-AppDetails Current Date'!T:T,{"APEX","DENY","NTSL"},
'YearB-AppDetails Current Date'!I:I,"SUMMER"))), "")</f>
        <v/>
      </c>
      <c r="M178" s="74" t="str" cm="1">
        <f t="array" ref="M178">IFERROR(1/(1/SUM(COUNTIFS(
'YearB-AppDetails Current Date'!A:A,D178,
'YearB-AppDetails Current Date'!F:F,E178,
'YearB-AppDetails Current Date'!E:E,--F178,
'YearB-AppDetails Current Date'!U:U,{"CCAN","DECL"},
'YearB-AppDetails Current Date'!I:I,"SUMMER"))), "")</f>
        <v/>
      </c>
      <c r="N178" s="74" t="str" cm="1">
        <f t="array" ref="N178">IFERROR(1/(1/SUM(COUNTIFS(
'YearB-AppDetails Current Date'!A:A,D178,
'YearB-AppDetails Current Date'!F:F,E178,
'YearB-AppDetails Current Date'!E:E,--F178,
'YearB-AppDetails Current Date'!V:V,{"APRO","NODE"},
'YearB-AppDetails Current Date'!I:I,"SUMMER"))), "")</f>
        <v/>
      </c>
      <c r="O178" s="74" t="str" cm="1">
        <f t="array" ref="O178">IFERROR(1/(1/SUM(COUNTIFS(
'YearB-AppDetails Current Date'!A:A,D178,
'YearB-AppDetails Current Date'!F:F,E178,
'YearB-AppDetails Current Date'!E:E,--F178,
'YearB-AppDetails Current Date'!T:T,{"CDMT","RQMT","WAIT"},
'YearB-AppDetails Current Date'!I:I,"SUMMER"))), "")</f>
        <v/>
      </c>
      <c r="P178" s="74" t="str">
        <f>IFERROR(1/(1/COUNTIFS(
'YearB-AppDetails Current Date'!A:A,D178,
'YearB-AppDetails Current Date'!F:F,E178,
'YearB-AppDetails Current Date'!E:E,--F178,
'YearB-AppDetails Current Date'!Y:Y,"ENRO",
'YearB-AppDetails Current Date'!I:I,"SUMMER")),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HC'!D:T,10,FALSE)),
N(VLOOKUP(D179&amp;F179,'Budgeted Projections Intl HC'!D:T,11,FALSE))
)
),"")</f>
        <v/>
      </c>
      <c r="I179" s="73" t="str">
        <f>IFERROR(1/(1/COUNTIFS(
'YearB-AppDetails Current Date'!A:A,D179,
'YearB-AppDetails Current Date'!F:F,E179,
'YearB-AppDetails Current Date'!E:E,--F179,
'YearB-AppDetails Current Date'!I:I,"SUMMER")), "")</f>
        <v/>
      </c>
      <c r="J179" s="74" t="str" cm="1">
        <f t="array" ref="J179">IFERROR(1/(1/SUM(COUNTIFS(
'YearB-AppDetails Current Date'!A:A,D179,
'YearB-AppDetails Current Date'!F:F,E179,
'YearB-AppDetails Current Date'!E:E,--F179,
'YearB-AppDetails Current Date'!O:O,{"ACLN","ACPT","COND"},
'YearB-AppDetails Current Date'!S:S,"&lt;&gt;ACLN",
'YearB-AppDetails Current Date'!S:S,"&lt;&gt;ACPT",
'YearB-AppDetails Current Date'!S:S,"&lt;&gt;COND",
'YearB-AppDetails Current Date'!I:I,"SUMMER"))), "")</f>
        <v/>
      </c>
      <c r="K179" s="73" t="str">
        <f>IFERROR(1/(1/SUM(COUNTIFS(
'YearB-AppDetails Current Date'!A:A,D179,
'YearB-AppDetails Current Date'!F:F,E179,
'YearB-AppDetails Current Date'!E:E,--F179,
'YearB-AppDetails Current Date'!R:R,"&lt;&gt;"&amp;"",
'YearB-AppDetails Current Date'!I:I,"SUMMER"))), "")</f>
        <v/>
      </c>
      <c r="L179" s="74" t="str" cm="1">
        <f t="array" ref="L179">IFERROR(1/(1/SUM(COUNTIFS(
'YearB-AppDetails Current Date'!A:A,D179,
'YearB-AppDetails Current Date'!F:F,E179,
'YearB-AppDetails Current Date'!E:E,--F179,
'YearB-AppDetails Current Date'!T:T,{"APEX","DENY","NTSL"},
'YearB-AppDetails Current Date'!I:I,"SUMMER"))), "")</f>
        <v/>
      </c>
      <c r="M179" s="74" t="str" cm="1">
        <f t="array" ref="M179">IFERROR(1/(1/SUM(COUNTIFS(
'YearB-AppDetails Current Date'!A:A,D179,
'YearB-AppDetails Current Date'!F:F,E179,
'YearB-AppDetails Current Date'!E:E,--F179,
'YearB-AppDetails Current Date'!U:U,{"CCAN","DECL"},
'YearB-AppDetails Current Date'!I:I,"SUMMER"))), "")</f>
        <v/>
      </c>
      <c r="N179" s="74" t="str" cm="1">
        <f t="array" ref="N179">IFERROR(1/(1/SUM(COUNTIFS(
'YearB-AppDetails Current Date'!A:A,D179,
'YearB-AppDetails Current Date'!F:F,E179,
'YearB-AppDetails Current Date'!E:E,--F179,
'YearB-AppDetails Current Date'!V:V,{"APRO","NODE"},
'YearB-AppDetails Current Date'!I:I,"SUMMER"))), "")</f>
        <v/>
      </c>
      <c r="O179" s="74" t="str" cm="1">
        <f t="array" ref="O179">IFERROR(1/(1/SUM(COUNTIFS(
'YearB-AppDetails Current Date'!A:A,D179,
'YearB-AppDetails Current Date'!F:F,E179,
'YearB-AppDetails Current Date'!E:E,--F179,
'YearB-AppDetails Current Date'!T:T,{"CDMT","RQMT","WAIT"},
'YearB-AppDetails Current Date'!I:I,"SUMMER"))), "")</f>
        <v/>
      </c>
      <c r="P179" s="74" t="str">
        <f>IFERROR(1/(1/COUNTIFS(
'YearB-AppDetails Current Date'!A:A,D179,
'YearB-AppDetails Current Date'!F:F,E179,
'YearB-AppDetails Current Date'!E:E,--F179,
'YearB-AppDetails Current Date'!Y:Y,"ENRO",
'YearB-AppDetails Current Date'!I:I,"SUMMER")),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HC'!D:T,10,FALSE)),
N(VLOOKUP(D180&amp;F180,'Budgeted Projections Dom HC'!D:T,11,FALSE))
)
),"")</f>
        <v/>
      </c>
      <c r="I180" s="73" t="str">
        <f>IFERROR(1/(1/COUNTIFS(
'YearB-AppDetails Current Date'!A:A,D180,
'YearB-AppDetails Current Date'!F:F,E180,
'YearB-AppDetails Current Date'!E:E,--F180,
'YearB-AppDetails Current Date'!I:I,"SUMMER")), "")</f>
        <v/>
      </c>
      <c r="J180" s="74" t="str" cm="1">
        <f t="array" ref="J180">IFERROR(1/(1/SUM(COUNTIFS(
'YearB-AppDetails Current Date'!A:A,D180,
'YearB-AppDetails Current Date'!F:F,E180,
'YearB-AppDetails Current Date'!E:E,--F180,
'YearB-AppDetails Current Date'!O:O,{"ACLN","ACPT","COND"},
'YearB-AppDetails Current Date'!S:S,"&lt;&gt;ACLN",
'YearB-AppDetails Current Date'!S:S,"&lt;&gt;ACPT",
'YearB-AppDetails Current Date'!S:S,"&lt;&gt;COND",
'YearB-AppDetails Current Date'!I:I,"SUMMER"))), "")</f>
        <v/>
      </c>
      <c r="K180" s="73" t="str">
        <f>IFERROR(1/(1/SUM(COUNTIFS(
'YearB-AppDetails Current Date'!A:A,D180,
'YearB-AppDetails Current Date'!F:F,E180,
'YearB-AppDetails Current Date'!E:E,--F180,
'YearB-AppDetails Current Date'!R:R,"&lt;&gt;"&amp;"",
'YearB-AppDetails Current Date'!I:I,"SUMMER"))), "")</f>
        <v/>
      </c>
      <c r="L180" s="74" t="str" cm="1">
        <f t="array" ref="L180">IFERROR(1/(1/SUM(COUNTIFS(
'YearB-AppDetails Current Date'!A:A,D180,
'YearB-AppDetails Current Date'!F:F,E180,
'YearB-AppDetails Current Date'!E:E,--F180,
'YearB-AppDetails Current Date'!T:T,{"APEX","DENY","NTSL"},
'YearB-AppDetails Current Date'!I:I,"SUMMER"))), "")</f>
        <v/>
      </c>
      <c r="M180" s="74" t="str" cm="1">
        <f t="array" ref="M180">IFERROR(1/(1/SUM(COUNTIFS(
'YearB-AppDetails Current Date'!A:A,D180,
'YearB-AppDetails Current Date'!F:F,E180,
'YearB-AppDetails Current Date'!E:E,--F180,
'YearB-AppDetails Current Date'!U:U,{"CCAN","DECL"},
'YearB-AppDetails Current Date'!I:I,"SUMMER"))), "")</f>
        <v/>
      </c>
      <c r="N180" s="74" t="str" cm="1">
        <f t="array" ref="N180">IFERROR(1/(1/SUM(COUNTIFS(
'YearB-AppDetails Current Date'!A:A,D180,
'YearB-AppDetails Current Date'!F:F,E180,
'YearB-AppDetails Current Date'!E:E,--F180,
'YearB-AppDetails Current Date'!V:V,{"APRO","NODE"},
'YearB-AppDetails Current Date'!I:I,"SUMMER"))), "")</f>
        <v/>
      </c>
      <c r="O180" s="74" t="str" cm="1">
        <f t="array" ref="O180">IFERROR(1/(1/SUM(COUNTIFS(
'YearB-AppDetails Current Date'!A:A,D180,
'YearB-AppDetails Current Date'!F:F,E180,
'YearB-AppDetails Current Date'!E:E,--F180,
'YearB-AppDetails Current Date'!T:T,{"CDMT","RQMT","WAIT"},
'YearB-AppDetails Current Date'!I:I,"SUMMER"))), "")</f>
        <v/>
      </c>
      <c r="P180" s="74" t="str">
        <f>IFERROR(1/(1/COUNTIFS(
'YearB-AppDetails Current Date'!A:A,D180,
'YearB-AppDetails Current Date'!F:F,E180,
'YearB-AppDetails Current Date'!E:E,--F180,
'YearB-AppDetails Current Date'!Y:Y,"ENRO",
'YearB-AppDetails Current Date'!I:I,"SUMMER")),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HC'!D:T,10,FALSE)),
N(VLOOKUP(D181&amp;F181,'Budgeted Projections Intl HC'!D:T,11,FALSE))
)
),"")</f>
        <v/>
      </c>
      <c r="I181" s="73" t="str">
        <f>IFERROR(1/(1/COUNTIFS(
'YearB-AppDetails Current Date'!A:A,D181,
'YearB-AppDetails Current Date'!F:F,E181,
'YearB-AppDetails Current Date'!E:E,--F181,
'YearB-AppDetails Current Date'!I:I,"SUMMER")), "")</f>
        <v/>
      </c>
      <c r="J181" s="74" t="str" cm="1">
        <f t="array" ref="J181">IFERROR(1/(1/SUM(COUNTIFS(
'YearB-AppDetails Current Date'!A:A,D181,
'YearB-AppDetails Current Date'!F:F,E181,
'YearB-AppDetails Current Date'!E:E,--F181,
'YearB-AppDetails Current Date'!O:O,{"ACLN","ACPT","COND"},
'YearB-AppDetails Current Date'!S:S,"&lt;&gt;ACLN",
'YearB-AppDetails Current Date'!S:S,"&lt;&gt;ACPT",
'YearB-AppDetails Current Date'!S:S,"&lt;&gt;COND",
'YearB-AppDetails Current Date'!I:I,"SUMMER"))), "")</f>
        <v/>
      </c>
      <c r="K181" s="73" t="str">
        <f>IFERROR(1/(1/SUM(COUNTIFS(
'YearB-AppDetails Current Date'!A:A,D181,
'YearB-AppDetails Current Date'!F:F,E181,
'YearB-AppDetails Current Date'!E:E,--F181,
'YearB-AppDetails Current Date'!R:R,"&lt;&gt;"&amp;"",
'YearB-AppDetails Current Date'!I:I,"SUMMER"))), "")</f>
        <v/>
      </c>
      <c r="L181" s="74" t="str" cm="1">
        <f t="array" ref="L181">IFERROR(1/(1/SUM(COUNTIFS(
'YearB-AppDetails Current Date'!A:A,D181,
'YearB-AppDetails Current Date'!F:F,E181,
'YearB-AppDetails Current Date'!E:E,--F181,
'YearB-AppDetails Current Date'!T:T,{"APEX","DENY","NTSL"},
'YearB-AppDetails Current Date'!I:I,"SUMMER"))), "")</f>
        <v/>
      </c>
      <c r="M181" s="74" t="str" cm="1">
        <f t="array" ref="M181">IFERROR(1/(1/SUM(COUNTIFS(
'YearB-AppDetails Current Date'!A:A,D181,
'YearB-AppDetails Current Date'!F:F,E181,
'YearB-AppDetails Current Date'!E:E,--F181,
'YearB-AppDetails Current Date'!U:U,{"CCAN","DECL"},
'YearB-AppDetails Current Date'!I:I,"SUMMER"))), "")</f>
        <v/>
      </c>
      <c r="N181" s="74" t="str" cm="1">
        <f t="array" ref="N181">IFERROR(1/(1/SUM(COUNTIFS(
'YearB-AppDetails Current Date'!A:A,D181,
'YearB-AppDetails Current Date'!F:F,E181,
'YearB-AppDetails Current Date'!E:E,--F181,
'YearB-AppDetails Current Date'!V:V,{"APRO","NODE"},
'YearB-AppDetails Current Date'!I:I,"SUMMER"))), "")</f>
        <v/>
      </c>
      <c r="O181" s="74" t="str" cm="1">
        <f t="array" ref="O181">IFERROR(1/(1/SUM(COUNTIFS(
'YearB-AppDetails Current Date'!A:A,D181,
'YearB-AppDetails Current Date'!F:F,E181,
'YearB-AppDetails Current Date'!E:E,--F181,
'YearB-AppDetails Current Date'!T:T,{"CDMT","RQMT","WAIT"},
'YearB-AppDetails Current Date'!I:I,"SUMMER"))), "")</f>
        <v/>
      </c>
      <c r="P181" s="74" t="str">
        <f>IFERROR(1/(1/COUNTIFS(
'YearB-AppDetails Current Date'!A:A,D181,
'YearB-AppDetails Current Date'!F:F,E181,
'YearB-AppDetails Current Date'!E:E,--F181,
'YearB-AppDetails Current Date'!Y:Y,"ENRO",
'YearB-AppDetails Current Date'!I:I,"SUMMER")),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HC'!D:T,10,FALSE)),
N(VLOOKUP(D182&amp;F182,'Budgeted Projections Dom HC'!D:T,11,FALSE))
)
),"")</f>
        <v/>
      </c>
      <c r="I182" s="73" t="str">
        <f>IFERROR(1/(1/COUNTIFS(
'YearB-AppDetails Current Date'!A:A,D182,
'YearB-AppDetails Current Date'!F:F,E182,
'YearB-AppDetails Current Date'!E:E,--F182,
'YearB-AppDetails Current Date'!I:I,"SUMMER")), "")</f>
        <v/>
      </c>
      <c r="J182" s="74" t="str" cm="1">
        <f t="array" ref="J182">IFERROR(1/(1/SUM(COUNTIFS(
'YearB-AppDetails Current Date'!A:A,D182,
'YearB-AppDetails Current Date'!F:F,E182,
'YearB-AppDetails Current Date'!E:E,--F182,
'YearB-AppDetails Current Date'!O:O,{"ACLN","ACPT","COND"},
'YearB-AppDetails Current Date'!S:S,"&lt;&gt;ACLN",
'YearB-AppDetails Current Date'!S:S,"&lt;&gt;ACPT",
'YearB-AppDetails Current Date'!S:S,"&lt;&gt;COND",
'YearB-AppDetails Current Date'!I:I,"SUMMER"))), "")</f>
        <v/>
      </c>
      <c r="K182" s="73" t="str">
        <f>IFERROR(1/(1/SUM(COUNTIFS(
'YearB-AppDetails Current Date'!A:A,D182,
'YearB-AppDetails Current Date'!F:F,E182,
'YearB-AppDetails Current Date'!E:E,--F182,
'YearB-AppDetails Current Date'!R:R,"&lt;&gt;"&amp;"",
'YearB-AppDetails Current Date'!I:I,"SUMMER"))), "")</f>
        <v/>
      </c>
      <c r="L182" s="74" t="str" cm="1">
        <f t="array" ref="L182">IFERROR(1/(1/SUM(COUNTIFS(
'YearB-AppDetails Current Date'!A:A,D182,
'YearB-AppDetails Current Date'!F:F,E182,
'YearB-AppDetails Current Date'!E:E,--F182,
'YearB-AppDetails Current Date'!T:T,{"APEX","DENY","NTSL"},
'YearB-AppDetails Current Date'!I:I,"SUMMER"))), "")</f>
        <v/>
      </c>
      <c r="M182" s="74" t="str" cm="1">
        <f t="array" ref="M182">IFERROR(1/(1/SUM(COUNTIFS(
'YearB-AppDetails Current Date'!A:A,D182,
'YearB-AppDetails Current Date'!F:F,E182,
'YearB-AppDetails Current Date'!E:E,--F182,
'YearB-AppDetails Current Date'!U:U,{"CCAN","DECL"},
'YearB-AppDetails Current Date'!I:I,"SUMMER"))), "")</f>
        <v/>
      </c>
      <c r="N182" s="74" t="str" cm="1">
        <f t="array" ref="N182">IFERROR(1/(1/SUM(COUNTIFS(
'YearB-AppDetails Current Date'!A:A,D182,
'YearB-AppDetails Current Date'!F:F,E182,
'YearB-AppDetails Current Date'!E:E,--F182,
'YearB-AppDetails Current Date'!V:V,{"APRO","NODE"},
'YearB-AppDetails Current Date'!I:I,"SUMMER"))), "")</f>
        <v/>
      </c>
      <c r="O182" s="74" t="str" cm="1">
        <f t="array" ref="O182">IFERROR(1/(1/SUM(COUNTIFS(
'YearB-AppDetails Current Date'!A:A,D182,
'YearB-AppDetails Current Date'!F:F,E182,
'YearB-AppDetails Current Date'!E:E,--F182,
'YearB-AppDetails Current Date'!T:T,{"CDMT","RQMT","WAIT"},
'YearB-AppDetails Current Date'!I:I,"SUMMER"))), "")</f>
        <v/>
      </c>
      <c r="P182" s="74" t="str">
        <f>IFERROR(1/(1/COUNTIFS(
'YearB-AppDetails Current Date'!A:A,D182,
'YearB-AppDetails Current Date'!F:F,E182,
'YearB-AppDetails Current Date'!E:E,--F182,
'YearB-AppDetails Current Date'!Y:Y,"ENRO",
'YearB-AppDetails Current Date'!I:I,"SUMMER")),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HC'!D:T,10,FALSE)),
N(VLOOKUP(D183&amp;F183,'Budgeted Projections Intl HC'!D:T,11,FALSE))
)
),"")</f>
        <v/>
      </c>
      <c r="I183" s="73" t="str">
        <f>IFERROR(1/(1/COUNTIFS(
'YearB-AppDetails Current Date'!A:A,D183,
'YearB-AppDetails Current Date'!F:F,E183,
'YearB-AppDetails Current Date'!E:E,--F183,
'YearB-AppDetails Current Date'!I:I,"SUMMER")), "")</f>
        <v/>
      </c>
      <c r="J183" s="74" t="str" cm="1">
        <f t="array" ref="J183">IFERROR(1/(1/SUM(COUNTIFS(
'YearB-AppDetails Current Date'!A:A,D183,
'YearB-AppDetails Current Date'!F:F,E183,
'YearB-AppDetails Current Date'!E:E,--F183,
'YearB-AppDetails Current Date'!O:O,{"ACLN","ACPT","COND"},
'YearB-AppDetails Current Date'!S:S,"&lt;&gt;ACLN",
'YearB-AppDetails Current Date'!S:S,"&lt;&gt;ACPT",
'YearB-AppDetails Current Date'!S:S,"&lt;&gt;COND",
'YearB-AppDetails Current Date'!I:I,"SUMMER"))), "")</f>
        <v/>
      </c>
      <c r="K183" s="73" t="str">
        <f>IFERROR(1/(1/SUM(COUNTIFS(
'YearB-AppDetails Current Date'!A:A,D183,
'YearB-AppDetails Current Date'!F:F,E183,
'YearB-AppDetails Current Date'!E:E,--F183,
'YearB-AppDetails Current Date'!R:R,"&lt;&gt;"&amp;"",
'YearB-AppDetails Current Date'!I:I,"SUMMER"))), "")</f>
        <v/>
      </c>
      <c r="L183" s="74" t="str" cm="1">
        <f t="array" ref="L183">IFERROR(1/(1/SUM(COUNTIFS(
'YearB-AppDetails Current Date'!A:A,D183,
'YearB-AppDetails Current Date'!F:F,E183,
'YearB-AppDetails Current Date'!E:E,--F183,
'YearB-AppDetails Current Date'!T:T,{"APEX","DENY","NTSL"},
'YearB-AppDetails Current Date'!I:I,"SUMMER"))), "")</f>
        <v/>
      </c>
      <c r="M183" s="74" t="str" cm="1">
        <f t="array" ref="M183">IFERROR(1/(1/SUM(COUNTIFS(
'YearB-AppDetails Current Date'!A:A,D183,
'YearB-AppDetails Current Date'!F:F,E183,
'YearB-AppDetails Current Date'!E:E,--F183,
'YearB-AppDetails Current Date'!U:U,{"CCAN","DECL"},
'YearB-AppDetails Current Date'!I:I,"SUMMER"))), "")</f>
        <v/>
      </c>
      <c r="N183" s="74" t="str" cm="1">
        <f t="array" ref="N183">IFERROR(1/(1/SUM(COUNTIFS(
'YearB-AppDetails Current Date'!A:A,D183,
'YearB-AppDetails Current Date'!F:F,E183,
'YearB-AppDetails Current Date'!E:E,--F183,
'YearB-AppDetails Current Date'!V:V,{"APRO","NODE"},
'YearB-AppDetails Current Date'!I:I,"SUMMER"))), "")</f>
        <v/>
      </c>
      <c r="O183" s="74" t="str" cm="1">
        <f t="array" ref="O183">IFERROR(1/(1/SUM(COUNTIFS(
'YearB-AppDetails Current Date'!A:A,D183,
'YearB-AppDetails Current Date'!F:F,E183,
'YearB-AppDetails Current Date'!E:E,--F183,
'YearB-AppDetails Current Date'!T:T,{"CDMT","RQMT","WAIT"},
'YearB-AppDetails Current Date'!I:I,"SUMMER"))), "")</f>
        <v/>
      </c>
      <c r="P183" s="74" t="str">
        <f>IFERROR(1/(1/COUNTIFS(
'YearB-AppDetails Current Date'!A:A,D183,
'YearB-AppDetails Current Date'!F:F,E183,
'YearB-AppDetails Current Date'!E:E,--F183,
'YearB-AppDetails Current Date'!Y:Y,"ENRO",
'YearB-AppDetails Current Date'!I:I,"SUMMER")),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HC'!D:T,10,FALSE)),
N(VLOOKUP(D184&amp;F184,'Budgeted Projections Dom HC'!D:T,11,FALSE))
)
),"")</f>
        <v/>
      </c>
      <c r="I184" s="73" t="str">
        <f>IFERROR(1/(1/COUNTIFS(
'YearB-AppDetails Current Date'!A:A,D184,
'YearB-AppDetails Current Date'!F:F,E184,
'YearB-AppDetails Current Date'!E:E,--F184,
'YearB-AppDetails Current Date'!I:I,"SUMMER")), "")</f>
        <v/>
      </c>
      <c r="J184" s="74" t="str" cm="1">
        <f t="array" ref="J184">IFERROR(1/(1/SUM(COUNTIFS(
'YearB-AppDetails Current Date'!A:A,D184,
'YearB-AppDetails Current Date'!F:F,E184,
'YearB-AppDetails Current Date'!E:E,--F184,
'YearB-AppDetails Current Date'!O:O,{"ACLN","ACPT","COND"},
'YearB-AppDetails Current Date'!S:S,"&lt;&gt;ACLN",
'YearB-AppDetails Current Date'!S:S,"&lt;&gt;ACPT",
'YearB-AppDetails Current Date'!S:S,"&lt;&gt;COND",
'YearB-AppDetails Current Date'!I:I,"SUMMER"))), "")</f>
        <v/>
      </c>
      <c r="K184" s="73" t="str">
        <f>IFERROR(1/(1/SUM(COUNTIFS(
'YearB-AppDetails Current Date'!A:A,D184,
'YearB-AppDetails Current Date'!F:F,E184,
'YearB-AppDetails Current Date'!E:E,--F184,
'YearB-AppDetails Current Date'!R:R,"&lt;&gt;"&amp;"",
'YearB-AppDetails Current Date'!I:I,"SUMMER"))), "")</f>
        <v/>
      </c>
      <c r="L184" s="74" t="str" cm="1">
        <f t="array" ref="L184">IFERROR(1/(1/SUM(COUNTIFS(
'YearB-AppDetails Current Date'!A:A,D184,
'YearB-AppDetails Current Date'!F:F,E184,
'YearB-AppDetails Current Date'!E:E,--F184,
'YearB-AppDetails Current Date'!T:T,{"APEX","DENY","NTSL"},
'YearB-AppDetails Current Date'!I:I,"SUMMER"))), "")</f>
        <v/>
      </c>
      <c r="M184" s="74" t="str" cm="1">
        <f t="array" ref="M184">IFERROR(1/(1/SUM(COUNTIFS(
'YearB-AppDetails Current Date'!A:A,D184,
'YearB-AppDetails Current Date'!F:F,E184,
'YearB-AppDetails Current Date'!E:E,--F184,
'YearB-AppDetails Current Date'!U:U,{"CCAN","DECL"},
'YearB-AppDetails Current Date'!I:I,"SUMMER"))), "")</f>
        <v/>
      </c>
      <c r="N184" s="74" t="str" cm="1">
        <f t="array" ref="N184">IFERROR(1/(1/SUM(COUNTIFS(
'YearB-AppDetails Current Date'!A:A,D184,
'YearB-AppDetails Current Date'!F:F,E184,
'YearB-AppDetails Current Date'!E:E,--F184,
'YearB-AppDetails Current Date'!V:V,{"APRO","NODE"},
'YearB-AppDetails Current Date'!I:I,"SUMMER"))), "")</f>
        <v/>
      </c>
      <c r="O184" s="74" t="str" cm="1">
        <f t="array" ref="O184">IFERROR(1/(1/SUM(COUNTIFS(
'YearB-AppDetails Current Date'!A:A,D184,
'YearB-AppDetails Current Date'!F:F,E184,
'YearB-AppDetails Current Date'!E:E,--F184,
'YearB-AppDetails Current Date'!T:T,{"CDMT","RQMT","WAIT"},
'YearB-AppDetails Current Date'!I:I,"SUMMER"))), "")</f>
        <v/>
      </c>
      <c r="P184" s="74" t="str">
        <f>IFERROR(1/(1/COUNTIFS(
'YearB-AppDetails Current Date'!A:A,D184,
'YearB-AppDetails Current Date'!F:F,E184,
'YearB-AppDetails Current Date'!E:E,--F184,
'YearB-AppDetails Current Date'!Y:Y,"ENRO",
'YearB-AppDetails Current Date'!I:I,"SUMMER")),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HC'!D:T,10,FALSE)),
N(VLOOKUP(D185&amp;F185,'Budgeted Projections Intl HC'!D:T,11,FALSE))
)
),"")</f>
        <v/>
      </c>
      <c r="I185" s="73" t="str">
        <f>IFERROR(1/(1/COUNTIFS(
'YearB-AppDetails Current Date'!A:A,D185,
'YearB-AppDetails Current Date'!F:F,E185,
'YearB-AppDetails Current Date'!E:E,--F185,
'YearB-AppDetails Current Date'!I:I,"SUMMER")), "")</f>
        <v/>
      </c>
      <c r="J185" s="74" t="str" cm="1">
        <f t="array" ref="J185">IFERROR(1/(1/SUM(COUNTIFS(
'YearB-AppDetails Current Date'!A:A,D185,
'YearB-AppDetails Current Date'!F:F,E185,
'YearB-AppDetails Current Date'!E:E,--F185,
'YearB-AppDetails Current Date'!O:O,{"ACLN","ACPT","COND"},
'YearB-AppDetails Current Date'!S:S,"&lt;&gt;ACLN",
'YearB-AppDetails Current Date'!S:S,"&lt;&gt;ACPT",
'YearB-AppDetails Current Date'!S:S,"&lt;&gt;COND",
'YearB-AppDetails Current Date'!I:I,"SUMMER"))), "")</f>
        <v/>
      </c>
      <c r="K185" s="73" t="str">
        <f>IFERROR(1/(1/SUM(COUNTIFS(
'YearB-AppDetails Current Date'!A:A,D185,
'YearB-AppDetails Current Date'!F:F,E185,
'YearB-AppDetails Current Date'!E:E,--F185,
'YearB-AppDetails Current Date'!R:R,"&lt;&gt;"&amp;"",
'YearB-AppDetails Current Date'!I:I,"SUMMER"))), "")</f>
        <v/>
      </c>
      <c r="L185" s="74" t="str" cm="1">
        <f t="array" ref="L185">IFERROR(1/(1/SUM(COUNTIFS(
'YearB-AppDetails Current Date'!A:A,D185,
'YearB-AppDetails Current Date'!F:F,E185,
'YearB-AppDetails Current Date'!E:E,--F185,
'YearB-AppDetails Current Date'!T:T,{"APEX","DENY","NTSL"},
'YearB-AppDetails Current Date'!I:I,"SUMMER"))), "")</f>
        <v/>
      </c>
      <c r="M185" s="74" t="str" cm="1">
        <f t="array" ref="M185">IFERROR(1/(1/SUM(COUNTIFS(
'YearB-AppDetails Current Date'!A:A,D185,
'YearB-AppDetails Current Date'!F:F,E185,
'YearB-AppDetails Current Date'!E:E,--F185,
'YearB-AppDetails Current Date'!U:U,{"CCAN","DECL"},
'YearB-AppDetails Current Date'!I:I,"SUMMER"))), "")</f>
        <v/>
      </c>
      <c r="N185" s="74" t="str" cm="1">
        <f t="array" ref="N185">IFERROR(1/(1/SUM(COUNTIFS(
'YearB-AppDetails Current Date'!A:A,D185,
'YearB-AppDetails Current Date'!F:F,E185,
'YearB-AppDetails Current Date'!E:E,--F185,
'YearB-AppDetails Current Date'!V:V,{"APRO","NODE"},
'YearB-AppDetails Current Date'!I:I,"SUMMER"))), "")</f>
        <v/>
      </c>
      <c r="O185" s="74" t="str" cm="1">
        <f t="array" ref="O185">IFERROR(1/(1/SUM(COUNTIFS(
'YearB-AppDetails Current Date'!A:A,D185,
'YearB-AppDetails Current Date'!F:F,E185,
'YearB-AppDetails Current Date'!E:E,--F185,
'YearB-AppDetails Current Date'!T:T,{"CDMT","RQMT","WAIT"},
'YearB-AppDetails Current Date'!I:I,"SUMMER"))), "")</f>
        <v/>
      </c>
      <c r="P185" s="74" t="str">
        <f>IFERROR(1/(1/COUNTIFS(
'YearB-AppDetails Current Date'!A:A,D185,
'YearB-AppDetails Current Date'!F:F,E185,
'YearB-AppDetails Current Date'!E:E,--F185,
'YearB-AppDetails Current Date'!Y:Y,"ENRO",
'YearB-AppDetails Current Date'!I:I,"SUMMER")),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HC'!D:T,10,FALSE)),
N(VLOOKUP(D186&amp;F186,'Budgeted Projections Dom HC'!D:T,11,FALSE))
)
),"")</f>
        <v/>
      </c>
      <c r="I186" s="73" t="str">
        <f>IFERROR(1/(1/COUNTIFS(
'YearB-AppDetails Current Date'!A:A,D186,
'YearB-AppDetails Current Date'!F:F,E186,
'YearB-AppDetails Current Date'!E:E,--F186,
'YearB-AppDetails Current Date'!I:I,"SUMMER")), "")</f>
        <v/>
      </c>
      <c r="J186" s="74" t="str" cm="1">
        <f t="array" ref="J186">IFERROR(1/(1/SUM(COUNTIFS(
'YearB-AppDetails Current Date'!A:A,D186,
'YearB-AppDetails Current Date'!F:F,E186,
'YearB-AppDetails Current Date'!E:E,--F186,
'YearB-AppDetails Current Date'!O:O,{"ACLN","ACPT","COND"},
'YearB-AppDetails Current Date'!S:S,"&lt;&gt;ACLN",
'YearB-AppDetails Current Date'!S:S,"&lt;&gt;ACPT",
'YearB-AppDetails Current Date'!S:S,"&lt;&gt;COND",
'YearB-AppDetails Current Date'!I:I,"SUMMER"))), "")</f>
        <v/>
      </c>
      <c r="K186" s="73" t="str">
        <f>IFERROR(1/(1/SUM(COUNTIFS(
'YearB-AppDetails Current Date'!A:A,D186,
'YearB-AppDetails Current Date'!F:F,E186,
'YearB-AppDetails Current Date'!E:E,--F186,
'YearB-AppDetails Current Date'!R:R,"&lt;&gt;"&amp;"",
'YearB-AppDetails Current Date'!I:I,"SUMMER"))), "")</f>
        <v/>
      </c>
      <c r="L186" s="74" t="str" cm="1">
        <f t="array" ref="L186">IFERROR(1/(1/SUM(COUNTIFS(
'YearB-AppDetails Current Date'!A:A,D186,
'YearB-AppDetails Current Date'!F:F,E186,
'YearB-AppDetails Current Date'!E:E,--F186,
'YearB-AppDetails Current Date'!T:T,{"APEX","DENY","NTSL"},
'YearB-AppDetails Current Date'!I:I,"SUMMER"))), "")</f>
        <v/>
      </c>
      <c r="M186" s="74" t="str" cm="1">
        <f t="array" ref="M186">IFERROR(1/(1/SUM(COUNTIFS(
'YearB-AppDetails Current Date'!A:A,D186,
'YearB-AppDetails Current Date'!F:F,E186,
'YearB-AppDetails Current Date'!E:E,--F186,
'YearB-AppDetails Current Date'!U:U,{"CCAN","DECL"},
'YearB-AppDetails Current Date'!I:I,"SUMMER"))), "")</f>
        <v/>
      </c>
      <c r="N186" s="74" t="str" cm="1">
        <f t="array" ref="N186">IFERROR(1/(1/SUM(COUNTIFS(
'YearB-AppDetails Current Date'!A:A,D186,
'YearB-AppDetails Current Date'!F:F,E186,
'YearB-AppDetails Current Date'!E:E,--F186,
'YearB-AppDetails Current Date'!V:V,{"APRO","NODE"},
'YearB-AppDetails Current Date'!I:I,"SUMMER"))), "")</f>
        <v/>
      </c>
      <c r="O186" s="74" t="str" cm="1">
        <f t="array" ref="O186">IFERROR(1/(1/SUM(COUNTIFS(
'YearB-AppDetails Current Date'!A:A,D186,
'YearB-AppDetails Current Date'!F:F,E186,
'YearB-AppDetails Current Date'!E:E,--F186,
'YearB-AppDetails Current Date'!T:T,{"CDMT","RQMT","WAIT"},
'YearB-AppDetails Current Date'!I:I,"SUMMER"))), "")</f>
        <v/>
      </c>
      <c r="P186" s="74" t="str">
        <f>IFERROR(1/(1/COUNTIFS(
'YearB-AppDetails Current Date'!A:A,D186,
'YearB-AppDetails Current Date'!F:F,E186,
'YearB-AppDetails Current Date'!E:E,--F186,
'YearB-AppDetails Current Date'!Y:Y,"ENRO",
'YearB-AppDetails Current Date'!I:I,"SUMMER")),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HC'!D:T,10,FALSE)),
N(VLOOKUP(D187&amp;F187,'Budgeted Projections Intl HC'!D:T,11,FALSE))
)
),"")</f>
        <v/>
      </c>
      <c r="I187" s="73" t="str">
        <f>IFERROR(1/(1/COUNTIFS(
'YearB-AppDetails Current Date'!A:A,D187,
'YearB-AppDetails Current Date'!F:F,E187,
'YearB-AppDetails Current Date'!E:E,--F187,
'YearB-AppDetails Current Date'!I:I,"SUMMER")), "")</f>
        <v/>
      </c>
      <c r="J187" s="74" t="str" cm="1">
        <f t="array" ref="J187">IFERROR(1/(1/SUM(COUNTIFS(
'YearB-AppDetails Current Date'!A:A,D187,
'YearB-AppDetails Current Date'!F:F,E187,
'YearB-AppDetails Current Date'!E:E,--F187,
'YearB-AppDetails Current Date'!O:O,{"ACLN","ACPT","COND"},
'YearB-AppDetails Current Date'!S:S,"&lt;&gt;ACLN",
'YearB-AppDetails Current Date'!S:S,"&lt;&gt;ACPT",
'YearB-AppDetails Current Date'!S:S,"&lt;&gt;COND",
'YearB-AppDetails Current Date'!I:I,"SUMMER"))), "")</f>
        <v/>
      </c>
      <c r="K187" s="73" t="str">
        <f>IFERROR(1/(1/SUM(COUNTIFS(
'YearB-AppDetails Current Date'!A:A,D187,
'YearB-AppDetails Current Date'!F:F,E187,
'YearB-AppDetails Current Date'!E:E,--F187,
'YearB-AppDetails Current Date'!R:R,"&lt;&gt;"&amp;"",
'YearB-AppDetails Current Date'!I:I,"SUMMER"))), "")</f>
        <v/>
      </c>
      <c r="L187" s="74" t="str" cm="1">
        <f t="array" ref="L187">IFERROR(1/(1/SUM(COUNTIFS(
'YearB-AppDetails Current Date'!A:A,D187,
'YearB-AppDetails Current Date'!F:F,E187,
'YearB-AppDetails Current Date'!E:E,--F187,
'YearB-AppDetails Current Date'!T:T,{"APEX","DENY","NTSL"},
'YearB-AppDetails Current Date'!I:I,"SUMMER"))), "")</f>
        <v/>
      </c>
      <c r="M187" s="74" t="str" cm="1">
        <f t="array" ref="M187">IFERROR(1/(1/SUM(COUNTIFS(
'YearB-AppDetails Current Date'!A:A,D187,
'YearB-AppDetails Current Date'!F:F,E187,
'YearB-AppDetails Current Date'!E:E,--F187,
'YearB-AppDetails Current Date'!U:U,{"CCAN","DECL"},
'YearB-AppDetails Current Date'!I:I,"SUMMER"))), "")</f>
        <v/>
      </c>
      <c r="N187" s="74" t="str" cm="1">
        <f t="array" ref="N187">IFERROR(1/(1/SUM(COUNTIFS(
'YearB-AppDetails Current Date'!A:A,D187,
'YearB-AppDetails Current Date'!F:F,E187,
'YearB-AppDetails Current Date'!E:E,--F187,
'YearB-AppDetails Current Date'!V:V,{"APRO","NODE"},
'YearB-AppDetails Current Date'!I:I,"SUMMER"))), "")</f>
        <v/>
      </c>
      <c r="O187" s="74" t="str" cm="1">
        <f t="array" ref="O187">IFERROR(1/(1/SUM(COUNTIFS(
'YearB-AppDetails Current Date'!A:A,D187,
'YearB-AppDetails Current Date'!F:F,E187,
'YearB-AppDetails Current Date'!E:E,--F187,
'YearB-AppDetails Current Date'!T:T,{"CDMT","RQMT","WAIT"},
'YearB-AppDetails Current Date'!I:I,"SUMMER"))), "")</f>
        <v/>
      </c>
      <c r="P187" s="74" t="str">
        <f>IFERROR(1/(1/COUNTIFS(
'YearB-AppDetails Current Date'!A:A,D187,
'YearB-AppDetails Current Date'!F:F,E187,
'YearB-AppDetails Current Date'!E:E,--F187,
'YearB-AppDetails Current Date'!Y:Y,"ENRO",
'YearB-AppDetails Current Date'!I:I,"SUMMER")),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HC'!D:T,10,FALSE)),
N(VLOOKUP(D188&amp;F188,'Budgeted Projections Dom HC'!D:T,11,FALSE))
)
),"")</f>
        <v/>
      </c>
      <c r="I188" s="73" t="str">
        <f>IFERROR(1/(1/COUNTIFS(
'YearB-AppDetails Current Date'!A:A,D188,
'YearB-AppDetails Current Date'!F:F,E188,
'YearB-AppDetails Current Date'!E:E,--F188,
'YearB-AppDetails Current Date'!I:I,"SUMMER")), "")</f>
        <v/>
      </c>
      <c r="J188" s="74" t="str" cm="1">
        <f t="array" ref="J188">IFERROR(1/(1/SUM(COUNTIFS(
'YearB-AppDetails Current Date'!A:A,D188,
'YearB-AppDetails Current Date'!F:F,E188,
'YearB-AppDetails Current Date'!E:E,--F188,
'YearB-AppDetails Current Date'!O:O,{"ACLN","ACPT","COND"},
'YearB-AppDetails Current Date'!S:S,"&lt;&gt;ACLN",
'YearB-AppDetails Current Date'!S:S,"&lt;&gt;ACPT",
'YearB-AppDetails Current Date'!S:S,"&lt;&gt;COND",
'YearB-AppDetails Current Date'!I:I,"SUMMER"))), "")</f>
        <v/>
      </c>
      <c r="K188" s="73" t="str">
        <f>IFERROR(1/(1/SUM(COUNTIFS(
'YearB-AppDetails Current Date'!A:A,D188,
'YearB-AppDetails Current Date'!F:F,E188,
'YearB-AppDetails Current Date'!E:E,--F188,
'YearB-AppDetails Current Date'!R:R,"&lt;&gt;"&amp;"",
'YearB-AppDetails Current Date'!I:I,"SUMMER"))), "")</f>
        <v/>
      </c>
      <c r="L188" s="74" t="str" cm="1">
        <f t="array" ref="L188">IFERROR(1/(1/SUM(COUNTIFS(
'YearB-AppDetails Current Date'!A:A,D188,
'YearB-AppDetails Current Date'!F:F,E188,
'YearB-AppDetails Current Date'!E:E,--F188,
'YearB-AppDetails Current Date'!T:T,{"APEX","DENY","NTSL"},
'YearB-AppDetails Current Date'!I:I,"SUMMER"))), "")</f>
        <v/>
      </c>
      <c r="M188" s="74" t="str" cm="1">
        <f t="array" ref="M188">IFERROR(1/(1/SUM(COUNTIFS(
'YearB-AppDetails Current Date'!A:A,D188,
'YearB-AppDetails Current Date'!F:F,E188,
'YearB-AppDetails Current Date'!E:E,--F188,
'YearB-AppDetails Current Date'!U:U,{"CCAN","DECL"},
'YearB-AppDetails Current Date'!I:I,"SUMMER"))), "")</f>
        <v/>
      </c>
      <c r="N188" s="74" t="str" cm="1">
        <f t="array" ref="N188">IFERROR(1/(1/SUM(COUNTIFS(
'YearB-AppDetails Current Date'!A:A,D188,
'YearB-AppDetails Current Date'!F:F,E188,
'YearB-AppDetails Current Date'!E:E,--F188,
'YearB-AppDetails Current Date'!V:V,{"APRO","NODE"},
'YearB-AppDetails Current Date'!I:I,"SUMMER"))), "")</f>
        <v/>
      </c>
      <c r="O188" s="74" t="str" cm="1">
        <f t="array" ref="O188">IFERROR(1/(1/SUM(COUNTIFS(
'YearB-AppDetails Current Date'!A:A,D188,
'YearB-AppDetails Current Date'!F:F,E188,
'YearB-AppDetails Current Date'!E:E,--F188,
'YearB-AppDetails Current Date'!T:T,{"CDMT","RQMT","WAIT"},
'YearB-AppDetails Current Date'!I:I,"SUMMER"))), "")</f>
        <v/>
      </c>
      <c r="P188" s="74" t="str">
        <f>IFERROR(1/(1/COUNTIFS(
'YearB-AppDetails Current Date'!A:A,D188,
'YearB-AppDetails Current Date'!F:F,E188,
'YearB-AppDetails Current Date'!E:E,--F188,
'YearB-AppDetails Current Date'!Y:Y,"ENRO",
'YearB-AppDetails Current Date'!I:I,"SUMMER")),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HC'!D:T,10,FALSE)),
N(VLOOKUP(D189&amp;F189,'Budgeted Projections Intl HC'!D:T,11,FALSE))
)
),"")</f>
        <v/>
      </c>
      <c r="I189" s="73" t="str">
        <f>IFERROR(1/(1/COUNTIFS(
'YearB-AppDetails Current Date'!A:A,D189,
'YearB-AppDetails Current Date'!F:F,E189,
'YearB-AppDetails Current Date'!E:E,--F189,
'YearB-AppDetails Current Date'!I:I,"SUMMER")), "")</f>
        <v/>
      </c>
      <c r="J189" s="74" t="str" cm="1">
        <f t="array" ref="J189">IFERROR(1/(1/SUM(COUNTIFS(
'YearB-AppDetails Current Date'!A:A,D189,
'YearB-AppDetails Current Date'!F:F,E189,
'YearB-AppDetails Current Date'!E:E,--F189,
'YearB-AppDetails Current Date'!O:O,{"ACLN","ACPT","COND"},
'YearB-AppDetails Current Date'!S:S,"&lt;&gt;ACLN",
'YearB-AppDetails Current Date'!S:S,"&lt;&gt;ACPT",
'YearB-AppDetails Current Date'!S:S,"&lt;&gt;COND",
'YearB-AppDetails Current Date'!I:I,"SUMMER"))), "")</f>
        <v/>
      </c>
      <c r="K189" s="73" t="str">
        <f>IFERROR(1/(1/SUM(COUNTIFS(
'YearB-AppDetails Current Date'!A:A,D189,
'YearB-AppDetails Current Date'!F:F,E189,
'YearB-AppDetails Current Date'!E:E,--F189,
'YearB-AppDetails Current Date'!R:R,"&lt;&gt;"&amp;"",
'YearB-AppDetails Current Date'!I:I,"SUMMER"))), "")</f>
        <v/>
      </c>
      <c r="L189" s="74" t="str" cm="1">
        <f t="array" ref="L189">IFERROR(1/(1/SUM(COUNTIFS(
'YearB-AppDetails Current Date'!A:A,D189,
'YearB-AppDetails Current Date'!F:F,E189,
'YearB-AppDetails Current Date'!E:E,--F189,
'YearB-AppDetails Current Date'!T:T,{"APEX","DENY","NTSL"},
'YearB-AppDetails Current Date'!I:I,"SUMMER"))), "")</f>
        <v/>
      </c>
      <c r="M189" s="74" t="str" cm="1">
        <f t="array" ref="M189">IFERROR(1/(1/SUM(COUNTIFS(
'YearB-AppDetails Current Date'!A:A,D189,
'YearB-AppDetails Current Date'!F:F,E189,
'YearB-AppDetails Current Date'!E:E,--F189,
'YearB-AppDetails Current Date'!U:U,{"CCAN","DECL"},
'YearB-AppDetails Current Date'!I:I,"SUMMER"))), "")</f>
        <v/>
      </c>
      <c r="N189" s="74" t="str" cm="1">
        <f t="array" ref="N189">IFERROR(1/(1/SUM(COUNTIFS(
'YearB-AppDetails Current Date'!A:A,D189,
'YearB-AppDetails Current Date'!F:F,E189,
'YearB-AppDetails Current Date'!E:E,--F189,
'YearB-AppDetails Current Date'!V:V,{"APRO","NODE"},
'YearB-AppDetails Current Date'!I:I,"SUMMER"))), "")</f>
        <v/>
      </c>
      <c r="O189" s="74" t="str" cm="1">
        <f t="array" ref="O189">IFERROR(1/(1/SUM(COUNTIFS(
'YearB-AppDetails Current Date'!A:A,D189,
'YearB-AppDetails Current Date'!F:F,E189,
'YearB-AppDetails Current Date'!E:E,--F189,
'YearB-AppDetails Current Date'!T:T,{"CDMT","RQMT","WAIT"},
'YearB-AppDetails Current Date'!I:I,"SUMMER"))), "")</f>
        <v/>
      </c>
      <c r="P189" s="74" t="str">
        <f>IFERROR(1/(1/COUNTIFS(
'YearB-AppDetails Current Date'!A:A,D189,
'YearB-AppDetails Current Date'!F:F,E189,
'YearB-AppDetails Current Date'!E:E,--F189,
'YearB-AppDetails Current Date'!Y:Y,"ENRO",
'YearB-AppDetails Current Date'!I:I,"SUMMER")),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HC'!D:T,10,FALSE)),
N(VLOOKUP(D190&amp;F190,'Budgeted Projections Dom HC'!D:T,11,FALSE))
)
),"")</f>
        <v/>
      </c>
      <c r="I190" s="73" t="str">
        <f>IFERROR(1/(1/COUNTIFS(
'YearB-AppDetails Current Date'!A:A,D190,
'YearB-AppDetails Current Date'!F:F,E190,
'YearB-AppDetails Current Date'!E:E,--F190,
'YearB-AppDetails Current Date'!I:I,"SUMMER")), "")</f>
        <v/>
      </c>
      <c r="J190" s="74" t="str" cm="1">
        <f t="array" ref="J190">IFERROR(1/(1/SUM(COUNTIFS(
'YearB-AppDetails Current Date'!A:A,D190,
'YearB-AppDetails Current Date'!F:F,E190,
'YearB-AppDetails Current Date'!E:E,--F190,
'YearB-AppDetails Current Date'!O:O,{"ACLN","ACPT","COND"},
'YearB-AppDetails Current Date'!S:S,"&lt;&gt;ACLN",
'YearB-AppDetails Current Date'!S:S,"&lt;&gt;ACPT",
'YearB-AppDetails Current Date'!S:S,"&lt;&gt;COND",
'YearB-AppDetails Current Date'!I:I,"SUMMER"))), "")</f>
        <v/>
      </c>
      <c r="K190" s="73" t="str">
        <f>IFERROR(1/(1/SUM(COUNTIFS(
'YearB-AppDetails Current Date'!A:A,D190,
'YearB-AppDetails Current Date'!F:F,E190,
'YearB-AppDetails Current Date'!E:E,--F190,
'YearB-AppDetails Current Date'!R:R,"&lt;&gt;"&amp;"",
'YearB-AppDetails Current Date'!I:I,"SUMMER"))), "")</f>
        <v/>
      </c>
      <c r="L190" s="74" t="str" cm="1">
        <f t="array" ref="L190">IFERROR(1/(1/SUM(COUNTIFS(
'YearB-AppDetails Current Date'!A:A,D190,
'YearB-AppDetails Current Date'!F:F,E190,
'YearB-AppDetails Current Date'!E:E,--F190,
'YearB-AppDetails Current Date'!T:T,{"APEX","DENY","NTSL"},
'YearB-AppDetails Current Date'!I:I,"SUMMER"))), "")</f>
        <v/>
      </c>
      <c r="M190" s="74" t="str" cm="1">
        <f t="array" ref="M190">IFERROR(1/(1/SUM(COUNTIFS(
'YearB-AppDetails Current Date'!A:A,D190,
'YearB-AppDetails Current Date'!F:F,E190,
'YearB-AppDetails Current Date'!E:E,--F190,
'YearB-AppDetails Current Date'!U:U,{"CCAN","DECL"},
'YearB-AppDetails Current Date'!I:I,"SUMMER"))), "")</f>
        <v/>
      </c>
      <c r="N190" s="74" t="str" cm="1">
        <f t="array" ref="N190">IFERROR(1/(1/SUM(COUNTIFS(
'YearB-AppDetails Current Date'!A:A,D190,
'YearB-AppDetails Current Date'!F:F,E190,
'YearB-AppDetails Current Date'!E:E,--F190,
'YearB-AppDetails Current Date'!V:V,{"APRO","NODE"},
'YearB-AppDetails Current Date'!I:I,"SUMMER"))), "")</f>
        <v/>
      </c>
      <c r="O190" s="74" t="str" cm="1">
        <f t="array" ref="O190">IFERROR(1/(1/SUM(COUNTIFS(
'YearB-AppDetails Current Date'!A:A,D190,
'YearB-AppDetails Current Date'!F:F,E190,
'YearB-AppDetails Current Date'!E:E,--F190,
'YearB-AppDetails Current Date'!T:T,{"CDMT","RQMT","WAIT"},
'YearB-AppDetails Current Date'!I:I,"SUMMER"))), "")</f>
        <v/>
      </c>
      <c r="P190" s="74" t="str">
        <f>IFERROR(1/(1/COUNTIFS(
'YearB-AppDetails Current Date'!A:A,D190,
'YearB-AppDetails Current Date'!F:F,E190,
'YearB-AppDetails Current Date'!E:E,--F190,
'YearB-AppDetails Current Date'!Y:Y,"ENRO",
'YearB-AppDetails Current Date'!I:I,"SUMMER")),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HC'!D:T,10,FALSE)),
N(VLOOKUP(D191&amp;F191,'Budgeted Projections Intl HC'!D:T,11,FALSE))
)
),"")</f>
        <v/>
      </c>
      <c r="I191" s="73" t="str">
        <f>IFERROR(1/(1/COUNTIFS(
'YearB-AppDetails Current Date'!A:A,D191,
'YearB-AppDetails Current Date'!F:F,E191,
'YearB-AppDetails Current Date'!E:E,--F191,
'YearB-AppDetails Current Date'!I:I,"SUMMER")), "")</f>
        <v/>
      </c>
      <c r="J191" s="74" t="str" cm="1">
        <f t="array" ref="J191">IFERROR(1/(1/SUM(COUNTIFS(
'YearB-AppDetails Current Date'!A:A,D191,
'YearB-AppDetails Current Date'!F:F,E191,
'YearB-AppDetails Current Date'!E:E,--F191,
'YearB-AppDetails Current Date'!O:O,{"ACLN","ACPT","COND"},
'YearB-AppDetails Current Date'!S:S,"&lt;&gt;ACLN",
'YearB-AppDetails Current Date'!S:S,"&lt;&gt;ACPT",
'YearB-AppDetails Current Date'!S:S,"&lt;&gt;COND",
'YearB-AppDetails Current Date'!I:I,"SUMMER"))), "")</f>
        <v/>
      </c>
      <c r="K191" s="73" t="str">
        <f>IFERROR(1/(1/SUM(COUNTIFS(
'YearB-AppDetails Current Date'!A:A,D191,
'YearB-AppDetails Current Date'!F:F,E191,
'YearB-AppDetails Current Date'!E:E,--F191,
'YearB-AppDetails Current Date'!R:R,"&lt;&gt;"&amp;"",
'YearB-AppDetails Current Date'!I:I,"SUMMER"))), "")</f>
        <v/>
      </c>
      <c r="L191" s="74" t="str" cm="1">
        <f t="array" ref="L191">IFERROR(1/(1/SUM(COUNTIFS(
'YearB-AppDetails Current Date'!A:A,D191,
'YearB-AppDetails Current Date'!F:F,E191,
'YearB-AppDetails Current Date'!E:E,--F191,
'YearB-AppDetails Current Date'!T:T,{"APEX","DENY","NTSL"},
'YearB-AppDetails Current Date'!I:I,"SUMMER"))), "")</f>
        <v/>
      </c>
      <c r="M191" s="74" t="str" cm="1">
        <f t="array" ref="M191">IFERROR(1/(1/SUM(COUNTIFS(
'YearB-AppDetails Current Date'!A:A,D191,
'YearB-AppDetails Current Date'!F:F,E191,
'YearB-AppDetails Current Date'!E:E,--F191,
'YearB-AppDetails Current Date'!U:U,{"CCAN","DECL"},
'YearB-AppDetails Current Date'!I:I,"SUMMER"))), "")</f>
        <v/>
      </c>
      <c r="N191" s="74" t="str" cm="1">
        <f t="array" ref="N191">IFERROR(1/(1/SUM(COUNTIFS(
'YearB-AppDetails Current Date'!A:A,D191,
'YearB-AppDetails Current Date'!F:F,E191,
'YearB-AppDetails Current Date'!E:E,--F191,
'YearB-AppDetails Current Date'!V:V,{"APRO","NODE"},
'YearB-AppDetails Current Date'!I:I,"SUMMER"))), "")</f>
        <v/>
      </c>
      <c r="O191" s="74" t="str" cm="1">
        <f t="array" ref="O191">IFERROR(1/(1/SUM(COUNTIFS(
'YearB-AppDetails Current Date'!A:A,D191,
'YearB-AppDetails Current Date'!F:F,E191,
'YearB-AppDetails Current Date'!E:E,--F191,
'YearB-AppDetails Current Date'!T:T,{"CDMT","RQMT","WAIT"},
'YearB-AppDetails Current Date'!I:I,"SUMMER"))), "")</f>
        <v/>
      </c>
      <c r="P191" s="74" t="str">
        <f>IFERROR(1/(1/COUNTIFS(
'YearB-AppDetails Current Date'!A:A,D191,
'YearB-AppDetails Current Date'!F:F,E191,
'YearB-AppDetails Current Date'!E:E,--F191,
'YearB-AppDetails Current Date'!Y:Y,"ENRO",
'YearB-AppDetails Current Date'!I:I,"SUMMER")),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HC'!D:T,10,FALSE)),
N(VLOOKUP(D192&amp;F192,'Budgeted Projections Dom HC'!D:T,11,FALSE))
)
),"")</f>
        <v/>
      </c>
      <c r="I192" s="73" t="str">
        <f>IFERROR(1/(1/COUNTIFS(
'YearB-AppDetails Current Date'!A:A,D192,
'YearB-AppDetails Current Date'!F:F,E192,
'YearB-AppDetails Current Date'!E:E,--F192,
'YearB-AppDetails Current Date'!I:I,"SUMMER")), "")</f>
        <v/>
      </c>
      <c r="J192" s="74" t="str" cm="1">
        <f t="array" ref="J192">IFERROR(1/(1/SUM(COUNTIFS(
'YearB-AppDetails Current Date'!A:A,D192,
'YearB-AppDetails Current Date'!F:F,E192,
'YearB-AppDetails Current Date'!E:E,--F192,
'YearB-AppDetails Current Date'!O:O,{"ACLN","ACPT","COND"},
'YearB-AppDetails Current Date'!S:S,"&lt;&gt;ACLN",
'YearB-AppDetails Current Date'!S:S,"&lt;&gt;ACPT",
'YearB-AppDetails Current Date'!S:S,"&lt;&gt;COND",
'YearB-AppDetails Current Date'!I:I,"SUMMER"))), "")</f>
        <v/>
      </c>
      <c r="K192" s="73" t="str">
        <f>IFERROR(1/(1/SUM(COUNTIFS(
'YearB-AppDetails Current Date'!A:A,D192,
'YearB-AppDetails Current Date'!F:F,E192,
'YearB-AppDetails Current Date'!E:E,--F192,
'YearB-AppDetails Current Date'!R:R,"&lt;&gt;"&amp;"",
'YearB-AppDetails Current Date'!I:I,"SUMMER"))), "")</f>
        <v/>
      </c>
      <c r="L192" s="74" t="str" cm="1">
        <f t="array" ref="L192">IFERROR(1/(1/SUM(COUNTIFS(
'YearB-AppDetails Current Date'!A:A,D192,
'YearB-AppDetails Current Date'!F:F,E192,
'YearB-AppDetails Current Date'!E:E,--F192,
'YearB-AppDetails Current Date'!T:T,{"APEX","DENY","NTSL"},
'YearB-AppDetails Current Date'!I:I,"SUMMER"))), "")</f>
        <v/>
      </c>
      <c r="M192" s="74" t="str" cm="1">
        <f t="array" ref="M192">IFERROR(1/(1/SUM(COUNTIFS(
'YearB-AppDetails Current Date'!A:A,D192,
'YearB-AppDetails Current Date'!F:F,E192,
'YearB-AppDetails Current Date'!E:E,--F192,
'YearB-AppDetails Current Date'!U:U,{"CCAN","DECL"},
'YearB-AppDetails Current Date'!I:I,"SUMMER"))), "")</f>
        <v/>
      </c>
      <c r="N192" s="74" t="str" cm="1">
        <f t="array" ref="N192">IFERROR(1/(1/SUM(COUNTIFS(
'YearB-AppDetails Current Date'!A:A,D192,
'YearB-AppDetails Current Date'!F:F,E192,
'YearB-AppDetails Current Date'!E:E,--F192,
'YearB-AppDetails Current Date'!V:V,{"APRO","NODE"},
'YearB-AppDetails Current Date'!I:I,"SUMMER"))), "")</f>
        <v/>
      </c>
      <c r="O192" s="74" t="str" cm="1">
        <f t="array" ref="O192">IFERROR(1/(1/SUM(COUNTIFS(
'YearB-AppDetails Current Date'!A:A,D192,
'YearB-AppDetails Current Date'!F:F,E192,
'YearB-AppDetails Current Date'!E:E,--F192,
'YearB-AppDetails Current Date'!T:T,{"CDMT","RQMT","WAIT"},
'YearB-AppDetails Current Date'!I:I,"SUMMER"))), "")</f>
        <v/>
      </c>
      <c r="P192" s="74" t="str">
        <f>IFERROR(1/(1/COUNTIFS(
'YearB-AppDetails Current Date'!A:A,D192,
'YearB-AppDetails Current Date'!F:F,E192,
'YearB-AppDetails Current Date'!E:E,--F192,
'YearB-AppDetails Current Date'!Y:Y,"ENRO",
'YearB-AppDetails Current Date'!I:I,"SUMMER")),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HC'!D:T,10,FALSE)),
N(VLOOKUP(D193&amp;F193,'Budgeted Projections Intl HC'!D:T,11,FALSE))
)
),"")</f>
        <v/>
      </c>
      <c r="I193" s="73" t="str">
        <f>IFERROR(1/(1/COUNTIFS(
'YearB-AppDetails Current Date'!A:A,D193,
'YearB-AppDetails Current Date'!F:F,E193,
'YearB-AppDetails Current Date'!E:E,--F193,
'YearB-AppDetails Current Date'!I:I,"SUMMER")), "")</f>
        <v/>
      </c>
      <c r="J193" s="74" t="str" cm="1">
        <f t="array" ref="J193">IFERROR(1/(1/SUM(COUNTIFS(
'YearB-AppDetails Current Date'!A:A,D193,
'YearB-AppDetails Current Date'!F:F,E193,
'YearB-AppDetails Current Date'!E:E,--F193,
'YearB-AppDetails Current Date'!O:O,{"ACLN","ACPT","COND"},
'YearB-AppDetails Current Date'!S:S,"&lt;&gt;ACLN",
'YearB-AppDetails Current Date'!S:S,"&lt;&gt;ACPT",
'YearB-AppDetails Current Date'!S:S,"&lt;&gt;COND",
'YearB-AppDetails Current Date'!I:I,"SUMMER"))), "")</f>
        <v/>
      </c>
      <c r="K193" s="73" t="str">
        <f>IFERROR(1/(1/SUM(COUNTIFS(
'YearB-AppDetails Current Date'!A:A,D193,
'YearB-AppDetails Current Date'!F:F,E193,
'YearB-AppDetails Current Date'!E:E,--F193,
'YearB-AppDetails Current Date'!R:R,"&lt;&gt;"&amp;"",
'YearB-AppDetails Current Date'!I:I,"SUMMER"))), "")</f>
        <v/>
      </c>
      <c r="L193" s="74" t="str" cm="1">
        <f t="array" ref="L193">IFERROR(1/(1/SUM(COUNTIFS(
'YearB-AppDetails Current Date'!A:A,D193,
'YearB-AppDetails Current Date'!F:F,E193,
'YearB-AppDetails Current Date'!E:E,--F193,
'YearB-AppDetails Current Date'!T:T,{"APEX","DENY","NTSL"},
'YearB-AppDetails Current Date'!I:I,"SUMMER"))), "")</f>
        <v/>
      </c>
      <c r="M193" s="74" t="str" cm="1">
        <f t="array" ref="M193">IFERROR(1/(1/SUM(COUNTIFS(
'YearB-AppDetails Current Date'!A:A,D193,
'YearB-AppDetails Current Date'!F:F,E193,
'YearB-AppDetails Current Date'!E:E,--F193,
'YearB-AppDetails Current Date'!U:U,{"CCAN","DECL"},
'YearB-AppDetails Current Date'!I:I,"SUMMER"))), "")</f>
        <v/>
      </c>
      <c r="N193" s="74" t="str" cm="1">
        <f t="array" ref="N193">IFERROR(1/(1/SUM(COUNTIFS(
'YearB-AppDetails Current Date'!A:A,D193,
'YearB-AppDetails Current Date'!F:F,E193,
'YearB-AppDetails Current Date'!E:E,--F193,
'YearB-AppDetails Current Date'!V:V,{"APRO","NODE"},
'YearB-AppDetails Current Date'!I:I,"SUMMER"))), "")</f>
        <v/>
      </c>
      <c r="O193" s="74" t="str" cm="1">
        <f t="array" ref="O193">IFERROR(1/(1/SUM(COUNTIFS(
'YearB-AppDetails Current Date'!A:A,D193,
'YearB-AppDetails Current Date'!F:F,E193,
'YearB-AppDetails Current Date'!E:E,--F193,
'YearB-AppDetails Current Date'!T:T,{"CDMT","RQMT","WAIT"},
'YearB-AppDetails Current Date'!I:I,"SUMMER"))), "")</f>
        <v/>
      </c>
      <c r="P193" s="74" t="str">
        <f>IFERROR(1/(1/COUNTIFS(
'YearB-AppDetails Current Date'!A:A,D193,
'YearB-AppDetails Current Date'!F:F,E193,
'YearB-AppDetails Current Date'!E:E,--F193,
'YearB-AppDetails Current Date'!Y:Y,"ENRO",
'YearB-AppDetails Current Date'!I:I,"SUMMER")),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HC'!D:T,10,FALSE)),
N(VLOOKUP(D195&amp;F195,'Budgeted Projections Dom HC'!D:T,11,FALSE))
)
),"")</f>
        <v/>
      </c>
      <c r="I195" s="73" t="str">
        <f>IFERROR(1/(1/COUNTIFS(
'YearB-AppDetails Current Date'!A:A,D195,
'YearB-AppDetails Current Date'!F:F,E195,
'YearB-AppDetails Current Date'!E:E,--F195,
'YearB-AppDetails Current Date'!I:I,"SUMMER")), "")</f>
        <v/>
      </c>
      <c r="J195" s="74" t="str" cm="1">
        <f t="array" ref="J195">IFERROR(1/(1/SUM(COUNTIFS(
'YearB-AppDetails Current Date'!A:A,D195,
'YearB-AppDetails Current Date'!F:F,E195,
'YearB-AppDetails Current Date'!E:E,--F195,
'YearB-AppDetails Current Date'!O:O,{"ACLN","ACPT","COND"},
'YearB-AppDetails Current Date'!S:S,"&lt;&gt;ACLN",
'YearB-AppDetails Current Date'!S:S,"&lt;&gt;ACPT",
'YearB-AppDetails Current Date'!S:S,"&lt;&gt;COND",
'YearB-AppDetails Current Date'!I:I,"SUMMER"))), "")</f>
        <v/>
      </c>
      <c r="K195" s="73" t="str">
        <f>IFERROR(1/(1/SUM(COUNTIFS(
'YearB-AppDetails Current Date'!A:A,D195,
'YearB-AppDetails Current Date'!F:F,E195,
'YearB-AppDetails Current Date'!E:E,--F195,
'YearB-AppDetails Current Date'!R:R,"&lt;&gt;"&amp;"",
'YearB-AppDetails Current Date'!I:I,"SUMMER"))), "")</f>
        <v/>
      </c>
      <c r="L195" s="74" t="str" cm="1">
        <f t="array" ref="L195">IFERROR(1/(1/SUM(COUNTIFS(
'YearB-AppDetails Current Date'!A:A,D195,
'YearB-AppDetails Current Date'!F:F,E195,
'YearB-AppDetails Current Date'!E:E,--F195,
'YearB-AppDetails Current Date'!T:T,{"APEX","DENY","NTSL"},
'YearB-AppDetails Current Date'!I:I,"SUMMER"))), "")</f>
        <v/>
      </c>
      <c r="M195" s="74" t="str" cm="1">
        <f t="array" ref="M195">IFERROR(1/(1/SUM(COUNTIFS(
'YearB-AppDetails Current Date'!A:A,D195,
'YearB-AppDetails Current Date'!F:F,E195,
'YearB-AppDetails Current Date'!E:E,--F195,
'YearB-AppDetails Current Date'!U:U,{"CCAN","DECL"},
'YearB-AppDetails Current Date'!I:I,"SUMMER"))), "")</f>
        <v/>
      </c>
      <c r="N195" s="74" t="str" cm="1">
        <f t="array" ref="N195">IFERROR(1/(1/SUM(COUNTIFS(
'YearB-AppDetails Current Date'!A:A,D195,
'YearB-AppDetails Current Date'!F:F,E195,
'YearB-AppDetails Current Date'!E:E,--F195,
'YearB-AppDetails Current Date'!V:V,{"APRO","NODE"},
'YearB-AppDetails Current Date'!I:I,"SUMMER"))), "")</f>
        <v/>
      </c>
      <c r="O195" s="74" t="str" cm="1">
        <f t="array" ref="O195">IFERROR(1/(1/SUM(COUNTIFS(
'YearB-AppDetails Current Date'!A:A,D195,
'YearB-AppDetails Current Date'!F:F,E195,
'YearB-AppDetails Current Date'!E:E,--F195,
'YearB-AppDetails Current Date'!T:T,{"CDMT","RQMT","WAIT"},
'YearB-AppDetails Current Date'!I:I,"SUMMER"))), "")</f>
        <v/>
      </c>
      <c r="P195" s="74" t="str">
        <f>IFERROR(1/(1/COUNTIFS(
'YearB-AppDetails Current Date'!A:A,D195,
'YearB-AppDetails Current Date'!F:F,E195,
'YearB-AppDetails Current Date'!E:E,--F195,
'YearB-AppDetails Current Date'!Y:Y,"ENRO",
'YearB-AppDetails Current Date'!I:I,"SUMMER")),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HC'!D:T,10,FALSE)),
N(VLOOKUP(D196&amp;F196,'Budgeted Projections Intl HC'!D:T,11,FALSE))
)
),"")</f>
        <v/>
      </c>
      <c r="I196" s="73" t="str">
        <f>IFERROR(1/(1/COUNTIFS(
'YearB-AppDetails Current Date'!A:A,D196,
'YearB-AppDetails Current Date'!F:F,E196,
'YearB-AppDetails Current Date'!E:E,--F196,
'YearB-AppDetails Current Date'!I:I,"SUMMER")), "")</f>
        <v/>
      </c>
      <c r="J196" s="74" t="str" cm="1">
        <f t="array" ref="J196">IFERROR(1/(1/SUM(COUNTIFS(
'YearB-AppDetails Current Date'!A:A,D196,
'YearB-AppDetails Current Date'!F:F,E196,
'YearB-AppDetails Current Date'!E:E,--F196,
'YearB-AppDetails Current Date'!O:O,{"ACLN","ACPT","COND"},
'YearB-AppDetails Current Date'!S:S,"&lt;&gt;ACLN",
'YearB-AppDetails Current Date'!S:S,"&lt;&gt;ACPT",
'YearB-AppDetails Current Date'!S:S,"&lt;&gt;COND",
'YearB-AppDetails Current Date'!I:I,"SUMMER"))), "")</f>
        <v/>
      </c>
      <c r="K196" s="73" t="str">
        <f>IFERROR(1/(1/SUM(COUNTIFS(
'YearB-AppDetails Current Date'!A:A,D196,
'YearB-AppDetails Current Date'!F:F,E196,
'YearB-AppDetails Current Date'!E:E,--F196,
'YearB-AppDetails Current Date'!R:R,"&lt;&gt;"&amp;"",
'YearB-AppDetails Current Date'!I:I,"SUMMER"))), "")</f>
        <v/>
      </c>
      <c r="L196" s="74" t="str" cm="1">
        <f t="array" ref="L196">IFERROR(1/(1/SUM(COUNTIFS(
'YearB-AppDetails Current Date'!A:A,D196,
'YearB-AppDetails Current Date'!F:F,E196,
'YearB-AppDetails Current Date'!E:E,--F196,
'YearB-AppDetails Current Date'!T:T,{"APEX","DENY","NTSL"},
'YearB-AppDetails Current Date'!I:I,"SUMMER"))), "")</f>
        <v/>
      </c>
      <c r="M196" s="74" t="str" cm="1">
        <f t="array" ref="M196">IFERROR(1/(1/SUM(COUNTIFS(
'YearB-AppDetails Current Date'!A:A,D196,
'YearB-AppDetails Current Date'!F:F,E196,
'YearB-AppDetails Current Date'!E:E,--F196,
'YearB-AppDetails Current Date'!U:U,{"CCAN","DECL"},
'YearB-AppDetails Current Date'!I:I,"SUMMER"))), "")</f>
        <v/>
      </c>
      <c r="N196" s="74" t="str" cm="1">
        <f t="array" ref="N196">IFERROR(1/(1/SUM(COUNTIFS(
'YearB-AppDetails Current Date'!A:A,D196,
'YearB-AppDetails Current Date'!F:F,E196,
'YearB-AppDetails Current Date'!E:E,--F196,
'YearB-AppDetails Current Date'!V:V,{"APRO","NODE"},
'YearB-AppDetails Current Date'!I:I,"SUMMER"))), "")</f>
        <v/>
      </c>
      <c r="O196" s="74" t="str" cm="1">
        <f t="array" ref="O196">IFERROR(1/(1/SUM(COUNTIFS(
'YearB-AppDetails Current Date'!A:A,D196,
'YearB-AppDetails Current Date'!F:F,E196,
'YearB-AppDetails Current Date'!E:E,--F196,
'YearB-AppDetails Current Date'!T:T,{"CDMT","RQMT","WAIT"},
'YearB-AppDetails Current Date'!I:I,"SUMMER"))), "")</f>
        <v/>
      </c>
      <c r="P196" s="74" t="str">
        <f>IFERROR(1/(1/COUNTIFS(
'YearB-AppDetails Current Date'!A:A,D196,
'YearB-AppDetails Current Date'!F:F,E196,
'YearB-AppDetails Current Date'!E:E,--F196,
'YearB-AppDetails Current Date'!Y:Y,"ENRO",
'YearB-AppDetails Current Date'!I:I,"SUMMER")),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HC'!D:T,10,FALSE)),
N(VLOOKUP(D199&amp;F199,'Budgeted Projections Dom HC'!D:T,11,FALSE))
)/4)
),"")</f>
        <v/>
      </c>
      <c r="I199" s="73" t="str">
        <f>IFERROR(1/(1/COUNTIFS(
'YearB-AppDetails Current Date'!A:A,D199,
'YearB-AppDetails Current Date'!F:F,E199,
'YearB-AppDetails Current Date'!E:E,--F199,
'YearB-AppDetails Current Date'!I:I,"SUMMER")), "")</f>
        <v/>
      </c>
      <c r="J199" s="74" t="str" cm="1">
        <f t="array" ref="J199">IFERROR(1/(1/SUM(COUNTIFS(
'YearB-AppDetails Current Date'!A:A,D199,
'YearB-AppDetails Current Date'!F:F,E199,
'YearB-AppDetails Current Date'!E:E,--F199,
'YearB-AppDetails Current Date'!O:O,{"ACLN","ACPT","COND"},
'YearB-AppDetails Current Date'!S:S,"&lt;&gt;ACLN",
'YearB-AppDetails Current Date'!S:S,"&lt;&gt;ACPT",
'YearB-AppDetails Current Date'!S:S,"&lt;&gt;COND",
'YearB-AppDetails Current Date'!I:I,"SUMMER"))), "")</f>
        <v/>
      </c>
      <c r="K199" s="73" t="str">
        <f>IFERROR(1/(1/SUM(COUNTIFS(
'YearB-AppDetails Current Date'!A:A,D199,
'YearB-AppDetails Current Date'!F:F,E199,
'YearB-AppDetails Current Date'!E:E,--F199,
'YearB-AppDetails Current Date'!R:R,"&lt;&gt;"&amp;"",
'YearB-AppDetails Current Date'!I:I,"SUMMER"))), "")</f>
        <v/>
      </c>
      <c r="L199" s="74" t="str" cm="1">
        <f t="array" ref="L199">IFERROR(1/(1/SUM(COUNTIFS(
'YearB-AppDetails Current Date'!A:A,D199,
'YearB-AppDetails Current Date'!F:F,E199,
'YearB-AppDetails Current Date'!E:E,--F199,
'YearB-AppDetails Current Date'!T:T,{"APEX","DENY","NTSL"},
'YearB-AppDetails Current Date'!I:I,"SUMMER"))), "")</f>
        <v/>
      </c>
      <c r="M199" s="74" t="str" cm="1">
        <f t="array" ref="M199">IFERROR(1/(1/SUM(COUNTIFS(
'YearB-AppDetails Current Date'!A:A,D199,
'YearB-AppDetails Current Date'!F:F,E199,
'YearB-AppDetails Current Date'!E:E,--F199,
'YearB-AppDetails Current Date'!U:U,{"CCAN","DECL"},
'YearB-AppDetails Current Date'!I:I,"SUMMER"))), "")</f>
        <v/>
      </c>
      <c r="N199" s="74" t="str" cm="1">
        <f t="array" ref="N199">IFERROR(1/(1/SUM(COUNTIFS(
'YearB-AppDetails Current Date'!A:A,D199,
'YearB-AppDetails Current Date'!F:F,E199,
'YearB-AppDetails Current Date'!E:E,--F199,
'YearB-AppDetails Current Date'!V:V,{"APRO","NODE"},
'YearB-AppDetails Current Date'!I:I,"SUMMER"))), "")</f>
        <v/>
      </c>
      <c r="O199" s="74" t="str" cm="1">
        <f t="array" ref="O199">IFERROR(1/(1/SUM(COUNTIFS(
'YearB-AppDetails Current Date'!A:A,D199,
'YearB-AppDetails Current Date'!F:F,E199,
'YearB-AppDetails Current Date'!E:E,--F199,
'YearB-AppDetails Current Date'!T:T,{"CDMT","RQMT","WAIT"},
'YearB-AppDetails Current Date'!I:I,"SUMMER"))), "")</f>
        <v/>
      </c>
      <c r="P199" s="74" t="str">
        <f>IFERROR(1/(1/COUNTIFS(
'YearB-AppDetails Current Date'!A:A,D199,
'YearB-AppDetails Current Date'!F:F,E199,
'YearB-AppDetails Current Date'!E:E,--F199,
'YearB-AppDetails Current Date'!Y:Y,"ENRO",
'YearB-AppDetails Current Date'!I:I,"SUMMER")),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HC'!D:T,10,FALSE)),
N(VLOOKUP(D200&amp;F200,'Budgeted Projections Intl HC'!D:T,11,FALSE))
)/4)
),"")</f>
        <v/>
      </c>
      <c r="I200" s="73" t="str">
        <f>IFERROR(1/(1/COUNTIFS(
'YearB-AppDetails Current Date'!A:A,D200,
'YearB-AppDetails Current Date'!F:F,E200,
'YearB-AppDetails Current Date'!E:E,--F200,
'YearB-AppDetails Current Date'!I:I,"SUMMER")), "")</f>
        <v/>
      </c>
      <c r="J200" s="74" t="str" cm="1">
        <f t="array" ref="J200">IFERROR(1/(1/SUM(COUNTIFS(
'YearB-AppDetails Current Date'!A:A,D200,
'YearB-AppDetails Current Date'!F:F,E200,
'YearB-AppDetails Current Date'!E:E,--F200,
'YearB-AppDetails Current Date'!O:O,{"ACLN","ACPT","COND"},
'YearB-AppDetails Current Date'!S:S,"&lt;&gt;ACLN",
'YearB-AppDetails Current Date'!S:S,"&lt;&gt;ACPT",
'YearB-AppDetails Current Date'!S:S,"&lt;&gt;COND",
'YearB-AppDetails Current Date'!I:I,"SUMMER"))), "")</f>
        <v/>
      </c>
      <c r="K200" s="73" t="str">
        <f>IFERROR(1/(1/SUM(COUNTIFS(
'YearB-AppDetails Current Date'!A:A,D200,
'YearB-AppDetails Current Date'!F:F,E200,
'YearB-AppDetails Current Date'!E:E,--F200,
'YearB-AppDetails Current Date'!R:R,"&lt;&gt;"&amp;"",
'YearB-AppDetails Current Date'!I:I,"SUMMER"))), "")</f>
        <v/>
      </c>
      <c r="L200" s="74" t="str" cm="1">
        <f t="array" ref="L200">IFERROR(1/(1/SUM(COUNTIFS(
'YearB-AppDetails Current Date'!A:A,D200,
'YearB-AppDetails Current Date'!F:F,E200,
'YearB-AppDetails Current Date'!E:E,--F200,
'YearB-AppDetails Current Date'!T:T,{"APEX","DENY","NTSL"},
'YearB-AppDetails Current Date'!I:I,"SUMMER"))), "")</f>
        <v/>
      </c>
      <c r="M200" s="74" t="str" cm="1">
        <f t="array" ref="M200">IFERROR(1/(1/SUM(COUNTIFS(
'YearB-AppDetails Current Date'!A:A,D200,
'YearB-AppDetails Current Date'!F:F,E200,
'YearB-AppDetails Current Date'!E:E,--F200,
'YearB-AppDetails Current Date'!U:U,{"CCAN","DECL"},
'YearB-AppDetails Current Date'!I:I,"SUMMER"))), "")</f>
        <v/>
      </c>
      <c r="N200" s="74" t="str" cm="1">
        <f t="array" ref="N200">IFERROR(1/(1/SUM(COUNTIFS(
'YearB-AppDetails Current Date'!A:A,D200,
'YearB-AppDetails Current Date'!F:F,E200,
'YearB-AppDetails Current Date'!E:E,--F200,
'YearB-AppDetails Current Date'!V:V,{"APRO","NODE"},
'YearB-AppDetails Current Date'!I:I,"SUMMER"))), "")</f>
        <v/>
      </c>
      <c r="O200" s="74" t="str" cm="1">
        <f t="array" ref="O200">IFERROR(1/(1/SUM(COUNTIFS(
'YearB-AppDetails Current Date'!A:A,D200,
'YearB-AppDetails Current Date'!F:F,E200,
'YearB-AppDetails Current Date'!E:E,--F200,
'YearB-AppDetails Current Date'!T:T,{"CDMT","RQMT","WAIT"},
'YearB-AppDetails Current Date'!I:I,"SUMMER"))), "")</f>
        <v/>
      </c>
      <c r="P200" s="74" t="str">
        <f>IFERROR(1/(1/COUNTIFS(
'YearB-AppDetails Current Date'!A:A,D200,
'YearB-AppDetails Current Date'!F:F,E200,
'YearB-AppDetails Current Date'!E:E,--F200,
'YearB-AppDetails Current Date'!Y:Y,"ENRO",
'YearB-AppDetails Current Date'!I:I,"SUMMER")),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A3:A33"/>
    <mergeCell ref="B18:B28"/>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23" priority="5" operator="between">
      <formula>10</formula>
      <formula>100000000</formula>
    </cfRule>
    <cfRule type="cellIs" dxfId="22" priority="6" operator="between">
      <formula>1</formula>
      <formula>9</formula>
    </cfRule>
    <cfRule type="expression" dxfId="21" priority="7">
      <formula>AND(J3=0, J3&lt;&gt;"")</formula>
    </cfRule>
  </conditionalFormatting>
  <conditionalFormatting sqref="J29:J32">
    <cfRule type="cellIs" dxfId="20" priority="1" operator="between">
      <formula>10</formula>
      <formula>100000000</formula>
    </cfRule>
    <cfRule type="cellIs" dxfId="19" priority="2" operator="between">
      <formula>1</formula>
      <formula>9</formula>
    </cfRule>
    <cfRule type="expression" dxfId="18"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4FE7A-1A81-4BBA-A95C-BC8F3EA9EAD0}">
  <sheetPr codeName="Sheet9">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"Fall "&amp;'YearB-AppDetails Current Date'!$J$2</f>
        <v xml:space="preserve">Fall </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HC'!D:T,10,FALSE)),
N(VLOOKUP(D3&amp;F3,'Budgeted Projections Dom HC'!D:T,11,FALSE))
)/4)
),"")</f>
        <v/>
      </c>
      <c r="I3" s="73" t="str">
        <f>IFERROR(1/(1/COUNTIFS(
'YearB-AppDetails Current Date'!A:A,D3,
'YearB-AppDetails Current Date'!F:F,E3,
'YearB-AppDetails Current Date'!E:E,--F3,
'YearB-AppDetails Current Date'!I:I,"FALL")), "")</f>
        <v/>
      </c>
      <c r="J3" s="74" t="str" cm="1">
        <f t="array" ref="J3">IFERROR(1/(1/SUM(COUNTIFS(
'YearB-AppDetails Current Date'!A:A,D3,
'YearB-AppDetails Current Date'!F:F,E3,
'YearB-AppDetails Current Date'!E:E,--F3,
'YearB-AppDetails Current Date'!O:O,{"ACLN","ACPT","COND"},
'YearB-AppDetails Current Date'!S:S,"&lt;&gt;ACLN",
'YearB-AppDetails Current Date'!S:S,"&lt;&gt;ACPT",
'YearB-AppDetails Current Date'!S:S,"&lt;&gt;COND",
'YearB-AppDetails Current Date'!I:I,"FALL"))), "")</f>
        <v/>
      </c>
      <c r="K3" s="73" t="str">
        <f>IFERROR(1/(1/SUM(COUNTIFS(
'YearB-AppDetails Current Date'!A:A,D3,
'YearB-AppDetails Current Date'!F:F,E3,
'YearB-AppDetails Current Date'!E:E,--F3,
'YearB-AppDetails Current Date'!R:R,"&lt;&gt;"&amp;"",
'YearB-AppDetails Current Date'!I:I,"FALL"))), "")</f>
        <v/>
      </c>
      <c r="L3" s="74" t="str" cm="1">
        <f t="array" ref="L3">IFERROR(1/(1/SUM(COUNTIFS(
'YearB-AppDetails Current Date'!A:A,D3,
'YearB-AppDetails Current Date'!F:F,E3,
'YearB-AppDetails Current Date'!E:E,--F3,
'YearB-AppDetails Current Date'!T:T,{"APEX","DENY","NTSL"},
'YearB-AppDetails Current Date'!I:I,"FALL"))), "")</f>
        <v/>
      </c>
      <c r="M3" s="74" t="str" cm="1">
        <f t="array" ref="M3">IFERROR(1/(1/SUM(COUNTIFS(
'YearB-AppDetails Current Date'!A:A,D3,
'YearB-AppDetails Current Date'!F:F,E3,
'YearB-AppDetails Current Date'!E:E,--F3,
'YearB-AppDetails Current Date'!U:U,{"CCAN","DECL"},
'YearB-AppDetails Current Date'!I:I,"FALL"))), "")</f>
        <v/>
      </c>
      <c r="N3" s="74" t="str" cm="1">
        <f t="array" ref="N3">IFERROR(1/(1/SUM(COUNTIFS(
'YearB-AppDetails Current Date'!A:A,D3,
'YearB-AppDetails Current Date'!F:F,E3,
'YearB-AppDetails Current Date'!E:E,--F3,
'YearB-AppDetails Current Date'!V:V,{"APRO","NODE"},
'YearB-AppDetails Current Date'!I:I,"FALL"))), "")</f>
        <v/>
      </c>
      <c r="O3" s="74" t="str" cm="1">
        <f t="array" ref="O3">IFERROR(1/(1/SUM(COUNTIFS(
'YearB-AppDetails Current Date'!A:A,D3,
'YearB-AppDetails Current Date'!F:F,E3,
'YearB-AppDetails Current Date'!E:E,--F3,
'YearB-AppDetails Current Date'!T:T,{"CDMT","RQMT","WAIT"},
'YearB-AppDetails Current Date'!I:I,"FALL"))), "")</f>
        <v/>
      </c>
      <c r="P3" s="74" t="str">
        <f>IFERROR(1/(1/COUNTIFS(
'YearB-AppDetails Current Date'!A:A,D3,
'YearB-AppDetails Current Date'!F:F,E3,
'YearB-AppDetails Current Date'!E:E,--F3,
'YearB-AppDetails Current Date'!Y:Y,"ENRO",
'YearB-AppDetails Current Date'!I:I,"FALL")), "")</f>
        <v/>
      </c>
      <c r="Q3" s="3" t="str">
        <f>IFERROR(P3/J3,"")</f>
        <v/>
      </c>
    </row>
    <row r="4" spans="1:17" ht="15.75" customHeight="1" x14ac:dyDescent="0.25">
      <c r="A4" s="170"/>
      <c r="B4" s="122"/>
      <c r="C4" s="125"/>
      <c r="D4" s="2" t="s">
        <v>47</v>
      </c>
      <c r="E4" s="2" t="s">
        <v>43</v>
      </c>
      <c r="F4" s="31">
        <v>1</v>
      </c>
      <c r="G4" s="140"/>
      <c r="H4" s="73" t="str">
        <f>IFERROR(1/(1/(
SUM(
N(VLOOKUP(D4&amp;F4,'Budgeted Projections Intl HC'!D:T,10,FALSE)),
N(VLOOKUP(D4&amp;F4,'Budgeted Projections Intl HC'!D:T,11,FALSE))
)/4)
),"")</f>
        <v/>
      </c>
      <c r="I4" s="73" t="str">
        <f>IFERROR(1/(1/COUNTIFS(
'YearB-AppDetails Current Date'!A:A,D4,
'YearB-AppDetails Current Date'!F:F,E4,
'YearB-AppDetails Current Date'!E:E,--F4,
'YearB-AppDetails Current Date'!I:I,"FALL")), "")</f>
        <v/>
      </c>
      <c r="J4" s="74" t="str" cm="1">
        <f t="array" ref="J4">IFERROR(1/(1/SUM(COUNTIFS(
'YearB-AppDetails Current Date'!A:A,D4,
'YearB-AppDetails Current Date'!F:F,E4,
'YearB-AppDetails Current Date'!E:E,--F4,
'YearB-AppDetails Current Date'!O:O,{"ACLN","ACPT","COND"},
'YearB-AppDetails Current Date'!S:S,"&lt;&gt;ACLN",
'YearB-AppDetails Current Date'!S:S,"&lt;&gt;ACPT",
'YearB-AppDetails Current Date'!S:S,"&lt;&gt;COND",
'YearB-AppDetails Current Date'!I:I,"FALL"))), "")</f>
        <v/>
      </c>
      <c r="K4" s="73" t="str">
        <f>IFERROR(1/(1/SUM(COUNTIFS(
'YearB-AppDetails Current Date'!A:A,D4,
'YearB-AppDetails Current Date'!F:F,E4,
'YearB-AppDetails Current Date'!E:E,--F4,
'YearB-AppDetails Current Date'!R:R,"&lt;&gt;"&amp;"",
'YearB-AppDetails Current Date'!I:I,"FALL"))), "")</f>
        <v/>
      </c>
      <c r="L4" s="74" t="str" cm="1">
        <f t="array" ref="L4">IFERROR(1/(1/SUM(COUNTIFS(
'YearB-AppDetails Current Date'!A:A,D4,
'YearB-AppDetails Current Date'!F:F,E4,
'YearB-AppDetails Current Date'!E:E,--F4,
'YearB-AppDetails Current Date'!T:T,{"APEX","DENY","NTSL"},
'YearB-AppDetails Current Date'!I:I,"FALL"))), "")</f>
        <v/>
      </c>
      <c r="M4" s="74" t="str" cm="1">
        <f t="array" ref="M4">IFERROR(1/(1/SUM(COUNTIFS(
'YearB-AppDetails Current Date'!A:A,D4,
'YearB-AppDetails Current Date'!F:F,E4,
'YearB-AppDetails Current Date'!E:E,--F4,
'YearB-AppDetails Current Date'!U:U,{"CCAN","DECL"},
'YearB-AppDetails Current Date'!I:I,"FALL"))), "")</f>
        <v/>
      </c>
      <c r="N4" s="74" t="str" cm="1">
        <f t="array" ref="N4">IFERROR(1/(1/SUM(COUNTIFS(
'YearB-AppDetails Current Date'!A:A,D4,
'YearB-AppDetails Current Date'!F:F,E4,
'YearB-AppDetails Current Date'!E:E,--F4,
'YearB-AppDetails Current Date'!V:V,{"APRO","NODE"},
'YearB-AppDetails Current Date'!I:I,"FALL"))), "")</f>
        <v/>
      </c>
      <c r="O4" s="74" t="str" cm="1">
        <f t="array" ref="O4">IFERROR(1/(1/SUM(COUNTIFS(
'YearB-AppDetails Current Date'!A:A,D4,
'YearB-AppDetails Current Date'!F:F,E4,
'YearB-AppDetails Current Date'!E:E,--F4,
'YearB-AppDetails Current Date'!T:T,{"CDMT","RQMT","WAIT"},
'YearB-AppDetails Current Date'!I:I,"FALL"))), "")</f>
        <v/>
      </c>
      <c r="P4" s="74" t="str">
        <f>IFERROR(1/(1/COUNTIFS(
'YearB-AppDetails Current Date'!A:A,D4,
'YearB-AppDetails Current Date'!F:F,E4,
'YearB-AppDetails Current Date'!E:E,--F4,
'YearB-AppDetails Current Date'!Y:Y,"ENRO",
'YearB-AppDetails Current Date'!I:I,"FALL")),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HC'!D:T,10,FALSE)),
N(VLOOKUP(D5&amp;F5,'Budgeted Projections Dom HC'!D:T,11,FALSE))
)/4)
),"")</f>
        <v/>
      </c>
      <c r="I5" s="73" t="str">
        <f>IFERROR(1/(1/COUNTIFS(
'YearB-AppDetails Current Date'!A:A,D5,
'YearB-AppDetails Current Date'!F:F,E5,
'YearB-AppDetails Current Date'!E:E,--F5,
'YearB-AppDetails Current Date'!I:I,"FALL")), "")</f>
        <v/>
      </c>
      <c r="J5" s="74" t="str" cm="1">
        <f t="array" ref="J5">IFERROR(1/(1/SUM(COUNTIFS(
'YearB-AppDetails Current Date'!A:A,D5,
'YearB-AppDetails Current Date'!F:F,E5,
'YearB-AppDetails Current Date'!E:E,--F5,
'YearB-AppDetails Current Date'!O:O,{"ACLN","ACPT","COND"},
'YearB-AppDetails Current Date'!S:S,"&lt;&gt;ACLN",
'YearB-AppDetails Current Date'!S:S,"&lt;&gt;ACPT",
'YearB-AppDetails Current Date'!S:S,"&lt;&gt;COND",
'YearB-AppDetails Current Date'!I:I,"FALL"))), "")</f>
        <v/>
      </c>
      <c r="K5" s="73" t="str">
        <f>IFERROR(1/(1/SUM(COUNTIFS(
'YearB-AppDetails Current Date'!A:A,D5,
'YearB-AppDetails Current Date'!F:F,E5,
'YearB-AppDetails Current Date'!E:E,--F5,
'YearB-AppDetails Current Date'!R:R,"&lt;&gt;"&amp;"",
'YearB-AppDetails Current Date'!I:I,"FALL"))), "")</f>
        <v/>
      </c>
      <c r="L5" s="74" t="str" cm="1">
        <f t="array" ref="L5">IFERROR(1/(1/SUM(COUNTIFS(
'YearB-AppDetails Current Date'!A:A,D5,
'YearB-AppDetails Current Date'!F:F,E5,
'YearB-AppDetails Current Date'!E:E,--F5,
'YearB-AppDetails Current Date'!T:T,{"APEX","DENY","NTSL"},
'YearB-AppDetails Current Date'!I:I,"FALL"))), "")</f>
        <v/>
      </c>
      <c r="M5" s="74" t="str" cm="1">
        <f t="array" ref="M5">IFERROR(1/(1/SUM(COUNTIFS(
'YearB-AppDetails Current Date'!A:A,D5,
'YearB-AppDetails Current Date'!F:F,E5,
'YearB-AppDetails Current Date'!E:E,--F5,
'YearB-AppDetails Current Date'!U:U,{"CCAN","DECL"},
'YearB-AppDetails Current Date'!I:I,"FALL"))), "")</f>
        <v/>
      </c>
      <c r="N5" s="74" t="str" cm="1">
        <f t="array" ref="N5">IFERROR(1/(1/SUM(COUNTIFS(
'YearB-AppDetails Current Date'!A:A,D5,
'YearB-AppDetails Current Date'!F:F,E5,
'YearB-AppDetails Current Date'!E:E,--F5,
'YearB-AppDetails Current Date'!V:V,{"APRO","NODE"},
'YearB-AppDetails Current Date'!I:I,"FALL"))), "")</f>
        <v/>
      </c>
      <c r="O5" s="74" t="str" cm="1">
        <f t="array" ref="O5">IFERROR(1/(1/SUM(COUNTIFS(
'YearB-AppDetails Current Date'!A:A,D5,
'YearB-AppDetails Current Date'!F:F,E5,
'YearB-AppDetails Current Date'!E:E,--F5,
'YearB-AppDetails Current Date'!T:T,{"CDMT","RQMT","WAIT"},
'YearB-AppDetails Current Date'!I:I,"FALL"))), "")</f>
        <v/>
      </c>
      <c r="P5" s="74" t="str">
        <f>IFERROR(1/(1/COUNTIFS(
'YearB-AppDetails Current Date'!A:A,D5,
'YearB-AppDetails Current Date'!F:F,E5,
'YearB-AppDetails Current Date'!E:E,--F5,
'YearB-AppDetails Current Date'!Y:Y,"ENRO",
'YearB-AppDetails Current Date'!I:I,"FALL")), "")</f>
        <v/>
      </c>
      <c r="Q5" s="3" t="str">
        <f t="shared" si="0"/>
        <v/>
      </c>
    </row>
    <row r="6" spans="1:17" ht="15.75" customHeight="1" x14ac:dyDescent="0.25">
      <c r="A6" s="170"/>
      <c r="B6" s="122"/>
      <c r="C6" s="125"/>
      <c r="D6" s="2" t="s">
        <v>50</v>
      </c>
      <c r="E6" s="2" t="s">
        <v>43</v>
      </c>
      <c r="F6" s="31">
        <v>1</v>
      </c>
      <c r="G6" s="140"/>
      <c r="H6" s="73" t="str">
        <f>IFERROR(1/(1/(
SUM(
N(VLOOKUP(D6&amp;F6,'Budgeted Projections Intl HC'!D:T,10,FALSE)),
N(VLOOKUP(D6&amp;F6,'Budgeted Projections Intl HC'!D:T,11,FALSE))
)/4)
),"")</f>
        <v/>
      </c>
      <c r="I6" s="73" t="str">
        <f>IFERROR(1/(1/COUNTIFS(
'YearB-AppDetails Current Date'!A:A,D6,
'YearB-AppDetails Current Date'!F:F,E6,
'YearB-AppDetails Current Date'!E:E,--F6,
'YearB-AppDetails Current Date'!I:I,"FALL")), "")</f>
        <v/>
      </c>
      <c r="J6" s="74" t="str" cm="1">
        <f t="array" ref="J6">IFERROR(1/(1/SUM(COUNTIFS(
'YearB-AppDetails Current Date'!A:A,D6,
'YearB-AppDetails Current Date'!F:F,E6,
'YearB-AppDetails Current Date'!E:E,--F6,
'YearB-AppDetails Current Date'!O:O,{"ACLN","ACPT","COND"},
'YearB-AppDetails Current Date'!S:S,"&lt;&gt;ACLN",
'YearB-AppDetails Current Date'!S:S,"&lt;&gt;ACPT",
'YearB-AppDetails Current Date'!S:S,"&lt;&gt;COND",
'YearB-AppDetails Current Date'!I:I,"FALL"))), "")</f>
        <v/>
      </c>
      <c r="K6" s="73" t="str">
        <f>IFERROR(1/(1/SUM(COUNTIFS(
'YearB-AppDetails Current Date'!A:A,D6,
'YearB-AppDetails Current Date'!F:F,E6,
'YearB-AppDetails Current Date'!E:E,--F6,
'YearB-AppDetails Current Date'!R:R,"&lt;&gt;"&amp;"",
'YearB-AppDetails Current Date'!I:I,"FALL"))), "")</f>
        <v/>
      </c>
      <c r="L6" s="74" t="str" cm="1">
        <f t="array" ref="L6">IFERROR(1/(1/SUM(COUNTIFS(
'YearB-AppDetails Current Date'!A:A,D6,
'YearB-AppDetails Current Date'!F:F,E6,
'YearB-AppDetails Current Date'!E:E,--F6,
'YearB-AppDetails Current Date'!T:T,{"APEX","DENY","NTSL"},
'YearB-AppDetails Current Date'!I:I,"FALL"))), "")</f>
        <v/>
      </c>
      <c r="M6" s="74" t="str" cm="1">
        <f t="array" ref="M6">IFERROR(1/(1/SUM(COUNTIFS(
'YearB-AppDetails Current Date'!A:A,D6,
'YearB-AppDetails Current Date'!F:F,E6,
'YearB-AppDetails Current Date'!E:E,--F6,
'YearB-AppDetails Current Date'!U:U,{"CCAN","DECL"},
'YearB-AppDetails Current Date'!I:I,"FALL"))), "")</f>
        <v/>
      </c>
      <c r="N6" s="74" t="str" cm="1">
        <f t="array" ref="N6">IFERROR(1/(1/SUM(COUNTIFS(
'YearB-AppDetails Current Date'!A:A,D6,
'YearB-AppDetails Current Date'!F:F,E6,
'YearB-AppDetails Current Date'!E:E,--F6,
'YearB-AppDetails Current Date'!V:V,{"APRO","NODE"},
'YearB-AppDetails Current Date'!I:I,"FALL"))), "")</f>
        <v/>
      </c>
      <c r="O6" s="74" t="str" cm="1">
        <f t="array" ref="O6">IFERROR(1/(1/SUM(COUNTIFS(
'YearB-AppDetails Current Date'!A:A,D6,
'YearB-AppDetails Current Date'!F:F,E6,
'YearB-AppDetails Current Date'!E:E,--F6,
'YearB-AppDetails Current Date'!T:T,{"CDMT","RQMT","WAIT"},
'YearB-AppDetails Current Date'!I:I,"FALL"))), "")</f>
        <v/>
      </c>
      <c r="P6" s="74" t="str">
        <f>IFERROR(1/(1/COUNTIFS(
'YearB-AppDetails Current Date'!A:A,D6,
'YearB-AppDetails Current Date'!F:F,E6,
'YearB-AppDetails Current Date'!E:E,--F6,
'YearB-AppDetails Current Date'!Y:Y,"ENRO",
'YearB-AppDetails Current Date'!I:I,"FALL")),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HC'!D:T,12,FALSE)),
N(VLOOKUP(D7&amp;F7,'Budgeted Projections Dom HC'!D:T,13,FALSE))
)
),"")</f>
        <v/>
      </c>
      <c r="I7" s="73" t="str">
        <f>IFERROR(1/(1/COUNTIFS(
'YearB-AppDetails Current Date'!A:A,D7,
'YearB-AppDetails Current Date'!F:F,E7,
'YearB-AppDetails Current Date'!E:E,--F7,
'YearB-AppDetails Current Date'!I:I,"FALL")), "")</f>
        <v/>
      </c>
      <c r="J7" s="74" t="str" cm="1">
        <f t="array" ref="J7">IFERROR(1/(1/SUM(COUNTIFS(
'YearB-AppDetails Current Date'!A:A,D7,
'YearB-AppDetails Current Date'!F:F,E7,
'YearB-AppDetails Current Date'!E:E,--F7,
'YearB-AppDetails Current Date'!O:O,{"ACLN","ACPT","COND"},
'YearB-AppDetails Current Date'!S:S,"&lt;&gt;ACLN",
'YearB-AppDetails Current Date'!S:S,"&lt;&gt;ACPT",
'YearB-AppDetails Current Date'!S:S,"&lt;&gt;COND",
'YearB-AppDetails Current Date'!I:I,"FALL"))), "")</f>
        <v/>
      </c>
      <c r="K7" s="73" t="str">
        <f>IFERROR(1/(1/SUM(COUNTIFS(
'YearB-AppDetails Current Date'!A:A,D7,
'YearB-AppDetails Current Date'!F:F,E7,
'YearB-AppDetails Current Date'!E:E,--F7,
'YearB-AppDetails Current Date'!R:R,"&lt;&gt;"&amp;"",
'YearB-AppDetails Current Date'!I:I,"FALL"))), "")</f>
        <v/>
      </c>
      <c r="L7" s="74" t="str" cm="1">
        <f t="array" ref="L7">IFERROR(1/(1/SUM(COUNTIFS(
'YearB-AppDetails Current Date'!A:A,D7,
'YearB-AppDetails Current Date'!F:F,E7,
'YearB-AppDetails Current Date'!E:E,--F7,
'YearB-AppDetails Current Date'!T:T,{"APEX","DENY","NTSL"},
'YearB-AppDetails Current Date'!I:I,"FALL"))), "")</f>
        <v/>
      </c>
      <c r="M7" s="74" t="str" cm="1">
        <f t="array" ref="M7">IFERROR(1/(1/SUM(COUNTIFS(
'YearB-AppDetails Current Date'!A:A,D7,
'YearB-AppDetails Current Date'!F:F,E7,
'YearB-AppDetails Current Date'!E:E,--F7,
'YearB-AppDetails Current Date'!U:U,{"CCAN","DECL"},
'YearB-AppDetails Current Date'!I:I,"FALL"))), "")</f>
        <v/>
      </c>
      <c r="N7" s="74" t="str" cm="1">
        <f t="array" ref="N7">IFERROR(1/(1/SUM(COUNTIFS(
'YearB-AppDetails Current Date'!A:A,D7,
'YearB-AppDetails Current Date'!F:F,E7,
'YearB-AppDetails Current Date'!E:E,--F7,
'YearB-AppDetails Current Date'!V:V,{"APRO","NODE"},
'YearB-AppDetails Current Date'!I:I,"FALL"))), "")</f>
        <v/>
      </c>
      <c r="O7" s="74" t="str" cm="1">
        <f t="array" ref="O7">IFERROR(1/(1/SUM(COUNTIFS(
'YearB-AppDetails Current Date'!A:A,D7,
'YearB-AppDetails Current Date'!F:F,E7,
'YearB-AppDetails Current Date'!E:E,--F7,
'YearB-AppDetails Current Date'!T:T,{"CDMT","RQMT","WAIT"},
'YearB-AppDetails Current Date'!I:I,"FALL"))), "")</f>
        <v/>
      </c>
      <c r="P7" s="74" t="str">
        <f>IFERROR(1/(1/COUNTIFS(
'YearB-AppDetails Current Date'!A:A,D7,
'YearB-AppDetails Current Date'!F:F,E7,
'YearB-AppDetails Current Date'!E:E,--F7,
'YearB-AppDetails Current Date'!Y:Y,"ENRO",
'YearB-AppDetails Current Date'!I:I,"FALL")), "")</f>
        <v/>
      </c>
      <c r="Q7" s="3" t="str">
        <f t="shared" si="0"/>
        <v/>
      </c>
    </row>
    <row r="8" spans="1:17" ht="15.75" customHeight="1" x14ac:dyDescent="0.25">
      <c r="A8" s="170"/>
      <c r="B8" s="122"/>
      <c r="C8" s="125"/>
      <c r="D8" s="23" t="s">
        <v>41</v>
      </c>
      <c r="E8" s="2" t="s">
        <v>43</v>
      </c>
      <c r="F8" s="31">
        <v>1</v>
      </c>
      <c r="G8" s="140"/>
      <c r="H8" s="73" t="str">
        <f>IFERROR(1/(1/
SUM(
N(VLOOKUP(D8&amp;F8,'Budgeted Projections Intl HC'!D:T,12,FALSE)),
N(VLOOKUP(D8&amp;F8,'Budgeted Projections Intl HC'!D:T,13,FALSE))
)
),"")</f>
        <v/>
      </c>
      <c r="I8" s="73" t="str">
        <f>IFERROR(1/(1/COUNTIFS(
'YearB-AppDetails Current Date'!A:A,D8,
'YearB-AppDetails Current Date'!F:F,E8,
'YearB-AppDetails Current Date'!E:E,--F8,
'YearB-AppDetails Current Date'!I:I,"FALL")), "")</f>
        <v/>
      </c>
      <c r="J8" s="74" t="str" cm="1">
        <f t="array" ref="J8">IFERROR(1/(1/SUM(COUNTIFS(
'YearB-AppDetails Current Date'!A:A,D8,
'YearB-AppDetails Current Date'!F:F,E8,
'YearB-AppDetails Current Date'!E:E,--F8,
'YearB-AppDetails Current Date'!O:O,{"ACLN","ACPT","COND"},
'YearB-AppDetails Current Date'!S:S,"&lt;&gt;ACLN",
'YearB-AppDetails Current Date'!S:S,"&lt;&gt;ACPT",
'YearB-AppDetails Current Date'!S:S,"&lt;&gt;COND",
'YearB-AppDetails Current Date'!I:I,"FALL"))), "")</f>
        <v/>
      </c>
      <c r="K8" s="73" t="str">
        <f>IFERROR(1/(1/SUM(COUNTIFS(
'YearB-AppDetails Current Date'!A:A,D8,
'YearB-AppDetails Current Date'!F:F,E8,
'YearB-AppDetails Current Date'!E:E,--F8,
'YearB-AppDetails Current Date'!R:R,"&lt;&gt;"&amp;"",
'YearB-AppDetails Current Date'!I:I,"FALL"))), "")</f>
        <v/>
      </c>
      <c r="L8" s="74" t="str" cm="1">
        <f t="array" ref="L8">IFERROR(1/(1/SUM(COUNTIFS(
'YearB-AppDetails Current Date'!A:A,D8,
'YearB-AppDetails Current Date'!F:F,E8,
'YearB-AppDetails Current Date'!E:E,--F8,
'YearB-AppDetails Current Date'!T:T,{"APEX","DENY","NTSL"},
'YearB-AppDetails Current Date'!I:I,"FALL"))), "")</f>
        <v/>
      </c>
      <c r="M8" s="74" t="str" cm="1">
        <f t="array" ref="M8">IFERROR(1/(1/SUM(COUNTIFS(
'YearB-AppDetails Current Date'!A:A,D8,
'YearB-AppDetails Current Date'!F:F,E8,
'YearB-AppDetails Current Date'!E:E,--F8,
'YearB-AppDetails Current Date'!U:U,{"CCAN","DECL"},
'YearB-AppDetails Current Date'!I:I,"FALL"))), "")</f>
        <v/>
      </c>
      <c r="N8" s="74" t="str" cm="1">
        <f t="array" ref="N8">IFERROR(1/(1/SUM(COUNTIFS(
'YearB-AppDetails Current Date'!A:A,D8,
'YearB-AppDetails Current Date'!F:F,E8,
'YearB-AppDetails Current Date'!E:E,--F8,
'YearB-AppDetails Current Date'!V:V,{"APRO","NODE"},
'YearB-AppDetails Current Date'!I:I,"FALL"))), "")</f>
        <v/>
      </c>
      <c r="O8" s="74" t="str" cm="1">
        <f t="array" ref="O8">IFERROR(1/(1/SUM(COUNTIFS(
'YearB-AppDetails Current Date'!A:A,D8,
'YearB-AppDetails Current Date'!F:F,E8,
'YearB-AppDetails Current Date'!E:E,--F8,
'YearB-AppDetails Current Date'!T:T,{"CDMT","RQMT","WAIT"},
'YearB-AppDetails Current Date'!I:I,"FALL"))), "")</f>
        <v/>
      </c>
      <c r="P8" s="74" t="str">
        <f>IFERROR(1/(1/COUNTIFS(
'YearB-AppDetails Current Date'!A:A,D8,
'YearB-AppDetails Current Date'!F:F,E8,
'YearB-AppDetails Current Date'!E:E,--F8,
'YearB-AppDetails Current Date'!Y:Y,"ENRO",
'YearB-AppDetails Current Date'!I:I,"FALL")),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HC'!D:T,12,FALSE)),
N(VLOOKUP(D9&amp;F9,'Budgeted Projections Dom HC'!D:T,13,FALSE))
)
),"")</f>
        <v/>
      </c>
      <c r="I9" s="73" t="str">
        <f>IFERROR(1/(1/COUNTIFS(
'YearB-AppDetails Current Date'!A:A,D9,
'YearB-AppDetails Current Date'!F:F,E9,
'YearB-AppDetails Current Date'!E:E,--F9,
'YearB-AppDetails Current Date'!I:I,"FALL")), "")</f>
        <v/>
      </c>
      <c r="J9" s="74" t="str" cm="1">
        <f t="array" ref="J9">IFERROR(1/(1/SUM(COUNTIFS(
'YearB-AppDetails Current Date'!A:A,D9,
'YearB-AppDetails Current Date'!F:F,E9,
'YearB-AppDetails Current Date'!E:E,--F9,
'YearB-AppDetails Current Date'!O:O,{"ACLN","ACPT","COND"},
'YearB-AppDetails Current Date'!S:S,"&lt;&gt;ACLN",
'YearB-AppDetails Current Date'!S:S,"&lt;&gt;ACPT",
'YearB-AppDetails Current Date'!S:S,"&lt;&gt;COND",
'YearB-AppDetails Current Date'!I:I,"FALL"))), "")</f>
        <v/>
      </c>
      <c r="K9" s="73" t="str">
        <f>IFERROR(1/(1/SUM(COUNTIFS(
'YearB-AppDetails Current Date'!A:A,D9,
'YearB-AppDetails Current Date'!F:F,E9,
'YearB-AppDetails Current Date'!E:E,--F9,
'YearB-AppDetails Current Date'!R:R,"&lt;&gt;"&amp;"",
'YearB-AppDetails Current Date'!I:I,"FALL"))), "")</f>
        <v/>
      </c>
      <c r="L9" s="74" t="str" cm="1">
        <f t="array" ref="L9">IFERROR(1/(1/SUM(COUNTIFS(
'YearB-AppDetails Current Date'!A:A,D9,
'YearB-AppDetails Current Date'!F:F,E9,
'YearB-AppDetails Current Date'!E:E,--F9,
'YearB-AppDetails Current Date'!T:T,{"APEX","DENY","NTSL"},
'YearB-AppDetails Current Date'!I:I,"FALL"))), "")</f>
        <v/>
      </c>
      <c r="M9" s="74" t="str" cm="1">
        <f t="array" ref="M9">IFERROR(1/(1/SUM(COUNTIFS(
'YearB-AppDetails Current Date'!A:A,D9,
'YearB-AppDetails Current Date'!F:F,E9,
'YearB-AppDetails Current Date'!E:E,--F9,
'YearB-AppDetails Current Date'!U:U,{"CCAN","DECL"},
'YearB-AppDetails Current Date'!I:I,"FALL"))), "")</f>
        <v/>
      </c>
      <c r="N9" s="74" t="str" cm="1">
        <f t="array" ref="N9">IFERROR(1/(1/SUM(COUNTIFS(
'YearB-AppDetails Current Date'!A:A,D9,
'YearB-AppDetails Current Date'!F:F,E9,
'YearB-AppDetails Current Date'!E:E,--F9,
'YearB-AppDetails Current Date'!V:V,{"APRO","NODE"},
'YearB-AppDetails Current Date'!I:I,"FALL"))), "")</f>
        <v/>
      </c>
      <c r="O9" s="74" t="str" cm="1">
        <f t="array" ref="O9">IFERROR(1/(1/SUM(COUNTIFS(
'YearB-AppDetails Current Date'!A:A,D9,
'YearB-AppDetails Current Date'!F:F,E9,
'YearB-AppDetails Current Date'!E:E,--F9,
'YearB-AppDetails Current Date'!T:T,{"CDMT","RQMT","WAIT"},
'YearB-AppDetails Current Date'!I:I,"FALL"))), "")</f>
        <v/>
      </c>
      <c r="P9" s="74" t="str">
        <f>IFERROR(1/(1/COUNTIFS(
'YearB-AppDetails Current Date'!A:A,D9,
'YearB-AppDetails Current Date'!F:F,E9,
'YearB-AppDetails Current Date'!E:E,--F9,
'YearB-AppDetails Current Date'!Y:Y,"ENRO",
'YearB-AppDetails Current Date'!I:I,"FALL")),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HC'!D:T,12,FALSE)),
N(VLOOKUP(D10&amp;F10,'Budgeted Projections Intl HC'!D:T,13,FALSE))
)
),"")</f>
        <v/>
      </c>
      <c r="I10" s="73" t="str">
        <f>IFERROR(1/(1/COUNTIFS(
'YearB-AppDetails Current Date'!A:A,D10,
'YearB-AppDetails Current Date'!F:F,E10,
'YearB-AppDetails Current Date'!E:E,--F10,
'YearB-AppDetails Current Date'!I:I,"FALL")), "")</f>
        <v/>
      </c>
      <c r="J10" s="74" t="str" cm="1">
        <f t="array" ref="J10">IFERROR(1/(1/SUM(COUNTIFS(
'YearB-AppDetails Current Date'!A:A,D10,
'YearB-AppDetails Current Date'!F:F,E10,
'YearB-AppDetails Current Date'!E:E,--F10,
'YearB-AppDetails Current Date'!O:O,{"ACLN","ACPT","COND"},
'YearB-AppDetails Current Date'!S:S,"&lt;&gt;ACLN",
'YearB-AppDetails Current Date'!S:S,"&lt;&gt;ACPT",
'YearB-AppDetails Current Date'!S:S,"&lt;&gt;COND",
'YearB-AppDetails Current Date'!I:I,"FALL"))), "")</f>
        <v/>
      </c>
      <c r="K10" s="73" t="str">
        <f>IFERROR(1/(1/SUM(COUNTIFS(
'YearB-AppDetails Current Date'!A:A,D10,
'YearB-AppDetails Current Date'!F:F,E10,
'YearB-AppDetails Current Date'!E:E,--F10,
'YearB-AppDetails Current Date'!R:R,"&lt;&gt;"&amp;"",
'YearB-AppDetails Current Date'!I:I,"FALL"))), "")</f>
        <v/>
      </c>
      <c r="L10" s="74" t="str" cm="1">
        <f t="array" ref="L10">IFERROR(1/(1/SUM(COUNTIFS(
'YearB-AppDetails Current Date'!A:A,D10,
'YearB-AppDetails Current Date'!F:F,E10,
'YearB-AppDetails Current Date'!E:E,--F10,
'YearB-AppDetails Current Date'!T:T,{"APEX","DENY","NTSL"},
'YearB-AppDetails Current Date'!I:I,"FALL"))), "")</f>
        <v/>
      </c>
      <c r="M10" s="74" t="str" cm="1">
        <f t="array" ref="M10">IFERROR(1/(1/SUM(COUNTIFS(
'YearB-AppDetails Current Date'!A:A,D10,
'YearB-AppDetails Current Date'!F:F,E10,
'YearB-AppDetails Current Date'!E:E,--F10,
'YearB-AppDetails Current Date'!U:U,{"CCAN","DECL"},
'YearB-AppDetails Current Date'!I:I,"FALL"))), "")</f>
        <v/>
      </c>
      <c r="N10" s="74" t="str" cm="1">
        <f t="array" ref="N10">IFERROR(1/(1/SUM(COUNTIFS(
'YearB-AppDetails Current Date'!A:A,D10,
'YearB-AppDetails Current Date'!F:F,E10,
'YearB-AppDetails Current Date'!E:E,--F10,
'YearB-AppDetails Current Date'!V:V,{"APRO","NODE"},
'YearB-AppDetails Current Date'!I:I,"FALL"))), "")</f>
        <v/>
      </c>
      <c r="O10" s="74" t="str" cm="1">
        <f t="array" ref="O10">IFERROR(1/(1/SUM(COUNTIFS(
'YearB-AppDetails Current Date'!A:A,D10,
'YearB-AppDetails Current Date'!F:F,E10,
'YearB-AppDetails Current Date'!E:E,--F10,
'YearB-AppDetails Current Date'!T:T,{"CDMT","RQMT","WAIT"},
'YearB-AppDetails Current Date'!I:I,"FALL"))), "")</f>
        <v/>
      </c>
      <c r="P10" s="74" t="str">
        <f>IFERROR(1/(1/COUNTIFS(
'YearB-AppDetails Current Date'!A:A,D10,
'YearB-AppDetails Current Date'!F:F,E10,
'YearB-AppDetails Current Date'!E:E,--F10,
'YearB-AppDetails Current Date'!Y:Y,"ENRO",
'YearB-AppDetails Current Date'!I:I,"FALL")),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HC'!D:T,12,FALSE)),
N(VLOOKUP(D11&amp;F11,'Budgeted Projections Dom HC'!D:T,13,FALSE))
)
),"")</f>
        <v/>
      </c>
      <c r="I11" s="73" t="str">
        <f>IFERROR(1/(1/COUNTIFS(
'YearB-AppDetails Current Date'!A:A,D11,
'YearB-AppDetails Current Date'!F:F,E11,
'YearB-AppDetails Current Date'!E:E,--F11,
'YearB-AppDetails Current Date'!I:I,"FALL")), "")</f>
        <v/>
      </c>
      <c r="J11" s="74" t="str" cm="1">
        <f t="array" ref="J11">IFERROR(1/(1/SUM(COUNTIFS(
'YearB-AppDetails Current Date'!A:A,D11,
'YearB-AppDetails Current Date'!F:F,E11,
'YearB-AppDetails Current Date'!E:E,--F11,
'YearB-AppDetails Current Date'!O:O,{"ACLN","ACPT","COND"},
'YearB-AppDetails Current Date'!S:S,"&lt;&gt;ACLN",
'YearB-AppDetails Current Date'!S:S,"&lt;&gt;ACPT",
'YearB-AppDetails Current Date'!S:S,"&lt;&gt;COND",
'YearB-AppDetails Current Date'!I:I,"FALL"))), "")</f>
        <v/>
      </c>
      <c r="K11" s="73" t="str">
        <f>IFERROR(1/(1/SUM(COUNTIFS(
'YearB-AppDetails Current Date'!A:A,D11,
'YearB-AppDetails Current Date'!F:F,E11,
'YearB-AppDetails Current Date'!E:E,--F11,
'YearB-AppDetails Current Date'!R:R,"&lt;&gt;"&amp;"",
'YearB-AppDetails Current Date'!I:I,"FALL"))), "")</f>
        <v/>
      </c>
      <c r="L11" s="74" t="str" cm="1">
        <f t="array" ref="L11">IFERROR(1/(1/SUM(COUNTIFS(
'YearB-AppDetails Current Date'!A:A,D11,
'YearB-AppDetails Current Date'!F:F,E11,
'YearB-AppDetails Current Date'!E:E,--F11,
'YearB-AppDetails Current Date'!T:T,{"APEX","DENY","NTSL"},
'YearB-AppDetails Current Date'!I:I,"FALL"))), "")</f>
        <v/>
      </c>
      <c r="M11" s="74" t="str" cm="1">
        <f t="array" ref="M11">IFERROR(1/(1/SUM(COUNTIFS(
'YearB-AppDetails Current Date'!A:A,D11,
'YearB-AppDetails Current Date'!F:F,E11,
'YearB-AppDetails Current Date'!E:E,--F11,
'YearB-AppDetails Current Date'!U:U,{"CCAN","DECL"},
'YearB-AppDetails Current Date'!I:I,"FALL"))), "")</f>
        <v/>
      </c>
      <c r="N11" s="74" t="str" cm="1">
        <f t="array" ref="N11">IFERROR(1/(1/SUM(COUNTIFS(
'YearB-AppDetails Current Date'!A:A,D11,
'YearB-AppDetails Current Date'!F:F,E11,
'YearB-AppDetails Current Date'!E:E,--F11,
'YearB-AppDetails Current Date'!V:V,{"APRO","NODE"},
'YearB-AppDetails Current Date'!I:I,"FALL"))), "")</f>
        <v/>
      </c>
      <c r="O11" s="74" t="str" cm="1">
        <f t="array" ref="O11">IFERROR(1/(1/SUM(COUNTIFS(
'YearB-AppDetails Current Date'!A:A,D11,
'YearB-AppDetails Current Date'!F:F,E11,
'YearB-AppDetails Current Date'!E:E,--F11,
'YearB-AppDetails Current Date'!T:T,{"CDMT","RQMT","WAIT"},
'YearB-AppDetails Current Date'!I:I,"FALL"))), "")</f>
        <v/>
      </c>
      <c r="P11" s="74" t="str">
        <f>IFERROR(1/(1/COUNTIFS(
'YearB-AppDetails Current Date'!A:A,D11,
'YearB-AppDetails Current Date'!F:F,E11,
'YearB-AppDetails Current Date'!E:E,--F11,
'YearB-AppDetails Current Date'!Y:Y,"ENRO",
'YearB-AppDetails Current Date'!I:I,"FALL")),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HC'!D:T,12,FALSE)),
N(VLOOKUP(D12&amp;F12,'Budgeted Projections Intl HC'!D:T,13,FALSE))
)
),"")</f>
        <v/>
      </c>
      <c r="I12" s="73" t="str">
        <f>IFERROR(1/(1/COUNTIFS(
'YearB-AppDetails Current Date'!A:A,D12,
'YearB-AppDetails Current Date'!F:F,E12,
'YearB-AppDetails Current Date'!E:E,--F12,
'YearB-AppDetails Current Date'!I:I,"FALL")), "")</f>
        <v/>
      </c>
      <c r="J12" s="74" t="str" cm="1">
        <f t="array" ref="J12">IFERROR(1/(1/SUM(COUNTIFS(
'YearB-AppDetails Current Date'!A:A,D12,
'YearB-AppDetails Current Date'!F:F,E12,
'YearB-AppDetails Current Date'!E:E,--F12,
'YearB-AppDetails Current Date'!O:O,{"ACLN","ACPT","COND"},
'YearB-AppDetails Current Date'!S:S,"&lt;&gt;ACLN",
'YearB-AppDetails Current Date'!S:S,"&lt;&gt;ACPT",
'YearB-AppDetails Current Date'!S:S,"&lt;&gt;COND",
'YearB-AppDetails Current Date'!I:I,"FALL"))), "")</f>
        <v/>
      </c>
      <c r="K12" s="73" t="str">
        <f>IFERROR(1/(1/SUM(COUNTIFS(
'YearB-AppDetails Current Date'!A:A,D12,
'YearB-AppDetails Current Date'!F:F,E12,
'YearB-AppDetails Current Date'!E:E,--F12,
'YearB-AppDetails Current Date'!R:R,"&lt;&gt;"&amp;"",
'YearB-AppDetails Current Date'!I:I,"FALL"))), "")</f>
        <v/>
      </c>
      <c r="L12" s="74" t="str" cm="1">
        <f t="array" ref="L12">IFERROR(1/(1/SUM(COUNTIFS(
'YearB-AppDetails Current Date'!A:A,D12,
'YearB-AppDetails Current Date'!F:F,E12,
'YearB-AppDetails Current Date'!E:E,--F12,
'YearB-AppDetails Current Date'!T:T,{"APEX","DENY","NTSL"},
'YearB-AppDetails Current Date'!I:I,"FALL"))), "")</f>
        <v/>
      </c>
      <c r="M12" s="74" t="str" cm="1">
        <f t="array" ref="M12">IFERROR(1/(1/SUM(COUNTIFS(
'YearB-AppDetails Current Date'!A:A,D12,
'YearB-AppDetails Current Date'!F:F,E12,
'YearB-AppDetails Current Date'!E:E,--F12,
'YearB-AppDetails Current Date'!U:U,{"CCAN","DECL"},
'YearB-AppDetails Current Date'!I:I,"FALL"))), "")</f>
        <v/>
      </c>
      <c r="N12" s="74" t="str" cm="1">
        <f t="array" ref="N12">IFERROR(1/(1/SUM(COUNTIFS(
'YearB-AppDetails Current Date'!A:A,D12,
'YearB-AppDetails Current Date'!F:F,E12,
'YearB-AppDetails Current Date'!E:E,--F12,
'YearB-AppDetails Current Date'!V:V,{"APRO","NODE"},
'YearB-AppDetails Current Date'!I:I,"FALL"))), "")</f>
        <v/>
      </c>
      <c r="O12" s="74" t="str" cm="1">
        <f t="array" ref="O12">IFERROR(1/(1/SUM(COUNTIFS(
'YearB-AppDetails Current Date'!A:A,D12,
'YearB-AppDetails Current Date'!F:F,E12,
'YearB-AppDetails Current Date'!E:E,--F12,
'YearB-AppDetails Current Date'!T:T,{"CDMT","RQMT","WAIT"},
'YearB-AppDetails Current Date'!I:I,"FALL"))), "")</f>
        <v/>
      </c>
      <c r="P12" s="74" t="str">
        <f>IFERROR(1/(1/COUNTIFS(
'YearB-AppDetails Current Date'!A:A,D12,
'YearB-AppDetails Current Date'!F:F,E12,
'YearB-AppDetails Current Date'!E:E,--F12,
'YearB-AppDetails Current Date'!Y:Y,"ENRO",
'YearB-AppDetails Current Date'!I:I,"FALL")),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HC'!D:T,12,FALSE)),
N(VLOOKUP(D13&amp;F13,'Budgeted Projections Dom HC'!D:T,13,FALSE))
)
),"")</f>
        <v/>
      </c>
      <c r="I13" s="73" t="str">
        <f>IFERROR(1/(1/COUNTIFS(
'YearB-AppDetails Current Date'!A:A,D13,
'YearB-AppDetails Current Date'!F:F,E13,
'YearB-AppDetails Current Date'!E:E,--F13,
'YearB-AppDetails Current Date'!I:I,"FALL")), "")</f>
        <v/>
      </c>
      <c r="J13" s="74" t="str" cm="1">
        <f t="array" ref="J13">IFERROR(1/(1/SUM(COUNTIFS(
'YearB-AppDetails Current Date'!A:A,D13,
'YearB-AppDetails Current Date'!F:F,E13,
'YearB-AppDetails Current Date'!E:E,--F13,
'YearB-AppDetails Current Date'!O:O,{"ACLN","ACPT","COND"},
'YearB-AppDetails Current Date'!S:S,"&lt;&gt;ACLN",
'YearB-AppDetails Current Date'!S:S,"&lt;&gt;ACPT",
'YearB-AppDetails Current Date'!S:S,"&lt;&gt;COND",
'YearB-AppDetails Current Date'!I:I,"FALL"))), "")</f>
        <v/>
      </c>
      <c r="K13" s="73" t="str">
        <f>IFERROR(1/(1/SUM(COUNTIFS(
'YearB-AppDetails Current Date'!A:A,D13,
'YearB-AppDetails Current Date'!F:F,E13,
'YearB-AppDetails Current Date'!E:E,--F13,
'YearB-AppDetails Current Date'!R:R,"&lt;&gt;"&amp;"",
'YearB-AppDetails Current Date'!I:I,"FALL"))), "")</f>
        <v/>
      </c>
      <c r="L13" s="74" t="str" cm="1">
        <f t="array" ref="L13">IFERROR(1/(1/SUM(COUNTIFS(
'YearB-AppDetails Current Date'!A:A,D13,
'YearB-AppDetails Current Date'!F:F,E13,
'YearB-AppDetails Current Date'!E:E,--F13,
'YearB-AppDetails Current Date'!T:T,{"APEX","DENY","NTSL"},
'YearB-AppDetails Current Date'!I:I,"FALL"))), "")</f>
        <v/>
      </c>
      <c r="M13" s="74" t="str" cm="1">
        <f t="array" ref="M13">IFERROR(1/(1/SUM(COUNTIFS(
'YearB-AppDetails Current Date'!A:A,D13,
'YearB-AppDetails Current Date'!F:F,E13,
'YearB-AppDetails Current Date'!E:E,--F13,
'YearB-AppDetails Current Date'!U:U,{"CCAN","DECL"},
'YearB-AppDetails Current Date'!I:I,"FALL"))), "")</f>
        <v/>
      </c>
      <c r="N13" s="74" t="str" cm="1">
        <f t="array" ref="N13">IFERROR(1/(1/SUM(COUNTIFS(
'YearB-AppDetails Current Date'!A:A,D13,
'YearB-AppDetails Current Date'!F:F,E13,
'YearB-AppDetails Current Date'!E:E,--F13,
'YearB-AppDetails Current Date'!V:V,{"APRO","NODE"},
'YearB-AppDetails Current Date'!I:I,"FALL"))), "")</f>
        <v/>
      </c>
      <c r="O13" s="74" t="str" cm="1">
        <f t="array" ref="O13">IFERROR(1/(1/SUM(COUNTIFS(
'YearB-AppDetails Current Date'!A:A,D13,
'YearB-AppDetails Current Date'!F:F,E13,
'YearB-AppDetails Current Date'!E:E,--F13,
'YearB-AppDetails Current Date'!T:T,{"CDMT","RQMT","WAIT"},
'YearB-AppDetails Current Date'!I:I,"FALL"))), "")</f>
        <v/>
      </c>
      <c r="P13" s="74" t="str">
        <f>IFERROR(1/(1/COUNTIFS(
'YearB-AppDetails Current Date'!A:A,D13,
'YearB-AppDetails Current Date'!F:F,E13,
'YearB-AppDetails Current Date'!E:E,--F13,
'YearB-AppDetails Current Date'!Y:Y,"ENRO",
'YearB-AppDetails Current Date'!I:I,"FALL")),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HC'!D:T,12,FALSE)),
N(VLOOKUP(D14&amp;F14,'Budgeted Projections Intl HC'!D:T,13,FALSE))
)
),"")</f>
        <v/>
      </c>
      <c r="I14" s="73" t="str">
        <f>IFERROR(1/(1/COUNTIFS(
'YearB-AppDetails Current Date'!A:A,D14,
'YearB-AppDetails Current Date'!F:F,E14,
'YearB-AppDetails Current Date'!E:E,--F14,
'YearB-AppDetails Current Date'!I:I,"FALL")), "")</f>
        <v/>
      </c>
      <c r="J14" s="74" t="str" cm="1">
        <f t="array" ref="J14">IFERROR(1/(1/SUM(COUNTIFS(
'YearB-AppDetails Current Date'!A:A,D14,
'YearB-AppDetails Current Date'!F:F,E14,
'YearB-AppDetails Current Date'!E:E,--F14,
'YearB-AppDetails Current Date'!O:O,{"ACLN","ACPT","COND"},
'YearB-AppDetails Current Date'!S:S,"&lt;&gt;ACLN",
'YearB-AppDetails Current Date'!S:S,"&lt;&gt;ACPT",
'YearB-AppDetails Current Date'!S:S,"&lt;&gt;COND",
'YearB-AppDetails Current Date'!I:I,"FALL"))), "")</f>
        <v/>
      </c>
      <c r="K14" s="73" t="str">
        <f>IFERROR(1/(1/SUM(COUNTIFS(
'YearB-AppDetails Current Date'!A:A,D14,
'YearB-AppDetails Current Date'!F:F,E14,
'YearB-AppDetails Current Date'!E:E,--F14,
'YearB-AppDetails Current Date'!R:R,"&lt;&gt;"&amp;"",
'YearB-AppDetails Current Date'!I:I,"FALL"))), "")</f>
        <v/>
      </c>
      <c r="L14" s="74" t="str" cm="1">
        <f t="array" ref="L14">IFERROR(1/(1/SUM(COUNTIFS(
'YearB-AppDetails Current Date'!A:A,D14,
'YearB-AppDetails Current Date'!F:F,E14,
'YearB-AppDetails Current Date'!E:E,--F14,
'YearB-AppDetails Current Date'!T:T,{"APEX","DENY","NTSL"},
'YearB-AppDetails Current Date'!I:I,"FALL"))), "")</f>
        <v/>
      </c>
      <c r="M14" s="74" t="str" cm="1">
        <f t="array" ref="M14">IFERROR(1/(1/SUM(COUNTIFS(
'YearB-AppDetails Current Date'!A:A,D14,
'YearB-AppDetails Current Date'!F:F,E14,
'YearB-AppDetails Current Date'!E:E,--F14,
'YearB-AppDetails Current Date'!U:U,{"CCAN","DECL"},
'YearB-AppDetails Current Date'!I:I,"FALL"))), "")</f>
        <v/>
      </c>
      <c r="N14" s="74" t="str" cm="1">
        <f t="array" ref="N14">IFERROR(1/(1/SUM(COUNTIFS(
'YearB-AppDetails Current Date'!A:A,D14,
'YearB-AppDetails Current Date'!F:F,E14,
'YearB-AppDetails Current Date'!E:E,--F14,
'YearB-AppDetails Current Date'!V:V,{"APRO","NODE"},
'YearB-AppDetails Current Date'!I:I,"FALL"))), "")</f>
        <v/>
      </c>
      <c r="O14" s="74" t="str" cm="1">
        <f t="array" ref="O14">IFERROR(1/(1/SUM(COUNTIFS(
'YearB-AppDetails Current Date'!A:A,D14,
'YearB-AppDetails Current Date'!F:F,E14,
'YearB-AppDetails Current Date'!E:E,--F14,
'YearB-AppDetails Current Date'!T:T,{"CDMT","RQMT","WAIT"},
'YearB-AppDetails Current Date'!I:I,"FALL"))), "")</f>
        <v/>
      </c>
      <c r="P14" s="74" t="str">
        <f>IFERROR(1/(1/COUNTIFS(
'YearB-AppDetails Current Date'!A:A,D14,
'YearB-AppDetails Current Date'!F:F,E14,
'YearB-AppDetails Current Date'!E:E,--F14,
'YearB-AppDetails Current Date'!Y:Y,"ENRO",
'YearB-AppDetails Current Date'!I:I,"FALL")),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HC'!D:T,12,FALSE)),
N(VLOOKUP(D15&amp;F15,'Budgeted Projections Dom HC'!D:T,13,FALSE))
)
),"")</f>
        <v/>
      </c>
      <c r="I15" s="73" t="str">
        <f>IFERROR(1/(1/COUNTIFS(
'YearB-AppDetails Current Date'!A:A,D15,
'YearB-AppDetails Current Date'!F:F,E15,
'YearB-AppDetails Current Date'!E:E,--F15,
'YearB-AppDetails Current Date'!I:I,"FALL")), "")</f>
        <v/>
      </c>
      <c r="J15" s="74" t="str" cm="1">
        <f t="array" ref="J15">IFERROR(1/(1/SUM(COUNTIFS(
'YearB-AppDetails Current Date'!A:A,D15,
'YearB-AppDetails Current Date'!F:F,E15,
'YearB-AppDetails Current Date'!E:E,--F15,
'YearB-AppDetails Current Date'!O:O,{"ACLN","ACPT","COND"},
'YearB-AppDetails Current Date'!S:S,"&lt;&gt;ACLN",
'YearB-AppDetails Current Date'!S:S,"&lt;&gt;ACPT",
'YearB-AppDetails Current Date'!S:S,"&lt;&gt;COND",
'YearB-AppDetails Current Date'!I:I,"FALL"))), "")</f>
        <v/>
      </c>
      <c r="K15" s="73" t="str">
        <f>IFERROR(1/(1/SUM(COUNTIFS(
'YearB-AppDetails Current Date'!A:A,D15,
'YearB-AppDetails Current Date'!F:F,E15,
'YearB-AppDetails Current Date'!E:E,--F15,
'YearB-AppDetails Current Date'!R:R,"&lt;&gt;"&amp;"",
'YearB-AppDetails Current Date'!I:I,"FALL"))), "")</f>
        <v/>
      </c>
      <c r="L15" s="74" t="str" cm="1">
        <f t="array" ref="L15">IFERROR(1/(1/SUM(COUNTIFS(
'YearB-AppDetails Current Date'!A:A,D15,
'YearB-AppDetails Current Date'!F:F,E15,
'YearB-AppDetails Current Date'!E:E,--F15,
'YearB-AppDetails Current Date'!T:T,{"APEX","DENY","NTSL"},
'YearB-AppDetails Current Date'!I:I,"FALL"))), "")</f>
        <v/>
      </c>
      <c r="M15" s="74" t="str" cm="1">
        <f t="array" ref="M15">IFERROR(1/(1/SUM(COUNTIFS(
'YearB-AppDetails Current Date'!A:A,D15,
'YearB-AppDetails Current Date'!F:F,E15,
'YearB-AppDetails Current Date'!E:E,--F15,
'YearB-AppDetails Current Date'!U:U,{"CCAN","DECL"},
'YearB-AppDetails Current Date'!I:I,"FALL"))), "")</f>
        <v/>
      </c>
      <c r="N15" s="74" t="str" cm="1">
        <f t="array" ref="N15">IFERROR(1/(1/SUM(COUNTIFS(
'YearB-AppDetails Current Date'!A:A,D15,
'YearB-AppDetails Current Date'!F:F,E15,
'YearB-AppDetails Current Date'!E:E,--F15,
'YearB-AppDetails Current Date'!V:V,{"APRO","NODE"},
'YearB-AppDetails Current Date'!I:I,"FALL"))), "")</f>
        <v/>
      </c>
      <c r="O15" s="74" t="str" cm="1">
        <f t="array" ref="O15">IFERROR(1/(1/SUM(COUNTIFS(
'YearB-AppDetails Current Date'!A:A,D15,
'YearB-AppDetails Current Date'!F:F,E15,
'YearB-AppDetails Current Date'!E:E,--F15,
'YearB-AppDetails Current Date'!T:T,{"CDMT","RQMT","WAIT"},
'YearB-AppDetails Current Date'!I:I,"FALL"))), "")</f>
        <v/>
      </c>
      <c r="P15" s="74" t="str">
        <f>IFERROR(1/(1/COUNTIFS(
'YearB-AppDetails Current Date'!A:A,D15,
'YearB-AppDetails Current Date'!F:F,E15,
'YearB-AppDetails Current Date'!E:E,--F15,
'YearB-AppDetails Current Date'!Y:Y,"ENRO",
'YearB-AppDetails Current Date'!I:I,"FALL")),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HC'!D:T,12,FALSE)),
N(VLOOKUP(D16&amp;F16,'Budgeted Projections Intl HC'!D:T,13,FALSE))
)
),"")</f>
        <v/>
      </c>
      <c r="I16" s="73" t="str">
        <f>IFERROR(1/(1/COUNTIFS(
'YearB-AppDetails Current Date'!A:A,D16,
'YearB-AppDetails Current Date'!F:F,E16,
'YearB-AppDetails Current Date'!E:E,--F16,
'YearB-AppDetails Current Date'!I:I,"FALL")), "")</f>
        <v/>
      </c>
      <c r="J16" s="74" t="str" cm="1">
        <f t="array" ref="J16">IFERROR(1/(1/SUM(COUNTIFS(
'YearB-AppDetails Current Date'!A:A,D16,
'YearB-AppDetails Current Date'!F:F,E16,
'YearB-AppDetails Current Date'!E:E,--F16,
'YearB-AppDetails Current Date'!O:O,{"ACLN","ACPT","COND"},
'YearB-AppDetails Current Date'!S:S,"&lt;&gt;ACLN",
'YearB-AppDetails Current Date'!S:S,"&lt;&gt;ACPT",
'YearB-AppDetails Current Date'!S:S,"&lt;&gt;COND",
'YearB-AppDetails Current Date'!I:I,"FALL"))), "")</f>
        <v/>
      </c>
      <c r="K16" s="73" t="str">
        <f>IFERROR(1/(1/SUM(COUNTIFS(
'YearB-AppDetails Current Date'!A:A,D16,
'YearB-AppDetails Current Date'!F:F,E16,
'YearB-AppDetails Current Date'!E:E,--F16,
'YearB-AppDetails Current Date'!R:R,"&lt;&gt;"&amp;"",
'YearB-AppDetails Current Date'!I:I,"FALL"))), "")</f>
        <v/>
      </c>
      <c r="L16" s="74" t="str" cm="1">
        <f t="array" ref="L16">IFERROR(1/(1/SUM(COUNTIFS(
'YearB-AppDetails Current Date'!A:A,D16,
'YearB-AppDetails Current Date'!F:F,E16,
'YearB-AppDetails Current Date'!E:E,--F16,
'YearB-AppDetails Current Date'!T:T,{"APEX","DENY","NTSL"},
'YearB-AppDetails Current Date'!I:I,"FALL"))), "")</f>
        <v/>
      </c>
      <c r="M16" s="74" t="str" cm="1">
        <f t="array" ref="M16">IFERROR(1/(1/SUM(COUNTIFS(
'YearB-AppDetails Current Date'!A:A,D16,
'YearB-AppDetails Current Date'!F:F,E16,
'YearB-AppDetails Current Date'!E:E,--F16,
'YearB-AppDetails Current Date'!U:U,{"CCAN","DECL"},
'YearB-AppDetails Current Date'!I:I,"FALL"))), "")</f>
        <v/>
      </c>
      <c r="N16" s="74" t="str" cm="1">
        <f t="array" ref="N16">IFERROR(1/(1/SUM(COUNTIFS(
'YearB-AppDetails Current Date'!A:A,D16,
'YearB-AppDetails Current Date'!F:F,E16,
'YearB-AppDetails Current Date'!E:E,--F16,
'YearB-AppDetails Current Date'!V:V,{"APRO","NODE"},
'YearB-AppDetails Current Date'!I:I,"FALL"))), "")</f>
        <v/>
      </c>
      <c r="O16" s="74" t="str" cm="1">
        <f t="array" ref="O16">IFERROR(1/(1/SUM(COUNTIFS(
'YearB-AppDetails Current Date'!A:A,D16,
'YearB-AppDetails Current Date'!F:F,E16,
'YearB-AppDetails Current Date'!E:E,--F16,
'YearB-AppDetails Current Date'!T:T,{"CDMT","RQMT","WAIT"},
'YearB-AppDetails Current Date'!I:I,"FALL"))), "")</f>
        <v/>
      </c>
      <c r="P16" s="74" t="str">
        <f>IFERROR(1/(1/COUNTIFS(
'YearB-AppDetails Current Date'!A:A,D16,
'YearB-AppDetails Current Date'!F:F,E16,
'YearB-AppDetails Current Date'!E:E,--F16,
'YearB-AppDetails Current Date'!Y:Y,"ENRO",
'YearB-AppDetails Current Date'!I:I,"FALL")),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HC'!D:T,12,FALSE)),
N(VLOOKUP(D18&amp;F18,'Budgeted Projections Dom HC'!D:T,13,FALSE))
)
),"")</f>
        <v/>
      </c>
      <c r="I18" s="73" t="str">
        <f>IFERROR(1/(1/COUNTIFS(
'YearB-AppDetails Current Date'!A:A,D18,
'YearB-AppDetails Current Date'!F:F,E18,
'YearB-AppDetails Current Date'!E:E,--F18,
'YearB-AppDetails Current Date'!I:I,"FALL")), "")</f>
        <v/>
      </c>
      <c r="J18" s="74" t="str" cm="1">
        <f t="array" ref="J18">IFERROR(1/(1/SUM(COUNTIFS(
'YearB-AppDetails Current Date'!A:A,D18,
'YearB-AppDetails Current Date'!F:F,E18,
'YearB-AppDetails Current Date'!E:E,--F18,
'YearB-AppDetails Current Date'!O:O,{"ACLN","ACPT","COND"},
'YearB-AppDetails Current Date'!S:S,"&lt;&gt;ACLN",
'YearB-AppDetails Current Date'!S:S,"&lt;&gt;ACPT",
'YearB-AppDetails Current Date'!S:S,"&lt;&gt;COND",
'YearB-AppDetails Current Date'!I:I,"FALL"))), "")</f>
        <v/>
      </c>
      <c r="K18" s="73" t="str">
        <f>IFERROR(1/(1/SUM(COUNTIFS(
'YearB-AppDetails Current Date'!A:A,D18,
'YearB-AppDetails Current Date'!F:F,E18,
'YearB-AppDetails Current Date'!E:E,--F18,
'YearB-AppDetails Current Date'!R:R,"&lt;&gt;"&amp;"",
'YearB-AppDetails Current Date'!I:I,"FALL"))), "")</f>
        <v/>
      </c>
      <c r="L18" s="74" t="str" cm="1">
        <f t="array" ref="L18">IFERROR(1/(1/SUM(COUNTIFS(
'YearB-AppDetails Current Date'!A:A,D18,
'YearB-AppDetails Current Date'!F:F,E18,
'YearB-AppDetails Current Date'!E:E,--F18,
'YearB-AppDetails Current Date'!T:T,{"APEX","DENY","NTSL"},
'YearB-AppDetails Current Date'!I:I,"FALL"))), "")</f>
        <v/>
      </c>
      <c r="M18" s="74" t="str" cm="1">
        <f t="array" ref="M18">IFERROR(1/(1/SUM(COUNTIFS(
'YearB-AppDetails Current Date'!A:A,D18,
'YearB-AppDetails Current Date'!F:F,E18,
'YearB-AppDetails Current Date'!E:E,--F18,
'YearB-AppDetails Current Date'!U:U,{"CCAN","DECL"},
'YearB-AppDetails Current Date'!I:I,"FALL"))), "")</f>
        <v/>
      </c>
      <c r="N18" s="74" t="str" cm="1">
        <f t="array" ref="N18">IFERROR(1/(1/SUM(COUNTIFS(
'YearB-AppDetails Current Date'!A:A,D18,
'YearB-AppDetails Current Date'!F:F,E18,
'YearB-AppDetails Current Date'!E:E,--F18,
'YearB-AppDetails Current Date'!V:V,{"APRO","NODE"},
'YearB-AppDetails Current Date'!I:I,"FALL"))), "")</f>
        <v/>
      </c>
      <c r="O18" s="74" t="str" cm="1">
        <f t="array" ref="O18">IFERROR(1/(1/SUM(COUNTIFS(
'YearB-AppDetails Current Date'!A:A,D18,
'YearB-AppDetails Current Date'!F:F,E18,
'YearB-AppDetails Current Date'!E:E,--F18,
'YearB-AppDetails Current Date'!T:T,{"CDMT","RQMT","WAIT"},
'YearB-AppDetails Current Date'!I:I,"FALL"))), "")</f>
        <v/>
      </c>
      <c r="P18" s="74" t="str">
        <f>IFERROR(1/(1/COUNTIFS(
'YearB-AppDetails Current Date'!A:A,D18,
'YearB-AppDetails Current Date'!F:F,E18,
'YearB-AppDetails Current Date'!E:E,--F18,
'YearB-AppDetails Current Date'!Y:Y,"ENRO",
'YearB-AppDetails Current Date'!I:I,"FALL")),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HC'!D:T,12,FALSE)),
N(VLOOKUP(D19&amp;F19,'Budgeted Projections Intl HC'!D:T,13,FALSE))
)
),"")</f>
        <v/>
      </c>
      <c r="I19" s="73" t="str">
        <f>IFERROR(1/(1/COUNTIFS(
'YearB-AppDetails Current Date'!A:A,D19,
'YearB-AppDetails Current Date'!F:F,E19,
'YearB-AppDetails Current Date'!E:E,--F19,
'YearB-AppDetails Current Date'!I:I,"FALL")), "")</f>
        <v/>
      </c>
      <c r="J19" s="74" t="str" cm="1">
        <f t="array" ref="J19">IFERROR(1/(1/SUM(COUNTIFS(
'YearB-AppDetails Current Date'!A:A,D19,
'YearB-AppDetails Current Date'!F:F,E19,
'YearB-AppDetails Current Date'!E:E,--F19,
'YearB-AppDetails Current Date'!O:O,{"ACLN","ACPT","COND"},
'YearB-AppDetails Current Date'!S:S,"&lt;&gt;ACLN",
'YearB-AppDetails Current Date'!S:S,"&lt;&gt;ACPT",
'YearB-AppDetails Current Date'!S:S,"&lt;&gt;COND",
'YearB-AppDetails Current Date'!I:I,"FALL"))), "")</f>
        <v/>
      </c>
      <c r="K19" s="73" t="str">
        <f>IFERROR(1/(1/SUM(COUNTIFS(
'YearB-AppDetails Current Date'!A:A,D19,
'YearB-AppDetails Current Date'!F:F,E19,
'YearB-AppDetails Current Date'!E:E,--F19,
'YearB-AppDetails Current Date'!R:R,"&lt;&gt;"&amp;"",
'YearB-AppDetails Current Date'!I:I,"FALL"))), "")</f>
        <v/>
      </c>
      <c r="L19" s="74" t="str" cm="1">
        <f t="array" ref="L19">IFERROR(1/(1/SUM(COUNTIFS(
'YearB-AppDetails Current Date'!A:A,D19,
'YearB-AppDetails Current Date'!F:F,E19,
'YearB-AppDetails Current Date'!E:E,--F19,
'YearB-AppDetails Current Date'!T:T,{"APEX","DENY","NTSL"},
'YearB-AppDetails Current Date'!I:I,"FALL"))), "")</f>
        <v/>
      </c>
      <c r="M19" s="74" t="str" cm="1">
        <f t="array" ref="M19">IFERROR(1/(1/SUM(COUNTIFS(
'YearB-AppDetails Current Date'!A:A,D19,
'YearB-AppDetails Current Date'!F:F,E19,
'YearB-AppDetails Current Date'!E:E,--F19,
'YearB-AppDetails Current Date'!U:U,{"CCAN","DECL"},
'YearB-AppDetails Current Date'!I:I,"FALL"))), "")</f>
        <v/>
      </c>
      <c r="N19" s="74" t="str" cm="1">
        <f t="array" ref="N19">IFERROR(1/(1/SUM(COUNTIFS(
'YearB-AppDetails Current Date'!A:A,D19,
'YearB-AppDetails Current Date'!F:F,E19,
'YearB-AppDetails Current Date'!E:E,--F19,
'YearB-AppDetails Current Date'!V:V,{"APRO","NODE"},
'YearB-AppDetails Current Date'!I:I,"FALL"))), "")</f>
        <v/>
      </c>
      <c r="O19" s="74" t="str" cm="1">
        <f t="array" ref="O19">IFERROR(1/(1/SUM(COUNTIFS(
'YearB-AppDetails Current Date'!A:A,D19,
'YearB-AppDetails Current Date'!F:F,E19,
'YearB-AppDetails Current Date'!E:E,--F19,
'YearB-AppDetails Current Date'!T:T,{"CDMT","RQMT","WAIT"},
'YearB-AppDetails Current Date'!I:I,"FALL"))), "")</f>
        <v/>
      </c>
      <c r="P19" s="74" t="str">
        <f>IFERROR(1/(1/COUNTIFS(
'YearB-AppDetails Current Date'!A:A,D19,
'YearB-AppDetails Current Date'!F:F,E19,
'YearB-AppDetails Current Date'!E:E,--F19,
'YearB-AppDetails Current Date'!Y:Y,"ENRO",
'YearB-AppDetails Current Date'!I:I,"FALL")),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HC'!D:T,12,FALSE)),
N(VLOOKUP(D20&amp;F20,'Budgeted Projections Dom HC'!D:T,13,FALSE))
)
),"")</f>
        <v/>
      </c>
      <c r="I20" s="73" t="str">
        <f>IFERROR(1/(1/COUNTIFS(
'YearB-AppDetails Current Date'!A:A,D20,
'YearB-AppDetails Current Date'!F:F,E20,
'YearB-AppDetails Current Date'!E:E,--F20,
'YearB-AppDetails Current Date'!I:I,"FALL")), "")</f>
        <v/>
      </c>
      <c r="J20" s="74" t="str" cm="1">
        <f t="array" ref="J20">IFERROR(1/(1/SUM(COUNTIFS(
'YearB-AppDetails Current Date'!A:A,D20,
'YearB-AppDetails Current Date'!F:F,E20,
'YearB-AppDetails Current Date'!E:E,--F20,
'YearB-AppDetails Current Date'!O:O,{"ACLN","ACPT","COND"},
'YearB-AppDetails Current Date'!S:S,"&lt;&gt;ACLN",
'YearB-AppDetails Current Date'!S:S,"&lt;&gt;ACPT",
'YearB-AppDetails Current Date'!S:S,"&lt;&gt;COND",
'YearB-AppDetails Current Date'!I:I,"FALL"))), "")</f>
        <v/>
      </c>
      <c r="K20" s="73" t="str">
        <f>IFERROR(1/(1/SUM(COUNTIFS(
'YearB-AppDetails Current Date'!A:A,D20,
'YearB-AppDetails Current Date'!F:F,E20,
'YearB-AppDetails Current Date'!E:E,--F20,
'YearB-AppDetails Current Date'!R:R,"&lt;&gt;"&amp;"",
'YearB-AppDetails Current Date'!I:I,"FALL"))), "")</f>
        <v/>
      </c>
      <c r="L20" s="74" t="str" cm="1">
        <f t="array" ref="L20">IFERROR(1/(1/SUM(COUNTIFS(
'YearB-AppDetails Current Date'!A:A,D20,
'YearB-AppDetails Current Date'!F:F,E20,
'YearB-AppDetails Current Date'!E:E,--F20,
'YearB-AppDetails Current Date'!T:T,{"APEX","DENY","NTSL"},
'YearB-AppDetails Current Date'!I:I,"FALL"))), "")</f>
        <v/>
      </c>
      <c r="M20" s="74" t="str" cm="1">
        <f t="array" ref="M20">IFERROR(1/(1/SUM(COUNTIFS(
'YearB-AppDetails Current Date'!A:A,D20,
'YearB-AppDetails Current Date'!F:F,E20,
'YearB-AppDetails Current Date'!E:E,--F20,
'YearB-AppDetails Current Date'!U:U,{"CCAN","DECL"},
'YearB-AppDetails Current Date'!I:I,"FALL"))), "")</f>
        <v/>
      </c>
      <c r="N20" s="74" t="str" cm="1">
        <f t="array" ref="N20">IFERROR(1/(1/SUM(COUNTIFS(
'YearB-AppDetails Current Date'!A:A,D20,
'YearB-AppDetails Current Date'!F:F,E20,
'YearB-AppDetails Current Date'!E:E,--F20,
'YearB-AppDetails Current Date'!V:V,{"APRO","NODE"},
'YearB-AppDetails Current Date'!I:I,"FALL"))), "")</f>
        <v/>
      </c>
      <c r="O20" s="74" t="str" cm="1">
        <f t="array" ref="O20">IFERROR(1/(1/SUM(COUNTIFS(
'YearB-AppDetails Current Date'!A:A,D20,
'YearB-AppDetails Current Date'!F:F,E20,
'YearB-AppDetails Current Date'!E:E,--F20,
'YearB-AppDetails Current Date'!T:T,{"CDMT","RQMT","WAIT"},
'YearB-AppDetails Current Date'!I:I,"FALL"))), "")</f>
        <v/>
      </c>
      <c r="P20" s="74" t="str">
        <f>IFERROR(1/(1/COUNTIFS(
'YearB-AppDetails Current Date'!A:A,D20,
'YearB-AppDetails Current Date'!F:F,E20,
'YearB-AppDetails Current Date'!E:E,--F20,
'YearB-AppDetails Current Date'!Y:Y,"ENRO",
'YearB-AppDetails Current Date'!I:I,"FALL")),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HC'!D:T,12,FALSE)),
N(VLOOKUP(D21&amp;F21,'Budgeted Projections Intl HC'!D:T,13,FALSE))
)
),"")</f>
        <v/>
      </c>
      <c r="I21" s="73" t="str">
        <f>IFERROR(1/(1/COUNTIFS(
'YearB-AppDetails Current Date'!A:A,D21,
'YearB-AppDetails Current Date'!F:F,E21,
'YearB-AppDetails Current Date'!E:E,--F21,
'YearB-AppDetails Current Date'!I:I,"FALL")), "")</f>
        <v/>
      </c>
      <c r="J21" s="74" t="str" cm="1">
        <f t="array" ref="J21">IFERROR(1/(1/SUM(COUNTIFS(
'YearB-AppDetails Current Date'!A:A,D21,
'YearB-AppDetails Current Date'!F:F,E21,
'YearB-AppDetails Current Date'!E:E,--F21,
'YearB-AppDetails Current Date'!O:O,{"ACLN","ACPT","COND"},
'YearB-AppDetails Current Date'!S:S,"&lt;&gt;ACLN",
'YearB-AppDetails Current Date'!S:S,"&lt;&gt;ACPT",
'YearB-AppDetails Current Date'!S:S,"&lt;&gt;COND",
'YearB-AppDetails Current Date'!I:I,"FALL"))), "")</f>
        <v/>
      </c>
      <c r="K21" s="73" t="str">
        <f>IFERROR(1/(1/SUM(COUNTIFS(
'YearB-AppDetails Current Date'!A:A,D21,
'YearB-AppDetails Current Date'!F:F,E21,
'YearB-AppDetails Current Date'!E:E,--F21,
'YearB-AppDetails Current Date'!R:R,"&lt;&gt;"&amp;"",
'YearB-AppDetails Current Date'!I:I,"FALL"))), "")</f>
        <v/>
      </c>
      <c r="L21" s="74" t="str" cm="1">
        <f t="array" ref="L21">IFERROR(1/(1/SUM(COUNTIFS(
'YearB-AppDetails Current Date'!A:A,D21,
'YearB-AppDetails Current Date'!F:F,E21,
'YearB-AppDetails Current Date'!E:E,--F21,
'YearB-AppDetails Current Date'!T:T,{"APEX","DENY","NTSL"},
'YearB-AppDetails Current Date'!I:I,"FALL"))), "")</f>
        <v/>
      </c>
      <c r="M21" s="74" t="str" cm="1">
        <f t="array" ref="M21">IFERROR(1/(1/SUM(COUNTIFS(
'YearB-AppDetails Current Date'!A:A,D21,
'YearB-AppDetails Current Date'!F:F,E21,
'YearB-AppDetails Current Date'!E:E,--F21,
'YearB-AppDetails Current Date'!U:U,{"CCAN","DECL"},
'YearB-AppDetails Current Date'!I:I,"FALL"))), "")</f>
        <v/>
      </c>
      <c r="N21" s="74" t="str" cm="1">
        <f t="array" ref="N21">IFERROR(1/(1/SUM(COUNTIFS(
'YearB-AppDetails Current Date'!A:A,D21,
'YearB-AppDetails Current Date'!F:F,E21,
'YearB-AppDetails Current Date'!E:E,--F21,
'YearB-AppDetails Current Date'!V:V,{"APRO","NODE"},
'YearB-AppDetails Current Date'!I:I,"FALL"))), "")</f>
        <v/>
      </c>
      <c r="O21" s="74" t="str" cm="1">
        <f t="array" ref="O21">IFERROR(1/(1/SUM(COUNTIFS(
'YearB-AppDetails Current Date'!A:A,D21,
'YearB-AppDetails Current Date'!F:F,E21,
'YearB-AppDetails Current Date'!E:E,--F21,
'YearB-AppDetails Current Date'!T:T,{"CDMT","RQMT","WAIT"},
'YearB-AppDetails Current Date'!I:I,"FALL"))), "")</f>
        <v/>
      </c>
      <c r="P21" s="74" t="str">
        <f>IFERROR(1/(1/COUNTIFS(
'YearB-AppDetails Current Date'!A:A,D21,
'YearB-AppDetails Current Date'!F:F,E21,
'YearB-AppDetails Current Date'!E:E,--F21,
'YearB-AppDetails Current Date'!Y:Y,"ENRO",
'YearB-AppDetails Current Date'!I:I,"FALL")),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HC'!D:T,12,FALSE)),
N(VLOOKUP(D22&amp;F22,'Budgeted Projections Dom HC'!D:T,13,FALSE))
)
),"")</f>
        <v/>
      </c>
      <c r="I22" s="73" t="str">
        <f>IFERROR(1/(1/COUNTIFS(
'YearB-AppDetails Current Date'!A:A,D22,
'YearB-AppDetails Current Date'!F:F,E22,
'YearB-AppDetails Current Date'!E:E,--F22,
'YearB-AppDetails Current Date'!I:I,"FALL")), "")</f>
        <v/>
      </c>
      <c r="J22" s="74" t="str" cm="1">
        <f t="array" ref="J22">IFERROR(1/(1/SUM(COUNTIFS(
'YearB-AppDetails Current Date'!A:A,D22,
'YearB-AppDetails Current Date'!F:F,E22,
'YearB-AppDetails Current Date'!E:E,--F22,
'YearB-AppDetails Current Date'!O:O,{"ACLN","ACPT","COND"},
'YearB-AppDetails Current Date'!S:S,"&lt;&gt;ACLN",
'YearB-AppDetails Current Date'!S:S,"&lt;&gt;ACPT",
'YearB-AppDetails Current Date'!S:S,"&lt;&gt;COND",
'YearB-AppDetails Current Date'!I:I,"FALL"))), "")</f>
        <v/>
      </c>
      <c r="K22" s="73" t="str">
        <f>IFERROR(1/(1/SUM(COUNTIFS(
'YearB-AppDetails Current Date'!A:A,D22,
'YearB-AppDetails Current Date'!F:F,E22,
'YearB-AppDetails Current Date'!E:E,--F22,
'YearB-AppDetails Current Date'!R:R,"&lt;&gt;"&amp;"",
'YearB-AppDetails Current Date'!I:I,"FALL"))), "")</f>
        <v/>
      </c>
      <c r="L22" s="74" t="str" cm="1">
        <f t="array" ref="L22">IFERROR(1/(1/SUM(COUNTIFS(
'YearB-AppDetails Current Date'!A:A,D22,
'YearB-AppDetails Current Date'!F:F,E22,
'YearB-AppDetails Current Date'!E:E,--F22,
'YearB-AppDetails Current Date'!T:T,{"APEX","DENY","NTSL"},
'YearB-AppDetails Current Date'!I:I,"FALL"))), "")</f>
        <v/>
      </c>
      <c r="M22" s="74" t="str" cm="1">
        <f t="array" ref="M22">IFERROR(1/(1/SUM(COUNTIFS(
'YearB-AppDetails Current Date'!A:A,D22,
'YearB-AppDetails Current Date'!F:F,E22,
'YearB-AppDetails Current Date'!E:E,--F22,
'YearB-AppDetails Current Date'!U:U,{"CCAN","DECL"},
'YearB-AppDetails Current Date'!I:I,"FALL"))), "")</f>
        <v/>
      </c>
      <c r="N22" s="74" t="str" cm="1">
        <f t="array" ref="N22">IFERROR(1/(1/SUM(COUNTIFS(
'YearB-AppDetails Current Date'!A:A,D22,
'YearB-AppDetails Current Date'!F:F,E22,
'YearB-AppDetails Current Date'!E:E,--F22,
'YearB-AppDetails Current Date'!V:V,{"APRO","NODE"},
'YearB-AppDetails Current Date'!I:I,"FALL"))), "")</f>
        <v/>
      </c>
      <c r="O22" s="74" t="str" cm="1">
        <f t="array" ref="O22">IFERROR(1/(1/SUM(COUNTIFS(
'YearB-AppDetails Current Date'!A:A,D22,
'YearB-AppDetails Current Date'!F:F,E22,
'YearB-AppDetails Current Date'!E:E,--F22,
'YearB-AppDetails Current Date'!T:T,{"CDMT","RQMT","WAIT"},
'YearB-AppDetails Current Date'!I:I,"FALL"))), "")</f>
        <v/>
      </c>
      <c r="P22" s="74" t="str">
        <f>IFERROR(1/(1/COUNTIFS(
'YearB-AppDetails Current Date'!A:A,D22,
'YearB-AppDetails Current Date'!F:F,E22,
'YearB-AppDetails Current Date'!E:E,--F22,
'YearB-AppDetails Current Date'!Y:Y,"ENRO",
'YearB-AppDetails Current Date'!I:I,"FALL")),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HC'!D:T,12,FALSE)),
N(VLOOKUP(D23&amp;F23,'Budgeted Projections Intl HC'!D:T,13,FALSE))
)
),"")</f>
        <v/>
      </c>
      <c r="I23" s="73" t="str">
        <f>IFERROR(1/(1/COUNTIFS(
'YearB-AppDetails Current Date'!A:A,D23,
'YearB-AppDetails Current Date'!F:F,E23,
'YearB-AppDetails Current Date'!E:E,--F23,
'YearB-AppDetails Current Date'!I:I,"FALL")), "")</f>
        <v/>
      </c>
      <c r="J23" s="74" t="str" cm="1">
        <f t="array" ref="J23">IFERROR(1/(1/SUM(COUNTIFS(
'YearB-AppDetails Current Date'!A:A,D23,
'YearB-AppDetails Current Date'!F:F,E23,
'YearB-AppDetails Current Date'!E:E,--F23,
'YearB-AppDetails Current Date'!O:O,{"ACLN","ACPT","COND"},
'YearB-AppDetails Current Date'!S:S,"&lt;&gt;ACLN",
'YearB-AppDetails Current Date'!S:S,"&lt;&gt;ACPT",
'YearB-AppDetails Current Date'!S:S,"&lt;&gt;COND",
'YearB-AppDetails Current Date'!I:I,"FALL"))), "")</f>
        <v/>
      </c>
      <c r="K23" s="73" t="str">
        <f>IFERROR(1/(1/SUM(COUNTIFS(
'YearB-AppDetails Current Date'!A:A,D23,
'YearB-AppDetails Current Date'!F:F,E23,
'YearB-AppDetails Current Date'!E:E,--F23,
'YearB-AppDetails Current Date'!R:R,"&lt;&gt;"&amp;"",
'YearB-AppDetails Current Date'!I:I,"FALL"))), "")</f>
        <v/>
      </c>
      <c r="L23" s="74" t="str" cm="1">
        <f t="array" ref="L23">IFERROR(1/(1/SUM(COUNTIFS(
'YearB-AppDetails Current Date'!A:A,D23,
'YearB-AppDetails Current Date'!F:F,E23,
'YearB-AppDetails Current Date'!E:E,--F23,
'YearB-AppDetails Current Date'!T:T,{"APEX","DENY","NTSL"},
'YearB-AppDetails Current Date'!I:I,"FALL"))), "")</f>
        <v/>
      </c>
      <c r="M23" s="74" t="str" cm="1">
        <f t="array" ref="M23">IFERROR(1/(1/SUM(COUNTIFS(
'YearB-AppDetails Current Date'!A:A,D23,
'YearB-AppDetails Current Date'!F:F,E23,
'YearB-AppDetails Current Date'!E:E,--F23,
'YearB-AppDetails Current Date'!U:U,{"CCAN","DECL"},
'YearB-AppDetails Current Date'!I:I,"FALL"))), "")</f>
        <v/>
      </c>
      <c r="N23" s="74" t="str" cm="1">
        <f t="array" ref="N23">IFERROR(1/(1/SUM(COUNTIFS(
'YearB-AppDetails Current Date'!A:A,D23,
'YearB-AppDetails Current Date'!F:F,E23,
'YearB-AppDetails Current Date'!E:E,--F23,
'YearB-AppDetails Current Date'!V:V,{"APRO","NODE"},
'YearB-AppDetails Current Date'!I:I,"FALL"))), "")</f>
        <v/>
      </c>
      <c r="O23" s="74" t="str" cm="1">
        <f t="array" ref="O23">IFERROR(1/(1/SUM(COUNTIFS(
'YearB-AppDetails Current Date'!A:A,D23,
'YearB-AppDetails Current Date'!F:F,E23,
'YearB-AppDetails Current Date'!E:E,--F23,
'YearB-AppDetails Current Date'!T:T,{"CDMT","RQMT","WAIT"},
'YearB-AppDetails Current Date'!I:I,"FALL"))), "")</f>
        <v/>
      </c>
      <c r="P23" s="74" t="str">
        <f>IFERROR(1/(1/COUNTIFS(
'YearB-AppDetails Current Date'!A:A,D23,
'YearB-AppDetails Current Date'!F:F,E23,
'YearB-AppDetails Current Date'!E:E,--F23,
'YearB-AppDetails Current Date'!Y:Y,"ENRO",
'YearB-AppDetails Current Date'!I:I,"FALL")),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HC'!D:T,12,FALSE)),
N(VLOOKUP(D24&amp;F24,'Budgeted Projections Dom HC'!D:T,13,FALSE))
)
),"")</f>
        <v/>
      </c>
      <c r="I24" s="73" t="str">
        <f>IFERROR(1/(1/COUNTIFS(
'YearB-AppDetails Current Date'!A:A,D24,
'YearB-AppDetails Current Date'!F:F,E24,
'YearB-AppDetails Current Date'!E:E,--F24,
'YearB-AppDetails Current Date'!I:I,"FALL")), "")</f>
        <v/>
      </c>
      <c r="J24" s="74" t="str" cm="1">
        <f t="array" ref="J24">IFERROR(1/(1/SUM(COUNTIFS(
'YearB-AppDetails Current Date'!A:A,D24,
'YearB-AppDetails Current Date'!F:F,E24,
'YearB-AppDetails Current Date'!E:E,--F24,
'YearB-AppDetails Current Date'!O:O,{"ACLN","ACPT","COND"},
'YearB-AppDetails Current Date'!S:S,"&lt;&gt;ACLN",
'YearB-AppDetails Current Date'!S:S,"&lt;&gt;ACPT",
'YearB-AppDetails Current Date'!S:S,"&lt;&gt;COND",
'YearB-AppDetails Current Date'!I:I,"FALL"))), "")</f>
        <v/>
      </c>
      <c r="K24" s="73" t="str">
        <f>IFERROR(1/(1/SUM(COUNTIFS(
'YearB-AppDetails Current Date'!A:A,D24,
'YearB-AppDetails Current Date'!F:F,E24,
'YearB-AppDetails Current Date'!E:E,--F24,
'YearB-AppDetails Current Date'!R:R,"&lt;&gt;"&amp;"",
'YearB-AppDetails Current Date'!I:I,"FALL"))), "")</f>
        <v/>
      </c>
      <c r="L24" s="74" t="str" cm="1">
        <f t="array" ref="L24">IFERROR(1/(1/SUM(COUNTIFS(
'YearB-AppDetails Current Date'!A:A,D24,
'YearB-AppDetails Current Date'!F:F,E24,
'YearB-AppDetails Current Date'!E:E,--F24,
'YearB-AppDetails Current Date'!T:T,{"APEX","DENY","NTSL"},
'YearB-AppDetails Current Date'!I:I,"FALL"))), "")</f>
        <v/>
      </c>
      <c r="M24" s="74" t="str" cm="1">
        <f t="array" ref="M24">IFERROR(1/(1/SUM(COUNTIFS(
'YearB-AppDetails Current Date'!A:A,D24,
'YearB-AppDetails Current Date'!F:F,E24,
'YearB-AppDetails Current Date'!E:E,--F24,
'YearB-AppDetails Current Date'!U:U,{"CCAN","DECL"},
'YearB-AppDetails Current Date'!I:I,"FALL"))), "")</f>
        <v/>
      </c>
      <c r="N24" s="74" t="str" cm="1">
        <f t="array" ref="N24">IFERROR(1/(1/SUM(COUNTIFS(
'YearB-AppDetails Current Date'!A:A,D24,
'YearB-AppDetails Current Date'!F:F,E24,
'YearB-AppDetails Current Date'!E:E,--F24,
'YearB-AppDetails Current Date'!V:V,{"APRO","NODE"},
'YearB-AppDetails Current Date'!I:I,"FALL"))), "")</f>
        <v/>
      </c>
      <c r="O24" s="74" t="str" cm="1">
        <f t="array" ref="O24">IFERROR(1/(1/SUM(COUNTIFS(
'YearB-AppDetails Current Date'!A:A,D24,
'YearB-AppDetails Current Date'!F:F,E24,
'YearB-AppDetails Current Date'!E:E,--F24,
'YearB-AppDetails Current Date'!T:T,{"CDMT","RQMT","WAIT"},
'YearB-AppDetails Current Date'!I:I,"FALL"))), "")</f>
        <v/>
      </c>
      <c r="P24" s="74" t="str">
        <f>IFERROR(1/(1/COUNTIFS(
'YearB-AppDetails Current Date'!A:A,D24,
'YearB-AppDetails Current Date'!F:F,E24,
'YearB-AppDetails Current Date'!E:E,--F24,
'YearB-AppDetails Current Date'!Y:Y,"ENRO",
'YearB-AppDetails Current Date'!I:I,"FALL")),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HC'!D:T,12,FALSE)),
N(VLOOKUP(D25&amp;F25,'Budgeted Projections Intl HC'!D:T,13,FALSE))
)
),"")</f>
        <v/>
      </c>
      <c r="I25" s="73" t="str">
        <f>IFERROR(1/(1/COUNTIFS(
'YearB-AppDetails Current Date'!A:A,D25,
'YearB-AppDetails Current Date'!F:F,E25,
'YearB-AppDetails Current Date'!E:E,--F25,
'YearB-AppDetails Current Date'!I:I,"FALL")), "")</f>
        <v/>
      </c>
      <c r="J25" s="74" t="str" cm="1">
        <f t="array" ref="J25">IFERROR(1/(1/SUM(COUNTIFS(
'YearB-AppDetails Current Date'!A:A,D25,
'YearB-AppDetails Current Date'!F:F,E25,
'YearB-AppDetails Current Date'!E:E,--F25,
'YearB-AppDetails Current Date'!O:O,{"ACLN","ACPT","COND"},
'YearB-AppDetails Current Date'!S:S,"&lt;&gt;ACLN",
'YearB-AppDetails Current Date'!S:S,"&lt;&gt;ACPT",
'YearB-AppDetails Current Date'!S:S,"&lt;&gt;COND",
'YearB-AppDetails Current Date'!I:I,"FALL"))), "")</f>
        <v/>
      </c>
      <c r="K25" s="73" t="str">
        <f>IFERROR(1/(1/SUM(COUNTIFS(
'YearB-AppDetails Current Date'!A:A,D25,
'YearB-AppDetails Current Date'!F:F,E25,
'YearB-AppDetails Current Date'!E:E,--F25,
'YearB-AppDetails Current Date'!R:R,"&lt;&gt;"&amp;"",
'YearB-AppDetails Current Date'!I:I,"FALL"))), "")</f>
        <v/>
      </c>
      <c r="L25" s="74" t="str" cm="1">
        <f t="array" ref="L25">IFERROR(1/(1/SUM(COUNTIFS(
'YearB-AppDetails Current Date'!A:A,D25,
'YearB-AppDetails Current Date'!F:F,E25,
'YearB-AppDetails Current Date'!E:E,--F25,
'YearB-AppDetails Current Date'!T:T,{"APEX","DENY","NTSL"},
'YearB-AppDetails Current Date'!I:I,"FALL"))), "")</f>
        <v/>
      </c>
      <c r="M25" s="74" t="str" cm="1">
        <f t="array" ref="M25">IFERROR(1/(1/SUM(COUNTIFS(
'YearB-AppDetails Current Date'!A:A,D25,
'YearB-AppDetails Current Date'!F:F,E25,
'YearB-AppDetails Current Date'!E:E,--F25,
'YearB-AppDetails Current Date'!U:U,{"CCAN","DECL"},
'YearB-AppDetails Current Date'!I:I,"FALL"))), "")</f>
        <v/>
      </c>
      <c r="N25" s="74" t="str" cm="1">
        <f t="array" ref="N25">IFERROR(1/(1/SUM(COUNTIFS(
'YearB-AppDetails Current Date'!A:A,D25,
'YearB-AppDetails Current Date'!F:F,E25,
'YearB-AppDetails Current Date'!E:E,--F25,
'YearB-AppDetails Current Date'!V:V,{"APRO","NODE"},
'YearB-AppDetails Current Date'!I:I,"FALL"))), "")</f>
        <v/>
      </c>
      <c r="O25" s="74" t="str" cm="1">
        <f t="array" ref="O25">IFERROR(1/(1/SUM(COUNTIFS(
'YearB-AppDetails Current Date'!A:A,D25,
'YearB-AppDetails Current Date'!F:F,E25,
'YearB-AppDetails Current Date'!E:E,--F25,
'YearB-AppDetails Current Date'!T:T,{"CDMT","RQMT","WAIT"},
'YearB-AppDetails Current Date'!I:I,"FALL"))), "")</f>
        <v/>
      </c>
      <c r="P25" s="74" t="str">
        <f>IFERROR(1/(1/COUNTIFS(
'YearB-AppDetails Current Date'!A:A,D25,
'YearB-AppDetails Current Date'!F:F,E25,
'YearB-AppDetails Current Date'!E:E,--F25,
'YearB-AppDetails Current Date'!Y:Y,"ENRO",
'YearB-AppDetails Current Date'!I:I,"FALL")),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HC'!D:T,12,FALSE)),
N(VLOOKUP(D26&amp;F26,'Budgeted Projections Dom HC'!D:T,13,FALSE))
)
),"")</f>
        <v/>
      </c>
      <c r="I26" s="73" t="str">
        <f>IFERROR(1/(1/COUNTIFS(
'YearB-AppDetails Current Date'!A:A,D26,
'YearB-AppDetails Current Date'!F:F,E26,
'YearB-AppDetails Current Date'!E:E,--F26,
'YearB-AppDetails Current Date'!I:I,"FALL")), "")</f>
        <v/>
      </c>
      <c r="J26" s="74" t="str" cm="1">
        <f t="array" ref="J26">IFERROR(1/(1/SUM(COUNTIFS(
'YearB-AppDetails Current Date'!A:A,D26,
'YearB-AppDetails Current Date'!F:F,E26,
'YearB-AppDetails Current Date'!E:E,--F26,
'YearB-AppDetails Current Date'!O:O,{"ACLN","ACPT","COND"},
'YearB-AppDetails Current Date'!S:S,"&lt;&gt;ACLN",
'YearB-AppDetails Current Date'!S:S,"&lt;&gt;ACPT",
'YearB-AppDetails Current Date'!S:S,"&lt;&gt;COND",
'YearB-AppDetails Current Date'!I:I,"FALL"))), "")</f>
        <v/>
      </c>
      <c r="K26" s="73" t="str">
        <f>IFERROR(1/(1/SUM(COUNTIFS(
'YearB-AppDetails Current Date'!A:A,D26,
'YearB-AppDetails Current Date'!F:F,E26,
'YearB-AppDetails Current Date'!E:E,--F26,
'YearB-AppDetails Current Date'!R:R,"&lt;&gt;"&amp;"",
'YearB-AppDetails Current Date'!I:I,"FALL"))), "")</f>
        <v/>
      </c>
      <c r="L26" s="74" t="str" cm="1">
        <f t="array" ref="L26">IFERROR(1/(1/SUM(COUNTIFS(
'YearB-AppDetails Current Date'!A:A,D26,
'YearB-AppDetails Current Date'!F:F,E26,
'YearB-AppDetails Current Date'!E:E,--F26,
'YearB-AppDetails Current Date'!T:T,{"APEX","DENY","NTSL"},
'YearB-AppDetails Current Date'!I:I,"FALL"))), "")</f>
        <v/>
      </c>
      <c r="M26" s="74" t="str" cm="1">
        <f t="array" ref="M26">IFERROR(1/(1/SUM(COUNTIFS(
'YearB-AppDetails Current Date'!A:A,D26,
'YearB-AppDetails Current Date'!F:F,E26,
'YearB-AppDetails Current Date'!E:E,--F26,
'YearB-AppDetails Current Date'!U:U,{"CCAN","DECL"},
'YearB-AppDetails Current Date'!I:I,"FALL"))), "")</f>
        <v/>
      </c>
      <c r="N26" s="74" t="str" cm="1">
        <f t="array" ref="N26">IFERROR(1/(1/SUM(COUNTIFS(
'YearB-AppDetails Current Date'!A:A,D26,
'YearB-AppDetails Current Date'!F:F,E26,
'YearB-AppDetails Current Date'!E:E,--F26,
'YearB-AppDetails Current Date'!V:V,{"APRO","NODE"},
'YearB-AppDetails Current Date'!I:I,"FALL"))), "")</f>
        <v/>
      </c>
      <c r="O26" s="74" t="str" cm="1">
        <f t="array" ref="O26">IFERROR(1/(1/SUM(COUNTIFS(
'YearB-AppDetails Current Date'!A:A,D26,
'YearB-AppDetails Current Date'!F:F,E26,
'YearB-AppDetails Current Date'!E:E,--F26,
'YearB-AppDetails Current Date'!T:T,{"CDMT","RQMT","WAIT"},
'YearB-AppDetails Current Date'!I:I,"FALL"))), "")</f>
        <v/>
      </c>
      <c r="P26" s="74" t="str">
        <f>IFERROR(1/(1/COUNTIFS(
'YearB-AppDetails Current Date'!A:A,D26,
'YearB-AppDetails Current Date'!F:F,E26,
'YearB-AppDetails Current Date'!E:E,--F26,
'YearB-AppDetails Current Date'!Y:Y,"ENRO",
'YearB-AppDetails Current Date'!I:I,"FALL")),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HC'!D:T,12,FALSE)),
N(VLOOKUP(D27&amp;F27,'Budgeted Projections Intl HC'!D:T,13,FALSE))
)
),"")</f>
        <v/>
      </c>
      <c r="I27" s="73" t="str">
        <f>IFERROR(1/(1/COUNTIFS(
'YearB-AppDetails Current Date'!A:A,D27,
'YearB-AppDetails Current Date'!F:F,E27,
'YearB-AppDetails Current Date'!E:E,--F27,
'YearB-AppDetails Current Date'!I:I,"FALL")), "")</f>
        <v/>
      </c>
      <c r="J27" s="74" t="str" cm="1">
        <f t="array" ref="J27">IFERROR(1/(1/SUM(COUNTIFS(
'YearB-AppDetails Current Date'!A:A,D27,
'YearB-AppDetails Current Date'!F:F,E27,
'YearB-AppDetails Current Date'!E:E,--F27,
'YearB-AppDetails Current Date'!O:O,{"ACLN","ACPT","COND"},
'YearB-AppDetails Current Date'!S:S,"&lt;&gt;ACLN",
'YearB-AppDetails Current Date'!S:S,"&lt;&gt;ACPT",
'YearB-AppDetails Current Date'!S:S,"&lt;&gt;COND",
'YearB-AppDetails Current Date'!I:I,"FALL"))), "")</f>
        <v/>
      </c>
      <c r="K27" s="73" t="str">
        <f>IFERROR(1/(1/SUM(COUNTIFS(
'YearB-AppDetails Current Date'!A:A,D27,
'YearB-AppDetails Current Date'!F:F,E27,
'YearB-AppDetails Current Date'!E:E,--F27,
'YearB-AppDetails Current Date'!R:R,"&lt;&gt;"&amp;"",
'YearB-AppDetails Current Date'!I:I,"FALL"))), "")</f>
        <v/>
      </c>
      <c r="L27" s="74" t="str" cm="1">
        <f t="array" ref="L27">IFERROR(1/(1/SUM(COUNTIFS(
'YearB-AppDetails Current Date'!A:A,D27,
'YearB-AppDetails Current Date'!F:F,E27,
'YearB-AppDetails Current Date'!E:E,--F27,
'YearB-AppDetails Current Date'!T:T,{"APEX","DENY","NTSL"},
'YearB-AppDetails Current Date'!I:I,"FALL"))), "")</f>
        <v/>
      </c>
      <c r="M27" s="74" t="str" cm="1">
        <f t="array" ref="M27">IFERROR(1/(1/SUM(COUNTIFS(
'YearB-AppDetails Current Date'!A:A,D27,
'YearB-AppDetails Current Date'!F:F,E27,
'YearB-AppDetails Current Date'!E:E,--F27,
'YearB-AppDetails Current Date'!U:U,{"CCAN","DECL"},
'YearB-AppDetails Current Date'!I:I,"FALL"))), "")</f>
        <v/>
      </c>
      <c r="N27" s="74" t="str" cm="1">
        <f t="array" ref="N27">IFERROR(1/(1/SUM(COUNTIFS(
'YearB-AppDetails Current Date'!A:A,D27,
'YearB-AppDetails Current Date'!F:F,E27,
'YearB-AppDetails Current Date'!E:E,--F27,
'YearB-AppDetails Current Date'!V:V,{"APRO","NODE"},
'YearB-AppDetails Current Date'!I:I,"FALL"))), "")</f>
        <v/>
      </c>
      <c r="O27" s="74" t="str" cm="1">
        <f t="array" ref="O27">IFERROR(1/(1/SUM(COUNTIFS(
'YearB-AppDetails Current Date'!A:A,D27,
'YearB-AppDetails Current Date'!F:F,E27,
'YearB-AppDetails Current Date'!E:E,--F27,
'YearB-AppDetails Current Date'!T:T,{"CDMT","RQMT","WAIT"},
'YearB-AppDetails Current Date'!I:I,"FALL"))), "")</f>
        <v/>
      </c>
      <c r="P27" s="74" t="str">
        <f>IFERROR(1/(1/COUNTIFS(
'YearB-AppDetails Current Date'!A:A,D27,
'YearB-AppDetails Current Date'!F:F,E27,
'YearB-AppDetails Current Date'!E:E,--F27,
'YearB-AppDetails Current Date'!Y:Y,"ENRO",
'YearB-AppDetails Current Date'!I:I,"FALL")),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HC'!D:T,12,FALSE)),
N(VLOOKUP(D29&amp;F29,'Budgeted Projections Dom HC'!D:T,13,FALSE))
)
),"")</f>
        <v/>
      </c>
      <c r="I29" s="73" t="str">
        <f>IFERROR(1/(1/COUNTIFS(
'YearB-AppDetails Current Date'!A:A,D29,
'YearB-AppDetails Current Date'!F:F,E29,
'YearB-AppDetails Current Date'!E:E,--F29,
'YearB-AppDetails Current Date'!I:I,"FALL")), "")</f>
        <v/>
      </c>
      <c r="J29" s="74" t="str" cm="1">
        <f t="array" ref="J29">IFERROR(1/(1/SUM(COUNTIFS(
'YearB-AppDetails Current Date'!A:A,D29,
'YearB-AppDetails Current Date'!F:F,E29,
'YearB-AppDetails Current Date'!E:E,--F29,
'YearB-AppDetails Current Date'!O:O,{"ACLN","ACPT","COND"},
'YearB-AppDetails Current Date'!S:S,"&lt;&gt;ACLN",
'YearB-AppDetails Current Date'!S:S,"&lt;&gt;ACPT",
'YearB-AppDetails Current Date'!S:S,"&lt;&gt;COND",
'YearB-AppDetails Current Date'!I:I,"FALL"))), "")</f>
        <v/>
      </c>
      <c r="K29" s="73" t="str">
        <f>IFERROR(1/(1/SUM(COUNTIFS(
'YearB-AppDetails Current Date'!A:A,D29,
'YearB-AppDetails Current Date'!F:F,E29,
'YearB-AppDetails Current Date'!E:E,--F29,
'YearB-AppDetails Current Date'!R:R,"&lt;&gt;"&amp;"",
'YearB-AppDetails Current Date'!I:I,"FALL"))), "")</f>
        <v/>
      </c>
      <c r="L29" s="74" t="str" cm="1">
        <f t="array" ref="L29">IFERROR(1/(1/SUM(COUNTIFS(
'YearB-AppDetails Current Date'!A:A,D29,
'YearB-AppDetails Current Date'!F:F,E29,
'YearB-AppDetails Current Date'!E:E,--F29,
'YearB-AppDetails Current Date'!T:T,{"APEX","DENY","NTSL"},
'YearB-AppDetails Current Date'!I:I,"FALL"))), "")</f>
        <v/>
      </c>
      <c r="M29" s="74" t="str" cm="1">
        <f t="array" ref="M29">IFERROR(1/(1/SUM(COUNTIFS(
'YearB-AppDetails Current Date'!A:A,D29,
'YearB-AppDetails Current Date'!F:F,E29,
'YearB-AppDetails Current Date'!E:E,--F29,
'YearB-AppDetails Current Date'!U:U,{"CCAN","DECL"},
'YearB-AppDetails Current Date'!I:I,"FALL"))), "")</f>
        <v/>
      </c>
      <c r="N29" s="74" t="str" cm="1">
        <f t="array" ref="N29">IFERROR(1/(1/SUM(COUNTIFS(
'YearB-AppDetails Current Date'!A:A,D29,
'YearB-AppDetails Current Date'!F:F,E29,
'YearB-AppDetails Current Date'!E:E,--F29,
'YearB-AppDetails Current Date'!V:V,{"APRO","NODE"},
'YearB-AppDetails Current Date'!I:I,"FALL"))), "")</f>
        <v/>
      </c>
      <c r="O29" s="74" t="str" cm="1">
        <f t="array" ref="O29">IFERROR(1/(1/SUM(COUNTIFS(
'YearB-AppDetails Current Date'!A:A,D29,
'YearB-AppDetails Current Date'!F:F,E29,
'YearB-AppDetails Current Date'!E:E,--F29,
'YearB-AppDetails Current Date'!T:T,{"CDMT","RQMT","WAIT"},
'YearB-AppDetails Current Date'!I:I,"FALL"))), "")</f>
        <v/>
      </c>
      <c r="P29" s="74" t="str">
        <f>IFERROR(1/(1/COUNTIFS(
'YearB-AppDetails Current Date'!A:A,D29,
'YearB-AppDetails Current Date'!F:F,E29,
'YearB-AppDetails Current Date'!E:E,--F29,
'YearB-AppDetails Current Date'!Y:Y,"ENRO",
'YearB-AppDetails Current Date'!I:I,"FALL")),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HC'!D:T,12,FALSE)),
N(VLOOKUP(D30&amp;F30,'Budgeted Projections Intl HC'!D:T,13,FALSE))
)
),"")</f>
        <v/>
      </c>
      <c r="I30" s="73" t="str">
        <f>IFERROR(1/(1/COUNTIFS(
'YearB-AppDetails Current Date'!A:A,D30,
'YearB-AppDetails Current Date'!F:F,E30,
'YearB-AppDetails Current Date'!E:E,--F30,
'YearB-AppDetails Current Date'!I:I,"FALL")), "")</f>
        <v/>
      </c>
      <c r="J30" s="74" t="str" cm="1">
        <f t="array" ref="J30">IFERROR(1/(1/SUM(COUNTIFS(
'YearB-AppDetails Current Date'!A:A,D30,
'YearB-AppDetails Current Date'!F:F,E30,
'YearB-AppDetails Current Date'!E:E,--F30,
'YearB-AppDetails Current Date'!O:O,{"ACLN","ACPT","COND"},
'YearB-AppDetails Current Date'!S:S,"&lt;&gt;ACLN",
'YearB-AppDetails Current Date'!S:S,"&lt;&gt;ACPT",
'YearB-AppDetails Current Date'!S:S,"&lt;&gt;COND",
'YearB-AppDetails Current Date'!I:I,"FALL"))), "")</f>
        <v/>
      </c>
      <c r="K30" s="73" t="str">
        <f>IFERROR(1/(1/SUM(COUNTIFS(
'YearB-AppDetails Current Date'!A:A,D30,
'YearB-AppDetails Current Date'!F:F,E30,
'YearB-AppDetails Current Date'!E:E,--F30,
'YearB-AppDetails Current Date'!R:R,"&lt;&gt;"&amp;"",
'YearB-AppDetails Current Date'!I:I,"FALL"))), "")</f>
        <v/>
      </c>
      <c r="L30" s="74" t="str" cm="1">
        <f t="array" ref="L30">IFERROR(1/(1/SUM(COUNTIFS(
'YearB-AppDetails Current Date'!A:A,D30,
'YearB-AppDetails Current Date'!F:F,E30,
'YearB-AppDetails Current Date'!E:E,--F30,
'YearB-AppDetails Current Date'!T:T,{"APEX","DENY","NTSL"},
'YearB-AppDetails Current Date'!I:I,"FALL"))), "")</f>
        <v/>
      </c>
      <c r="M30" s="74" t="str" cm="1">
        <f t="array" ref="M30">IFERROR(1/(1/SUM(COUNTIFS(
'YearB-AppDetails Current Date'!A:A,D30,
'YearB-AppDetails Current Date'!F:F,E30,
'YearB-AppDetails Current Date'!E:E,--F30,
'YearB-AppDetails Current Date'!U:U,{"CCAN","DECL"},
'YearB-AppDetails Current Date'!I:I,"FALL"))), "")</f>
        <v/>
      </c>
      <c r="N30" s="74" t="str" cm="1">
        <f t="array" ref="N30">IFERROR(1/(1/SUM(COUNTIFS(
'YearB-AppDetails Current Date'!A:A,D30,
'YearB-AppDetails Current Date'!F:F,E30,
'YearB-AppDetails Current Date'!E:E,--F30,
'YearB-AppDetails Current Date'!V:V,{"APRO","NODE"},
'YearB-AppDetails Current Date'!I:I,"FALL"))), "")</f>
        <v/>
      </c>
      <c r="O30" s="74" t="str" cm="1">
        <f t="array" ref="O30">IFERROR(1/(1/SUM(COUNTIFS(
'YearB-AppDetails Current Date'!A:A,D30,
'YearB-AppDetails Current Date'!F:F,E30,
'YearB-AppDetails Current Date'!E:E,--F30,
'YearB-AppDetails Current Date'!T:T,{"CDMT","RQMT","WAIT"},
'YearB-AppDetails Current Date'!I:I,"FALL"))), "")</f>
        <v/>
      </c>
      <c r="P30" s="74" t="str">
        <f>IFERROR(1/(1/COUNTIFS(
'YearB-AppDetails Current Date'!A:A,D30,
'YearB-AppDetails Current Date'!F:F,E30,
'YearB-AppDetails Current Date'!E:E,--F30,
'YearB-AppDetails Current Date'!Y:Y,"ENRO",
'YearB-AppDetails Current Date'!I:I,"FALL")),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HC'!D:T,12,FALSE)),
N(VLOOKUP(D31&amp;F31,'Budgeted Projections Dom HC'!D:T,13,FALSE))
)
),"")</f>
        <v/>
      </c>
      <c r="I31" s="73" t="str">
        <f>IFERROR(1/(1/COUNTIFS(
'YearB-AppDetails Current Date'!A:A,D31,
'YearB-AppDetails Current Date'!F:F,E31,
'YearB-AppDetails Current Date'!E:E,--F31,
'YearB-AppDetails Current Date'!I:I,"FALL")), "")</f>
        <v/>
      </c>
      <c r="J31" s="74" t="str" cm="1">
        <f t="array" ref="J31">IFERROR(1/(1/SUM(COUNTIFS(
'YearB-AppDetails Current Date'!A:A,D31,
'YearB-AppDetails Current Date'!F:F,E31,
'YearB-AppDetails Current Date'!E:E,--F31,
'YearB-AppDetails Current Date'!O:O,{"ACLN","ACPT","COND"},
'YearB-AppDetails Current Date'!S:S,"&lt;&gt;ACLN",
'YearB-AppDetails Current Date'!S:S,"&lt;&gt;ACPT",
'YearB-AppDetails Current Date'!S:S,"&lt;&gt;COND",
'YearB-AppDetails Current Date'!I:I,"FALL"))), "")</f>
        <v/>
      </c>
      <c r="K31" s="73" t="str">
        <f>IFERROR(1/(1/SUM(COUNTIFS(
'YearB-AppDetails Current Date'!A:A,D31,
'YearB-AppDetails Current Date'!F:F,E31,
'YearB-AppDetails Current Date'!E:E,--F31,
'YearB-AppDetails Current Date'!R:R,"&lt;&gt;"&amp;"",
'YearB-AppDetails Current Date'!I:I,"FALL"))), "")</f>
        <v/>
      </c>
      <c r="L31" s="74" t="str" cm="1">
        <f t="array" ref="L31">IFERROR(1/(1/SUM(COUNTIFS(
'YearB-AppDetails Current Date'!A:A,D31,
'YearB-AppDetails Current Date'!F:F,E31,
'YearB-AppDetails Current Date'!E:E,--F31,
'YearB-AppDetails Current Date'!T:T,{"APEX","DENY","NTSL"},
'YearB-AppDetails Current Date'!I:I,"FALL"))), "")</f>
        <v/>
      </c>
      <c r="M31" s="74" t="str" cm="1">
        <f t="array" ref="M31">IFERROR(1/(1/SUM(COUNTIFS(
'YearB-AppDetails Current Date'!A:A,D31,
'YearB-AppDetails Current Date'!F:F,E31,
'YearB-AppDetails Current Date'!E:E,--F31,
'YearB-AppDetails Current Date'!U:U,{"CCAN","DECL"},
'YearB-AppDetails Current Date'!I:I,"FALL"))), "")</f>
        <v/>
      </c>
      <c r="N31" s="74" t="str" cm="1">
        <f t="array" ref="N31">IFERROR(1/(1/SUM(COUNTIFS(
'YearB-AppDetails Current Date'!A:A,D31,
'YearB-AppDetails Current Date'!F:F,E31,
'YearB-AppDetails Current Date'!E:E,--F31,
'YearB-AppDetails Current Date'!V:V,{"APRO","NODE"},
'YearB-AppDetails Current Date'!I:I,"FALL"))), "")</f>
        <v/>
      </c>
      <c r="O31" s="74" t="str" cm="1">
        <f t="array" ref="O31">IFERROR(1/(1/SUM(COUNTIFS(
'YearB-AppDetails Current Date'!A:A,D31,
'YearB-AppDetails Current Date'!F:F,E31,
'YearB-AppDetails Current Date'!E:E,--F31,
'YearB-AppDetails Current Date'!T:T,{"CDMT","RQMT","WAIT"},
'YearB-AppDetails Current Date'!I:I,"FALL"))), "")</f>
        <v/>
      </c>
      <c r="P31" s="74" t="str">
        <f>IFERROR(1/(1/COUNTIFS(
'YearB-AppDetails Current Date'!A:A,D31,
'YearB-AppDetails Current Date'!F:F,E31,
'YearB-AppDetails Current Date'!E:E,--F31,
'YearB-AppDetails Current Date'!Y:Y,"ENRO",
'YearB-AppDetails Current Date'!I:I,"FALL")),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HC'!D:T,12,FALSE)),
N(VLOOKUP(D32&amp;F32,'Budgeted Projections Intl HC'!D:T,13,FALSE))
)
),"")</f>
        <v/>
      </c>
      <c r="I32" s="73" t="str">
        <f>IFERROR(1/(1/COUNTIFS(
'YearB-AppDetails Current Date'!A:A,D32,
'YearB-AppDetails Current Date'!F:F,E32,
'YearB-AppDetails Current Date'!E:E,--F32,
'YearB-AppDetails Current Date'!I:I,"FALL")), "")</f>
        <v/>
      </c>
      <c r="J32" s="74" t="str" cm="1">
        <f t="array" ref="J32">IFERROR(1/(1/SUM(COUNTIFS(
'YearB-AppDetails Current Date'!A:A,D32,
'YearB-AppDetails Current Date'!F:F,E32,
'YearB-AppDetails Current Date'!E:E,--F32,
'YearB-AppDetails Current Date'!O:O,{"ACLN","ACPT","COND"},
'YearB-AppDetails Current Date'!S:S,"&lt;&gt;ACLN",
'YearB-AppDetails Current Date'!S:S,"&lt;&gt;ACPT",
'YearB-AppDetails Current Date'!S:S,"&lt;&gt;COND",
'YearB-AppDetails Current Date'!I:I,"FALL"))), "")</f>
        <v/>
      </c>
      <c r="K32" s="73" t="str">
        <f>IFERROR(1/(1/SUM(COUNTIFS(
'YearB-AppDetails Current Date'!A:A,D32,
'YearB-AppDetails Current Date'!F:F,E32,
'YearB-AppDetails Current Date'!E:E,--F32,
'YearB-AppDetails Current Date'!R:R,"&lt;&gt;"&amp;"",
'YearB-AppDetails Current Date'!I:I,"FALL"))), "")</f>
        <v/>
      </c>
      <c r="L32" s="74" t="str" cm="1">
        <f t="array" ref="L32">IFERROR(1/(1/SUM(COUNTIFS(
'YearB-AppDetails Current Date'!A:A,D32,
'YearB-AppDetails Current Date'!F:F,E32,
'YearB-AppDetails Current Date'!E:E,--F32,
'YearB-AppDetails Current Date'!T:T,{"APEX","DENY","NTSL"},
'YearB-AppDetails Current Date'!I:I,"FALL"))), "")</f>
        <v/>
      </c>
      <c r="M32" s="74" t="str" cm="1">
        <f t="array" ref="M32">IFERROR(1/(1/SUM(COUNTIFS(
'YearB-AppDetails Current Date'!A:A,D32,
'YearB-AppDetails Current Date'!F:F,E32,
'YearB-AppDetails Current Date'!E:E,--F32,
'YearB-AppDetails Current Date'!U:U,{"CCAN","DECL"},
'YearB-AppDetails Current Date'!I:I,"FALL"))), "")</f>
        <v/>
      </c>
      <c r="N32" s="74" t="str" cm="1">
        <f t="array" ref="N32">IFERROR(1/(1/SUM(COUNTIFS(
'YearB-AppDetails Current Date'!A:A,D32,
'YearB-AppDetails Current Date'!F:F,E32,
'YearB-AppDetails Current Date'!E:E,--F32,
'YearB-AppDetails Current Date'!V:V,{"APRO","NODE"},
'YearB-AppDetails Current Date'!I:I,"FALL"))), "")</f>
        <v/>
      </c>
      <c r="O32" s="74" t="str" cm="1">
        <f t="array" ref="O32">IFERROR(1/(1/SUM(COUNTIFS(
'YearB-AppDetails Current Date'!A:A,D32,
'YearB-AppDetails Current Date'!F:F,E32,
'YearB-AppDetails Current Date'!E:E,--F32,
'YearB-AppDetails Current Date'!T:T,{"CDMT","RQMT","WAIT"},
'YearB-AppDetails Current Date'!I:I,"FALL"))), "")</f>
        <v/>
      </c>
      <c r="P32" s="74" t="str">
        <f>IFERROR(1/(1/COUNTIFS(
'YearB-AppDetails Current Date'!A:A,D32,
'YearB-AppDetails Current Date'!F:F,E32,
'YearB-AppDetails Current Date'!E:E,--F32,
'YearB-AppDetails Current Date'!Y:Y,"ENRO",
'YearB-AppDetails Current Date'!I:I,"FALL")),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HC'!D:T,12,FALSE)),
N(VLOOKUP(D35&amp;F35,'Budgeted Projections Dom HC'!D:T,13,FALSE))
)
),"")</f>
        <v/>
      </c>
      <c r="I35" s="73" t="str">
        <f>IFERROR(1/(1/COUNTIFS(
'YearB-AppDetails Current Date'!A:A,D35,
'YearB-AppDetails Current Date'!F:F,E35,
'YearB-AppDetails Current Date'!E:E,--F35,
'YearB-AppDetails Current Date'!I:I,"FALL")), "")</f>
        <v/>
      </c>
      <c r="J35" s="74" t="str" cm="1">
        <f t="array" ref="J35">IFERROR(1/(1/SUM(COUNTIFS(
'YearB-AppDetails Current Date'!A:A,D35,
'YearB-AppDetails Current Date'!F:F,E35,
'YearB-AppDetails Current Date'!E:E,--F35,
'YearB-AppDetails Current Date'!O:O,{"ACLN","ACPT","COND"},
'YearB-AppDetails Current Date'!S:S,"&lt;&gt;ACLN",
'YearB-AppDetails Current Date'!S:S,"&lt;&gt;ACPT",
'YearB-AppDetails Current Date'!S:S,"&lt;&gt;COND",
'YearB-AppDetails Current Date'!I:I,"FALL"))), "")</f>
        <v/>
      </c>
      <c r="K35" s="73" t="str">
        <f>IFERROR(1/(1/SUM(COUNTIFS(
'YearB-AppDetails Current Date'!A:A,D35,
'YearB-AppDetails Current Date'!F:F,E35,
'YearB-AppDetails Current Date'!E:E,--F35,
'YearB-AppDetails Current Date'!R:R,"&lt;&gt;"&amp;"",
'YearB-AppDetails Current Date'!I:I,"FALL"))), "")</f>
        <v/>
      </c>
      <c r="L35" s="74" t="str" cm="1">
        <f t="array" ref="L35">IFERROR(1/(1/SUM(COUNTIFS(
'YearB-AppDetails Current Date'!A:A,D35,
'YearB-AppDetails Current Date'!F:F,E35,
'YearB-AppDetails Current Date'!E:E,--F35,
'YearB-AppDetails Current Date'!T:T,{"APEX","DENY","NTSL"},
'YearB-AppDetails Current Date'!I:I,"FALL"))), "")</f>
        <v/>
      </c>
      <c r="M35" s="74" t="str" cm="1">
        <f t="array" ref="M35">IFERROR(1/(1/SUM(COUNTIFS(
'YearB-AppDetails Current Date'!A:A,D35,
'YearB-AppDetails Current Date'!F:F,E35,
'YearB-AppDetails Current Date'!E:E,--F35,
'YearB-AppDetails Current Date'!U:U,{"CCAN","DECL"},
'YearB-AppDetails Current Date'!I:I,"FALL"))), "")</f>
        <v/>
      </c>
      <c r="N35" s="74" t="str" cm="1">
        <f t="array" ref="N35">IFERROR(1/(1/SUM(COUNTIFS(
'YearB-AppDetails Current Date'!A:A,D35,
'YearB-AppDetails Current Date'!F:F,E35,
'YearB-AppDetails Current Date'!E:E,--F35,
'YearB-AppDetails Current Date'!V:V,{"APRO","NODE"},
'YearB-AppDetails Current Date'!I:I,"FALL"))), "")</f>
        <v/>
      </c>
      <c r="O35" s="74" t="str" cm="1">
        <f t="array" ref="O35">IFERROR(1/(1/SUM(COUNTIFS(
'YearB-AppDetails Current Date'!A:A,D35,
'YearB-AppDetails Current Date'!F:F,E35,
'YearB-AppDetails Current Date'!E:E,--F35,
'YearB-AppDetails Current Date'!T:T,{"CDMT","RQMT","WAIT"},
'YearB-AppDetails Current Date'!I:I,"FALL"))), "")</f>
        <v/>
      </c>
      <c r="P35" s="74" t="str">
        <f>IFERROR(1/(1/COUNTIFS(
'YearB-AppDetails Current Date'!A:A,D35,
'YearB-AppDetails Current Date'!F:F,E35,
'YearB-AppDetails Current Date'!E:E,--F35,
'YearB-AppDetails Current Date'!Y:Y,"ENRO",
'YearB-AppDetails Current Date'!I:I,"FALL")),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HC'!D:T,12,FALSE)),
N(VLOOKUP(D36&amp;F36,'Budgeted Projections Intl HC'!D:T,13,FALSE))
)
),"")</f>
        <v/>
      </c>
      <c r="I36" s="73" t="str">
        <f>IFERROR(1/(1/COUNTIFS(
'YearB-AppDetails Current Date'!A:A,D36,
'YearB-AppDetails Current Date'!F:F,E36,
'YearB-AppDetails Current Date'!E:E,--F36,
'YearB-AppDetails Current Date'!I:I,"FALL")), "")</f>
        <v/>
      </c>
      <c r="J36" s="74" t="str" cm="1">
        <f t="array" ref="J36">IFERROR(1/(1/SUM(COUNTIFS(
'YearB-AppDetails Current Date'!A:A,D36,
'YearB-AppDetails Current Date'!F:F,E36,
'YearB-AppDetails Current Date'!E:E,--F36,
'YearB-AppDetails Current Date'!O:O,{"ACLN","ACPT","COND"},
'YearB-AppDetails Current Date'!S:S,"&lt;&gt;ACLN",
'YearB-AppDetails Current Date'!S:S,"&lt;&gt;ACPT",
'YearB-AppDetails Current Date'!S:S,"&lt;&gt;COND",
'YearB-AppDetails Current Date'!I:I,"FALL"))), "")</f>
        <v/>
      </c>
      <c r="K36" s="73" t="str">
        <f>IFERROR(1/(1/SUM(COUNTIFS(
'YearB-AppDetails Current Date'!A:A,D36,
'YearB-AppDetails Current Date'!F:F,E36,
'YearB-AppDetails Current Date'!E:E,--F36,
'YearB-AppDetails Current Date'!R:R,"&lt;&gt;"&amp;"",
'YearB-AppDetails Current Date'!I:I,"FALL"))), "")</f>
        <v/>
      </c>
      <c r="L36" s="74" t="str" cm="1">
        <f t="array" ref="L36">IFERROR(1/(1/SUM(COUNTIFS(
'YearB-AppDetails Current Date'!A:A,D36,
'YearB-AppDetails Current Date'!F:F,E36,
'YearB-AppDetails Current Date'!E:E,--F36,
'YearB-AppDetails Current Date'!T:T,{"APEX","DENY","NTSL"},
'YearB-AppDetails Current Date'!I:I,"FALL"))), "")</f>
        <v/>
      </c>
      <c r="M36" s="74" t="str" cm="1">
        <f t="array" ref="M36">IFERROR(1/(1/SUM(COUNTIFS(
'YearB-AppDetails Current Date'!A:A,D36,
'YearB-AppDetails Current Date'!F:F,E36,
'YearB-AppDetails Current Date'!E:E,--F36,
'YearB-AppDetails Current Date'!U:U,{"CCAN","DECL"},
'YearB-AppDetails Current Date'!I:I,"FALL"))), "")</f>
        <v/>
      </c>
      <c r="N36" s="74" t="str" cm="1">
        <f t="array" ref="N36">IFERROR(1/(1/SUM(COUNTIFS(
'YearB-AppDetails Current Date'!A:A,D36,
'YearB-AppDetails Current Date'!F:F,E36,
'YearB-AppDetails Current Date'!E:E,--F36,
'YearB-AppDetails Current Date'!V:V,{"APRO","NODE"},
'YearB-AppDetails Current Date'!I:I,"FALL"))), "")</f>
        <v/>
      </c>
      <c r="O36" s="74" t="str" cm="1">
        <f t="array" ref="O36">IFERROR(1/(1/SUM(COUNTIFS(
'YearB-AppDetails Current Date'!A:A,D36,
'YearB-AppDetails Current Date'!F:F,E36,
'YearB-AppDetails Current Date'!E:E,--F36,
'YearB-AppDetails Current Date'!T:T,{"CDMT","RQMT","WAIT"},
'YearB-AppDetails Current Date'!I:I,"FALL"))), "")</f>
        <v/>
      </c>
      <c r="P36" s="74" t="str">
        <f>IFERROR(1/(1/COUNTIFS(
'YearB-AppDetails Current Date'!A:A,D36,
'YearB-AppDetails Current Date'!F:F,E36,
'YearB-AppDetails Current Date'!E:E,--F36,
'YearB-AppDetails Current Date'!Y:Y,"ENRO",
'YearB-AppDetails Current Date'!I:I,"FALL")),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HC'!D:T,12,FALSE)),
N(VLOOKUP(D37&amp;F37,'Budgeted Projections Dom HC'!D:T,13,FALSE))
)
),"")</f>
        <v/>
      </c>
      <c r="I37" s="73" t="str">
        <f>IFERROR(1/(1/COUNTIFS(
'YearB-AppDetails Current Date'!A:A,D37,
'YearB-AppDetails Current Date'!F:F,E37,
'YearB-AppDetails Current Date'!E:E,--F37,
'YearB-AppDetails Current Date'!I:I,"FALL")), "")</f>
        <v/>
      </c>
      <c r="J37" s="74" t="str" cm="1">
        <f t="array" ref="J37">IFERROR(1/(1/SUM(COUNTIFS(
'YearB-AppDetails Current Date'!A:A,D37,
'YearB-AppDetails Current Date'!F:F,E37,
'YearB-AppDetails Current Date'!E:E,--F37,
'YearB-AppDetails Current Date'!O:O,{"ACLN","ACPT","COND"},
'YearB-AppDetails Current Date'!S:S,"&lt;&gt;ACLN",
'YearB-AppDetails Current Date'!S:S,"&lt;&gt;ACPT",
'YearB-AppDetails Current Date'!S:S,"&lt;&gt;COND",
'YearB-AppDetails Current Date'!I:I,"FALL"))), "")</f>
        <v/>
      </c>
      <c r="K37" s="73" t="str">
        <f>IFERROR(1/(1/SUM(COUNTIFS(
'YearB-AppDetails Current Date'!A:A,D37,
'YearB-AppDetails Current Date'!F:F,E37,
'YearB-AppDetails Current Date'!E:E,--F37,
'YearB-AppDetails Current Date'!R:R,"&lt;&gt;"&amp;"",
'YearB-AppDetails Current Date'!I:I,"FALL"))), "")</f>
        <v/>
      </c>
      <c r="L37" s="74" t="str" cm="1">
        <f t="array" ref="L37">IFERROR(1/(1/SUM(COUNTIFS(
'YearB-AppDetails Current Date'!A:A,D37,
'YearB-AppDetails Current Date'!F:F,E37,
'YearB-AppDetails Current Date'!E:E,--F37,
'YearB-AppDetails Current Date'!T:T,{"APEX","DENY","NTSL"},
'YearB-AppDetails Current Date'!I:I,"FALL"))), "")</f>
        <v/>
      </c>
      <c r="M37" s="74" t="str" cm="1">
        <f t="array" ref="M37">IFERROR(1/(1/SUM(COUNTIFS(
'YearB-AppDetails Current Date'!A:A,D37,
'YearB-AppDetails Current Date'!F:F,E37,
'YearB-AppDetails Current Date'!E:E,--F37,
'YearB-AppDetails Current Date'!U:U,{"CCAN","DECL"},
'YearB-AppDetails Current Date'!I:I,"FALL"))), "")</f>
        <v/>
      </c>
      <c r="N37" s="74" t="str" cm="1">
        <f t="array" ref="N37">IFERROR(1/(1/SUM(COUNTIFS(
'YearB-AppDetails Current Date'!A:A,D37,
'YearB-AppDetails Current Date'!F:F,E37,
'YearB-AppDetails Current Date'!E:E,--F37,
'YearB-AppDetails Current Date'!V:V,{"APRO","NODE"},
'YearB-AppDetails Current Date'!I:I,"FALL"))), "")</f>
        <v/>
      </c>
      <c r="O37" s="74" t="str" cm="1">
        <f t="array" ref="O37">IFERROR(1/(1/SUM(COUNTIFS(
'YearB-AppDetails Current Date'!A:A,D37,
'YearB-AppDetails Current Date'!F:F,E37,
'YearB-AppDetails Current Date'!E:E,--F37,
'YearB-AppDetails Current Date'!T:T,{"CDMT","RQMT","WAIT"},
'YearB-AppDetails Current Date'!I:I,"FALL"))), "")</f>
        <v/>
      </c>
      <c r="P37" s="74" t="str">
        <f>IFERROR(1/(1/COUNTIFS(
'YearB-AppDetails Current Date'!A:A,D37,
'YearB-AppDetails Current Date'!F:F,E37,
'YearB-AppDetails Current Date'!E:E,--F37,
'YearB-AppDetails Current Date'!Y:Y,"ENRO",
'YearB-AppDetails Current Date'!I:I,"FALL")),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HC'!D:T,12,FALSE)),
N(VLOOKUP(D38&amp;F38,'Budgeted Projections Intl HC'!D:T,13,FALSE))
)
),"")</f>
        <v/>
      </c>
      <c r="I38" s="73" t="str">
        <f>IFERROR(1/(1/COUNTIFS(
'YearB-AppDetails Current Date'!A:A,D38,
'YearB-AppDetails Current Date'!F:F,E38,
'YearB-AppDetails Current Date'!E:E,--F38,
'YearB-AppDetails Current Date'!I:I,"FALL")), "")</f>
        <v/>
      </c>
      <c r="J38" s="74" t="str" cm="1">
        <f t="array" ref="J38">IFERROR(1/(1/SUM(COUNTIFS(
'YearB-AppDetails Current Date'!A:A,D38,
'YearB-AppDetails Current Date'!F:F,E38,
'YearB-AppDetails Current Date'!E:E,--F38,
'YearB-AppDetails Current Date'!O:O,{"ACLN","ACPT","COND"},
'YearB-AppDetails Current Date'!S:S,"&lt;&gt;ACLN",
'YearB-AppDetails Current Date'!S:S,"&lt;&gt;ACPT",
'YearB-AppDetails Current Date'!S:S,"&lt;&gt;COND",
'YearB-AppDetails Current Date'!I:I,"FALL"))), "")</f>
        <v/>
      </c>
      <c r="K38" s="73" t="str">
        <f>IFERROR(1/(1/SUM(COUNTIFS(
'YearB-AppDetails Current Date'!A:A,D38,
'YearB-AppDetails Current Date'!F:F,E38,
'YearB-AppDetails Current Date'!E:E,--F38,
'YearB-AppDetails Current Date'!R:R,"&lt;&gt;"&amp;"",
'YearB-AppDetails Current Date'!I:I,"FALL"))), "")</f>
        <v/>
      </c>
      <c r="L38" s="74" t="str" cm="1">
        <f t="array" ref="L38">IFERROR(1/(1/SUM(COUNTIFS(
'YearB-AppDetails Current Date'!A:A,D38,
'YearB-AppDetails Current Date'!F:F,E38,
'YearB-AppDetails Current Date'!E:E,--F38,
'YearB-AppDetails Current Date'!T:T,{"APEX","DENY","NTSL"},
'YearB-AppDetails Current Date'!I:I,"FALL"))), "")</f>
        <v/>
      </c>
      <c r="M38" s="74" t="str" cm="1">
        <f t="array" ref="M38">IFERROR(1/(1/SUM(COUNTIFS(
'YearB-AppDetails Current Date'!A:A,D38,
'YearB-AppDetails Current Date'!F:F,E38,
'YearB-AppDetails Current Date'!E:E,--F38,
'YearB-AppDetails Current Date'!U:U,{"CCAN","DECL"},
'YearB-AppDetails Current Date'!I:I,"FALL"))), "")</f>
        <v/>
      </c>
      <c r="N38" s="74" t="str" cm="1">
        <f t="array" ref="N38">IFERROR(1/(1/SUM(COUNTIFS(
'YearB-AppDetails Current Date'!A:A,D38,
'YearB-AppDetails Current Date'!F:F,E38,
'YearB-AppDetails Current Date'!E:E,--F38,
'YearB-AppDetails Current Date'!V:V,{"APRO","NODE"},
'YearB-AppDetails Current Date'!I:I,"FALL"))), "")</f>
        <v/>
      </c>
      <c r="O38" s="74" t="str" cm="1">
        <f t="array" ref="O38">IFERROR(1/(1/SUM(COUNTIFS(
'YearB-AppDetails Current Date'!A:A,D38,
'YearB-AppDetails Current Date'!F:F,E38,
'YearB-AppDetails Current Date'!E:E,--F38,
'YearB-AppDetails Current Date'!T:T,{"CDMT","RQMT","WAIT"},
'YearB-AppDetails Current Date'!I:I,"FALL"))), "")</f>
        <v/>
      </c>
      <c r="P38" s="74" t="str">
        <f>IFERROR(1/(1/COUNTIFS(
'YearB-AppDetails Current Date'!A:A,D38,
'YearB-AppDetails Current Date'!F:F,E38,
'YearB-AppDetails Current Date'!E:E,--F38,
'YearB-AppDetails Current Date'!Y:Y,"ENRO",
'YearB-AppDetails Current Date'!I:I,"FALL")),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HC'!D:T,12,FALSE)),
N(VLOOKUP(D39&amp;F39,'Budgeted Projections Dom HC'!D:T,13,FALSE))
)
),"")</f>
        <v/>
      </c>
      <c r="I39" s="73" t="str">
        <f>IFERROR(1/(1/COUNTIFS(
'YearB-AppDetails Current Date'!A:A,D39,
'YearB-AppDetails Current Date'!F:F,E39,
'YearB-AppDetails Current Date'!E:E,--F39,
'YearB-AppDetails Current Date'!I:I,"FALL")), "")</f>
        <v/>
      </c>
      <c r="J39" s="74" t="str" cm="1">
        <f t="array" ref="J39">IFERROR(1/(1/SUM(COUNTIFS(
'YearB-AppDetails Current Date'!A:A,D39,
'YearB-AppDetails Current Date'!F:F,E39,
'YearB-AppDetails Current Date'!E:E,--F39,
'YearB-AppDetails Current Date'!O:O,{"ACLN","ACPT","COND"},
'YearB-AppDetails Current Date'!S:S,"&lt;&gt;ACLN",
'YearB-AppDetails Current Date'!S:S,"&lt;&gt;ACPT",
'YearB-AppDetails Current Date'!S:S,"&lt;&gt;COND",
'YearB-AppDetails Current Date'!I:I,"FALL"))), "")</f>
        <v/>
      </c>
      <c r="K39" s="73" t="str">
        <f>IFERROR(1/(1/SUM(COUNTIFS(
'YearB-AppDetails Current Date'!A:A,D39,
'YearB-AppDetails Current Date'!F:F,E39,
'YearB-AppDetails Current Date'!E:E,--F39,
'YearB-AppDetails Current Date'!R:R,"&lt;&gt;"&amp;"",
'YearB-AppDetails Current Date'!I:I,"FALL"))), "")</f>
        <v/>
      </c>
      <c r="L39" s="74" t="str" cm="1">
        <f t="array" ref="L39">IFERROR(1/(1/SUM(COUNTIFS(
'YearB-AppDetails Current Date'!A:A,D39,
'YearB-AppDetails Current Date'!F:F,E39,
'YearB-AppDetails Current Date'!E:E,--F39,
'YearB-AppDetails Current Date'!T:T,{"APEX","DENY","NTSL"},
'YearB-AppDetails Current Date'!I:I,"FALL"))), "")</f>
        <v/>
      </c>
      <c r="M39" s="74" t="str" cm="1">
        <f t="array" ref="M39">IFERROR(1/(1/SUM(COUNTIFS(
'YearB-AppDetails Current Date'!A:A,D39,
'YearB-AppDetails Current Date'!F:F,E39,
'YearB-AppDetails Current Date'!E:E,--F39,
'YearB-AppDetails Current Date'!U:U,{"CCAN","DECL"},
'YearB-AppDetails Current Date'!I:I,"FALL"))), "")</f>
        <v/>
      </c>
      <c r="N39" s="74" t="str" cm="1">
        <f t="array" ref="N39">IFERROR(1/(1/SUM(COUNTIFS(
'YearB-AppDetails Current Date'!A:A,D39,
'YearB-AppDetails Current Date'!F:F,E39,
'YearB-AppDetails Current Date'!E:E,--F39,
'YearB-AppDetails Current Date'!V:V,{"APRO","NODE"},
'YearB-AppDetails Current Date'!I:I,"FALL"))), "")</f>
        <v/>
      </c>
      <c r="O39" s="74" t="str" cm="1">
        <f t="array" ref="O39">IFERROR(1/(1/SUM(COUNTIFS(
'YearB-AppDetails Current Date'!A:A,D39,
'YearB-AppDetails Current Date'!F:F,E39,
'YearB-AppDetails Current Date'!E:E,--F39,
'YearB-AppDetails Current Date'!T:T,{"CDMT","RQMT","WAIT"},
'YearB-AppDetails Current Date'!I:I,"FALL"))), "")</f>
        <v/>
      </c>
      <c r="P39" s="74" t="str">
        <f>IFERROR(1/(1/COUNTIFS(
'YearB-AppDetails Current Date'!A:A,D39,
'YearB-AppDetails Current Date'!F:F,E39,
'YearB-AppDetails Current Date'!E:E,--F39,
'YearB-AppDetails Current Date'!Y:Y,"ENRO",
'YearB-AppDetails Current Date'!I:I,"FALL")),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HC'!D:T,12,FALSE)),
N(VLOOKUP(D40&amp;F40,'Budgeted Projections Intl HC'!D:T,13,FALSE))
)
),"")</f>
        <v/>
      </c>
      <c r="I40" s="73" t="str">
        <f>IFERROR(1/(1/COUNTIFS(
'YearB-AppDetails Current Date'!A:A,D40,
'YearB-AppDetails Current Date'!F:F,E40,
'YearB-AppDetails Current Date'!E:E,--F40,
'YearB-AppDetails Current Date'!I:I,"FALL")), "")</f>
        <v/>
      </c>
      <c r="J40" s="74" t="str" cm="1">
        <f t="array" ref="J40">IFERROR(1/(1/SUM(COUNTIFS(
'YearB-AppDetails Current Date'!A:A,D40,
'YearB-AppDetails Current Date'!F:F,E40,
'YearB-AppDetails Current Date'!E:E,--F40,
'YearB-AppDetails Current Date'!O:O,{"ACLN","ACPT","COND"},
'YearB-AppDetails Current Date'!S:S,"&lt;&gt;ACLN",
'YearB-AppDetails Current Date'!S:S,"&lt;&gt;ACPT",
'YearB-AppDetails Current Date'!S:S,"&lt;&gt;COND",
'YearB-AppDetails Current Date'!I:I,"FALL"))), "")</f>
        <v/>
      </c>
      <c r="K40" s="73" t="str">
        <f>IFERROR(1/(1/SUM(COUNTIFS(
'YearB-AppDetails Current Date'!A:A,D40,
'YearB-AppDetails Current Date'!F:F,E40,
'YearB-AppDetails Current Date'!E:E,--F40,
'YearB-AppDetails Current Date'!R:R,"&lt;&gt;"&amp;"",
'YearB-AppDetails Current Date'!I:I,"FALL"))), "")</f>
        <v/>
      </c>
      <c r="L40" s="74" t="str" cm="1">
        <f t="array" ref="L40">IFERROR(1/(1/SUM(COUNTIFS(
'YearB-AppDetails Current Date'!A:A,D40,
'YearB-AppDetails Current Date'!F:F,E40,
'YearB-AppDetails Current Date'!E:E,--F40,
'YearB-AppDetails Current Date'!T:T,{"APEX","DENY","NTSL"},
'YearB-AppDetails Current Date'!I:I,"FALL"))), "")</f>
        <v/>
      </c>
      <c r="M40" s="74" t="str" cm="1">
        <f t="array" ref="M40">IFERROR(1/(1/SUM(COUNTIFS(
'YearB-AppDetails Current Date'!A:A,D40,
'YearB-AppDetails Current Date'!F:F,E40,
'YearB-AppDetails Current Date'!E:E,--F40,
'YearB-AppDetails Current Date'!U:U,{"CCAN","DECL"},
'YearB-AppDetails Current Date'!I:I,"FALL"))), "")</f>
        <v/>
      </c>
      <c r="N40" s="74" t="str" cm="1">
        <f t="array" ref="N40">IFERROR(1/(1/SUM(COUNTIFS(
'YearB-AppDetails Current Date'!A:A,D40,
'YearB-AppDetails Current Date'!F:F,E40,
'YearB-AppDetails Current Date'!E:E,--F40,
'YearB-AppDetails Current Date'!V:V,{"APRO","NODE"},
'YearB-AppDetails Current Date'!I:I,"FALL"))), "")</f>
        <v/>
      </c>
      <c r="O40" s="74" t="str" cm="1">
        <f t="array" ref="O40">IFERROR(1/(1/SUM(COUNTIFS(
'YearB-AppDetails Current Date'!A:A,D40,
'YearB-AppDetails Current Date'!F:F,E40,
'YearB-AppDetails Current Date'!E:E,--F40,
'YearB-AppDetails Current Date'!T:T,{"CDMT","RQMT","WAIT"},
'YearB-AppDetails Current Date'!I:I,"FALL"))), "")</f>
        <v/>
      </c>
      <c r="P40" s="74" t="str">
        <f>IFERROR(1/(1/COUNTIFS(
'YearB-AppDetails Current Date'!A:A,D40,
'YearB-AppDetails Current Date'!F:F,E40,
'YearB-AppDetails Current Date'!E:E,--F40,
'YearB-AppDetails Current Date'!Y:Y,"ENRO",
'YearB-AppDetails Current Date'!I:I,"FALL")),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HC'!D:T,12,FALSE)),
N(VLOOKUP(D41&amp;F41,'Budgeted Projections Dom HC'!D:T,13,FALSE))
)
),"")</f>
        <v/>
      </c>
      <c r="I41" s="73" t="str">
        <f>IFERROR(1/(1/COUNTIFS(
'YearB-AppDetails Current Date'!A:A,D41,
'YearB-AppDetails Current Date'!F:F,E41,
'YearB-AppDetails Current Date'!E:E,--F41,
'YearB-AppDetails Current Date'!I:I,"FALL")), "")</f>
        <v/>
      </c>
      <c r="J41" s="74" t="str" cm="1">
        <f t="array" ref="J41">IFERROR(1/(1/SUM(COUNTIFS(
'YearB-AppDetails Current Date'!A:A,D41,
'YearB-AppDetails Current Date'!F:F,E41,
'YearB-AppDetails Current Date'!E:E,--F41,
'YearB-AppDetails Current Date'!O:O,{"ACLN","ACPT","COND"},
'YearB-AppDetails Current Date'!S:S,"&lt;&gt;ACLN",
'YearB-AppDetails Current Date'!S:S,"&lt;&gt;ACPT",
'YearB-AppDetails Current Date'!S:S,"&lt;&gt;COND",
'YearB-AppDetails Current Date'!I:I,"FALL"))), "")</f>
        <v/>
      </c>
      <c r="K41" s="73" t="str">
        <f>IFERROR(1/(1/SUM(COUNTIFS(
'YearB-AppDetails Current Date'!A:A,D41,
'YearB-AppDetails Current Date'!F:F,E41,
'YearB-AppDetails Current Date'!E:E,--F41,
'YearB-AppDetails Current Date'!R:R,"&lt;&gt;"&amp;"",
'YearB-AppDetails Current Date'!I:I,"FALL"))), "")</f>
        <v/>
      </c>
      <c r="L41" s="74" t="str" cm="1">
        <f t="array" ref="L41">IFERROR(1/(1/SUM(COUNTIFS(
'YearB-AppDetails Current Date'!A:A,D41,
'YearB-AppDetails Current Date'!F:F,E41,
'YearB-AppDetails Current Date'!E:E,--F41,
'YearB-AppDetails Current Date'!T:T,{"APEX","DENY","NTSL"},
'YearB-AppDetails Current Date'!I:I,"FALL"))), "")</f>
        <v/>
      </c>
      <c r="M41" s="74" t="str" cm="1">
        <f t="array" ref="M41">IFERROR(1/(1/SUM(COUNTIFS(
'YearB-AppDetails Current Date'!A:A,D41,
'YearB-AppDetails Current Date'!F:F,E41,
'YearB-AppDetails Current Date'!E:E,--F41,
'YearB-AppDetails Current Date'!U:U,{"CCAN","DECL"},
'YearB-AppDetails Current Date'!I:I,"FALL"))), "")</f>
        <v/>
      </c>
      <c r="N41" s="74" t="str" cm="1">
        <f t="array" ref="N41">IFERROR(1/(1/SUM(COUNTIFS(
'YearB-AppDetails Current Date'!A:A,D41,
'YearB-AppDetails Current Date'!F:F,E41,
'YearB-AppDetails Current Date'!E:E,--F41,
'YearB-AppDetails Current Date'!V:V,{"APRO","NODE"},
'YearB-AppDetails Current Date'!I:I,"FALL"))), "")</f>
        <v/>
      </c>
      <c r="O41" s="74" t="str" cm="1">
        <f t="array" ref="O41">IFERROR(1/(1/SUM(COUNTIFS(
'YearB-AppDetails Current Date'!A:A,D41,
'YearB-AppDetails Current Date'!F:F,E41,
'YearB-AppDetails Current Date'!E:E,--F41,
'YearB-AppDetails Current Date'!T:T,{"CDMT","RQMT","WAIT"},
'YearB-AppDetails Current Date'!I:I,"FALL"))), "")</f>
        <v/>
      </c>
      <c r="P41" s="74" t="str">
        <f>IFERROR(1/(1/COUNTIFS(
'YearB-AppDetails Current Date'!A:A,D41,
'YearB-AppDetails Current Date'!F:F,E41,
'YearB-AppDetails Current Date'!E:E,--F41,
'YearB-AppDetails Current Date'!Y:Y,"ENRO",
'YearB-AppDetails Current Date'!I:I,"FALL")),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HC'!D:T,12,FALSE)),
N(VLOOKUP(D42&amp;F42,'Budgeted Projections Intl HC'!D:T,13,FALSE))
)
),"")</f>
        <v/>
      </c>
      <c r="I42" s="73" t="str">
        <f>IFERROR(1/(1/COUNTIFS(
'YearB-AppDetails Current Date'!A:A,D42,
'YearB-AppDetails Current Date'!F:F,E42,
'YearB-AppDetails Current Date'!E:E,--F42,
'YearB-AppDetails Current Date'!I:I,"FALL")), "")</f>
        <v/>
      </c>
      <c r="J42" s="74" t="str" cm="1">
        <f t="array" ref="J42">IFERROR(1/(1/SUM(COUNTIFS(
'YearB-AppDetails Current Date'!A:A,D42,
'YearB-AppDetails Current Date'!F:F,E42,
'YearB-AppDetails Current Date'!E:E,--F42,
'YearB-AppDetails Current Date'!O:O,{"ACLN","ACPT","COND"},
'YearB-AppDetails Current Date'!S:S,"&lt;&gt;ACLN",
'YearB-AppDetails Current Date'!S:S,"&lt;&gt;ACPT",
'YearB-AppDetails Current Date'!S:S,"&lt;&gt;COND",
'YearB-AppDetails Current Date'!I:I,"FALL"))), "")</f>
        <v/>
      </c>
      <c r="K42" s="73" t="str">
        <f>IFERROR(1/(1/SUM(COUNTIFS(
'YearB-AppDetails Current Date'!A:A,D42,
'YearB-AppDetails Current Date'!F:F,E42,
'YearB-AppDetails Current Date'!E:E,--F42,
'YearB-AppDetails Current Date'!R:R,"&lt;&gt;"&amp;"",
'YearB-AppDetails Current Date'!I:I,"FALL"))), "")</f>
        <v/>
      </c>
      <c r="L42" s="74" t="str" cm="1">
        <f t="array" ref="L42">IFERROR(1/(1/SUM(COUNTIFS(
'YearB-AppDetails Current Date'!A:A,D42,
'YearB-AppDetails Current Date'!F:F,E42,
'YearB-AppDetails Current Date'!E:E,--F42,
'YearB-AppDetails Current Date'!T:T,{"APEX","DENY","NTSL"},
'YearB-AppDetails Current Date'!I:I,"FALL"))), "")</f>
        <v/>
      </c>
      <c r="M42" s="74" t="str" cm="1">
        <f t="array" ref="M42">IFERROR(1/(1/SUM(COUNTIFS(
'YearB-AppDetails Current Date'!A:A,D42,
'YearB-AppDetails Current Date'!F:F,E42,
'YearB-AppDetails Current Date'!E:E,--F42,
'YearB-AppDetails Current Date'!U:U,{"CCAN","DECL"},
'YearB-AppDetails Current Date'!I:I,"FALL"))), "")</f>
        <v/>
      </c>
      <c r="N42" s="74" t="str" cm="1">
        <f t="array" ref="N42">IFERROR(1/(1/SUM(COUNTIFS(
'YearB-AppDetails Current Date'!A:A,D42,
'YearB-AppDetails Current Date'!F:F,E42,
'YearB-AppDetails Current Date'!E:E,--F42,
'YearB-AppDetails Current Date'!V:V,{"APRO","NODE"},
'YearB-AppDetails Current Date'!I:I,"FALL"))), "")</f>
        <v/>
      </c>
      <c r="O42" s="74" t="str" cm="1">
        <f t="array" ref="O42">IFERROR(1/(1/SUM(COUNTIFS(
'YearB-AppDetails Current Date'!A:A,D42,
'YearB-AppDetails Current Date'!F:F,E42,
'YearB-AppDetails Current Date'!E:E,--F42,
'YearB-AppDetails Current Date'!T:T,{"CDMT","RQMT","WAIT"},
'YearB-AppDetails Current Date'!I:I,"FALL"))), "")</f>
        <v/>
      </c>
      <c r="P42" s="74" t="str">
        <f>IFERROR(1/(1/COUNTIFS(
'YearB-AppDetails Current Date'!A:A,D42,
'YearB-AppDetails Current Date'!F:F,E42,
'YearB-AppDetails Current Date'!E:E,--F42,
'YearB-AppDetails Current Date'!Y:Y,"ENRO",
'YearB-AppDetails Current Date'!I:I,"FALL")),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HC'!D:T,12,FALSE)),
N(VLOOKUP(D43&amp;F43,'Budgeted Projections Dom HC'!D:T,13,FALSE))
)
),"")</f>
        <v/>
      </c>
      <c r="I43" s="73" t="str">
        <f>IFERROR(1/(1/COUNTIFS(
'YearB-AppDetails Current Date'!A:A,D43,
'YearB-AppDetails Current Date'!F:F,E43,
'YearB-AppDetails Current Date'!E:E,--F43,
'YearB-AppDetails Current Date'!I:I,"FALL")), "")</f>
        <v/>
      </c>
      <c r="J43" s="74" t="str" cm="1">
        <f t="array" ref="J43">IFERROR(1/(1/SUM(COUNTIFS(
'YearB-AppDetails Current Date'!A:A,D43,
'YearB-AppDetails Current Date'!F:F,E43,
'YearB-AppDetails Current Date'!E:E,--F43,
'YearB-AppDetails Current Date'!O:O,{"ACLN","ACPT","COND"},
'YearB-AppDetails Current Date'!S:S,"&lt;&gt;ACLN",
'YearB-AppDetails Current Date'!S:S,"&lt;&gt;ACPT",
'YearB-AppDetails Current Date'!S:S,"&lt;&gt;COND",
'YearB-AppDetails Current Date'!I:I,"FALL"))), "")</f>
        <v/>
      </c>
      <c r="K43" s="73" t="str">
        <f>IFERROR(1/(1/SUM(COUNTIFS(
'YearB-AppDetails Current Date'!A:A,D43,
'YearB-AppDetails Current Date'!F:F,E43,
'YearB-AppDetails Current Date'!E:E,--F43,
'YearB-AppDetails Current Date'!R:R,"&lt;&gt;"&amp;"",
'YearB-AppDetails Current Date'!I:I,"FALL"))), "")</f>
        <v/>
      </c>
      <c r="L43" s="74" t="str" cm="1">
        <f t="array" ref="L43">IFERROR(1/(1/SUM(COUNTIFS(
'YearB-AppDetails Current Date'!A:A,D43,
'YearB-AppDetails Current Date'!F:F,E43,
'YearB-AppDetails Current Date'!E:E,--F43,
'YearB-AppDetails Current Date'!T:T,{"APEX","DENY","NTSL"},
'YearB-AppDetails Current Date'!I:I,"FALL"))), "")</f>
        <v/>
      </c>
      <c r="M43" s="74" t="str" cm="1">
        <f t="array" ref="M43">IFERROR(1/(1/SUM(COUNTIFS(
'YearB-AppDetails Current Date'!A:A,D43,
'YearB-AppDetails Current Date'!F:F,E43,
'YearB-AppDetails Current Date'!E:E,--F43,
'YearB-AppDetails Current Date'!U:U,{"CCAN","DECL"},
'YearB-AppDetails Current Date'!I:I,"FALL"))), "")</f>
        <v/>
      </c>
      <c r="N43" s="74" t="str" cm="1">
        <f t="array" ref="N43">IFERROR(1/(1/SUM(COUNTIFS(
'YearB-AppDetails Current Date'!A:A,D43,
'YearB-AppDetails Current Date'!F:F,E43,
'YearB-AppDetails Current Date'!E:E,--F43,
'YearB-AppDetails Current Date'!V:V,{"APRO","NODE"},
'YearB-AppDetails Current Date'!I:I,"FALL"))), "")</f>
        <v/>
      </c>
      <c r="O43" s="74" t="str" cm="1">
        <f t="array" ref="O43">IFERROR(1/(1/SUM(COUNTIFS(
'YearB-AppDetails Current Date'!A:A,D43,
'YearB-AppDetails Current Date'!F:F,E43,
'YearB-AppDetails Current Date'!E:E,--F43,
'YearB-AppDetails Current Date'!T:T,{"CDMT","RQMT","WAIT"},
'YearB-AppDetails Current Date'!I:I,"FALL"))), "")</f>
        <v/>
      </c>
      <c r="P43" s="74" t="str">
        <f>IFERROR(1/(1/COUNTIFS(
'YearB-AppDetails Current Date'!A:A,D43,
'YearB-AppDetails Current Date'!F:F,E43,
'YearB-AppDetails Current Date'!E:E,--F43,
'YearB-AppDetails Current Date'!Y:Y,"ENRO",
'YearB-AppDetails Current Date'!I:I,"FALL")),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HC'!D:T,12,FALSE)),
N(VLOOKUP(D44&amp;F44,'Budgeted Projections Intl HC'!D:T,13,FALSE))
)
),"")</f>
        <v/>
      </c>
      <c r="I44" s="73" t="str">
        <f>IFERROR(1/(1/COUNTIFS(
'YearB-AppDetails Current Date'!A:A,D44,
'YearB-AppDetails Current Date'!F:F,E44,
'YearB-AppDetails Current Date'!E:E,--F44,
'YearB-AppDetails Current Date'!I:I,"FALL")), "")</f>
        <v/>
      </c>
      <c r="J44" s="74" t="str" cm="1">
        <f t="array" ref="J44">IFERROR(1/(1/SUM(COUNTIFS(
'YearB-AppDetails Current Date'!A:A,D44,
'YearB-AppDetails Current Date'!F:F,E44,
'YearB-AppDetails Current Date'!E:E,--F44,
'YearB-AppDetails Current Date'!O:O,{"ACLN","ACPT","COND"},
'YearB-AppDetails Current Date'!S:S,"&lt;&gt;ACLN",
'YearB-AppDetails Current Date'!S:S,"&lt;&gt;ACPT",
'YearB-AppDetails Current Date'!S:S,"&lt;&gt;COND",
'YearB-AppDetails Current Date'!I:I,"FALL"))), "")</f>
        <v/>
      </c>
      <c r="K44" s="73" t="str">
        <f>IFERROR(1/(1/SUM(COUNTIFS(
'YearB-AppDetails Current Date'!A:A,D44,
'YearB-AppDetails Current Date'!F:F,E44,
'YearB-AppDetails Current Date'!E:E,--F44,
'YearB-AppDetails Current Date'!R:R,"&lt;&gt;"&amp;"",
'YearB-AppDetails Current Date'!I:I,"FALL"))), "")</f>
        <v/>
      </c>
      <c r="L44" s="74" t="str" cm="1">
        <f t="array" ref="L44">IFERROR(1/(1/SUM(COUNTIFS(
'YearB-AppDetails Current Date'!A:A,D44,
'YearB-AppDetails Current Date'!F:F,E44,
'YearB-AppDetails Current Date'!E:E,--F44,
'YearB-AppDetails Current Date'!T:T,{"APEX","DENY","NTSL"},
'YearB-AppDetails Current Date'!I:I,"FALL"))), "")</f>
        <v/>
      </c>
      <c r="M44" s="74" t="str" cm="1">
        <f t="array" ref="M44">IFERROR(1/(1/SUM(COUNTIFS(
'YearB-AppDetails Current Date'!A:A,D44,
'YearB-AppDetails Current Date'!F:F,E44,
'YearB-AppDetails Current Date'!E:E,--F44,
'YearB-AppDetails Current Date'!U:U,{"CCAN","DECL"},
'YearB-AppDetails Current Date'!I:I,"FALL"))), "")</f>
        <v/>
      </c>
      <c r="N44" s="74" t="str" cm="1">
        <f t="array" ref="N44">IFERROR(1/(1/SUM(COUNTIFS(
'YearB-AppDetails Current Date'!A:A,D44,
'YearB-AppDetails Current Date'!F:F,E44,
'YearB-AppDetails Current Date'!E:E,--F44,
'YearB-AppDetails Current Date'!V:V,{"APRO","NODE"},
'YearB-AppDetails Current Date'!I:I,"FALL"))), "")</f>
        <v/>
      </c>
      <c r="O44" s="74" t="str" cm="1">
        <f t="array" ref="O44">IFERROR(1/(1/SUM(COUNTIFS(
'YearB-AppDetails Current Date'!A:A,D44,
'YearB-AppDetails Current Date'!F:F,E44,
'YearB-AppDetails Current Date'!E:E,--F44,
'YearB-AppDetails Current Date'!T:T,{"CDMT","RQMT","WAIT"},
'YearB-AppDetails Current Date'!I:I,"FALL"))), "")</f>
        <v/>
      </c>
      <c r="P44" s="74" t="str">
        <f>IFERROR(1/(1/COUNTIFS(
'YearB-AppDetails Current Date'!A:A,D44,
'YearB-AppDetails Current Date'!F:F,E44,
'YearB-AppDetails Current Date'!E:E,--F44,
'YearB-AppDetails Current Date'!Y:Y,"ENRO",
'YearB-AppDetails Current Date'!I:I,"FALL")),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HC'!D:T,12,FALSE)),
N(VLOOKUP(D45&amp;F45,'Budgeted Projections Dom HC'!D:T,13,FALSE))
)
),"")</f>
        <v/>
      </c>
      <c r="I45" s="73" t="str">
        <f>IFERROR(1/(1/COUNTIFS(
'YearB-AppDetails Current Date'!A:A,D45,
'YearB-AppDetails Current Date'!F:F,E45,
'YearB-AppDetails Current Date'!E:E,--F45,
'YearB-AppDetails Current Date'!I:I,"FALL")), "")</f>
        <v/>
      </c>
      <c r="J45" s="74" t="str" cm="1">
        <f t="array" ref="J45">IFERROR(1/(1/SUM(COUNTIFS(
'YearB-AppDetails Current Date'!A:A,D45,
'YearB-AppDetails Current Date'!F:F,E45,
'YearB-AppDetails Current Date'!E:E,--F45,
'YearB-AppDetails Current Date'!O:O,{"ACLN","ACPT","COND"},
'YearB-AppDetails Current Date'!S:S,"&lt;&gt;ACLN",
'YearB-AppDetails Current Date'!S:S,"&lt;&gt;ACPT",
'YearB-AppDetails Current Date'!S:S,"&lt;&gt;COND",
'YearB-AppDetails Current Date'!I:I,"FALL"))), "")</f>
        <v/>
      </c>
      <c r="K45" s="73" t="str">
        <f>IFERROR(1/(1/SUM(COUNTIFS(
'YearB-AppDetails Current Date'!A:A,D45,
'YearB-AppDetails Current Date'!F:F,E45,
'YearB-AppDetails Current Date'!E:E,--F45,
'YearB-AppDetails Current Date'!R:R,"&lt;&gt;"&amp;"",
'YearB-AppDetails Current Date'!I:I,"FALL"))), "")</f>
        <v/>
      </c>
      <c r="L45" s="74" t="str" cm="1">
        <f t="array" ref="L45">IFERROR(1/(1/SUM(COUNTIFS(
'YearB-AppDetails Current Date'!A:A,D45,
'YearB-AppDetails Current Date'!F:F,E45,
'YearB-AppDetails Current Date'!E:E,--F45,
'YearB-AppDetails Current Date'!T:T,{"APEX","DENY","NTSL"},
'YearB-AppDetails Current Date'!I:I,"FALL"))), "")</f>
        <v/>
      </c>
      <c r="M45" s="74" t="str" cm="1">
        <f t="array" ref="M45">IFERROR(1/(1/SUM(COUNTIFS(
'YearB-AppDetails Current Date'!A:A,D45,
'YearB-AppDetails Current Date'!F:F,E45,
'YearB-AppDetails Current Date'!E:E,--F45,
'YearB-AppDetails Current Date'!U:U,{"CCAN","DECL"},
'YearB-AppDetails Current Date'!I:I,"FALL"))), "")</f>
        <v/>
      </c>
      <c r="N45" s="74" t="str" cm="1">
        <f t="array" ref="N45">IFERROR(1/(1/SUM(COUNTIFS(
'YearB-AppDetails Current Date'!A:A,D45,
'YearB-AppDetails Current Date'!F:F,E45,
'YearB-AppDetails Current Date'!E:E,--F45,
'YearB-AppDetails Current Date'!V:V,{"APRO","NODE"},
'YearB-AppDetails Current Date'!I:I,"FALL"))), "")</f>
        <v/>
      </c>
      <c r="O45" s="74" t="str" cm="1">
        <f t="array" ref="O45">IFERROR(1/(1/SUM(COUNTIFS(
'YearB-AppDetails Current Date'!A:A,D45,
'YearB-AppDetails Current Date'!F:F,E45,
'YearB-AppDetails Current Date'!E:E,--F45,
'YearB-AppDetails Current Date'!T:T,{"CDMT","RQMT","WAIT"},
'YearB-AppDetails Current Date'!I:I,"FALL"))), "")</f>
        <v/>
      </c>
      <c r="P45" s="74" t="str">
        <f>IFERROR(1/(1/COUNTIFS(
'YearB-AppDetails Current Date'!A:A,D45,
'YearB-AppDetails Current Date'!F:F,E45,
'YearB-AppDetails Current Date'!E:E,--F45,
'YearB-AppDetails Current Date'!Y:Y,"ENRO",
'YearB-AppDetails Current Date'!I:I,"FALL")),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HC'!D:T,12,FALSE)),
N(VLOOKUP(D46&amp;F46,'Budgeted Projections Intl HC'!D:T,13,FALSE))
)
),"")</f>
        <v/>
      </c>
      <c r="I46" s="73" t="str">
        <f>IFERROR(1/(1/COUNTIFS(
'YearB-AppDetails Current Date'!A:A,D46,
'YearB-AppDetails Current Date'!F:F,E46,
'YearB-AppDetails Current Date'!E:E,--F46,
'YearB-AppDetails Current Date'!I:I,"FALL")), "")</f>
        <v/>
      </c>
      <c r="J46" s="74" t="str" cm="1">
        <f t="array" ref="J46">IFERROR(1/(1/SUM(COUNTIFS(
'YearB-AppDetails Current Date'!A:A,D46,
'YearB-AppDetails Current Date'!F:F,E46,
'YearB-AppDetails Current Date'!E:E,--F46,
'YearB-AppDetails Current Date'!O:O,{"ACLN","ACPT","COND"},
'YearB-AppDetails Current Date'!S:S,"&lt;&gt;ACLN",
'YearB-AppDetails Current Date'!S:S,"&lt;&gt;ACPT",
'YearB-AppDetails Current Date'!S:S,"&lt;&gt;COND",
'YearB-AppDetails Current Date'!I:I,"FALL"))), "")</f>
        <v/>
      </c>
      <c r="K46" s="73" t="str">
        <f>IFERROR(1/(1/SUM(COUNTIFS(
'YearB-AppDetails Current Date'!A:A,D46,
'YearB-AppDetails Current Date'!F:F,E46,
'YearB-AppDetails Current Date'!E:E,--F46,
'YearB-AppDetails Current Date'!R:R,"&lt;&gt;"&amp;"",
'YearB-AppDetails Current Date'!I:I,"FALL"))), "")</f>
        <v/>
      </c>
      <c r="L46" s="74" t="str" cm="1">
        <f t="array" ref="L46">IFERROR(1/(1/SUM(COUNTIFS(
'YearB-AppDetails Current Date'!A:A,D46,
'YearB-AppDetails Current Date'!F:F,E46,
'YearB-AppDetails Current Date'!E:E,--F46,
'YearB-AppDetails Current Date'!T:T,{"APEX","DENY","NTSL"},
'YearB-AppDetails Current Date'!I:I,"FALL"))), "")</f>
        <v/>
      </c>
      <c r="M46" s="74" t="str" cm="1">
        <f t="array" ref="M46">IFERROR(1/(1/SUM(COUNTIFS(
'YearB-AppDetails Current Date'!A:A,D46,
'YearB-AppDetails Current Date'!F:F,E46,
'YearB-AppDetails Current Date'!E:E,--F46,
'YearB-AppDetails Current Date'!U:U,{"CCAN","DECL"},
'YearB-AppDetails Current Date'!I:I,"FALL"))), "")</f>
        <v/>
      </c>
      <c r="N46" s="74" t="str" cm="1">
        <f t="array" ref="N46">IFERROR(1/(1/SUM(COUNTIFS(
'YearB-AppDetails Current Date'!A:A,D46,
'YearB-AppDetails Current Date'!F:F,E46,
'YearB-AppDetails Current Date'!E:E,--F46,
'YearB-AppDetails Current Date'!V:V,{"APRO","NODE"},
'YearB-AppDetails Current Date'!I:I,"FALL"))), "")</f>
        <v/>
      </c>
      <c r="O46" s="74" t="str" cm="1">
        <f t="array" ref="O46">IFERROR(1/(1/SUM(COUNTIFS(
'YearB-AppDetails Current Date'!A:A,D46,
'YearB-AppDetails Current Date'!F:F,E46,
'YearB-AppDetails Current Date'!E:E,--F46,
'YearB-AppDetails Current Date'!T:T,{"CDMT","RQMT","WAIT"},
'YearB-AppDetails Current Date'!I:I,"FALL"))), "")</f>
        <v/>
      </c>
      <c r="P46" s="74" t="str">
        <f>IFERROR(1/(1/COUNTIFS(
'YearB-AppDetails Current Date'!A:A,D46,
'YearB-AppDetails Current Date'!F:F,E46,
'YearB-AppDetails Current Date'!E:E,--F46,
'YearB-AppDetails Current Date'!Y:Y,"ENRO",
'YearB-AppDetails Current Date'!I:I,"FALL")),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HC'!D:T,12,FALSE)),
N(VLOOKUP(D47&amp;F47,'Budgeted Projections Dom HC'!D:T,13,FALSE))
)
),"")</f>
        <v/>
      </c>
      <c r="I47" s="73" t="str">
        <f>IFERROR(1/(1/COUNTIFS(
'YearB-AppDetails Current Date'!A:A,D47,
'YearB-AppDetails Current Date'!F:F,E47,
'YearB-AppDetails Current Date'!E:E,--F47,
'YearB-AppDetails Current Date'!I:I,"FALL")), "")</f>
        <v/>
      </c>
      <c r="J47" s="74" t="str" cm="1">
        <f t="array" ref="J47">IFERROR(1/(1/SUM(COUNTIFS(
'YearB-AppDetails Current Date'!A:A,D47,
'YearB-AppDetails Current Date'!F:F,E47,
'YearB-AppDetails Current Date'!E:E,--F47,
'YearB-AppDetails Current Date'!O:O,{"ACLN","ACPT","COND"},
'YearB-AppDetails Current Date'!S:S,"&lt;&gt;ACLN",
'YearB-AppDetails Current Date'!S:S,"&lt;&gt;ACPT",
'YearB-AppDetails Current Date'!S:S,"&lt;&gt;COND",
'YearB-AppDetails Current Date'!I:I,"FALL"))), "")</f>
        <v/>
      </c>
      <c r="K47" s="73" t="str">
        <f>IFERROR(1/(1/SUM(COUNTIFS(
'YearB-AppDetails Current Date'!A:A,D47,
'YearB-AppDetails Current Date'!F:F,E47,
'YearB-AppDetails Current Date'!E:E,--F47,
'YearB-AppDetails Current Date'!R:R,"&lt;&gt;"&amp;"",
'YearB-AppDetails Current Date'!I:I,"FALL"))), "")</f>
        <v/>
      </c>
      <c r="L47" s="74" t="str" cm="1">
        <f t="array" ref="L47">IFERROR(1/(1/SUM(COUNTIFS(
'YearB-AppDetails Current Date'!A:A,D47,
'YearB-AppDetails Current Date'!F:F,E47,
'YearB-AppDetails Current Date'!E:E,--F47,
'YearB-AppDetails Current Date'!T:T,{"APEX","DENY","NTSL"},
'YearB-AppDetails Current Date'!I:I,"FALL"))), "")</f>
        <v/>
      </c>
      <c r="M47" s="74" t="str" cm="1">
        <f t="array" ref="M47">IFERROR(1/(1/SUM(COUNTIFS(
'YearB-AppDetails Current Date'!A:A,D47,
'YearB-AppDetails Current Date'!F:F,E47,
'YearB-AppDetails Current Date'!E:E,--F47,
'YearB-AppDetails Current Date'!U:U,{"CCAN","DECL"},
'YearB-AppDetails Current Date'!I:I,"FALL"))), "")</f>
        <v/>
      </c>
      <c r="N47" s="74" t="str" cm="1">
        <f t="array" ref="N47">IFERROR(1/(1/SUM(COUNTIFS(
'YearB-AppDetails Current Date'!A:A,D47,
'YearB-AppDetails Current Date'!F:F,E47,
'YearB-AppDetails Current Date'!E:E,--F47,
'YearB-AppDetails Current Date'!V:V,{"APRO","NODE"},
'YearB-AppDetails Current Date'!I:I,"FALL"))), "")</f>
        <v/>
      </c>
      <c r="O47" s="74" t="str" cm="1">
        <f t="array" ref="O47">IFERROR(1/(1/SUM(COUNTIFS(
'YearB-AppDetails Current Date'!A:A,D47,
'YearB-AppDetails Current Date'!F:F,E47,
'YearB-AppDetails Current Date'!E:E,--F47,
'YearB-AppDetails Current Date'!T:T,{"CDMT","RQMT","WAIT"},
'YearB-AppDetails Current Date'!I:I,"FALL"))), "")</f>
        <v/>
      </c>
      <c r="P47" s="74" t="str">
        <f>IFERROR(1/(1/COUNTIFS(
'YearB-AppDetails Current Date'!A:A,D47,
'YearB-AppDetails Current Date'!F:F,E47,
'YearB-AppDetails Current Date'!E:E,--F47,
'YearB-AppDetails Current Date'!Y:Y,"ENRO",
'YearB-AppDetails Current Date'!I:I,"FALL")),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HC'!D:T,12,FALSE)),
N(VLOOKUP(D48&amp;F48,'Budgeted Projections Intl HC'!D:T,13,FALSE))
)
),"")</f>
        <v/>
      </c>
      <c r="I48" s="73" t="str">
        <f>IFERROR(1/(1/COUNTIFS(
'YearB-AppDetails Current Date'!A:A,D48,
'YearB-AppDetails Current Date'!F:F,E48,
'YearB-AppDetails Current Date'!E:E,--F48,
'YearB-AppDetails Current Date'!I:I,"FALL")), "")</f>
        <v/>
      </c>
      <c r="J48" s="74" t="str" cm="1">
        <f t="array" ref="J48">IFERROR(1/(1/SUM(COUNTIFS(
'YearB-AppDetails Current Date'!A:A,D48,
'YearB-AppDetails Current Date'!F:F,E48,
'YearB-AppDetails Current Date'!E:E,--F48,
'YearB-AppDetails Current Date'!O:O,{"ACLN","ACPT","COND"},
'YearB-AppDetails Current Date'!S:S,"&lt;&gt;ACLN",
'YearB-AppDetails Current Date'!S:S,"&lt;&gt;ACPT",
'YearB-AppDetails Current Date'!S:S,"&lt;&gt;COND",
'YearB-AppDetails Current Date'!I:I,"FALL"))), "")</f>
        <v/>
      </c>
      <c r="K48" s="73" t="str">
        <f>IFERROR(1/(1/SUM(COUNTIFS(
'YearB-AppDetails Current Date'!A:A,D48,
'YearB-AppDetails Current Date'!F:F,E48,
'YearB-AppDetails Current Date'!E:E,--F48,
'YearB-AppDetails Current Date'!R:R,"&lt;&gt;"&amp;"",
'YearB-AppDetails Current Date'!I:I,"FALL"))), "")</f>
        <v/>
      </c>
      <c r="L48" s="74" t="str" cm="1">
        <f t="array" ref="L48">IFERROR(1/(1/SUM(COUNTIFS(
'YearB-AppDetails Current Date'!A:A,D48,
'YearB-AppDetails Current Date'!F:F,E48,
'YearB-AppDetails Current Date'!E:E,--F48,
'YearB-AppDetails Current Date'!T:T,{"APEX","DENY","NTSL"},
'YearB-AppDetails Current Date'!I:I,"FALL"))), "")</f>
        <v/>
      </c>
      <c r="M48" s="74" t="str" cm="1">
        <f t="array" ref="M48">IFERROR(1/(1/SUM(COUNTIFS(
'YearB-AppDetails Current Date'!A:A,D48,
'YearB-AppDetails Current Date'!F:F,E48,
'YearB-AppDetails Current Date'!E:E,--F48,
'YearB-AppDetails Current Date'!U:U,{"CCAN","DECL"},
'YearB-AppDetails Current Date'!I:I,"FALL"))), "")</f>
        <v/>
      </c>
      <c r="N48" s="74" t="str" cm="1">
        <f t="array" ref="N48">IFERROR(1/(1/SUM(COUNTIFS(
'YearB-AppDetails Current Date'!A:A,D48,
'YearB-AppDetails Current Date'!F:F,E48,
'YearB-AppDetails Current Date'!E:E,--F48,
'YearB-AppDetails Current Date'!V:V,{"APRO","NODE"},
'YearB-AppDetails Current Date'!I:I,"FALL"))), "")</f>
        <v/>
      </c>
      <c r="O48" s="74" t="str" cm="1">
        <f t="array" ref="O48">IFERROR(1/(1/SUM(COUNTIFS(
'YearB-AppDetails Current Date'!A:A,D48,
'YearB-AppDetails Current Date'!F:F,E48,
'YearB-AppDetails Current Date'!E:E,--F48,
'YearB-AppDetails Current Date'!T:T,{"CDMT","RQMT","WAIT"},
'YearB-AppDetails Current Date'!I:I,"FALL"))), "")</f>
        <v/>
      </c>
      <c r="P48" s="74" t="str">
        <f>IFERROR(1/(1/COUNTIFS(
'YearB-AppDetails Current Date'!A:A,D48,
'YearB-AppDetails Current Date'!F:F,E48,
'YearB-AppDetails Current Date'!E:E,--F48,
'YearB-AppDetails Current Date'!Y:Y,"ENRO",
'YearB-AppDetails Current Date'!I:I,"FALL")),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HC'!D:T,12,FALSE)),
N(VLOOKUP(D50&amp;F50,'Budgeted Projections Dom HC'!D:T,13,FALSE))
)
),"")</f>
        <v/>
      </c>
      <c r="I50" s="73" t="str">
        <f>IFERROR(1/(1/COUNTIFS(
'YearB-AppDetails Current Date'!A:A,D50,
'YearB-AppDetails Current Date'!F:F,E50,
'YearB-AppDetails Current Date'!E:E,--F50,
'YearB-AppDetails Current Date'!I:I,"FALL")), "")</f>
        <v/>
      </c>
      <c r="J50" s="74" t="str" cm="1">
        <f t="array" ref="J50">IFERROR(1/(1/SUM(COUNTIFS(
'YearB-AppDetails Current Date'!A:A,D50,
'YearB-AppDetails Current Date'!F:F,E50,
'YearB-AppDetails Current Date'!E:E,--F50,
'YearB-AppDetails Current Date'!O:O,{"ACLN","ACPT","COND"},
'YearB-AppDetails Current Date'!S:S,"&lt;&gt;ACLN",
'YearB-AppDetails Current Date'!S:S,"&lt;&gt;ACPT",
'YearB-AppDetails Current Date'!S:S,"&lt;&gt;COND",
'YearB-AppDetails Current Date'!I:I,"FALL"))), "")</f>
        <v/>
      </c>
      <c r="K50" s="73" t="str">
        <f>IFERROR(1/(1/SUM(COUNTIFS(
'YearB-AppDetails Current Date'!A:A,D50,
'YearB-AppDetails Current Date'!F:F,E50,
'YearB-AppDetails Current Date'!E:E,--F50,
'YearB-AppDetails Current Date'!R:R,"&lt;&gt;"&amp;"",
'YearB-AppDetails Current Date'!I:I,"FALL"))), "")</f>
        <v/>
      </c>
      <c r="L50" s="74" t="str" cm="1">
        <f t="array" ref="L50">IFERROR(1/(1/SUM(COUNTIFS(
'YearB-AppDetails Current Date'!A:A,D50,
'YearB-AppDetails Current Date'!F:F,E50,
'YearB-AppDetails Current Date'!E:E,--F50,
'YearB-AppDetails Current Date'!T:T,{"APEX","DENY","NTSL"},
'YearB-AppDetails Current Date'!I:I,"FALL"))), "")</f>
        <v/>
      </c>
      <c r="M50" s="74" t="str" cm="1">
        <f t="array" ref="M50">IFERROR(1/(1/SUM(COUNTIFS(
'YearB-AppDetails Current Date'!A:A,D50,
'YearB-AppDetails Current Date'!F:F,E50,
'YearB-AppDetails Current Date'!E:E,--F50,
'YearB-AppDetails Current Date'!U:U,{"CCAN","DECL"},
'YearB-AppDetails Current Date'!I:I,"FALL"))), "")</f>
        <v/>
      </c>
      <c r="N50" s="74" t="str" cm="1">
        <f t="array" ref="N50">IFERROR(1/(1/SUM(COUNTIFS(
'YearB-AppDetails Current Date'!A:A,D50,
'YearB-AppDetails Current Date'!F:F,E50,
'YearB-AppDetails Current Date'!E:E,--F50,
'YearB-AppDetails Current Date'!V:V,{"APRO","NODE"},
'YearB-AppDetails Current Date'!I:I,"FALL"))), "")</f>
        <v/>
      </c>
      <c r="O50" s="74" t="str" cm="1">
        <f t="array" ref="O50">IFERROR(1/(1/SUM(COUNTIFS(
'YearB-AppDetails Current Date'!A:A,D50,
'YearB-AppDetails Current Date'!F:F,E50,
'YearB-AppDetails Current Date'!E:E,--F50,
'YearB-AppDetails Current Date'!T:T,{"CDMT","RQMT","WAIT"},
'YearB-AppDetails Current Date'!I:I,"FALL"))), "")</f>
        <v/>
      </c>
      <c r="P50" s="74" t="str">
        <f>IFERROR(1/(1/COUNTIFS(
'YearB-AppDetails Current Date'!A:A,D50,
'YearB-AppDetails Current Date'!F:F,E50,
'YearB-AppDetails Current Date'!E:E,--F50,
'YearB-AppDetails Current Date'!Y:Y,"ENRO",
'YearB-AppDetails Current Date'!I:I,"FALL")),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HC'!D:T,12,FALSE)),
N(VLOOKUP(D51&amp;F51,'Budgeted Projections Intl HC'!D:T,13,FALSE))
)
),"")</f>
        <v/>
      </c>
      <c r="I51" s="73" t="str">
        <f>IFERROR(1/(1/COUNTIFS(
'YearB-AppDetails Current Date'!A:A,D51,
'YearB-AppDetails Current Date'!F:F,E51,
'YearB-AppDetails Current Date'!E:E,--F51,
'YearB-AppDetails Current Date'!I:I,"FALL")), "")</f>
        <v/>
      </c>
      <c r="J51" s="74" t="str" cm="1">
        <f t="array" ref="J51">IFERROR(1/(1/SUM(COUNTIFS(
'YearB-AppDetails Current Date'!A:A,D51,
'YearB-AppDetails Current Date'!F:F,E51,
'YearB-AppDetails Current Date'!E:E,--F51,
'YearB-AppDetails Current Date'!O:O,{"ACLN","ACPT","COND"},
'YearB-AppDetails Current Date'!S:S,"&lt;&gt;ACLN",
'YearB-AppDetails Current Date'!S:S,"&lt;&gt;ACPT",
'YearB-AppDetails Current Date'!S:S,"&lt;&gt;COND",
'YearB-AppDetails Current Date'!I:I,"FALL"))), "")</f>
        <v/>
      </c>
      <c r="K51" s="73" t="str">
        <f>IFERROR(1/(1/SUM(COUNTIFS(
'YearB-AppDetails Current Date'!A:A,D51,
'YearB-AppDetails Current Date'!F:F,E51,
'YearB-AppDetails Current Date'!E:E,--F51,
'YearB-AppDetails Current Date'!R:R,"&lt;&gt;"&amp;"",
'YearB-AppDetails Current Date'!I:I,"FALL"))), "")</f>
        <v/>
      </c>
      <c r="L51" s="74" t="str" cm="1">
        <f t="array" ref="L51">IFERROR(1/(1/SUM(COUNTIFS(
'YearB-AppDetails Current Date'!A:A,D51,
'YearB-AppDetails Current Date'!F:F,E51,
'YearB-AppDetails Current Date'!E:E,--F51,
'YearB-AppDetails Current Date'!T:T,{"APEX","DENY","NTSL"},
'YearB-AppDetails Current Date'!I:I,"FALL"))), "")</f>
        <v/>
      </c>
      <c r="M51" s="74" t="str" cm="1">
        <f t="array" ref="M51">IFERROR(1/(1/SUM(COUNTIFS(
'YearB-AppDetails Current Date'!A:A,D51,
'YearB-AppDetails Current Date'!F:F,E51,
'YearB-AppDetails Current Date'!E:E,--F51,
'YearB-AppDetails Current Date'!U:U,{"CCAN","DECL"},
'YearB-AppDetails Current Date'!I:I,"FALL"))), "")</f>
        <v/>
      </c>
      <c r="N51" s="74" t="str" cm="1">
        <f t="array" ref="N51">IFERROR(1/(1/SUM(COUNTIFS(
'YearB-AppDetails Current Date'!A:A,D51,
'YearB-AppDetails Current Date'!F:F,E51,
'YearB-AppDetails Current Date'!E:E,--F51,
'YearB-AppDetails Current Date'!V:V,{"APRO","NODE"},
'YearB-AppDetails Current Date'!I:I,"FALL"))), "")</f>
        <v/>
      </c>
      <c r="O51" s="74" t="str" cm="1">
        <f t="array" ref="O51">IFERROR(1/(1/SUM(COUNTIFS(
'YearB-AppDetails Current Date'!A:A,D51,
'YearB-AppDetails Current Date'!F:F,E51,
'YearB-AppDetails Current Date'!E:E,--F51,
'YearB-AppDetails Current Date'!T:T,{"CDMT","RQMT","WAIT"},
'YearB-AppDetails Current Date'!I:I,"FALL"))), "")</f>
        <v/>
      </c>
      <c r="P51" s="74" t="str">
        <f>IFERROR(1/(1/COUNTIFS(
'YearB-AppDetails Current Date'!A:A,D51,
'YearB-AppDetails Current Date'!F:F,E51,
'YearB-AppDetails Current Date'!E:E,--F51,
'YearB-AppDetails Current Date'!Y:Y,"ENRO",
'YearB-AppDetails Current Date'!I:I,"FALL")),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HC'!D:T,12,FALSE)),
N(VLOOKUP(D52&amp;F52,'Budgeted Projections Dom HC'!D:T,13,FALSE))
)
),"")</f>
        <v/>
      </c>
      <c r="I52" s="73" t="str">
        <f>IFERROR(1/(1/COUNTIFS(
'YearB-AppDetails Current Date'!A:A,D52,
'YearB-AppDetails Current Date'!F:F,E52,
'YearB-AppDetails Current Date'!E:E,--F52,
'YearB-AppDetails Current Date'!I:I,"FALL")), "")</f>
        <v/>
      </c>
      <c r="J52" s="74" t="str" cm="1">
        <f t="array" ref="J52">IFERROR(1/(1/SUM(COUNTIFS(
'YearB-AppDetails Current Date'!A:A,D52,
'YearB-AppDetails Current Date'!F:F,E52,
'YearB-AppDetails Current Date'!E:E,--F52,
'YearB-AppDetails Current Date'!O:O,{"ACLN","ACPT","COND"},
'YearB-AppDetails Current Date'!S:S,"&lt;&gt;ACLN",
'YearB-AppDetails Current Date'!S:S,"&lt;&gt;ACPT",
'YearB-AppDetails Current Date'!S:S,"&lt;&gt;COND",
'YearB-AppDetails Current Date'!I:I,"FALL"))), "")</f>
        <v/>
      </c>
      <c r="K52" s="73" t="str">
        <f>IFERROR(1/(1/SUM(COUNTIFS(
'YearB-AppDetails Current Date'!A:A,D52,
'YearB-AppDetails Current Date'!F:F,E52,
'YearB-AppDetails Current Date'!E:E,--F52,
'YearB-AppDetails Current Date'!R:R,"&lt;&gt;"&amp;"",
'YearB-AppDetails Current Date'!I:I,"FALL"))), "")</f>
        <v/>
      </c>
      <c r="L52" s="74" t="str" cm="1">
        <f t="array" ref="L52">IFERROR(1/(1/SUM(COUNTIFS(
'YearB-AppDetails Current Date'!A:A,D52,
'YearB-AppDetails Current Date'!F:F,E52,
'YearB-AppDetails Current Date'!E:E,--F52,
'YearB-AppDetails Current Date'!T:T,{"APEX","DENY","NTSL"},
'YearB-AppDetails Current Date'!I:I,"FALL"))), "")</f>
        <v/>
      </c>
      <c r="M52" s="74" t="str" cm="1">
        <f t="array" ref="M52">IFERROR(1/(1/SUM(COUNTIFS(
'YearB-AppDetails Current Date'!A:A,D52,
'YearB-AppDetails Current Date'!F:F,E52,
'YearB-AppDetails Current Date'!E:E,--F52,
'YearB-AppDetails Current Date'!U:U,{"CCAN","DECL"},
'YearB-AppDetails Current Date'!I:I,"FALL"))), "")</f>
        <v/>
      </c>
      <c r="N52" s="74" t="str" cm="1">
        <f t="array" ref="N52">IFERROR(1/(1/SUM(COUNTIFS(
'YearB-AppDetails Current Date'!A:A,D52,
'YearB-AppDetails Current Date'!F:F,E52,
'YearB-AppDetails Current Date'!E:E,--F52,
'YearB-AppDetails Current Date'!V:V,{"APRO","NODE"},
'YearB-AppDetails Current Date'!I:I,"FALL"))), "")</f>
        <v/>
      </c>
      <c r="O52" s="74" t="str" cm="1">
        <f t="array" ref="O52">IFERROR(1/(1/SUM(COUNTIFS(
'YearB-AppDetails Current Date'!A:A,D52,
'YearB-AppDetails Current Date'!F:F,E52,
'YearB-AppDetails Current Date'!E:E,--F52,
'YearB-AppDetails Current Date'!T:T,{"CDMT","RQMT","WAIT"},
'YearB-AppDetails Current Date'!I:I,"FALL"))), "")</f>
        <v/>
      </c>
      <c r="P52" s="74" t="str">
        <f>IFERROR(1/(1/COUNTIFS(
'YearB-AppDetails Current Date'!A:A,D52,
'YearB-AppDetails Current Date'!F:F,E52,
'YearB-AppDetails Current Date'!E:E,--F52,
'YearB-AppDetails Current Date'!Y:Y,"ENRO",
'YearB-AppDetails Current Date'!I:I,"FALL")),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HC'!D:T,12,FALSE)),
N(VLOOKUP(D53&amp;F53,'Budgeted Projections Intl HC'!D:T,13,FALSE))
)
),"")</f>
        <v/>
      </c>
      <c r="I53" s="73" t="str">
        <f>IFERROR(1/(1/COUNTIFS(
'YearB-AppDetails Current Date'!A:A,D53,
'YearB-AppDetails Current Date'!F:F,E53,
'YearB-AppDetails Current Date'!E:E,--F53,
'YearB-AppDetails Current Date'!I:I,"FALL")), "")</f>
        <v/>
      </c>
      <c r="J53" s="74" t="str" cm="1">
        <f t="array" ref="J53">IFERROR(1/(1/SUM(COUNTIFS(
'YearB-AppDetails Current Date'!A:A,D53,
'YearB-AppDetails Current Date'!F:F,E53,
'YearB-AppDetails Current Date'!E:E,--F53,
'YearB-AppDetails Current Date'!O:O,{"ACLN","ACPT","COND"},
'YearB-AppDetails Current Date'!S:S,"&lt;&gt;ACLN",
'YearB-AppDetails Current Date'!S:S,"&lt;&gt;ACPT",
'YearB-AppDetails Current Date'!S:S,"&lt;&gt;COND",
'YearB-AppDetails Current Date'!I:I,"FALL"))), "")</f>
        <v/>
      </c>
      <c r="K53" s="73" t="str">
        <f>IFERROR(1/(1/SUM(COUNTIFS(
'YearB-AppDetails Current Date'!A:A,D53,
'YearB-AppDetails Current Date'!F:F,E53,
'YearB-AppDetails Current Date'!E:E,--F53,
'YearB-AppDetails Current Date'!R:R,"&lt;&gt;"&amp;"",
'YearB-AppDetails Current Date'!I:I,"FALL"))), "")</f>
        <v/>
      </c>
      <c r="L53" s="74" t="str" cm="1">
        <f t="array" ref="L53">IFERROR(1/(1/SUM(COUNTIFS(
'YearB-AppDetails Current Date'!A:A,D53,
'YearB-AppDetails Current Date'!F:F,E53,
'YearB-AppDetails Current Date'!E:E,--F53,
'YearB-AppDetails Current Date'!T:T,{"APEX","DENY","NTSL"},
'YearB-AppDetails Current Date'!I:I,"FALL"))), "")</f>
        <v/>
      </c>
      <c r="M53" s="74" t="str" cm="1">
        <f t="array" ref="M53">IFERROR(1/(1/SUM(COUNTIFS(
'YearB-AppDetails Current Date'!A:A,D53,
'YearB-AppDetails Current Date'!F:F,E53,
'YearB-AppDetails Current Date'!E:E,--F53,
'YearB-AppDetails Current Date'!U:U,{"CCAN","DECL"},
'YearB-AppDetails Current Date'!I:I,"FALL"))), "")</f>
        <v/>
      </c>
      <c r="N53" s="74" t="str" cm="1">
        <f t="array" ref="N53">IFERROR(1/(1/SUM(COUNTIFS(
'YearB-AppDetails Current Date'!A:A,D53,
'YearB-AppDetails Current Date'!F:F,E53,
'YearB-AppDetails Current Date'!E:E,--F53,
'YearB-AppDetails Current Date'!V:V,{"APRO","NODE"},
'YearB-AppDetails Current Date'!I:I,"FALL"))), "")</f>
        <v/>
      </c>
      <c r="O53" s="74" t="str" cm="1">
        <f t="array" ref="O53">IFERROR(1/(1/SUM(COUNTIFS(
'YearB-AppDetails Current Date'!A:A,D53,
'YearB-AppDetails Current Date'!F:F,E53,
'YearB-AppDetails Current Date'!E:E,--F53,
'YearB-AppDetails Current Date'!T:T,{"CDMT","RQMT","WAIT"},
'YearB-AppDetails Current Date'!I:I,"FALL"))), "")</f>
        <v/>
      </c>
      <c r="P53" s="74" t="str">
        <f>IFERROR(1/(1/COUNTIFS(
'YearB-AppDetails Current Date'!A:A,D53,
'YearB-AppDetails Current Date'!F:F,E53,
'YearB-AppDetails Current Date'!E:E,--F53,
'YearB-AppDetails Current Date'!Y:Y,"ENRO",
'YearB-AppDetails Current Date'!I:I,"FALL")),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HC'!D:T,12,FALSE)),
N(VLOOKUP(D55&amp;F55,'Budgeted Projections Dom HC'!D:T,13,FALSE))
)
),"")</f>
        <v/>
      </c>
      <c r="I55" s="73" t="str">
        <f>IFERROR(1/(1/COUNTIFS(
'YearB-AppDetails Current Date'!A:A,D55,
'YearB-AppDetails Current Date'!F:F,E55,
'YearB-AppDetails Current Date'!E:E,--F55,
'YearB-AppDetails Current Date'!I:I,"FALL")), "")</f>
        <v/>
      </c>
      <c r="J55" s="74" t="str" cm="1">
        <f t="array" ref="J55">IFERROR(1/(1/SUM(COUNTIFS(
'YearB-AppDetails Current Date'!A:A,D55,
'YearB-AppDetails Current Date'!F:F,E55,
'YearB-AppDetails Current Date'!E:E,--F55,
'YearB-AppDetails Current Date'!O:O,{"ACLN","ACPT","COND"},
'YearB-AppDetails Current Date'!S:S,"&lt;&gt;ACLN",
'YearB-AppDetails Current Date'!S:S,"&lt;&gt;ACPT",
'YearB-AppDetails Current Date'!S:S,"&lt;&gt;COND",
'YearB-AppDetails Current Date'!I:I,"FALL"))), "")</f>
        <v/>
      </c>
      <c r="K55" s="73" t="str">
        <f>IFERROR(1/(1/SUM(COUNTIFS(
'YearB-AppDetails Current Date'!A:A,D55,
'YearB-AppDetails Current Date'!F:F,E55,
'YearB-AppDetails Current Date'!E:E,--F55,
'YearB-AppDetails Current Date'!R:R,"&lt;&gt;"&amp;"",
'YearB-AppDetails Current Date'!I:I,"FALL"))), "")</f>
        <v/>
      </c>
      <c r="L55" s="74" t="str" cm="1">
        <f t="array" ref="L55">IFERROR(1/(1/SUM(COUNTIFS(
'YearB-AppDetails Current Date'!A:A,D55,
'YearB-AppDetails Current Date'!F:F,E55,
'YearB-AppDetails Current Date'!E:E,--F55,
'YearB-AppDetails Current Date'!T:T,{"APEX","DENY","NTSL"},
'YearB-AppDetails Current Date'!I:I,"FALL"))), "")</f>
        <v/>
      </c>
      <c r="M55" s="74" t="str" cm="1">
        <f t="array" ref="M55">IFERROR(1/(1/SUM(COUNTIFS(
'YearB-AppDetails Current Date'!A:A,D55,
'YearB-AppDetails Current Date'!F:F,E55,
'YearB-AppDetails Current Date'!E:E,--F55,
'YearB-AppDetails Current Date'!U:U,{"CCAN","DECL"},
'YearB-AppDetails Current Date'!I:I,"FALL"))), "")</f>
        <v/>
      </c>
      <c r="N55" s="74" t="str" cm="1">
        <f t="array" ref="N55">IFERROR(1/(1/SUM(COUNTIFS(
'YearB-AppDetails Current Date'!A:A,D55,
'YearB-AppDetails Current Date'!F:F,E55,
'YearB-AppDetails Current Date'!E:E,--F55,
'YearB-AppDetails Current Date'!V:V,{"APRO","NODE"},
'YearB-AppDetails Current Date'!I:I,"FALL"))), "")</f>
        <v/>
      </c>
      <c r="O55" s="74" t="str" cm="1">
        <f t="array" ref="O55">IFERROR(1/(1/SUM(COUNTIFS(
'YearB-AppDetails Current Date'!A:A,D55,
'YearB-AppDetails Current Date'!F:F,E55,
'YearB-AppDetails Current Date'!E:E,--F55,
'YearB-AppDetails Current Date'!T:T,{"CDMT","RQMT","WAIT"},
'YearB-AppDetails Current Date'!I:I,"FALL"))), "")</f>
        <v/>
      </c>
      <c r="P55" s="74" t="str">
        <f>IFERROR(1/(1/COUNTIFS(
'YearB-AppDetails Current Date'!A:A,D55,
'YearB-AppDetails Current Date'!F:F,E55,
'YearB-AppDetails Current Date'!E:E,--F55,
'YearB-AppDetails Current Date'!Y:Y,"ENRO",
'YearB-AppDetails Current Date'!I:I,"FALL")),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HC'!D:T,12,FALSE)),
N(VLOOKUP(D56&amp;F56,'Budgeted Projections Intl HC'!D:T,13,FALSE))
)
),"")</f>
        <v/>
      </c>
      <c r="I56" s="73" t="str">
        <f>IFERROR(1/(1/COUNTIFS(
'YearB-AppDetails Current Date'!A:A,D56,
'YearB-AppDetails Current Date'!F:F,E56,
'YearB-AppDetails Current Date'!E:E,--F56,
'YearB-AppDetails Current Date'!I:I,"FALL")), "")</f>
        <v/>
      </c>
      <c r="J56" s="74" t="str" cm="1">
        <f t="array" ref="J56">IFERROR(1/(1/SUM(COUNTIFS(
'YearB-AppDetails Current Date'!A:A,D56,
'YearB-AppDetails Current Date'!F:F,E56,
'YearB-AppDetails Current Date'!E:E,--F56,
'YearB-AppDetails Current Date'!O:O,{"ACLN","ACPT","COND"},
'YearB-AppDetails Current Date'!S:S,"&lt;&gt;ACLN",
'YearB-AppDetails Current Date'!S:S,"&lt;&gt;ACPT",
'YearB-AppDetails Current Date'!S:S,"&lt;&gt;COND",
'YearB-AppDetails Current Date'!I:I,"FALL"))), "")</f>
        <v/>
      </c>
      <c r="K56" s="73" t="str">
        <f>IFERROR(1/(1/SUM(COUNTIFS(
'YearB-AppDetails Current Date'!A:A,D56,
'YearB-AppDetails Current Date'!F:F,E56,
'YearB-AppDetails Current Date'!E:E,--F56,
'YearB-AppDetails Current Date'!R:R,"&lt;&gt;"&amp;"",
'YearB-AppDetails Current Date'!I:I,"FALL"))), "")</f>
        <v/>
      </c>
      <c r="L56" s="74" t="str" cm="1">
        <f t="array" ref="L56">IFERROR(1/(1/SUM(COUNTIFS(
'YearB-AppDetails Current Date'!A:A,D56,
'YearB-AppDetails Current Date'!F:F,E56,
'YearB-AppDetails Current Date'!E:E,--F56,
'YearB-AppDetails Current Date'!T:T,{"APEX","DENY","NTSL"},
'YearB-AppDetails Current Date'!I:I,"FALL"))), "")</f>
        <v/>
      </c>
      <c r="M56" s="74" t="str" cm="1">
        <f t="array" ref="M56">IFERROR(1/(1/SUM(COUNTIFS(
'YearB-AppDetails Current Date'!A:A,D56,
'YearB-AppDetails Current Date'!F:F,E56,
'YearB-AppDetails Current Date'!E:E,--F56,
'YearB-AppDetails Current Date'!U:U,{"CCAN","DECL"},
'YearB-AppDetails Current Date'!I:I,"FALL"))), "")</f>
        <v/>
      </c>
      <c r="N56" s="74" t="str" cm="1">
        <f t="array" ref="N56">IFERROR(1/(1/SUM(COUNTIFS(
'YearB-AppDetails Current Date'!A:A,D56,
'YearB-AppDetails Current Date'!F:F,E56,
'YearB-AppDetails Current Date'!E:E,--F56,
'YearB-AppDetails Current Date'!V:V,{"APRO","NODE"},
'YearB-AppDetails Current Date'!I:I,"FALL"))), "")</f>
        <v/>
      </c>
      <c r="O56" s="74" t="str" cm="1">
        <f t="array" ref="O56">IFERROR(1/(1/SUM(COUNTIFS(
'YearB-AppDetails Current Date'!A:A,D56,
'YearB-AppDetails Current Date'!F:F,E56,
'YearB-AppDetails Current Date'!E:E,--F56,
'YearB-AppDetails Current Date'!T:T,{"CDMT","RQMT","WAIT"},
'YearB-AppDetails Current Date'!I:I,"FALL"))), "")</f>
        <v/>
      </c>
      <c r="P56" s="74" t="str">
        <f>IFERROR(1/(1/COUNTIFS(
'YearB-AppDetails Current Date'!A:A,D56,
'YearB-AppDetails Current Date'!F:F,E56,
'YearB-AppDetails Current Date'!E:E,--F56,
'YearB-AppDetails Current Date'!Y:Y,"ENRO",
'YearB-AppDetails Current Date'!I:I,"FALL")),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HC'!D:T,12,FALSE)),
N(VLOOKUP(D57&amp;F57,'Budgeted Projections Dom HC'!D:T,13,FALSE))
)
),"")</f>
        <v/>
      </c>
      <c r="I57" s="73" t="str">
        <f>IFERROR(1/(1/COUNTIFS(
'YearB-AppDetails Current Date'!A:A,D57,
'YearB-AppDetails Current Date'!F:F,E57,
'YearB-AppDetails Current Date'!E:E,--F57,
'YearB-AppDetails Current Date'!I:I,"FALL")), "")</f>
        <v/>
      </c>
      <c r="J57" s="74" t="str" cm="1">
        <f t="array" ref="J57">IFERROR(1/(1/SUM(COUNTIFS(
'YearB-AppDetails Current Date'!A:A,D57,
'YearB-AppDetails Current Date'!F:F,E57,
'YearB-AppDetails Current Date'!E:E,--F57,
'YearB-AppDetails Current Date'!O:O,{"ACLN","ACPT","COND"},
'YearB-AppDetails Current Date'!S:S,"&lt;&gt;ACLN",
'YearB-AppDetails Current Date'!S:S,"&lt;&gt;ACPT",
'YearB-AppDetails Current Date'!S:S,"&lt;&gt;COND",
'YearB-AppDetails Current Date'!I:I,"FALL"))), "")</f>
        <v/>
      </c>
      <c r="K57" s="73" t="str">
        <f>IFERROR(1/(1/SUM(COUNTIFS(
'YearB-AppDetails Current Date'!A:A,D57,
'YearB-AppDetails Current Date'!F:F,E57,
'YearB-AppDetails Current Date'!E:E,--F57,
'YearB-AppDetails Current Date'!R:R,"&lt;&gt;"&amp;"",
'YearB-AppDetails Current Date'!I:I,"FALL"))), "")</f>
        <v/>
      </c>
      <c r="L57" s="74" t="str" cm="1">
        <f t="array" ref="L57">IFERROR(1/(1/SUM(COUNTIFS(
'YearB-AppDetails Current Date'!A:A,D57,
'YearB-AppDetails Current Date'!F:F,E57,
'YearB-AppDetails Current Date'!E:E,--F57,
'YearB-AppDetails Current Date'!T:T,{"APEX","DENY","NTSL"},
'YearB-AppDetails Current Date'!I:I,"FALL"))), "")</f>
        <v/>
      </c>
      <c r="M57" s="74" t="str" cm="1">
        <f t="array" ref="M57">IFERROR(1/(1/SUM(COUNTIFS(
'YearB-AppDetails Current Date'!A:A,D57,
'YearB-AppDetails Current Date'!F:F,E57,
'YearB-AppDetails Current Date'!E:E,--F57,
'YearB-AppDetails Current Date'!U:U,{"CCAN","DECL"},
'YearB-AppDetails Current Date'!I:I,"FALL"))), "")</f>
        <v/>
      </c>
      <c r="N57" s="74" t="str" cm="1">
        <f t="array" ref="N57">IFERROR(1/(1/SUM(COUNTIFS(
'YearB-AppDetails Current Date'!A:A,D57,
'YearB-AppDetails Current Date'!F:F,E57,
'YearB-AppDetails Current Date'!E:E,--F57,
'YearB-AppDetails Current Date'!V:V,{"APRO","NODE"},
'YearB-AppDetails Current Date'!I:I,"FALL"))), "")</f>
        <v/>
      </c>
      <c r="O57" s="74" t="str" cm="1">
        <f t="array" ref="O57">IFERROR(1/(1/SUM(COUNTIFS(
'YearB-AppDetails Current Date'!A:A,D57,
'YearB-AppDetails Current Date'!F:F,E57,
'YearB-AppDetails Current Date'!E:E,--F57,
'YearB-AppDetails Current Date'!T:T,{"CDMT","RQMT","WAIT"},
'YearB-AppDetails Current Date'!I:I,"FALL"))), "")</f>
        <v/>
      </c>
      <c r="P57" s="74" t="str">
        <f>IFERROR(1/(1/COUNTIFS(
'YearB-AppDetails Current Date'!A:A,D57,
'YearB-AppDetails Current Date'!F:F,E57,
'YearB-AppDetails Current Date'!E:E,--F57,
'YearB-AppDetails Current Date'!Y:Y,"ENRO",
'YearB-AppDetails Current Date'!I:I,"FALL")),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HC'!D:T,12,FALSE)),
N(VLOOKUP(D58&amp;F58,'Budgeted Projections Intl HC'!D:T,13,FALSE))
)
),"")</f>
        <v/>
      </c>
      <c r="I58" s="73" t="str">
        <f>IFERROR(1/(1/COUNTIFS(
'YearB-AppDetails Current Date'!A:A,D58,
'YearB-AppDetails Current Date'!F:F,E58,
'YearB-AppDetails Current Date'!E:E,--F58,
'YearB-AppDetails Current Date'!I:I,"FALL")), "")</f>
        <v/>
      </c>
      <c r="J58" s="74" t="str" cm="1">
        <f t="array" ref="J58">IFERROR(1/(1/SUM(COUNTIFS(
'YearB-AppDetails Current Date'!A:A,D58,
'YearB-AppDetails Current Date'!F:F,E58,
'YearB-AppDetails Current Date'!E:E,--F58,
'YearB-AppDetails Current Date'!O:O,{"ACLN","ACPT","COND"},
'YearB-AppDetails Current Date'!S:S,"&lt;&gt;ACLN",
'YearB-AppDetails Current Date'!S:S,"&lt;&gt;ACPT",
'YearB-AppDetails Current Date'!S:S,"&lt;&gt;COND",
'YearB-AppDetails Current Date'!I:I,"FALL"))), "")</f>
        <v/>
      </c>
      <c r="K58" s="73" t="str">
        <f>IFERROR(1/(1/SUM(COUNTIFS(
'YearB-AppDetails Current Date'!A:A,D58,
'YearB-AppDetails Current Date'!F:F,E58,
'YearB-AppDetails Current Date'!E:E,--F58,
'YearB-AppDetails Current Date'!R:R,"&lt;&gt;"&amp;"",
'YearB-AppDetails Current Date'!I:I,"FALL"))), "")</f>
        <v/>
      </c>
      <c r="L58" s="74" t="str" cm="1">
        <f t="array" ref="L58">IFERROR(1/(1/SUM(COUNTIFS(
'YearB-AppDetails Current Date'!A:A,D58,
'YearB-AppDetails Current Date'!F:F,E58,
'YearB-AppDetails Current Date'!E:E,--F58,
'YearB-AppDetails Current Date'!T:T,{"APEX","DENY","NTSL"},
'YearB-AppDetails Current Date'!I:I,"FALL"))), "")</f>
        <v/>
      </c>
      <c r="M58" s="74" t="str" cm="1">
        <f t="array" ref="M58">IFERROR(1/(1/SUM(COUNTIFS(
'YearB-AppDetails Current Date'!A:A,D58,
'YearB-AppDetails Current Date'!F:F,E58,
'YearB-AppDetails Current Date'!E:E,--F58,
'YearB-AppDetails Current Date'!U:U,{"CCAN","DECL"},
'YearB-AppDetails Current Date'!I:I,"FALL"))), "")</f>
        <v/>
      </c>
      <c r="N58" s="74" t="str" cm="1">
        <f t="array" ref="N58">IFERROR(1/(1/SUM(COUNTIFS(
'YearB-AppDetails Current Date'!A:A,D58,
'YearB-AppDetails Current Date'!F:F,E58,
'YearB-AppDetails Current Date'!E:E,--F58,
'YearB-AppDetails Current Date'!V:V,{"APRO","NODE"},
'YearB-AppDetails Current Date'!I:I,"FALL"))), "")</f>
        <v/>
      </c>
      <c r="O58" s="74" t="str" cm="1">
        <f t="array" ref="O58">IFERROR(1/(1/SUM(COUNTIFS(
'YearB-AppDetails Current Date'!A:A,D58,
'YearB-AppDetails Current Date'!F:F,E58,
'YearB-AppDetails Current Date'!E:E,--F58,
'YearB-AppDetails Current Date'!T:T,{"CDMT","RQMT","WAIT"},
'YearB-AppDetails Current Date'!I:I,"FALL"))), "")</f>
        <v/>
      </c>
      <c r="P58" s="74" t="str">
        <f>IFERROR(1/(1/COUNTIFS(
'YearB-AppDetails Current Date'!A:A,D58,
'YearB-AppDetails Current Date'!F:F,E58,
'YearB-AppDetails Current Date'!E:E,--F58,
'YearB-AppDetails Current Date'!Y:Y,"ENRO",
'YearB-AppDetails Current Date'!I:I,"FALL")),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HC'!D:T,12,FALSE)),
N(VLOOKUP(D59&amp;F59,'Budgeted Projections Dom HC'!D:T,13,FALSE))
)
),"")</f>
        <v/>
      </c>
      <c r="I59" s="73" t="str">
        <f>IFERROR(1/(1/COUNTIFS(
'YearB-AppDetails Current Date'!A:A,D59,
'YearB-AppDetails Current Date'!F:F,E59,
'YearB-AppDetails Current Date'!E:E,--F59,
'YearB-AppDetails Current Date'!I:I,"FALL")), "")</f>
        <v/>
      </c>
      <c r="J59" s="74" t="str" cm="1">
        <f t="array" ref="J59">IFERROR(1/(1/SUM(COUNTIFS(
'YearB-AppDetails Current Date'!A:A,D59,
'YearB-AppDetails Current Date'!F:F,E59,
'YearB-AppDetails Current Date'!E:E,--F59,
'YearB-AppDetails Current Date'!O:O,{"ACLN","ACPT","COND"},
'YearB-AppDetails Current Date'!S:S,"&lt;&gt;ACLN",
'YearB-AppDetails Current Date'!S:S,"&lt;&gt;ACPT",
'YearB-AppDetails Current Date'!S:S,"&lt;&gt;COND",
'YearB-AppDetails Current Date'!I:I,"FALL"))), "")</f>
        <v/>
      </c>
      <c r="K59" s="73" t="str">
        <f>IFERROR(1/(1/SUM(COUNTIFS(
'YearB-AppDetails Current Date'!A:A,D59,
'YearB-AppDetails Current Date'!F:F,E59,
'YearB-AppDetails Current Date'!E:E,--F59,
'YearB-AppDetails Current Date'!R:R,"&lt;&gt;"&amp;"",
'YearB-AppDetails Current Date'!I:I,"FALL"))), "")</f>
        <v/>
      </c>
      <c r="L59" s="74" t="str" cm="1">
        <f t="array" ref="L59">IFERROR(1/(1/SUM(COUNTIFS(
'YearB-AppDetails Current Date'!A:A,D59,
'YearB-AppDetails Current Date'!F:F,E59,
'YearB-AppDetails Current Date'!E:E,--F59,
'YearB-AppDetails Current Date'!T:T,{"APEX","DENY","NTSL"},
'YearB-AppDetails Current Date'!I:I,"FALL"))), "")</f>
        <v/>
      </c>
      <c r="M59" s="74" t="str" cm="1">
        <f t="array" ref="M59">IFERROR(1/(1/SUM(COUNTIFS(
'YearB-AppDetails Current Date'!A:A,D59,
'YearB-AppDetails Current Date'!F:F,E59,
'YearB-AppDetails Current Date'!E:E,--F59,
'YearB-AppDetails Current Date'!U:U,{"CCAN","DECL"},
'YearB-AppDetails Current Date'!I:I,"FALL"))), "")</f>
        <v/>
      </c>
      <c r="N59" s="74" t="str" cm="1">
        <f t="array" ref="N59">IFERROR(1/(1/SUM(COUNTIFS(
'YearB-AppDetails Current Date'!A:A,D59,
'YearB-AppDetails Current Date'!F:F,E59,
'YearB-AppDetails Current Date'!E:E,--F59,
'YearB-AppDetails Current Date'!V:V,{"APRO","NODE"},
'YearB-AppDetails Current Date'!I:I,"FALL"))), "")</f>
        <v/>
      </c>
      <c r="O59" s="74" t="str" cm="1">
        <f t="array" ref="O59">IFERROR(1/(1/SUM(COUNTIFS(
'YearB-AppDetails Current Date'!A:A,D59,
'YearB-AppDetails Current Date'!F:F,E59,
'YearB-AppDetails Current Date'!E:E,--F59,
'YearB-AppDetails Current Date'!T:T,{"CDMT","RQMT","WAIT"},
'YearB-AppDetails Current Date'!I:I,"FALL"))), "")</f>
        <v/>
      </c>
      <c r="P59" s="74" t="str">
        <f>IFERROR(1/(1/COUNTIFS(
'YearB-AppDetails Current Date'!A:A,D59,
'YearB-AppDetails Current Date'!F:F,E59,
'YearB-AppDetails Current Date'!E:E,--F59,
'YearB-AppDetails Current Date'!Y:Y,"ENRO",
'YearB-AppDetails Current Date'!I:I,"FALL")),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HC'!D:T,12,FALSE)),
N(VLOOKUP(D60&amp;F60,'Budgeted Projections Intl HC'!D:T,13,FALSE))
)
),"")</f>
        <v/>
      </c>
      <c r="I60" s="73" t="str">
        <f>IFERROR(1/(1/COUNTIFS(
'YearB-AppDetails Current Date'!A:A,D60,
'YearB-AppDetails Current Date'!F:F,E60,
'YearB-AppDetails Current Date'!E:E,--F60,
'YearB-AppDetails Current Date'!I:I,"FALL")), "")</f>
        <v/>
      </c>
      <c r="J60" s="74" t="str" cm="1">
        <f t="array" ref="J60">IFERROR(1/(1/SUM(COUNTIFS(
'YearB-AppDetails Current Date'!A:A,D60,
'YearB-AppDetails Current Date'!F:F,E60,
'YearB-AppDetails Current Date'!E:E,--F60,
'YearB-AppDetails Current Date'!O:O,{"ACLN","ACPT","COND"},
'YearB-AppDetails Current Date'!S:S,"&lt;&gt;ACLN",
'YearB-AppDetails Current Date'!S:S,"&lt;&gt;ACPT",
'YearB-AppDetails Current Date'!S:S,"&lt;&gt;COND",
'YearB-AppDetails Current Date'!I:I,"FALL"))), "")</f>
        <v/>
      </c>
      <c r="K60" s="73" t="str">
        <f>IFERROR(1/(1/SUM(COUNTIFS(
'YearB-AppDetails Current Date'!A:A,D60,
'YearB-AppDetails Current Date'!F:F,E60,
'YearB-AppDetails Current Date'!E:E,--F60,
'YearB-AppDetails Current Date'!R:R,"&lt;&gt;"&amp;"",
'YearB-AppDetails Current Date'!I:I,"FALL"))), "")</f>
        <v/>
      </c>
      <c r="L60" s="74" t="str" cm="1">
        <f t="array" ref="L60">IFERROR(1/(1/SUM(COUNTIFS(
'YearB-AppDetails Current Date'!A:A,D60,
'YearB-AppDetails Current Date'!F:F,E60,
'YearB-AppDetails Current Date'!E:E,--F60,
'YearB-AppDetails Current Date'!T:T,{"APEX","DENY","NTSL"},
'YearB-AppDetails Current Date'!I:I,"FALL"))), "")</f>
        <v/>
      </c>
      <c r="M60" s="74" t="str" cm="1">
        <f t="array" ref="M60">IFERROR(1/(1/SUM(COUNTIFS(
'YearB-AppDetails Current Date'!A:A,D60,
'YearB-AppDetails Current Date'!F:F,E60,
'YearB-AppDetails Current Date'!E:E,--F60,
'YearB-AppDetails Current Date'!U:U,{"CCAN","DECL"},
'YearB-AppDetails Current Date'!I:I,"FALL"))), "")</f>
        <v/>
      </c>
      <c r="N60" s="74" t="str" cm="1">
        <f t="array" ref="N60">IFERROR(1/(1/SUM(COUNTIFS(
'YearB-AppDetails Current Date'!A:A,D60,
'YearB-AppDetails Current Date'!F:F,E60,
'YearB-AppDetails Current Date'!E:E,--F60,
'YearB-AppDetails Current Date'!V:V,{"APRO","NODE"},
'YearB-AppDetails Current Date'!I:I,"FALL"))), "")</f>
        <v/>
      </c>
      <c r="O60" s="74" t="str" cm="1">
        <f t="array" ref="O60">IFERROR(1/(1/SUM(COUNTIFS(
'YearB-AppDetails Current Date'!A:A,D60,
'YearB-AppDetails Current Date'!F:F,E60,
'YearB-AppDetails Current Date'!E:E,--F60,
'YearB-AppDetails Current Date'!T:T,{"CDMT","RQMT","WAIT"},
'YearB-AppDetails Current Date'!I:I,"FALL"))), "")</f>
        <v/>
      </c>
      <c r="P60" s="74" t="str">
        <f>IFERROR(1/(1/COUNTIFS(
'YearB-AppDetails Current Date'!A:A,D60,
'YearB-AppDetails Current Date'!F:F,E60,
'YearB-AppDetails Current Date'!E:E,--F60,
'YearB-AppDetails Current Date'!Y:Y,"ENRO",
'YearB-AppDetails Current Date'!I:I,"FALL")),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HC'!D:T,12,FALSE)),
N(VLOOKUP(D61&amp;F61,'Budgeted Projections Dom HC'!D:T,13,FALSE))
)
),"")</f>
        <v/>
      </c>
      <c r="I61" s="73" t="str">
        <f>IFERROR(1/(1/COUNTIFS(
'YearB-AppDetails Current Date'!A:A,D61,
'YearB-AppDetails Current Date'!F:F,E61,
'YearB-AppDetails Current Date'!E:E,--F61,
'YearB-AppDetails Current Date'!I:I,"FALL")), "")</f>
        <v/>
      </c>
      <c r="J61" s="74" t="str" cm="1">
        <f t="array" ref="J61">IFERROR(1/(1/SUM(COUNTIFS(
'YearB-AppDetails Current Date'!A:A,D61,
'YearB-AppDetails Current Date'!F:F,E61,
'YearB-AppDetails Current Date'!E:E,--F61,
'YearB-AppDetails Current Date'!O:O,{"ACLN","ACPT","COND"},
'YearB-AppDetails Current Date'!S:S,"&lt;&gt;ACLN",
'YearB-AppDetails Current Date'!S:S,"&lt;&gt;ACPT",
'YearB-AppDetails Current Date'!S:S,"&lt;&gt;COND",
'YearB-AppDetails Current Date'!I:I,"FALL"))), "")</f>
        <v/>
      </c>
      <c r="K61" s="73" t="str">
        <f>IFERROR(1/(1/SUM(COUNTIFS(
'YearB-AppDetails Current Date'!A:A,D61,
'YearB-AppDetails Current Date'!F:F,E61,
'YearB-AppDetails Current Date'!E:E,--F61,
'YearB-AppDetails Current Date'!R:R,"&lt;&gt;"&amp;"",
'YearB-AppDetails Current Date'!I:I,"FALL"))), "")</f>
        <v/>
      </c>
      <c r="L61" s="74" t="str" cm="1">
        <f t="array" ref="L61">IFERROR(1/(1/SUM(COUNTIFS(
'YearB-AppDetails Current Date'!A:A,D61,
'YearB-AppDetails Current Date'!F:F,E61,
'YearB-AppDetails Current Date'!E:E,--F61,
'YearB-AppDetails Current Date'!T:T,{"APEX","DENY","NTSL"},
'YearB-AppDetails Current Date'!I:I,"FALL"))), "")</f>
        <v/>
      </c>
      <c r="M61" s="74" t="str" cm="1">
        <f t="array" ref="M61">IFERROR(1/(1/SUM(COUNTIFS(
'YearB-AppDetails Current Date'!A:A,D61,
'YearB-AppDetails Current Date'!F:F,E61,
'YearB-AppDetails Current Date'!E:E,--F61,
'YearB-AppDetails Current Date'!U:U,{"CCAN","DECL"},
'YearB-AppDetails Current Date'!I:I,"FALL"))), "")</f>
        <v/>
      </c>
      <c r="N61" s="74" t="str" cm="1">
        <f t="array" ref="N61">IFERROR(1/(1/SUM(COUNTIFS(
'YearB-AppDetails Current Date'!A:A,D61,
'YearB-AppDetails Current Date'!F:F,E61,
'YearB-AppDetails Current Date'!E:E,--F61,
'YearB-AppDetails Current Date'!V:V,{"APRO","NODE"},
'YearB-AppDetails Current Date'!I:I,"FALL"))), "")</f>
        <v/>
      </c>
      <c r="O61" s="74" t="str" cm="1">
        <f t="array" ref="O61">IFERROR(1/(1/SUM(COUNTIFS(
'YearB-AppDetails Current Date'!A:A,D61,
'YearB-AppDetails Current Date'!F:F,E61,
'YearB-AppDetails Current Date'!E:E,--F61,
'YearB-AppDetails Current Date'!T:T,{"CDMT","RQMT","WAIT"},
'YearB-AppDetails Current Date'!I:I,"FALL"))), "")</f>
        <v/>
      </c>
      <c r="P61" s="74" t="str">
        <f>IFERROR(1/(1/COUNTIFS(
'YearB-AppDetails Current Date'!A:A,D61,
'YearB-AppDetails Current Date'!F:F,E61,
'YearB-AppDetails Current Date'!E:E,--F61,
'YearB-AppDetails Current Date'!Y:Y,"ENRO",
'YearB-AppDetails Current Date'!I:I,"FALL")),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HC'!D:T,12,FALSE)),
N(VLOOKUP(D62&amp;F62,'Budgeted Projections Intl HC'!D:T,13,FALSE))
)
),"")</f>
        <v/>
      </c>
      <c r="I62" s="73" t="str">
        <f>IFERROR(1/(1/COUNTIFS(
'YearB-AppDetails Current Date'!A:A,D62,
'YearB-AppDetails Current Date'!F:F,E62,
'YearB-AppDetails Current Date'!E:E,--F62,
'YearB-AppDetails Current Date'!I:I,"FALL")), "")</f>
        <v/>
      </c>
      <c r="J62" s="74" t="str" cm="1">
        <f t="array" ref="J62">IFERROR(1/(1/SUM(COUNTIFS(
'YearB-AppDetails Current Date'!A:A,D62,
'YearB-AppDetails Current Date'!F:F,E62,
'YearB-AppDetails Current Date'!E:E,--F62,
'YearB-AppDetails Current Date'!O:O,{"ACLN","ACPT","COND"},
'YearB-AppDetails Current Date'!S:S,"&lt;&gt;ACLN",
'YearB-AppDetails Current Date'!S:S,"&lt;&gt;ACPT",
'YearB-AppDetails Current Date'!S:S,"&lt;&gt;COND",
'YearB-AppDetails Current Date'!I:I,"FALL"))), "")</f>
        <v/>
      </c>
      <c r="K62" s="73" t="str">
        <f>IFERROR(1/(1/SUM(COUNTIFS(
'YearB-AppDetails Current Date'!A:A,D62,
'YearB-AppDetails Current Date'!F:F,E62,
'YearB-AppDetails Current Date'!E:E,--F62,
'YearB-AppDetails Current Date'!R:R,"&lt;&gt;"&amp;"",
'YearB-AppDetails Current Date'!I:I,"FALL"))), "")</f>
        <v/>
      </c>
      <c r="L62" s="74" t="str" cm="1">
        <f t="array" ref="L62">IFERROR(1/(1/SUM(COUNTIFS(
'YearB-AppDetails Current Date'!A:A,D62,
'YearB-AppDetails Current Date'!F:F,E62,
'YearB-AppDetails Current Date'!E:E,--F62,
'YearB-AppDetails Current Date'!T:T,{"APEX","DENY","NTSL"},
'YearB-AppDetails Current Date'!I:I,"FALL"))), "")</f>
        <v/>
      </c>
      <c r="M62" s="74" t="str" cm="1">
        <f t="array" ref="M62">IFERROR(1/(1/SUM(COUNTIFS(
'YearB-AppDetails Current Date'!A:A,D62,
'YearB-AppDetails Current Date'!F:F,E62,
'YearB-AppDetails Current Date'!E:E,--F62,
'YearB-AppDetails Current Date'!U:U,{"CCAN","DECL"},
'YearB-AppDetails Current Date'!I:I,"FALL"))), "")</f>
        <v/>
      </c>
      <c r="N62" s="74" t="str" cm="1">
        <f t="array" ref="N62">IFERROR(1/(1/SUM(COUNTIFS(
'YearB-AppDetails Current Date'!A:A,D62,
'YearB-AppDetails Current Date'!F:F,E62,
'YearB-AppDetails Current Date'!E:E,--F62,
'YearB-AppDetails Current Date'!V:V,{"APRO","NODE"},
'YearB-AppDetails Current Date'!I:I,"FALL"))), "")</f>
        <v/>
      </c>
      <c r="O62" s="74" t="str" cm="1">
        <f t="array" ref="O62">IFERROR(1/(1/SUM(COUNTIFS(
'YearB-AppDetails Current Date'!A:A,D62,
'YearB-AppDetails Current Date'!F:F,E62,
'YearB-AppDetails Current Date'!E:E,--F62,
'YearB-AppDetails Current Date'!T:T,{"CDMT","RQMT","WAIT"},
'YearB-AppDetails Current Date'!I:I,"FALL"))), "")</f>
        <v/>
      </c>
      <c r="P62" s="74" t="str">
        <f>IFERROR(1/(1/COUNTIFS(
'YearB-AppDetails Current Date'!A:A,D62,
'YearB-AppDetails Current Date'!F:F,E62,
'YearB-AppDetails Current Date'!E:E,--F62,
'YearB-AppDetails Current Date'!Y:Y,"ENRO",
'YearB-AppDetails Current Date'!I:I,"FALL")),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HC'!D:T,12,FALSE)),
N(VLOOKUP(D64&amp;F64,'Budgeted Projections Dom HC'!D:T,13,FALSE))
)
),"")</f>
        <v/>
      </c>
      <c r="I64" s="73" t="str">
        <f>IFERROR(1/(1/COUNTIFS(
'YearB-AppDetails Current Date'!A:A,D64,
'YearB-AppDetails Current Date'!F:F,E64,
'YearB-AppDetails Current Date'!E:E,--F64,
'YearB-AppDetails Current Date'!I:I,"FALL")), "")</f>
        <v/>
      </c>
      <c r="J64" s="74" t="str" cm="1">
        <f t="array" ref="J64">IFERROR(1/(1/SUM(COUNTIFS(
'YearB-AppDetails Current Date'!A:A,D64,
'YearB-AppDetails Current Date'!F:F,E64,
'YearB-AppDetails Current Date'!E:E,--F64,
'YearB-AppDetails Current Date'!O:O,{"ACLN","ACPT","COND"},
'YearB-AppDetails Current Date'!S:S,"&lt;&gt;ACLN",
'YearB-AppDetails Current Date'!S:S,"&lt;&gt;ACPT",
'YearB-AppDetails Current Date'!S:S,"&lt;&gt;COND",
'YearB-AppDetails Current Date'!I:I,"FALL"))), "")</f>
        <v/>
      </c>
      <c r="K64" s="73" t="str">
        <f>IFERROR(1/(1/SUM(COUNTIFS(
'YearB-AppDetails Current Date'!A:A,D64,
'YearB-AppDetails Current Date'!F:F,E64,
'YearB-AppDetails Current Date'!E:E,--F64,
'YearB-AppDetails Current Date'!R:R,"&lt;&gt;"&amp;"",
'YearB-AppDetails Current Date'!I:I,"FALL"))), "")</f>
        <v/>
      </c>
      <c r="L64" s="74" t="str" cm="1">
        <f t="array" ref="L64">IFERROR(1/(1/SUM(COUNTIFS(
'YearB-AppDetails Current Date'!A:A,D64,
'YearB-AppDetails Current Date'!F:F,E64,
'YearB-AppDetails Current Date'!E:E,--F64,
'YearB-AppDetails Current Date'!T:T,{"APEX","DENY","NTSL"},
'YearB-AppDetails Current Date'!I:I,"FALL"))), "")</f>
        <v/>
      </c>
      <c r="M64" s="74" t="str" cm="1">
        <f t="array" ref="M64">IFERROR(1/(1/SUM(COUNTIFS(
'YearB-AppDetails Current Date'!A:A,D64,
'YearB-AppDetails Current Date'!F:F,E64,
'YearB-AppDetails Current Date'!E:E,--F64,
'YearB-AppDetails Current Date'!U:U,{"CCAN","DECL"},
'YearB-AppDetails Current Date'!I:I,"FALL"))), "")</f>
        <v/>
      </c>
      <c r="N64" s="74" t="str" cm="1">
        <f t="array" ref="N64">IFERROR(1/(1/SUM(COUNTIFS(
'YearB-AppDetails Current Date'!A:A,D64,
'YearB-AppDetails Current Date'!F:F,E64,
'YearB-AppDetails Current Date'!E:E,--F64,
'YearB-AppDetails Current Date'!V:V,{"APRO","NODE"},
'YearB-AppDetails Current Date'!I:I,"FALL"))), "")</f>
        <v/>
      </c>
      <c r="O64" s="74" t="str" cm="1">
        <f t="array" ref="O64">IFERROR(1/(1/SUM(COUNTIFS(
'YearB-AppDetails Current Date'!A:A,D64,
'YearB-AppDetails Current Date'!F:F,E64,
'YearB-AppDetails Current Date'!E:E,--F64,
'YearB-AppDetails Current Date'!T:T,{"CDMT","RQMT","WAIT"},
'YearB-AppDetails Current Date'!I:I,"FALL"))), "")</f>
        <v/>
      </c>
      <c r="P64" s="74" t="str">
        <f>IFERROR(1/(1/COUNTIFS(
'YearB-AppDetails Current Date'!A:A,D64,
'YearB-AppDetails Current Date'!F:F,E64,
'YearB-AppDetails Current Date'!E:E,--F64,
'YearB-AppDetails Current Date'!Y:Y,"ENRO",
'YearB-AppDetails Current Date'!I:I,"FALL")),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HC'!D:T,12,FALSE)),
N(VLOOKUP(D65&amp;F65,'Budgeted Projections Intl HC'!D:T,13,FALSE))
)
),"")</f>
        <v/>
      </c>
      <c r="I65" s="73" t="str">
        <f>IFERROR(1/(1/COUNTIFS(
'YearB-AppDetails Current Date'!A:A,D65,
'YearB-AppDetails Current Date'!F:F,E65,
'YearB-AppDetails Current Date'!E:E,--F65,
'YearB-AppDetails Current Date'!I:I,"FALL")), "")</f>
        <v/>
      </c>
      <c r="J65" s="74" t="str" cm="1">
        <f t="array" ref="J65">IFERROR(1/(1/SUM(COUNTIFS(
'YearB-AppDetails Current Date'!A:A,D65,
'YearB-AppDetails Current Date'!F:F,E65,
'YearB-AppDetails Current Date'!E:E,--F65,
'YearB-AppDetails Current Date'!O:O,{"ACLN","ACPT","COND"},
'YearB-AppDetails Current Date'!S:S,"&lt;&gt;ACLN",
'YearB-AppDetails Current Date'!S:S,"&lt;&gt;ACPT",
'YearB-AppDetails Current Date'!S:S,"&lt;&gt;COND",
'YearB-AppDetails Current Date'!I:I,"FALL"))), "")</f>
        <v/>
      </c>
      <c r="K65" s="73" t="str">
        <f>IFERROR(1/(1/SUM(COUNTIFS(
'YearB-AppDetails Current Date'!A:A,D65,
'YearB-AppDetails Current Date'!F:F,E65,
'YearB-AppDetails Current Date'!E:E,--F65,
'YearB-AppDetails Current Date'!R:R,"&lt;&gt;"&amp;"",
'YearB-AppDetails Current Date'!I:I,"FALL"))), "")</f>
        <v/>
      </c>
      <c r="L65" s="74" t="str" cm="1">
        <f t="array" ref="L65">IFERROR(1/(1/SUM(COUNTIFS(
'YearB-AppDetails Current Date'!A:A,D65,
'YearB-AppDetails Current Date'!F:F,E65,
'YearB-AppDetails Current Date'!E:E,--F65,
'YearB-AppDetails Current Date'!T:T,{"APEX","DENY","NTSL"},
'YearB-AppDetails Current Date'!I:I,"FALL"))), "")</f>
        <v/>
      </c>
      <c r="M65" s="74" t="str" cm="1">
        <f t="array" ref="M65">IFERROR(1/(1/SUM(COUNTIFS(
'YearB-AppDetails Current Date'!A:A,D65,
'YearB-AppDetails Current Date'!F:F,E65,
'YearB-AppDetails Current Date'!E:E,--F65,
'YearB-AppDetails Current Date'!U:U,{"CCAN","DECL"},
'YearB-AppDetails Current Date'!I:I,"FALL"))), "")</f>
        <v/>
      </c>
      <c r="N65" s="74" t="str" cm="1">
        <f t="array" ref="N65">IFERROR(1/(1/SUM(COUNTIFS(
'YearB-AppDetails Current Date'!A:A,D65,
'YearB-AppDetails Current Date'!F:F,E65,
'YearB-AppDetails Current Date'!E:E,--F65,
'YearB-AppDetails Current Date'!V:V,{"APRO","NODE"},
'YearB-AppDetails Current Date'!I:I,"FALL"))), "")</f>
        <v/>
      </c>
      <c r="O65" s="74" t="str" cm="1">
        <f t="array" ref="O65">IFERROR(1/(1/SUM(COUNTIFS(
'YearB-AppDetails Current Date'!A:A,D65,
'YearB-AppDetails Current Date'!F:F,E65,
'YearB-AppDetails Current Date'!E:E,--F65,
'YearB-AppDetails Current Date'!T:T,{"CDMT","RQMT","WAIT"},
'YearB-AppDetails Current Date'!I:I,"FALL"))), "")</f>
        <v/>
      </c>
      <c r="P65" s="74" t="str">
        <f>IFERROR(1/(1/COUNTIFS(
'YearB-AppDetails Current Date'!A:A,D65,
'YearB-AppDetails Current Date'!F:F,E65,
'YearB-AppDetails Current Date'!E:E,--F65,
'YearB-AppDetails Current Date'!Y:Y,"ENRO",
'YearB-AppDetails Current Date'!I:I,"FALL")),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HC'!D:T,12,FALSE)),
N(VLOOKUP(D66&amp;F66,'Budgeted Projections Dom HC'!D:T,13,FALSE))
)
),"")</f>
        <v/>
      </c>
      <c r="I66" s="73" t="str">
        <f>IFERROR(1/(1/COUNTIFS(
'YearB-AppDetails Current Date'!A:A,D66,
'YearB-AppDetails Current Date'!F:F,E66,
'YearB-AppDetails Current Date'!E:E,--F66,
'YearB-AppDetails Current Date'!I:I,"FALL")), "")</f>
        <v/>
      </c>
      <c r="J66" s="74" t="str" cm="1">
        <f t="array" ref="J66">IFERROR(1/(1/SUM(COUNTIFS(
'YearB-AppDetails Current Date'!A:A,D66,
'YearB-AppDetails Current Date'!F:F,E66,
'YearB-AppDetails Current Date'!E:E,--F66,
'YearB-AppDetails Current Date'!O:O,{"ACLN","ACPT","COND"},
'YearB-AppDetails Current Date'!S:S,"&lt;&gt;ACLN",
'YearB-AppDetails Current Date'!S:S,"&lt;&gt;ACPT",
'YearB-AppDetails Current Date'!S:S,"&lt;&gt;COND",
'YearB-AppDetails Current Date'!I:I,"FALL"))), "")</f>
        <v/>
      </c>
      <c r="K66" s="73" t="str">
        <f>IFERROR(1/(1/SUM(COUNTIFS(
'YearB-AppDetails Current Date'!A:A,D66,
'YearB-AppDetails Current Date'!F:F,E66,
'YearB-AppDetails Current Date'!E:E,--F66,
'YearB-AppDetails Current Date'!R:R,"&lt;&gt;"&amp;"",
'YearB-AppDetails Current Date'!I:I,"FALL"))), "")</f>
        <v/>
      </c>
      <c r="L66" s="74" t="str" cm="1">
        <f t="array" ref="L66">IFERROR(1/(1/SUM(COUNTIFS(
'YearB-AppDetails Current Date'!A:A,D66,
'YearB-AppDetails Current Date'!F:F,E66,
'YearB-AppDetails Current Date'!E:E,--F66,
'YearB-AppDetails Current Date'!T:T,{"APEX","DENY","NTSL"},
'YearB-AppDetails Current Date'!I:I,"FALL"))), "")</f>
        <v/>
      </c>
      <c r="M66" s="74" t="str" cm="1">
        <f t="array" ref="M66">IFERROR(1/(1/SUM(COUNTIFS(
'YearB-AppDetails Current Date'!A:A,D66,
'YearB-AppDetails Current Date'!F:F,E66,
'YearB-AppDetails Current Date'!E:E,--F66,
'YearB-AppDetails Current Date'!U:U,{"CCAN","DECL"},
'YearB-AppDetails Current Date'!I:I,"FALL"))), "")</f>
        <v/>
      </c>
      <c r="N66" s="74" t="str" cm="1">
        <f t="array" ref="N66">IFERROR(1/(1/SUM(COUNTIFS(
'YearB-AppDetails Current Date'!A:A,D66,
'YearB-AppDetails Current Date'!F:F,E66,
'YearB-AppDetails Current Date'!E:E,--F66,
'YearB-AppDetails Current Date'!V:V,{"APRO","NODE"},
'YearB-AppDetails Current Date'!I:I,"FALL"))), "")</f>
        <v/>
      </c>
      <c r="O66" s="74" t="str" cm="1">
        <f t="array" ref="O66">IFERROR(1/(1/SUM(COUNTIFS(
'YearB-AppDetails Current Date'!A:A,D66,
'YearB-AppDetails Current Date'!F:F,E66,
'YearB-AppDetails Current Date'!E:E,--F66,
'YearB-AppDetails Current Date'!T:T,{"CDMT","RQMT","WAIT"},
'YearB-AppDetails Current Date'!I:I,"FALL"))), "")</f>
        <v/>
      </c>
      <c r="P66" s="74" t="str">
        <f>IFERROR(1/(1/COUNTIFS(
'YearB-AppDetails Current Date'!A:A,D66,
'YearB-AppDetails Current Date'!F:F,E66,
'YearB-AppDetails Current Date'!E:E,--F66,
'YearB-AppDetails Current Date'!Y:Y,"ENRO",
'YearB-AppDetails Current Date'!I:I,"FALL")),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HC'!D:T,12,FALSE)),
N(VLOOKUP(D67&amp;F67,'Budgeted Projections Intl HC'!D:T,13,FALSE))
)
),"")</f>
        <v/>
      </c>
      <c r="I67" s="73" t="str">
        <f>IFERROR(1/(1/COUNTIFS(
'YearB-AppDetails Current Date'!A:A,D67,
'YearB-AppDetails Current Date'!F:F,E67,
'YearB-AppDetails Current Date'!E:E,--F67,
'YearB-AppDetails Current Date'!I:I,"FALL")), "")</f>
        <v/>
      </c>
      <c r="J67" s="74" t="str" cm="1">
        <f t="array" ref="J67">IFERROR(1/(1/SUM(COUNTIFS(
'YearB-AppDetails Current Date'!A:A,D67,
'YearB-AppDetails Current Date'!F:F,E67,
'YearB-AppDetails Current Date'!E:E,--F67,
'YearB-AppDetails Current Date'!O:O,{"ACLN","ACPT","COND"},
'YearB-AppDetails Current Date'!S:S,"&lt;&gt;ACLN",
'YearB-AppDetails Current Date'!S:S,"&lt;&gt;ACPT",
'YearB-AppDetails Current Date'!S:S,"&lt;&gt;COND",
'YearB-AppDetails Current Date'!I:I,"FALL"))), "")</f>
        <v/>
      </c>
      <c r="K67" s="73" t="str">
        <f>IFERROR(1/(1/SUM(COUNTIFS(
'YearB-AppDetails Current Date'!A:A,D67,
'YearB-AppDetails Current Date'!F:F,E67,
'YearB-AppDetails Current Date'!E:E,--F67,
'YearB-AppDetails Current Date'!R:R,"&lt;&gt;"&amp;"",
'YearB-AppDetails Current Date'!I:I,"FALL"))), "")</f>
        <v/>
      </c>
      <c r="L67" s="74" t="str" cm="1">
        <f t="array" ref="L67">IFERROR(1/(1/SUM(COUNTIFS(
'YearB-AppDetails Current Date'!A:A,D67,
'YearB-AppDetails Current Date'!F:F,E67,
'YearB-AppDetails Current Date'!E:E,--F67,
'YearB-AppDetails Current Date'!T:T,{"APEX","DENY","NTSL"},
'YearB-AppDetails Current Date'!I:I,"FALL"))), "")</f>
        <v/>
      </c>
      <c r="M67" s="74" t="str" cm="1">
        <f t="array" ref="M67">IFERROR(1/(1/SUM(COUNTIFS(
'YearB-AppDetails Current Date'!A:A,D67,
'YearB-AppDetails Current Date'!F:F,E67,
'YearB-AppDetails Current Date'!E:E,--F67,
'YearB-AppDetails Current Date'!U:U,{"CCAN","DECL"},
'YearB-AppDetails Current Date'!I:I,"FALL"))), "")</f>
        <v/>
      </c>
      <c r="N67" s="74" t="str" cm="1">
        <f t="array" ref="N67">IFERROR(1/(1/SUM(COUNTIFS(
'YearB-AppDetails Current Date'!A:A,D67,
'YearB-AppDetails Current Date'!F:F,E67,
'YearB-AppDetails Current Date'!E:E,--F67,
'YearB-AppDetails Current Date'!V:V,{"APRO","NODE"},
'YearB-AppDetails Current Date'!I:I,"FALL"))), "")</f>
        <v/>
      </c>
      <c r="O67" s="74" t="str" cm="1">
        <f t="array" ref="O67">IFERROR(1/(1/SUM(COUNTIFS(
'YearB-AppDetails Current Date'!A:A,D67,
'YearB-AppDetails Current Date'!F:F,E67,
'YearB-AppDetails Current Date'!E:E,--F67,
'YearB-AppDetails Current Date'!T:T,{"CDMT","RQMT","WAIT"},
'YearB-AppDetails Current Date'!I:I,"FALL"))), "")</f>
        <v/>
      </c>
      <c r="P67" s="74" t="str">
        <f>IFERROR(1/(1/COUNTIFS(
'YearB-AppDetails Current Date'!A:A,D67,
'YearB-AppDetails Current Date'!F:F,E67,
'YearB-AppDetails Current Date'!E:E,--F67,
'YearB-AppDetails Current Date'!Y:Y,"ENRO",
'YearB-AppDetails Current Date'!I:I,"FALL")),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HC'!D:T,12,FALSE)),
N(VLOOKUP(D68&amp;F68,'Budgeted Projections Dom HC'!D:T,13,FALSE))
)
),"")</f>
        <v/>
      </c>
      <c r="I68" s="73" t="str">
        <f>IFERROR(1/(1/COUNTIFS(
'YearB-AppDetails Current Date'!A:A,D68,
'YearB-AppDetails Current Date'!F:F,E68,
'YearB-AppDetails Current Date'!E:E,--F68,
'YearB-AppDetails Current Date'!I:I,"FALL")), "")</f>
        <v/>
      </c>
      <c r="J68" s="74" t="str" cm="1">
        <f t="array" ref="J68">IFERROR(1/(1/SUM(COUNTIFS(
'YearB-AppDetails Current Date'!A:A,D68,
'YearB-AppDetails Current Date'!F:F,E68,
'YearB-AppDetails Current Date'!E:E,--F68,
'YearB-AppDetails Current Date'!O:O,{"ACLN","ACPT","COND"},
'YearB-AppDetails Current Date'!S:S,"&lt;&gt;ACLN",
'YearB-AppDetails Current Date'!S:S,"&lt;&gt;ACPT",
'YearB-AppDetails Current Date'!S:S,"&lt;&gt;COND",
'YearB-AppDetails Current Date'!I:I,"FALL"))), "")</f>
        <v/>
      </c>
      <c r="K68" s="73" t="str">
        <f>IFERROR(1/(1/SUM(COUNTIFS(
'YearB-AppDetails Current Date'!A:A,D68,
'YearB-AppDetails Current Date'!F:F,E68,
'YearB-AppDetails Current Date'!E:E,--F68,
'YearB-AppDetails Current Date'!R:R,"&lt;&gt;"&amp;"",
'YearB-AppDetails Current Date'!I:I,"FALL"))), "")</f>
        <v/>
      </c>
      <c r="L68" s="74" t="str" cm="1">
        <f t="array" ref="L68">IFERROR(1/(1/SUM(COUNTIFS(
'YearB-AppDetails Current Date'!A:A,D68,
'YearB-AppDetails Current Date'!F:F,E68,
'YearB-AppDetails Current Date'!E:E,--F68,
'YearB-AppDetails Current Date'!T:T,{"APEX","DENY","NTSL"},
'YearB-AppDetails Current Date'!I:I,"FALL"))), "")</f>
        <v/>
      </c>
      <c r="M68" s="74" t="str" cm="1">
        <f t="array" ref="M68">IFERROR(1/(1/SUM(COUNTIFS(
'YearB-AppDetails Current Date'!A:A,D68,
'YearB-AppDetails Current Date'!F:F,E68,
'YearB-AppDetails Current Date'!E:E,--F68,
'YearB-AppDetails Current Date'!U:U,{"CCAN","DECL"},
'YearB-AppDetails Current Date'!I:I,"FALL"))), "")</f>
        <v/>
      </c>
      <c r="N68" s="74" t="str" cm="1">
        <f t="array" ref="N68">IFERROR(1/(1/SUM(COUNTIFS(
'YearB-AppDetails Current Date'!A:A,D68,
'YearB-AppDetails Current Date'!F:F,E68,
'YearB-AppDetails Current Date'!E:E,--F68,
'YearB-AppDetails Current Date'!V:V,{"APRO","NODE"},
'YearB-AppDetails Current Date'!I:I,"FALL"))), "")</f>
        <v/>
      </c>
      <c r="O68" s="74" t="str" cm="1">
        <f t="array" ref="O68">IFERROR(1/(1/SUM(COUNTIFS(
'YearB-AppDetails Current Date'!A:A,D68,
'YearB-AppDetails Current Date'!F:F,E68,
'YearB-AppDetails Current Date'!E:E,--F68,
'YearB-AppDetails Current Date'!T:T,{"CDMT","RQMT","WAIT"},
'YearB-AppDetails Current Date'!I:I,"FALL"))), "")</f>
        <v/>
      </c>
      <c r="P68" s="74" t="str">
        <f>IFERROR(1/(1/COUNTIFS(
'YearB-AppDetails Current Date'!A:A,D68,
'YearB-AppDetails Current Date'!F:F,E68,
'YearB-AppDetails Current Date'!E:E,--F68,
'YearB-AppDetails Current Date'!Y:Y,"ENRO",
'YearB-AppDetails Current Date'!I:I,"FALL")),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HC'!D:T,12,FALSE)),
N(VLOOKUP(D69&amp;F69,'Budgeted Projections Intl HC'!D:T,13,FALSE))
)
),"")</f>
        <v/>
      </c>
      <c r="I69" s="73" t="str">
        <f>IFERROR(1/(1/COUNTIFS(
'YearB-AppDetails Current Date'!A:A,D69,
'YearB-AppDetails Current Date'!F:F,E69,
'YearB-AppDetails Current Date'!E:E,--F69,
'YearB-AppDetails Current Date'!I:I,"FALL")), "")</f>
        <v/>
      </c>
      <c r="J69" s="74" t="str" cm="1">
        <f t="array" ref="J69">IFERROR(1/(1/SUM(COUNTIFS(
'YearB-AppDetails Current Date'!A:A,D69,
'YearB-AppDetails Current Date'!F:F,E69,
'YearB-AppDetails Current Date'!E:E,--F69,
'YearB-AppDetails Current Date'!O:O,{"ACLN","ACPT","COND"},
'YearB-AppDetails Current Date'!S:S,"&lt;&gt;ACLN",
'YearB-AppDetails Current Date'!S:S,"&lt;&gt;ACPT",
'YearB-AppDetails Current Date'!S:S,"&lt;&gt;COND",
'YearB-AppDetails Current Date'!I:I,"FALL"))), "")</f>
        <v/>
      </c>
      <c r="K69" s="73" t="str">
        <f>IFERROR(1/(1/SUM(COUNTIFS(
'YearB-AppDetails Current Date'!A:A,D69,
'YearB-AppDetails Current Date'!F:F,E69,
'YearB-AppDetails Current Date'!E:E,--F69,
'YearB-AppDetails Current Date'!R:R,"&lt;&gt;"&amp;"",
'YearB-AppDetails Current Date'!I:I,"FALL"))), "")</f>
        <v/>
      </c>
      <c r="L69" s="74" t="str" cm="1">
        <f t="array" ref="L69">IFERROR(1/(1/SUM(COUNTIFS(
'YearB-AppDetails Current Date'!A:A,D69,
'YearB-AppDetails Current Date'!F:F,E69,
'YearB-AppDetails Current Date'!E:E,--F69,
'YearB-AppDetails Current Date'!T:T,{"APEX","DENY","NTSL"},
'YearB-AppDetails Current Date'!I:I,"FALL"))), "")</f>
        <v/>
      </c>
      <c r="M69" s="74" t="str" cm="1">
        <f t="array" ref="M69">IFERROR(1/(1/SUM(COUNTIFS(
'YearB-AppDetails Current Date'!A:A,D69,
'YearB-AppDetails Current Date'!F:F,E69,
'YearB-AppDetails Current Date'!E:E,--F69,
'YearB-AppDetails Current Date'!U:U,{"CCAN","DECL"},
'YearB-AppDetails Current Date'!I:I,"FALL"))), "")</f>
        <v/>
      </c>
      <c r="N69" s="74" t="str" cm="1">
        <f t="array" ref="N69">IFERROR(1/(1/SUM(COUNTIFS(
'YearB-AppDetails Current Date'!A:A,D69,
'YearB-AppDetails Current Date'!F:F,E69,
'YearB-AppDetails Current Date'!E:E,--F69,
'YearB-AppDetails Current Date'!V:V,{"APRO","NODE"},
'YearB-AppDetails Current Date'!I:I,"FALL"))), "")</f>
        <v/>
      </c>
      <c r="O69" s="74" t="str" cm="1">
        <f t="array" ref="O69">IFERROR(1/(1/SUM(COUNTIFS(
'YearB-AppDetails Current Date'!A:A,D69,
'YearB-AppDetails Current Date'!F:F,E69,
'YearB-AppDetails Current Date'!E:E,--F69,
'YearB-AppDetails Current Date'!T:T,{"CDMT","RQMT","WAIT"},
'YearB-AppDetails Current Date'!I:I,"FALL"))), "")</f>
        <v/>
      </c>
      <c r="P69" s="74" t="str">
        <f>IFERROR(1/(1/COUNTIFS(
'YearB-AppDetails Current Date'!A:A,D69,
'YearB-AppDetails Current Date'!F:F,E69,
'YearB-AppDetails Current Date'!E:E,--F69,
'YearB-AppDetails Current Date'!Y:Y,"ENRO",
'YearB-AppDetails Current Date'!I:I,"FALL")),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HC'!D:T,12,FALSE)),
N(VLOOKUP(D70&amp;F70,'Budgeted Projections Dom HC'!D:T,13,FALSE))
)
),"")</f>
        <v/>
      </c>
      <c r="I70" s="73" t="str">
        <f>IFERROR(1/(1/COUNTIFS(
'YearB-AppDetails Current Date'!A:A,D70,
'YearB-AppDetails Current Date'!F:F,E70,
'YearB-AppDetails Current Date'!E:E,--F70,
'YearB-AppDetails Current Date'!I:I,"FALL")), "")</f>
        <v/>
      </c>
      <c r="J70" s="74" t="str" cm="1">
        <f t="array" ref="J70">IFERROR(1/(1/SUM(COUNTIFS(
'YearB-AppDetails Current Date'!A:A,D70,
'YearB-AppDetails Current Date'!F:F,E70,
'YearB-AppDetails Current Date'!E:E,--F70,
'YearB-AppDetails Current Date'!O:O,{"ACLN","ACPT","COND"},
'YearB-AppDetails Current Date'!S:S,"&lt;&gt;ACLN",
'YearB-AppDetails Current Date'!S:S,"&lt;&gt;ACPT",
'YearB-AppDetails Current Date'!S:S,"&lt;&gt;COND",
'YearB-AppDetails Current Date'!I:I,"FALL"))), "")</f>
        <v/>
      </c>
      <c r="K70" s="73" t="str">
        <f>IFERROR(1/(1/SUM(COUNTIFS(
'YearB-AppDetails Current Date'!A:A,D70,
'YearB-AppDetails Current Date'!F:F,E70,
'YearB-AppDetails Current Date'!E:E,--F70,
'YearB-AppDetails Current Date'!R:R,"&lt;&gt;"&amp;"",
'YearB-AppDetails Current Date'!I:I,"FALL"))), "")</f>
        <v/>
      </c>
      <c r="L70" s="74" t="str" cm="1">
        <f t="array" ref="L70">IFERROR(1/(1/SUM(COUNTIFS(
'YearB-AppDetails Current Date'!A:A,D70,
'YearB-AppDetails Current Date'!F:F,E70,
'YearB-AppDetails Current Date'!E:E,--F70,
'YearB-AppDetails Current Date'!T:T,{"APEX","DENY","NTSL"},
'YearB-AppDetails Current Date'!I:I,"FALL"))), "")</f>
        <v/>
      </c>
      <c r="M70" s="74" t="str" cm="1">
        <f t="array" ref="M70">IFERROR(1/(1/SUM(COUNTIFS(
'YearB-AppDetails Current Date'!A:A,D70,
'YearB-AppDetails Current Date'!F:F,E70,
'YearB-AppDetails Current Date'!E:E,--F70,
'YearB-AppDetails Current Date'!U:U,{"CCAN","DECL"},
'YearB-AppDetails Current Date'!I:I,"FALL"))), "")</f>
        <v/>
      </c>
      <c r="N70" s="74" t="str" cm="1">
        <f t="array" ref="N70">IFERROR(1/(1/SUM(COUNTIFS(
'YearB-AppDetails Current Date'!A:A,D70,
'YearB-AppDetails Current Date'!F:F,E70,
'YearB-AppDetails Current Date'!E:E,--F70,
'YearB-AppDetails Current Date'!V:V,{"APRO","NODE"},
'YearB-AppDetails Current Date'!I:I,"FALL"))), "")</f>
        <v/>
      </c>
      <c r="O70" s="74" t="str" cm="1">
        <f t="array" ref="O70">IFERROR(1/(1/SUM(COUNTIFS(
'YearB-AppDetails Current Date'!A:A,D70,
'YearB-AppDetails Current Date'!F:F,E70,
'YearB-AppDetails Current Date'!E:E,--F70,
'YearB-AppDetails Current Date'!T:T,{"CDMT","RQMT","WAIT"},
'YearB-AppDetails Current Date'!I:I,"FALL"))), "")</f>
        <v/>
      </c>
      <c r="P70" s="74" t="str">
        <f>IFERROR(1/(1/COUNTIFS(
'YearB-AppDetails Current Date'!A:A,D70,
'YearB-AppDetails Current Date'!F:F,E70,
'YearB-AppDetails Current Date'!E:E,--F70,
'YearB-AppDetails Current Date'!Y:Y,"ENRO",
'YearB-AppDetails Current Date'!I:I,"FALL")),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HC'!D:T,12,FALSE)),
N(VLOOKUP(D71&amp;F71,'Budgeted Projections Intl HC'!D:T,13,FALSE))
)
),"")</f>
        <v/>
      </c>
      <c r="I71" s="73" t="str">
        <f>IFERROR(1/(1/COUNTIFS(
'YearB-AppDetails Current Date'!A:A,D71,
'YearB-AppDetails Current Date'!F:F,E71,
'YearB-AppDetails Current Date'!E:E,--F71,
'YearB-AppDetails Current Date'!I:I,"FALL")), "")</f>
        <v/>
      </c>
      <c r="J71" s="74" t="str" cm="1">
        <f t="array" ref="J71">IFERROR(1/(1/SUM(COUNTIFS(
'YearB-AppDetails Current Date'!A:A,D71,
'YearB-AppDetails Current Date'!F:F,E71,
'YearB-AppDetails Current Date'!E:E,--F71,
'YearB-AppDetails Current Date'!O:O,{"ACLN","ACPT","COND"},
'YearB-AppDetails Current Date'!S:S,"&lt;&gt;ACLN",
'YearB-AppDetails Current Date'!S:S,"&lt;&gt;ACPT",
'YearB-AppDetails Current Date'!S:S,"&lt;&gt;COND",
'YearB-AppDetails Current Date'!I:I,"FALL"))), "")</f>
        <v/>
      </c>
      <c r="K71" s="73" t="str">
        <f>IFERROR(1/(1/SUM(COUNTIFS(
'YearB-AppDetails Current Date'!A:A,D71,
'YearB-AppDetails Current Date'!F:F,E71,
'YearB-AppDetails Current Date'!E:E,--F71,
'YearB-AppDetails Current Date'!R:R,"&lt;&gt;"&amp;"",
'YearB-AppDetails Current Date'!I:I,"FALL"))), "")</f>
        <v/>
      </c>
      <c r="L71" s="74" t="str" cm="1">
        <f t="array" ref="L71">IFERROR(1/(1/SUM(COUNTIFS(
'YearB-AppDetails Current Date'!A:A,D71,
'YearB-AppDetails Current Date'!F:F,E71,
'YearB-AppDetails Current Date'!E:E,--F71,
'YearB-AppDetails Current Date'!T:T,{"APEX","DENY","NTSL"},
'YearB-AppDetails Current Date'!I:I,"FALL"))), "")</f>
        <v/>
      </c>
      <c r="M71" s="74" t="str" cm="1">
        <f t="array" ref="M71">IFERROR(1/(1/SUM(COUNTIFS(
'YearB-AppDetails Current Date'!A:A,D71,
'YearB-AppDetails Current Date'!F:F,E71,
'YearB-AppDetails Current Date'!E:E,--F71,
'YearB-AppDetails Current Date'!U:U,{"CCAN","DECL"},
'YearB-AppDetails Current Date'!I:I,"FALL"))), "")</f>
        <v/>
      </c>
      <c r="N71" s="74" t="str" cm="1">
        <f t="array" ref="N71">IFERROR(1/(1/SUM(COUNTIFS(
'YearB-AppDetails Current Date'!A:A,D71,
'YearB-AppDetails Current Date'!F:F,E71,
'YearB-AppDetails Current Date'!E:E,--F71,
'YearB-AppDetails Current Date'!V:V,{"APRO","NODE"},
'YearB-AppDetails Current Date'!I:I,"FALL"))), "")</f>
        <v/>
      </c>
      <c r="O71" s="74" t="str" cm="1">
        <f t="array" ref="O71">IFERROR(1/(1/SUM(COUNTIFS(
'YearB-AppDetails Current Date'!A:A,D71,
'YearB-AppDetails Current Date'!F:F,E71,
'YearB-AppDetails Current Date'!E:E,--F71,
'YearB-AppDetails Current Date'!T:T,{"CDMT","RQMT","WAIT"},
'YearB-AppDetails Current Date'!I:I,"FALL"))), "")</f>
        <v/>
      </c>
      <c r="P71" s="74" t="str">
        <f>IFERROR(1/(1/COUNTIFS(
'YearB-AppDetails Current Date'!A:A,D71,
'YearB-AppDetails Current Date'!F:F,E71,
'YearB-AppDetails Current Date'!E:E,--F71,
'YearB-AppDetails Current Date'!Y:Y,"ENRO",
'YearB-AppDetails Current Date'!I:I,"FALL")),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HC'!D:T,12,FALSE)),
N(VLOOKUP("BSCACN,BSCAFT,BSCAEE3",'Budgeted Projections Dom HC'!D:T,13,FALSE))
)
),"")</f>
        <v/>
      </c>
      <c r="I72" s="73" t="str" cm="1">
        <f t="array" ref="I72">IFERROR(1/(1/SUM(COUNTIFS(
'YearB-AppDetails Current Date'!A:A,TRIM(_xlfn.TEXTSPLIT(D72,{"&amp;",","})),
'YearB-AppDetails Current Date'!F:F,E72,
'YearB-AppDetails Current Date'!E:E,--F72,
'YearB-AppDetails Current Date'!I:I,"FALL"))), "")</f>
        <v/>
      </c>
      <c r="J72" s="74" t="str" cm="1">
        <f t="array" ref="J72">IFERROR(1/(1/SUM(
COUNTIFS(
'YearB-AppDetails Current Date'!A:A,"BSCN",
'YearB-AppDetails Current Date'!F:F,E72,
'YearB-AppDetails Current Date'!E:E,--F72,
'YearB-AppDetails Current Date'!O:O,{"ACLN","ACPT","COND"},
'YearB-AppDetails Current Date'!S:S,"&lt;&gt;ACLN",
'YearB-AppDetails Current Date'!S:S,"&lt;&gt;ACPT",
'YearB-AppDetails Current Date'!S:S,"&lt;&gt;COND",
'YearB-AppDetails Current Date'!I:I,"FALL")
+
COUNTIFS(
'YearB-AppDetails Current Date'!A:A,"BSCACN",
'YearB-AppDetails Current Date'!F:F,E72,
'YearB-AppDetails Current Date'!E:E,--F72,
'YearB-AppDetails Current Date'!O:O,{"ACLN","ACPT","COND"},
'YearB-AppDetails Current Date'!S:S,"&lt;&gt;ACLN",
'YearB-AppDetails Current Date'!S:S,"&lt;&gt;ACPT",
'YearB-AppDetails Current Date'!S:S,"&lt;&gt;COND",
'YearB-AppDetails Current Date'!I:I,"FALL")
+
COUNTIFS(
'YearB-AppDetails Current Date'!A:A,"BSCAFT",
'YearB-AppDetails Current Date'!F:F,E72,
'YearB-AppDetails Current Date'!E:E,--F72,
'YearB-AppDetails Current Date'!O:O,{"ACLN","ACPT","COND"},
'YearB-AppDetails Current Date'!S:S,"&lt;&gt;ACLN",
'YearB-AppDetails Current Date'!S:S,"&lt;&gt;ACPT",
'YearB-AppDetails Current Date'!S:S,"&lt;&gt;COND",
'YearB-AppDetails Current Date'!I:I,"FALL")
+
COUNTIFS(
'YearB-AppDetails Current Date'!A:A,"BSCAEE",
'YearB-AppDetails Current Date'!F:F,E72,
'YearB-AppDetails Current Date'!E:E,--F72,
'YearB-AppDetails Current Date'!O:O,{"ACLN","ACPT","COND"},
'YearB-AppDetails Current Date'!S:S,"&lt;&gt;ACLN",
'YearB-AppDetails Current Date'!S:S,"&lt;&gt;ACPT",
'YearB-AppDetails Current Date'!S:S,"&lt;&gt;COND",
'YearB-AppDetails Current Date'!I:I,"FALL")
)), "")</f>
        <v/>
      </c>
      <c r="K72" s="73" t="str">
        <f>IFERROR(1/(1/SUM(
COUNTIFS(
'YearB-AppDetails Current Date'!A:A,"BSCN",
'YearB-AppDetails Current Date'!F:F,E72,
'YearB-AppDetails Current Date'!E:E,--F72,
'YearB-AppDetails Current Date'!R:R,"&lt;&gt;"&amp;"",
'YearB-AppDetails Current Date'!I:I,"FALL")
+
COUNTIFS(
'YearB-AppDetails Current Date'!A:A,"BSCACN",
'YearB-AppDetails Current Date'!F:F,E72,
'YearB-AppDetails Current Date'!E:E,--F72,
'YearB-AppDetails Current Date'!R:R,"&lt;&gt;"&amp;"",
'YearB-AppDetails Current Date'!I:I,"FALL")
+
COUNTIFS(
'YearB-AppDetails Current Date'!A:A,"BSCAFT",
'YearB-AppDetails Current Date'!F:F,E72,
'YearB-AppDetails Current Date'!E:E,--F72,
'YearB-AppDetails Current Date'!R:R,"&lt;&gt;"&amp;"",
'YearB-AppDetails Current Date'!I:I,"FALL")
+
COUNTIFS(
'YearB-AppDetails Current Date'!A:A,"BSCAEE",
'YearB-AppDetails Current Date'!F:F,E72,
'YearB-AppDetails Current Date'!E:E,--F72,
'YearB-AppDetails Current Date'!R:R,"&lt;&gt;"&amp;"",
'YearB-AppDetails Current Date'!I:I,"FALL")
)), "")</f>
        <v/>
      </c>
      <c r="L72" s="74" t="str" cm="1">
        <f t="array" ref="L72">IFERROR(1/(1/SUM(
COUNTIFS(
'YearB-AppDetails Current Date'!A:A,"BSCN",
'YearB-AppDetails Current Date'!F:F,E72,
'YearB-AppDetails Current Date'!E:E,--F72,
'YearB-AppDetails Current Date'!T:T,{"APEX","DENY","NTSL"},
'YearB-AppDetails Current Date'!I:I,"FALL")
+
COUNTIFS(
'YearB-AppDetails Current Date'!A:A,"BSCACN",
'YearB-AppDetails Current Date'!F:F,E72,
'YearB-AppDetails Current Date'!E:E,--F72,
'YearB-AppDetails Current Date'!T:T,{"APEX","DENY","NTSL"},
'YearB-AppDetails Current Date'!I:I,"FALL")
+
COUNTIFS(
'YearB-AppDetails Current Date'!A:A,"BSCAFT",
'YearB-AppDetails Current Date'!F:F,E72,
'YearB-AppDetails Current Date'!E:E,--F72,
'YearB-AppDetails Current Date'!T:T,{"APEX","DENY","NTSL"},
'YearB-AppDetails Current Date'!I:I,"FALL")
+
COUNTIFS(
'YearB-AppDetails Current Date'!A:A,"BSCAEE",
'YearB-AppDetails Current Date'!F:F,E72,
'YearB-AppDetails Current Date'!E:E,--F72,
'YearB-AppDetails Current Date'!T:T,{"APEX","DENY","NTSL"},
'YearB-AppDetails Current Date'!I:I,"FALL")
)), "")</f>
        <v/>
      </c>
      <c r="M72" s="74" t="str" cm="1">
        <f t="array" ref="M72">IFERROR(1/(1/SUM(
COUNTIFS(
'YearB-AppDetails Current Date'!A:A,"BSCN",
'YearB-AppDetails Current Date'!F:F,E72,
'YearB-AppDetails Current Date'!E:E,--F72,
'YearB-AppDetails Current Date'!U:U,{"CCAN","DECL"},
'YearB-AppDetails Current Date'!I:I,"FALL")
+
COUNTIFS(
'YearB-AppDetails Current Date'!A:A,"BSCACN",
'YearB-AppDetails Current Date'!F:F,E72,
'YearB-AppDetails Current Date'!E:E,--F72,
'YearB-AppDetails Current Date'!U:U,{"CCAN","DECL"},
'YearB-AppDetails Current Date'!I:I,"FALL")
+
COUNTIFS(
'YearB-AppDetails Current Date'!A:A,"BSCAFT",
'YearB-AppDetails Current Date'!F:F,E72,
'YearB-AppDetails Current Date'!E:E,--F72,
'YearB-AppDetails Current Date'!U:U,{"CCAN","DECL"},
'YearB-AppDetails Current Date'!I:I,"FALL")
+
COUNTIFS(
'YearB-AppDetails Current Date'!A:A,"BSCAEE",
'YearB-AppDetails Current Date'!F:F,E72,
'YearB-AppDetails Current Date'!E:E,--F72,
'YearB-AppDetails Current Date'!U:U,{"CCAN","DECL"},
'YearB-AppDetails Current Date'!I:I,"FALL")
)), "")</f>
        <v/>
      </c>
      <c r="N72" s="74" t="str" cm="1">
        <f t="array" ref="N72">IFERROR(1/(1/SUM(
COUNTIFS(
'YearB-AppDetails Current Date'!A:A,"BSCN",
'YearB-AppDetails Current Date'!F:F,E72,
'YearB-AppDetails Current Date'!E:E,--F72,
'YearB-AppDetails Current Date'!V:V,{"APRO","NODE"},
'YearB-AppDetails Current Date'!I:I,"FALL")
+
COUNTIFS(
'YearB-AppDetails Current Date'!A:A,"BSCACN",
'YearB-AppDetails Current Date'!F:F,E72,
'YearB-AppDetails Current Date'!E:E,--F72,
'YearB-AppDetails Current Date'!V:V,{"APRO","NODE"},
'YearB-AppDetails Current Date'!I:I,"FALL")
+
COUNTIFS(
'YearB-AppDetails Current Date'!A:A,"BSCAFT",
'YearB-AppDetails Current Date'!F:F,E72,
'YearB-AppDetails Current Date'!E:E,--F72,
'YearB-AppDetails Current Date'!V:V,{"APRO","NODE"},
'YearB-AppDetails Current Date'!I:I,"FALL")
+
COUNTIFS(
'YearB-AppDetails Current Date'!A:A,"BSCAEE",
'YearB-AppDetails Current Date'!F:F,E72,
'YearB-AppDetails Current Date'!E:E,--F72,
'YearB-AppDetails Current Date'!V:V,{"APRO","NODE"},
'YearB-AppDetails Current Date'!I:I,"FALL")
)), "")</f>
        <v/>
      </c>
      <c r="O72" s="74" t="str" cm="1">
        <f t="array" ref="O72">IFERROR(1/(1/SUM(
COUNTIFS(
'YearB-AppDetails Current Date'!A:A,"BSCN",
'YearB-AppDetails Current Date'!F:F,E72,
'YearB-AppDetails Current Date'!E:E,--F72,
'YearB-AppDetails Current Date'!T:T,{"CDMT","RQMT","WAIT"},
'YearB-AppDetails Current Date'!I:I,"FALL")
+
COUNTIFS(
'YearB-AppDetails Current Date'!A:A,"BSCACN",
'YearB-AppDetails Current Date'!F:F,E72,
'YearB-AppDetails Current Date'!E:E,--F72,
'YearB-AppDetails Current Date'!T:T,{"CDMT","RQMT","WAIT"},
'YearB-AppDetails Current Date'!I:I,"FALL")
+
COUNTIFS(
'YearB-AppDetails Current Date'!A:A,"BSCAFT",
'YearB-AppDetails Current Date'!F:F,E72,
'YearB-AppDetails Current Date'!E:E,--F72,
'YearB-AppDetails Current Date'!T:T,{"CDMT","RQMT","WAIT"},
'YearB-AppDetails Current Date'!I:I,"FALL")
+
COUNTIFS(
'YearB-AppDetails Current Date'!A:A,"BSCAEE",
'YearB-AppDetails Current Date'!F:F,E72,
'YearB-AppDetails Current Date'!E:E,--F72,
'YearB-AppDetails Current Date'!T:T,{"CDMT","RQMT","WAIT"},
'YearB-AppDetails Current Date'!I:I,"FALL")
)), "")</f>
        <v/>
      </c>
      <c r="P72" s="74" t="str" cm="1">
        <f t="array" ref="P72">IFERROR(1/(1/SUM(COUNTIFS(
'YearB-AppDetails Current Date'!A:A,TRIM(_xlfn.TEXTSPLIT(D72,{"&amp;",","})),
'YearB-AppDetails Current Date'!F:F,E72,
'YearB-AppDetails Current Date'!E:E,--F72,
'YearB-AppDetails Current Date'!Y:Y,"ENRO",
'YearB-AppDetails Current Date'!I:I,"FALL"))),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HC'!D:T,12,FALSE)),
N(VLOOKUP("BSCACN,BSCAFT,BSCAEE3",'Budgeted Projections Intl HC'!D:T,13,FALSE))
)
),"")</f>
        <v/>
      </c>
      <c r="I73" s="73" t="str" cm="1">
        <f t="array" ref="I73">IFERROR(1/(1/SUM(COUNTIFS(
'YearB-AppDetails Current Date'!A:A,TRIM(_xlfn.TEXTSPLIT(D73,{"&amp;",","})),
'YearB-AppDetails Current Date'!F:F,E73,
'YearB-AppDetails Current Date'!E:E,--F73,
'YearB-AppDetails Current Date'!I:I,"FALL"))), "")</f>
        <v/>
      </c>
      <c r="J73" s="74" t="str" cm="1">
        <f t="array" ref="J73">IFERROR(1/(1/SUM(
COUNTIFS(
'YearB-AppDetails Current Date'!A:A,"BSCN",
'YearB-AppDetails Current Date'!F:F,E73,
'YearB-AppDetails Current Date'!E:E,--F73,
'YearB-AppDetails Current Date'!O:O,{"ACLN","ACPT","COND"},
'YearB-AppDetails Current Date'!S:S,"&lt;&gt;ACLN",
'YearB-AppDetails Current Date'!S:S,"&lt;&gt;ACPT",
'YearB-AppDetails Current Date'!S:S,"&lt;&gt;COND",
'YearB-AppDetails Current Date'!I:I,"FALL")
+
COUNTIFS(
'YearB-AppDetails Current Date'!A:A,"BSCACN",
'YearB-AppDetails Current Date'!F:F,E73,
'YearB-AppDetails Current Date'!E:E,--F73,
'YearB-AppDetails Current Date'!O:O,{"ACLN","ACPT","COND"},
'YearB-AppDetails Current Date'!S:S,"&lt;&gt;ACLN",
'YearB-AppDetails Current Date'!S:S,"&lt;&gt;ACPT",
'YearB-AppDetails Current Date'!S:S,"&lt;&gt;COND",
'YearB-AppDetails Current Date'!I:I,"FALL")
+
COUNTIFS(
'YearB-AppDetails Current Date'!A:A,"BSCAFT",
'YearB-AppDetails Current Date'!F:F,E73,
'YearB-AppDetails Current Date'!E:E,--F73,
'YearB-AppDetails Current Date'!O:O,{"ACLN","ACPT","COND"},
'YearB-AppDetails Current Date'!S:S,"&lt;&gt;ACLN",
'YearB-AppDetails Current Date'!S:S,"&lt;&gt;ACPT",
'YearB-AppDetails Current Date'!S:S,"&lt;&gt;COND",
'YearB-AppDetails Current Date'!I:I,"FALL")
+
COUNTIFS(
'YearB-AppDetails Current Date'!A:A,"BSCAEE",
'YearB-AppDetails Current Date'!F:F,E73,
'YearB-AppDetails Current Date'!E:E,--F73,
'YearB-AppDetails Current Date'!O:O,{"ACLN","ACPT","COND"},
'YearB-AppDetails Current Date'!S:S,"&lt;&gt;ACLN",
'YearB-AppDetails Current Date'!S:S,"&lt;&gt;ACPT",
'YearB-AppDetails Current Date'!S:S,"&lt;&gt;COND",
'YearB-AppDetails Current Date'!I:I,"FALL")
)), "")</f>
        <v/>
      </c>
      <c r="K73" s="73" t="str">
        <f>IFERROR(1/(1/SUM(
COUNTIFS(
'YearB-AppDetails Current Date'!A:A,"BSCN",
'YearB-AppDetails Current Date'!F:F,E73,
'YearB-AppDetails Current Date'!E:E,--F73,
'YearB-AppDetails Current Date'!R:R,"&lt;&gt;"&amp;"",
'YearB-AppDetails Current Date'!I:I,"FALL")
+
COUNTIFS(
'YearB-AppDetails Current Date'!A:A,"BSCACN",
'YearB-AppDetails Current Date'!F:F,E73,
'YearB-AppDetails Current Date'!E:E,--F73,
'YearB-AppDetails Current Date'!R:R,"&lt;&gt;"&amp;"",
'YearB-AppDetails Current Date'!I:I,"FALL")
+
COUNTIFS(
'YearB-AppDetails Current Date'!A:A,"BSCAFT",
'YearB-AppDetails Current Date'!F:F,E73,
'YearB-AppDetails Current Date'!E:E,--F73,
'YearB-AppDetails Current Date'!R:R,"&lt;&gt;"&amp;"",
'YearB-AppDetails Current Date'!I:I,"FALL")
+
COUNTIFS(
'YearB-AppDetails Current Date'!A:A,"BSCAEE",
'YearB-AppDetails Current Date'!F:F,E73,
'YearB-AppDetails Current Date'!E:E,--F73,
'YearB-AppDetails Current Date'!R:R,"&lt;&gt;"&amp;"",
'YearB-AppDetails Current Date'!I:I,"FALL")
)), "")</f>
        <v/>
      </c>
      <c r="L73" s="74" t="str" cm="1">
        <f t="array" ref="L73">IFERROR(1/(1/SUM(
COUNTIFS(
'YearB-AppDetails Current Date'!A:A,"BSCN",
'YearB-AppDetails Current Date'!F:F,E73,
'YearB-AppDetails Current Date'!E:E,--F73,
'YearB-AppDetails Current Date'!T:T,{"APEX","DENY","NTSL"},
'YearB-AppDetails Current Date'!I:I,"FALL")
+
COUNTIFS(
'YearB-AppDetails Current Date'!A:A,"BSCACN",
'YearB-AppDetails Current Date'!F:F,E73,
'YearB-AppDetails Current Date'!E:E,--F73,
'YearB-AppDetails Current Date'!T:T,{"APEX","DENY","NTSL"},
'YearB-AppDetails Current Date'!I:I,"FALL")
+
COUNTIFS(
'YearB-AppDetails Current Date'!A:A,"BSCAFT",
'YearB-AppDetails Current Date'!F:F,E73,
'YearB-AppDetails Current Date'!E:E,--F73,
'YearB-AppDetails Current Date'!T:T,{"APEX","DENY","NTSL"},
'YearB-AppDetails Current Date'!I:I,"FALL")
+
COUNTIFS(
'YearB-AppDetails Current Date'!A:A,"BSCAEE",
'YearB-AppDetails Current Date'!F:F,E73,
'YearB-AppDetails Current Date'!E:E,--F73,
'YearB-AppDetails Current Date'!T:T,{"APEX","DENY","NTSL"},
'YearB-AppDetails Current Date'!I:I,"FALL")
)), "")</f>
        <v/>
      </c>
      <c r="M73" s="74" t="str" cm="1">
        <f t="array" ref="M73">IFERROR(1/(1/SUM(
COUNTIFS(
'YearB-AppDetails Current Date'!A:A,"BSCN",
'YearB-AppDetails Current Date'!F:F,E73,
'YearB-AppDetails Current Date'!E:E,--F73,
'YearB-AppDetails Current Date'!U:U,{"CCAN","DECL"},
'YearB-AppDetails Current Date'!I:I,"FALL")
+
COUNTIFS(
'YearB-AppDetails Current Date'!A:A,"BSCACN",
'YearB-AppDetails Current Date'!F:F,E73,
'YearB-AppDetails Current Date'!E:E,--F73,
'YearB-AppDetails Current Date'!U:U,{"CCAN","DECL"},
'YearB-AppDetails Current Date'!I:I,"FALL")
+
COUNTIFS(
'YearB-AppDetails Current Date'!A:A,"BSCAFT",
'YearB-AppDetails Current Date'!F:F,E73,
'YearB-AppDetails Current Date'!E:E,--F73,
'YearB-AppDetails Current Date'!U:U,{"CCAN","DECL"},
'YearB-AppDetails Current Date'!I:I,"FALL")
+
COUNTIFS(
'YearB-AppDetails Current Date'!A:A,"BSCAEE",
'YearB-AppDetails Current Date'!F:F,E73,
'YearB-AppDetails Current Date'!E:E,--F73,
'YearB-AppDetails Current Date'!U:U,{"CCAN","DECL"},
'YearB-AppDetails Current Date'!I:I,"FALL")
)), "")</f>
        <v/>
      </c>
      <c r="N73" s="74" t="str" cm="1">
        <f t="array" ref="N73">IFERROR(1/(1/SUM(
COUNTIFS(
'YearB-AppDetails Current Date'!A:A,"BSCN",
'YearB-AppDetails Current Date'!F:F,E73,
'YearB-AppDetails Current Date'!E:E,--F73,
'YearB-AppDetails Current Date'!V:V,{"APRO","NODE"},
'YearB-AppDetails Current Date'!I:I,"FALL")
+
COUNTIFS(
'YearB-AppDetails Current Date'!A:A,"BSCACN",
'YearB-AppDetails Current Date'!F:F,E73,
'YearB-AppDetails Current Date'!E:E,--F73,
'YearB-AppDetails Current Date'!V:V,{"APRO","NODE"},
'YearB-AppDetails Current Date'!I:I,"FALL")
+
COUNTIFS(
'YearB-AppDetails Current Date'!A:A,"BSCAFT",
'YearB-AppDetails Current Date'!F:F,E73,
'YearB-AppDetails Current Date'!E:E,--F73,
'YearB-AppDetails Current Date'!V:V,{"APRO","NODE"},
'YearB-AppDetails Current Date'!I:I,"FALL")
+
COUNTIFS(
'YearB-AppDetails Current Date'!A:A,"BSCAEE",
'YearB-AppDetails Current Date'!F:F,E73,
'YearB-AppDetails Current Date'!E:E,--F73,
'YearB-AppDetails Current Date'!V:V,{"APRO","NODE"},
'YearB-AppDetails Current Date'!I:I,"FALL")
)), "")</f>
        <v/>
      </c>
      <c r="O73" s="74" t="str" cm="1">
        <f t="array" ref="O73">IFERROR(1/(1/SUM(
COUNTIFS(
'YearB-AppDetails Current Date'!A:A,"BSCN",
'YearB-AppDetails Current Date'!F:F,E73,
'YearB-AppDetails Current Date'!E:E,--F73,
'YearB-AppDetails Current Date'!T:T,{"CDMT","RQMT","WAIT"},
'YearB-AppDetails Current Date'!I:I,"FALL")
+
COUNTIFS(
'YearB-AppDetails Current Date'!A:A,"BSCACN",
'YearB-AppDetails Current Date'!F:F,E73,
'YearB-AppDetails Current Date'!E:E,--F73,
'YearB-AppDetails Current Date'!T:T,{"CDMT","RQMT","WAIT"},
'YearB-AppDetails Current Date'!I:I,"FALL")
+
COUNTIFS(
'YearB-AppDetails Current Date'!A:A,"BSCAFT",
'YearB-AppDetails Current Date'!F:F,E73,
'YearB-AppDetails Current Date'!E:E,--F73,
'YearB-AppDetails Current Date'!T:T,{"CDMT","RQMT","WAIT"},
'YearB-AppDetails Current Date'!I:I,"FALL")
+
COUNTIFS(
'YearB-AppDetails Current Date'!A:A,"BSCAEE",
'YearB-AppDetails Current Date'!F:F,E73,
'YearB-AppDetails Current Date'!E:E,--F73,
'YearB-AppDetails Current Date'!T:T,{"CDMT","RQMT","WAIT"},
'YearB-AppDetails Current Date'!I:I,"FALL")
)), "")</f>
        <v/>
      </c>
      <c r="P73" s="74" t="str" cm="1">
        <f t="array" ref="P73">IFERROR(1/(1/SUM(COUNTIFS(
'YearB-AppDetails Current Date'!A:A,TRIM(_xlfn.TEXTSPLIT(D73,{"&amp;",","})),
'YearB-AppDetails Current Date'!F:F,E73,
'YearB-AppDetails Current Date'!E:E,--F73,
'YearB-AppDetails Current Date'!Y:Y,"ENRO",
'YearB-AppDetails Current Date'!I:I,"FALL"))),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HC'!D:T,12,FALSE)),
N(VLOOKUP(D74&amp;F74,'Budgeted Projections Dom HC'!D:T,13,FALSE))
)
),"")</f>
        <v/>
      </c>
      <c r="I74" s="73" t="str">
        <f>IFERROR(1/(1/COUNTIFS(
'YearB-AppDetails Current Date'!A:A,D74,
'YearB-AppDetails Current Date'!F:F,E74,
'YearB-AppDetails Current Date'!E:E,--F74,
'YearB-AppDetails Current Date'!I:I,"FALL")), "")</f>
        <v/>
      </c>
      <c r="J74" s="74" t="str" cm="1">
        <f t="array" ref="J74">IFERROR(1/(1/SUM(COUNTIFS(
'YearB-AppDetails Current Date'!A:A,D74,
'YearB-AppDetails Current Date'!F:F,E74,
'YearB-AppDetails Current Date'!E:E,--F74,
'YearB-AppDetails Current Date'!O:O,{"ACLN","ACPT","COND"},
'YearB-AppDetails Current Date'!S:S,"&lt;&gt;ACLN",
'YearB-AppDetails Current Date'!S:S,"&lt;&gt;ACPT",
'YearB-AppDetails Current Date'!S:S,"&lt;&gt;COND",
'YearB-AppDetails Current Date'!I:I,"FALL"))), "")</f>
        <v/>
      </c>
      <c r="K74" s="73" t="str">
        <f>IFERROR(1/(1/SUM(COUNTIFS(
'YearB-AppDetails Current Date'!A:A,D74,
'YearB-AppDetails Current Date'!F:F,E74,
'YearB-AppDetails Current Date'!E:E,--F74,
'YearB-AppDetails Current Date'!R:R,"&lt;&gt;"&amp;"",
'YearB-AppDetails Current Date'!I:I,"FALL"))), "")</f>
        <v/>
      </c>
      <c r="L74" s="74" t="str" cm="1">
        <f t="array" ref="L74">IFERROR(1/(1/SUM(COUNTIFS(
'YearB-AppDetails Current Date'!A:A,D74,
'YearB-AppDetails Current Date'!F:F,E74,
'YearB-AppDetails Current Date'!E:E,--F74,
'YearB-AppDetails Current Date'!T:T,{"APEX","DENY","NTSL"},
'YearB-AppDetails Current Date'!I:I,"FALL"))), "")</f>
        <v/>
      </c>
      <c r="M74" s="74" t="str" cm="1">
        <f t="array" ref="M74">IFERROR(1/(1/SUM(COUNTIFS(
'YearB-AppDetails Current Date'!A:A,D74,
'YearB-AppDetails Current Date'!F:F,E74,
'YearB-AppDetails Current Date'!E:E,--F74,
'YearB-AppDetails Current Date'!U:U,{"CCAN","DECL"},
'YearB-AppDetails Current Date'!I:I,"FALL"))), "")</f>
        <v/>
      </c>
      <c r="N74" s="74" t="str" cm="1">
        <f t="array" ref="N74">IFERROR(1/(1/SUM(COUNTIFS(
'YearB-AppDetails Current Date'!A:A,D74,
'YearB-AppDetails Current Date'!F:F,E74,
'YearB-AppDetails Current Date'!E:E,--F74,
'YearB-AppDetails Current Date'!V:V,{"APRO","NODE"},
'YearB-AppDetails Current Date'!I:I,"FALL"))), "")</f>
        <v/>
      </c>
      <c r="O74" s="74" t="str" cm="1">
        <f t="array" ref="O74">IFERROR(1/(1/SUM(COUNTIFS(
'YearB-AppDetails Current Date'!A:A,D74,
'YearB-AppDetails Current Date'!F:F,E74,
'YearB-AppDetails Current Date'!E:E,--F74,
'YearB-AppDetails Current Date'!T:T,{"CDMT","RQMT","WAIT"},
'YearB-AppDetails Current Date'!I:I,"FALL"))), "")</f>
        <v/>
      </c>
      <c r="P74" s="74" t="str">
        <f>IFERROR(1/(1/COUNTIFS(
'YearB-AppDetails Current Date'!A:A,D74,
'YearB-AppDetails Current Date'!F:F,E74,
'YearB-AppDetails Current Date'!E:E,--F74,
'YearB-AppDetails Current Date'!Y:Y,"ENRO",
'YearB-AppDetails Current Date'!I:I,"FALL")),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HC'!D:T,12,FALSE)),
N(VLOOKUP(D75&amp;F75,'Budgeted Projections Intl HC'!D:T,13,FALSE))
)
),"")</f>
        <v/>
      </c>
      <c r="I75" s="73" t="str">
        <f>IFERROR(1/(1/COUNTIFS(
'YearB-AppDetails Current Date'!A:A,D75,
'YearB-AppDetails Current Date'!F:F,E75,
'YearB-AppDetails Current Date'!E:E,--F75,
'YearB-AppDetails Current Date'!I:I,"FALL")), "")</f>
        <v/>
      </c>
      <c r="J75" s="74" t="str" cm="1">
        <f t="array" ref="J75">IFERROR(1/(1/SUM(COUNTIFS(
'YearB-AppDetails Current Date'!A:A,D75,
'YearB-AppDetails Current Date'!F:F,E75,
'YearB-AppDetails Current Date'!E:E,--F75,
'YearB-AppDetails Current Date'!O:O,{"ACLN","ACPT","COND"},
'YearB-AppDetails Current Date'!S:S,"&lt;&gt;ACLN",
'YearB-AppDetails Current Date'!S:S,"&lt;&gt;ACPT",
'YearB-AppDetails Current Date'!S:S,"&lt;&gt;COND",
'YearB-AppDetails Current Date'!I:I,"FALL"))), "")</f>
        <v/>
      </c>
      <c r="K75" s="73" t="str">
        <f>IFERROR(1/(1/SUM(COUNTIFS(
'YearB-AppDetails Current Date'!A:A,D75,
'YearB-AppDetails Current Date'!F:F,E75,
'YearB-AppDetails Current Date'!E:E,--F75,
'YearB-AppDetails Current Date'!R:R,"&lt;&gt;"&amp;"",
'YearB-AppDetails Current Date'!I:I,"FALL"))), "")</f>
        <v/>
      </c>
      <c r="L75" s="74" t="str" cm="1">
        <f t="array" ref="L75">IFERROR(1/(1/SUM(COUNTIFS(
'YearB-AppDetails Current Date'!A:A,D75,
'YearB-AppDetails Current Date'!F:F,E75,
'YearB-AppDetails Current Date'!E:E,--F75,
'YearB-AppDetails Current Date'!T:T,{"APEX","DENY","NTSL"},
'YearB-AppDetails Current Date'!I:I,"FALL"))), "")</f>
        <v/>
      </c>
      <c r="M75" s="74" t="str" cm="1">
        <f t="array" ref="M75">IFERROR(1/(1/SUM(COUNTIFS(
'YearB-AppDetails Current Date'!A:A,D75,
'YearB-AppDetails Current Date'!F:F,E75,
'YearB-AppDetails Current Date'!E:E,--F75,
'YearB-AppDetails Current Date'!U:U,{"CCAN","DECL"},
'YearB-AppDetails Current Date'!I:I,"FALL"))), "")</f>
        <v/>
      </c>
      <c r="N75" s="74" t="str" cm="1">
        <f t="array" ref="N75">IFERROR(1/(1/SUM(COUNTIFS(
'YearB-AppDetails Current Date'!A:A,D75,
'YearB-AppDetails Current Date'!F:F,E75,
'YearB-AppDetails Current Date'!E:E,--F75,
'YearB-AppDetails Current Date'!V:V,{"APRO","NODE"},
'YearB-AppDetails Current Date'!I:I,"FALL"))), "")</f>
        <v/>
      </c>
      <c r="O75" s="74" t="str" cm="1">
        <f t="array" ref="O75">IFERROR(1/(1/SUM(COUNTIFS(
'YearB-AppDetails Current Date'!A:A,D75,
'YearB-AppDetails Current Date'!F:F,E75,
'YearB-AppDetails Current Date'!E:E,--F75,
'YearB-AppDetails Current Date'!T:T,{"CDMT","RQMT","WAIT"},
'YearB-AppDetails Current Date'!I:I,"FALL"))), "")</f>
        <v/>
      </c>
      <c r="P75" s="74" t="str">
        <f>IFERROR(1/(1/COUNTIFS(
'YearB-AppDetails Current Date'!A:A,D75,
'YearB-AppDetails Current Date'!F:F,E75,
'YearB-AppDetails Current Date'!E:E,--F75,
'YearB-AppDetails Current Date'!Y:Y,"ENRO",
'YearB-AppDetails Current Date'!I:I,"FALL")),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HC'!D:T,12,FALSE)),
N(VLOOKUP(D78&amp;F78,'Budgeted Projections Dom HC'!D:T,13,FALSE))
)
),"")</f>
        <v/>
      </c>
      <c r="I78" s="73" t="str">
        <f>IFERROR(1/(1/COUNTIFS(
'YearB-AppDetails Current Date'!A:A,D78,
'YearB-AppDetails Current Date'!F:F,E78,
'YearB-AppDetails Current Date'!E:E,--F78,
'YearB-AppDetails Current Date'!I:I,"FALL")), "")</f>
        <v/>
      </c>
      <c r="J78" s="74" t="str" cm="1">
        <f t="array" ref="J78">IFERROR(1/(1/SUM(COUNTIFS(
'YearB-AppDetails Current Date'!A:A,D78,
'YearB-AppDetails Current Date'!F:F,E78,
'YearB-AppDetails Current Date'!E:E,--F78,
'YearB-AppDetails Current Date'!O:O,{"ACLN","ACPT","COND"},
'YearB-AppDetails Current Date'!S:S,"&lt;&gt;ACLN",
'YearB-AppDetails Current Date'!S:S,"&lt;&gt;ACPT",
'YearB-AppDetails Current Date'!S:S,"&lt;&gt;COND",
'YearB-AppDetails Current Date'!I:I,"FALL"))), "")</f>
        <v/>
      </c>
      <c r="K78" s="73" t="str">
        <f>IFERROR(1/(1/SUM(COUNTIFS(
'YearB-AppDetails Current Date'!A:A,D78,
'YearB-AppDetails Current Date'!F:F,E78,
'YearB-AppDetails Current Date'!E:E,--F78,
'YearB-AppDetails Current Date'!R:R,"&lt;&gt;"&amp;"",
'YearB-AppDetails Current Date'!I:I,"FALL"))), "")</f>
        <v/>
      </c>
      <c r="L78" s="74" t="str" cm="1">
        <f t="array" ref="L78">IFERROR(1/(1/SUM(COUNTIFS(
'YearB-AppDetails Current Date'!A:A,D78,
'YearB-AppDetails Current Date'!F:F,E78,
'YearB-AppDetails Current Date'!E:E,--F78,
'YearB-AppDetails Current Date'!T:T,{"APEX","DENY","NTSL"},
'YearB-AppDetails Current Date'!I:I,"FALL"))), "")</f>
        <v/>
      </c>
      <c r="M78" s="74" t="str" cm="1">
        <f t="array" ref="M78">IFERROR(1/(1/SUM(COUNTIFS(
'YearB-AppDetails Current Date'!A:A,D78,
'YearB-AppDetails Current Date'!F:F,E78,
'YearB-AppDetails Current Date'!E:E,--F78,
'YearB-AppDetails Current Date'!U:U,{"CCAN","DECL"},
'YearB-AppDetails Current Date'!I:I,"FALL"))), "")</f>
        <v/>
      </c>
      <c r="N78" s="74" t="str" cm="1">
        <f t="array" ref="N78">IFERROR(1/(1/SUM(COUNTIFS(
'YearB-AppDetails Current Date'!A:A,D78,
'YearB-AppDetails Current Date'!F:F,E78,
'YearB-AppDetails Current Date'!E:E,--F78,
'YearB-AppDetails Current Date'!V:V,{"APRO","NODE"},
'YearB-AppDetails Current Date'!I:I,"FALL"))), "")</f>
        <v/>
      </c>
      <c r="O78" s="74" t="str" cm="1">
        <f t="array" ref="O78">IFERROR(1/(1/SUM(COUNTIFS(
'YearB-AppDetails Current Date'!A:A,D78,
'YearB-AppDetails Current Date'!F:F,E78,
'YearB-AppDetails Current Date'!E:E,--F78,
'YearB-AppDetails Current Date'!T:T,{"CDMT","RQMT","WAIT"},
'YearB-AppDetails Current Date'!I:I,"FALL"))), "")</f>
        <v/>
      </c>
      <c r="P78" s="74" t="str">
        <f>IFERROR(1/(1/COUNTIFS(
'YearB-AppDetails Current Date'!A:A,D78,
'YearB-AppDetails Current Date'!F:F,E78,
'YearB-AppDetails Current Date'!E:E,--F78,
'YearB-AppDetails Current Date'!Y:Y,"ENRO",
'YearB-AppDetails Current Date'!I:I,"FALL")),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HC'!D:T,12,FALSE)),
N(VLOOKUP(D79&amp;F79,'Budgeted Projections Intl HC'!D:T,13,FALSE))
)
),"")</f>
        <v/>
      </c>
      <c r="I79" s="73" t="str">
        <f>IFERROR(1/(1/COUNTIFS(
'YearB-AppDetails Current Date'!A:A,D79,
'YearB-AppDetails Current Date'!F:F,E79,
'YearB-AppDetails Current Date'!E:E,--F79,
'YearB-AppDetails Current Date'!I:I,"FALL")), "")</f>
        <v/>
      </c>
      <c r="J79" s="74" t="str" cm="1">
        <f t="array" ref="J79">IFERROR(1/(1/SUM(COUNTIFS(
'YearB-AppDetails Current Date'!A:A,D79,
'YearB-AppDetails Current Date'!F:F,E79,
'YearB-AppDetails Current Date'!E:E,--F79,
'YearB-AppDetails Current Date'!O:O,{"ACLN","ACPT","COND"},
'YearB-AppDetails Current Date'!S:S,"&lt;&gt;ACLN",
'YearB-AppDetails Current Date'!S:S,"&lt;&gt;ACPT",
'YearB-AppDetails Current Date'!S:S,"&lt;&gt;COND",
'YearB-AppDetails Current Date'!I:I,"FALL"))), "")</f>
        <v/>
      </c>
      <c r="K79" s="73" t="str">
        <f>IFERROR(1/(1/SUM(COUNTIFS(
'YearB-AppDetails Current Date'!A:A,D79,
'YearB-AppDetails Current Date'!F:F,E79,
'YearB-AppDetails Current Date'!E:E,--F79,
'YearB-AppDetails Current Date'!R:R,"&lt;&gt;"&amp;"",
'YearB-AppDetails Current Date'!I:I,"FALL"))), "")</f>
        <v/>
      </c>
      <c r="L79" s="74" t="str" cm="1">
        <f t="array" ref="L79">IFERROR(1/(1/SUM(COUNTIFS(
'YearB-AppDetails Current Date'!A:A,D79,
'YearB-AppDetails Current Date'!F:F,E79,
'YearB-AppDetails Current Date'!E:E,--F79,
'YearB-AppDetails Current Date'!T:T,{"APEX","DENY","NTSL"},
'YearB-AppDetails Current Date'!I:I,"FALL"))), "")</f>
        <v/>
      </c>
      <c r="M79" s="74" t="str" cm="1">
        <f t="array" ref="M79">IFERROR(1/(1/SUM(COUNTIFS(
'YearB-AppDetails Current Date'!A:A,D79,
'YearB-AppDetails Current Date'!F:F,E79,
'YearB-AppDetails Current Date'!E:E,--F79,
'YearB-AppDetails Current Date'!U:U,{"CCAN","DECL"},
'YearB-AppDetails Current Date'!I:I,"FALL"))), "")</f>
        <v/>
      </c>
      <c r="N79" s="74" t="str" cm="1">
        <f t="array" ref="N79">IFERROR(1/(1/SUM(COUNTIFS(
'YearB-AppDetails Current Date'!A:A,D79,
'YearB-AppDetails Current Date'!F:F,E79,
'YearB-AppDetails Current Date'!E:E,--F79,
'YearB-AppDetails Current Date'!V:V,{"APRO","NODE"},
'YearB-AppDetails Current Date'!I:I,"FALL"))), "")</f>
        <v/>
      </c>
      <c r="O79" s="74" t="str" cm="1">
        <f t="array" ref="O79">IFERROR(1/(1/SUM(COUNTIFS(
'YearB-AppDetails Current Date'!A:A,D79,
'YearB-AppDetails Current Date'!F:F,E79,
'YearB-AppDetails Current Date'!E:E,--F79,
'YearB-AppDetails Current Date'!T:T,{"CDMT","RQMT","WAIT"},
'YearB-AppDetails Current Date'!I:I,"FALL"))), "")</f>
        <v/>
      </c>
      <c r="P79" s="74" t="str">
        <f>IFERROR(1/(1/COUNTIFS(
'YearB-AppDetails Current Date'!A:A,D79,
'YearB-AppDetails Current Date'!F:F,E79,
'YearB-AppDetails Current Date'!E:E,--F79,
'YearB-AppDetails Current Date'!Y:Y,"ENRO",
'YearB-AppDetails Current Date'!I:I,"FALL")),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HC'!D:T,12,FALSE)),
N(VLOOKUP(D80&amp;F80,'Budgeted Projections Dom HC'!D:T,13,FALSE))
)
),"")</f>
        <v/>
      </c>
      <c r="I80" s="73" t="str">
        <f>IFERROR(1/(1/COUNTIFS(
'YearB-AppDetails Current Date'!A:A,D80,
'YearB-AppDetails Current Date'!F:F,E80,
'YearB-AppDetails Current Date'!E:E,--F80,
'YearB-AppDetails Current Date'!I:I,"FALL")), "")</f>
        <v/>
      </c>
      <c r="J80" s="74" t="str" cm="1">
        <f t="array" ref="J80">IFERROR(1/(1/SUM(COUNTIFS(
'YearB-AppDetails Current Date'!A:A,D80,
'YearB-AppDetails Current Date'!F:F,E80,
'YearB-AppDetails Current Date'!E:E,--F80,
'YearB-AppDetails Current Date'!O:O,{"ACLN","ACPT","COND"},
'YearB-AppDetails Current Date'!S:S,"&lt;&gt;ACLN",
'YearB-AppDetails Current Date'!S:S,"&lt;&gt;ACPT",
'YearB-AppDetails Current Date'!S:S,"&lt;&gt;COND",
'YearB-AppDetails Current Date'!I:I,"FALL"))), "")</f>
        <v/>
      </c>
      <c r="K80" s="73" t="str">
        <f>IFERROR(1/(1/SUM(COUNTIFS(
'YearB-AppDetails Current Date'!A:A,D80,
'YearB-AppDetails Current Date'!F:F,E80,
'YearB-AppDetails Current Date'!E:E,--F80,
'YearB-AppDetails Current Date'!R:R,"&lt;&gt;"&amp;"",
'YearB-AppDetails Current Date'!I:I,"FALL"))), "")</f>
        <v/>
      </c>
      <c r="L80" s="74" t="str" cm="1">
        <f t="array" ref="L80">IFERROR(1/(1/SUM(COUNTIFS(
'YearB-AppDetails Current Date'!A:A,D80,
'YearB-AppDetails Current Date'!F:F,E80,
'YearB-AppDetails Current Date'!E:E,--F80,
'YearB-AppDetails Current Date'!T:T,{"APEX","DENY","NTSL"},
'YearB-AppDetails Current Date'!I:I,"FALL"))), "")</f>
        <v/>
      </c>
      <c r="M80" s="74" t="str" cm="1">
        <f t="array" ref="M80">IFERROR(1/(1/SUM(COUNTIFS(
'YearB-AppDetails Current Date'!A:A,D80,
'YearB-AppDetails Current Date'!F:F,E80,
'YearB-AppDetails Current Date'!E:E,--F80,
'YearB-AppDetails Current Date'!U:U,{"CCAN","DECL"},
'YearB-AppDetails Current Date'!I:I,"FALL"))), "")</f>
        <v/>
      </c>
      <c r="N80" s="74" t="str" cm="1">
        <f t="array" ref="N80">IFERROR(1/(1/SUM(COUNTIFS(
'YearB-AppDetails Current Date'!A:A,D80,
'YearB-AppDetails Current Date'!F:F,E80,
'YearB-AppDetails Current Date'!E:E,--F80,
'YearB-AppDetails Current Date'!V:V,{"APRO","NODE"},
'YearB-AppDetails Current Date'!I:I,"FALL"))), "")</f>
        <v/>
      </c>
      <c r="O80" s="74" t="str" cm="1">
        <f t="array" ref="O80">IFERROR(1/(1/SUM(COUNTIFS(
'YearB-AppDetails Current Date'!A:A,D80,
'YearB-AppDetails Current Date'!F:F,E80,
'YearB-AppDetails Current Date'!E:E,--F80,
'YearB-AppDetails Current Date'!T:T,{"CDMT","RQMT","WAIT"},
'YearB-AppDetails Current Date'!I:I,"FALL"))), "")</f>
        <v/>
      </c>
      <c r="P80" s="74" t="str">
        <f>IFERROR(1/(1/COUNTIFS(
'YearB-AppDetails Current Date'!A:A,D80,
'YearB-AppDetails Current Date'!F:F,E80,
'YearB-AppDetails Current Date'!E:E,--F80,
'YearB-AppDetails Current Date'!Y:Y,"ENRO",
'YearB-AppDetails Current Date'!I:I,"FALL")),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HC'!D:T,12,FALSE)),
N(VLOOKUP(D81&amp;F81,'Budgeted Projections Intl HC'!D:T,13,FALSE))
)
),"")</f>
        <v/>
      </c>
      <c r="I81" s="73" t="str">
        <f>IFERROR(1/(1/COUNTIFS(
'YearB-AppDetails Current Date'!A:A,D81,
'YearB-AppDetails Current Date'!F:F,E81,
'YearB-AppDetails Current Date'!E:E,--F81,
'YearB-AppDetails Current Date'!I:I,"FALL")), "")</f>
        <v/>
      </c>
      <c r="J81" s="74" t="str" cm="1">
        <f t="array" ref="J81">IFERROR(1/(1/SUM(COUNTIFS(
'YearB-AppDetails Current Date'!A:A,D81,
'YearB-AppDetails Current Date'!F:F,E81,
'YearB-AppDetails Current Date'!E:E,--F81,
'YearB-AppDetails Current Date'!O:O,{"ACLN","ACPT","COND"},
'YearB-AppDetails Current Date'!S:S,"&lt;&gt;ACLN",
'YearB-AppDetails Current Date'!S:S,"&lt;&gt;ACPT",
'YearB-AppDetails Current Date'!S:S,"&lt;&gt;COND",
'YearB-AppDetails Current Date'!I:I,"FALL"))), "")</f>
        <v/>
      </c>
      <c r="K81" s="73" t="str">
        <f>IFERROR(1/(1/SUM(COUNTIFS(
'YearB-AppDetails Current Date'!A:A,D81,
'YearB-AppDetails Current Date'!F:F,E81,
'YearB-AppDetails Current Date'!E:E,--F81,
'YearB-AppDetails Current Date'!R:R,"&lt;&gt;"&amp;"",
'YearB-AppDetails Current Date'!I:I,"FALL"))), "")</f>
        <v/>
      </c>
      <c r="L81" s="74" t="str" cm="1">
        <f t="array" ref="L81">IFERROR(1/(1/SUM(COUNTIFS(
'YearB-AppDetails Current Date'!A:A,D81,
'YearB-AppDetails Current Date'!F:F,E81,
'YearB-AppDetails Current Date'!E:E,--F81,
'YearB-AppDetails Current Date'!T:T,{"APEX","DENY","NTSL"},
'YearB-AppDetails Current Date'!I:I,"FALL"))), "")</f>
        <v/>
      </c>
      <c r="M81" s="74" t="str" cm="1">
        <f t="array" ref="M81">IFERROR(1/(1/SUM(COUNTIFS(
'YearB-AppDetails Current Date'!A:A,D81,
'YearB-AppDetails Current Date'!F:F,E81,
'YearB-AppDetails Current Date'!E:E,--F81,
'YearB-AppDetails Current Date'!U:U,{"CCAN","DECL"},
'YearB-AppDetails Current Date'!I:I,"FALL"))), "")</f>
        <v/>
      </c>
      <c r="N81" s="74" t="str" cm="1">
        <f t="array" ref="N81">IFERROR(1/(1/SUM(COUNTIFS(
'YearB-AppDetails Current Date'!A:A,D81,
'YearB-AppDetails Current Date'!F:F,E81,
'YearB-AppDetails Current Date'!E:E,--F81,
'YearB-AppDetails Current Date'!V:V,{"APRO","NODE"},
'YearB-AppDetails Current Date'!I:I,"FALL"))), "")</f>
        <v/>
      </c>
      <c r="O81" s="74" t="str" cm="1">
        <f t="array" ref="O81">IFERROR(1/(1/SUM(COUNTIFS(
'YearB-AppDetails Current Date'!A:A,D81,
'YearB-AppDetails Current Date'!F:F,E81,
'YearB-AppDetails Current Date'!E:E,--F81,
'YearB-AppDetails Current Date'!T:T,{"CDMT","RQMT","WAIT"},
'YearB-AppDetails Current Date'!I:I,"FALL"))), "")</f>
        <v/>
      </c>
      <c r="P81" s="74" t="str">
        <f>IFERROR(1/(1/COUNTIFS(
'YearB-AppDetails Current Date'!A:A,D81,
'YearB-AppDetails Current Date'!F:F,E81,
'YearB-AppDetails Current Date'!E:E,--F81,
'YearB-AppDetails Current Date'!Y:Y,"ENRO",
'YearB-AppDetails Current Date'!I:I,"FALL")),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HC'!D:T,12,FALSE)),
N(VLOOKUP(D82&amp;F82,'Budgeted Projections Dom HC'!D:T,13,FALSE))
)
),"")</f>
        <v/>
      </c>
      <c r="I82" s="73" t="str">
        <f>IFERROR(1/(1/COUNTIFS(
'YearB-AppDetails Current Date'!A:A,D82,
'YearB-AppDetails Current Date'!F:F,E82,
'YearB-AppDetails Current Date'!E:E,--F82,
'YearB-AppDetails Current Date'!I:I,"FALL")), "")</f>
        <v/>
      </c>
      <c r="J82" s="74" t="str" cm="1">
        <f t="array" ref="J82">IFERROR(1/(1/SUM(COUNTIFS(
'YearB-AppDetails Current Date'!A:A,D82,
'YearB-AppDetails Current Date'!F:F,E82,
'YearB-AppDetails Current Date'!E:E,--F82,
'YearB-AppDetails Current Date'!O:O,{"ACLN","ACPT","COND"},
'YearB-AppDetails Current Date'!S:S,"&lt;&gt;ACLN",
'YearB-AppDetails Current Date'!S:S,"&lt;&gt;ACPT",
'YearB-AppDetails Current Date'!S:S,"&lt;&gt;COND",
'YearB-AppDetails Current Date'!I:I,"FALL"))), "")</f>
        <v/>
      </c>
      <c r="K82" s="73" t="str">
        <f>IFERROR(1/(1/SUM(COUNTIFS(
'YearB-AppDetails Current Date'!A:A,D82,
'YearB-AppDetails Current Date'!F:F,E82,
'YearB-AppDetails Current Date'!E:E,--F82,
'YearB-AppDetails Current Date'!R:R,"&lt;&gt;"&amp;"",
'YearB-AppDetails Current Date'!I:I,"FALL"))), "")</f>
        <v/>
      </c>
      <c r="L82" s="74" t="str" cm="1">
        <f t="array" ref="L82">IFERROR(1/(1/SUM(COUNTIFS(
'YearB-AppDetails Current Date'!A:A,D82,
'YearB-AppDetails Current Date'!F:F,E82,
'YearB-AppDetails Current Date'!E:E,--F82,
'YearB-AppDetails Current Date'!T:T,{"APEX","DENY","NTSL"},
'YearB-AppDetails Current Date'!I:I,"FALL"))), "")</f>
        <v/>
      </c>
      <c r="M82" s="74" t="str" cm="1">
        <f t="array" ref="M82">IFERROR(1/(1/SUM(COUNTIFS(
'YearB-AppDetails Current Date'!A:A,D82,
'YearB-AppDetails Current Date'!F:F,E82,
'YearB-AppDetails Current Date'!E:E,--F82,
'YearB-AppDetails Current Date'!U:U,{"CCAN","DECL"},
'YearB-AppDetails Current Date'!I:I,"FALL"))), "")</f>
        <v/>
      </c>
      <c r="N82" s="74" t="str" cm="1">
        <f t="array" ref="N82">IFERROR(1/(1/SUM(COUNTIFS(
'YearB-AppDetails Current Date'!A:A,D82,
'YearB-AppDetails Current Date'!F:F,E82,
'YearB-AppDetails Current Date'!E:E,--F82,
'YearB-AppDetails Current Date'!V:V,{"APRO","NODE"},
'YearB-AppDetails Current Date'!I:I,"FALL"))), "")</f>
        <v/>
      </c>
      <c r="O82" s="74" t="str" cm="1">
        <f t="array" ref="O82">IFERROR(1/(1/SUM(COUNTIFS(
'YearB-AppDetails Current Date'!A:A,D82,
'YearB-AppDetails Current Date'!F:F,E82,
'YearB-AppDetails Current Date'!E:E,--F82,
'YearB-AppDetails Current Date'!T:T,{"CDMT","RQMT","WAIT"},
'YearB-AppDetails Current Date'!I:I,"FALL"))), "")</f>
        <v/>
      </c>
      <c r="P82" s="74" t="str">
        <f>IFERROR(1/(1/COUNTIFS(
'YearB-AppDetails Current Date'!A:A,D82,
'YearB-AppDetails Current Date'!F:F,E82,
'YearB-AppDetails Current Date'!E:E,--F82,
'YearB-AppDetails Current Date'!Y:Y,"ENRO",
'YearB-AppDetails Current Date'!I:I,"FALL")),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HC'!D:T,12,FALSE)),
N(VLOOKUP(D83&amp;F83,'Budgeted Projections Intl HC'!D:T,13,FALSE))
)
),"")</f>
        <v/>
      </c>
      <c r="I83" s="73" t="str">
        <f>IFERROR(1/(1/COUNTIFS(
'YearB-AppDetails Current Date'!A:A,D83,
'YearB-AppDetails Current Date'!F:F,E83,
'YearB-AppDetails Current Date'!E:E,--F83,
'YearB-AppDetails Current Date'!I:I,"FALL")), "")</f>
        <v/>
      </c>
      <c r="J83" s="74" t="str" cm="1">
        <f t="array" ref="J83">IFERROR(1/(1/SUM(COUNTIFS(
'YearB-AppDetails Current Date'!A:A,D83,
'YearB-AppDetails Current Date'!F:F,E83,
'YearB-AppDetails Current Date'!E:E,--F83,
'YearB-AppDetails Current Date'!O:O,{"ACLN","ACPT","COND"},
'YearB-AppDetails Current Date'!S:S,"&lt;&gt;ACLN",
'YearB-AppDetails Current Date'!S:S,"&lt;&gt;ACPT",
'YearB-AppDetails Current Date'!S:S,"&lt;&gt;COND",
'YearB-AppDetails Current Date'!I:I,"FALL"))), "")</f>
        <v/>
      </c>
      <c r="K83" s="73" t="str">
        <f>IFERROR(1/(1/SUM(COUNTIFS(
'YearB-AppDetails Current Date'!A:A,D83,
'YearB-AppDetails Current Date'!F:F,E83,
'YearB-AppDetails Current Date'!E:E,--F83,
'YearB-AppDetails Current Date'!R:R,"&lt;&gt;"&amp;"",
'YearB-AppDetails Current Date'!I:I,"FALL"))), "")</f>
        <v/>
      </c>
      <c r="L83" s="74" t="str" cm="1">
        <f t="array" ref="L83">IFERROR(1/(1/SUM(COUNTIFS(
'YearB-AppDetails Current Date'!A:A,D83,
'YearB-AppDetails Current Date'!F:F,E83,
'YearB-AppDetails Current Date'!E:E,--F83,
'YearB-AppDetails Current Date'!T:T,{"APEX","DENY","NTSL"},
'YearB-AppDetails Current Date'!I:I,"FALL"))), "")</f>
        <v/>
      </c>
      <c r="M83" s="74" t="str" cm="1">
        <f t="array" ref="M83">IFERROR(1/(1/SUM(COUNTIFS(
'YearB-AppDetails Current Date'!A:A,D83,
'YearB-AppDetails Current Date'!F:F,E83,
'YearB-AppDetails Current Date'!E:E,--F83,
'YearB-AppDetails Current Date'!U:U,{"CCAN","DECL"},
'YearB-AppDetails Current Date'!I:I,"FALL"))), "")</f>
        <v/>
      </c>
      <c r="N83" s="74" t="str" cm="1">
        <f t="array" ref="N83">IFERROR(1/(1/SUM(COUNTIFS(
'YearB-AppDetails Current Date'!A:A,D83,
'YearB-AppDetails Current Date'!F:F,E83,
'YearB-AppDetails Current Date'!E:E,--F83,
'YearB-AppDetails Current Date'!V:V,{"APRO","NODE"},
'YearB-AppDetails Current Date'!I:I,"FALL"))), "")</f>
        <v/>
      </c>
      <c r="O83" s="74" t="str" cm="1">
        <f t="array" ref="O83">IFERROR(1/(1/SUM(COUNTIFS(
'YearB-AppDetails Current Date'!A:A,D83,
'YearB-AppDetails Current Date'!F:F,E83,
'YearB-AppDetails Current Date'!E:E,--F83,
'YearB-AppDetails Current Date'!T:T,{"CDMT","RQMT","WAIT"},
'YearB-AppDetails Current Date'!I:I,"FALL"))), "")</f>
        <v/>
      </c>
      <c r="P83" s="74" t="str">
        <f>IFERROR(1/(1/COUNTIFS(
'YearB-AppDetails Current Date'!A:A,D83,
'YearB-AppDetails Current Date'!F:F,E83,
'YearB-AppDetails Current Date'!E:E,--F83,
'YearB-AppDetails Current Date'!Y:Y,"ENRO",
'YearB-AppDetails Current Date'!I:I,"FALL")),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HC'!D:T,12,FALSE)),
N(VLOOKUP(D84&amp;F84,'Budgeted Projections Dom HC'!D:T,13,FALSE))
)
),"")</f>
        <v/>
      </c>
      <c r="I84" s="73" t="str">
        <f>IFERROR(1/(1/COUNTIFS(
'YearB-AppDetails Current Date'!A:A,D84,
'YearB-AppDetails Current Date'!F:F,E84,
'YearB-AppDetails Current Date'!E:E,--F84,
'YearB-AppDetails Current Date'!I:I,"FALL")), "")</f>
        <v/>
      </c>
      <c r="J84" s="74" t="str" cm="1">
        <f t="array" ref="J84">IFERROR(1/(1/SUM(COUNTIFS(
'YearB-AppDetails Current Date'!A:A,D84,
'YearB-AppDetails Current Date'!F:F,E84,
'YearB-AppDetails Current Date'!E:E,--F84,
'YearB-AppDetails Current Date'!O:O,{"ACLN","ACPT","COND"},
'YearB-AppDetails Current Date'!S:S,"&lt;&gt;ACLN",
'YearB-AppDetails Current Date'!S:S,"&lt;&gt;ACPT",
'YearB-AppDetails Current Date'!S:S,"&lt;&gt;COND",
'YearB-AppDetails Current Date'!I:I,"FALL"))), "")</f>
        <v/>
      </c>
      <c r="K84" s="73" t="str">
        <f>IFERROR(1/(1/SUM(COUNTIFS(
'YearB-AppDetails Current Date'!A:A,D84,
'YearB-AppDetails Current Date'!F:F,E84,
'YearB-AppDetails Current Date'!E:E,--F84,
'YearB-AppDetails Current Date'!R:R,"&lt;&gt;"&amp;"",
'YearB-AppDetails Current Date'!I:I,"FALL"))), "")</f>
        <v/>
      </c>
      <c r="L84" s="74" t="str" cm="1">
        <f t="array" ref="L84">IFERROR(1/(1/SUM(COUNTIFS(
'YearB-AppDetails Current Date'!A:A,D84,
'YearB-AppDetails Current Date'!F:F,E84,
'YearB-AppDetails Current Date'!E:E,--F84,
'YearB-AppDetails Current Date'!T:T,{"APEX","DENY","NTSL"},
'YearB-AppDetails Current Date'!I:I,"FALL"))), "")</f>
        <v/>
      </c>
      <c r="M84" s="74" t="str" cm="1">
        <f t="array" ref="M84">IFERROR(1/(1/SUM(COUNTIFS(
'YearB-AppDetails Current Date'!A:A,D84,
'YearB-AppDetails Current Date'!F:F,E84,
'YearB-AppDetails Current Date'!E:E,--F84,
'YearB-AppDetails Current Date'!U:U,{"CCAN","DECL"},
'YearB-AppDetails Current Date'!I:I,"FALL"))), "")</f>
        <v/>
      </c>
      <c r="N84" s="74" t="str" cm="1">
        <f t="array" ref="N84">IFERROR(1/(1/SUM(COUNTIFS(
'YearB-AppDetails Current Date'!A:A,D84,
'YearB-AppDetails Current Date'!F:F,E84,
'YearB-AppDetails Current Date'!E:E,--F84,
'YearB-AppDetails Current Date'!V:V,{"APRO","NODE"},
'YearB-AppDetails Current Date'!I:I,"FALL"))), "")</f>
        <v/>
      </c>
      <c r="O84" s="74" t="str" cm="1">
        <f t="array" ref="O84">IFERROR(1/(1/SUM(COUNTIFS(
'YearB-AppDetails Current Date'!A:A,D84,
'YearB-AppDetails Current Date'!F:F,E84,
'YearB-AppDetails Current Date'!E:E,--F84,
'YearB-AppDetails Current Date'!T:T,{"CDMT","RQMT","WAIT"},
'YearB-AppDetails Current Date'!I:I,"FALL"))), "")</f>
        <v/>
      </c>
      <c r="P84" s="74" t="str">
        <f>IFERROR(1/(1/COUNTIFS(
'YearB-AppDetails Current Date'!A:A,D84,
'YearB-AppDetails Current Date'!F:F,E84,
'YearB-AppDetails Current Date'!E:E,--F84,
'YearB-AppDetails Current Date'!Y:Y,"ENRO",
'YearB-AppDetails Current Date'!I:I,"FALL")),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HC'!D:T,12,FALSE)),
N(VLOOKUP(D85&amp;F85,'Budgeted Projections Intl HC'!D:T,13,FALSE))
)
),"")</f>
        <v/>
      </c>
      <c r="I85" s="73" t="str">
        <f>IFERROR(1/(1/COUNTIFS(
'YearB-AppDetails Current Date'!A:A,D85,
'YearB-AppDetails Current Date'!F:F,E85,
'YearB-AppDetails Current Date'!E:E,--F85,
'YearB-AppDetails Current Date'!I:I,"FALL")), "")</f>
        <v/>
      </c>
      <c r="J85" s="74" t="str" cm="1">
        <f t="array" ref="J85">IFERROR(1/(1/SUM(COUNTIFS(
'YearB-AppDetails Current Date'!A:A,D85,
'YearB-AppDetails Current Date'!F:F,E85,
'YearB-AppDetails Current Date'!E:E,--F85,
'YearB-AppDetails Current Date'!O:O,{"ACLN","ACPT","COND"},
'YearB-AppDetails Current Date'!S:S,"&lt;&gt;ACLN",
'YearB-AppDetails Current Date'!S:S,"&lt;&gt;ACPT",
'YearB-AppDetails Current Date'!S:S,"&lt;&gt;COND",
'YearB-AppDetails Current Date'!I:I,"FALL"))), "")</f>
        <v/>
      </c>
      <c r="K85" s="73" t="str">
        <f>IFERROR(1/(1/SUM(COUNTIFS(
'YearB-AppDetails Current Date'!A:A,D85,
'YearB-AppDetails Current Date'!F:F,E85,
'YearB-AppDetails Current Date'!E:E,--F85,
'YearB-AppDetails Current Date'!R:R,"&lt;&gt;"&amp;"",
'YearB-AppDetails Current Date'!I:I,"FALL"))), "")</f>
        <v/>
      </c>
      <c r="L85" s="74" t="str" cm="1">
        <f t="array" ref="L85">IFERROR(1/(1/SUM(COUNTIFS(
'YearB-AppDetails Current Date'!A:A,D85,
'YearB-AppDetails Current Date'!F:F,E85,
'YearB-AppDetails Current Date'!E:E,--F85,
'YearB-AppDetails Current Date'!T:T,{"APEX","DENY","NTSL"},
'YearB-AppDetails Current Date'!I:I,"FALL"))), "")</f>
        <v/>
      </c>
      <c r="M85" s="74" t="str" cm="1">
        <f t="array" ref="M85">IFERROR(1/(1/SUM(COUNTIFS(
'YearB-AppDetails Current Date'!A:A,D85,
'YearB-AppDetails Current Date'!F:F,E85,
'YearB-AppDetails Current Date'!E:E,--F85,
'YearB-AppDetails Current Date'!U:U,{"CCAN","DECL"},
'YearB-AppDetails Current Date'!I:I,"FALL"))), "")</f>
        <v/>
      </c>
      <c r="N85" s="74" t="str" cm="1">
        <f t="array" ref="N85">IFERROR(1/(1/SUM(COUNTIFS(
'YearB-AppDetails Current Date'!A:A,D85,
'YearB-AppDetails Current Date'!F:F,E85,
'YearB-AppDetails Current Date'!E:E,--F85,
'YearB-AppDetails Current Date'!V:V,{"APRO","NODE"},
'YearB-AppDetails Current Date'!I:I,"FALL"))), "")</f>
        <v/>
      </c>
      <c r="O85" s="74" t="str" cm="1">
        <f t="array" ref="O85">IFERROR(1/(1/SUM(COUNTIFS(
'YearB-AppDetails Current Date'!A:A,D85,
'YearB-AppDetails Current Date'!F:F,E85,
'YearB-AppDetails Current Date'!E:E,--F85,
'YearB-AppDetails Current Date'!T:T,{"CDMT","RQMT","WAIT"},
'YearB-AppDetails Current Date'!I:I,"FALL"))), "")</f>
        <v/>
      </c>
      <c r="P85" s="74" t="str">
        <f>IFERROR(1/(1/COUNTIFS(
'YearB-AppDetails Current Date'!A:A,D85,
'YearB-AppDetails Current Date'!F:F,E85,
'YearB-AppDetails Current Date'!E:E,--F85,
'YearB-AppDetails Current Date'!Y:Y,"ENRO",
'YearB-AppDetails Current Date'!I:I,"FALL")),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HC'!D:T,12,FALSE)),
N(VLOOKUP(D86&amp;F86,'Budgeted Projections Dom HC'!D:T,13,FALSE))
)
),"")</f>
        <v/>
      </c>
      <c r="I86" s="73" t="str">
        <f>IFERROR(1/(1/COUNTIFS(
'YearB-AppDetails Current Date'!A:A,D86,
'YearB-AppDetails Current Date'!F:F,E86,
'YearB-AppDetails Current Date'!E:E,--F86,
'YearB-AppDetails Current Date'!I:I,"FALL")), "")</f>
        <v/>
      </c>
      <c r="J86" s="74" t="str" cm="1">
        <f t="array" ref="J86">IFERROR(1/(1/SUM(COUNTIFS(
'YearB-AppDetails Current Date'!A:A,D86,
'YearB-AppDetails Current Date'!F:F,E86,
'YearB-AppDetails Current Date'!E:E,--F86,
'YearB-AppDetails Current Date'!O:O,{"ACLN","ACPT","COND"},
'YearB-AppDetails Current Date'!S:S,"&lt;&gt;ACLN",
'YearB-AppDetails Current Date'!S:S,"&lt;&gt;ACPT",
'YearB-AppDetails Current Date'!S:S,"&lt;&gt;COND",
'YearB-AppDetails Current Date'!I:I,"FALL"))), "")</f>
        <v/>
      </c>
      <c r="K86" s="73" t="str">
        <f>IFERROR(1/(1/SUM(COUNTIFS(
'YearB-AppDetails Current Date'!A:A,D86,
'YearB-AppDetails Current Date'!F:F,E86,
'YearB-AppDetails Current Date'!E:E,--F86,
'YearB-AppDetails Current Date'!R:R,"&lt;&gt;"&amp;"",
'YearB-AppDetails Current Date'!I:I,"FALL"))), "")</f>
        <v/>
      </c>
      <c r="L86" s="74" t="str" cm="1">
        <f t="array" ref="L86">IFERROR(1/(1/SUM(COUNTIFS(
'YearB-AppDetails Current Date'!A:A,D86,
'YearB-AppDetails Current Date'!F:F,E86,
'YearB-AppDetails Current Date'!E:E,--F86,
'YearB-AppDetails Current Date'!T:T,{"APEX","DENY","NTSL"},
'YearB-AppDetails Current Date'!I:I,"FALL"))), "")</f>
        <v/>
      </c>
      <c r="M86" s="74" t="str" cm="1">
        <f t="array" ref="M86">IFERROR(1/(1/SUM(COUNTIFS(
'YearB-AppDetails Current Date'!A:A,D86,
'YearB-AppDetails Current Date'!F:F,E86,
'YearB-AppDetails Current Date'!E:E,--F86,
'YearB-AppDetails Current Date'!U:U,{"CCAN","DECL"},
'YearB-AppDetails Current Date'!I:I,"FALL"))), "")</f>
        <v/>
      </c>
      <c r="N86" s="74" t="str" cm="1">
        <f t="array" ref="N86">IFERROR(1/(1/SUM(COUNTIFS(
'YearB-AppDetails Current Date'!A:A,D86,
'YearB-AppDetails Current Date'!F:F,E86,
'YearB-AppDetails Current Date'!E:E,--F86,
'YearB-AppDetails Current Date'!V:V,{"APRO","NODE"},
'YearB-AppDetails Current Date'!I:I,"FALL"))), "")</f>
        <v/>
      </c>
      <c r="O86" s="74" t="str" cm="1">
        <f t="array" ref="O86">IFERROR(1/(1/SUM(COUNTIFS(
'YearB-AppDetails Current Date'!A:A,D86,
'YearB-AppDetails Current Date'!F:F,E86,
'YearB-AppDetails Current Date'!E:E,--F86,
'YearB-AppDetails Current Date'!T:T,{"CDMT","RQMT","WAIT"},
'YearB-AppDetails Current Date'!I:I,"FALL"))), "")</f>
        <v/>
      </c>
      <c r="P86" s="74" t="str">
        <f>IFERROR(1/(1/COUNTIFS(
'YearB-AppDetails Current Date'!A:A,D86,
'YearB-AppDetails Current Date'!F:F,E86,
'YearB-AppDetails Current Date'!E:E,--F86,
'YearB-AppDetails Current Date'!Y:Y,"ENRO",
'YearB-AppDetails Current Date'!I:I,"FALL")),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HC'!D:T,12,FALSE)),
N(VLOOKUP(D87&amp;F87,'Budgeted Projections Intl HC'!D:T,13,FALSE))
)
),"")</f>
        <v/>
      </c>
      <c r="I87" s="73" t="str">
        <f>IFERROR(1/(1/COUNTIFS(
'YearB-AppDetails Current Date'!A:A,D87,
'YearB-AppDetails Current Date'!F:F,E87,
'YearB-AppDetails Current Date'!E:E,--F87,
'YearB-AppDetails Current Date'!I:I,"FALL")), "")</f>
        <v/>
      </c>
      <c r="J87" s="74" t="str" cm="1">
        <f t="array" ref="J87">IFERROR(1/(1/SUM(COUNTIFS(
'YearB-AppDetails Current Date'!A:A,D87,
'YearB-AppDetails Current Date'!F:F,E87,
'YearB-AppDetails Current Date'!E:E,--F87,
'YearB-AppDetails Current Date'!O:O,{"ACLN","ACPT","COND"},
'YearB-AppDetails Current Date'!S:S,"&lt;&gt;ACLN",
'YearB-AppDetails Current Date'!S:S,"&lt;&gt;ACPT",
'YearB-AppDetails Current Date'!S:S,"&lt;&gt;COND",
'YearB-AppDetails Current Date'!I:I,"FALL"))), "")</f>
        <v/>
      </c>
      <c r="K87" s="73" t="str">
        <f>IFERROR(1/(1/SUM(COUNTIFS(
'YearB-AppDetails Current Date'!A:A,D87,
'YearB-AppDetails Current Date'!F:F,E87,
'YearB-AppDetails Current Date'!E:E,--F87,
'YearB-AppDetails Current Date'!R:R,"&lt;&gt;"&amp;"",
'YearB-AppDetails Current Date'!I:I,"FALL"))), "")</f>
        <v/>
      </c>
      <c r="L87" s="74" t="str" cm="1">
        <f t="array" ref="L87">IFERROR(1/(1/SUM(COUNTIFS(
'YearB-AppDetails Current Date'!A:A,D87,
'YearB-AppDetails Current Date'!F:F,E87,
'YearB-AppDetails Current Date'!E:E,--F87,
'YearB-AppDetails Current Date'!T:T,{"APEX","DENY","NTSL"},
'YearB-AppDetails Current Date'!I:I,"FALL"))), "")</f>
        <v/>
      </c>
      <c r="M87" s="74" t="str" cm="1">
        <f t="array" ref="M87">IFERROR(1/(1/SUM(COUNTIFS(
'YearB-AppDetails Current Date'!A:A,D87,
'YearB-AppDetails Current Date'!F:F,E87,
'YearB-AppDetails Current Date'!E:E,--F87,
'YearB-AppDetails Current Date'!U:U,{"CCAN","DECL"},
'YearB-AppDetails Current Date'!I:I,"FALL"))), "")</f>
        <v/>
      </c>
      <c r="N87" s="74" t="str" cm="1">
        <f t="array" ref="N87">IFERROR(1/(1/SUM(COUNTIFS(
'YearB-AppDetails Current Date'!A:A,D87,
'YearB-AppDetails Current Date'!F:F,E87,
'YearB-AppDetails Current Date'!E:E,--F87,
'YearB-AppDetails Current Date'!V:V,{"APRO","NODE"},
'YearB-AppDetails Current Date'!I:I,"FALL"))), "")</f>
        <v/>
      </c>
      <c r="O87" s="74" t="str" cm="1">
        <f t="array" ref="O87">IFERROR(1/(1/SUM(COUNTIFS(
'YearB-AppDetails Current Date'!A:A,D87,
'YearB-AppDetails Current Date'!F:F,E87,
'YearB-AppDetails Current Date'!E:E,--F87,
'YearB-AppDetails Current Date'!T:T,{"CDMT","RQMT","WAIT"},
'YearB-AppDetails Current Date'!I:I,"FALL"))), "")</f>
        <v/>
      </c>
      <c r="P87" s="74" t="str">
        <f>IFERROR(1/(1/COUNTIFS(
'YearB-AppDetails Current Date'!A:A,D87,
'YearB-AppDetails Current Date'!F:F,E87,
'YearB-AppDetails Current Date'!E:E,--F87,
'YearB-AppDetails Current Date'!Y:Y,"ENRO",
'YearB-AppDetails Current Date'!I:I,"FALL")),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HC'!D:T,12,FALSE)),
N(VLOOKUP(D88&amp;F88,'Budgeted Projections Dom HC'!D:T,13,FALSE))
)
),"")</f>
        <v/>
      </c>
      <c r="I88" s="73" t="str">
        <f>IFERROR(1/(1/COUNTIFS(
'YearB-AppDetails Current Date'!A:A,D88,
'YearB-AppDetails Current Date'!F:F,E88,
'YearB-AppDetails Current Date'!E:E,--F88,
'YearB-AppDetails Current Date'!I:I,"FALL")), "")</f>
        <v/>
      </c>
      <c r="J88" s="74" t="str" cm="1">
        <f t="array" ref="J88">IFERROR(1/(1/SUM(COUNTIFS(
'YearB-AppDetails Current Date'!A:A,D88,
'YearB-AppDetails Current Date'!F:F,E88,
'YearB-AppDetails Current Date'!E:E,--F88,
'YearB-AppDetails Current Date'!O:O,{"ACLN","ACPT","COND"},
'YearB-AppDetails Current Date'!S:S,"&lt;&gt;ACLN",
'YearB-AppDetails Current Date'!S:S,"&lt;&gt;ACPT",
'YearB-AppDetails Current Date'!S:S,"&lt;&gt;COND",
'YearB-AppDetails Current Date'!I:I,"FALL"))), "")</f>
        <v/>
      </c>
      <c r="K88" s="73" t="str">
        <f>IFERROR(1/(1/SUM(COUNTIFS(
'YearB-AppDetails Current Date'!A:A,D88,
'YearB-AppDetails Current Date'!F:F,E88,
'YearB-AppDetails Current Date'!E:E,--F88,
'YearB-AppDetails Current Date'!R:R,"&lt;&gt;"&amp;"",
'YearB-AppDetails Current Date'!I:I,"FALL"))), "")</f>
        <v/>
      </c>
      <c r="L88" s="74" t="str" cm="1">
        <f t="array" ref="L88">IFERROR(1/(1/SUM(COUNTIFS(
'YearB-AppDetails Current Date'!A:A,D88,
'YearB-AppDetails Current Date'!F:F,E88,
'YearB-AppDetails Current Date'!E:E,--F88,
'YearB-AppDetails Current Date'!T:T,{"APEX","DENY","NTSL"},
'YearB-AppDetails Current Date'!I:I,"FALL"))), "")</f>
        <v/>
      </c>
      <c r="M88" s="74" t="str" cm="1">
        <f t="array" ref="M88">IFERROR(1/(1/SUM(COUNTIFS(
'YearB-AppDetails Current Date'!A:A,D88,
'YearB-AppDetails Current Date'!F:F,E88,
'YearB-AppDetails Current Date'!E:E,--F88,
'YearB-AppDetails Current Date'!U:U,{"CCAN","DECL"},
'YearB-AppDetails Current Date'!I:I,"FALL"))), "")</f>
        <v/>
      </c>
      <c r="N88" s="74" t="str" cm="1">
        <f t="array" ref="N88">IFERROR(1/(1/SUM(COUNTIFS(
'YearB-AppDetails Current Date'!A:A,D88,
'YearB-AppDetails Current Date'!F:F,E88,
'YearB-AppDetails Current Date'!E:E,--F88,
'YearB-AppDetails Current Date'!V:V,{"APRO","NODE"},
'YearB-AppDetails Current Date'!I:I,"FALL"))), "")</f>
        <v/>
      </c>
      <c r="O88" s="74" t="str" cm="1">
        <f t="array" ref="O88">IFERROR(1/(1/SUM(COUNTIFS(
'YearB-AppDetails Current Date'!A:A,D88,
'YearB-AppDetails Current Date'!F:F,E88,
'YearB-AppDetails Current Date'!E:E,--F88,
'YearB-AppDetails Current Date'!T:T,{"CDMT","RQMT","WAIT"},
'YearB-AppDetails Current Date'!I:I,"FALL"))), "")</f>
        <v/>
      </c>
      <c r="P88" s="74" t="str">
        <f>IFERROR(1/(1/COUNTIFS(
'YearB-AppDetails Current Date'!A:A,D88,
'YearB-AppDetails Current Date'!F:F,E88,
'YearB-AppDetails Current Date'!E:E,--F88,
'YearB-AppDetails Current Date'!Y:Y,"ENRO",
'YearB-AppDetails Current Date'!I:I,"FALL")),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HC'!D:T,12,FALSE)),
N(VLOOKUP(D89&amp;F89,'Budgeted Projections Intl HC'!D:T,13,FALSE))
)
),"")</f>
        <v/>
      </c>
      <c r="I89" s="73" t="str">
        <f>IFERROR(1/(1/COUNTIFS(
'YearB-AppDetails Current Date'!A:A,D89,
'YearB-AppDetails Current Date'!F:F,E89,
'YearB-AppDetails Current Date'!E:E,--F89,
'YearB-AppDetails Current Date'!I:I,"FALL")), "")</f>
        <v/>
      </c>
      <c r="J89" s="74" t="str" cm="1">
        <f t="array" ref="J89">IFERROR(1/(1/SUM(COUNTIFS(
'YearB-AppDetails Current Date'!A:A,D89,
'YearB-AppDetails Current Date'!F:F,E89,
'YearB-AppDetails Current Date'!E:E,--F89,
'YearB-AppDetails Current Date'!O:O,{"ACLN","ACPT","COND"},
'YearB-AppDetails Current Date'!S:S,"&lt;&gt;ACLN",
'YearB-AppDetails Current Date'!S:S,"&lt;&gt;ACPT",
'YearB-AppDetails Current Date'!S:S,"&lt;&gt;COND",
'YearB-AppDetails Current Date'!I:I,"FALL"))), "")</f>
        <v/>
      </c>
      <c r="K89" s="73" t="str">
        <f>IFERROR(1/(1/SUM(COUNTIFS(
'YearB-AppDetails Current Date'!A:A,D89,
'YearB-AppDetails Current Date'!F:F,E89,
'YearB-AppDetails Current Date'!E:E,--F89,
'YearB-AppDetails Current Date'!R:R,"&lt;&gt;"&amp;"",
'YearB-AppDetails Current Date'!I:I,"FALL"))), "")</f>
        <v/>
      </c>
      <c r="L89" s="74" t="str" cm="1">
        <f t="array" ref="L89">IFERROR(1/(1/SUM(COUNTIFS(
'YearB-AppDetails Current Date'!A:A,D89,
'YearB-AppDetails Current Date'!F:F,E89,
'YearB-AppDetails Current Date'!E:E,--F89,
'YearB-AppDetails Current Date'!T:T,{"APEX","DENY","NTSL"},
'YearB-AppDetails Current Date'!I:I,"FALL"))), "")</f>
        <v/>
      </c>
      <c r="M89" s="74" t="str" cm="1">
        <f t="array" ref="M89">IFERROR(1/(1/SUM(COUNTIFS(
'YearB-AppDetails Current Date'!A:A,D89,
'YearB-AppDetails Current Date'!F:F,E89,
'YearB-AppDetails Current Date'!E:E,--F89,
'YearB-AppDetails Current Date'!U:U,{"CCAN","DECL"},
'YearB-AppDetails Current Date'!I:I,"FALL"))), "")</f>
        <v/>
      </c>
      <c r="N89" s="74" t="str" cm="1">
        <f t="array" ref="N89">IFERROR(1/(1/SUM(COUNTIFS(
'YearB-AppDetails Current Date'!A:A,D89,
'YearB-AppDetails Current Date'!F:F,E89,
'YearB-AppDetails Current Date'!E:E,--F89,
'YearB-AppDetails Current Date'!V:V,{"APRO","NODE"},
'YearB-AppDetails Current Date'!I:I,"FALL"))), "")</f>
        <v/>
      </c>
      <c r="O89" s="74" t="str" cm="1">
        <f t="array" ref="O89">IFERROR(1/(1/SUM(COUNTIFS(
'YearB-AppDetails Current Date'!A:A,D89,
'YearB-AppDetails Current Date'!F:F,E89,
'YearB-AppDetails Current Date'!E:E,--F89,
'YearB-AppDetails Current Date'!T:T,{"CDMT","RQMT","WAIT"},
'YearB-AppDetails Current Date'!I:I,"FALL"))), "")</f>
        <v/>
      </c>
      <c r="P89" s="74" t="str">
        <f>IFERROR(1/(1/COUNTIFS(
'YearB-AppDetails Current Date'!A:A,D89,
'YearB-AppDetails Current Date'!F:F,E89,
'YearB-AppDetails Current Date'!E:E,--F89,
'YearB-AppDetails Current Date'!Y:Y,"ENRO",
'YearB-AppDetails Current Date'!I:I,"FALL")),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HC'!D:T,12,FALSE)),
N(VLOOKUP(D90&amp;F90,'Budgeted Projections Dom HC'!D:T,13,FALSE))
)
),"")</f>
        <v/>
      </c>
      <c r="I90" s="73" t="str">
        <f>IFERROR(1/(1/COUNTIFS(
'YearB-AppDetails Current Date'!A:A,D90,
'YearB-AppDetails Current Date'!F:F,E90,
'YearB-AppDetails Current Date'!E:E,--F90,
'YearB-AppDetails Current Date'!I:I,"FALL")), "")</f>
        <v/>
      </c>
      <c r="J90" s="74" t="str" cm="1">
        <f t="array" ref="J90">IFERROR(1/(1/SUM(COUNTIFS(
'YearB-AppDetails Current Date'!A:A,D90,
'YearB-AppDetails Current Date'!F:F,E90,
'YearB-AppDetails Current Date'!E:E,--F90,
'YearB-AppDetails Current Date'!O:O,{"ACLN","ACPT","COND"},
'YearB-AppDetails Current Date'!S:S,"&lt;&gt;ACLN",
'YearB-AppDetails Current Date'!S:S,"&lt;&gt;ACPT",
'YearB-AppDetails Current Date'!S:S,"&lt;&gt;COND",
'YearB-AppDetails Current Date'!I:I,"FALL"))), "")</f>
        <v/>
      </c>
      <c r="K90" s="73" t="str">
        <f>IFERROR(1/(1/SUM(COUNTIFS(
'YearB-AppDetails Current Date'!A:A,D90,
'YearB-AppDetails Current Date'!F:F,E90,
'YearB-AppDetails Current Date'!E:E,--F90,
'YearB-AppDetails Current Date'!R:R,"&lt;&gt;"&amp;"",
'YearB-AppDetails Current Date'!I:I,"FALL"))), "")</f>
        <v/>
      </c>
      <c r="L90" s="74" t="str" cm="1">
        <f t="array" ref="L90">IFERROR(1/(1/SUM(COUNTIFS(
'YearB-AppDetails Current Date'!A:A,D90,
'YearB-AppDetails Current Date'!F:F,E90,
'YearB-AppDetails Current Date'!E:E,--F90,
'YearB-AppDetails Current Date'!T:T,{"APEX","DENY","NTSL"},
'YearB-AppDetails Current Date'!I:I,"FALL"))), "")</f>
        <v/>
      </c>
      <c r="M90" s="74" t="str" cm="1">
        <f t="array" ref="M90">IFERROR(1/(1/SUM(COUNTIFS(
'YearB-AppDetails Current Date'!A:A,D90,
'YearB-AppDetails Current Date'!F:F,E90,
'YearB-AppDetails Current Date'!E:E,--F90,
'YearB-AppDetails Current Date'!U:U,{"CCAN","DECL"},
'YearB-AppDetails Current Date'!I:I,"FALL"))), "")</f>
        <v/>
      </c>
      <c r="N90" s="74" t="str" cm="1">
        <f t="array" ref="N90">IFERROR(1/(1/SUM(COUNTIFS(
'YearB-AppDetails Current Date'!A:A,D90,
'YearB-AppDetails Current Date'!F:F,E90,
'YearB-AppDetails Current Date'!E:E,--F90,
'YearB-AppDetails Current Date'!V:V,{"APRO","NODE"},
'YearB-AppDetails Current Date'!I:I,"FALL"))), "")</f>
        <v/>
      </c>
      <c r="O90" s="74" t="str" cm="1">
        <f t="array" ref="O90">IFERROR(1/(1/SUM(COUNTIFS(
'YearB-AppDetails Current Date'!A:A,D90,
'YearB-AppDetails Current Date'!F:F,E90,
'YearB-AppDetails Current Date'!E:E,--F90,
'YearB-AppDetails Current Date'!T:T,{"CDMT","RQMT","WAIT"},
'YearB-AppDetails Current Date'!I:I,"FALL"))), "")</f>
        <v/>
      </c>
      <c r="P90" s="74" t="str">
        <f>IFERROR(1/(1/COUNTIFS(
'YearB-AppDetails Current Date'!A:A,D90,
'YearB-AppDetails Current Date'!F:F,E90,
'YearB-AppDetails Current Date'!E:E,--F90,
'YearB-AppDetails Current Date'!Y:Y,"ENRO",
'YearB-AppDetails Current Date'!I:I,"FALL")),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HC'!D:T,12,FALSE)),
N(VLOOKUP(D91&amp;F91,'Budgeted Projections Intl HC'!D:T,13,FALSE))
)
),"")</f>
        <v/>
      </c>
      <c r="I91" s="73" t="str">
        <f>IFERROR(1/(1/COUNTIFS(
'YearB-AppDetails Current Date'!A:A,D91,
'YearB-AppDetails Current Date'!F:F,E91,
'YearB-AppDetails Current Date'!E:E,--F91,
'YearB-AppDetails Current Date'!I:I,"FALL")), "")</f>
        <v/>
      </c>
      <c r="J91" s="74" t="str" cm="1">
        <f t="array" ref="J91">IFERROR(1/(1/SUM(COUNTIFS(
'YearB-AppDetails Current Date'!A:A,D91,
'YearB-AppDetails Current Date'!F:F,E91,
'YearB-AppDetails Current Date'!E:E,--F91,
'YearB-AppDetails Current Date'!O:O,{"ACLN","ACPT","COND"},
'YearB-AppDetails Current Date'!S:S,"&lt;&gt;ACLN",
'YearB-AppDetails Current Date'!S:S,"&lt;&gt;ACPT",
'YearB-AppDetails Current Date'!S:S,"&lt;&gt;COND",
'YearB-AppDetails Current Date'!I:I,"FALL"))), "")</f>
        <v/>
      </c>
      <c r="K91" s="73" t="str">
        <f>IFERROR(1/(1/SUM(COUNTIFS(
'YearB-AppDetails Current Date'!A:A,D91,
'YearB-AppDetails Current Date'!F:F,E91,
'YearB-AppDetails Current Date'!E:E,--F91,
'YearB-AppDetails Current Date'!R:R,"&lt;&gt;"&amp;"",
'YearB-AppDetails Current Date'!I:I,"FALL"))), "")</f>
        <v/>
      </c>
      <c r="L91" s="74" t="str" cm="1">
        <f t="array" ref="L91">IFERROR(1/(1/SUM(COUNTIFS(
'YearB-AppDetails Current Date'!A:A,D91,
'YearB-AppDetails Current Date'!F:F,E91,
'YearB-AppDetails Current Date'!E:E,--F91,
'YearB-AppDetails Current Date'!T:T,{"APEX","DENY","NTSL"},
'YearB-AppDetails Current Date'!I:I,"FALL"))), "")</f>
        <v/>
      </c>
      <c r="M91" s="74" t="str" cm="1">
        <f t="array" ref="M91">IFERROR(1/(1/SUM(COUNTIFS(
'YearB-AppDetails Current Date'!A:A,D91,
'YearB-AppDetails Current Date'!F:F,E91,
'YearB-AppDetails Current Date'!E:E,--F91,
'YearB-AppDetails Current Date'!U:U,{"CCAN","DECL"},
'YearB-AppDetails Current Date'!I:I,"FALL"))), "")</f>
        <v/>
      </c>
      <c r="N91" s="74" t="str" cm="1">
        <f t="array" ref="N91">IFERROR(1/(1/SUM(COUNTIFS(
'YearB-AppDetails Current Date'!A:A,D91,
'YearB-AppDetails Current Date'!F:F,E91,
'YearB-AppDetails Current Date'!E:E,--F91,
'YearB-AppDetails Current Date'!V:V,{"APRO","NODE"},
'YearB-AppDetails Current Date'!I:I,"FALL"))), "")</f>
        <v/>
      </c>
      <c r="O91" s="74" t="str" cm="1">
        <f t="array" ref="O91">IFERROR(1/(1/SUM(COUNTIFS(
'YearB-AppDetails Current Date'!A:A,D91,
'YearB-AppDetails Current Date'!F:F,E91,
'YearB-AppDetails Current Date'!E:E,--F91,
'YearB-AppDetails Current Date'!T:T,{"CDMT","RQMT","WAIT"},
'YearB-AppDetails Current Date'!I:I,"FALL"))), "")</f>
        <v/>
      </c>
      <c r="P91" s="74" t="str">
        <f>IFERROR(1/(1/COUNTIFS(
'YearB-AppDetails Current Date'!A:A,D91,
'YearB-AppDetails Current Date'!F:F,E91,
'YearB-AppDetails Current Date'!E:E,--F91,
'YearB-AppDetails Current Date'!Y:Y,"ENRO",
'YearB-AppDetails Current Date'!I:I,"FALL")),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HC'!D:T,12,FALSE)),
N(VLOOKUP(D92&amp;F92,'Budgeted Projections Dom HC'!D:T,13,FALSE))
)
),"")</f>
        <v/>
      </c>
      <c r="I92" s="73" t="str">
        <f>IFERROR(1/(1/COUNTIFS(
'YearB-AppDetails Current Date'!A:A,D92,
'YearB-AppDetails Current Date'!F:F,E92,
'YearB-AppDetails Current Date'!E:E,--F92,
'YearB-AppDetails Current Date'!I:I,"FALL")), "")</f>
        <v/>
      </c>
      <c r="J92" s="74" t="str" cm="1">
        <f t="array" ref="J92">IFERROR(1/(1/SUM(COUNTIFS(
'YearB-AppDetails Current Date'!A:A,D92,
'YearB-AppDetails Current Date'!F:F,E92,
'YearB-AppDetails Current Date'!E:E,--F92,
'YearB-AppDetails Current Date'!O:O,{"ACLN","ACPT","COND"},
'YearB-AppDetails Current Date'!S:S,"&lt;&gt;ACLN",
'YearB-AppDetails Current Date'!S:S,"&lt;&gt;ACPT",
'YearB-AppDetails Current Date'!S:S,"&lt;&gt;COND",
'YearB-AppDetails Current Date'!I:I,"FALL"))), "")</f>
        <v/>
      </c>
      <c r="K92" s="73" t="str">
        <f>IFERROR(1/(1/SUM(COUNTIFS(
'YearB-AppDetails Current Date'!A:A,D92,
'YearB-AppDetails Current Date'!F:F,E92,
'YearB-AppDetails Current Date'!E:E,--F92,
'YearB-AppDetails Current Date'!R:R,"&lt;&gt;"&amp;"",
'YearB-AppDetails Current Date'!I:I,"FALL"))), "")</f>
        <v/>
      </c>
      <c r="L92" s="74" t="str" cm="1">
        <f t="array" ref="L92">IFERROR(1/(1/SUM(COUNTIFS(
'YearB-AppDetails Current Date'!A:A,D92,
'YearB-AppDetails Current Date'!F:F,E92,
'YearB-AppDetails Current Date'!E:E,--F92,
'YearB-AppDetails Current Date'!T:T,{"APEX","DENY","NTSL"},
'YearB-AppDetails Current Date'!I:I,"FALL"))), "")</f>
        <v/>
      </c>
      <c r="M92" s="74" t="str" cm="1">
        <f t="array" ref="M92">IFERROR(1/(1/SUM(COUNTIFS(
'YearB-AppDetails Current Date'!A:A,D92,
'YearB-AppDetails Current Date'!F:F,E92,
'YearB-AppDetails Current Date'!E:E,--F92,
'YearB-AppDetails Current Date'!U:U,{"CCAN","DECL"},
'YearB-AppDetails Current Date'!I:I,"FALL"))), "")</f>
        <v/>
      </c>
      <c r="N92" s="74" t="str" cm="1">
        <f t="array" ref="N92">IFERROR(1/(1/SUM(COUNTIFS(
'YearB-AppDetails Current Date'!A:A,D92,
'YearB-AppDetails Current Date'!F:F,E92,
'YearB-AppDetails Current Date'!E:E,--F92,
'YearB-AppDetails Current Date'!V:V,{"APRO","NODE"},
'YearB-AppDetails Current Date'!I:I,"FALL"))), "")</f>
        <v/>
      </c>
      <c r="O92" s="74" t="str" cm="1">
        <f t="array" ref="O92">IFERROR(1/(1/SUM(COUNTIFS(
'YearB-AppDetails Current Date'!A:A,D92,
'YearB-AppDetails Current Date'!F:F,E92,
'YearB-AppDetails Current Date'!E:E,--F92,
'YearB-AppDetails Current Date'!T:T,{"CDMT","RQMT","WAIT"},
'YearB-AppDetails Current Date'!I:I,"FALL"))), "")</f>
        <v/>
      </c>
      <c r="P92" s="74" t="str">
        <f>IFERROR(1/(1/COUNTIFS(
'YearB-AppDetails Current Date'!A:A,D92,
'YearB-AppDetails Current Date'!F:F,E92,
'YearB-AppDetails Current Date'!E:E,--F92,
'YearB-AppDetails Current Date'!Y:Y,"ENRO",
'YearB-AppDetails Current Date'!I:I,"FALL")),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HC'!D:T,12,FALSE)),
N(VLOOKUP(D93&amp;F93,'Budgeted Projections Intl HC'!D:T,13,FALSE))
)
),"")</f>
        <v/>
      </c>
      <c r="I93" s="73" t="str">
        <f>IFERROR(1/(1/COUNTIFS(
'YearB-AppDetails Current Date'!A:A,D93,
'YearB-AppDetails Current Date'!F:F,E93,
'YearB-AppDetails Current Date'!E:E,--F93,
'YearB-AppDetails Current Date'!I:I,"FALL")), "")</f>
        <v/>
      </c>
      <c r="J93" s="74" t="str" cm="1">
        <f t="array" ref="J93">IFERROR(1/(1/SUM(COUNTIFS(
'YearB-AppDetails Current Date'!A:A,D93,
'YearB-AppDetails Current Date'!F:F,E93,
'YearB-AppDetails Current Date'!E:E,--F93,
'YearB-AppDetails Current Date'!O:O,{"ACLN","ACPT","COND"},
'YearB-AppDetails Current Date'!S:S,"&lt;&gt;ACLN",
'YearB-AppDetails Current Date'!S:S,"&lt;&gt;ACPT",
'YearB-AppDetails Current Date'!S:S,"&lt;&gt;COND",
'YearB-AppDetails Current Date'!I:I,"FALL"))), "")</f>
        <v/>
      </c>
      <c r="K93" s="73" t="str">
        <f>IFERROR(1/(1/SUM(COUNTIFS(
'YearB-AppDetails Current Date'!A:A,D93,
'YearB-AppDetails Current Date'!F:F,E93,
'YearB-AppDetails Current Date'!E:E,--F93,
'YearB-AppDetails Current Date'!R:R,"&lt;&gt;"&amp;"",
'YearB-AppDetails Current Date'!I:I,"FALL"))), "")</f>
        <v/>
      </c>
      <c r="L93" s="74" t="str" cm="1">
        <f t="array" ref="L93">IFERROR(1/(1/SUM(COUNTIFS(
'YearB-AppDetails Current Date'!A:A,D93,
'YearB-AppDetails Current Date'!F:F,E93,
'YearB-AppDetails Current Date'!E:E,--F93,
'YearB-AppDetails Current Date'!T:T,{"APEX","DENY","NTSL"},
'YearB-AppDetails Current Date'!I:I,"FALL"))), "")</f>
        <v/>
      </c>
      <c r="M93" s="74" t="str" cm="1">
        <f t="array" ref="M93">IFERROR(1/(1/SUM(COUNTIFS(
'YearB-AppDetails Current Date'!A:A,D93,
'YearB-AppDetails Current Date'!F:F,E93,
'YearB-AppDetails Current Date'!E:E,--F93,
'YearB-AppDetails Current Date'!U:U,{"CCAN","DECL"},
'YearB-AppDetails Current Date'!I:I,"FALL"))), "")</f>
        <v/>
      </c>
      <c r="N93" s="74" t="str" cm="1">
        <f t="array" ref="N93">IFERROR(1/(1/SUM(COUNTIFS(
'YearB-AppDetails Current Date'!A:A,D93,
'YearB-AppDetails Current Date'!F:F,E93,
'YearB-AppDetails Current Date'!E:E,--F93,
'YearB-AppDetails Current Date'!V:V,{"APRO","NODE"},
'YearB-AppDetails Current Date'!I:I,"FALL"))), "")</f>
        <v/>
      </c>
      <c r="O93" s="74" t="str" cm="1">
        <f t="array" ref="O93">IFERROR(1/(1/SUM(COUNTIFS(
'YearB-AppDetails Current Date'!A:A,D93,
'YearB-AppDetails Current Date'!F:F,E93,
'YearB-AppDetails Current Date'!E:E,--F93,
'YearB-AppDetails Current Date'!T:T,{"CDMT","RQMT","WAIT"},
'YearB-AppDetails Current Date'!I:I,"FALL"))), "")</f>
        <v/>
      </c>
      <c r="P93" s="74" t="str">
        <f>IFERROR(1/(1/COUNTIFS(
'YearB-AppDetails Current Date'!A:A,D93,
'YearB-AppDetails Current Date'!F:F,E93,
'YearB-AppDetails Current Date'!E:E,--F93,
'YearB-AppDetails Current Date'!Y:Y,"ENRO",
'YearB-AppDetails Current Date'!I:I,"FALL")),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HC'!D:T,12,FALSE)),
N(VLOOKUP(D94&amp;F94,'Budgeted Projections Dom HC'!D:T,13,FALSE))
)
),"")</f>
        <v/>
      </c>
      <c r="I94" s="73" t="str">
        <f>IFERROR(1/(1/COUNTIFS(
'YearB-AppDetails Current Date'!A:A,D94,
'YearB-AppDetails Current Date'!F:F,E94,
'YearB-AppDetails Current Date'!E:E,--F94,
'YearB-AppDetails Current Date'!I:I,"FALL")), "")</f>
        <v/>
      </c>
      <c r="J94" s="74" t="str" cm="1">
        <f t="array" ref="J94">IFERROR(1/(1/SUM(COUNTIFS(
'YearB-AppDetails Current Date'!A:A,D94,
'YearB-AppDetails Current Date'!F:F,E94,
'YearB-AppDetails Current Date'!E:E,--F94,
'YearB-AppDetails Current Date'!O:O,{"ACLN","ACPT","COND"},
'YearB-AppDetails Current Date'!S:S,"&lt;&gt;ACLN",
'YearB-AppDetails Current Date'!S:S,"&lt;&gt;ACPT",
'YearB-AppDetails Current Date'!S:S,"&lt;&gt;COND",
'YearB-AppDetails Current Date'!I:I,"FALL"))), "")</f>
        <v/>
      </c>
      <c r="K94" s="73" t="str">
        <f>IFERROR(1/(1/SUM(COUNTIFS(
'YearB-AppDetails Current Date'!A:A,D94,
'YearB-AppDetails Current Date'!F:F,E94,
'YearB-AppDetails Current Date'!E:E,--F94,
'YearB-AppDetails Current Date'!R:R,"&lt;&gt;"&amp;"",
'YearB-AppDetails Current Date'!I:I,"FALL"))), "")</f>
        <v/>
      </c>
      <c r="L94" s="74" t="str" cm="1">
        <f t="array" ref="L94">IFERROR(1/(1/SUM(COUNTIFS(
'YearB-AppDetails Current Date'!A:A,D94,
'YearB-AppDetails Current Date'!F:F,E94,
'YearB-AppDetails Current Date'!E:E,--F94,
'YearB-AppDetails Current Date'!T:T,{"APEX","DENY","NTSL"},
'YearB-AppDetails Current Date'!I:I,"FALL"))), "")</f>
        <v/>
      </c>
      <c r="M94" s="74" t="str" cm="1">
        <f t="array" ref="M94">IFERROR(1/(1/SUM(COUNTIFS(
'YearB-AppDetails Current Date'!A:A,D94,
'YearB-AppDetails Current Date'!F:F,E94,
'YearB-AppDetails Current Date'!E:E,--F94,
'YearB-AppDetails Current Date'!U:U,{"CCAN","DECL"},
'YearB-AppDetails Current Date'!I:I,"FALL"))), "")</f>
        <v/>
      </c>
      <c r="N94" s="74" t="str" cm="1">
        <f t="array" ref="N94">IFERROR(1/(1/SUM(COUNTIFS(
'YearB-AppDetails Current Date'!A:A,D94,
'YearB-AppDetails Current Date'!F:F,E94,
'YearB-AppDetails Current Date'!E:E,--F94,
'YearB-AppDetails Current Date'!V:V,{"APRO","NODE"},
'YearB-AppDetails Current Date'!I:I,"FALL"))), "")</f>
        <v/>
      </c>
      <c r="O94" s="74" t="str" cm="1">
        <f t="array" ref="O94">IFERROR(1/(1/SUM(COUNTIFS(
'YearB-AppDetails Current Date'!A:A,D94,
'YearB-AppDetails Current Date'!F:F,E94,
'YearB-AppDetails Current Date'!E:E,--F94,
'YearB-AppDetails Current Date'!T:T,{"CDMT","RQMT","WAIT"},
'YearB-AppDetails Current Date'!I:I,"FALL"))), "")</f>
        <v/>
      </c>
      <c r="P94" s="74" t="str">
        <f>IFERROR(1/(1/COUNTIFS(
'YearB-AppDetails Current Date'!A:A,D94,
'YearB-AppDetails Current Date'!F:F,E94,
'YearB-AppDetails Current Date'!E:E,--F94,
'YearB-AppDetails Current Date'!Y:Y,"ENRO",
'YearB-AppDetails Current Date'!I:I,"FALL")),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HC'!D:T,12,FALSE)),
N(VLOOKUP(D95&amp;F95,'Budgeted Projections Intl HC'!D:T,13,FALSE))
)
),"")</f>
        <v/>
      </c>
      <c r="I95" s="73" t="str">
        <f>IFERROR(1/(1/COUNTIFS(
'YearB-AppDetails Current Date'!A:A,D95,
'YearB-AppDetails Current Date'!F:F,E95,
'YearB-AppDetails Current Date'!E:E,--F95,
'YearB-AppDetails Current Date'!I:I,"FALL")), "")</f>
        <v/>
      </c>
      <c r="J95" s="74" t="str" cm="1">
        <f t="array" ref="J95">IFERROR(1/(1/SUM(COUNTIFS(
'YearB-AppDetails Current Date'!A:A,D95,
'YearB-AppDetails Current Date'!F:F,E95,
'YearB-AppDetails Current Date'!E:E,--F95,
'YearB-AppDetails Current Date'!O:O,{"ACLN","ACPT","COND"},
'YearB-AppDetails Current Date'!S:S,"&lt;&gt;ACLN",
'YearB-AppDetails Current Date'!S:S,"&lt;&gt;ACPT",
'YearB-AppDetails Current Date'!S:S,"&lt;&gt;COND",
'YearB-AppDetails Current Date'!I:I,"FALL"))), "")</f>
        <v/>
      </c>
      <c r="K95" s="73" t="str">
        <f>IFERROR(1/(1/SUM(COUNTIFS(
'YearB-AppDetails Current Date'!A:A,D95,
'YearB-AppDetails Current Date'!F:F,E95,
'YearB-AppDetails Current Date'!E:E,--F95,
'YearB-AppDetails Current Date'!R:R,"&lt;&gt;"&amp;"",
'YearB-AppDetails Current Date'!I:I,"FALL"))), "")</f>
        <v/>
      </c>
      <c r="L95" s="74" t="str" cm="1">
        <f t="array" ref="L95">IFERROR(1/(1/SUM(COUNTIFS(
'YearB-AppDetails Current Date'!A:A,D95,
'YearB-AppDetails Current Date'!F:F,E95,
'YearB-AppDetails Current Date'!E:E,--F95,
'YearB-AppDetails Current Date'!T:T,{"APEX","DENY","NTSL"},
'YearB-AppDetails Current Date'!I:I,"FALL"))), "")</f>
        <v/>
      </c>
      <c r="M95" s="74" t="str" cm="1">
        <f t="array" ref="M95">IFERROR(1/(1/SUM(COUNTIFS(
'YearB-AppDetails Current Date'!A:A,D95,
'YearB-AppDetails Current Date'!F:F,E95,
'YearB-AppDetails Current Date'!E:E,--F95,
'YearB-AppDetails Current Date'!U:U,{"CCAN","DECL"},
'YearB-AppDetails Current Date'!I:I,"FALL"))), "")</f>
        <v/>
      </c>
      <c r="N95" s="74" t="str" cm="1">
        <f t="array" ref="N95">IFERROR(1/(1/SUM(COUNTIFS(
'YearB-AppDetails Current Date'!A:A,D95,
'YearB-AppDetails Current Date'!F:F,E95,
'YearB-AppDetails Current Date'!E:E,--F95,
'YearB-AppDetails Current Date'!V:V,{"APRO","NODE"},
'YearB-AppDetails Current Date'!I:I,"FALL"))), "")</f>
        <v/>
      </c>
      <c r="O95" s="74" t="str" cm="1">
        <f t="array" ref="O95">IFERROR(1/(1/SUM(COUNTIFS(
'YearB-AppDetails Current Date'!A:A,D95,
'YearB-AppDetails Current Date'!F:F,E95,
'YearB-AppDetails Current Date'!E:E,--F95,
'YearB-AppDetails Current Date'!T:T,{"CDMT","RQMT","WAIT"},
'YearB-AppDetails Current Date'!I:I,"FALL"))), "")</f>
        <v/>
      </c>
      <c r="P95" s="74" t="str">
        <f>IFERROR(1/(1/COUNTIFS(
'YearB-AppDetails Current Date'!A:A,D95,
'YearB-AppDetails Current Date'!F:F,E95,
'YearB-AppDetails Current Date'!E:E,--F95,
'YearB-AppDetails Current Date'!Y:Y,"ENRO",
'YearB-AppDetails Current Date'!I:I,"FALL")),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HC'!D:T,12,FALSE)),
N(VLOOKUP(D96&amp;F96,'Budgeted Projections Dom HC'!D:T,13,FALSE))
)
),"")</f>
        <v/>
      </c>
      <c r="I96" s="73" t="str">
        <f>IFERROR(1/(1/COUNTIFS(
'YearB-AppDetails Current Date'!A:A,D96,
'YearB-AppDetails Current Date'!F:F,E96,
'YearB-AppDetails Current Date'!E:E,--F96,
'YearB-AppDetails Current Date'!I:I,"FALL")), "")</f>
        <v/>
      </c>
      <c r="J96" s="74" t="str" cm="1">
        <f t="array" ref="J96">IFERROR(1/(1/SUM(COUNTIFS(
'YearB-AppDetails Current Date'!A:A,D96,
'YearB-AppDetails Current Date'!F:F,E96,
'YearB-AppDetails Current Date'!E:E,--F96,
'YearB-AppDetails Current Date'!O:O,{"ACLN","ACPT","COND"},
'YearB-AppDetails Current Date'!S:S,"&lt;&gt;ACLN",
'YearB-AppDetails Current Date'!S:S,"&lt;&gt;ACPT",
'YearB-AppDetails Current Date'!S:S,"&lt;&gt;COND",
'YearB-AppDetails Current Date'!I:I,"FALL"))), "")</f>
        <v/>
      </c>
      <c r="K96" s="73" t="str">
        <f>IFERROR(1/(1/SUM(COUNTIFS(
'YearB-AppDetails Current Date'!A:A,D96,
'YearB-AppDetails Current Date'!F:F,E96,
'YearB-AppDetails Current Date'!E:E,--F96,
'YearB-AppDetails Current Date'!R:R,"&lt;&gt;"&amp;"",
'YearB-AppDetails Current Date'!I:I,"FALL"))), "")</f>
        <v/>
      </c>
      <c r="L96" s="74" t="str" cm="1">
        <f t="array" ref="L96">IFERROR(1/(1/SUM(COUNTIFS(
'YearB-AppDetails Current Date'!A:A,D96,
'YearB-AppDetails Current Date'!F:F,E96,
'YearB-AppDetails Current Date'!E:E,--F96,
'YearB-AppDetails Current Date'!T:T,{"APEX","DENY","NTSL"},
'YearB-AppDetails Current Date'!I:I,"FALL"))), "")</f>
        <v/>
      </c>
      <c r="M96" s="74" t="str" cm="1">
        <f t="array" ref="M96">IFERROR(1/(1/SUM(COUNTIFS(
'YearB-AppDetails Current Date'!A:A,D96,
'YearB-AppDetails Current Date'!F:F,E96,
'YearB-AppDetails Current Date'!E:E,--F96,
'YearB-AppDetails Current Date'!U:U,{"CCAN","DECL"},
'YearB-AppDetails Current Date'!I:I,"FALL"))), "")</f>
        <v/>
      </c>
      <c r="N96" s="74" t="str" cm="1">
        <f t="array" ref="N96">IFERROR(1/(1/SUM(COUNTIFS(
'YearB-AppDetails Current Date'!A:A,D96,
'YearB-AppDetails Current Date'!F:F,E96,
'YearB-AppDetails Current Date'!E:E,--F96,
'YearB-AppDetails Current Date'!V:V,{"APRO","NODE"},
'YearB-AppDetails Current Date'!I:I,"FALL"))), "")</f>
        <v/>
      </c>
      <c r="O96" s="74" t="str" cm="1">
        <f t="array" ref="O96">IFERROR(1/(1/SUM(COUNTIFS(
'YearB-AppDetails Current Date'!A:A,D96,
'YearB-AppDetails Current Date'!F:F,E96,
'YearB-AppDetails Current Date'!E:E,--F96,
'YearB-AppDetails Current Date'!T:T,{"CDMT","RQMT","WAIT"},
'YearB-AppDetails Current Date'!I:I,"FALL"))), "")</f>
        <v/>
      </c>
      <c r="P96" s="74" t="str">
        <f>IFERROR(1/(1/COUNTIFS(
'YearB-AppDetails Current Date'!A:A,D96,
'YearB-AppDetails Current Date'!F:F,E96,
'YearB-AppDetails Current Date'!E:E,--F96,
'YearB-AppDetails Current Date'!Y:Y,"ENRO",
'YearB-AppDetails Current Date'!I:I,"FALL")),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HC'!D:T,12,FALSE)),
N(VLOOKUP(D97&amp;F97,'Budgeted Projections Intl HC'!D:T,13,FALSE))
)
),"")</f>
        <v/>
      </c>
      <c r="I97" s="73" t="str">
        <f>IFERROR(1/(1/COUNTIFS(
'YearB-AppDetails Current Date'!A:A,D97,
'YearB-AppDetails Current Date'!F:F,E97,
'YearB-AppDetails Current Date'!E:E,--F97,
'YearB-AppDetails Current Date'!I:I,"FALL")), "")</f>
        <v/>
      </c>
      <c r="J97" s="74" t="str" cm="1">
        <f t="array" ref="J97">IFERROR(1/(1/SUM(COUNTIFS(
'YearB-AppDetails Current Date'!A:A,D97,
'YearB-AppDetails Current Date'!F:F,E97,
'YearB-AppDetails Current Date'!E:E,--F97,
'YearB-AppDetails Current Date'!O:O,{"ACLN","ACPT","COND"},
'YearB-AppDetails Current Date'!S:S,"&lt;&gt;ACLN",
'YearB-AppDetails Current Date'!S:S,"&lt;&gt;ACPT",
'YearB-AppDetails Current Date'!S:S,"&lt;&gt;COND",
'YearB-AppDetails Current Date'!I:I,"FALL"))), "")</f>
        <v/>
      </c>
      <c r="K97" s="73" t="str">
        <f>IFERROR(1/(1/SUM(COUNTIFS(
'YearB-AppDetails Current Date'!A:A,D97,
'YearB-AppDetails Current Date'!F:F,E97,
'YearB-AppDetails Current Date'!E:E,--F97,
'YearB-AppDetails Current Date'!R:R,"&lt;&gt;"&amp;"",
'YearB-AppDetails Current Date'!I:I,"FALL"))), "")</f>
        <v/>
      </c>
      <c r="L97" s="74" t="str" cm="1">
        <f t="array" ref="L97">IFERROR(1/(1/SUM(COUNTIFS(
'YearB-AppDetails Current Date'!A:A,D97,
'YearB-AppDetails Current Date'!F:F,E97,
'YearB-AppDetails Current Date'!E:E,--F97,
'YearB-AppDetails Current Date'!T:T,{"APEX","DENY","NTSL"},
'YearB-AppDetails Current Date'!I:I,"FALL"))), "")</f>
        <v/>
      </c>
      <c r="M97" s="74" t="str" cm="1">
        <f t="array" ref="M97">IFERROR(1/(1/SUM(COUNTIFS(
'YearB-AppDetails Current Date'!A:A,D97,
'YearB-AppDetails Current Date'!F:F,E97,
'YearB-AppDetails Current Date'!E:E,--F97,
'YearB-AppDetails Current Date'!U:U,{"CCAN","DECL"},
'YearB-AppDetails Current Date'!I:I,"FALL"))), "")</f>
        <v/>
      </c>
      <c r="N97" s="74" t="str" cm="1">
        <f t="array" ref="N97">IFERROR(1/(1/SUM(COUNTIFS(
'YearB-AppDetails Current Date'!A:A,D97,
'YearB-AppDetails Current Date'!F:F,E97,
'YearB-AppDetails Current Date'!E:E,--F97,
'YearB-AppDetails Current Date'!V:V,{"APRO","NODE"},
'YearB-AppDetails Current Date'!I:I,"FALL"))), "")</f>
        <v/>
      </c>
      <c r="O97" s="74" t="str" cm="1">
        <f t="array" ref="O97">IFERROR(1/(1/SUM(COUNTIFS(
'YearB-AppDetails Current Date'!A:A,D97,
'YearB-AppDetails Current Date'!F:F,E97,
'YearB-AppDetails Current Date'!E:E,--F97,
'YearB-AppDetails Current Date'!T:T,{"CDMT","RQMT","WAIT"},
'YearB-AppDetails Current Date'!I:I,"FALL"))), "")</f>
        <v/>
      </c>
      <c r="P97" s="74" t="str">
        <f>IFERROR(1/(1/COUNTIFS(
'YearB-AppDetails Current Date'!A:A,D97,
'YearB-AppDetails Current Date'!F:F,E97,
'YearB-AppDetails Current Date'!E:E,--F97,
'YearB-AppDetails Current Date'!Y:Y,"ENRO",
'YearB-AppDetails Current Date'!I:I,"FALL")),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HC'!D:T,12,FALSE)),
N(VLOOKUP(D98&amp;F98,'Budgeted Projections Dom HC'!D:T,13,FALSE))
)
),"")</f>
        <v/>
      </c>
      <c r="I98" s="73" t="str">
        <f>IFERROR(1/(1/COUNTIFS(
'YearB-AppDetails Current Date'!A:A,D98,
'YearB-AppDetails Current Date'!F:F,E98,
'YearB-AppDetails Current Date'!E:E,--F98,
'YearB-AppDetails Current Date'!I:I,"FALL")), "")</f>
        <v/>
      </c>
      <c r="J98" s="74" t="str" cm="1">
        <f t="array" ref="J98">IFERROR(1/(1/SUM(COUNTIFS(
'YearB-AppDetails Current Date'!A:A,D98,
'YearB-AppDetails Current Date'!F:F,E98,
'YearB-AppDetails Current Date'!E:E,--F98,
'YearB-AppDetails Current Date'!O:O,{"ACLN","ACPT","COND"},
'YearB-AppDetails Current Date'!S:S,"&lt;&gt;ACLN",
'YearB-AppDetails Current Date'!S:S,"&lt;&gt;ACPT",
'YearB-AppDetails Current Date'!S:S,"&lt;&gt;COND",
'YearB-AppDetails Current Date'!I:I,"FALL"))), "")</f>
        <v/>
      </c>
      <c r="K98" s="73" t="str">
        <f>IFERROR(1/(1/SUM(COUNTIFS(
'YearB-AppDetails Current Date'!A:A,D98,
'YearB-AppDetails Current Date'!F:F,E98,
'YearB-AppDetails Current Date'!E:E,--F98,
'YearB-AppDetails Current Date'!R:R,"&lt;&gt;"&amp;"",
'YearB-AppDetails Current Date'!I:I,"FALL"))), "")</f>
        <v/>
      </c>
      <c r="L98" s="74" t="str" cm="1">
        <f t="array" ref="L98">IFERROR(1/(1/SUM(COUNTIFS(
'YearB-AppDetails Current Date'!A:A,D98,
'YearB-AppDetails Current Date'!F:F,E98,
'YearB-AppDetails Current Date'!E:E,--F98,
'YearB-AppDetails Current Date'!T:T,{"APEX","DENY","NTSL"},
'YearB-AppDetails Current Date'!I:I,"FALL"))), "")</f>
        <v/>
      </c>
      <c r="M98" s="74" t="str" cm="1">
        <f t="array" ref="M98">IFERROR(1/(1/SUM(COUNTIFS(
'YearB-AppDetails Current Date'!A:A,D98,
'YearB-AppDetails Current Date'!F:F,E98,
'YearB-AppDetails Current Date'!E:E,--F98,
'YearB-AppDetails Current Date'!U:U,{"CCAN","DECL"},
'YearB-AppDetails Current Date'!I:I,"FALL"))), "")</f>
        <v/>
      </c>
      <c r="N98" s="74" t="str" cm="1">
        <f t="array" ref="N98">IFERROR(1/(1/SUM(COUNTIFS(
'YearB-AppDetails Current Date'!A:A,D98,
'YearB-AppDetails Current Date'!F:F,E98,
'YearB-AppDetails Current Date'!E:E,--F98,
'YearB-AppDetails Current Date'!V:V,{"APRO","NODE"},
'YearB-AppDetails Current Date'!I:I,"FALL"))), "")</f>
        <v/>
      </c>
      <c r="O98" s="74" t="str" cm="1">
        <f t="array" ref="O98">IFERROR(1/(1/SUM(COUNTIFS(
'YearB-AppDetails Current Date'!A:A,D98,
'YearB-AppDetails Current Date'!F:F,E98,
'YearB-AppDetails Current Date'!E:E,--F98,
'YearB-AppDetails Current Date'!T:T,{"CDMT","RQMT","WAIT"},
'YearB-AppDetails Current Date'!I:I,"FALL"))), "")</f>
        <v/>
      </c>
      <c r="P98" s="74" t="str">
        <f>IFERROR(1/(1/COUNTIFS(
'YearB-AppDetails Current Date'!A:A,D98,
'YearB-AppDetails Current Date'!F:F,E98,
'YearB-AppDetails Current Date'!E:E,--F98,
'YearB-AppDetails Current Date'!Y:Y,"ENRO",
'YearB-AppDetails Current Date'!I:I,"FALL")),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HC'!D:T,12,FALSE)),
N(VLOOKUP(D99&amp;F99,'Budgeted Projections Intl HC'!D:T,13,FALSE))
)
),"")</f>
        <v/>
      </c>
      <c r="I99" s="73" t="str">
        <f>IFERROR(1/(1/COUNTIFS(
'YearB-AppDetails Current Date'!A:A,D99,
'YearB-AppDetails Current Date'!F:F,E99,
'YearB-AppDetails Current Date'!E:E,--F99,
'YearB-AppDetails Current Date'!I:I,"FALL")), "")</f>
        <v/>
      </c>
      <c r="J99" s="74" t="str" cm="1">
        <f t="array" ref="J99">IFERROR(1/(1/SUM(COUNTIFS(
'YearB-AppDetails Current Date'!A:A,D99,
'YearB-AppDetails Current Date'!F:F,E99,
'YearB-AppDetails Current Date'!E:E,--F99,
'YearB-AppDetails Current Date'!O:O,{"ACLN","ACPT","COND"},
'YearB-AppDetails Current Date'!S:S,"&lt;&gt;ACLN",
'YearB-AppDetails Current Date'!S:S,"&lt;&gt;ACPT",
'YearB-AppDetails Current Date'!S:S,"&lt;&gt;COND",
'YearB-AppDetails Current Date'!I:I,"FALL"))), "")</f>
        <v/>
      </c>
      <c r="K99" s="73" t="str">
        <f>IFERROR(1/(1/SUM(COUNTIFS(
'YearB-AppDetails Current Date'!A:A,D99,
'YearB-AppDetails Current Date'!F:F,E99,
'YearB-AppDetails Current Date'!E:E,--F99,
'YearB-AppDetails Current Date'!R:R,"&lt;&gt;"&amp;"",
'YearB-AppDetails Current Date'!I:I,"FALL"))), "")</f>
        <v/>
      </c>
      <c r="L99" s="74" t="str" cm="1">
        <f t="array" ref="L99">IFERROR(1/(1/SUM(COUNTIFS(
'YearB-AppDetails Current Date'!A:A,D99,
'YearB-AppDetails Current Date'!F:F,E99,
'YearB-AppDetails Current Date'!E:E,--F99,
'YearB-AppDetails Current Date'!T:T,{"APEX","DENY","NTSL"},
'YearB-AppDetails Current Date'!I:I,"FALL"))), "")</f>
        <v/>
      </c>
      <c r="M99" s="74" t="str" cm="1">
        <f t="array" ref="M99">IFERROR(1/(1/SUM(COUNTIFS(
'YearB-AppDetails Current Date'!A:A,D99,
'YearB-AppDetails Current Date'!F:F,E99,
'YearB-AppDetails Current Date'!E:E,--F99,
'YearB-AppDetails Current Date'!U:U,{"CCAN","DECL"},
'YearB-AppDetails Current Date'!I:I,"FALL"))), "")</f>
        <v/>
      </c>
      <c r="N99" s="74" t="str" cm="1">
        <f t="array" ref="N99">IFERROR(1/(1/SUM(COUNTIFS(
'YearB-AppDetails Current Date'!A:A,D99,
'YearB-AppDetails Current Date'!F:F,E99,
'YearB-AppDetails Current Date'!E:E,--F99,
'YearB-AppDetails Current Date'!V:V,{"APRO","NODE"},
'YearB-AppDetails Current Date'!I:I,"FALL"))), "")</f>
        <v/>
      </c>
      <c r="O99" s="74" t="str" cm="1">
        <f t="array" ref="O99">IFERROR(1/(1/SUM(COUNTIFS(
'YearB-AppDetails Current Date'!A:A,D99,
'YearB-AppDetails Current Date'!F:F,E99,
'YearB-AppDetails Current Date'!E:E,--F99,
'YearB-AppDetails Current Date'!T:T,{"CDMT","RQMT","WAIT"},
'YearB-AppDetails Current Date'!I:I,"FALL"))), "")</f>
        <v/>
      </c>
      <c r="P99" s="74" t="str">
        <f>IFERROR(1/(1/COUNTIFS(
'YearB-AppDetails Current Date'!A:A,D99,
'YearB-AppDetails Current Date'!F:F,E99,
'YearB-AppDetails Current Date'!E:E,--F99,
'YearB-AppDetails Current Date'!Y:Y,"ENRO",
'YearB-AppDetails Current Date'!I:I,"FALL")),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HC'!D:T,12,FALSE)),
N(VLOOKUP(D100&amp;F100,'Budgeted Projections Dom HC'!D:T,13,FALSE))
)
),"")</f>
        <v/>
      </c>
      <c r="I100" s="73" t="str">
        <f>IFERROR(1/(1/COUNTIFS(
'YearB-AppDetails Current Date'!A:A,D100,
'YearB-AppDetails Current Date'!F:F,E100,
'YearB-AppDetails Current Date'!E:E,--F100,
'YearB-AppDetails Current Date'!I:I,"FALL")), "")</f>
        <v/>
      </c>
      <c r="J100" s="74" t="str" cm="1">
        <f t="array" ref="J100">IFERROR(1/(1/SUM(COUNTIFS(
'YearB-AppDetails Current Date'!A:A,D100,
'YearB-AppDetails Current Date'!F:F,E100,
'YearB-AppDetails Current Date'!E:E,--F100,
'YearB-AppDetails Current Date'!O:O,{"ACLN","ACPT","COND"},
'YearB-AppDetails Current Date'!S:S,"&lt;&gt;ACLN",
'YearB-AppDetails Current Date'!S:S,"&lt;&gt;ACPT",
'YearB-AppDetails Current Date'!S:S,"&lt;&gt;COND",
'YearB-AppDetails Current Date'!I:I,"FALL"))), "")</f>
        <v/>
      </c>
      <c r="K100" s="73" t="str">
        <f>IFERROR(1/(1/SUM(COUNTIFS(
'YearB-AppDetails Current Date'!A:A,D100,
'YearB-AppDetails Current Date'!F:F,E100,
'YearB-AppDetails Current Date'!E:E,--F100,
'YearB-AppDetails Current Date'!R:R,"&lt;&gt;"&amp;"",
'YearB-AppDetails Current Date'!I:I,"FALL"))), "")</f>
        <v/>
      </c>
      <c r="L100" s="74" t="str" cm="1">
        <f t="array" ref="L100">IFERROR(1/(1/SUM(COUNTIFS(
'YearB-AppDetails Current Date'!A:A,D100,
'YearB-AppDetails Current Date'!F:F,E100,
'YearB-AppDetails Current Date'!E:E,--F100,
'YearB-AppDetails Current Date'!T:T,{"APEX","DENY","NTSL"},
'YearB-AppDetails Current Date'!I:I,"FALL"))), "")</f>
        <v/>
      </c>
      <c r="M100" s="74" t="str" cm="1">
        <f t="array" ref="M100">IFERROR(1/(1/SUM(COUNTIFS(
'YearB-AppDetails Current Date'!A:A,D100,
'YearB-AppDetails Current Date'!F:F,E100,
'YearB-AppDetails Current Date'!E:E,--F100,
'YearB-AppDetails Current Date'!U:U,{"CCAN","DECL"},
'YearB-AppDetails Current Date'!I:I,"FALL"))), "")</f>
        <v/>
      </c>
      <c r="N100" s="74" t="str" cm="1">
        <f t="array" ref="N100">IFERROR(1/(1/SUM(COUNTIFS(
'YearB-AppDetails Current Date'!A:A,D100,
'YearB-AppDetails Current Date'!F:F,E100,
'YearB-AppDetails Current Date'!E:E,--F100,
'YearB-AppDetails Current Date'!V:V,{"APRO","NODE"},
'YearB-AppDetails Current Date'!I:I,"FALL"))), "")</f>
        <v/>
      </c>
      <c r="O100" s="74" t="str" cm="1">
        <f t="array" ref="O100">IFERROR(1/(1/SUM(COUNTIFS(
'YearB-AppDetails Current Date'!A:A,D100,
'YearB-AppDetails Current Date'!F:F,E100,
'YearB-AppDetails Current Date'!E:E,--F100,
'YearB-AppDetails Current Date'!T:T,{"CDMT","RQMT","WAIT"},
'YearB-AppDetails Current Date'!I:I,"FALL"))), "")</f>
        <v/>
      </c>
      <c r="P100" s="74" t="str">
        <f>IFERROR(1/(1/COUNTIFS(
'YearB-AppDetails Current Date'!A:A,D100,
'YearB-AppDetails Current Date'!F:F,E100,
'YearB-AppDetails Current Date'!E:E,--F100,
'YearB-AppDetails Current Date'!Y:Y,"ENRO",
'YearB-AppDetails Current Date'!I:I,"FALL")),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HC'!D:T,12,FALSE)),
N(VLOOKUP(D101&amp;F101,'Budgeted Projections Intl HC'!D:T,13,FALSE))
)
),"")</f>
        <v/>
      </c>
      <c r="I101" s="73" t="str">
        <f>IFERROR(1/(1/COUNTIFS(
'YearB-AppDetails Current Date'!A:A,D101,
'YearB-AppDetails Current Date'!F:F,E101,
'YearB-AppDetails Current Date'!E:E,--F101,
'YearB-AppDetails Current Date'!I:I,"FALL")), "")</f>
        <v/>
      </c>
      <c r="J101" s="74" t="str" cm="1">
        <f t="array" ref="J101">IFERROR(1/(1/SUM(COUNTIFS(
'YearB-AppDetails Current Date'!A:A,D101,
'YearB-AppDetails Current Date'!F:F,E101,
'YearB-AppDetails Current Date'!E:E,--F101,
'YearB-AppDetails Current Date'!O:O,{"ACLN","ACPT","COND"},
'YearB-AppDetails Current Date'!S:S,"&lt;&gt;ACLN",
'YearB-AppDetails Current Date'!S:S,"&lt;&gt;ACPT",
'YearB-AppDetails Current Date'!S:S,"&lt;&gt;COND",
'YearB-AppDetails Current Date'!I:I,"FALL"))), "")</f>
        <v/>
      </c>
      <c r="K101" s="73" t="str">
        <f>IFERROR(1/(1/SUM(COUNTIFS(
'YearB-AppDetails Current Date'!A:A,D101,
'YearB-AppDetails Current Date'!F:F,E101,
'YearB-AppDetails Current Date'!E:E,--F101,
'YearB-AppDetails Current Date'!R:R,"&lt;&gt;"&amp;"",
'YearB-AppDetails Current Date'!I:I,"FALL"))), "")</f>
        <v/>
      </c>
      <c r="L101" s="74" t="str" cm="1">
        <f t="array" ref="L101">IFERROR(1/(1/SUM(COUNTIFS(
'YearB-AppDetails Current Date'!A:A,D101,
'YearB-AppDetails Current Date'!F:F,E101,
'YearB-AppDetails Current Date'!E:E,--F101,
'YearB-AppDetails Current Date'!T:T,{"APEX","DENY","NTSL"},
'YearB-AppDetails Current Date'!I:I,"FALL"))), "")</f>
        <v/>
      </c>
      <c r="M101" s="74" t="str" cm="1">
        <f t="array" ref="M101">IFERROR(1/(1/SUM(COUNTIFS(
'YearB-AppDetails Current Date'!A:A,D101,
'YearB-AppDetails Current Date'!F:F,E101,
'YearB-AppDetails Current Date'!E:E,--F101,
'YearB-AppDetails Current Date'!U:U,{"CCAN","DECL"},
'YearB-AppDetails Current Date'!I:I,"FALL"))), "")</f>
        <v/>
      </c>
      <c r="N101" s="74" t="str" cm="1">
        <f t="array" ref="N101">IFERROR(1/(1/SUM(COUNTIFS(
'YearB-AppDetails Current Date'!A:A,D101,
'YearB-AppDetails Current Date'!F:F,E101,
'YearB-AppDetails Current Date'!E:E,--F101,
'YearB-AppDetails Current Date'!V:V,{"APRO","NODE"},
'YearB-AppDetails Current Date'!I:I,"FALL"))), "")</f>
        <v/>
      </c>
      <c r="O101" s="74" t="str" cm="1">
        <f t="array" ref="O101">IFERROR(1/(1/SUM(COUNTIFS(
'YearB-AppDetails Current Date'!A:A,D101,
'YearB-AppDetails Current Date'!F:F,E101,
'YearB-AppDetails Current Date'!E:E,--F101,
'YearB-AppDetails Current Date'!T:T,{"CDMT","RQMT","WAIT"},
'YearB-AppDetails Current Date'!I:I,"FALL"))), "")</f>
        <v/>
      </c>
      <c r="P101" s="74" t="str">
        <f>IFERROR(1/(1/COUNTIFS(
'YearB-AppDetails Current Date'!A:A,D101,
'YearB-AppDetails Current Date'!F:F,E101,
'YearB-AppDetails Current Date'!E:E,--F101,
'YearB-AppDetails Current Date'!Y:Y,"ENRO",
'YearB-AppDetails Current Date'!I:I,"FALL")),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HC'!D:T,12,FALSE)),
N(VLOOKUP(D102&amp;F102,'Budgeted Projections Dom HC'!D:T,13,FALSE))
)
),"")</f>
        <v/>
      </c>
      <c r="I102" s="73" t="str">
        <f>IFERROR(1/(1/COUNTIFS(
'YearB-AppDetails Current Date'!A:A,D102,
'YearB-AppDetails Current Date'!F:F,E102,
'YearB-AppDetails Current Date'!E:E,--F102,
'YearB-AppDetails Current Date'!I:I,"FALL")), "")</f>
        <v/>
      </c>
      <c r="J102" s="74" t="str" cm="1">
        <f t="array" ref="J102">IFERROR(1/(1/SUM(COUNTIFS(
'YearB-AppDetails Current Date'!A:A,D102,
'YearB-AppDetails Current Date'!F:F,E102,
'YearB-AppDetails Current Date'!E:E,--F102,
'YearB-AppDetails Current Date'!O:O,{"ACLN","ACPT","COND"},
'YearB-AppDetails Current Date'!S:S,"&lt;&gt;ACLN",
'YearB-AppDetails Current Date'!S:S,"&lt;&gt;ACPT",
'YearB-AppDetails Current Date'!S:S,"&lt;&gt;COND",
'YearB-AppDetails Current Date'!I:I,"FALL"))), "")</f>
        <v/>
      </c>
      <c r="K102" s="73" t="str">
        <f>IFERROR(1/(1/SUM(COUNTIFS(
'YearB-AppDetails Current Date'!A:A,D102,
'YearB-AppDetails Current Date'!F:F,E102,
'YearB-AppDetails Current Date'!E:E,--F102,
'YearB-AppDetails Current Date'!R:R,"&lt;&gt;"&amp;"",
'YearB-AppDetails Current Date'!I:I,"FALL"))), "")</f>
        <v/>
      </c>
      <c r="L102" s="74" t="str" cm="1">
        <f t="array" ref="L102">IFERROR(1/(1/SUM(COUNTIFS(
'YearB-AppDetails Current Date'!A:A,D102,
'YearB-AppDetails Current Date'!F:F,E102,
'YearB-AppDetails Current Date'!E:E,--F102,
'YearB-AppDetails Current Date'!T:T,{"APEX","DENY","NTSL"},
'YearB-AppDetails Current Date'!I:I,"FALL"))), "")</f>
        <v/>
      </c>
      <c r="M102" s="74" t="str" cm="1">
        <f t="array" ref="M102">IFERROR(1/(1/SUM(COUNTIFS(
'YearB-AppDetails Current Date'!A:A,D102,
'YearB-AppDetails Current Date'!F:F,E102,
'YearB-AppDetails Current Date'!E:E,--F102,
'YearB-AppDetails Current Date'!U:U,{"CCAN","DECL"},
'YearB-AppDetails Current Date'!I:I,"FALL"))), "")</f>
        <v/>
      </c>
      <c r="N102" s="74" t="str" cm="1">
        <f t="array" ref="N102">IFERROR(1/(1/SUM(COUNTIFS(
'YearB-AppDetails Current Date'!A:A,D102,
'YearB-AppDetails Current Date'!F:F,E102,
'YearB-AppDetails Current Date'!E:E,--F102,
'YearB-AppDetails Current Date'!V:V,{"APRO","NODE"},
'YearB-AppDetails Current Date'!I:I,"FALL"))), "")</f>
        <v/>
      </c>
      <c r="O102" s="74" t="str" cm="1">
        <f t="array" ref="O102">IFERROR(1/(1/SUM(COUNTIFS(
'YearB-AppDetails Current Date'!A:A,D102,
'YearB-AppDetails Current Date'!F:F,E102,
'YearB-AppDetails Current Date'!E:E,--F102,
'YearB-AppDetails Current Date'!T:T,{"CDMT","RQMT","WAIT"},
'YearB-AppDetails Current Date'!I:I,"FALL"))), "")</f>
        <v/>
      </c>
      <c r="P102" s="74" t="str">
        <f>IFERROR(1/(1/COUNTIFS(
'YearB-AppDetails Current Date'!A:A,D102,
'YearB-AppDetails Current Date'!F:F,E102,
'YearB-AppDetails Current Date'!E:E,--F102,
'YearB-AppDetails Current Date'!Y:Y,"ENRO",
'YearB-AppDetails Current Date'!I:I,"FALL")),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HC'!D:T,12,FALSE)),
N(VLOOKUP(D103&amp;F103,'Budgeted Projections Intl HC'!D:T,13,FALSE))
)
),"")</f>
        <v/>
      </c>
      <c r="I103" s="73" t="str">
        <f>IFERROR(1/(1/COUNTIFS(
'YearB-AppDetails Current Date'!A:A,D103,
'YearB-AppDetails Current Date'!F:F,E103,
'YearB-AppDetails Current Date'!E:E,--F103,
'YearB-AppDetails Current Date'!I:I,"FALL")), "")</f>
        <v/>
      </c>
      <c r="J103" s="74" t="str" cm="1">
        <f t="array" ref="J103">IFERROR(1/(1/SUM(COUNTIFS(
'YearB-AppDetails Current Date'!A:A,D103,
'YearB-AppDetails Current Date'!F:F,E103,
'YearB-AppDetails Current Date'!E:E,--F103,
'YearB-AppDetails Current Date'!O:O,{"ACLN","ACPT","COND"},
'YearB-AppDetails Current Date'!S:S,"&lt;&gt;ACLN",
'YearB-AppDetails Current Date'!S:S,"&lt;&gt;ACPT",
'YearB-AppDetails Current Date'!S:S,"&lt;&gt;COND",
'YearB-AppDetails Current Date'!I:I,"FALL"))), "")</f>
        <v/>
      </c>
      <c r="K103" s="73" t="str">
        <f>IFERROR(1/(1/SUM(COUNTIFS(
'YearB-AppDetails Current Date'!A:A,D103,
'YearB-AppDetails Current Date'!F:F,E103,
'YearB-AppDetails Current Date'!E:E,--F103,
'YearB-AppDetails Current Date'!R:R,"&lt;&gt;"&amp;"",
'YearB-AppDetails Current Date'!I:I,"FALL"))), "")</f>
        <v/>
      </c>
      <c r="L103" s="74" t="str" cm="1">
        <f t="array" ref="L103">IFERROR(1/(1/SUM(COUNTIFS(
'YearB-AppDetails Current Date'!A:A,D103,
'YearB-AppDetails Current Date'!F:F,E103,
'YearB-AppDetails Current Date'!E:E,--F103,
'YearB-AppDetails Current Date'!T:T,{"APEX","DENY","NTSL"},
'YearB-AppDetails Current Date'!I:I,"FALL"))), "")</f>
        <v/>
      </c>
      <c r="M103" s="74" t="str" cm="1">
        <f t="array" ref="M103">IFERROR(1/(1/SUM(COUNTIFS(
'YearB-AppDetails Current Date'!A:A,D103,
'YearB-AppDetails Current Date'!F:F,E103,
'YearB-AppDetails Current Date'!E:E,--F103,
'YearB-AppDetails Current Date'!U:U,{"CCAN","DECL"},
'YearB-AppDetails Current Date'!I:I,"FALL"))), "")</f>
        <v/>
      </c>
      <c r="N103" s="74" t="str" cm="1">
        <f t="array" ref="N103">IFERROR(1/(1/SUM(COUNTIFS(
'YearB-AppDetails Current Date'!A:A,D103,
'YearB-AppDetails Current Date'!F:F,E103,
'YearB-AppDetails Current Date'!E:E,--F103,
'YearB-AppDetails Current Date'!V:V,{"APRO","NODE"},
'YearB-AppDetails Current Date'!I:I,"FALL"))), "")</f>
        <v/>
      </c>
      <c r="O103" s="74" t="str" cm="1">
        <f t="array" ref="O103">IFERROR(1/(1/SUM(COUNTIFS(
'YearB-AppDetails Current Date'!A:A,D103,
'YearB-AppDetails Current Date'!F:F,E103,
'YearB-AppDetails Current Date'!E:E,--F103,
'YearB-AppDetails Current Date'!T:T,{"CDMT","RQMT","WAIT"},
'YearB-AppDetails Current Date'!I:I,"FALL"))), "")</f>
        <v/>
      </c>
      <c r="P103" s="74" t="str">
        <f>IFERROR(1/(1/COUNTIFS(
'YearB-AppDetails Current Date'!A:A,D103,
'YearB-AppDetails Current Date'!F:F,E103,
'YearB-AppDetails Current Date'!E:E,--F103,
'YearB-AppDetails Current Date'!Y:Y,"ENRO",
'YearB-AppDetails Current Date'!I:I,"FALL")),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HC'!D:T,12,FALSE)),
N(VLOOKUP(D104&amp;F104,'Budgeted Projections Dom HC'!D:T,13,FALSE))
)
),"")</f>
        <v/>
      </c>
      <c r="I104" s="73" t="str">
        <f>IFERROR(1/(1/COUNTIFS(
'YearB-AppDetails Current Date'!A:A,D104,
'YearB-AppDetails Current Date'!F:F,E104,
'YearB-AppDetails Current Date'!E:E,--F104,
'YearB-AppDetails Current Date'!I:I,"FALL")), "")</f>
        <v/>
      </c>
      <c r="J104" s="74" t="str" cm="1">
        <f t="array" ref="J104">IFERROR(1/(1/SUM(COUNTIFS(
'YearB-AppDetails Current Date'!A:A,D104,
'YearB-AppDetails Current Date'!F:F,E104,
'YearB-AppDetails Current Date'!E:E,--F104,
'YearB-AppDetails Current Date'!O:O,{"ACLN","ACPT","COND"},
'YearB-AppDetails Current Date'!S:S,"&lt;&gt;ACLN",
'YearB-AppDetails Current Date'!S:S,"&lt;&gt;ACPT",
'YearB-AppDetails Current Date'!S:S,"&lt;&gt;COND",
'YearB-AppDetails Current Date'!I:I,"FALL"))), "")</f>
        <v/>
      </c>
      <c r="K104" s="73" t="str">
        <f>IFERROR(1/(1/SUM(COUNTIFS(
'YearB-AppDetails Current Date'!A:A,D104,
'YearB-AppDetails Current Date'!F:F,E104,
'YearB-AppDetails Current Date'!E:E,--F104,
'YearB-AppDetails Current Date'!R:R,"&lt;&gt;"&amp;"",
'YearB-AppDetails Current Date'!I:I,"FALL"))), "")</f>
        <v/>
      </c>
      <c r="L104" s="74" t="str" cm="1">
        <f t="array" ref="L104">IFERROR(1/(1/SUM(COUNTIFS(
'YearB-AppDetails Current Date'!A:A,D104,
'YearB-AppDetails Current Date'!F:F,E104,
'YearB-AppDetails Current Date'!E:E,--F104,
'YearB-AppDetails Current Date'!T:T,{"APEX","DENY","NTSL"},
'YearB-AppDetails Current Date'!I:I,"FALL"))), "")</f>
        <v/>
      </c>
      <c r="M104" s="74" t="str" cm="1">
        <f t="array" ref="M104">IFERROR(1/(1/SUM(COUNTIFS(
'YearB-AppDetails Current Date'!A:A,D104,
'YearB-AppDetails Current Date'!F:F,E104,
'YearB-AppDetails Current Date'!E:E,--F104,
'YearB-AppDetails Current Date'!U:U,{"CCAN","DECL"},
'YearB-AppDetails Current Date'!I:I,"FALL"))), "")</f>
        <v/>
      </c>
      <c r="N104" s="74" t="str" cm="1">
        <f t="array" ref="N104">IFERROR(1/(1/SUM(COUNTIFS(
'YearB-AppDetails Current Date'!A:A,D104,
'YearB-AppDetails Current Date'!F:F,E104,
'YearB-AppDetails Current Date'!E:E,--F104,
'YearB-AppDetails Current Date'!V:V,{"APRO","NODE"},
'YearB-AppDetails Current Date'!I:I,"FALL"))), "")</f>
        <v/>
      </c>
      <c r="O104" s="74" t="str" cm="1">
        <f t="array" ref="O104">IFERROR(1/(1/SUM(COUNTIFS(
'YearB-AppDetails Current Date'!A:A,D104,
'YearB-AppDetails Current Date'!F:F,E104,
'YearB-AppDetails Current Date'!E:E,--F104,
'YearB-AppDetails Current Date'!T:T,{"CDMT","RQMT","WAIT"},
'YearB-AppDetails Current Date'!I:I,"FALL"))), "")</f>
        <v/>
      </c>
      <c r="P104" s="74" t="str">
        <f>IFERROR(1/(1/COUNTIFS(
'YearB-AppDetails Current Date'!A:A,D104,
'YearB-AppDetails Current Date'!F:F,E104,
'YearB-AppDetails Current Date'!E:E,--F104,
'YearB-AppDetails Current Date'!Y:Y,"ENRO",
'YearB-AppDetails Current Date'!I:I,"FALL")),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HC'!D:T,12,FALSE)),
N(VLOOKUP(D105&amp;F105,'Budgeted Projections Intl HC'!D:T,13,FALSE))
)
),"")</f>
        <v/>
      </c>
      <c r="I105" s="73" t="str">
        <f>IFERROR(1/(1/COUNTIFS(
'YearB-AppDetails Current Date'!A:A,D105,
'YearB-AppDetails Current Date'!F:F,E105,
'YearB-AppDetails Current Date'!E:E,--F105,
'YearB-AppDetails Current Date'!I:I,"FALL")), "")</f>
        <v/>
      </c>
      <c r="J105" s="74" t="str" cm="1">
        <f t="array" ref="J105">IFERROR(1/(1/SUM(COUNTIFS(
'YearB-AppDetails Current Date'!A:A,D105,
'YearB-AppDetails Current Date'!F:F,E105,
'YearB-AppDetails Current Date'!E:E,--F105,
'YearB-AppDetails Current Date'!O:O,{"ACLN","ACPT","COND"},
'YearB-AppDetails Current Date'!S:S,"&lt;&gt;ACLN",
'YearB-AppDetails Current Date'!S:S,"&lt;&gt;ACPT",
'YearB-AppDetails Current Date'!S:S,"&lt;&gt;COND",
'YearB-AppDetails Current Date'!I:I,"FALL"))), "")</f>
        <v/>
      </c>
      <c r="K105" s="73" t="str">
        <f>IFERROR(1/(1/SUM(COUNTIFS(
'YearB-AppDetails Current Date'!A:A,D105,
'YearB-AppDetails Current Date'!F:F,E105,
'YearB-AppDetails Current Date'!E:E,--F105,
'YearB-AppDetails Current Date'!R:R,"&lt;&gt;"&amp;"",
'YearB-AppDetails Current Date'!I:I,"FALL"))), "")</f>
        <v/>
      </c>
      <c r="L105" s="74" t="str" cm="1">
        <f t="array" ref="L105">IFERROR(1/(1/SUM(COUNTIFS(
'YearB-AppDetails Current Date'!A:A,D105,
'YearB-AppDetails Current Date'!F:F,E105,
'YearB-AppDetails Current Date'!E:E,--F105,
'YearB-AppDetails Current Date'!T:T,{"APEX","DENY","NTSL"},
'YearB-AppDetails Current Date'!I:I,"FALL"))), "")</f>
        <v/>
      </c>
      <c r="M105" s="74" t="str" cm="1">
        <f t="array" ref="M105">IFERROR(1/(1/SUM(COUNTIFS(
'YearB-AppDetails Current Date'!A:A,D105,
'YearB-AppDetails Current Date'!F:F,E105,
'YearB-AppDetails Current Date'!E:E,--F105,
'YearB-AppDetails Current Date'!U:U,{"CCAN","DECL"},
'YearB-AppDetails Current Date'!I:I,"FALL"))), "")</f>
        <v/>
      </c>
      <c r="N105" s="74" t="str" cm="1">
        <f t="array" ref="N105">IFERROR(1/(1/SUM(COUNTIFS(
'YearB-AppDetails Current Date'!A:A,D105,
'YearB-AppDetails Current Date'!F:F,E105,
'YearB-AppDetails Current Date'!E:E,--F105,
'YearB-AppDetails Current Date'!V:V,{"APRO","NODE"},
'YearB-AppDetails Current Date'!I:I,"FALL"))), "")</f>
        <v/>
      </c>
      <c r="O105" s="74" t="str" cm="1">
        <f t="array" ref="O105">IFERROR(1/(1/SUM(COUNTIFS(
'YearB-AppDetails Current Date'!A:A,D105,
'YearB-AppDetails Current Date'!F:F,E105,
'YearB-AppDetails Current Date'!E:E,--F105,
'YearB-AppDetails Current Date'!T:T,{"CDMT","RQMT","WAIT"},
'YearB-AppDetails Current Date'!I:I,"FALL"))), "")</f>
        <v/>
      </c>
      <c r="P105" s="74" t="str">
        <f>IFERROR(1/(1/COUNTIFS(
'YearB-AppDetails Current Date'!A:A,D105,
'YearB-AppDetails Current Date'!F:F,E105,
'YearB-AppDetails Current Date'!E:E,--F105,
'YearB-AppDetails Current Date'!Y:Y,"ENRO",
'YearB-AppDetails Current Date'!I:I,"FALL")),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HC'!D:T,12,FALSE)),
N(VLOOKUP(D106&amp;F106,'Budgeted Projections Dom HC'!D:T,13,FALSE))
)
),"")</f>
        <v/>
      </c>
      <c r="I106" s="73" t="str">
        <f>IFERROR(1/(1/COUNTIFS(
'YearB-AppDetails Current Date'!A:A,D106,
'YearB-AppDetails Current Date'!F:F,E106,
'YearB-AppDetails Current Date'!E:E,--F106,
'YearB-AppDetails Current Date'!I:I,"FALL")), "")</f>
        <v/>
      </c>
      <c r="J106" s="74" t="str" cm="1">
        <f t="array" ref="J106">IFERROR(1/(1/SUM(COUNTIFS(
'YearB-AppDetails Current Date'!A:A,D106,
'YearB-AppDetails Current Date'!F:F,E106,
'YearB-AppDetails Current Date'!E:E,--F106,
'YearB-AppDetails Current Date'!O:O,{"ACLN","ACPT","COND"},
'YearB-AppDetails Current Date'!S:S,"&lt;&gt;ACLN",
'YearB-AppDetails Current Date'!S:S,"&lt;&gt;ACPT",
'YearB-AppDetails Current Date'!S:S,"&lt;&gt;COND",
'YearB-AppDetails Current Date'!I:I,"FALL"))), "")</f>
        <v/>
      </c>
      <c r="K106" s="73" t="str">
        <f>IFERROR(1/(1/SUM(COUNTIFS(
'YearB-AppDetails Current Date'!A:A,D106,
'YearB-AppDetails Current Date'!F:F,E106,
'YearB-AppDetails Current Date'!E:E,--F106,
'YearB-AppDetails Current Date'!R:R,"&lt;&gt;"&amp;"",
'YearB-AppDetails Current Date'!I:I,"FALL"))), "")</f>
        <v/>
      </c>
      <c r="L106" s="74" t="str" cm="1">
        <f t="array" ref="L106">IFERROR(1/(1/SUM(COUNTIFS(
'YearB-AppDetails Current Date'!A:A,D106,
'YearB-AppDetails Current Date'!F:F,E106,
'YearB-AppDetails Current Date'!E:E,--F106,
'YearB-AppDetails Current Date'!T:T,{"APEX","DENY","NTSL"},
'YearB-AppDetails Current Date'!I:I,"FALL"))), "")</f>
        <v/>
      </c>
      <c r="M106" s="74" t="str" cm="1">
        <f t="array" ref="M106">IFERROR(1/(1/SUM(COUNTIFS(
'YearB-AppDetails Current Date'!A:A,D106,
'YearB-AppDetails Current Date'!F:F,E106,
'YearB-AppDetails Current Date'!E:E,--F106,
'YearB-AppDetails Current Date'!U:U,{"CCAN","DECL"},
'YearB-AppDetails Current Date'!I:I,"FALL"))), "")</f>
        <v/>
      </c>
      <c r="N106" s="74" t="str" cm="1">
        <f t="array" ref="N106">IFERROR(1/(1/SUM(COUNTIFS(
'YearB-AppDetails Current Date'!A:A,D106,
'YearB-AppDetails Current Date'!F:F,E106,
'YearB-AppDetails Current Date'!E:E,--F106,
'YearB-AppDetails Current Date'!V:V,{"APRO","NODE"},
'YearB-AppDetails Current Date'!I:I,"FALL"))), "")</f>
        <v/>
      </c>
      <c r="O106" s="74" t="str" cm="1">
        <f t="array" ref="O106">IFERROR(1/(1/SUM(COUNTIFS(
'YearB-AppDetails Current Date'!A:A,D106,
'YearB-AppDetails Current Date'!F:F,E106,
'YearB-AppDetails Current Date'!E:E,--F106,
'YearB-AppDetails Current Date'!T:T,{"CDMT","RQMT","WAIT"},
'YearB-AppDetails Current Date'!I:I,"FALL"))), "")</f>
        <v/>
      </c>
      <c r="P106" s="74" t="str">
        <f>IFERROR(1/(1/COUNTIFS(
'YearB-AppDetails Current Date'!A:A,D106,
'YearB-AppDetails Current Date'!F:F,E106,
'YearB-AppDetails Current Date'!E:E,--F106,
'YearB-AppDetails Current Date'!Y:Y,"ENRO",
'YearB-AppDetails Current Date'!I:I,"FALL")),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HC'!D:T,12,FALSE)),
N(VLOOKUP(D107&amp;F107,'Budgeted Projections Intl HC'!D:T,13,FALSE))
)
),"")</f>
        <v/>
      </c>
      <c r="I107" s="73" t="str">
        <f>IFERROR(1/(1/COUNTIFS(
'YearB-AppDetails Current Date'!A:A,D107,
'YearB-AppDetails Current Date'!F:F,E107,
'YearB-AppDetails Current Date'!E:E,--F107,
'YearB-AppDetails Current Date'!I:I,"FALL")), "")</f>
        <v/>
      </c>
      <c r="J107" s="74" t="str" cm="1">
        <f t="array" ref="J107">IFERROR(1/(1/SUM(COUNTIFS(
'YearB-AppDetails Current Date'!A:A,D107,
'YearB-AppDetails Current Date'!F:F,E107,
'YearB-AppDetails Current Date'!E:E,--F107,
'YearB-AppDetails Current Date'!O:O,{"ACLN","ACPT","COND"},
'YearB-AppDetails Current Date'!S:S,"&lt;&gt;ACLN",
'YearB-AppDetails Current Date'!S:S,"&lt;&gt;ACPT",
'YearB-AppDetails Current Date'!S:S,"&lt;&gt;COND",
'YearB-AppDetails Current Date'!I:I,"FALL"))), "")</f>
        <v/>
      </c>
      <c r="K107" s="73" t="str">
        <f>IFERROR(1/(1/SUM(COUNTIFS(
'YearB-AppDetails Current Date'!A:A,D107,
'YearB-AppDetails Current Date'!F:F,E107,
'YearB-AppDetails Current Date'!E:E,--F107,
'YearB-AppDetails Current Date'!R:R,"&lt;&gt;"&amp;"",
'YearB-AppDetails Current Date'!I:I,"FALL"))), "")</f>
        <v/>
      </c>
      <c r="L107" s="74" t="str" cm="1">
        <f t="array" ref="L107">IFERROR(1/(1/SUM(COUNTIFS(
'YearB-AppDetails Current Date'!A:A,D107,
'YearB-AppDetails Current Date'!F:F,E107,
'YearB-AppDetails Current Date'!E:E,--F107,
'YearB-AppDetails Current Date'!T:T,{"APEX","DENY","NTSL"},
'YearB-AppDetails Current Date'!I:I,"FALL"))), "")</f>
        <v/>
      </c>
      <c r="M107" s="74" t="str" cm="1">
        <f t="array" ref="M107">IFERROR(1/(1/SUM(COUNTIFS(
'YearB-AppDetails Current Date'!A:A,D107,
'YearB-AppDetails Current Date'!F:F,E107,
'YearB-AppDetails Current Date'!E:E,--F107,
'YearB-AppDetails Current Date'!U:U,{"CCAN","DECL"},
'YearB-AppDetails Current Date'!I:I,"FALL"))), "")</f>
        <v/>
      </c>
      <c r="N107" s="74" t="str" cm="1">
        <f t="array" ref="N107">IFERROR(1/(1/SUM(COUNTIFS(
'YearB-AppDetails Current Date'!A:A,D107,
'YearB-AppDetails Current Date'!F:F,E107,
'YearB-AppDetails Current Date'!E:E,--F107,
'YearB-AppDetails Current Date'!V:V,{"APRO","NODE"},
'YearB-AppDetails Current Date'!I:I,"FALL"))), "")</f>
        <v/>
      </c>
      <c r="O107" s="74" t="str" cm="1">
        <f t="array" ref="O107">IFERROR(1/(1/SUM(COUNTIFS(
'YearB-AppDetails Current Date'!A:A,D107,
'YearB-AppDetails Current Date'!F:F,E107,
'YearB-AppDetails Current Date'!E:E,--F107,
'YearB-AppDetails Current Date'!T:T,{"CDMT","RQMT","WAIT"},
'YearB-AppDetails Current Date'!I:I,"FALL"))), "")</f>
        <v/>
      </c>
      <c r="P107" s="74" t="str">
        <f>IFERROR(1/(1/COUNTIFS(
'YearB-AppDetails Current Date'!A:A,D107,
'YearB-AppDetails Current Date'!F:F,E107,
'YearB-AppDetails Current Date'!E:E,--F107,
'YearB-AppDetails Current Date'!Y:Y,"ENRO",
'YearB-AppDetails Current Date'!I:I,"FALL")),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HC'!D:T,12,FALSE)),
N(VLOOKUP(D108&amp;F108,'Budgeted Projections Dom HC'!D:T,13,FALSE))
)
),"")</f>
        <v/>
      </c>
      <c r="I108" s="73" t="str">
        <f>IFERROR(1/(1/COUNTIFS(
'YearB-AppDetails Current Date'!A:A,D108,
'YearB-AppDetails Current Date'!F:F,E108,
'YearB-AppDetails Current Date'!E:E,--F108,
'YearB-AppDetails Current Date'!I:I,"FALL")), "")</f>
        <v/>
      </c>
      <c r="J108" s="74" t="str" cm="1">
        <f t="array" ref="J108">IFERROR(1/(1/SUM(COUNTIFS(
'YearB-AppDetails Current Date'!A:A,D108,
'YearB-AppDetails Current Date'!F:F,E108,
'YearB-AppDetails Current Date'!E:E,--F108,
'YearB-AppDetails Current Date'!O:O,{"ACLN","ACPT","COND"},
'YearB-AppDetails Current Date'!S:S,"&lt;&gt;ACLN",
'YearB-AppDetails Current Date'!S:S,"&lt;&gt;ACPT",
'YearB-AppDetails Current Date'!S:S,"&lt;&gt;COND",
'YearB-AppDetails Current Date'!I:I,"FALL"))), "")</f>
        <v/>
      </c>
      <c r="K108" s="73" t="str">
        <f>IFERROR(1/(1/SUM(COUNTIFS(
'YearB-AppDetails Current Date'!A:A,D108,
'YearB-AppDetails Current Date'!F:F,E108,
'YearB-AppDetails Current Date'!E:E,--F108,
'YearB-AppDetails Current Date'!R:R,"&lt;&gt;"&amp;"",
'YearB-AppDetails Current Date'!I:I,"FALL"))), "")</f>
        <v/>
      </c>
      <c r="L108" s="74" t="str" cm="1">
        <f t="array" ref="L108">IFERROR(1/(1/SUM(COUNTIFS(
'YearB-AppDetails Current Date'!A:A,D108,
'YearB-AppDetails Current Date'!F:F,E108,
'YearB-AppDetails Current Date'!E:E,--F108,
'YearB-AppDetails Current Date'!T:T,{"APEX","DENY","NTSL"},
'YearB-AppDetails Current Date'!I:I,"FALL"))), "")</f>
        <v/>
      </c>
      <c r="M108" s="74" t="str" cm="1">
        <f t="array" ref="M108">IFERROR(1/(1/SUM(COUNTIFS(
'YearB-AppDetails Current Date'!A:A,D108,
'YearB-AppDetails Current Date'!F:F,E108,
'YearB-AppDetails Current Date'!E:E,--F108,
'YearB-AppDetails Current Date'!U:U,{"CCAN","DECL"},
'YearB-AppDetails Current Date'!I:I,"FALL"))), "")</f>
        <v/>
      </c>
      <c r="N108" s="74" t="str" cm="1">
        <f t="array" ref="N108">IFERROR(1/(1/SUM(COUNTIFS(
'YearB-AppDetails Current Date'!A:A,D108,
'YearB-AppDetails Current Date'!F:F,E108,
'YearB-AppDetails Current Date'!E:E,--F108,
'YearB-AppDetails Current Date'!V:V,{"APRO","NODE"},
'YearB-AppDetails Current Date'!I:I,"FALL"))), "")</f>
        <v/>
      </c>
      <c r="O108" s="74" t="str" cm="1">
        <f t="array" ref="O108">IFERROR(1/(1/SUM(COUNTIFS(
'YearB-AppDetails Current Date'!A:A,D108,
'YearB-AppDetails Current Date'!F:F,E108,
'YearB-AppDetails Current Date'!E:E,--F108,
'YearB-AppDetails Current Date'!T:T,{"CDMT","RQMT","WAIT"},
'YearB-AppDetails Current Date'!I:I,"FALL"))), "")</f>
        <v/>
      </c>
      <c r="P108" s="74" t="str">
        <f>IFERROR(1/(1/COUNTIFS(
'YearB-AppDetails Current Date'!A:A,D108,
'YearB-AppDetails Current Date'!F:F,E108,
'YearB-AppDetails Current Date'!E:E,--F108,
'YearB-AppDetails Current Date'!Y:Y,"ENRO",
'YearB-AppDetails Current Date'!I:I,"FALL")),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HC'!D:T,12,FALSE)),
N(VLOOKUP(D109&amp;F109,'Budgeted Projections Intl HC'!D:T,13,FALSE))
)
),"")</f>
        <v/>
      </c>
      <c r="I109" s="73" t="str">
        <f>IFERROR(1/(1/COUNTIFS(
'YearB-AppDetails Current Date'!A:A,D109,
'YearB-AppDetails Current Date'!F:F,E109,
'YearB-AppDetails Current Date'!E:E,--F109,
'YearB-AppDetails Current Date'!I:I,"FALL")), "")</f>
        <v/>
      </c>
      <c r="J109" s="74" t="str" cm="1">
        <f t="array" ref="J109">IFERROR(1/(1/SUM(COUNTIFS(
'YearB-AppDetails Current Date'!A:A,D109,
'YearB-AppDetails Current Date'!F:F,E109,
'YearB-AppDetails Current Date'!E:E,--F109,
'YearB-AppDetails Current Date'!O:O,{"ACLN","ACPT","COND"},
'YearB-AppDetails Current Date'!S:S,"&lt;&gt;ACLN",
'YearB-AppDetails Current Date'!S:S,"&lt;&gt;ACPT",
'YearB-AppDetails Current Date'!S:S,"&lt;&gt;COND",
'YearB-AppDetails Current Date'!I:I,"FALL"))), "")</f>
        <v/>
      </c>
      <c r="K109" s="73" t="str">
        <f>IFERROR(1/(1/SUM(COUNTIFS(
'YearB-AppDetails Current Date'!A:A,D109,
'YearB-AppDetails Current Date'!F:F,E109,
'YearB-AppDetails Current Date'!E:E,--F109,
'YearB-AppDetails Current Date'!R:R,"&lt;&gt;"&amp;"",
'YearB-AppDetails Current Date'!I:I,"FALL"))), "")</f>
        <v/>
      </c>
      <c r="L109" s="74" t="str" cm="1">
        <f t="array" ref="L109">IFERROR(1/(1/SUM(COUNTIFS(
'YearB-AppDetails Current Date'!A:A,D109,
'YearB-AppDetails Current Date'!F:F,E109,
'YearB-AppDetails Current Date'!E:E,--F109,
'YearB-AppDetails Current Date'!T:T,{"APEX","DENY","NTSL"},
'YearB-AppDetails Current Date'!I:I,"FALL"))), "")</f>
        <v/>
      </c>
      <c r="M109" s="74" t="str" cm="1">
        <f t="array" ref="M109">IFERROR(1/(1/SUM(COUNTIFS(
'YearB-AppDetails Current Date'!A:A,D109,
'YearB-AppDetails Current Date'!F:F,E109,
'YearB-AppDetails Current Date'!E:E,--F109,
'YearB-AppDetails Current Date'!U:U,{"CCAN","DECL"},
'YearB-AppDetails Current Date'!I:I,"FALL"))), "")</f>
        <v/>
      </c>
      <c r="N109" s="74" t="str" cm="1">
        <f t="array" ref="N109">IFERROR(1/(1/SUM(COUNTIFS(
'YearB-AppDetails Current Date'!A:A,D109,
'YearB-AppDetails Current Date'!F:F,E109,
'YearB-AppDetails Current Date'!E:E,--F109,
'YearB-AppDetails Current Date'!V:V,{"APRO","NODE"},
'YearB-AppDetails Current Date'!I:I,"FALL"))), "")</f>
        <v/>
      </c>
      <c r="O109" s="74" t="str" cm="1">
        <f t="array" ref="O109">IFERROR(1/(1/SUM(COUNTIFS(
'YearB-AppDetails Current Date'!A:A,D109,
'YearB-AppDetails Current Date'!F:F,E109,
'YearB-AppDetails Current Date'!E:E,--F109,
'YearB-AppDetails Current Date'!T:T,{"CDMT","RQMT","WAIT"},
'YearB-AppDetails Current Date'!I:I,"FALL"))), "")</f>
        <v/>
      </c>
      <c r="P109" s="74" t="str">
        <f>IFERROR(1/(1/COUNTIFS(
'YearB-AppDetails Current Date'!A:A,D109,
'YearB-AppDetails Current Date'!F:F,E109,
'YearB-AppDetails Current Date'!E:E,--F109,
'YearB-AppDetails Current Date'!Y:Y,"ENRO",
'YearB-AppDetails Current Date'!I:I,"FALL")),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HC'!D:T,12,FALSE)),
N(VLOOKUP(D110&amp;F110,'Budgeted Projections Dom HC'!D:T,13,FALSE))
)
),"")</f>
        <v/>
      </c>
      <c r="I110" s="73" t="str">
        <f>IFERROR(1/(1/COUNTIFS(
'YearB-AppDetails Current Date'!A:A,D110,
'YearB-AppDetails Current Date'!F:F,E110,
'YearB-AppDetails Current Date'!E:E,--F110,
'YearB-AppDetails Current Date'!I:I,"FALL")), "")</f>
        <v/>
      </c>
      <c r="J110" s="74" t="str" cm="1">
        <f t="array" ref="J110">IFERROR(1/(1/SUM(COUNTIFS(
'YearB-AppDetails Current Date'!A:A,D110,
'YearB-AppDetails Current Date'!F:F,E110,
'YearB-AppDetails Current Date'!E:E,--F110,
'YearB-AppDetails Current Date'!O:O,{"ACLN","ACPT","COND"},
'YearB-AppDetails Current Date'!S:S,"&lt;&gt;ACLN",
'YearB-AppDetails Current Date'!S:S,"&lt;&gt;ACPT",
'YearB-AppDetails Current Date'!S:S,"&lt;&gt;COND",
'YearB-AppDetails Current Date'!I:I,"FALL"))), "")</f>
        <v/>
      </c>
      <c r="K110" s="73" t="str">
        <f>IFERROR(1/(1/SUM(COUNTIFS(
'YearB-AppDetails Current Date'!A:A,D110,
'YearB-AppDetails Current Date'!F:F,E110,
'YearB-AppDetails Current Date'!E:E,--F110,
'YearB-AppDetails Current Date'!R:R,"&lt;&gt;"&amp;"",
'YearB-AppDetails Current Date'!I:I,"FALL"))), "")</f>
        <v/>
      </c>
      <c r="L110" s="74" t="str" cm="1">
        <f t="array" ref="L110">IFERROR(1/(1/SUM(COUNTIFS(
'YearB-AppDetails Current Date'!A:A,D110,
'YearB-AppDetails Current Date'!F:F,E110,
'YearB-AppDetails Current Date'!E:E,--F110,
'YearB-AppDetails Current Date'!T:T,{"APEX","DENY","NTSL"},
'YearB-AppDetails Current Date'!I:I,"FALL"))), "")</f>
        <v/>
      </c>
      <c r="M110" s="74" t="str" cm="1">
        <f t="array" ref="M110">IFERROR(1/(1/SUM(COUNTIFS(
'YearB-AppDetails Current Date'!A:A,D110,
'YearB-AppDetails Current Date'!F:F,E110,
'YearB-AppDetails Current Date'!E:E,--F110,
'YearB-AppDetails Current Date'!U:U,{"CCAN","DECL"},
'YearB-AppDetails Current Date'!I:I,"FALL"))), "")</f>
        <v/>
      </c>
      <c r="N110" s="74" t="str" cm="1">
        <f t="array" ref="N110">IFERROR(1/(1/SUM(COUNTIFS(
'YearB-AppDetails Current Date'!A:A,D110,
'YearB-AppDetails Current Date'!F:F,E110,
'YearB-AppDetails Current Date'!E:E,--F110,
'YearB-AppDetails Current Date'!V:V,{"APRO","NODE"},
'YearB-AppDetails Current Date'!I:I,"FALL"))), "")</f>
        <v/>
      </c>
      <c r="O110" s="74" t="str" cm="1">
        <f t="array" ref="O110">IFERROR(1/(1/SUM(COUNTIFS(
'YearB-AppDetails Current Date'!A:A,D110,
'YearB-AppDetails Current Date'!F:F,E110,
'YearB-AppDetails Current Date'!E:E,--F110,
'YearB-AppDetails Current Date'!T:T,{"CDMT","RQMT","WAIT"},
'YearB-AppDetails Current Date'!I:I,"FALL"))), "")</f>
        <v/>
      </c>
      <c r="P110" s="74" t="str">
        <f>IFERROR(1/(1/COUNTIFS(
'YearB-AppDetails Current Date'!A:A,D110,
'YearB-AppDetails Current Date'!F:F,E110,
'YearB-AppDetails Current Date'!E:E,--F110,
'YearB-AppDetails Current Date'!Y:Y,"ENRO",
'YearB-AppDetails Current Date'!I:I,"FALL")),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HC'!D:T,12,FALSE)),
N(VLOOKUP(D111&amp;F111,'Budgeted Projections Intl HC'!D:T,13,FALSE))
)
),"")</f>
        <v/>
      </c>
      <c r="I111" s="73" t="str">
        <f>IFERROR(1/(1/COUNTIFS(
'YearB-AppDetails Current Date'!A:A,D111,
'YearB-AppDetails Current Date'!F:F,E111,
'YearB-AppDetails Current Date'!E:E,--F111,
'YearB-AppDetails Current Date'!I:I,"FALL")), "")</f>
        <v/>
      </c>
      <c r="J111" s="74" t="str" cm="1">
        <f t="array" ref="J111">IFERROR(1/(1/SUM(COUNTIFS(
'YearB-AppDetails Current Date'!A:A,D111,
'YearB-AppDetails Current Date'!F:F,E111,
'YearB-AppDetails Current Date'!E:E,--F111,
'YearB-AppDetails Current Date'!O:O,{"ACLN","ACPT","COND"},
'YearB-AppDetails Current Date'!S:S,"&lt;&gt;ACLN",
'YearB-AppDetails Current Date'!S:S,"&lt;&gt;ACPT",
'YearB-AppDetails Current Date'!S:S,"&lt;&gt;COND",
'YearB-AppDetails Current Date'!I:I,"FALL"))), "")</f>
        <v/>
      </c>
      <c r="K111" s="73" t="str">
        <f>IFERROR(1/(1/SUM(COUNTIFS(
'YearB-AppDetails Current Date'!A:A,D111,
'YearB-AppDetails Current Date'!F:F,E111,
'YearB-AppDetails Current Date'!E:E,--F111,
'YearB-AppDetails Current Date'!R:R,"&lt;&gt;"&amp;"",
'YearB-AppDetails Current Date'!I:I,"FALL"))), "")</f>
        <v/>
      </c>
      <c r="L111" s="74" t="str" cm="1">
        <f t="array" ref="L111">IFERROR(1/(1/SUM(COUNTIFS(
'YearB-AppDetails Current Date'!A:A,D111,
'YearB-AppDetails Current Date'!F:F,E111,
'YearB-AppDetails Current Date'!E:E,--F111,
'YearB-AppDetails Current Date'!T:T,{"APEX","DENY","NTSL"},
'YearB-AppDetails Current Date'!I:I,"FALL"))), "")</f>
        <v/>
      </c>
      <c r="M111" s="74" t="str" cm="1">
        <f t="array" ref="M111">IFERROR(1/(1/SUM(COUNTIFS(
'YearB-AppDetails Current Date'!A:A,D111,
'YearB-AppDetails Current Date'!F:F,E111,
'YearB-AppDetails Current Date'!E:E,--F111,
'YearB-AppDetails Current Date'!U:U,{"CCAN","DECL"},
'YearB-AppDetails Current Date'!I:I,"FALL"))), "")</f>
        <v/>
      </c>
      <c r="N111" s="74" t="str" cm="1">
        <f t="array" ref="N111">IFERROR(1/(1/SUM(COUNTIFS(
'YearB-AppDetails Current Date'!A:A,D111,
'YearB-AppDetails Current Date'!F:F,E111,
'YearB-AppDetails Current Date'!E:E,--F111,
'YearB-AppDetails Current Date'!V:V,{"APRO","NODE"},
'YearB-AppDetails Current Date'!I:I,"FALL"))), "")</f>
        <v/>
      </c>
      <c r="O111" s="74" t="str" cm="1">
        <f t="array" ref="O111">IFERROR(1/(1/SUM(COUNTIFS(
'YearB-AppDetails Current Date'!A:A,D111,
'YearB-AppDetails Current Date'!F:F,E111,
'YearB-AppDetails Current Date'!E:E,--F111,
'YearB-AppDetails Current Date'!T:T,{"CDMT","RQMT","WAIT"},
'YearB-AppDetails Current Date'!I:I,"FALL"))), "")</f>
        <v/>
      </c>
      <c r="P111" s="74" t="str">
        <f>IFERROR(1/(1/COUNTIFS(
'YearB-AppDetails Current Date'!A:A,D111,
'YearB-AppDetails Current Date'!F:F,E111,
'YearB-AppDetails Current Date'!E:E,--F111,
'YearB-AppDetails Current Date'!Y:Y,"ENRO",
'YearB-AppDetails Current Date'!I:I,"FALL")),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HC'!D:T,12,FALSE)),
N(VLOOKUP(D112&amp;F112,'Budgeted Projections Dom HC'!D:T,13,FALSE))
)
),"")</f>
        <v/>
      </c>
      <c r="I112" s="73" t="str">
        <f>IFERROR(1/(1/COUNTIFS(
'YearB-AppDetails Current Date'!A:A,D112,
'YearB-AppDetails Current Date'!F:F,E112,
'YearB-AppDetails Current Date'!E:E,--F112,
'YearB-AppDetails Current Date'!I:I,"FALL")), "")</f>
        <v/>
      </c>
      <c r="J112" s="74" t="str" cm="1">
        <f t="array" ref="J112">IFERROR(1/(1/SUM(COUNTIFS(
'YearB-AppDetails Current Date'!A:A,D112,
'YearB-AppDetails Current Date'!F:F,E112,
'YearB-AppDetails Current Date'!E:E,--F112,
'YearB-AppDetails Current Date'!O:O,{"ACLN","ACPT","COND"},
'YearB-AppDetails Current Date'!S:S,"&lt;&gt;ACLN",
'YearB-AppDetails Current Date'!S:S,"&lt;&gt;ACPT",
'YearB-AppDetails Current Date'!S:S,"&lt;&gt;COND",
'YearB-AppDetails Current Date'!I:I,"FALL"))), "")</f>
        <v/>
      </c>
      <c r="K112" s="73" t="str">
        <f>IFERROR(1/(1/SUM(COUNTIFS(
'YearB-AppDetails Current Date'!A:A,D112,
'YearB-AppDetails Current Date'!F:F,E112,
'YearB-AppDetails Current Date'!E:E,--F112,
'YearB-AppDetails Current Date'!R:R,"&lt;&gt;"&amp;"",
'YearB-AppDetails Current Date'!I:I,"FALL"))), "")</f>
        <v/>
      </c>
      <c r="L112" s="74" t="str" cm="1">
        <f t="array" ref="L112">IFERROR(1/(1/SUM(COUNTIFS(
'YearB-AppDetails Current Date'!A:A,D112,
'YearB-AppDetails Current Date'!F:F,E112,
'YearB-AppDetails Current Date'!E:E,--F112,
'YearB-AppDetails Current Date'!T:T,{"APEX","DENY","NTSL"},
'YearB-AppDetails Current Date'!I:I,"FALL"))), "")</f>
        <v/>
      </c>
      <c r="M112" s="74" t="str" cm="1">
        <f t="array" ref="M112">IFERROR(1/(1/SUM(COUNTIFS(
'YearB-AppDetails Current Date'!A:A,D112,
'YearB-AppDetails Current Date'!F:F,E112,
'YearB-AppDetails Current Date'!E:E,--F112,
'YearB-AppDetails Current Date'!U:U,{"CCAN","DECL"},
'YearB-AppDetails Current Date'!I:I,"FALL"))), "")</f>
        <v/>
      </c>
      <c r="N112" s="74" t="str" cm="1">
        <f t="array" ref="N112">IFERROR(1/(1/SUM(COUNTIFS(
'YearB-AppDetails Current Date'!A:A,D112,
'YearB-AppDetails Current Date'!F:F,E112,
'YearB-AppDetails Current Date'!E:E,--F112,
'YearB-AppDetails Current Date'!V:V,{"APRO","NODE"},
'YearB-AppDetails Current Date'!I:I,"FALL"))), "")</f>
        <v/>
      </c>
      <c r="O112" s="74" t="str" cm="1">
        <f t="array" ref="O112">IFERROR(1/(1/SUM(COUNTIFS(
'YearB-AppDetails Current Date'!A:A,D112,
'YearB-AppDetails Current Date'!F:F,E112,
'YearB-AppDetails Current Date'!E:E,--F112,
'YearB-AppDetails Current Date'!T:T,{"CDMT","RQMT","WAIT"},
'YearB-AppDetails Current Date'!I:I,"FALL"))), "")</f>
        <v/>
      </c>
      <c r="P112" s="74" t="str">
        <f>IFERROR(1/(1/COUNTIFS(
'YearB-AppDetails Current Date'!A:A,D112,
'YearB-AppDetails Current Date'!F:F,E112,
'YearB-AppDetails Current Date'!E:E,--F112,
'YearB-AppDetails Current Date'!Y:Y,"ENRO",
'YearB-AppDetails Current Date'!I:I,"FALL")),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HC'!D:T,12,FALSE)),
N(VLOOKUP(D113&amp;F113,'Budgeted Projections Intl HC'!D:T,13,FALSE))
)
),"")</f>
        <v/>
      </c>
      <c r="I113" s="73" t="str">
        <f>IFERROR(1/(1/COUNTIFS(
'YearB-AppDetails Current Date'!A:A,D113,
'YearB-AppDetails Current Date'!F:F,E113,
'YearB-AppDetails Current Date'!E:E,--F113,
'YearB-AppDetails Current Date'!I:I,"FALL")), "")</f>
        <v/>
      </c>
      <c r="J113" s="74" t="str" cm="1">
        <f t="array" ref="J113">IFERROR(1/(1/SUM(COUNTIFS(
'YearB-AppDetails Current Date'!A:A,D113,
'YearB-AppDetails Current Date'!F:F,E113,
'YearB-AppDetails Current Date'!E:E,--F113,
'YearB-AppDetails Current Date'!O:O,{"ACLN","ACPT","COND"},
'YearB-AppDetails Current Date'!S:S,"&lt;&gt;ACLN",
'YearB-AppDetails Current Date'!S:S,"&lt;&gt;ACPT",
'YearB-AppDetails Current Date'!S:S,"&lt;&gt;COND",
'YearB-AppDetails Current Date'!I:I,"FALL"))), "")</f>
        <v/>
      </c>
      <c r="K113" s="73" t="str">
        <f>IFERROR(1/(1/SUM(COUNTIFS(
'YearB-AppDetails Current Date'!A:A,D113,
'YearB-AppDetails Current Date'!F:F,E113,
'YearB-AppDetails Current Date'!E:E,--F113,
'YearB-AppDetails Current Date'!R:R,"&lt;&gt;"&amp;"",
'YearB-AppDetails Current Date'!I:I,"FALL"))), "")</f>
        <v/>
      </c>
      <c r="L113" s="74" t="str" cm="1">
        <f t="array" ref="L113">IFERROR(1/(1/SUM(COUNTIFS(
'YearB-AppDetails Current Date'!A:A,D113,
'YearB-AppDetails Current Date'!F:F,E113,
'YearB-AppDetails Current Date'!E:E,--F113,
'YearB-AppDetails Current Date'!T:T,{"APEX","DENY","NTSL"},
'YearB-AppDetails Current Date'!I:I,"FALL"))), "")</f>
        <v/>
      </c>
      <c r="M113" s="74" t="str" cm="1">
        <f t="array" ref="M113">IFERROR(1/(1/SUM(COUNTIFS(
'YearB-AppDetails Current Date'!A:A,D113,
'YearB-AppDetails Current Date'!F:F,E113,
'YearB-AppDetails Current Date'!E:E,--F113,
'YearB-AppDetails Current Date'!U:U,{"CCAN","DECL"},
'YearB-AppDetails Current Date'!I:I,"FALL"))), "")</f>
        <v/>
      </c>
      <c r="N113" s="74" t="str" cm="1">
        <f t="array" ref="N113">IFERROR(1/(1/SUM(COUNTIFS(
'YearB-AppDetails Current Date'!A:A,D113,
'YearB-AppDetails Current Date'!F:F,E113,
'YearB-AppDetails Current Date'!E:E,--F113,
'YearB-AppDetails Current Date'!V:V,{"APRO","NODE"},
'YearB-AppDetails Current Date'!I:I,"FALL"))), "")</f>
        <v/>
      </c>
      <c r="O113" s="74" t="str" cm="1">
        <f t="array" ref="O113">IFERROR(1/(1/SUM(COUNTIFS(
'YearB-AppDetails Current Date'!A:A,D113,
'YearB-AppDetails Current Date'!F:F,E113,
'YearB-AppDetails Current Date'!E:E,--F113,
'YearB-AppDetails Current Date'!T:T,{"CDMT","RQMT","WAIT"},
'YearB-AppDetails Current Date'!I:I,"FALL"))), "")</f>
        <v/>
      </c>
      <c r="P113" s="74" t="str">
        <f>IFERROR(1/(1/COUNTIFS(
'YearB-AppDetails Current Date'!A:A,D113,
'YearB-AppDetails Current Date'!F:F,E113,
'YearB-AppDetails Current Date'!E:E,--F113,
'YearB-AppDetails Current Date'!Y:Y,"ENRO",
'YearB-AppDetails Current Date'!I:I,"FALL")),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HC'!D:T,12,FALSE)),
N(VLOOKUP(D114&amp;F114,'Budgeted Projections Dom HC'!D:T,13,FALSE))
)
),"")</f>
        <v/>
      </c>
      <c r="I114" s="73" t="str">
        <f>IFERROR(1/(1/COUNTIFS(
'YearB-AppDetails Current Date'!A:A,D114,
'YearB-AppDetails Current Date'!F:F,E114,
'YearB-AppDetails Current Date'!E:E,--F114,
'YearB-AppDetails Current Date'!I:I,"FALL")), "")</f>
        <v/>
      </c>
      <c r="J114" s="74" t="str" cm="1">
        <f t="array" ref="J114">IFERROR(1/(1/SUM(COUNTIFS(
'YearB-AppDetails Current Date'!A:A,D114,
'YearB-AppDetails Current Date'!F:F,E114,
'YearB-AppDetails Current Date'!E:E,--F114,
'YearB-AppDetails Current Date'!O:O,{"ACLN","ACPT","COND"},
'YearB-AppDetails Current Date'!S:S,"&lt;&gt;ACLN",
'YearB-AppDetails Current Date'!S:S,"&lt;&gt;ACPT",
'YearB-AppDetails Current Date'!S:S,"&lt;&gt;COND",
'YearB-AppDetails Current Date'!I:I,"FALL"))), "")</f>
        <v/>
      </c>
      <c r="K114" s="73" t="str">
        <f>IFERROR(1/(1/SUM(COUNTIFS(
'YearB-AppDetails Current Date'!A:A,D114,
'YearB-AppDetails Current Date'!F:F,E114,
'YearB-AppDetails Current Date'!E:E,--F114,
'YearB-AppDetails Current Date'!R:R,"&lt;&gt;"&amp;"",
'YearB-AppDetails Current Date'!I:I,"FALL"))), "")</f>
        <v/>
      </c>
      <c r="L114" s="74" t="str" cm="1">
        <f t="array" ref="L114">IFERROR(1/(1/SUM(COUNTIFS(
'YearB-AppDetails Current Date'!A:A,D114,
'YearB-AppDetails Current Date'!F:F,E114,
'YearB-AppDetails Current Date'!E:E,--F114,
'YearB-AppDetails Current Date'!T:T,{"APEX","DENY","NTSL"},
'YearB-AppDetails Current Date'!I:I,"FALL"))), "")</f>
        <v/>
      </c>
      <c r="M114" s="74" t="str" cm="1">
        <f t="array" ref="M114">IFERROR(1/(1/SUM(COUNTIFS(
'YearB-AppDetails Current Date'!A:A,D114,
'YearB-AppDetails Current Date'!F:F,E114,
'YearB-AppDetails Current Date'!E:E,--F114,
'YearB-AppDetails Current Date'!U:U,{"CCAN","DECL"},
'YearB-AppDetails Current Date'!I:I,"FALL"))), "")</f>
        <v/>
      </c>
      <c r="N114" s="74" t="str" cm="1">
        <f t="array" ref="N114">IFERROR(1/(1/SUM(COUNTIFS(
'YearB-AppDetails Current Date'!A:A,D114,
'YearB-AppDetails Current Date'!F:F,E114,
'YearB-AppDetails Current Date'!E:E,--F114,
'YearB-AppDetails Current Date'!V:V,{"APRO","NODE"},
'YearB-AppDetails Current Date'!I:I,"FALL"))), "")</f>
        <v/>
      </c>
      <c r="O114" s="74" t="str" cm="1">
        <f t="array" ref="O114">IFERROR(1/(1/SUM(COUNTIFS(
'YearB-AppDetails Current Date'!A:A,D114,
'YearB-AppDetails Current Date'!F:F,E114,
'YearB-AppDetails Current Date'!E:E,--F114,
'YearB-AppDetails Current Date'!T:T,{"CDMT","RQMT","WAIT"},
'YearB-AppDetails Current Date'!I:I,"FALL"))), "")</f>
        <v/>
      </c>
      <c r="P114" s="74" t="str">
        <f>IFERROR(1/(1/COUNTIFS(
'YearB-AppDetails Current Date'!A:A,D114,
'YearB-AppDetails Current Date'!F:F,E114,
'YearB-AppDetails Current Date'!E:E,--F114,
'YearB-AppDetails Current Date'!Y:Y,"ENRO",
'YearB-AppDetails Current Date'!I:I,"FALL")),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HC'!D:T,12,FALSE)),
N(VLOOKUP(D115&amp;F115,'Budgeted Projections Intl HC'!D:T,13,FALSE))
)
),"")</f>
        <v/>
      </c>
      <c r="I115" s="73" t="str">
        <f>IFERROR(1/(1/COUNTIFS(
'YearB-AppDetails Current Date'!A:A,D115,
'YearB-AppDetails Current Date'!F:F,E115,
'YearB-AppDetails Current Date'!E:E,--F115,
'YearB-AppDetails Current Date'!I:I,"FALL")), "")</f>
        <v/>
      </c>
      <c r="J115" s="74" t="str" cm="1">
        <f t="array" ref="J115">IFERROR(1/(1/SUM(COUNTIFS(
'YearB-AppDetails Current Date'!A:A,D115,
'YearB-AppDetails Current Date'!F:F,E115,
'YearB-AppDetails Current Date'!E:E,--F115,
'YearB-AppDetails Current Date'!O:O,{"ACLN","ACPT","COND"},
'YearB-AppDetails Current Date'!S:S,"&lt;&gt;ACLN",
'YearB-AppDetails Current Date'!S:S,"&lt;&gt;ACPT",
'YearB-AppDetails Current Date'!S:S,"&lt;&gt;COND",
'YearB-AppDetails Current Date'!I:I,"FALL"))), "")</f>
        <v/>
      </c>
      <c r="K115" s="73" t="str">
        <f>IFERROR(1/(1/SUM(COUNTIFS(
'YearB-AppDetails Current Date'!A:A,D115,
'YearB-AppDetails Current Date'!F:F,E115,
'YearB-AppDetails Current Date'!E:E,--F115,
'YearB-AppDetails Current Date'!R:R,"&lt;&gt;"&amp;"",
'YearB-AppDetails Current Date'!I:I,"FALL"))), "")</f>
        <v/>
      </c>
      <c r="L115" s="74" t="str" cm="1">
        <f t="array" ref="L115">IFERROR(1/(1/SUM(COUNTIFS(
'YearB-AppDetails Current Date'!A:A,D115,
'YearB-AppDetails Current Date'!F:F,E115,
'YearB-AppDetails Current Date'!E:E,--F115,
'YearB-AppDetails Current Date'!T:T,{"APEX","DENY","NTSL"},
'YearB-AppDetails Current Date'!I:I,"FALL"))), "")</f>
        <v/>
      </c>
      <c r="M115" s="74" t="str" cm="1">
        <f t="array" ref="M115">IFERROR(1/(1/SUM(COUNTIFS(
'YearB-AppDetails Current Date'!A:A,D115,
'YearB-AppDetails Current Date'!F:F,E115,
'YearB-AppDetails Current Date'!E:E,--F115,
'YearB-AppDetails Current Date'!U:U,{"CCAN","DECL"},
'YearB-AppDetails Current Date'!I:I,"FALL"))), "")</f>
        <v/>
      </c>
      <c r="N115" s="74" t="str" cm="1">
        <f t="array" ref="N115">IFERROR(1/(1/SUM(COUNTIFS(
'YearB-AppDetails Current Date'!A:A,D115,
'YearB-AppDetails Current Date'!F:F,E115,
'YearB-AppDetails Current Date'!E:E,--F115,
'YearB-AppDetails Current Date'!V:V,{"APRO","NODE"},
'YearB-AppDetails Current Date'!I:I,"FALL"))), "")</f>
        <v/>
      </c>
      <c r="O115" s="74" t="str" cm="1">
        <f t="array" ref="O115">IFERROR(1/(1/SUM(COUNTIFS(
'YearB-AppDetails Current Date'!A:A,D115,
'YearB-AppDetails Current Date'!F:F,E115,
'YearB-AppDetails Current Date'!E:E,--F115,
'YearB-AppDetails Current Date'!T:T,{"CDMT","RQMT","WAIT"},
'YearB-AppDetails Current Date'!I:I,"FALL"))), "")</f>
        <v/>
      </c>
      <c r="P115" s="74" t="str">
        <f>IFERROR(1/(1/COUNTIFS(
'YearB-AppDetails Current Date'!A:A,D115,
'YearB-AppDetails Current Date'!F:F,E115,
'YearB-AppDetails Current Date'!E:E,--F115,
'YearB-AppDetails Current Date'!Y:Y,"ENRO",
'YearB-AppDetails Current Date'!I:I,"FALL")),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HC'!D:T,12,FALSE)),
N(VLOOKUP(D116&amp;F116,'Budgeted Projections Dom HC'!D:T,13,FALSE))
)
),"")</f>
        <v/>
      </c>
      <c r="I116" s="73" t="str">
        <f>IFERROR(1/(1/COUNTIFS(
'YearB-AppDetails Current Date'!A:A,D116,
'YearB-AppDetails Current Date'!F:F,E116,
'YearB-AppDetails Current Date'!E:E,--F116,
'YearB-AppDetails Current Date'!I:I,"FALL")), "")</f>
        <v/>
      </c>
      <c r="J116" s="74" t="str" cm="1">
        <f t="array" ref="J116">IFERROR(1/(1/SUM(COUNTIFS(
'YearB-AppDetails Current Date'!A:A,D116,
'YearB-AppDetails Current Date'!F:F,E116,
'YearB-AppDetails Current Date'!E:E,--F116,
'YearB-AppDetails Current Date'!O:O,{"ACLN","ACPT","COND"},
'YearB-AppDetails Current Date'!S:S,"&lt;&gt;ACLN",
'YearB-AppDetails Current Date'!S:S,"&lt;&gt;ACPT",
'YearB-AppDetails Current Date'!S:S,"&lt;&gt;COND",
'YearB-AppDetails Current Date'!I:I,"FALL"))), "")</f>
        <v/>
      </c>
      <c r="K116" s="73" t="str">
        <f>IFERROR(1/(1/SUM(COUNTIFS(
'YearB-AppDetails Current Date'!A:A,D116,
'YearB-AppDetails Current Date'!F:F,E116,
'YearB-AppDetails Current Date'!E:E,--F116,
'YearB-AppDetails Current Date'!R:R,"&lt;&gt;"&amp;"",
'YearB-AppDetails Current Date'!I:I,"FALL"))), "")</f>
        <v/>
      </c>
      <c r="L116" s="74" t="str" cm="1">
        <f t="array" ref="L116">IFERROR(1/(1/SUM(COUNTIFS(
'YearB-AppDetails Current Date'!A:A,D116,
'YearB-AppDetails Current Date'!F:F,E116,
'YearB-AppDetails Current Date'!E:E,--F116,
'YearB-AppDetails Current Date'!T:T,{"APEX","DENY","NTSL"},
'YearB-AppDetails Current Date'!I:I,"FALL"))), "")</f>
        <v/>
      </c>
      <c r="M116" s="74" t="str" cm="1">
        <f t="array" ref="M116">IFERROR(1/(1/SUM(COUNTIFS(
'YearB-AppDetails Current Date'!A:A,D116,
'YearB-AppDetails Current Date'!F:F,E116,
'YearB-AppDetails Current Date'!E:E,--F116,
'YearB-AppDetails Current Date'!U:U,{"CCAN","DECL"},
'YearB-AppDetails Current Date'!I:I,"FALL"))), "")</f>
        <v/>
      </c>
      <c r="N116" s="74" t="str" cm="1">
        <f t="array" ref="N116">IFERROR(1/(1/SUM(COUNTIFS(
'YearB-AppDetails Current Date'!A:A,D116,
'YearB-AppDetails Current Date'!F:F,E116,
'YearB-AppDetails Current Date'!E:E,--F116,
'YearB-AppDetails Current Date'!V:V,{"APRO","NODE"},
'YearB-AppDetails Current Date'!I:I,"FALL"))), "")</f>
        <v/>
      </c>
      <c r="O116" s="74" t="str" cm="1">
        <f t="array" ref="O116">IFERROR(1/(1/SUM(COUNTIFS(
'YearB-AppDetails Current Date'!A:A,D116,
'YearB-AppDetails Current Date'!F:F,E116,
'YearB-AppDetails Current Date'!E:E,--F116,
'YearB-AppDetails Current Date'!T:T,{"CDMT","RQMT","WAIT"},
'YearB-AppDetails Current Date'!I:I,"FALL"))), "")</f>
        <v/>
      </c>
      <c r="P116" s="74" t="str">
        <f>IFERROR(1/(1/COUNTIFS(
'YearB-AppDetails Current Date'!A:A,D116,
'YearB-AppDetails Current Date'!F:F,E116,
'YearB-AppDetails Current Date'!E:E,--F116,
'YearB-AppDetails Current Date'!Y:Y,"ENRO",
'YearB-AppDetails Current Date'!I:I,"FALL")),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HC'!D:T,12,FALSE)),
N(VLOOKUP(D117&amp;F117,'Budgeted Projections Intl HC'!D:T,13,FALSE))
)
),"")</f>
        <v/>
      </c>
      <c r="I117" s="73" t="str">
        <f>IFERROR(1/(1/COUNTIFS(
'YearB-AppDetails Current Date'!A:A,D117,
'YearB-AppDetails Current Date'!F:F,E117,
'YearB-AppDetails Current Date'!E:E,--F117,
'YearB-AppDetails Current Date'!I:I,"FALL")), "")</f>
        <v/>
      </c>
      <c r="J117" s="74" t="str" cm="1">
        <f t="array" ref="J117">IFERROR(1/(1/SUM(COUNTIFS(
'YearB-AppDetails Current Date'!A:A,D117,
'YearB-AppDetails Current Date'!F:F,E117,
'YearB-AppDetails Current Date'!E:E,--F117,
'YearB-AppDetails Current Date'!O:O,{"ACLN","ACPT","COND"},
'YearB-AppDetails Current Date'!S:S,"&lt;&gt;ACLN",
'YearB-AppDetails Current Date'!S:S,"&lt;&gt;ACPT",
'YearB-AppDetails Current Date'!S:S,"&lt;&gt;COND",
'YearB-AppDetails Current Date'!I:I,"FALL"))), "")</f>
        <v/>
      </c>
      <c r="K117" s="73" t="str">
        <f>IFERROR(1/(1/SUM(COUNTIFS(
'YearB-AppDetails Current Date'!A:A,D117,
'YearB-AppDetails Current Date'!F:F,E117,
'YearB-AppDetails Current Date'!E:E,--F117,
'YearB-AppDetails Current Date'!R:R,"&lt;&gt;"&amp;"",
'YearB-AppDetails Current Date'!I:I,"FALL"))), "")</f>
        <v/>
      </c>
      <c r="L117" s="74" t="str" cm="1">
        <f t="array" ref="L117">IFERROR(1/(1/SUM(COUNTIFS(
'YearB-AppDetails Current Date'!A:A,D117,
'YearB-AppDetails Current Date'!F:F,E117,
'YearB-AppDetails Current Date'!E:E,--F117,
'YearB-AppDetails Current Date'!T:T,{"APEX","DENY","NTSL"},
'YearB-AppDetails Current Date'!I:I,"FALL"))), "")</f>
        <v/>
      </c>
      <c r="M117" s="74" t="str" cm="1">
        <f t="array" ref="M117">IFERROR(1/(1/SUM(COUNTIFS(
'YearB-AppDetails Current Date'!A:A,D117,
'YearB-AppDetails Current Date'!F:F,E117,
'YearB-AppDetails Current Date'!E:E,--F117,
'YearB-AppDetails Current Date'!U:U,{"CCAN","DECL"},
'YearB-AppDetails Current Date'!I:I,"FALL"))), "")</f>
        <v/>
      </c>
      <c r="N117" s="74" t="str" cm="1">
        <f t="array" ref="N117">IFERROR(1/(1/SUM(COUNTIFS(
'YearB-AppDetails Current Date'!A:A,D117,
'YearB-AppDetails Current Date'!F:F,E117,
'YearB-AppDetails Current Date'!E:E,--F117,
'YearB-AppDetails Current Date'!V:V,{"APRO","NODE"},
'YearB-AppDetails Current Date'!I:I,"FALL"))), "")</f>
        <v/>
      </c>
      <c r="O117" s="74" t="str" cm="1">
        <f t="array" ref="O117">IFERROR(1/(1/SUM(COUNTIFS(
'YearB-AppDetails Current Date'!A:A,D117,
'YearB-AppDetails Current Date'!F:F,E117,
'YearB-AppDetails Current Date'!E:E,--F117,
'YearB-AppDetails Current Date'!T:T,{"CDMT","RQMT","WAIT"},
'YearB-AppDetails Current Date'!I:I,"FALL"))), "")</f>
        <v/>
      </c>
      <c r="P117" s="74" t="str">
        <f>IFERROR(1/(1/COUNTIFS(
'YearB-AppDetails Current Date'!A:A,D117,
'YearB-AppDetails Current Date'!F:F,E117,
'YearB-AppDetails Current Date'!E:E,--F117,
'YearB-AppDetails Current Date'!Y:Y,"ENRO",
'YearB-AppDetails Current Date'!I:I,"FALL")),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HC'!D:T,12,FALSE)),
N(VLOOKUP(D118&amp;F118,'Budgeted Projections Dom HC'!D:T,13,FALSE))
)
),"")</f>
        <v/>
      </c>
      <c r="I118" s="73" t="str">
        <f>IFERROR(1/(1/COUNTIFS(
'YearB-AppDetails Current Date'!A:A,D118,
'YearB-AppDetails Current Date'!F:F,E118,
'YearB-AppDetails Current Date'!E:E,--F118,
'YearB-AppDetails Current Date'!I:I,"FALL")), "")</f>
        <v/>
      </c>
      <c r="J118" s="74" t="str" cm="1">
        <f t="array" ref="J118">IFERROR(1/(1/SUM(COUNTIFS(
'YearB-AppDetails Current Date'!A:A,D118,
'YearB-AppDetails Current Date'!F:F,E118,
'YearB-AppDetails Current Date'!E:E,--F118,
'YearB-AppDetails Current Date'!O:O,{"ACLN","ACPT","COND"},
'YearB-AppDetails Current Date'!S:S,"&lt;&gt;ACLN",
'YearB-AppDetails Current Date'!S:S,"&lt;&gt;ACPT",
'YearB-AppDetails Current Date'!S:S,"&lt;&gt;COND",
'YearB-AppDetails Current Date'!I:I,"FALL"))), "")</f>
        <v/>
      </c>
      <c r="K118" s="73" t="str">
        <f>IFERROR(1/(1/SUM(COUNTIFS(
'YearB-AppDetails Current Date'!A:A,D118,
'YearB-AppDetails Current Date'!F:F,E118,
'YearB-AppDetails Current Date'!E:E,--F118,
'YearB-AppDetails Current Date'!R:R,"&lt;&gt;"&amp;"",
'YearB-AppDetails Current Date'!I:I,"FALL"))), "")</f>
        <v/>
      </c>
      <c r="L118" s="74" t="str" cm="1">
        <f t="array" ref="L118">IFERROR(1/(1/SUM(COUNTIFS(
'YearB-AppDetails Current Date'!A:A,D118,
'YearB-AppDetails Current Date'!F:F,E118,
'YearB-AppDetails Current Date'!E:E,--F118,
'YearB-AppDetails Current Date'!T:T,{"APEX","DENY","NTSL"},
'YearB-AppDetails Current Date'!I:I,"FALL"))), "")</f>
        <v/>
      </c>
      <c r="M118" s="74" t="str" cm="1">
        <f t="array" ref="M118">IFERROR(1/(1/SUM(COUNTIFS(
'YearB-AppDetails Current Date'!A:A,D118,
'YearB-AppDetails Current Date'!F:F,E118,
'YearB-AppDetails Current Date'!E:E,--F118,
'YearB-AppDetails Current Date'!U:U,{"CCAN","DECL"},
'YearB-AppDetails Current Date'!I:I,"FALL"))), "")</f>
        <v/>
      </c>
      <c r="N118" s="74" t="str" cm="1">
        <f t="array" ref="N118">IFERROR(1/(1/SUM(COUNTIFS(
'YearB-AppDetails Current Date'!A:A,D118,
'YearB-AppDetails Current Date'!F:F,E118,
'YearB-AppDetails Current Date'!E:E,--F118,
'YearB-AppDetails Current Date'!V:V,{"APRO","NODE"},
'YearB-AppDetails Current Date'!I:I,"FALL"))), "")</f>
        <v/>
      </c>
      <c r="O118" s="74" t="str" cm="1">
        <f t="array" ref="O118">IFERROR(1/(1/SUM(COUNTIFS(
'YearB-AppDetails Current Date'!A:A,D118,
'YearB-AppDetails Current Date'!F:F,E118,
'YearB-AppDetails Current Date'!E:E,--F118,
'YearB-AppDetails Current Date'!T:T,{"CDMT","RQMT","WAIT"},
'YearB-AppDetails Current Date'!I:I,"FALL"))), "")</f>
        <v/>
      </c>
      <c r="P118" s="74" t="str">
        <f>IFERROR(1/(1/COUNTIFS(
'YearB-AppDetails Current Date'!A:A,D118,
'YearB-AppDetails Current Date'!F:F,E118,
'YearB-AppDetails Current Date'!E:E,--F118,
'YearB-AppDetails Current Date'!Y:Y,"ENRO",
'YearB-AppDetails Current Date'!I:I,"FALL")),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HC'!D:T,12,FALSE)),
N(VLOOKUP(D119&amp;F119,'Budgeted Projections Intl HC'!D:T,13,FALSE))
)
),"")</f>
        <v/>
      </c>
      <c r="I119" s="73" t="str">
        <f>IFERROR(1/(1/COUNTIFS(
'YearB-AppDetails Current Date'!A:A,D119,
'YearB-AppDetails Current Date'!F:F,E119,
'YearB-AppDetails Current Date'!E:E,--F119,
'YearB-AppDetails Current Date'!I:I,"FALL")), "")</f>
        <v/>
      </c>
      <c r="J119" s="74" t="str" cm="1">
        <f t="array" ref="J119">IFERROR(1/(1/SUM(COUNTIFS(
'YearB-AppDetails Current Date'!A:A,D119,
'YearB-AppDetails Current Date'!F:F,E119,
'YearB-AppDetails Current Date'!E:E,--F119,
'YearB-AppDetails Current Date'!O:O,{"ACLN","ACPT","COND"},
'YearB-AppDetails Current Date'!S:S,"&lt;&gt;ACLN",
'YearB-AppDetails Current Date'!S:S,"&lt;&gt;ACPT",
'YearB-AppDetails Current Date'!S:S,"&lt;&gt;COND",
'YearB-AppDetails Current Date'!I:I,"FALL"))), "")</f>
        <v/>
      </c>
      <c r="K119" s="73" t="str">
        <f>IFERROR(1/(1/SUM(COUNTIFS(
'YearB-AppDetails Current Date'!A:A,D119,
'YearB-AppDetails Current Date'!F:F,E119,
'YearB-AppDetails Current Date'!E:E,--F119,
'YearB-AppDetails Current Date'!R:R,"&lt;&gt;"&amp;"",
'YearB-AppDetails Current Date'!I:I,"FALL"))), "")</f>
        <v/>
      </c>
      <c r="L119" s="74" t="str" cm="1">
        <f t="array" ref="L119">IFERROR(1/(1/SUM(COUNTIFS(
'YearB-AppDetails Current Date'!A:A,D119,
'YearB-AppDetails Current Date'!F:F,E119,
'YearB-AppDetails Current Date'!E:E,--F119,
'YearB-AppDetails Current Date'!T:T,{"APEX","DENY","NTSL"},
'YearB-AppDetails Current Date'!I:I,"FALL"))), "")</f>
        <v/>
      </c>
      <c r="M119" s="74" t="str" cm="1">
        <f t="array" ref="M119">IFERROR(1/(1/SUM(COUNTIFS(
'YearB-AppDetails Current Date'!A:A,D119,
'YearB-AppDetails Current Date'!F:F,E119,
'YearB-AppDetails Current Date'!E:E,--F119,
'YearB-AppDetails Current Date'!U:U,{"CCAN","DECL"},
'YearB-AppDetails Current Date'!I:I,"FALL"))), "")</f>
        <v/>
      </c>
      <c r="N119" s="74" t="str" cm="1">
        <f t="array" ref="N119">IFERROR(1/(1/SUM(COUNTIFS(
'YearB-AppDetails Current Date'!A:A,D119,
'YearB-AppDetails Current Date'!F:F,E119,
'YearB-AppDetails Current Date'!E:E,--F119,
'YearB-AppDetails Current Date'!V:V,{"APRO","NODE"},
'YearB-AppDetails Current Date'!I:I,"FALL"))), "")</f>
        <v/>
      </c>
      <c r="O119" s="74" t="str" cm="1">
        <f t="array" ref="O119">IFERROR(1/(1/SUM(COUNTIFS(
'YearB-AppDetails Current Date'!A:A,D119,
'YearB-AppDetails Current Date'!F:F,E119,
'YearB-AppDetails Current Date'!E:E,--F119,
'YearB-AppDetails Current Date'!T:T,{"CDMT","RQMT","WAIT"},
'YearB-AppDetails Current Date'!I:I,"FALL"))), "")</f>
        <v/>
      </c>
      <c r="P119" s="74" t="str">
        <f>IFERROR(1/(1/COUNTIFS(
'YearB-AppDetails Current Date'!A:A,D119,
'YearB-AppDetails Current Date'!F:F,E119,
'YearB-AppDetails Current Date'!E:E,--F119,
'YearB-AppDetails Current Date'!Y:Y,"ENRO",
'YearB-AppDetails Current Date'!I:I,"FALL")),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HC'!D:T,12,FALSE)),
N(VLOOKUP(D120&amp;F120,'Budgeted Projections Dom HC'!D:T,13,FALSE))
)
),"")</f>
        <v/>
      </c>
      <c r="I120" s="73" t="str">
        <f>IFERROR(1/(1/COUNTIFS(
'YearB-AppDetails Current Date'!A:A,D120,
'YearB-AppDetails Current Date'!F:F,E120,
'YearB-AppDetails Current Date'!E:E,--F120,
'YearB-AppDetails Current Date'!I:I,"FALL")), "")</f>
        <v/>
      </c>
      <c r="J120" s="74" t="str" cm="1">
        <f t="array" ref="J120">IFERROR(1/(1/SUM(COUNTIFS(
'YearB-AppDetails Current Date'!A:A,D120,
'YearB-AppDetails Current Date'!F:F,E120,
'YearB-AppDetails Current Date'!E:E,--F120,
'YearB-AppDetails Current Date'!O:O,{"ACLN","ACPT","COND"},
'YearB-AppDetails Current Date'!S:S,"&lt;&gt;ACLN",
'YearB-AppDetails Current Date'!S:S,"&lt;&gt;ACPT",
'YearB-AppDetails Current Date'!S:S,"&lt;&gt;COND",
'YearB-AppDetails Current Date'!I:I,"FALL"))), "")</f>
        <v/>
      </c>
      <c r="K120" s="73" t="str">
        <f>IFERROR(1/(1/SUM(COUNTIFS(
'YearB-AppDetails Current Date'!A:A,D120,
'YearB-AppDetails Current Date'!F:F,E120,
'YearB-AppDetails Current Date'!E:E,--F120,
'YearB-AppDetails Current Date'!R:R,"&lt;&gt;"&amp;"",
'YearB-AppDetails Current Date'!I:I,"FALL"))), "")</f>
        <v/>
      </c>
      <c r="L120" s="74" t="str" cm="1">
        <f t="array" ref="L120">IFERROR(1/(1/SUM(COUNTIFS(
'YearB-AppDetails Current Date'!A:A,D120,
'YearB-AppDetails Current Date'!F:F,E120,
'YearB-AppDetails Current Date'!E:E,--F120,
'YearB-AppDetails Current Date'!T:T,{"APEX","DENY","NTSL"},
'YearB-AppDetails Current Date'!I:I,"FALL"))), "")</f>
        <v/>
      </c>
      <c r="M120" s="74" t="str" cm="1">
        <f t="array" ref="M120">IFERROR(1/(1/SUM(COUNTIFS(
'YearB-AppDetails Current Date'!A:A,D120,
'YearB-AppDetails Current Date'!F:F,E120,
'YearB-AppDetails Current Date'!E:E,--F120,
'YearB-AppDetails Current Date'!U:U,{"CCAN","DECL"},
'YearB-AppDetails Current Date'!I:I,"FALL"))), "")</f>
        <v/>
      </c>
      <c r="N120" s="74" t="str" cm="1">
        <f t="array" ref="N120">IFERROR(1/(1/SUM(COUNTIFS(
'YearB-AppDetails Current Date'!A:A,D120,
'YearB-AppDetails Current Date'!F:F,E120,
'YearB-AppDetails Current Date'!E:E,--F120,
'YearB-AppDetails Current Date'!V:V,{"APRO","NODE"},
'YearB-AppDetails Current Date'!I:I,"FALL"))), "")</f>
        <v/>
      </c>
      <c r="O120" s="74" t="str" cm="1">
        <f t="array" ref="O120">IFERROR(1/(1/SUM(COUNTIFS(
'YearB-AppDetails Current Date'!A:A,D120,
'YearB-AppDetails Current Date'!F:F,E120,
'YearB-AppDetails Current Date'!E:E,--F120,
'YearB-AppDetails Current Date'!T:T,{"CDMT","RQMT","WAIT"},
'YearB-AppDetails Current Date'!I:I,"FALL"))), "")</f>
        <v/>
      </c>
      <c r="P120" s="74" t="str">
        <f>IFERROR(1/(1/COUNTIFS(
'YearB-AppDetails Current Date'!A:A,D120,
'YearB-AppDetails Current Date'!F:F,E120,
'YearB-AppDetails Current Date'!E:E,--F120,
'YearB-AppDetails Current Date'!Y:Y,"ENRO",
'YearB-AppDetails Current Date'!I:I,"FALL")),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HC'!D:T,12,FALSE)),
N(VLOOKUP(D121&amp;F121,'Budgeted Projections Intl HC'!D:T,13,FALSE))
)
),"")</f>
        <v/>
      </c>
      <c r="I121" s="73" t="str">
        <f>IFERROR(1/(1/COUNTIFS(
'YearB-AppDetails Current Date'!A:A,D121,
'YearB-AppDetails Current Date'!F:F,E121,
'YearB-AppDetails Current Date'!E:E,--F121,
'YearB-AppDetails Current Date'!I:I,"FALL")), "")</f>
        <v/>
      </c>
      <c r="J121" s="74" t="str" cm="1">
        <f t="array" ref="J121">IFERROR(1/(1/SUM(COUNTIFS(
'YearB-AppDetails Current Date'!A:A,D121,
'YearB-AppDetails Current Date'!F:F,E121,
'YearB-AppDetails Current Date'!E:E,--F121,
'YearB-AppDetails Current Date'!O:O,{"ACLN","ACPT","COND"},
'YearB-AppDetails Current Date'!S:S,"&lt;&gt;ACLN",
'YearB-AppDetails Current Date'!S:S,"&lt;&gt;ACPT",
'YearB-AppDetails Current Date'!S:S,"&lt;&gt;COND",
'YearB-AppDetails Current Date'!I:I,"FALL"))), "")</f>
        <v/>
      </c>
      <c r="K121" s="73" t="str">
        <f>IFERROR(1/(1/SUM(COUNTIFS(
'YearB-AppDetails Current Date'!A:A,D121,
'YearB-AppDetails Current Date'!F:F,E121,
'YearB-AppDetails Current Date'!E:E,--F121,
'YearB-AppDetails Current Date'!R:R,"&lt;&gt;"&amp;"",
'YearB-AppDetails Current Date'!I:I,"FALL"))), "")</f>
        <v/>
      </c>
      <c r="L121" s="74" t="str" cm="1">
        <f t="array" ref="L121">IFERROR(1/(1/SUM(COUNTIFS(
'YearB-AppDetails Current Date'!A:A,D121,
'YearB-AppDetails Current Date'!F:F,E121,
'YearB-AppDetails Current Date'!E:E,--F121,
'YearB-AppDetails Current Date'!T:T,{"APEX","DENY","NTSL"},
'YearB-AppDetails Current Date'!I:I,"FALL"))), "")</f>
        <v/>
      </c>
      <c r="M121" s="74" t="str" cm="1">
        <f t="array" ref="M121">IFERROR(1/(1/SUM(COUNTIFS(
'YearB-AppDetails Current Date'!A:A,D121,
'YearB-AppDetails Current Date'!F:F,E121,
'YearB-AppDetails Current Date'!E:E,--F121,
'YearB-AppDetails Current Date'!U:U,{"CCAN","DECL"},
'YearB-AppDetails Current Date'!I:I,"FALL"))), "")</f>
        <v/>
      </c>
      <c r="N121" s="74" t="str" cm="1">
        <f t="array" ref="N121">IFERROR(1/(1/SUM(COUNTIFS(
'YearB-AppDetails Current Date'!A:A,D121,
'YearB-AppDetails Current Date'!F:F,E121,
'YearB-AppDetails Current Date'!E:E,--F121,
'YearB-AppDetails Current Date'!V:V,{"APRO","NODE"},
'YearB-AppDetails Current Date'!I:I,"FALL"))), "")</f>
        <v/>
      </c>
      <c r="O121" s="74" t="str" cm="1">
        <f t="array" ref="O121">IFERROR(1/(1/SUM(COUNTIFS(
'YearB-AppDetails Current Date'!A:A,D121,
'YearB-AppDetails Current Date'!F:F,E121,
'YearB-AppDetails Current Date'!E:E,--F121,
'YearB-AppDetails Current Date'!T:T,{"CDMT","RQMT","WAIT"},
'YearB-AppDetails Current Date'!I:I,"FALL"))), "")</f>
        <v/>
      </c>
      <c r="P121" s="74" t="str">
        <f>IFERROR(1/(1/COUNTIFS(
'YearB-AppDetails Current Date'!A:A,D121,
'YearB-AppDetails Current Date'!F:F,E121,
'YearB-AppDetails Current Date'!E:E,--F121,
'YearB-AppDetails Current Date'!Y:Y,"ENRO",
'YearB-AppDetails Current Date'!I:I,"FALL")),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HC'!D:T,12,FALSE)),
N(VLOOKUP(D122&amp;F122,'Budgeted Projections Dom HC'!D:T,13,FALSE))
)
),"")</f>
        <v/>
      </c>
      <c r="I122" s="73" t="str">
        <f>IFERROR(1/(1/COUNTIFS(
'YearB-AppDetails Current Date'!A:A,D122,
'YearB-AppDetails Current Date'!F:F,E122,
'YearB-AppDetails Current Date'!E:E,--F122,
'YearB-AppDetails Current Date'!I:I,"FALL")), "")</f>
        <v/>
      </c>
      <c r="J122" s="74" t="str" cm="1">
        <f t="array" ref="J122">IFERROR(1/(1/SUM(COUNTIFS(
'YearB-AppDetails Current Date'!A:A,D122,
'YearB-AppDetails Current Date'!F:F,E122,
'YearB-AppDetails Current Date'!E:E,--F122,
'YearB-AppDetails Current Date'!O:O,{"ACLN","ACPT","COND"},
'YearB-AppDetails Current Date'!S:S,"&lt;&gt;ACLN",
'YearB-AppDetails Current Date'!S:S,"&lt;&gt;ACPT",
'YearB-AppDetails Current Date'!S:S,"&lt;&gt;COND",
'YearB-AppDetails Current Date'!I:I,"FALL"))), "")</f>
        <v/>
      </c>
      <c r="K122" s="73" t="str">
        <f>IFERROR(1/(1/SUM(COUNTIFS(
'YearB-AppDetails Current Date'!A:A,D122,
'YearB-AppDetails Current Date'!F:F,E122,
'YearB-AppDetails Current Date'!E:E,--F122,
'YearB-AppDetails Current Date'!R:R,"&lt;&gt;"&amp;"",
'YearB-AppDetails Current Date'!I:I,"FALL"))), "")</f>
        <v/>
      </c>
      <c r="L122" s="74" t="str" cm="1">
        <f t="array" ref="L122">IFERROR(1/(1/SUM(COUNTIFS(
'YearB-AppDetails Current Date'!A:A,D122,
'YearB-AppDetails Current Date'!F:F,E122,
'YearB-AppDetails Current Date'!E:E,--F122,
'YearB-AppDetails Current Date'!T:T,{"APEX","DENY","NTSL"},
'YearB-AppDetails Current Date'!I:I,"FALL"))), "")</f>
        <v/>
      </c>
      <c r="M122" s="74" t="str" cm="1">
        <f t="array" ref="M122">IFERROR(1/(1/SUM(COUNTIFS(
'YearB-AppDetails Current Date'!A:A,D122,
'YearB-AppDetails Current Date'!F:F,E122,
'YearB-AppDetails Current Date'!E:E,--F122,
'YearB-AppDetails Current Date'!U:U,{"CCAN","DECL"},
'YearB-AppDetails Current Date'!I:I,"FALL"))), "")</f>
        <v/>
      </c>
      <c r="N122" s="74" t="str" cm="1">
        <f t="array" ref="N122">IFERROR(1/(1/SUM(COUNTIFS(
'YearB-AppDetails Current Date'!A:A,D122,
'YearB-AppDetails Current Date'!F:F,E122,
'YearB-AppDetails Current Date'!E:E,--F122,
'YearB-AppDetails Current Date'!V:V,{"APRO","NODE"},
'YearB-AppDetails Current Date'!I:I,"FALL"))), "")</f>
        <v/>
      </c>
      <c r="O122" s="74" t="str" cm="1">
        <f t="array" ref="O122">IFERROR(1/(1/SUM(COUNTIFS(
'YearB-AppDetails Current Date'!A:A,D122,
'YearB-AppDetails Current Date'!F:F,E122,
'YearB-AppDetails Current Date'!E:E,--F122,
'YearB-AppDetails Current Date'!T:T,{"CDMT","RQMT","WAIT"},
'YearB-AppDetails Current Date'!I:I,"FALL"))), "")</f>
        <v/>
      </c>
      <c r="P122" s="74" t="str">
        <f>IFERROR(1/(1/COUNTIFS(
'YearB-AppDetails Current Date'!A:A,D122,
'YearB-AppDetails Current Date'!F:F,E122,
'YearB-AppDetails Current Date'!E:E,--F122,
'YearB-AppDetails Current Date'!Y:Y,"ENRO",
'YearB-AppDetails Current Date'!I:I,"FALL")),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HC'!D:T,12,FALSE)),
N(VLOOKUP(D123&amp;F123,'Budgeted Projections Intl HC'!D:T,13,FALSE))
)
),"")</f>
        <v/>
      </c>
      <c r="I123" s="73" t="str">
        <f>IFERROR(1/(1/COUNTIFS(
'YearB-AppDetails Current Date'!A:A,D123,
'YearB-AppDetails Current Date'!F:F,E123,
'YearB-AppDetails Current Date'!E:E,--F123,
'YearB-AppDetails Current Date'!I:I,"FALL")), "")</f>
        <v/>
      </c>
      <c r="J123" s="74" t="str" cm="1">
        <f t="array" ref="J123">IFERROR(1/(1/SUM(COUNTIFS(
'YearB-AppDetails Current Date'!A:A,D123,
'YearB-AppDetails Current Date'!F:F,E123,
'YearB-AppDetails Current Date'!E:E,--F123,
'YearB-AppDetails Current Date'!O:O,{"ACLN","ACPT","COND"},
'YearB-AppDetails Current Date'!S:S,"&lt;&gt;ACLN",
'YearB-AppDetails Current Date'!S:S,"&lt;&gt;ACPT",
'YearB-AppDetails Current Date'!S:S,"&lt;&gt;COND",
'YearB-AppDetails Current Date'!I:I,"FALL"))), "")</f>
        <v/>
      </c>
      <c r="K123" s="73" t="str">
        <f>IFERROR(1/(1/SUM(COUNTIFS(
'YearB-AppDetails Current Date'!A:A,D123,
'YearB-AppDetails Current Date'!F:F,E123,
'YearB-AppDetails Current Date'!E:E,--F123,
'YearB-AppDetails Current Date'!R:R,"&lt;&gt;"&amp;"",
'YearB-AppDetails Current Date'!I:I,"FALL"))), "")</f>
        <v/>
      </c>
      <c r="L123" s="74" t="str" cm="1">
        <f t="array" ref="L123">IFERROR(1/(1/SUM(COUNTIFS(
'YearB-AppDetails Current Date'!A:A,D123,
'YearB-AppDetails Current Date'!F:F,E123,
'YearB-AppDetails Current Date'!E:E,--F123,
'YearB-AppDetails Current Date'!T:T,{"APEX","DENY","NTSL"},
'YearB-AppDetails Current Date'!I:I,"FALL"))), "")</f>
        <v/>
      </c>
      <c r="M123" s="74" t="str" cm="1">
        <f t="array" ref="M123">IFERROR(1/(1/SUM(COUNTIFS(
'YearB-AppDetails Current Date'!A:A,D123,
'YearB-AppDetails Current Date'!F:F,E123,
'YearB-AppDetails Current Date'!E:E,--F123,
'YearB-AppDetails Current Date'!U:U,{"CCAN","DECL"},
'YearB-AppDetails Current Date'!I:I,"FALL"))), "")</f>
        <v/>
      </c>
      <c r="N123" s="74" t="str" cm="1">
        <f t="array" ref="N123">IFERROR(1/(1/SUM(COUNTIFS(
'YearB-AppDetails Current Date'!A:A,D123,
'YearB-AppDetails Current Date'!F:F,E123,
'YearB-AppDetails Current Date'!E:E,--F123,
'YearB-AppDetails Current Date'!V:V,{"APRO","NODE"},
'YearB-AppDetails Current Date'!I:I,"FALL"))), "")</f>
        <v/>
      </c>
      <c r="O123" s="74" t="str" cm="1">
        <f t="array" ref="O123">IFERROR(1/(1/SUM(COUNTIFS(
'YearB-AppDetails Current Date'!A:A,D123,
'YearB-AppDetails Current Date'!F:F,E123,
'YearB-AppDetails Current Date'!E:E,--F123,
'YearB-AppDetails Current Date'!T:T,{"CDMT","RQMT","WAIT"},
'YearB-AppDetails Current Date'!I:I,"FALL"))), "")</f>
        <v/>
      </c>
      <c r="P123" s="74" t="str">
        <f>IFERROR(1/(1/COUNTIFS(
'YearB-AppDetails Current Date'!A:A,D123,
'YearB-AppDetails Current Date'!F:F,E123,
'YearB-AppDetails Current Date'!E:E,--F123,
'YearB-AppDetails Current Date'!Y:Y,"ENRO",
'YearB-AppDetails Current Date'!I:I,"FALL")),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HC'!D:T,12,FALSE)),
N(VLOOKUP(D124&amp;F124,'Budgeted Projections Dom HC'!D:T,13,FALSE))
)
),"")</f>
        <v/>
      </c>
      <c r="I124" s="73" t="str">
        <f>IFERROR(1/(1/COUNTIFS(
'YearB-AppDetails Current Date'!A:A,D124,
'YearB-AppDetails Current Date'!F:F,E124,
'YearB-AppDetails Current Date'!E:E,--F124,
'YearB-AppDetails Current Date'!I:I,"FALL")), "")</f>
        <v/>
      </c>
      <c r="J124" s="74" t="str" cm="1">
        <f t="array" ref="J124">IFERROR(1/(1/SUM(COUNTIFS(
'YearB-AppDetails Current Date'!A:A,D124,
'YearB-AppDetails Current Date'!F:F,E124,
'YearB-AppDetails Current Date'!E:E,--F124,
'YearB-AppDetails Current Date'!O:O,{"ACLN","ACPT","COND"},
'YearB-AppDetails Current Date'!S:S,"&lt;&gt;ACLN",
'YearB-AppDetails Current Date'!S:S,"&lt;&gt;ACPT",
'YearB-AppDetails Current Date'!S:S,"&lt;&gt;COND",
'YearB-AppDetails Current Date'!I:I,"FALL"))), "")</f>
        <v/>
      </c>
      <c r="K124" s="73" t="str">
        <f>IFERROR(1/(1/SUM(COUNTIFS(
'YearB-AppDetails Current Date'!A:A,D124,
'YearB-AppDetails Current Date'!F:F,E124,
'YearB-AppDetails Current Date'!E:E,--F124,
'YearB-AppDetails Current Date'!R:R,"&lt;&gt;"&amp;"",
'YearB-AppDetails Current Date'!I:I,"FALL"))), "")</f>
        <v/>
      </c>
      <c r="L124" s="74" t="str" cm="1">
        <f t="array" ref="L124">IFERROR(1/(1/SUM(COUNTIFS(
'YearB-AppDetails Current Date'!A:A,D124,
'YearB-AppDetails Current Date'!F:F,E124,
'YearB-AppDetails Current Date'!E:E,--F124,
'YearB-AppDetails Current Date'!T:T,{"APEX","DENY","NTSL"},
'YearB-AppDetails Current Date'!I:I,"FALL"))), "")</f>
        <v/>
      </c>
      <c r="M124" s="74" t="str" cm="1">
        <f t="array" ref="M124">IFERROR(1/(1/SUM(COUNTIFS(
'YearB-AppDetails Current Date'!A:A,D124,
'YearB-AppDetails Current Date'!F:F,E124,
'YearB-AppDetails Current Date'!E:E,--F124,
'YearB-AppDetails Current Date'!U:U,{"CCAN","DECL"},
'YearB-AppDetails Current Date'!I:I,"FALL"))), "")</f>
        <v/>
      </c>
      <c r="N124" s="74" t="str" cm="1">
        <f t="array" ref="N124">IFERROR(1/(1/SUM(COUNTIFS(
'YearB-AppDetails Current Date'!A:A,D124,
'YearB-AppDetails Current Date'!F:F,E124,
'YearB-AppDetails Current Date'!E:E,--F124,
'YearB-AppDetails Current Date'!V:V,{"APRO","NODE"},
'YearB-AppDetails Current Date'!I:I,"FALL"))), "")</f>
        <v/>
      </c>
      <c r="O124" s="74" t="str" cm="1">
        <f t="array" ref="O124">IFERROR(1/(1/SUM(COUNTIFS(
'YearB-AppDetails Current Date'!A:A,D124,
'YearB-AppDetails Current Date'!F:F,E124,
'YearB-AppDetails Current Date'!E:E,--F124,
'YearB-AppDetails Current Date'!T:T,{"CDMT","RQMT","WAIT"},
'YearB-AppDetails Current Date'!I:I,"FALL"))), "")</f>
        <v/>
      </c>
      <c r="P124" s="74" t="str">
        <f>IFERROR(1/(1/COUNTIFS(
'YearB-AppDetails Current Date'!A:A,D124,
'YearB-AppDetails Current Date'!F:F,E124,
'YearB-AppDetails Current Date'!E:E,--F124,
'YearB-AppDetails Current Date'!Y:Y,"ENRO",
'YearB-AppDetails Current Date'!I:I,"FALL")),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HC'!D:T,12,FALSE)),
N(VLOOKUP(D125&amp;F125,'Budgeted Projections Intl HC'!D:T,13,FALSE))
)
),"")</f>
        <v/>
      </c>
      <c r="I125" s="73" t="str">
        <f>IFERROR(1/(1/COUNTIFS(
'YearB-AppDetails Current Date'!A:A,D125,
'YearB-AppDetails Current Date'!F:F,E125,
'YearB-AppDetails Current Date'!E:E,--F125,
'YearB-AppDetails Current Date'!I:I,"FALL")), "")</f>
        <v/>
      </c>
      <c r="J125" s="74" t="str" cm="1">
        <f t="array" ref="J125">IFERROR(1/(1/SUM(COUNTIFS(
'YearB-AppDetails Current Date'!A:A,D125,
'YearB-AppDetails Current Date'!F:F,E125,
'YearB-AppDetails Current Date'!E:E,--F125,
'YearB-AppDetails Current Date'!O:O,{"ACLN","ACPT","COND"},
'YearB-AppDetails Current Date'!S:S,"&lt;&gt;ACLN",
'YearB-AppDetails Current Date'!S:S,"&lt;&gt;ACPT",
'YearB-AppDetails Current Date'!S:S,"&lt;&gt;COND",
'YearB-AppDetails Current Date'!I:I,"FALL"))), "")</f>
        <v/>
      </c>
      <c r="K125" s="73" t="str">
        <f>IFERROR(1/(1/SUM(COUNTIFS(
'YearB-AppDetails Current Date'!A:A,D125,
'YearB-AppDetails Current Date'!F:F,E125,
'YearB-AppDetails Current Date'!E:E,--F125,
'YearB-AppDetails Current Date'!R:R,"&lt;&gt;"&amp;"",
'YearB-AppDetails Current Date'!I:I,"FALL"))), "")</f>
        <v/>
      </c>
      <c r="L125" s="74" t="str" cm="1">
        <f t="array" ref="L125">IFERROR(1/(1/SUM(COUNTIFS(
'YearB-AppDetails Current Date'!A:A,D125,
'YearB-AppDetails Current Date'!F:F,E125,
'YearB-AppDetails Current Date'!E:E,--F125,
'YearB-AppDetails Current Date'!T:T,{"APEX","DENY","NTSL"},
'YearB-AppDetails Current Date'!I:I,"FALL"))), "")</f>
        <v/>
      </c>
      <c r="M125" s="74" t="str" cm="1">
        <f t="array" ref="M125">IFERROR(1/(1/SUM(COUNTIFS(
'YearB-AppDetails Current Date'!A:A,D125,
'YearB-AppDetails Current Date'!F:F,E125,
'YearB-AppDetails Current Date'!E:E,--F125,
'YearB-AppDetails Current Date'!U:U,{"CCAN","DECL"},
'YearB-AppDetails Current Date'!I:I,"FALL"))), "")</f>
        <v/>
      </c>
      <c r="N125" s="74" t="str" cm="1">
        <f t="array" ref="N125">IFERROR(1/(1/SUM(COUNTIFS(
'YearB-AppDetails Current Date'!A:A,D125,
'YearB-AppDetails Current Date'!F:F,E125,
'YearB-AppDetails Current Date'!E:E,--F125,
'YearB-AppDetails Current Date'!V:V,{"APRO","NODE"},
'YearB-AppDetails Current Date'!I:I,"FALL"))), "")</f>
        <v/>
      </c>
      <c r="O125" s="74" t="str" cm="1">
        <f t="array" ref="O125">IFERROR(1/(1/SUM(COUNTIFS(
'YearB-AppDetails Current Date'!A:A,D125,
'YearB-AppDetails Current Date'!F:F,E125,
'YearB-AppDetails Current Date'!E:E,--F125,
'YearB-AppDetails Current Date'!T:T,{"CDMT","RQMT","WAIT"},
'YearB-AppDetails Current Date'!I:I,"FALL"))), "")</f>
        <v/>
      </c>
      <c r="P125" s="74" t="str">
        <f>IFERROR(1/(1/COUNTIFS(
'YearB-AppDetails Current Date'!A:A,D125,
'YearB-AppDetails Current Date'!F:F,E125,
'YearB-AppDetails Current Date'!E:E,--F125,
'YearB-AppDetails Current Date'!Y:Y,"ENRO",
'YearB-AppDetails Current Date'!I:I,"FALL")),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HC'!D:T,12,FALSE)),
N(VLOOKUP(D126&amp;F126,'Budgeted Projections Dom HC'!D:T,13,FALSE))
)
),"")</f>
        <v/>
      </c>
      <c r="I126" s="73" t="str">
        <f>IFERROR(1/(1/COUNTIFS(
'YearB-AppDetails Current Date'!A:A,D126,
'YearB-AppDetails Current Date'!F:F,E126,
'YearB-AppDetails Current Date'!E:E,--F126,
'YearB-AppDetails Current Date'!I:I,"FALL")), "")</f>
        <v/>
      </c>
      <c r="J126" s="74" t="str" cm="1">
        <f t="array" ref="J126">IFERROR(1/(1/SUM(COUNTIFS(
'YearB-AppDetails Current Date'!A:A,D126,
'YearB-AppDetails Current Date'!F:F,E126,
'YearB-AppDetails Current Date'!E:E,--F126,
'YearB-AppDetails Current Date'!O:O,{"ACLN","ACPT","COND"},
'YearB-AppDetails Current Date'!S:S,"&lt;&gt;ACLN",
'YearB-AppDetails Current Date'!S:S,"&lt;&gt;ACPT",
'YearB-AppDetails Current Date'!S:S,"&lt;&gt;COND",
'YearB-AppDetails Current Date'!I:I,"FALL"))), "")</f>
        <v/>
      </c>
      <c r="K126" s="73" t="str">
        <f>IFERROR(1/(1/SUM(COUNTIFS(
'YearB-AppDetails Current Date'!A:A,D126,
'YearB-AppDetails Current Date'!F:F,E126,
'YearB-AppDetails Current Date'!E:E,--F126,
'YearB-AppDetails Current Date'!R:R,"&lt;&gt;"&amp;"",
'YearB-AppDetails Current Date'!I:I,"FALL"))), "")</f>
        <v/>
      </c>
      <c r="L126" s="74" t="str" cm="1">
        <f t="array" ref="L126">IFERROR(1/(1/SUM(COUNTIFS(
'YearB-AppDetails Current Date'!A:A,D126,
'YearB-AppDetails Current Date'!F:F,E126,
'YearB-AppDetails Current Date'!E:E,--F126,
'YearB-AppDetails Current Date'!T:T,{"APEX","DENY","NTSL"},
'YearB-AppDetails Current Date'!I:I,"FALL"))), "")</f>
        <v/>
      </c>
      <c r="M126" s="74" t="str" cm="1">
        <f t="array" ref="M126">IFERROR(1/(1/SUM(COUNTIFS(
'YearB-AppDetails Current Date'!A:A,D126,
'YearB-AppDetails Current Date'!F:F,E126,
'YearB-AppDetails Current Date'!E:E,--F126,
'YearB-AppDetails Current Date'!U:U,{"CCAN","DECL"},
'YearB-AppDetails Current Date'!I:I,"FALL"))), "")</f>
        <v/>
      </c>
      <c r="N126" s="74" t="str" cm="1">
        <f t="array" ref="N126">IFERROR(1/(1/SUM(COUNTIFS(
'YearB-AppDetails Current Date'!A:A,D126,
'YearB-AppDetails Current Date'!F:F,E126,
'YearB-AppDetails Current Date'!E:E,--F126,
'YearB-AppDetails Current Date'!V:V,{"APRO","NODE"},
'YearB-AppDetails Current Date'!I:I,"FALL"))), "")</f>
        <v/>
      </c>
      <c r="O126" s="74" t="str" cm="1">
        <f t="array" ref="O126">IFERROR(1/(1/SUM(COUNTIFS(
'YearB-AppDetails Current Date'!A:A,D126,
'YearB-AppDetails Current Date'!F:F,E126,
'YearB-AppDetails Current Date'!E:E,--F126,
'YearB-AppDetails Current Date'!T:T,{"CDMT","RQMT","WAIT"},
'YearB-AppDetails Current Date'!I:I,"FALL"))), "")</f>
        <v/>
      </c>
      <c r="P126" s="74" t="str">
        <f>IFERROR(1/(1/COUNTIFS(
'YearB-AppDetails Current Date'!A:A,D126,
'YearB-AppDetails Current Date'!F:F,E126,
'YearB-AppDetails Current Date'!E:E,--F126,
'YearB-AppDetails Current Date'!Y:Y,"ENRO",
'YearB-AppDetails Current Date'!I:I,"FALL")),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HC'!D:T,12,FALSE)),
N(VLOOKUP(D127&amp;F127,'Budgeted Projections Intl HC'!D:T,13,FALSE))
)
),"")</f>
        <v/>
      </c>
      <c r="I127" s="73" t="str">
        <f>IFERROR(1/(1/COUNTIFS(
'YearB-AppDetails Current Date'!A:A,D127,
'YearB-AppDetails Current Date'!F:F,E127,
'YearB-AppDetails Current Date'!E:E,--F127,
'YearB-AppDetails Current Date'!I:I,"FALL")), "")</f>
        <v/>
      </c>
      <c r="J127" s="74" t="str" cm="1">
        <f t="array" ref="J127">IFERROR(1/(1/SUM(COUNTIFS(
'YearB-AppDetails Current Date'!A:A,D127,
'YearB-AppDetails Current Date'!F:F,E127,
'YearB-AppDetails Current Date'!E:E,--F127,
'YearB-AppDetails Current Date'!O:O,{"ACLN","ACPT","COND"},
'YearB-AppDetails Current Date'!S:S,"&lt;&gt;ACLN",
'YearB-AppDetails Current Date'!S:S,"&lt;&gt;ACPT",
'YearB-AppDetails Current Date'!S:S,"&lt;&gt;COND",
'YearB-AppDetails Current Date'!I:I,"FALL"))), "")</f>
        <v/>
      </c>
      <c r="K127" s="73" t="str">
        <f>IFERROR(1/(1/SUM(COUNTIFS(
'YearB-AppDetails Current Date'!A:A,D127,
'YearB-AppDetails Current Date'!F:F,E127,
'YearB-AppDetails Current Date'!E:E,--F127,
'YearB-AppDetails Current Date'!R:R,"&lt;&gt;"&amp;"",
'YearB-AppDetails Current Date'!I:I,"FALL"))), "")</f>
        <v/>
      </c>
      <c r="L127" s="74" t="str" cm="1">
        <f t="array" ref="L127">IFERROR(1/(1/SUM(COUNTIFS(
'YearB-AppDetails Current Date'!A:A,D127,
'YearB-AppDetails Current Date'!F:F,E127,
'YearB-AppDetails Current Date'!E:E,--F127,
'YearB-AppDetails Current Date'!T:T,{"APEX","DENY","NTSL"},
'YearB-AppDetails Current Date'!I:I,"FALL"))), "")</f>
        <v/>
      </c>
      <c r="M127" s="74" t="str" cm="1">
        <f t="array" ref="M127">IFERROR(1/(1/SUM(COUNTIFS(
'YearB-AppDetails Current Date'!A:A,D127,
'YearB-AppDetails Current Date'!F:F,E127,
'YearB-AppDetails Current Date'!E:E,--F127,
'YearB-AppDetails Current Date'!U:U,{"CCAN","DECL"},
'YearB-AppDetails Current Date'!I:I,"FALL"))), "")</f>
        <v/>
      </c>
      <c r="N127" s="74" t="str" cm="1">
        <f t="array" ref="N127">IFERROR(1/(1/SUM(COUNTIFS(
'YearB-AppDetails Current Date'!A:A,D127,
'YearB-AppDetails Current Date'!F:F,E127,
'YearB-AppDetails Current Date'!E:E,--F127,
'YearB-AppDetails Current Date'!V:V,{"APRO","NODE"},
'YearB-AppDetails Current Date'!I:I,"FALL"))), "")</f>
        <v/>
      </c>
      <c r="O127" s="74" t="str" cm="1">
        <f t="array" ref="O127">IFERROR(1/(1/SUM(COUNTIFS(
'YearB-AppDetails Current Date'!A:A,D127,
'YearB-AppDetails Current Date'!F:F,E127,
'YearB-AppDetails Current Date'!E:E,--F127,
'YearB-AppDetails Current Date'!T:T,{"CDMT","RQMT","WAIT"},
'YearB-AppDetails Current Date'!I:I,"FALL"))), "")</f>
        <v/>
      </c>
      <c r="P127" s="74" t="str">
        <f>IFERROR(1/(1/COUNTIFS(
'YearB-AppDetails Current Date'!A:A,D127,
'YearB-AppDetails Current Date'!F:F,E127,
'YearB-AppDetails Current Date'!E:E,--F127,
'YearB-AppDetails Current Date'!Y:Y,"ENRO",
'YearB-AppDetails Current Date'!I:I,"FALL")),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HC'!D:T,12,FALSE)),
N(VLOOKUP(D129&amp;F129,'Budgeted Projections Dom HC'!D:T,13,FALSE))
)
),"")</f>
        <v/>
      </c>
      <c r="I129" s="73" t="str">
        <f>IFERROR(1/(1/COUNTIFS(
'YearB-AppDetails Current Date'!A:A,D129,
'YearB-AppDetails Current Date'!F:F,E129,
'YearB-AppDetails Current Date'!E:E,--F129,
'YearB-AppDetails Current Date'!I:I,"FALL")), "")</f>
        <v/>
      </c>
      <c r="J129" s="74" t="str" cm="1">
        <f t="array" ref="J129">IFERROR(1/(1/SUM(COUNTIFS(
'YearB-AppDetails Current Date'!A:A,D129,
'YearB-AppDetails Current Date'!F:F,E129,
'YearB-AppDetails Current Date'!E:E,--F129,
'YearB-AppDetails Current Date'!O:O,{"ACLN","ACPT","COND"},
'YearB-AppDetails Current Date'!S:S,"&lt;&gt;ACLN",
'YearB-AppDetails Current Date'!S:S,"&lt;&gt;ACPT",
'YearB-AppDetails Current Date'!S:S,"&lt;&gt;COND",
'YearB-AppDetails Current Date'!I:I,"FALL"))), "")</f>
        <v/>
      </c>
      <c r="K129" s="73" t="str">
        <f>IFERROR(1/(1/SUM(COUNTIFS(
'YearB-AppDetails Current Date'!A:A,D129,
'YearB-AppDetails Current Date'!F:F,E129,
'YearB-AppDetails Current Date'!E:E,--F129,
'YearB-AppDetails Current Date'!R:R,"&lt;&gt;"&amp;"",
'YearB-AppDetails Current Date'!I:I,"FALL"))), "")</f>
        <v/>
      </c>
      <c r="L129" s="74" t="str" cm="1">
        <f t="array" ref="L129">IFERROR(1/(1/SUM(COUNTIFS(
'YearB-AppDetails Current Date'!A:A,D129,
'YearB-AppDetails Current Date'!F:F,E129,
'YearB-AppDetails Current Date'!E:E,--F129,
'YearB-AppDetails Current Date'!T:T,{"APEX","DENY","NTSL"},
'YearB-AppDetails Current Date'!I:I,"FALL"))), "")</f>
        <v/>
      </c>
      <c r="M129" s="74" t="str" cm="1">
        <f t="array" ref="M129">IFERROR(1/(1/SUM(COUNTIFS(
'YearB-AppDetails Current Date'!A:A,D129,
'YearB-AppDetails Current Date'!F:F,E129,
'YearB-AppDetails Current Date'!E:E,--F129,
'YearB-AppDetails Current Date'!U:U,{"CCAN","DECL"},
'YearB-AppDetails Current Date'!I:I,"FALL"))), "")</f>
        <v/>
      </c>
      <c r="N129" s="74" t="str" cm="1">
        <f t="array" ref="N129">IFERROR(1/(1/SUM(COUNTIFS(
'YearB-AppDetails Current Date'!A:A,D129,
'YearB-AppDetails Current Date'!F:F,E129,
'YearB-AppDetails Current Date'!E:E,--F129,
'YearB-AppDetails Current Date'!V:V,{"APRO","NODE"},
'YearB-AppDetails Current Date'!I:I,"FALL"))), "")</f>
        <v/>
      </c>
      <c r="O129" s="74" t="str" cm="1">
        <f t="array" ref="O129">IFERROR(1/(1/SUM(COUNTIFS(
'YearB-AppDetails Current Date'!A:A,D129,
'YearB-AppDetails Current Date'!F:F,E129,
'YearB-AppDetails Current Date'!E:E,--F129,
'YearB-AppDetails Current Date'!T:T,{"CDMT","RQMT","WAIT"},
'YearB-AppDetails Current Date'!I:I,"FALL"))), "")</f>
        <v/>
      </c>
      <c r="P129" s="74" t="str">
        <f>IFERROR(1/(1/COUNTIFS(
'YearB-AppDetails Current Date'!A:A,D129,
'YearB-AppDetails Current Date'!F:F,E129,
'YearB-AppDetails Current Date'!E:E,--F129,
'YearB-AppDetails Current Date'!Y:Y,"ENRO",
'YearB-AppDetails Current Date'!I:I,"FALL")),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HC'!D:T,12,FALSE)),
N(VLOOKUP(D130&amp;F130,'Budgeted Projections Intl HC'!D:T,13,FALSE))
)
),"")</f>
        <v/>
      </c>
      <c r="I130" s="73" t="str">
        <f>IFERROR(1/(1/COUNTIFS(
'YearB-AppDetails Current Date'!A:A,D130,
'YearB-AppDetails Current Date'!F:F,E130,
'YearB-AppDetails Current Date'!E:E,--F130,
'YearB-AppDetails Current Date'!I:I,"FALL")), "")</f>
        <v/>
      </c>
      <c r="J130" s="74" t="str" cm="1">
        <f t="array" ref="J130">IFERROR(1/(1/SUM(COUNTIFS(
'YearB-AppDetails Current Date'!A:A,D130,
'YearB-AppDetails Current Date'!F:F,E130,
'YearB-AppDetails Current Date'!E:E,--F130,
'YearB-AppDetails Current Date'!O:O,{"ACLN","ACPT","COND"},
'YearB-AppDetails Current Date'!S:S,"&lt;&gt;ACLN",
'YearB-AppDetails Current Date'!S:S,"&lt;&gt;ACPT",
'YearB-AppDetails Current Date'!S:S,"&lt;&gt;COND",
'YearB-AppDetails Current Date'!I:I,"FALL"))), "")</f>
        <v/>
      </c>
      <c r="K130" s="73" t="str">
        <f>IFERROR(1/(1/SUM(COUNTIFS(
'YearB-AppDetails Current Date'!A:A,D130,
'YearB-AppDetails Current Date'!F:F,E130,
'YearB-AppDetails Current Date'!E:E,--F130,
'YearB-AppDetails Current Date'!R:R,"&lt;&gt;"&amp;"",
'YearB-AppDetails Current Date'!I:I,"FALL"))), "")</f>
        <v/>
      </c>
      <c r="L130" s="74" t="str" cm="1">
        <f t="array" ref="L130">IFERROR(1/(1/SUM(COUNTIFS(
'YearB-AppDetails Current Date'!A:A,D130,
'YearB-AppDetails Current Date'!F:F,E130,
'YearB-AppDetails Current Date'!E:E,--F130,
'YearB-AppDetails Current Date'!T:T,{"APEX","DENY","NTSL"},
'YearB-AppDetails Current Date'!I:I,"FALL"))), "")</f>
        <v/>
      </c>
      <c r="M130" s="74" t="str" cm="1">
        <f t="array" ref="M130">IFERROR(1/(1/SUM(COUNTIFS(
'YearB-AppDetails Current Date'!A:A,D130,
'YearB-AppDetails Current Date'!F:F,E130,
'YearB-AppDetails Current Date'!E:E,--F130,
'YearB-AppDetails Current Date'!U:U,{"CCAN","DECL"},
'YearB-AppDetails Current Date'!I:I,"FALL"))), "")</f>
        <v/>
      </c>
      <c r="N130" s="74" t="str" cm="1">
        <f t="array" ref="N130">IFERROR(1/(1/SUM(COUNTIFS(
'YearB-AppDetails Current Date'!A:A,D130,
'YearB-AppDetails Current Date'!F:F,E130,
'YearB-AppDetails Current Date'!E:E,--F130,
'YearB-AppDetails Current Date'!V:V,{"APRO","NODE"},
'YearB-AppDetails Current Date'!I:I,"FALL"))), "")</f>
        <v/>
      </c>
      <c r="O130" s="74" t="str" cm="1">
        <f t="array" ref="O130">IFERROR(1/(1/SUM(COUNTIFS(
'YearB-AppDetails Current Date'!A:A,D130,
'YearB-AppDetails Current Date'!F:F,E130,
'YearB-AppDetails Current Date'!E:E,--F130,
'YearB-AppDetails Current Date'!T:T,{"CDMT","RQMT","WAIT"},
'YearB-AppDetails Current Date'!I:I,"FALL"))), "")</f>
        <v/>
      </c>
      <c r="P130" s="74" t="str">
        <f>IFERROR(1/(1/COUNTIFS(
'YearB-AppDetails Current Date'!A:A,D130,
'YearB-AppDetails Current Date'!F:F,E130,
'YearB-AppDetails Current Date'!E:E,--F130,
'YearB-AppDetails Current Date'!Y:Y,"ENRO",
'YearB-AppDetails Current Date'!I:I,"FALL")),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HC'!D:T,12,FALSE)),
N(VLOOKUP(D131&amp;F131,'Budgeted Projections Dom HC'!D:T,13,FALSE))
)
),"")</f>
        <v/>
      </c>
      <c r="I131" s="73" t="str">
        <f>IFERROR(1/(1/COUNTIFS(
'YearB-AppDetails Current Date'!A:A,D131,
'YearB-AppDetails Current Date'!F:F,E131,
'YearB-AppDetails Current Date'!E:E,--F131,
'YearB-AppDetails Current Date'!I:I,"FALL")), "")</f>
        <v/>
      </c>
      <c r="J131" s="74" t="str" cm="1">
        <f t="array" ref="J131">IFERROR(1/(1/SUM(COUNTIFS(
'YearB-AppDetails Current Date'!A:A,D131,
'YearB-AppDetails Current Date'!F:F,E131,
'YearB-AppDetails Current Date'!E:E,--F131,
'YearB-AppDetails Current Date'!O:O,{"ACLN","ACPT","COND"},
'YearB-AppDetails Current Date'!S:S,"&lt;&gt;ACLN",
'YearB-AppDetails Current Date'!S:S,"&lt;&gt;ACPT",
'YearB-AppDetails Current Date'!S:S,"&lt;&gt;COND",
'YearB-AppDetails Current Date'!I:I,"FALL"))), "")</f>
        <v/>
      </c>
      <c r="K131" s="73" t="str">
        <f>IFERROR(1/(1/SUM(COUNTIFS(
'YearB-AppDetails Current Date'!A:A,D131,
'YearB-AppDetails Current Date'!F:F,E131,
'YearB-AppDetails Current Date'!E:E,--F131,
'YearB-AppDetails Current Date'!R:R,"&lt;&gt;"&amp;"",
'YearB-AppDetails Current Date'!I:I,"FALL"))), "")</f>
        <v/>
      </c>
      <c r="L131" s="74" t="str" cm="1">
        <f t="array" ref="L131">IFERROR(1/(1/SUM(COUNTIFS(
'YearB-AppDetails Current Date'!A:A,D131,
'YearB-AppDetails Current Date'!F:F,E131,
'YearB-AppDetails Current Date'!E:E,--F131,
'YearB-AppDetails Current Date'!T:T,{"APEX","DENY","NTSL"},
'YearB-AppDetails Current Date'!I:I,"FALL"))), "")</f>
        <v/>
      </c>
      <c r="M131" s="74" t="str" cm="1">
        <f t="array" ref="M131">IFERROR(1/(1/SUM(COUNTIFS(
'YearB-AppDetails Current Date'!A:A,D131,
'YearB-AppDetails Current Date'!F:F,E131,
'YearB-AppDetails Current Date'!E:E,--F131,
'YearB-AppDetails Current Date'!U:U,{"CCAN","DECL"},
'YearB-AppDetails Current Date'!I:I,"FALL"))), "")</f>
        <v/>
      </c>
      <c r="N131" s="74" t="str" cm="1">
        <f t="array" ref="N131">IFERROR(1/(1/SUM(COUNTIFS(
'YearB-AppDetails Current Date'!A:A,D131,
'YearB-AppDetails Current Date'!F:F,E131,
'YearB-AppDetails Current Date'!E:E,--F131,
'YearB-AppDetails Current Date'!V:V,{"APRO","NODE"},
'YearB-AppDetails Current Date'!I:I,"FALL"))), "")</f>
        <v/>
      </c>
      <c r="O131" s="74" t="str" cm="1">
        <f t="array" ref="O131">IFERROR(1/(1/SUM(COUNTIFS(
'YearB-AppDetails Current Date'!A:A,D131,
'YearB-AppDetails Current Date'!F:F,E131,
'YearB-AppDetails Current Date'!E:E,--F131,
'YearB-AppDetails Current Date'!T:T,{"CDMT","RQMT","WAIT"},
'YearB-AppDetails Current Date'!I:I,"FALL"))), "")</f>
        <v/>
      </c>
      <c r="P131" s="74" t="str">
        <f>IFERROR(1/(1/COUNTIFS(
'YearB-AppDetails Current Date'!A:A,D131,
'YearB-AppDetails Current Date'!F:F,E131,
'YearB-AppDetails Current Date'!E:E,--F131,
'YearB-AppDetails Current Date'!Y:Y,"ENRO",
'YearB-AppDetails Current Date'!I:I,"FALL")),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HC'!D:T,12,FALSE)),
N(VLOOKUP(D132&amp;F132,'Budgeted Projections Intl HC'!D:T,13,FALSE))
)
),"")</f>
        <v/>
      </c>
      <c r="I132" s="73" t="str">
        <f>IFERROR(1/(1/COUNTIFS(
'YearB-AppDetails Current Date'!A:A,D132,
'YearB-AppDetails Current Date'!F:F,E132,
'YearB-AppDetails Current Date'!E:E,--F132,
'YearB-AppDetails Current Date'!I:I,"FALL")), "")</f>
        <v/>
      </c>
      <c r="J132" s="74" t="str" cm="1">
        <f t="array" ref="J132">IFERROR(1/(1/SUM(COUNTIFS(
'YearB-AppDetails Current Date'!A:A,D132,
'YearB-AppDetails Current Date'!F:F,E132,
'YearB-AppDetails Current Date'!E:E,--F132,
'YearB-AppDetails Current Date'!O:O,{"ACLN","ACPT","COND"},
'YearB-AppDetails Current Date'!S:S,"&lt;&gt;ACLN",
'YearB-AppDetails Current Date'!S:S,"&lt;&gt;ACPT",
'YearB-AppDetails Current Date'!S:S,"&lt;&gt;COND",
'YearB-AppDetails Current Date'!I:I,"FALL"))), "")</f>
        <v/>
      </c>
      <c r="K132" s="73" t="str">
        <f>IFERROR(1/(1/SUM(COUNTIFS(
'YearB-AppDetails Current Date'!A:A,D132,
'YearB-AppDetails Current Date'!F:F,E132,
'YearB-AppDetails Current Date'!E:E,--F132,
'YearB-AppDetails Current Date'!R:R,"&lt;&gt;"&amp;"",
'YearB-AppDetails Current Date'!I:I,"FALL"))), "")</f>
        <v/>
      </c>
      <c r="L132" s="74" t="str" cm="1">
        <f t="array" ref="L132">IFERROR(1/(1/SUM(COUNTIFS(
'YearB-AppDetails Current Date'!A:A,D132,
'YearB-AppDetails Current Date'!F:F,E132,
'YearB-AppDetails Current Date'!E:E,--F132,
'YearB-AppDetails Current Date'!T:T,{"APEX","DENY","NTSL"},
'YearB-AppDetails Current Date'!I:I,"FALL"))), "")</f>
        <v/>
      </c>
      <c r="M132" s="74" t="str" cm="1">
        <f t="array" ref="M132">IFERROR(1/(1/SUM(COUNTIFS(
'YearB-AppDetails Current Date'!A:A,D132,
'YearB-AppDetails Current Date'!F:F,E132,
'YearB-AppDetails Current Date'!E:E,--F132,
'YearB-AppDetails Current Date'!U:U,{"CCAN","DECL"},
'YearB-AppDetails Current Date'!I:I,"FALL"))), "")</f>
        <v/>
      </c>
      <c r="N132" s="74" t="str" cm="1">
        <f t="array" ref="N132">IFERROR(1/(1/SUM(COUNTIFS(
'YearB-AppDetails Current Date'!A:A,D132,
'YearB-AppDetails Current Date'!F:F,E132,
'YearB-AppDetails Current Date'!E:E,--F132,
'YearB-AppDetails Current Date'!V:V,{"APRO","NODE"},
'YearB-AppDetails Current Date'!I:I,"FALL"))), "")</f>
        <v/>
      </c>
      <c r="O132" s="74" t="str" cm="1">
        <f t="array" ref="O132">IFERROR(1/(1/SUM(COUNTIFS(
'YearB-AppDetails Current Date'!A:A,D132,
'YearB-AppDetails Current Date'!F:F,E132,
'YearB-AppDetails Current Date'!E:E,--F132,
'YearB-AppDetails Current Date'!T:T,{"CDMT","RQMT","WAIT"},
'YearB-AppDetails Current Date'!I:I,"FALL"))), "")</f>
        <v/>
      </c>
      <c r="P132" s="74" t="str">
        <f>IFERROR(1/(1/COUNTIFS(
'YearB-AppDetails Current Date'!A:A,D132,
'YearB-AppDetails Current Date'!F:F,E132,
'YearB-AppDetails Current Date'!E:E,--F132,
'YearB-AppDetails Current Date'!Y:Y,"ENRO",
'YearB-AppDetails Current Date'!I:I,"FALL")),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HC'!D:T,12,FALSE)),
N(VLOOKUP(D133&amp;F133,'Budgeted Projections Dom HC'!D:T,13,FALSE))
)
),"")</f>
        <v/>
      </c>
      <c r="I133" s="73" t="str">
        <f>IFERROR(1/(1/COUNTIFS(
'YearB-AppDetails Current Date'!A:A,D133,
'YearB-AppDetails Current Date'!F:F,E133,
'YearB-AppDetails Current Date'!E:E,--F133,
'YearB-AppDetails Current Date'!I:I,"FALL")), "")</f>
        <v/>
      </c>
      <c r="J133" s="74" t="str" cm="1">
        <f t="array" ref="J133">IFERROR(1/(1/SUM(COUNTIFS(
'YearB-AppDetails Current Date'!A:A,D133,
'YearB-AppDetails Current Date'!F:F,E133,
'YearB-AppDetails Current Date'!E:E,--F133,
'YearB-AppDetails Current Date'!O:O,{"ACLN","ACPT","COND"},
'YearB-AppDetails Current Date'!S:S,"&lt;&gt;ACLN",
'YearB-AppDetails Current Date'!S:S,"&lt;&gt;ACPT",
'YearB-AppDetails Current Date'!S:S,"&lt;&gt;COND",
'YearB-AppDetails Current Date'!I:I,"FALL"))), "")</f>
        <v/>
      </c>
      <c r="K133" s="73" t="str">
        <f>IFERROR(1/(1/SUM(COUNTIFS(
'YearB-AppDetails Current Date'!A:A,D133,
'YearB-AppDetails Current Date'!F:F,E133,
'YearB-AppDetails Current Date'!E:E,--F133,
'YearB-AppDetails Current Date'!R:R,"&lt;&gt;"&amp;"",
'YearB-AppDetails Current Date'!I:I,"FALL"))), "")</f>
        <v/>
      </c>
      <c r="L133" s="74" t="str" cm="1">
        <f t="array" ref="L133">IFERROR(1/(1/SUM(COUNTIFS(
'YearB-AppDetails Current Date'!A:A,D133,
'YearB-AppDetails Current Date'!F:F,E133,
'YearB-AppDetails Current Date'!E:E,--F133,
'YearB-AppDetails Current Date'!T:T,{"APEX","DENY","NTSL"},
'YearB-AppDetails Current Date'!I:I,"FALL"))), "")</f>
        <v/>
      </c>
      <c r="M133" s="74" t="str" cm="1">
        <f t="array" ref="M133">IFERROR(1/(1/SUM(COUNTIFS(
'YearB-AppDetails Current Date'!A:A,D133,
'YearB-AppDetails Current Date'!F:F,E133,
'YearB-AppDetails Current Date'!E:E,--F133,
'YearB-AppDetails Current Date'!U:U,{"CCAN","DECL"},
'YearB-AppDetails Current Date'!I:I,"FALL"))), "")</f>
        <v/>
      </c>
      <c r="N133" s="74" t="str" cm="1">
        <f t="array" ref="N133">IFERROR(1/(1/SUM(COUNTIFS(
'YearB-AppDetails Current Date'!A:A,D133,
'YearB-AppDetails Current Date'!F:F,E133,
'YearB-AppDetails Current Date'!E:E,--F133,
'YearB-AppDetails Current Date'!V:V,{"APRO","NODE"},
'YearB-AppDetails Current Date'!I:I,"FALL"))), "")</f>
        <v/>
      </c>
      <c r="O133" s="74" t="str" cm="1">
        <f t="array" ref="O133">IFERROR(1/(1/SUM(COUNTIFS(
'YearB-AppDetails Current Date'!A:A,D133,
'YearB-AppDetails Current Date'!F:F,E133,
'YearB-AppDetails Current Date'!E:E,--F133,
'YearB-AppDetails Current Date'!T:T,{"CDMT","RQMT","WAIT"},
'YearB-AppDetails Current Date'!I:I,"FALL"))), "")</f>
        <v/>
      </c>
      <c r="P133" s="74" t="str">
        <f>IFERROR(1/(1/COUNTIFS(
'YearB-AppDetails Current Date'!A:A,D133,
'YearB-AppDetails Current Date'!F:F,E133,
'YearB-AppDetails Current Date'!E:E,--F133,
'YearB-AppDetails Current Date'!Y:Y,"ENRO",
'YearB-AppDetails Current Date'!I:I,"FALL")),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HC'!D:T,12,FALSE)),
N(VLOOKUP(D134&amp;F134,'Budgeted Projections Intl HC'!D:T,13,FALSE))
)
),"")</f>
        <v/>
      </c>
      <c r="I134" s="73" t="str">
        <f>IFERROR(1/(1/COUNTIFS(
'YearB-AppDetails Current Date'!A:A,D134,
'YearB-AppDetails Current Date'!F:F,E134,
'YearB-AppDetails Current Date'!E:E,--F134,
'YearB-AppDetails Current Date'!I:I,"FALL")), "")</f>
        <v/>
      </c>
      <c r="J134" s="74" t="str" cm="1">
        <f t="array" ref="J134">IFERROR(1/(1/SUM(COUNTIFS(
'YearB-AppDetails Current Date'!A:A,D134,
'YearB-AppDetails Current Date'!F:F,E134,
'YearB-AppDetails Current Date'!E:E,--F134,
'YearB-AppDetails Current Date'!O:O,{"ACLN","ACPT","COND"},
'YearB-AppDetails Current Date'!S:S,"&lt;&gt;ACLN",
'YearB-AppDetails Current Date'!S:S,"&lt;&gt;ACPT",
'YearB-AppDetails Current Date'!S:S,"&lt;&gt;COND",
'YearB-AppDetails Current Date'!I:I,"FALL"))), "")</f>
        <v/>
      </c>
      <c r="K134" s="73" t="str">
        <f>IFERROR(1/(1/SUM(COUNTIFS(
'YearB-AppDetails Current Date'!A:A,D134,
'YearB-AppDetails Current Date'!F:F,E134,
'YearB-AppDetails Current Date'!E:E,--F134,
'YearB-AppDetails Current Date'!R:R,"&lt;&gt;"&amp;"",
'YearB-AppDetails Current Date'!I:I,"FALL"))), "")</f>
        <v/>
      </c>
      <c r="L134" s="74" t="str" cm="1">
        <f t="array" ref="L134">IFERROR(1/(1/SUM(COUNTIFS(
'YearB-AppDetails Current Date'!A:A,D134,
'YearB-AppDetails Current Date'!F:F,E134,
'YearB-AppDetails Current Date'!E:E,--F134,
'YearB-AppDetails Current Date'!T:T,{"APEX","DENY","NTSL"},
'YearB-AppDetails Current Date'!I:I,"FALL"))), "")</f>
        <v/>
      </c>
      <c r="M134" s="74" t="str" cm="1">
        <f t="array" ref="M134">IFERROR(1/(1/SUM(COUNTIFS(
'YearB-AppDetails Current Date'!A:A,D134,
'YearB-AppDetails Current Date'!F:F,E134,
'YearB-AppDetails Current Date'!E:E,--F134,
'YearB-AppDetails Current Date'!U:U,{"CCAN","DECL"},
'YearB-AppDetails Current Date'!I:I,"FALL"))), "")</f>
        <v/>
      </c>
      <c r="N134" s="74" t="str" cm="1">
        <f t="array" ref="N134">IFERROR(1/(1/SUM(COUNTIFS(
'YearB-AppDetails Current Date'!A:A,D134,
'YearB-AppDetails Current Date'!F:F,E134,
'YearB-AppDetails Current Date'!E:E,--F134,
'YearB-AppDetails Current Date'!V:V,{"APRO","NODE"},
'YearB-AppDetails Current Date'!I:I,"FALL"))), "")</f>
        <v/>
      </c>
      <c r="O134" s="74" t="str" cm="1">
        <f t="array" ref="O134">IFERROR(1/(1/SUM(COUNTIFS(
'YearB-AppDetails Current Date'!A:A,D134,
'YearB-AppDetails Current Date'!F:F,E134,
'YearB-AppDetails Current Date'!E:E,--F134,
'YearB-AppDetails Current Date'!T:T,{"CDMT","RQMT","WAIT"},
'YearB-AppDetails Current Date'!I:I,"FALL"))), "")</f>
        <v/>
      </c>
      <c r="P134" s="74" t="str">
        <f>IFERROR(1/(1/COUNTIFS(
'YearB-AppDetails Current Date'!A:A,D134,
'YearB-AppDetails Current Date'!F:F,E134,
'YearB-AppDetails Current Date'!E:E,--F134,
'YearB-AppDetails Current Date'!Y:Y,"ENRO",
'YearB-AppDetails Current Date'!I:I,"FALL")),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HC'!D:T,12,FALSE)),
N(VLOOKUP(D135&amp;F135,'Budgeted Projections Dom HC'!D:T,13,FALSE))
)
),"")</f>
        <v/>
      </c>
      <c r="I135" s="73" t="str">
        <f>IFERROR(1/(1/COUNTIFS(
'YearB-AppDetails Current Date'!A:A,D135,
'YearB-AppDetails Current Date'!F:F,E135,
'YearB-AppDetails Current Date'!E:E,--F135,
'YearB-AppDetails Current Date'!I:I,"FALL")), "")</f>
        <v/>
      </c>
      <c r="J135" s="74" t="str" cm="1">
        <f t="array" ref="J135">IFERROR(1/(1/SUM(COUNTIFS(
'YearB-AppDetails Current Date'!A:A,D135,
'YearB-AppDetails Current Date'!F:F,E135,
'YearB-AppDetails Current Date'!E:E,--F135,
'YearB-AppDetails Current Date'!O:O,{"ACLN","ACPT","COND"},
'YearB-AppDetails Current Date'!S:S,"&lt;&gt;ACLN",
'YearB-AppDetails Current Date'!S:S,"&lt;&gt;ACPT",
'YearB-AppDetails Current Date'!S:S,"&lt;&gt;COND",
'YearB-AppDetails Current Date'!I:I,"FALL"))), "")</f>
        <v/>
      </c>
      <c r="K135" s="73" t="str">
        <f>IFERROR(1/(1/SUM(COUNTIFS(
'YearB-AppDetails Current Date'!A:A,D135,
'YearB-AppDetails Current Date'!F:F,E135,
'YearB-AppDetails Current Date'!E:E,--F135,
'YearB-AppDetails Current Date'!R:R,"&lt;&gt;"&amp;"",
'YearB-AppDetails Current Date'!I:I,"FALL"))), "")</f>
        <v/>
      </c>
      <c r="L135" s="74" t="str" cm="1">
        <f t="array" ref="L135">IFERROR(1/(1/SUM(COUNTIFS(
'YearB-AppDetails Current Date'!A:A,D135,
'YearB-AppDetails Current Date'!F:F,E135,
'YearB-AppDetails Current Date'!E:E,--F135,
'YearB-AppDetails Current Date'!T:T,{"APEX","DENY","NTSL"},
'YearB-AppDetails Current Date'!I:I,"FALL"))), "")</f>
        <v/>
      </c>
      <c r="M135" s="74" t="str" cm="1">
        <f t="array" ref="M135">IFERROR(1/(1/SUM(COUNTIFS(
'YearB-AppDetails Current Date'!A:A,D135,
'YearB-AppDetails Current Date'!F:F,E135,
'YearB-AppDetails Current Date'!E:E,--F135,
'YearB-AppDetails Current Date'!U:U,{"CCAN","DECL"},
'YearB-AppDetails Current Date'!I:I,"FALL"))), "")</f>
        <v/>
      </c>
      <c r="N135" s="74" t="str" cm="1">
        <f t="array" ref="N135">IFERROR(1/(1/SUM(COUNTIFS(
'YearB-AppDetails Current Date'!A:A,D135,
'YearB-AppDetails Current Date'!F:F,E135,
'YearB-AppDetails Current Date'!E:E,--F135,
'YearB-AppDetails Current Date'!V:V,{"APRO","NODE"},
'YearB-AppDetails Current Date'!I:I,"FALL"))), "")</f>
        <v/>
      </c>
      <c r="O135" s="74" t="str" cm="1">
        <f t="array" ref="O135">IFERROR(1/(1/SUM(COUNTIFS(
'YearB-AppDetails Current Date'!A:A,D135,
'YearB-AppDetails Current Date'!F:F,E135,
'YearB-AppDetails Current Date'!E:E,--F135,
'YearB-AppDetails Current Date'!T:T,{"CDMT","RQMT","WAIT"},
'YearB-AppDetails Current Date'!I:I,"FALL"))), "")</f>
        <v/>
      </c>
      <c r="P135" s="74" t="str">
        <f>IFERROR(1/(1/COUNTIFS(
'YearB-AppDetails Current Date'!A:A,D135,
'YearB-AppDetails Current Date'!F:F,E135,
'YearB-AppDetails Current Date'!E:E,--F135,
'YearB-AppDetails Current Date'!Y:Y,"ENRO",
'YearB-AppDetails Current Date'!I:I,"FALL")),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HC'!D:T,12,FALSE)),
N(VLOOKUP(D136&amp;F136,'Budgeted Projections Intl HC'!D:T,13,FALSE))
)
),"")</f>
        <v/>
      </c>
      <c r="I136" s="73" t="str">
        <f>IFERROR(1/(1/COUNTIFS(
'YearB-AppDetails Current Date'!A:A,D136,
'YearB-AppDetails Current Date'!F:F,E136,
'YearB-AppDetails Current Date'!E:E,--F136,
'YearB-AppDetails Current Date'!I:I,"FALL")), "")</f>
        <v/>
      </c>
      <c r="J136" s="74" t="str" cm="1">
        <f t="array" ref="J136">IFERROR(1/(1/SUM(COUNTIFS(
'YearB-AppDetails Current Date'!A:A,D136,
'YearB-AppDetails Current Date'!F:F,E136,
'YearB-AppDetails Current Date'!E:E,--F136,
'YearB-AppDetails Current Date'!O:O,{"ACLN","ACPT","COND"},
'YearB-AppDetails Current Date'!S:S,"&lt;&gt;ACLN",
'YearB-AppDetails Current Date'!S:S,"&lt;&gt;ACPT",
'YearB-AppDetails Current Date'!S:S,"&lt;&gt;COND",
'YearB-AppDetails Current Date'!I:I,"FALL"))), "")</f>
        <v/>
      </c>
      <c r="K136" s="73" t="str">
        <f>IFERROR(1/(1/SUM(COUNTIFS(
'YearB-AppDetails Current Date'!A:A,D136,
'YearB-AppDetails Current Date'!F:F,E136,
'YearB-AppDetails Current Date'!E:E,--F136,
'YearB-AppDetails Current Date'!R:R,"&lt;&gt;"&amp;"",
'YearB-AppDetails Current Date'!I:I,"FALL"))), "")</f>
        <v/>
      </c>
      <c r="L136" s="74" t="str" cm="1">
        <f t="array" ref="L136">IFERROR(1/(1/SUM(COUNTIFS(
'YearB-AppDetails Current Date'!A:A,D136,
'YearB-AppDetails Current Date'!F:F,E136,
'YearB-AppDetails Current Date'!E:E,--F136,
'YearB-AppDetails Current Date'!T:T,{"APEX","DENY","NTSL"},
'YearB-AppDetails Current Date'!I:I,"FALL"))), "")</f>
        <v/>
      </c>
      <c r="M136" s="74" t="str" cm="1">
        <f t="array" ref="M136">IFERROR(1/(1/SUM(COUNTIFS(
'YearB-AppDetails Current Date'!A:A,D136,
'YearB-AppDetails Current Date'!F:F,E136,
'YearB-AppDetails Current Date'!E:E,--F136,
'YearB-AppDetails Current Date'!U:U,{"CCAN","DECL"},
'YearB-AppDetails Current Date'!I:I,"FALL"))), "")</f>
        <v/>
      </c>
      <c r="N136" s="74" t="str" cm="1">
        <f t="array" ref="N136">IFERROR(1/(1/SUM(COUNTIFS(
'YearB-AppDetails Current Date'!A:A,D136,
'YearB-AppDetails Current Date'!F:F,E136,
'YearB-AppDetails Current Date'!E:E,--F136,
'YearB-AppDetails Current Date'!V:V,{"APRO","NODE"},
'YearB-AppDetails Current Date'!I:I,"FALL"))), "")</f>
        <v/>
      </c>
      <c r="O136" s="74" t="str" cm="1">
        <f t="array" ref="O136">IFERROR(1/(1/SUM(COUNTIFS(
'YearB-AppDetails Current Date'!A:A,D136,
'YearB-AppDetails Current Date'!F:F,E136,
'YearB-AppDetails Current Date'!E:E,--F136,
'YearB-AppDetails Current Date'!T:T,{"CDMT","RQMT","WAIT"},
'YearB-AppDetails Current Date'!I:I,"FALL"))), "")</f>
        <v/>
      </c>
      <c r="P136" s="74" t="str">
        <f>IFERROR(1/(1/COUNTIFS(
'YearB-AppDetails Current Date'!A:A,D136,
'YearB-AppDetails Current Date'!F:F,E136,
'YearB-AppDetails Current Date'!E:E,--F136,
'YearB-AppDetails Current Date'!Y:Y,"ENRO",
'YearB-AppDetails Current Date'!I:I,"FALL")),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HC'!D:T,12,FALSE)),
N(VLOOKUP(D137&amp;F137,'Budgeted Projections Dom HC'!D:T,13,FALSE))
)
),"")</f>
        <v/>
      </c>
      <c r="I137" s="73" t="str">
        <f>IFERROR(1/(1/COUNTIFS(
'YearB-AppDetails Current Date'!A:A,D137,
'YearB-AppDetails Current Date'!F:F,E137,
'YearB-AppDetails Current Date'!E:E,--F137,
'YearB-AppDetails Current Date'!I:I,"FALL")), "")</f>
        <v/>
      </c>
      <c r="J137" s="74" t="str" cm="1">
        <f t="array" ref="J137">IFERROR(1/(1/SUM(COUNTIFS(
'YearB-AppDetails Current Date'!A:A,D137,
'YearB-AppDetails Current Date'!F:F,E137,
'YearB-AppDetails Current Date'!E:E,--F137,
'YearB-AppDetails Current Date'!O:O,{"ACLN","ACPT","COND"},
'YearB-AppDetails Current Date'!S:S,"&lt;&gt;ACLN",
'YearB-AppDetails Current Date'!S:S,"&lt;&gt;ACPT",
'YearB-AppDetails Current Date'!S:S,"&lt;&gt;COND",
'YearB-AppDetails Current Date'!I:I,"FALL"))), "")</f>
        <v/>
      </c>
      <c r="K137" s="73" t="str">
        <f>IFERROR(1/(1/SUM(COUNTIFS(
'YearB-AppDetails Current Date'!A:A,D137,
'YearB-AppDetails Current Date'!F:F,E137,
'YearB-AppDetails Current Date'!E:E,--F137,
'YearB-AppDetails Current Date'!R:R,"&lt;&gt;"&amp;"",
'YearB-AppDetails Current Date'!I:I,"FALL"))), "")</f>
        <v/>
      </c>
      <c r="L137" s="74" t="str" cm="1">
        <f t="array" ref="L137">IFERROR(1/(1/SUM(COUNTIFS(
'YearB-AppDetails Current Date'!A:A,D137,
'YearB-AppDetails Current Date'!F:F,E137,
'YearB-AppDetails Current Date'!E:E,--F137,
'YearB-AppDetails Current Date'!T:T,{"APEX","DENY","NTSL"},
'YearB-AppDetails Current Date'!I:I,"FALL"))), "")</f>
        <v/>
      </c>
      <c r="M137" s="74" t="str" cm="1">
        <f t="array" ref="M137">IFERROR(1/(1/SUM(COUNTIFS(
'YearB-AppDetails Current Date'!A:A,D137,
'YearB-AppDetails Current Date'!F:F,E137,
'YearB-AppDetails Current Date'!E:E,--F137,
'YearB-AppDetails Current Date'!U:U,{"CCAN","DECL"},
'YearB-AppDetails Current Date'!I:I,"FALL"))), "")</f>
        <v/>
      </c>
      <c r="N137" s="74" t="str" cm="1">
        <f t="array" ref="N137">IFERROR(1/(1/SUM(COUNTIFS(
'YearB-AppDetails Current Date'!A:A,D137,
'YearB-AppDetails Current Date'!F:F,E137,
'YearB-AppDetails Current Date'!E:E,--F137,
'YearB-AppDetails Current Date'!V:V,{"APRO","NODE"},
'YearB-AppDetails Current Date'!I:I,"FALL"))), "")</f>
        <v/>
      </c>
      <c r="O137" s="74" t="str" cm="1">
        <f t="array" ref="O137">IFERROR(1/(1/SUM(COUNTIFS(
'YearB-AppDetails Current Date'!A:A,D137,
'YearB-AppDetails Current Date'!F:F,E137,
'YearB-AppDetails Current Date'!E:E,--F137,
'YearB-AppDetails Current Date'!T:T,{"CDMT","RQMT","WAIT"},
'YearB-AppDetails Current Date'!I:I,"FALL"))), "")</f>
        <v/>
      </c>
      <c r="P137" s="74" t="str">
        <f>IFERROR(1/(1/COUNTIFS(
'YearB-AppDetails Current Date'!A:A,D137,
'YearB-AppDetails Current Date'!F:F,E137,
'YearB-AppDetails Current Date'!E:E,--F137,
'YearB-AppDetails Current Date'!Y:Y,"ENRO",
'YearB-AppDetails Current Date'!I:I,"FALL")),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HC'!D:T,12,FALSE)),
N(VLOOKUP(D138&amp;F138,'Budgeted Projections Intl HC'!D:T,13,FALSE))
)
),"")</f>
        <v/>
      </c>
      <c r="I138" s="73" t="str">
        <f>IFERROR(1/(1/COUNTIFS(
'YearB-AppDetails Current Date'!A:A,D138,
'YearB-AppDetails Current Date'!F:F,E138,
'YearB-AppDetails Current Date'!E:E,--F138,
'YearB-AppDetails Current Date'!I:I,"FALL")), "")</f>
        <v/>
      </c>
      <c r="J138" s="74" t="str" cm="1">
        <f t="array" ref="J138">IFERROR(1/(1/SUM(COUNTIFS(
'YearB-AppDetails Current Date'!A:A,D138,
'YearB-AppDetails Current Date'!F:F,E138,
'YearB-AppDetails Current Date'!E:E,--F138,
'YearB-AppDetails Current Date'!O:O,{"ACLN","ACPT","COND"},
'YearB-AppDetails Current Date'!S:S,"&lt;&gt;ACLN",
'YearB-AppDetails Current Date'!S:S,"&lt;&gt;ACPT",
'YearB-AppDetails Current Date'!S:S,"&lt;&gt;COND",
'YearB-AppDetails Current Date'!I:I,"FALL"))), "")</f>
        <v/>
      </c>
      <c r="K138" s="73" t="str">
        <f>IFERROR(1/(1/SUM(COUNTIFS(
'YearB-AppDetails Current Date'!A:A,D138,
'YearB-AppDetails Current Date'!F:F,E138,
'YearB-AppDetails Current Date'!E:E,--F138,
'YearB-AppDetails Current Date'!R:R,"&lt;&gt;"&amp;"",
'YearB-AppDetails Current Date'!I:I,"FALL"))), "")</f>
        <v/>
      </c>
      <c r="L138" s="74" t="str" cm="1">
        <f t="array" ref="L138">IFERROR(1/(1/SUM(COUNTIFS(
'YearB-AppDetails Current Date'!A:A,D138,
'YearB-AppDetails Current Date'!F:F,E138,
'YearB-AppDetails Current Date'!E:E,--F138,
'YearB-AppDetails Current Date'!T:T,{"APEX","DENY","NTSL"},
'YearB-AppDetails Current Date'!I:I,"FALL"))), "")</f>
        <v/>
      </c>
      <c r="M138" s="74" t="str" cm="1">
        <f t="array" ref="M138">IFERROR(1/(1/SUM(COUNTIFS(
'YearB-AppDetails Current Date'!A:A,D138,
'YearB-AppDetails Current Date'!F:F,E138,
'YearB-AppDetails Current Date'!E:E,--F138,
'YearB-AppDetails Current Date'!U:U,{"CCAN","DECL"},
'YearB-AppDetails Current Date'!I:I,"FALL"))), "")</f>
        <v/>
      </c>
      <c r="N138" s="74" t="str" cm="1">
        <f t="array" ref="N138">IFERROR(1/(1/SUM(COUNTIFS(
'YearB-AppDetails Current Date'!A:A,D138,
'YearB-AppDetails Current Date'!F:F,E138,
'YearB-AppDetails Current Date'!E:E,--F138,
'YearB-AppDetails Current Date'!V:V,{"APRO","NODE"},
'YearB-AppDetails Current Date'!I:I,"FALL"))), "")</f>
        <v/>
      </c>
      <c r="O138" s="74" t="str" cm="1">
        <f t="array" ref="O138">IFERROR(1/(1/SUM(COUNTIFS(
'YearB-AppDetails Current Date'!A:A,D138,
'YearB-AppDetails Current Date'!F:F,E138,
'YearB-AppDetails Current Date'!E:E,--F138,
'YearB-AppDetails Current Date'!T:T,{"CDMT","RQMT","WAIT"},
'YearB-AppDetails Current Date'!I:I,"FALL"))), "")</f>
        <v/>
      </c>
      <c r="P138" s="74" t="str">
        <f>IFERROR(1/(1/COUNTIFS(
'YearB-AppDetails Current Date'!A:A,D138,
'YearB-AppDetails Current Date'!F:F,E138,
'YearB-AppDetails Current Date'!E:E,--F138,
'YearB-AppDetails Current Date'!Y:Y,"ENRO",
'YearB-AppDetails Current Date'!I:I,"FALL")),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HC'!D:T,12,FALSE)),
N(VLOOKUP(D140&amp;F140,'Budgeted Projections Dom HC'!D:T,13,FALSE))
)
),"")</f>
        <v/>
      </c>
      <c r="I140" s="73" t="str">
        <f>IFERROR(1/(1/COUNTIFS(
'YearB-AppDetails Current Date'!A:A,D140,
'YearB-AppDetails Current Date'!F:F,E140,
'YearB-AppDetails Current Date'!E:E,--F140,
'YearB-AppDetails Current Date'!I:I,"FALL")), "")</f>
        <v/>
      </c>
      <c r="J140" s="74" t="str" cm="1">
        <f t="array" ref="J140">IFERROR(1/(1/SUM(COUNTIFS(
'YearB-AppDetails Current Date'!A:A,D140,
'YearB-AppDetails Current Date'!F:F,E140,
'YearB-AppDetails Current Date'!E:E,--F140,
'YearB-AppDetails Current Date'!O:O,{"ACLN","ACPT","COND"},
'YearB-AppDetails Current Date'!S:S,"&lt;&gt;ACLN",
'YearB-AppDetails Current Date'!S:S,"&lt;&gt;ACPT",
'YearB-AppDetails Current Date'!S:S,"&lt;&gt;COND",
'YearB-AppDetails Current Date'!I:I,"FALL"))), "")</f>
        <v/>
      </c>
      <c r="K140" s="73" t="str">
        <f>IFERROR(1/(1/SUM(COUNTIFS(
'YearB-AppDetails Current Date'!A:A,D140,
'YearB-AppDetails Current Date'!F:F,E140,
'YearB-AppDetails Current Date'!E:E,--F140,
'YearB-AppDetails Current Date'!R:R,"&lt;&gt;"&amp;"",
'YearB-AppDetails Current Date'!I:I,"FALL"))), "")</f>
        <v/>
      </c>
      <c r="L140" s="74" t="str" cm="1">
        <f t="array" ref="L140">IFERROR(1/(1/SUM(COUNTIFS(
'YearB-AppDetails Current Date'!A:A,D140,
'YearB-AppDetails Current Date'!F:F,E140,
'YearB-AppDetails Current Date'!E:E,--F140,
'YearB-AppDetails Current Date'!T:T,{"APEX","DENY","NTSL"},
'YearB-AppDetails Current Date'!I:I,"FALL"))), "")</f>
        <v/>
      </c>
      <c r="M140" s="74" t="str" cm="1">
        <f t="array" ref="M140">IFERROR(1/(1/SUM(COUNTIFS(
'YearB-AppDetails Current Date'!A:A,D140,
'YearB-AppDetails Current Date'!F:F,E140,
'YearB-AppDetails Current Date'!E:E,--F140,
'YearB-AppDetails Current Date'!U:U,{"CCAN","DECL"},
'YearB-AppDetails Current Date'!I:I,"FALL"))), "")</f>
        <v/>
      </c>
      <c r="N140" s="74" t="str" cm="1">
        <f t="array" ref="N140">IFERROR(1/(1/SUM(COUNTIFS(
'YearB-AppDetails Current Date'!A:A,D140,
'YearB-AppDetails Current Date'!F:F,E140,
'YearB-AppDetails Current Date'!E:E,--F140,
'YearB-AppDetails Current Date'!V:V,{"APRO","NODE"},
'YearB-AppDetails Current Date'!I:I,"FALL"))), "")</f>
        <v/>
      </c>
      <c r="O140" s="74" t="str" cm="1">
        <f t="array" ref="O140">IFERROR(1/(1/SUM(COUNTIFS(
'YearB-AppDetails Current Date'!A:A,D140,
'YearB-AppDetails Current Date'!F:F,E140,
'YearB-AppDetails Current Date'!E:E,--F140,
'YearB-AppDetails Current Date'!T:T,{"CDMT","RQMT","WAIT"},
'YearB-AppDetails Current Date'!I:I,"FALL"))), "")</f>
        <v/>
      </c>
      <c r="P140" s="74" t="str">
        <f>IFERROR(1/(1/COUNTIFS(
'YearB-AppDetails Current Date'!A:A,D140,
'YearB-AppDetails Current Date'!F:F,E140,
'YearB-AppDetails Current Date'!E:E,--F140,
'YearB-AppDetails Current Date'!Y:Y,"ENRO",
'YearB-AppDetails Current Date'!I:I,"FALL")),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HC'!D:T,12,FALSE)),
N(VLOOKUP(D141&amp;F141,'Budgeted Projections Intl HC'!D:T,13,FALSE))
)
),"")</f>
        <v/>
      </c>
      <c r="I141" s="73" t="str">
        <f>IFERROR(1/(1/COUNTIFS(
'YearB-AppDetails Current Date'!A:A,D141,
'YearB-AppDetails Current Date'!F:F,E141,
'YearB-AppDetails Current Date'!E:E,--F141,
'YearB-AppDetails Current Date'!I:I,"FALL")), "")</f>
        <v/>
      </c>
      <c r="J141" s="74" t="str" cm="1">
        <f t="array" ref="J141">IFERROR(1/(1/SUM(COUNTIFS(
'YearB-AppDetails Current Date'!A:A,D141,
'YearB-AppDetails Current Date'!F:F,E141,
'YearB-AppDetails Current Date'!E:E,--F141,
'YearB-AppDetails Current Date'!O:O,{"ACLN","ACPT","COND"},
'YearB-AppDetails Current Date'!S:S,"&lt;&gt;ACLN",
'YearB-AppDetails Current Date'!S:S,"&lt;&gt;ACPT",
'YearB-AppDetails Current Date'!S:S,"&lt;&gt;COND",
'YearB-AppDetails Current Date'!I:I,"FALL"))), "")</f>
        <v/>
      </c>
      <c r="K141" s="73" t="str">
        <f>IFERROR(1/(1/SUM(COUNTIFS(
'YearB-AppDetails Current Date'!A:A,D141,
'YearB-AppDetails Current Date'!F:F,E141,
'YearB-AppDetails Current Date'!E:E,--F141,
'YearB-AppDetails Current Date'!R:R,"&lt;&gt;"&amp;"",
'YearB-AppDetails Current Date'!I:I,"FALL"))), "")</f>
        <v/>
      </c>
      <c r="L141" s="74" t="str" cm="1">
        <f t="array" ref="L141">IFERROR(1/(1/SUM(COUNTIFS(
'YearB-AppDetails Current Date'!A:A,D141,
'YearB-AppDetails Current Date'!F:F,E141,
'YearB-AppDetails Current Date'!E:E,--F141,
'YearB-AppDetails Current Date'!T:T,{"APEX","DENY","NTSL"},
'YearB-AppDetails Current Date'!I:I,"FALL"))), "")</f>
        <v/>
      </c>
      <c r="M141" s="74" t="str" cm="1">
        <f t="array" ref="M141">IFERROR(1/(1/SUM(COUNTIFS(
'YearB-AppDetails Current Date'!A:A,D141,
'YearB-AppDetails Current Date'!F:F,E141,
'YearB-AppDetails Current Date'!E:E,--F141,
'YearB-AppDetails Current Date'!U:U,{"CCAN","DECL"},
'YearB-AppDetails Current Date'!I:I,"FALL"))), "")</f>
        <v/>
      </c>
      <c r="N141" s="74" t="str" cm="1">
        <f t="array" ref="N141">IFERROR(1/(1/SUM(COUNTIFS(
'YearB-AppDetails Current Date'!A:A,D141,
'YearB-AppDetails Current Date'!F:F,E141,
'YearB-AppDetails Current Date'!E:E,--F141,
'YearB-AppDetails Current Date'!V:V,{"APRO","NODE"},
'YearB-AppDetails Current Date'!I:I,"FALL"))), "")</f>
        <v/>
      </c>
      <c r="O141" s="74" t="str" cm="1">
        <f t="array" ref="O141">IFERROR(1/(1/SUM(COUNTIFS(
'YearB-AppDetails Current Date'!A:A,D141,
'YearB-AppDetails Current Date'!F:F,E141,
'YearB-AppDetails Current Date'!E:E,--F141,
'YearB-AppDetails Current Date'!T:T,{"CDMT","RQMT","WAIT"},
'YearB-AppDetails Current Date'!I:I,"FALL"))), "")</f>
        <v/>
      </c>
      <c r="P141" s="74" t="str">
        <f>IFERROR(1/(1/COUNTIFS(
'YearB-AppDetails Current Date'!A:A,D141,
'YearB-AppDetails Current Date'!F:F,E141,
'YearB-AppDetails Current Date'!E:E,--F141,
'YearB-AppDetails Current Date'!Y:Y,"ENRO",
'YearB-AppDetails Current Date'!I:I,"FALL")),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HC'!D:T,12,FALSE)),
N(VLOOKUP(D142&amp;F142,'Budgeted Projections Dom HC'!D:T,13,FALSE))
)
),"")</f>
        <v/>
      </c>
      <c r="I142" s="73" t="str">
        <f>IFERROR(1/(1/COUNTIFS(
'YearB-AppDetails Current Date'!A:A,D142,
'YearB-AppDetails Current Date'!F:F,E142,
'YearB-AppDetails Current Date'!E:E,--F142,
'YearB-AppDetails Current Date'!I:I,"FALL")), "")</f>
        <v/>
      </c>
      <c r="J142" s="74" t="str" cm="1">
        <f t="array" ref="J142">IFERROR(1/(1/SUM(COUNTIFS(
'YearB-AppDetails Current Date'!A:A,D142,
'YearB-AppDetails Current Date'!F:F,E142,
'YearB-AppDetails Current Date'!E:E,--F142,
'YearB-AppDetails Current Date'!O:O,{"ACLN","ACPT","COND"},
'YearB-AppDetails Current Date'!S:S,"&lt;&gt;ACLN",
'YearB-AppDetails Current Date'!S:S,"&lt;&gt;ACPT",
'YearB-AppDetails Current Date'!S:S,"&lt;&gt;COND",
'YearB-AppDetails Current Date'!I:I,"FALL"))), "")</f>
        <v/>
      </c>
      <c r="K142" s="73" t="str">
        <f>IFERROR(1/(1/SUM(COUNTIFS(
'YearB-AppDetails Current Date'!A:A,D142,
'YearB-AppDetails Current Date'!F:F,E142,
'YearB-AppDetails Current Date'!E:E,--F142,
'YearB-AppDetails Current Date'!R:R,"&lt;&gt;"&amp;"",
'YearB-AppDetails Current Date'!I:I,"FALL"))), "")</f>
        <v/>
      </c>
      <c r="L142" s="74" t="str" cm="1">
        <f t="array" ref="L142">IFERROR(1/(1/SUM(COUNTIFS(
'YearB-AppDetails Current Date'!A:A,D142,
'YearB-AppDetails Current Date'!F:F,E142,
'YearB-AppDetails Current Date'!E:E,--F142,
'YearB-AppDetails Current Date'!T:T,{"APEX","DENY","NTSL"},
'YearB-AppDetails Current Date'!I:I,"FALL"))), "")</f>
        <v/>
      </c>
      <c r="M142" s="74" t="str" cm="1">
        <f t="array" ref="M142">IFERROR(1/(1/SUM(COUNTIFS(
'YearB-AppDetails Current Date'!A:A,D142,
'YearB-AppDetails Current Date'!F:F,E142,
'YearB-AppDetails Current Date'!E:E,--F142,
'YearB-AppDetails Current Date'!U:U,{"CCAN","DECL"},
'YearB-AppDetails Current Date'!I:I,"FALL"))), "")</f>
        <v/>
      </c>
      <c r="N142" s="74" t="str" cm="1">
        <f t="array" ref="N142">IFERROR(1/(1/SUM(COUNTIFS(
'YearB-AppDetails Current Date'!A:A,D142,
'YearB-AppDetails Current Date'!F:F,E142,
'YearB-AppDetails Current Date'!E:E,--F142,
'YearB-AppDetails Current Date'!V:V,{"APRO","NODE"},
'YearB-AppDetails Current Date'!I:I,"FALL"))), "")</f>
        <v/>
      </c>
      <c r="O142" s="74" t="str" cm="1">
        <f t="array" ref="O142">IFERROR(1/(1/SUM(COUNTIFS(
'YearB-AppDetails Current Date'!A:A,D142,
'YearB-AppDetails Current Date'!F:F,E142,
'YearB-AppDetails Current Date'!E:E,--F142,
'YearB-AppDetails Current Date'!T:T,{"CDMT","RQMT","WAIT"},
'YearB-AppDetails Current Date'!I:I,"FALL"))), "")</f>
        <v/>
      </c>
      <c r="P142" s="74" t="str">
        <f>IFERROR(1/(1/COUNTIFS(
'YearB-AppDetails Current Date'!A:A,D142,
'YearB-AppDetails Current Date'!F:F,E142,
'YearB-AppDetails Current Date'!E:E,--F142,
'YearB-AppDetails Current Date'!Y:Y,"ENRO",
'YearB-AppDetails Current Date'!I:I,"FALL")),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HC'!D:T,12,FALSE)),
N(VLOOKUP(D143&amp;F143,'Budgeted Projections Intl HC'!D:T,13,FALSE))
)
),"")</f>
        <v/>
      </c>
      <c r="I143" s="73" t="str">
        <f>IFERROR(1/(1/COUNTIFS(
'YearB-AppDetails Current Date'!A:A,D143,
'YearB-AppDetails Current Date'!F:F,E143,
'YearB-AppDetails Current Date'!E:E,--F143,
'YearB-AppDetails Current Date'!I:I,"FALL")), "")</f>
        <v/>
      </c>
      <c r="J143" s="74" t="str" cm="1">
        <f t="array" ref="J143">IFERROR(1/(1/SUM(COUNTIFS(
'YearB-AppDetails Current Date'!A:A,D143,
'YearB-AppDetails Current Date'!F:F,E143,
'YearB-AppDetails Current Date'!E:E,--F143,
'YearB-AppDetails Current Date'!O:O,{"ACLN","ACPT","COND"},
'YearB-AppDetails Current Date'!S:S,"&lt;&gt;ACLN",
'YearB-AppDetails Current Date'!S:S,"&lt;&gt;ACPT",
'YearB-AppDetails Current Date'!S:S,"&lt;&gt;COND",
'YearB-AppDetails Current Date'!I:I,"FALL"))), "")</f>
        <v/>
      </c>
      <c r="K143" s="73" t="str">
        <f>IFERROR(1/(1/SUM(COUNTIFS(
'YearB-AppDetails Current Date'!A:A,D143,
'YearB-AppDetails Current Date'!F:F,E143,
'YearB-AppDetails Current Date'!E:E,--F143,
'YearB-AppDetails Current Date'!R:R,"&lt;&gt;"&amp;"",
'YearB-AppDetails Current Date'!I:I,"FALL"))), "")</f>
        <v/>
      </c>
      <c r="L143" s="74" t="str" cm="1">
        <f t="array" ref="L143">IFERROR(1/(1/SUM(COUNTIFS(
'YearB-AppDetails Current Date'!A:A,D143,
'YearB-AppDetails Current Date'!F:F,E143,
'YearB-AppDetails Current Date'!E:E,--F143,
'YearB-AppDetails Current Date'!T:T,{"APEX","DENY","NTSL"},
'YearB-AppDetails Current Date'!I:I,"FALL"))), "")</f>
        <v/>
      </c>
      <c r="M143" s="74" t="str" cm="1">
        <f t="array" ref="M143">IFERROR(1/(1/SUM(COUNTIFS(
'YearB-AppDetails Current Date'!A:A,D143,
'YearB-AppDetails Current Date'!F:F,E143,
'YearB-AppDetails Current Date'!E:E,--F143,
'YearB-AppDetails Current Date'!U:U,{"CCAN","DECL"},
'YearB-AppDetails Current Date'!I:I,"FALL"))), "")</f>
        <v/>
      </c>
      <c r="N143" s="74" t="str" cm="1">
        <f t="array" ref="N143">IFERROR(1/(1/SUM(COUNTIFS(
'YearB-AppDetails Current Date'!A:A,D143,
'YearB-AppDetails Current Date'!F:F,E143,
'YearB-AppDetails Current Date'!E:E,--F143,
'YearB-AppDetails Current Date'!V:V,{"APRO","NODE"},
'YearB-AppDetails Current Date'!I:I,"FALL"))), "")</f>
        <v/>
      </c>
      <c r="O143" s="74" t="str" cm="1">
        <f t="array" ref="O143">IFERROR(1/(1/SUM(COUNTIFS(
'YearB-AppDetails Current Date'!A:A,D143,
'YearB-AppDetails Current Date'!F:F,E143,
'YearB-AppDetails Current Date'!E:E,--F143,
'YearB-AppDetails Current Date'!T:T,{"CDMT","RQMT","WAIT"},
'YearB-AppDetails Current Date'!I:I,"FALL"))), "")</f>
        <v/>
      </c>
      <c r="P143" s="74" t="str">
        <f>IFERROR(1/(1/COUNTIFS(
'YearB-AppDetails Current Date'!A:A,D143,
'YearB-AppDetails Current Date'!F:F,E143,
'YearB-AppDetails Current Date'!E:E,--F143,
'YearB-AppDetails Current Date'!Y:Y,"ENRO",
'YearB-AppDetails Current Date'!I:I,"FALL")),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HC'!D:T,12,FALSE)),
N(VLOOKUP(D144&amp;F144,'Budgeted Projections Dom HC'!D:T,13,FALSE))
)
),"")</f>
        <v/>
      </c>
      <c r="I144" s="73" t="str">
        <f>IFERROR(1/(1/COUNTIFS(
'YearB-AppDetails Current Date'!A:A,D144,
'YearB-AppDetails Current Date'!F:F,E144,
'YearB-AppDetails Current Date'!E:E,--F144,
'YearB-AppDetails Current Date'!I:I,"FALL")), "")</f>
        <v/>
      </c>
      <c r="J144" s="74" t="str" cm="1">
        <f t="array" ref="J144">IFERROR(1/(1/SUM(COUNTIFS(
'YearB-AppDetails Current Date'!A:A,D144,
'YearB-AppDetails Current Date'!F:F,E144,
'YearB-AppDetails Current Date'!E:E,--F144,
'YearB-AppDetails Current Date'!O:O,{"ACLN","ACPT","COND"},
'YearB-AppDetails Current Date'!S:S,"&lt;&gt;ACLN",
'YearB-AppDetails Current Date'!S:S,"&lt;&gt;ACPT",
'YearB-AppDetails Current Date'!S:S,"&lt;&gt;COND",
'YearB-AppDetails Current Date'!I:I,"FALL"))), "")</f>
        <v/>
      </c>
      <c r="K144" s="73" t="str">
        <f>IFERROR(1/(1/SUM(COUNTIFS(
'YearB-AppDetails Current Date'!A:A,D144,
'YearB-AppDetails Current Date'!F:F,E144,
'YearB-AppDetails Current Date'!E:E,--F144,
'YearB-AppDetails Current Date'!R:R,"&lt;&gt;"&amp;"",
'YearB-AppDetails Current Date'!I:I,"FALL"))), "")</f>
        <v/>
      </c>
      <c r="L144" s="74" t="str" cm="1">
        <f t="array" ref="L144">IFERROR(1/(1/SUM(COUNTIFS(
'YearB-AppDetails Current Date'!A:A,D144,
'YearB-AppDetails Current Date'!F:F,E144,
'YearB-AppDetails Current Date'!E:E,--F144,
'YearB-AppDetails Current Date'!T:T,{"APEX","DENY","NTSL"},
'YearB-AppDetails Current Date'!I:I,"FALL"))), "")</f>
        <v/>
      </c>
      <c r="M144" s="74" t="str" cm="1">
        <f t="array" ref="M144">IFERROR(1/(1/SUM(COUNTIFS(
'YearB-AppDetails Current Date'!A:A,D144,
'YearB-AppDetails Current Date'!F:F,E144,
'YearB-AppDetails Current Date'!E:E,--F144,
'YearB-AppDetails Current Date'!U:U,{"CCAN","DECL"},
'YearB-AppDetails Current Date'!I:I,"FALL"))), "")</f>
        <v/>
      </c>
      <c r="N144" s="74" t="str" cm="1">
        <f t="array" ref="N144">IFERROR(1/(1/SUM(COUNTIFS(
'YearB-AppDetails Current Date'!A:A,D144,
'YearB-AppDetails Current Date'!F:F,E144,
'YearB-AppDetails Current Date'!E:E,--F144,
'YearB-AppDetails Current Date'!V:V,{"APRO","NODE"},
'YearB-AppDetails Current Date'!I:I,"FALL"))), "")</f>
        <v/>
      </c>
      <c r="O144" s="74" t="str" cm="1">
        <f t="array" ref="O144">IFERROR(1/(1/SUM(COUNTIFS(
'YearB-AppDetails Current Date'!A:A,D144,
'YearB-AppDetails Current Date'!F:F,E144,
'YearB-AppDetails Current Date'!E:E,--F144,
'YearB-AppDetails Current Date'!T:T,{"CDMT","RQMT","WAIT"},
'YearB-AppDetails Current Date'!I:I,"FALL"))), "")</f>
        <v/>
      </c>
      <c r="P144" s="74" t="str">
        <f>IFERROR(1/(1/COUNTIFS(
'YearB-AppDetails Current Date'!A:A,D144,
'YearB-AppDetails Current Date'!F:F,E144,
'YearB-AppDetails Current Date'!E:E,--F144,
'YearB-AppDetails Current Date'!Y:Y,"ENRO",
'YearB-AppDetails Current Date'!I:I,"FALL")),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HC'!D:T,12,FALSE)),
N(VLOOKUP(D145&amp;F145,'Budgeted Projections Intl HC'!D:T,13,FALSE))
)
),"")</f>
        <v/>
      </c>
      <c r="I145" s="73" t="str">
        <f>IFERROR(1/(1/COUNTIFS(
'YearB-AppDetails Current Date'!A:A,D145,
'YearB-AppDetails Current Date'!F:F,E145,
'YearB-AppDetails Current Date'!E:E,--F145,
'YearB-AppDetails Current Date'!I:I,"FALL")), "")</f>
        <v/>
      </c>
      <c r="J145" s="74" t="str" cm="1">
        <f t="array" ref="J145">IFERROR(1/(1/SUM(COUNTIFS(
'YearB-AppDetails Current Date'!A:A,D145,
'YearB-AppDetails Current Date'!F:F,E145,
'YearB-AppDetails Current Date'!E:E,--F145,
'YearB-AppDetails Current Date'!O:O,{"ACLN","ACPT","COND"},
'YearB-AppDetails Current Date'!S:S,"&lt;&gt;ACLN",
'YearB-AppDetails Current Date'!S:S,"&lt;&gt;ACPT",
'YearB-AppDetails Current Date'!S:S,"&lt;&gt;COND",
'YearB-AppDetails Current Date'!I:I,"FALL"))), "")</f>
        <v/>
      </c>
      <c r="K145" s="73" t="str">
        <f>IFERROR(1/(1/SUM(COUNTIFS(
'YearB-AppDetails Current Date'!A:A,D145,
'YearB-AppDetails Current Date'!F:F,E145,
'YearB-AppDetails Current Date'!E:E,--F145,
'YearB-AppDetails Current Date'!R:R,"&lt;&gt;"&amp;"",
'YearB-AppDetails Current Date'!I:I,"FALL"))), "")</f>
        <v/>
      </c>
      <c r="L145" s="74" t="str" cm="1">
        <f t="array" ref="L145">IFERROR(1/(1/SUM(COUNTIFS(
'YearB-AppDetails Current Date'!A:A,D145,
'YearB-AppDetails Current Date'!F:F,E145,
'YearB-AppDetails Current Date'!E:E,--F145,
'YearB-AppDetails Current Date'!T:T,{"APEX","DENY","NTSL"},
'YearB-AppDetails Current Date'!I:I,"FALL"))), "")</f>
        <v/>
      </c>
      <c r="M145" s="74" t="str" cm="1">
        <f t="array" ref="M145">IFERROR(1/(1/SUM(COUNTIFS(
'YearB-AppDetails Current Date'!A:A,D145,
'YearB-AppDetails Current Date'!F:F,E145,
'YearB-AppDetails Current Date'!E:E,--F145,
'YearB-AppDetails Current Date'!U:U,{"CCAN","DECL"},
'YearB-AppDetails Current Date'!I:I,"FALL"))), "")</f>
        <v/>
      </c>
      <c r="N145" s="74" t="str" cm="1">
        <f t="array" ref="N145">IFERROR(1/(1/SUM(COUNTIFS(
'YearB-AppDetails Current Date'!A:A,D145,
'YearB-AppDetails Current Date'!F:F,E145,
'YearB-AppDetails Current Date'!E:E,--F145,
'YearB-AppDetails Current Date'!V:V,{"APRO","NODE"},
'YearB-AppDetails Current Date'!I:I,"FALL"))), "")</f>
        <v/>
      </c>
      <c r="O145" s="74" t="str" cm="1">
        <f t="array" ref="O145">IFERROR(1/(1/SUM(COUNTIFS(
'YearB-AppDetails Current Date'!A:A,D145,
'YearB-AppDetails Current Date'!F:F,E145,
'YearB-AppDetails Current Date'!E:E,--F145,
'YearB-AppDetails Current Date'!T:T,{"CDMT","RQMT","WAIT"},
'YearB-AppDetails Current Date'!I:I,"FALL"))), "")</f>
        <v/>
      </c>
      <c r="P145" s="74" t="str">
        <f>IFERROR(1/(1/COUNTIFS(
'YearB-AppDetails Current Date'!A:A,D145,
'YearB-AppDetails Current Date'!F:F,E145,
'YearB-AppDetails Current Date'!E:E,--F145,
'YearB-AppDetails Current Date'!Y:Y,"ENRO",
'YearB-AppDetails Current Date'!I:I,"FALL")),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HC'!D:T,12,FALSE)),
N(VLOOKUP(D146&amp;F146,'Budgeted Projections Dom HC'!D:T,13,FALSE))
)
),"")</f>
        <v/>
      </c>
      <c r="I146" s="73" t="str">
        <f>IFERROR(1/(1/COUNTIFS(
'YearB-AppDetails Current Date'!A:A,D146,
'YearB-AppDetails Current Date'!F:F,E146,
'YearB-AppDetails Current Date'!E:E,--F146,
'YearB-AppDetails Current Date'!I:I,"FALL")), "")</f>
        <v/>
      </c>
      <c r="J146" s="74" t="str" cm="1">
        <f t="array" ref="J146">IFERROR(1/(1/SUM(COUNTIFS(
'YearB-AppDetails Current Date'!A:A,D146,
'YearB-AppDetails Current Date'!F:F,E146,
'YearB-AppDetails Current Date'!E:E,--F146,
'YearB-AppDetails Current Date'!O:O,{"ACLN","ACPT","COND"},
'YearB-AppDetails Current Date'!S:S,"&lt;&gt;ACLN",
'YearB-AppDetails Current Date'!S:S,"&lt;&gt;ACPT",
'YearB-AppDetails Current Date'!S:S,"&lt;&gt;COND",
'YearB-AppDetails Current Date'!I:I,"FALL"))), "")</f>
        <v/>
      </c>
      <c r="K146" s="73" t="str">
        <f>IFERROR(1/(1/SUM(COUNTIFS(
'YearB-AppDetails Current Date'!A:A,D146,
'YearB-AppDetails Current Date'!F:F,E146,
'YearB-AppDetails Current Date'!E:E,--F146,
'YearB-AppDetails Current Date'!R:R,"&lt;&gt;"&amp;"",
'YearB-AppDetails Current Date'!I:I,"FALL"))), "")</f>
        <v/>
      </c>
      <c r="L146" s="74" t="str" cm="1">
        <f t="array" ref="L146">IFERROR(1/(1/SUM(COUNTIFS(
'YearB-AppDetails Current Date'!A:A,D146,
'YearB-AppDetails Current Date'!F:F,E146,
'YearB-AppDetails Current Date'!E:E,--F146,
'YearB-AppDetails Current Date'!T:T,{"APEX","DENY","NTSL"},
'YearB-AppDetails Current Date'!I:I,"FALL"))), "")</f>
        <v/>
      </c>
      <c r="M146" s="74" t="str" cm="1">
        <f t="array" ref="M146">IFERROR(1/(1/SUM(COUNTIFS(
'YearB-AppDetails Current Date'!A:A,D146,
'YearB-AppDetails Current Date'!F:F,E146,
'YearB-AppDetails Current Date'!E:E,--F146,
'YearB-AppDetails Current Date'!U:U,{"CCAN","DECL"},
'YearB-AppDetails Current Date'!I:I,"FALL"))), "")</f>
        <v/>
      </c>
      <c r="N146" s="74" t="str" cm="1">
        <f t="array" ref="N146">IFERROR(1/(1/SUM(COUNTIFS(
'YearB-AppDetails Current Date'!A:A,D146,
'YearB-AppDetails Current Date'!F:F,E146,
'YearB-AppDetails Current Date'!E:E,--F146,
'YearB-AppDetails Current Date'!V:V,{"APRO","NODE"},
'YearB-AppDetails Current Date'!I:I,"FALL"))), "")</f>
        <v/>
      </c>
      <c r="O146" s="74" t="str" cm="1">
        <f t="array" ref="O146">IFERROR(1/(1/SUM(COUNTIFS(
'YearB-AppDetails Current Date'!A:A,D146,
'YearB-AppDetails Current Date'!F:F,E146,
'YearB-AppDetails Current Date'!E:E,--F146,
'YearB-AppDetails Current Date'!T:T,{"CDMT","RQMT","WAIT"},
'YearB-AppDetails Current Date'!I:I,"FALL"))), "")</f>
        <v/>
      </c>
      <c r="P146" s="74" t="str">
        <f>IFERROR(1/(1/COUNTIFS(
'YearB-AppDetails Current Date'!A:A,D146,
'YearB-AppDetails Current Date'!F:F,E146,
'YearB-AppDetails Current Date'!E:E,--F146,
'YearB-AppDetails Current Date'!Y:Y,"ENRO",
'YearB-AppDetails Current Date'!I:I,"FALL")),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HC'!D:T,12,FALSE)),
N(VLOOKUP(D147&amp;F147,'Budgeted Projections Intl HC'!D:T,13,FALSE))
)
),"")</f>
        <v/>
      </c>
      <c r="I147" s="73" t="str">
        <f>IFERROR(1/(1/COUNTIFS(
'YearB-AppDetails Current Date'!A:A,D147,
'YearB-AppDetails Current Date'!F:F,E147,
'YearB-AppDetails Current Date'!E:E,--F147,
'YearB-AppDetails Current Date'!I:I,"FALL")), "")</f>
        <v/>
      </c>
      <c r="J147" s="74" t="str" cm="1">
        <f t="array" ref="J147">IFERROR(1/(1/SUM(COUNTIFS(
'YearB-AppDetails Current Date'!A:A,D147,
'YearB-AppDetails Current Date'!F:F,E147,
'YearB-AppDetails Current Date'!E:E,--F147,
'YearB-AppDetails Current Date'!O:O,{"ACLN","ACPT","COND"},
'YearB-AppDetails Current Date'!S:S,"&lt;&gt;ACLN",
'YearB-AppDetails Current Date'!S:S,"&lt;&gt;ACPT",
'YearB-AppDetails Current Date'!S:S,"&lt;&gt;COND",
'YearB-AppDetails Current Date'!I:I,"FALL"))), "")</f>
        <v/>
      </c>
      <c r="K147" s="73" t="str">
        <f>IFERROR(1/(1/SUM(COUNTIFS(
'YearB-AppDetails Current Date'!A:A,D147,
'YearB-AppDetails Current Date'!F:F,E147,
'YearB-AppDetails Current Date'!E:E,--F147,
'YearB-AppDetails Current Date'!R:R,"&lt;&gt;"&amp;"",
'YearB-AppDetails Current Date'!I:I,"FALL"))), "")</f>
        <v/>
      </c>
      <c r="L147" s="74" t="str" cm="1">
        <f t="array" ref="L147">IFERROR(1/(1/SUM(COUNTIFS(
'YearB-AppDetails Current Date'!A:A,D147,
'YearB-AppDetails Current Date'!F:F,E147,
'YearB-AppDetails Current Date'!E:E,--F147,
'YearB-AppDetails Current Date'!T:T,{"APEX","DENY","NTSL"},
'YearB-AppDetails Current Date'!I:I,"FALL"))), "")</f>
        <v/>
      </c>
      <c r="M147" s="74" t="str" cm="1">
        <f t="array" ref="M147">IFERROR(1/(1/SUM(COUNTIFS(
'YearB-AppDetails Current Date'!A:A,D147,
'YearB-AppDetails Current Date'!F:F,E147,
'YearB-AppDetails Current Date'!E:E,--F147,
'YearB-AppDetails Current Date'!U:U,{"CCAN","DECL"},
'YearB-AppDetails Current Date'!I:I,"FALL"))), "")</f>
        <v/>
      </c>
      <c r="N147" s="74" t="str" cm="1">
        <f t="array" ref="N147">IFERROR(1/(1/SUM(COUNTIFS(
'YearB-AppDetails Current Date'!A:A,D147,
'YearB-AppDetails Current Date'!F:F,E147,
'YearB-AppDetails Current Date'!E:E,--F147,
'YearB-AppDetails Current Date'!V:V,{"APRO","NODE"},
'YearB-AppDetails Current Date'!I:I,"FALL"))), "")</f>
        <v/>
      </c>
      <c r="O147" s="74" t="str" cm="1">
        <f t="array" ref="O147">IFERROR(1/(1/SUM(COUNTIFS(
'YearB-AppDetails Current Date'!A:A,D147,
'YearB-AppDetails Current Date'!F:F,E147,
'YearB-AppDetails Current Date'!E:E,--F147,
'YearB-AppDetails Current Date'!T:T,{"CDMT","RQMT","WAIT"},
'YearB-AppDetails Current Date'!I:I,"FALL"))), "")</f>
        <v/>
      </c>
      <c r="P147" s="74" t="str">
        <f>IFERROR(1/(1/COUNTIFS(
'YearB-AppDetails Current Date'!A:A,D147,
'YearB-AppDetails Current Date'!F:F,E147,
'YearB-AppDetails Current Date'!E:E,--F147,
'YearB-AppDetails Current Date'!Y:Y,"ENRO",
'YearB-AppDetails Current Date'!I:I,"FALL")),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HC'!D:T,12,FALSE)),
N(VLOOKUP(D149&amp;F149,'Budgeted Projections Dom HC'!D:T,13,FALSE))
)
),"")</f>
        <v/>
      </c>
      <c r="I149" s="73" t="str">
        <f>IFERROR(1/(1/COUNTIFS(
'YearB-AppDetails Current Date'!A:A,D149,
'YearB-AppDetails Current Date'!F:F,E149,
'YearB-AppDetails Current Date'!E:E,--F149,
'YearB-AppDetails Current Date'!I:I,"FALL")), "")</f>
        <v/>
      </c>
      <c r="J149" s="74" t="str" cm="1">
        <f t="array" ref="J149">IFERROR(1/(1/SUM(COUNTIFS(
'YearB-AppDetails Current Date'!A:A,D149,
'YearB-AppDetails Current Date'!F:F,E149,
'YearB-AppDetails Current Date'!E:E,--F149,
'YearB-AppDetails Current Date'!O:O,{"ACLN","ACPT","COND"},
'YearB-AppDetails Current Date'!S:S,"&lt;&gt;ACLN",
'YearB-AppDetails Current Date'!S:S,"&lt;&gt;ACPT",
'YearB-AppDetails Current Date'!S:S,"&lt;&gt;COND",
'YearB-AppDetails Current Date'!I:I,"FALL"))), "")</f>
        <v/>
      </c>
      <c r="K149" s="73" t="str">
        <f>IFERROR(1/(1/SUM(COUNTIFS(
'YearB-AppDetails Current Date'!A:A,D149,
'YearB-AppDetails Current Date'!F:F,E149,
'YearB-AppDetails Current Date'!E:E,--F149,
'YearB-AppDetails Current Date'!R:R,"&lt;&gt;"&amp;"",
'YearB-AppDetails Current Date'!I:I,"FALL"))), "")</f>
        <v/>
      </c>
      <c r="L149" s="74" t="str" cm="1">
        <f t="array" ref="L149">IFERROR(1/(1/SUM(COUNTIFS(
'YearB-AppDetails Current Date'!A:A,D149,
'YearB-AppDetails Current Date'!F:F,E149,
'YearB-AppDetails Current Date'!E:E,--F149,
'YearB-AppDetails Current Date'!T:T,{"APEX","DENY","NTSL"},
'YearB-AppDetails Current Date'!I:I,"FALL"))), "")</f>
        <v/>
      </c>
      <c r="M149" s="74" t="str" cm="1">
        <f t="array" ref="M149">IFERROR(1/(1/SUM(COUNTIFS(
'YearB-AppDetails Current Date'!A:A,D149,
'YearB-AppDetails Current Date'!F:F,E149,
'YearB-AppDetails Current Date'!E:E,--F149,
'YearB-AppDetails Current Date'!U:U,{"CCAN","DECL"},
'YearB-AppDetails Current Date'!I:I,"FALL"))), "")</f>
        <v/>
      </c>
      <c r="N149" s="74" t="str" cm="1">
        <f t="array" ref="N149">IFERROR(1/(1/SUM(COUNTIFS(
'YearB-AppDetails Current Date'!A:A,D149,
'YearB-AppDetails Current Date'!F:F,E149,
'YearB-AppDetails Current Date'!E:E,--F149,
'YearB-AppDetails Current Date'!V:V,{"APRO","NODE"},
'YearB-AppDetails Current Date'!I:I,"FALL"))), "")</f>
        <v/>
      </c>
      <c r="O149" s="74" t="str" cm="1">
        <f t="array" ref="O149">IFERROR(1/(1/SUM(COUNTIFS(
'YearB-AppDetails Current Date'!A:A,D149,
'YearB-AppDetails Current Date'!F:F,E149,
'YearB-AppDetails Current Date'!E:E,--F149,
'YearB-AppDetails Current Date'!T:T,{"CDMT","RQMT","WAIT"},
'YearB-AppDetails Current Date'!I:I,"FALL"))), "")</f>
        <v/>
      </c>
      <c r="P149" s="74" t="str">
        <f>IFERROR(1/(1/COUNTIFS(
'YearB-AppDetails Current Date'!A:A,D149,
'YearB-AppDetails Current Date'!F:F,E149,
'YearB-AppDetails Current Date'!E:E,--F149,
'YearB-AppDetails Current Date'!Y:Y,"ENRO",
'YearB-AppDetails Current Date'!I:I,"FALL")),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HC'!D:T,12,FALSE)),
N(VLOOKUP(D150&amp;F150,'Budgeted Projections Intl HC'!D:T,13,FALSE))
)
),"")</f>
        <v/>
      </c>
      <c r="I150" s="73" t="str">
        <f>IFERROR(1/(1/COUNTIFS(
'YearB-AppDetails Current Date'!A:A,D150,
'YearB-AppDetails Current Date'!F:F,E150,
'YearB-AppDetails Current Date'!E:E,--F150,
'YearB-AppDetails Current Date'!I:I,"FALL")), "")</f>
        <v/>
      </c>
      <c r="J150" s="74" t="str" cm="1">
        <f t="array" ref="J150">IFERROR(1/(1/SUM(COUNTIFS(
'YearB-AppDetails Current Date'!A:A,D150,
'YearB-AppDetails Current Date'!F:F,E150,
'YearB-AppDetails Current Date'!E:E,--F150,
'YearB-AppDetails Current Date'!O:O,{"ACLN","ACPT","COND"},
'YearB-AppDetails Current Date'!S:S,"&lt;&gt;ACLN",
'YearB-AppDetails Current Date'!S:S,"&lt;&gt;ACPT",
'YearB-AppDetails Current Date'!S:S,"&lt;&gt;COND",
'YearB-AppDetails Current Date'!I:I,"FALL"))), "")</f>
        <v/>
      </c>
      <c r="K150" s="73" t="str">
        <f>IFERROR(1/(1/SUM(COUNTIFS(
'YearB-AppDetails Current Date'!A:A,D150,
'YearB-AppDetails Current Date'!F:F,E150,
'YearB-AppDetails Current Date'!E:E,--F150,
'YearB-AppDetails Current Date'!R:R,"&lt;&gt;"&amp;"",
'YearB-AppDetails Current Date'!I:I,"FALL"))), "")</f>
        <v/>
      </c>
      <c r="L150" s="74" t="str" cm="1">
        <f t="array" ref="L150">IFERROR(1/(1/SUM(COUNTIFS(
'YearB-AppDetails Current Date'!A:A,D150,
'YearB-AppDetails Current Date'!F:F,E150,
'YearB-AppDetails Current Date'!E:E,--F150,
'YearB-AppDetails Current Date'!T:T,{"APEX","DENY","NTSL"},
'YearB-AppDetails Current Date'!I:I,"FALL"))), "")</f>
        <v/>
      </c>
      <c r="M150" s="74" t="str" cm="1">
        <f t="array" ref="M150">IFERROR(1/(1/SUM(COUNTIFS(
'YearB-AppDetails Current Date'!A:A,D150,
'YearB-AppDetails Current Date'!F:F,E150,
'YearB-AppDetails Current Date'!E:E,--F150,
'YearB-AppDetails Current Date'!U:U,{"CCAN","DECL"},
'YearB-AppDetails Current Date'!I:I,"FALL"))), "")</f>
        <v/>
      </c>
      <c r="N150" s="74" t="str" cm="1">
        <f t="array" ref="N150">IFERROR(1/(1/SUM(COUNTIFS(
'YearB-AppDetails Current Date'!A:A,D150,
'YearB-AppDetails Current Date'!F:F,E150,
'YearB-AppDetails Current Date'!E:E,--F150,
'YearB-AppDetails Current Date'!V:V,{"APRO","NODE"},
'YearB-AppDetails Current Date'!I:I,"FALL"))), "")</f>
        <v/>
      </c>
      <c r="O150" s="74" t="str" cm="1">
        <f t="array" ref="O150">IFERROR(1/(1/SUM(COUNTIFS(
'YearB-AppDetails Current Date'!A:A,D150,
'YearB-AppDetails Current Date'!F:F,E150,
'YearB-AppDetails Current Date'!E:E,--F150,
'YearB-AppDetails Current Date'!T:T,{"CDMT","RQMT","WAIT"},
'YearB-AppDetails Current Date'!I:I,"FALL"))), "")</f>
        <v/>
      </c>
      <c r="P150" s="74" t="str">
        <f>IFERROR(1/(1/COUNTIFS(
'YearB-AppDetails Current Date'!A:A,D150,
'YearB-AppDetails Current Date'!F:F,E150,
'YearB-AppDetails Current Date'!E:E,--F150,
'YearB-AppDetails Current Date'!Y:Y,"ENRO",
'YearB-AppDetails Current Date'!I:I,"FALL")),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HC'!D:T,12,FALSE)),
N(VLOOKUP(D151&amp;F151,'Budgeted Projections Dom HC'!D:T,13,FALSE))
)
),"")</f>
        <v/>
      </c>
      <c r="I151" s="73" t="str">
        <f>IFERROR(1/(1/COUNTIFS(
'YearB-AppDetails Current Date'!A:A,D151,
'YearB-AppDetails Current Date'!F:F,E151,
'YearB-AppDetails Current Date'!E:E,--F151,
'YearB-AppDetails Current Date'!I:I,"FALL")), "")</f>
        <v/>
      </c>
      <c r="J151" s="74" t="str" cm="1">
        <f t="array" ref="J151">IFERROR(1/(1/SUM(COUNTIFS(
'YearB-AppDetails Current Date'!A:A,D151,
'YearB-AppDetails Current Date'!F:F,E151,
'YearB-AppDetails Current Date'!E:E,--F151,
'YearB-AppDetails Current Date'!O:O,{"ACLN","ACPT","COND"},
'YearB-AppDetails Current Date'!S:S,"&lt;&gt;ACLN",
'YearB-AppDetails Current Date'!S:S,"&lt;&gt;ACPT",
'YearB-AppDetails Current Date'!S:S,"&lt;&gt;COND",
'YearB-AppDetails Current Date'!I:I,"FALL"))), "")</f>
        <v/>
      </c>
      <c r="K151" s="73" t="str">
        <f>IFERROR(1/(1/SUM(COUNTIFS(
'YearB-AppDetails Current Date'!A:A,D151,
'YearB-AppDetails Current Date'!F:F,E151,
'YearB-AppDetails Current Date'!E:E,--F151,
'YearB-AppDetails Current Date'!R:R,"&lt;&gt;"&amp;"",
'YearB-AppDetails Current Date'!I:I,"FALL"))), "")</f>
        <v/>
      </c>
      <c r="L151" s="74" t="str" cm="1">
        <f t="array" ref="L151">IFERROR(1/(1/SUM(COUNTIFS(
'YearB-AppDetails Current Date'!A:A,D151,
'YearB-AppDetails Current Date'!F:F,E151,
'YearB-AppDetails Current Date'!E:E,--F151,
'YearB-AppDetails Current Date'!T:T,{"APEX","DENY","NTSL"},
'YearB-AppDetails Current Date'!I:I,"FALL"))), "")</f>
        <v/>
      </c>
      <c r="M151" s="74" t="str" cm="1">
        <f t="array" ref="M151">IFERROR(1/(1/SUM(COUNTIFS(
'YearB-AppDetails Current Date'!A:A,D151,
'YearB-AppDetails Current Date'!F:F,E151,
'YearB-AppDetails Current Date'!E:E,--F151,
'YearB-AppDetails Current Date'!U:U,{"CCAN","DECL"},
'YearB-AppDetails Current Date'!I:I,"FALL"))), "")</f>
        <v/>
      </c>
      <c r="N151" s="74" t="str" cm="1">
        <f t="array" ref="N151">IFERROR(1/(1/SUM(COUNTIFS(
'YearB-AppDetails Current Date'!A:A,D151,
'YearB-AppDetails Current Date'!F:F,E151,
'YearB-AppDetails Current Date'!E:E,--F151,
'YearB-AppDetails Current Date'!V:V,{"APRO","NODE"},
'YearB-AppDetails Current Date'!I:I,"FALL"))), "")</f>
        <v/>
      </c>
      <c r="O151" s="74" t="str" cm="1">
        <f t="array" ref="O151">IFERROR(1/(1/SUM(COUNTIFS(
'YearB-AppDetails Current Date'!A:A,D151,
'YearB-AppDetails Current Date'!F:F,E151,
'YearB-AppDetails Current Date'!E:E,--F151,
'YearB-AppDetails Current Date'!T:T,{"CDMT","RQMT","WAIT"},
'YearB-AppDetails Current Date'!I:I,"FALL"))), "")</f>
        <v/>
      </c>
      <c r="P151" s="74" t="str">
        <f>IFERROR(1/(1/COUNTIFS(
'YearB-AppDetails Current Date'!A:A,D151,
'YearB-AppDetails Current Date'!F:F,E151,
'YearB-AppDetails Current Date'!E:E,--F151,
'YearB-AppDetails Current Date'!Y:Y,"ENRO",
'YearB-AppDetails Current Date'!I:I,"FALL")),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HC'!D:T,12,FALSE)),
N(VLOOKUP(D152&amp;F152,'Budgeted Projections Intl HC'!D:T,13,FALSE))
)
),"")</f>
        <v/>
      </c>
      <c r="I152" s="73" t="str">
        <f>IFERROR(1/(1/COUNTIFS(
'YearB-AppDetails Current Date'!A:A,D152,
'YearB-AppDetails Current Date'!F:F,E152,
'YearB-AppDetails Current Date'!E:E,--F152,
'YearB-AppDetails Current Date'!I:I,"FALL")), "")</f>
        <v/>
      </c>
      <c r="J152" s="74" t="str" cm="1">
        <f t="array" ref="J152">IFERROR(1/(1/SUM(COUNTIFS(
'YearB-AppDetails Current Date'!A:A,D152,
'YearB-AppDetails Current Date'!F:F,E152,
'YearB-AppDetails Current Date'!E:E,--F152,
'YearB-AppDetails Current Date'!O:O,{"ACLN","ACPT","COND"},
'YearB-AppDetails Current Date'!S:S,"&lt;&gt;ACLN",
'YearB-AppDetails Current Date'!S:S,"&lt;&gt;ACPT",
'YearB-AppDetails Current Date'!S:S,"&lt;&gt;COND",
'YearB-AppDetails Current Date'!I:I,"FALL"))), "")</f>
        <v/>
      </c>
      <c r="K152" s="73" t="str">
        <f>IFERROR(1/(1/SUM(COUNTIFS(
'YearB-AppDetails Current Date'!A:A,D152,
'YearB-AppDetails Current Date'!F:F,E152,
'YearB-AppDetails Current Date'!E:E,--F152,
'YearB-AppDetails Current Date'!R:R,"&lt;&gt;"&amp;"",
'YearB-AppDetails Current Date'!I:I,"FALL"))), "")</f>
        <v/>
      </c>
      <c r="L152" s="74" t="str" cm="1">
        <f t="array" ref="L152">IFERROR(1/(1/SUM(COUNTIFS(
'YearB-AppDetails Current Date'!A:A,D152,
'YearB-AppDetails Current Date'!F:F,E152,
'YearB-AppDetails Current Date'!E:E,--F152,
'YearB-AppDetails Current Date'!T:T,{"APEX","DENY","NTSL"},
'YearB-AppDetails Current Date'!I:I,"FALL"))), "")</f>
        <v/>
      </c>
      <c r="M152" s="74" t="str" cm="1">
        <f t="array" ref="M152">IFERROR(1/(1/SUM(COUNTIFS(
'YearB-AppDetails Current Date'!A:A,D152,
'YearB-AppDetails Current Date'!F:F,E152,
'YearB-AppDetails Current Date'!E:E,--F152,
'YearB-AppDetails Current Date'!U:U,{"CCAN","DECL"},
'YearB-AppDetails Current Date'!I:I,"FALL"))), "")</f>
        <v/>
      </c>
      <c r="N152" s="74" t="str" cm="1">
        <f t="array" ref="N152">IFERROR(1/(1/SUM(COUNTIFS(
'YearB-AppDetails Current Date'!A:A,D152,
'YearB-AppDetails Current Date'!F:F,E152,
'YearB-AppDetails Current Date'!E:E,--F152,
'YearB-AppDetails Current Date'!V:V,{"APRO","NODE"},
'YearB-AppDetails Current Date'!I:I,"FALL"))), "")</f>
        <v/>
      </c>
      <c r="O152" s="74" t="str" cm="1">
        <f t="array" ref="O152">IFERROR(1/(1/SUM(COUNTIFS(
'YearB-AppDetails Current Date'!A:A,D152,
'YearB-AppDetails Current Date'!F:F,E152,
'YearB-AppDetails Current Date'!E:E,--F152,
'YearB-AppDetails Current Date'!T:T,{"CDMT","RQMT","WAIT"},
'YearB-AppDetails Current Date'!I:I,"FALL"))), "")</f>
        <v/>
      </c>
      <c r="P152" s="74" t="str">
        <f>IFERROR(1/(1/COUNTIFS(
'YearB-AppDetails Current Date'!A:A,D152,
'YearB-AppDetails Current Date'!F:F,E152,
'YearB-AppDetails Current Date'!E:E,--F152,
'YearB-AppDetails Current Date'!Y:Y,"ENRO",
'YearB-AppDetails Current Date'!I:I,"FALL")),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HC'!D:T,12,FALSE)),
N(VLOOKUP(D153&amp;F153,'Budgeted Projections Dom HC'!D:T,13,FALSE))
)
),"")</f>
        <v/>
      </c>
      <c r="I153" s="73" t="str">
        <f>IFERROR(1/(1/COUNTIFS(
'YearB-AppDetails Current Date'!A:A,D153,
'YearB-AppDetails Current Date'!F:F,E153,
'YearB-AppDetails Current Date'!E:E,--F153,
'YearB-AppDetails Current Date'!I:I,"FALL")), "")</f>
        <v/>
      </c>
      <c r="J153" s="74" t="str" cm="1">
        <f t="array" ref="J153">IFERROR(1/(1/SUM(COUNTIFS(
'YearB-AppDetails Current Date'!A:A,D153,
'YearB-AppDetails Current Date'!F:F,E153,
'YearB-AppDetails Current Date'!E:E,--F153,
'YearB-AppDetails Current Date'!O:O,{"ACLN","ACPT","COND"},
'YearB-AppDetails Current Date'!S:S,"&lt;&gt;ACLN",
'YearB-AppDetails Current Date'!S:S,"&lt;&gt;ACPT",
'YearB-AppDetails Current Date'!S:S,"&lt;&gt;COND",
'YearB-AppDetails Current Date'!I:I,"FALL"))), "")</f>
        <v/>
      </c>
      <c r="K153" s="73" t="str">
        <f>IFERROR(1/(1/SUM(COUNTIFS(
'YearB-AppDetails Current Date'!A:A,D153,
'YearB-AppDetails Current Date'!F:F,E153,
'YearB-AppDetails Current Date'!E:E,--F153,
'YearB-AppDetails Current Date'!R:R,"&lt;&gt;"&amp;"",
'YearB-AppDetails Current Date'!I:I,"FALL"))), "")</f>
        <v/>
      </c>
      <c r="L153" s="74" t="str" cm="1">
        <f t="array" ref="L153">IFERROR(1/(1/SUM(COUNTIFS(
'YearB-AppDetails Current Date'!A:A,D153,
'YearB-AppDetails Current Date'!F:F,E153,
'YearB-AppDetails Current Date'!E:E,--F153,
'YearB-AppDetails Current Date'!T:T,{"APEX","DENY","NTSL"},
'YearB-AppDetails Current Date'!I:I,"FALL"))), "")</f>
        <v/>
      </c>
      <c r="M153" s="74" t="str" cm="1">
        <f t="array" ref="M153">IFERROR(1/(1/SUM(COUNTIFS(
'YearB-AppDetails Current Date'!A:A,D153,
'YearB-AppDetails Current Date'!F:F,E153,
'YearB-AppDetails Current Date'!E:E,--F153,
'YearB-AppDetails Current Date'!U:U,{"CCAN","DECL"},
'YearB-AppDetails Current Date'!I:I,"FALL"))), "")</f>
        <v/>
      </c>
      <c r="N153" s="74" t="str" cm="1">
        <f t="array" ref="N153">IFERROR(1/(1/SUM(COUNTIFS(
'YearB-AppDetails Current Date'!A:A,D153,
'YearB-AppDetails Current Date'!F:F,E153,
'YearB-AppDetails Current Date'!E:E,--F153,
'YearB-AppDetails Current Date'!V:V,{"APRO","NODE"},
'YearB-AppDetails Current Date'!I:I,"FALL"))), "")</f>
        <v/>
      </c>
      <c r="O153" s="74" t="str" cm="1">
        <f t="array" ref="O153">IFERROR(1/(1/SUM(COUNTIFS(
'YearB-AppDetails Current Date'!A:A,D153,
'YearB-AppDetails Current Date'!F:F,E153,
'YearB-AppDetails Current Date'!E:E,--F153,
'YearB-AppDetails Current Date'!T:T,{"CDMT","RQMT","WAIT"},
'YearB-AppDetails Current Date'!I:I,"FALL"))), "")</f>
        <v/>
      </c>
      <c r="P153" s="74" t="str">
        <f>IFERROR(1/(1/COUNTIFS(
'YearB-AppDetails Current Date'!A:A,D153,
'YearB-AppDetails Current Date'!F:F,E153,
'YearB-AppDetails Current Date'!E:E,--F153,
'YearB-AppDetails Current Date'!Y:Y,"ENRO",
'YearB-AppDetails Current Date'!I:I,"FALL")),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HC'!D:T,12,FALSE)),
N(VLOOKUP(D154&amp;F154,'Budgeted Projections Intl HC'!D:T,13,FALSE))
)
),"")</f>
        <v/>
      </c>
      <c r="I154" s="73" t="str">
        <f>IFERROR(1/(1/COUNTIFS(
'YearB-AppDetails Current Date'!A:A,D154,
'YearB-AppDetails Current Date'!F:F,E154,
'YearB-AppDetails Current Date'!E:E,--F154,
'YearB-AppDetails Current Date'!I:I,"FALL")), "")</f>
        <v/>
      </c>
      <c r="J154" s="74" t="str" cm="1">
        <f t="array" ref="J154">IFERROR(1/(1/SUM(COUNTIFS(
'YearB-AppDetails Current Date'!A:A,D154,
'YearB-AppDetails Current Date'!F:F,E154,
'YearB-AppDetails Current Date'!E:E,--F154,
'YearB-AppDetails Current Date'!O:O,{"ACLN","ACPT","COND"},
'YearB-AppDetails Current Date'!S:S,"&lt;&gt;ACLN",
'YearB-AppDetails Current Date'!S:S,"&lt;&gt;ACPT",
'YearB-AppDetails Current Date'!S:S,"&lt;&gt;COND",
'YearB-AppDetails Current Date'!I:I,"FALL"))), "")</f>
        <v/>
      </c>
      <c r="K154" s="73" t="str">
        <f>IFERROR(1/(1/SUM(COUNTIFS(
'YearB-AppDetails Current Date'!A:A,D154,
'YearB-AppDetails Current Date'!F:F,E154,
'YearB-AppDetails Current Date'!E:E,--F154,
'YearB-AppDetails Current Date'!R:R,"&lt;&gt;"&amp;"",
'YearB-AppDetails Current Date'!I:I,"FALL"))), "")</f>
        <v/>
      </c>
      <c r="L154" s="74" t="str" cm="1">
        <f t="array" ref="L154">IFERROR(1/(1/SUM(COUNTIFS(
'YearB-AppDetails Current Date'!A:A,D154,
'YearB-AppDetails Current Date'!F:F,E154,
'YearB-AppDetails Current Date'!E:E,--F154,
'YearB-AppDetails Current Date'!T:T,{"APEX","DENY","NTSL"},
'YearB-AppDetails Current Date'!I:I,"FALL"))), "")</f>
        <v/>
      </c>
      <c r="M154" s="74" t="str" cm="1">
        <f t="array" ref="M154">IFERROR(1/(1/SUM(COUNTIFS(
'YearB-AppDetails Current Date'!A:A,D154,
'YearB-AppDetails Current Date'!F:F,E154,
'YearB-AppDetails Current Date'!E:E,--F154,
'YearB-AppDetails Current Date'!U:U,{"CCAN","DECL"},
'YearB-AppDetails Current Date'!I:I,"FALL"))), "")</f>
        <v/>
      </c>
      <c r="N154" s="74" t="str" cm="1">
        <f t="array" ref="N154">IFERROR(1/(1/SUM(COUNTIFS(
'YearB-AppDetails Current Date'!A:A,D154,
'YearB-AppDetails Current Date'!F:F,E154,
'YearB-AppDetails Current Date'!E:E,--F154,
'YearB-AppDetails Current Date'!V:V,{"APRO","NODE"},
'YearB-AppDetails Current Date'!I:I,"FALL"))), "")</f>
        <v/>
      </c>
      <c r="O154" s="74" t="str" cm="1">
        <f t="array" ref="O154">IFERROR(1/(1/SUM(COUNTIFS(
'YearB-AppDetails Current Date'!A:A,D154,
'YearB-AppDetails Current Date'!F:F,E154,
'YearB-AppDetails Current Date'!E:E,--F154,
'YearB-AppDetails Current Date'!T:T,{"CDMT","RQMT","WAIT"},
'YearB-AppDetails Current Date'!I:I,"FALL"))), "")</f>
        <v/>
      </c>
      <c r="P154" s="74" t="str">
        <f>IFERROR(1/(1/COUNTIFS(
'YearB-AppDetails Current Date'!A:A,D154,
'YearB-AppDetails Current Date'!F:F,E154,
'YearB-AppDetails Current Date'!E:E,--F154,
'YearB-AppDetails Current Date'!Y:Y,"ENRO",
'YearB-AppDetails Current Date'!I:I,"FALL")),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HC'!D:T,12,FALSE)),
N(VLOOKUP(D155&amp;F155,'Budgeted Projections Dom HC'!D:T,13,FALSE))
)
),"")</f>
        <v/>
      </c>
      <c r="I155" s="73" t="str">
        <f>IFERROR(1/(1/COUNTIFS(
'YearB-AppDetails Current Date'!A:A,D155,
'YearB-AppDetails Current Date'!F:F,E155,
'YearB-AppDetails Current Date'!E:E,--F155,
'YearB-AppDetails Current Date'!I:I,"FALL")), "")</f>
        <v/>
      </c>
      <c r="J155" s="74" t="str" cm="1">
        <f t="array" ref="J155">IFERROR(1/(1/SUM(COUNTIFS(
'YearB-AppDetails Current Date'!A:A,D155,
'YearB-AppDetails Current Date'!F:F,E155,
'YearB-AppDetails Current Date'!E:E,--F155,
'YearB-AppDetails Current Date'!O:O,{"ACLN","ACPT","COND"},
'YearB-AppDetails Current Date'!S:S,"&lt;&gt;ACLN",
'YearB-AppDetails Current Date'!S:S,"&lt;&gt;ACPT",
'YearB-AppDetails Current Date'!S:S,"&lt;&gt;COND",
'YearB-AppDetails Current Date'!I:I,"FALL"))), "")</f>
        <v/>
      </c>
      <c r="K155" s="73" t="str">
        <f>IFERROR(1/(1/SUM(COUNTIFS(
'YearB-AppDetails Current Date'!A:A,D155,
'YearB-AppDetails Current Date'!F:F,E155,
'YearB-AppDetails Current Date'!E:E,--F155,
'YearB-AppDetails Current Date'!R:R,"&lt;&gt;"&amp;"",
'YearB-AppDetails Current Date'!I:I,"FALL"))), "")</f>
        <v/>
      </c>
      <c r="L155" s="74" t="str" cm="1">
        <f t="array" ref="L155">IFERROR(1/(1/SUM(COUNTIFS(
'YearB-AppDetails Current Date'!A:A,D155,
'YearB-AppDetails Current Date'!F:F,E155,
'YearB-AppDetails Current Date'!E:E,--F155,
'YearB-AppDetails Current Date'!T:T,{"APEX","DENY","NTSL"},
'YearB-AppDetails Current Date'!I:I,"FALL"))), "")</f>
        <v/>
      </c>
      <c r="M155" s="74" t="str" cm="1">
        <f t="array" ref="M155">IFERROR(1/(1/SUM(COUNTIFS(
'YearB-AppDetails Current Date'!A:A,D155,
'YearB-AppDetails Current Date'!F:F,E155,
'YearB-AppDetails Current Date'!E:E,--F155,
'YearB-AppDetails Current Date'!U:U,{"CCAN","DECL"},
'YearB-AppDetails Current Date'!I:I,"FALL"))), "")</f>
        <v/>
      </c>
      <c r="N155" s="74" t="str" cm="1">
        <f t="array" ref="N155">IFERROR(1/(1/SUM(COUNTIFS(
'YearB-AppDetails Current Date'!A:A,D155,
'YearB-AppDetails Current Date'!F:F,E155,
'YearB-AppDetails Current Date'!E:E,--F155,
'YearB-AppDetails Current Date'!V:V,{"APRO","NODE"},
'YearB-AppDetails Current Date'!I:I,"FALL"))), "")</f>
        <v/>
      </c>
      <c r="O155" s="74" t="str" cm="1">
        <f t="array" ref="O155">IFERROR(1/(1/SUM(COUNTIFS(
'YearB-AppDetails Current Date'!A:A,D155,
'YearB-AppDetails Current Date'!F:F,E155,
'YearB-AppDetails Current Date'!E:E,--F155,
'YearB-AppDetails Current Date'!T:T,{"CDMT","RQMT","WAIT"},
'YearB-AppDetails Current Date'!I:I,"FALL"))), "")</f>
        <v/>
      </c>
      <c r="P155" s="74" t="str">
        <f>IFERROR(1/(1/COUNTIFS(
'YearB-AppDetails Current Date'!A:A,D155,
'YearB-AppDetails Current Date'!F:F,E155,
'YearB-AppDetails Current Date'!E:E,--F155,
'YearB-AppDetails Current Date'!Y:Y,"ENRO",
'YearB-AppDetails Current Date'!I:I,"FALL")),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HC'!D:T,12,FALSE)),
N(VLOOKUP(D156&amp;F156,'Budgeted Projections Intl HC'!D:T,13,FALSE))
)
),"")</f>
        <v/>
      </c>
      <c r="I156" s="73" t="str">
        <f>IFERROR(1/(1/COUNTIFS(
'YearB-AppDetails Current Date'!A:A,D156,
'YearB-AppDetails Current Date'!F:F,E156,
'YearB-AppDetails Current Date'!E:E,--F156,
'YearB-AppDetails Current Date'!I:I,"FALL")), "")</f>
        <v/>
      </c>
      <c r="J156" s="74" t="str" cm="1">
        <f t="array" ref="J156">IFERROR(1/(1/SUM(COUNTIFS(
'YearB-AppDetails Current Date'!A:A,D156,
'YearB-AppDetails Current Date'!F:F,E156,
'YearB-AppDetails Current Date'!E:E,--F156,
'YearB-AppDetails Current Date'!O:O,{"ACLN","ACPT","COND"},
'YearB-AppDetails Current Date'!S:S,"&lt;&gt;ACLN",
'YearB-AppDetails Current Date'!S:S,"&lt;&gt;ACPT",
'YearB-AppDetails Current Date'!S:S,"&lt;&gt;COND",
'YearB-AppDetails Current Date'!I:I,"FALL"))), "")</f>
        <v/>
      </c>
      <c r="K156" s="73" t="str">
        <f>IFERROR(1/(1/SUM(COUNTIFS(
'YearB-AppDetails Current Date'!A:A,D156,
'YearB-AppDetails Current Date'!F:F,E156,
'YearB-AppDetails Current Date'!E:E,--F156,
'YearB-AppDetails Current Date'!R:R,"&lt;&gt;"&amp;"",
'YearB-AppDetails Current Date'!I:I,"FALL"))), "")</f>
        <v/>
      </c>
      <c r="L156" s="74" t="str" cm="1">
        <f t="array" ref="L156">IFERROR(1/(1/SUM(COUNTIFS(
'YearB-AppDetails Current Date'!A:A,D156,
'YearB-AppDetails Current Date'!F:F,E156,
'YearB-AppDetails Current Date'!E:E,--F156,
'YearB-AppDetails Current Date'!T:T,{"APEX","DENY","NTSL"},
'YearB-AppDetails Current Date'!I:I,"FALL"))), "")</f>
        <v/>
      </c>
      <c r="M156" s="74" t="str" cm="1">
        <f t="array" ref="M156">IFERROR(1/(1/SUM(COUNTIFS(
'YearB-AppDetails Current Date'!A:A,D156,
'YearB-AppDetails Current Date'!F:F,E156,
'YearB-AppDetails Current Date'!E:E,--F156,
'YearB-AppDetails Current Date'!U:U,{"CCAN","DECL"},
'YearB-AppDetails Current Date'!I:I,"FALL"))), "")</f>
        <v/>
      </c>
      <c r="N156" s="74" t="str" cm="1">
        <f t="array" ref="N156">IFERROR(1/(1/SUM(COUNTIFS(
'YearB-AppDetails Current Date'!A:A,D156,
'YearB-AppDetails Current Date'!F:F,E156,
'YearB-AppDetails Current Date'!E:E,--F156,
'YearB-AppDetails Current Date'!V:V,{"APRO","NODE"},
'YearB-AppDetails Current Date'!I:I,"FALL"))), "")</f>
        <v/>
      </c>
      <c r="O156" s="74" t="str" cm="1">
        <f t="array" ref="O156">IFERROR(1/(1/SUM(COUNTIFS(
'YearB-AppDetails Current Date'!A:A,D156,
'YearB-AppDetails Current Date'!F:F,E156,
'YearB-AppDetails Current Date'!E:E,--F156,
'YearB-AppDetails Current Date'!T:T,{"CDMT","RQMT","WAIT"},
'YearB-AppDetails Current Date'!I:I,"FALL"))), "")</f>
        <v/>
      </c>
      <c r="P156" s="74" t="str">
        <f>IFERROR(1/(1/COUNTIFS(
'YearB-AppDetails Current Date'!A:A,D156,
'YearB-AppDetails Current Date'!F:F,E156,
'YearB-AppDetails Current Date'!E:E,--F156,
'YearB-AppDetails Current Date'!Y:Y,"ENRO",
'YearB-AppDetails Current Date'!I:I,"FALL")),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HC'!D:T,12,FALSE)),
N(VLOOKUP(D158&amp;F158,'Budgeted Projections Dom HC'!D:T,13,FALSE))
)
),"")</f>
        <v/>
      </c>
      <c r="I158" s="73" t="str">
        <f>IFERROR(1/(1/COUNTIFS(
'YearB-AppDetails Current Date'!A:A,D158,
'YearB-AppDetails Current Date'!F:F,E158,
'YearB-AppDetails Current Date'!E:E,--F158,
'YearB-AppDetails Current Date'!I:I,"FALL")), "")</f>
        <v/>
      </c>
      <c r="J158" s="74" t="str" cm="1">
        <f t="array" ref="J158">IFERROR(1/(1/SUM(COUNTIFS(
'YearB-AppDetails Current Date'!A:A,D158,
'YearB-AppDetails Current Date'!F:F,E158,
'YearB-AppDetails Current Date'!E:E,--F158,
'YearB-AppDetails Current Date'!O:O,{"ACLN","ACPT","COND"},
'YearB-AppDetails Current Date'!S:S,"&lt;&gt;ACLN",
'YearB-AppDetails Current Date'!S:S,"&lt;&gt;ACPT",
'YearB-AppDetails Current Date'!S:S,"&lt;&gt;COND",
'YearB-AppDetails Current Date'!I:I,"FALL"))), "")</f>
        <v/>
      </c>
      <c r="K158" s="73" t="str">
        <f>IFERROR(1/(1/SUM(COUNTIFS(
'YearB-AppDetails Current Date'!A:A,D158,
'YearB-AppDetails Current Date'!F:F,E158,
'YearB-AppDetails Current Date'!E:E,--F158,
'YearB-AppDetails Current Date'!R:R,"&lt;&gt;"&amp;"",
'YearB-AppDetails Current Date'!I:I,"FALL"))), "")</f>
        <v/>
      </c>
      <c r="L158" s="74" t="str" cm="1">
        <f t="array" ref="L158">IFERROR(1/(1/SUM(COUNTIFS(
'YearB-AppDetails Current Date'!A:A,D158,
'YearB-AppDetails Current Date'!F:F,E158,
'YearB-AppDetails Current Date'!E:E,--F158,
'YearB-AppDetails Current Date'!T:T,{"APEX","DENY","NTSL"},
'YearB-AppDetails Current Date'!I:I,"FALL"))), "")</f>
        <v/>
      </c>
      <c r="M158" s="74" t="str" cm="1">
        <f t="array" ref="M158">IFERROR(1/(1/SUM(COUNTIFS(
'YearB-AppDetails Current Date'!A:A,D158,
'YearB-AppDetails Current Date'!F:F,E158,
'YearB-AppDetails Current Date'!E:E,--F158,
'YearB-AppDetails Current Date'!U:U,{"CCAN","DECL"},
'YearB-AppDetails Current Date'!I:I,"FALL"))), "")</f>
        <v/>
      </c>
      <c r="N158" s="74" t="str" cm="1">
        <f t="array" ref="N158">IFERROR(1/(1/SUM(COUNTIFS(
'YearB-AppDetails Current Date'!A:A,D158,
'YearB-AppDetails Current Date'!F:F,E158,
'YearB-AppDetails Current Date'!E:E,--F158,
'YearB-AppDetails Current Date'!V:V,{"APRO","NODE"},
'YearB-AppDetails Current Date'!I:I,"FALL"))), "")</f>
        <v/>
      </c>
      <c r="O158" s="74" t="str" cm="1">
        <f t="array" ref="O158">IFERROR(1/(1/SUM(COUNTIFS(
'YearB-AppDetails Current Date'!A:A,D158,
'YearB-AppDetails Current Date'!F:F,E158,
'YearB-AppDetails Current Date'!E:E,--F158,
'YearB-AppDetails Current Date'!T:T,{"CDMT","RQMT","WAIT"},
'YearB-AppDetails Current Date'!I:I,"FALL"))), "")</f>
        <v/>
      </c>
      <c r="P158" s="74" t="str">
        <f>IFERROR(1/(1/COUNTIFS(
'YearB-AppDetails Current Date'!A:A,D158,
'YearB-AppDetails Current Date'!F:F,E158,
'YearB-AppDetails Current Date'!E:E,--F158,
'YearB-AppDetails Current Date'!Y:Y,"ENRO",
'YearB-AppDetails Current Date'!I:I,"FALL")),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HC'!D:T,12,FALSE)),
N(VLOOKUP(D159&amp;F159,'Budgeted Projections Intl HC'!D:T,13,FALSE))
)
),"")</f>
        <v/>
      </c>
      <c r="I159" s="73" t="str">
        <f>IFERROR(1/(1/COUNTIFS(
'YearB-AppDetails Current Date'!A:A,D159,
'YearB-AppDetails Current Date'!F:F,E159,
'YearB-AppDetails Current Date'!E:E,--F159,
'YearB-AppDetails Current Date'!I:I,"FALL")), "")</f>
        <v/>
      </c>
      <c r="J159" s="74" t="str" cm="1">
        <f t="array" ref="J159">IFERROR(1/(1/SUM(COUNTIFS(
'YearB-AppDetails Current Date'!A:A,D159,
'YearB-AppDetails Current Date'!F:F,E159,
'YearB-AppDetails Current Date'!E:E,--F159,
'YearB-AppDetails Current Date'!O:O,{"ACLN","ACPT","COND"},
'YearB-AppDetails Current Date'!S:S,"&lt;&gt;ACLN",
'YearB-AppDetails Current Date'!S:S,"&lt;&gt;ACPT",
'YearB-AppDetails Current Date'!S:S,"&lt;&gt;COND",
'YearB-AppDetails Current Date'!I:I,"FALL"))), "")</f>
        <v/>
      </c>
      <c r="K159" s="73" t="str">
        <f>IFERROR(1/(1/SUM(COUNTIFS(
'YearB-AppDetails Current Date'!A:A,D159,
'YearB-AppDetails Current Date'!F:F,E159,
'YearB-AppDetails Current Date'!E:E,--F159,
'YearB-AppDetails Current Date'!R:R,"&lt;&gt;"&amp;"",
'YearB-AppDetails Current Date'!I:I,"FALL"))), "")</f>
        <v/>
      </c>
      <c r="L159" s="74" t="str" cm="1">
        <f t="array" ref="L159">IFERROR(1/(1/SUM(COUNTIFS(
'YearB-AppDetails Current Date'!A:A,D159,
'YearB-AppDetails Current Date'!F:F,E159,
'YearB-AppDetails Current Date'!E:E,--F159,
'YearB-AppDetails Current Date'!T:T,{"APEX","DENY","NTSL"},
'YearB-AppDetails Current Date'!I:I,"FALL"))), "")</f>
        <v/>
      </c>
      <c r="M159" s="74" t="str" cm="1">
        <f t="array" ref="M159">IFERROR(1/(1/SUM(COUNTIFS(
'YearB-AppDetails Current Date'!A:A,D159,
'YearB-AppDetails Current Date'!F:F,E159,
'YearB-AppDetails Current Date'!E:E,--F159,
'YearB-AppDetails Current Date'!U:U,{"CCAN","DECL"},
'YearB-AppDetails Current Date'!I:I,"FALL"))), "")</f>
        <v/>
      </c>
      <c r="N159" s="74" t="str" cm="1">
        <f t="array" ref="N159">IFERROR(1/(1/SUM(COUNTIFS(
'YearB-AppDetails Current Date'!A:A,D159,
'YearB-AppDetails Current Date'!F:F,E159,
'YearB-AppDetails Current Date'!E:E,--F159,
'YearB-AppDetails Current Date'!V:V,{"APRO","NODE"},
'YearB-AppDetails Current Date'!I:I,"FALL"))), "")</f>
        <v/>
      </c>
      <c r="O159" s="74" t="str" cm="1">
        <f t="array" ref="O159">IFERROR(1/(1/SUM(COUNTIFS(
'YearB-AppDetails Current Date'!A:A,D159,
'YearB-AppDetails Current Date'!F:F,E159,
'YearB-AppDetails Current Date'!E:E,--F159,
'YearB-AppDetails Current Date'!T:T,{"CDMT","RQMT","WAIT"},
'YearB-AppDetails Current Date'!I:I,"FALL"))), "")</f>
        <v/>
      </c>
      <c r="P159" s="74" t="str">
        <f>IFERROR(1/(1/COUNTIFS(
'YearB-AppDetails Current Date'!A:A,D159,
'YearB-AppDetails Current Date'!F:F,E159,
'YearB-AppDetails Current Date'!E:E,--F159,
'YearB-AppDetails Current Date'!Y:Y,"ENRO",
'YearB-AppDetails Current Date'!I:I,"FALL")),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HC'!D:T,12,FALSE)),
N(VLOOKUP(D160&amp;F160,'Budgeted Projections Dom HC'!D:T,13,FALSE))
)
),"")</f>
        <v/>
      </c>
      <c r="I160" s="73" t="str">
        <f>IFERROR(1/(1/COUNTIFS(
'YearB-AppDetails Current Date'!A:A,D160,
'YearB-AppDetails Current Date'!F:F,E160,
'YearB-AppDetails Current Date'!E:E,--F160,
'YearB-AppDetails Current Date'!I:I,"FALL")), "")</f>
        <v/>
      </c>
      <c r="J160" s="74" t="str" cm="1">
        <f t="array" ref="J160">IFERROR(1/(1/SUM(COUNTIFS(
'YearB-AppDetails Current Date'!A:A,D160,
'YearB-AppDetails Current Date'!F:F,E160,
'YearB-AppDetails Current Date'!E:E,--F160,
'YearB-AppDetails Current Date'!O:O,{"ACLN","ACPT","COND"},
'YearB-AppDetails Current Date'!S:S,"&lt;&gt;ACLN",
'YearB-AppDetails Current Date'!S:S,"&lt;&gt;ACPT",
'YearB-AppDetails Current Date'!S:S,"&lt;&gt;COND",
'YearB-AppDetails Current Date'!I:I,"FALL"))), "")</f>
        <v/>
      </c>
      <c r="K160" s="73" t="str">
        <f>IFERROR(1/(1/SUM(COUNTIFS(
'YearB-AppDetails Current Date'!A:A,D160,
'YearB-AppDetails Current Date'!F:F,E160,
'YearB-AppDetails Current Date'!E:E,--F160,
'YearB-AppDetails Current Date'!R:R,"&lt;&gt;"&amp;"",
'YearB-AppDetails Current Date'!I:I,"FALL"))), "")</f>
        <v/>
      </c>
      <c r="L160" s="74" t="str" cm="1">
        <f t="array" ref="L160">IFERROR(1/(1/SUM(COUNTIFS(
'YearB-AppDetails Current Date'!A:A,D160,
'YearB-AppDetails Current Date'!F:F,E160,
'YearB-AppDetails Current Date'!E:E,--F160,
'YearB-AppDetails Current Date'!T:T,{"APEX","DENY","NTSL"},
'YearB-AppDetails Current Date'!I:I,"FALL"))), "")</f>
        <v/>
      </c>
      <c r="M160" s="74" t="str" cm="1">
        <f t="array" ref="M160">IFERROR(1/(1/SUM(COUNTIFS(
'YearB-AppDetails Current Date'!A:A,D160,
'YearB-AppDetails Current Date'!F:F,E160,
'YearB-AppDetails Current Date'!E:E,--F160,
'YearB-AppDetails Current Date'!U:U,{"CCAN","DECL"},
'YearB-AppDetails Current Date'!I:I,"FALL"))), "")</f>
        <v/>
      </c>
      <c r="N160" s="74" t="str" cm="1">
        <f t="array" ref="N160">IFERROR(1/(1/SUM(COUNTIFS(
'YearB-AppDetails Current Date'!A:A,D160,
'YearB-AppDetails Current Date'!F:F,E160,
'YearB-AppDetails Current Date'!E:E,--F160,
'YearB-AppDetails Current Date'!V:V,{"APRO","NODE"},
'YearB-AppDetails Current Date'!I:I,"FALL"))), "")</f>
        <v/>
      </c>
      <c r="O160" s="74" t="str" cm="1">
        <f t="array" ref="O160">IFERROR(1/(1/SUM(COUNTIFS(
'YearB-AppDetails Current Date'!A:A,D160,
'YearB-AppDetails Current Date'!F:F,E160,
'YearB-AppDetails Current Date'!E:E,--F160,
'YearB-AppDetails Current Date'!T:T,{"CDMT","RQMT","WAIT"},
'YearB-AppDetails Current Date'!I:I,"FALL"))), "")</f>
        <v/>
      </c>
      <c r="P160" s="74" t="str">
        <f>IFERROR(1/(1/COUNTIFS(
'YearB-AppDetails Current Date'!A:A,D160,
'YearB-AppDetails Current Date'!F:F,E160,
'YearB-AppDetails Current Date'!E:E,--F160,
'YearB-AppDetails Current Date'!Y:Y,"ENRO",
'YearB-AppDetails Current Date'!I:I,"FALL")),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HC'!D:T,12,FALSE)),
N(VLOOKUP(D161&amp;F161,'Budgeted Projections Intl HC'!D:T,13,FALSE))
)
),"")</f>
        <v/>
      </c>
      <c r="I161" s="73" t="str">
        <f>IFERROR(1/(1/COUNTIFS(
'YearB-AppDetails Current Date'!A:A,D161,
'YearB-AppDetails Current Date'!F:F,E161,
'YearB-AppDetails Current Date'!E:E,--F161,
'YearB-AppDetails Current Date'!I:I,"FALL")), "")</f>
        <v/>
      </c>
      <c r="J161" s="74" t="str" cm="1">
        <f t="array" ref="J161">IFERROR(1/(1/SUM(COUNTIFS(
'YearB-AppDetails Current Date'!A:A,D161,
'YearB-AppDetails Current Date'!F:F,E161,
'YearB-AppDetails Current Date'!E:E,--F161,
'YearB-AppDetails Current Date'!O:O,{"ACLN","ACPT","COND"},
'YearB-AppDetails Current Date'!S:S,"&lt;&gt;ACLN",
'YearB-AppDetails Current Date'!S:S,"&lt;&gt;ACPT",
'YearB-AppDetails Current Date'!S:S,"&lt;&gt;COND",
'YearB-AppDetails Current Date'!I:I,"FALL"))), "")</f>
        <v/>
      </c>
      <c r="K161" s="73" t="str">
        <f>IFERROR(1/(1/SUM(COUNTIFS(
'YearB-AppDetails Current Date'!A:A,D161,
'YearB-AppDetails Current Date'!F:F,E161,
'YearB-AppDetails Current Date'!E:E,--F161,
'YearB-AppDetails Current Date'!R:R,"&lt;&gt;"&amp;"",
'YearB-AppDetails Current Date'!I:I,"FALL"))), "")</f>
        <v/>
      </c>
      <c r="L161" s="74" t="str" cm="1">
        <f t="array" ref="L161">IFERROR(1/(1/SUM(COUNTIFS(
'YearB-AppDetails Current Date'!A:A,D161,
'YearB-AppDetails Current Date'!F:F,E161,
'YearB-AppDetails Current Date'!E:E,--F161,
'YearB-AppDetails Current Date'!T:T,{"APEX","DENY","NTSL"},
'YearB-AppDetails Current Date'!I:I,"FALL"))), "")</f>
        <v/>
      </c>
      <c r="M161" s="74" t="str" cm="1">
        <f t="array" ref="M161">IFERROR(1/(1/SUM(COUNTIFS(
'YearB-AppDetails Current Date'!A:A,D161,
'YearB-AppDetails Current Date'!F:F,E161,
'YearB-AppDetails Current Date'!E:E,--F161,
'YearB-AppDetails Current Date'!U:U,{"CCAN","DECL"},
'YearB-AppDetails Current Date'!I:I,"FALL"))), "")</f>
        <v/>
      </c>
      <c r="N161" s="74" t="str" cm="1">
        <f t="array" ref="N161">IFERROR(1/(1/SUM(COUNTIFS(
'YearB-AppDetails Current Date'!A:A,D161,
'YearB-AppDetails Current Date'!F:F,E161,
'YearB-AppDetails Current Date'!E:E,--F161,
'YearB-AppDetails Current Date'!V:V,{"APRO","NODE"},
'YearB-AppDetails Current Date'!I:I,"FALL"))), "")</f>
        <v/>
      </c>
      <c r="O161" s="74" t="str" cm="1">
        <f t="array" ref="O161">IFERROR(1/(1/SUM(COUNTIFS(
'YearB-AppDetails Current Date'!A:A,D161,
'YearB-AppDetails Current Date'!F:F,E161,
'YearB-AppDetails Current Date'!E:E,--F161,
'YearB-AppDetails Current Date'!T:T,{"CDMT","RQMT","WAIT"},
'YearB-AppDetails Current Date'!I:I,"FALL"))), "")</f>
        <v/>
      </c>
      <c r="P161" s="74" t="str">
        <f>IFERROR(1/(1/COUNTIFS(
'YearB-AppDetails Current Date'!A:A,D161,
'YearB-AppDetails Current Date'!F:F,E161,
'YearB-AppDetails Current Date'!E:E,--F161,
'YearB-AppDetails Current Date'!Y:Y,"ENRO",
'YearB-AppDetails Current Date'!I:I,"FALL")),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HC'!D:T,12,FALSE)),
N(VLOOKUP(D162&amp;F162,'Budgeted Projections Dom HC'!D:T,13,FALSE))
)
),"")</f>
        <v/>
      </c>
      <c r="I162" s="73" t="str">
        <f>IFERROR(1/(1/COUNTIFS(
'YearB-AppDetails Current Date'!A:A,D162,
'YearB-AppDetails Current Date'!F:F,E162,
'YearB-AppDetails Current Date'!E:E,--F162,
'YearB-AppDetails Current Date'!I:I,"FALL")), "")</f>
        <v/>
      </c>
      <c r="J162" s="74" t="str" cm="1">
        <f t="array" ref="J162">IFERROR(1/(1/SUM(COUNTIFS(
'YearB-AppDetails Current Date'!A:A,D162,
'YearB-AppDetails Current Date'!F:F,E162,
'YearB-AppDetails Current Date'!E:E,--F162,
'YearB-AppDetails Current Date'!O:O,{"ACLN","ACPT","COND"},
'YearB-AppDetails Current Date'!S:S,"&lt;&gt;ACLN",
'YearB-AppDetails Current Date'!S:S,"&lt;&gt;ACPT",
'YearB-AppDetails Current Date'!S:S,"&lt;&gt;COND",
'YearB-AppDetails Current Date'!I:I,"FALL"))), "")</f>
        <v/>
      </c>
      <c r="K162" s="73" t="str">
        <f>IFERROR(1/(1/SUM(COUNTIFS(
'YearB-AppDetails Current Date'!A:A,D162,
'YearB-AppDetails Current Date'!F:F,E162,
'YearB-AppDetails Current Date'!E:E,--F162,
'YearB-AppDetails Current Date'!R:R,"&lt;&gt;"&amp;"",
'YearB-AppDetails Current Date'!I:I,"FALL"))), "")</f>
        <v/>
      </c>
      <c r="L162" s="74" t="str" cm="1">
        <f t="array" ref="L162">IFERROR(1/(1/SUM(COUNTIFS(
'YearB-AppDetails Current Date'!A:A,D162,
'YearB-AppDetails Current Date'!F:F,E162,
'YearB-AppDetails Current Date'!E:E,--F162,
'YearB-AppDetails Current Date'!T:T,{"APEX","DENY","NTSL"},
'YearB-AppDetails Current Date'!I:I,"FALL"))), "")</f>
        <v/>
      </c>
      <c r="M162" s="74" t="str" cm="1">
        <f t="array" ref="M162">IFERROR(1/(1/SUM(COUNTIFS(
'YearB-AppDetails Current Date'!A:A,D162,
'YearB-AppDetails Current Date'!F:F,E162,
'YearB-AppDetails Current Date'!E:E,--F162,
'YearB-AppDetails Current Date'!U:U,{"CCAN","DECL"},
'YearB-AppDetails Current Date'!I:I,"FALL"))), "")</f>
        <v/>
      </c>
      <c r="N162" s="74" t="str" cm="1">
        <f t="array" ref="N162">IFERROR(1/(1/SUM(COUNTIFS(
'YearB-AppDetails Current Date'!A:A,D162,
'YearB-AppDetails Current Date'!F:F,E162,
'YearB-AppDetails Current Date'!E:E,--F162,
'YearB-AppDetails Current Date'!V:V,{"APRO","NODE"},
'YearB-AppDetails Current Date'!I:I,"FALL"))), "")</f>
        <v/>
      </c>
      <c r="O162" s="74" t="str" cm="1">
        <f t="array" ref="O162">IFERROR(1/(1/SUM(COUNTIFS(
'YearB-AppDetails Current Date'!A:A,D162,
'YearB-AppDetails Current Date'!F:F,E162,
'YearB-AppDetails Current Date'!E:E,--F162,
'YearB-AppDetails Current Date'!T:T,{"CDMT","RQMT","WAIT"},
'YearB-AppDetails Current Date'!I:I,"FALL"))), "")</f>
        <v/>
      </c>
      <c r="P162" s="74" t="str">
        <f>IFERROR(1/(1/COUNTIFS(
'YearB-AppDetails Current Date'!A:A,D162,
'YearB-AppDetails Current Date'!F:F,E162,
'YearB-AppDetails Current Date'!E:E,--F162,
'YearB-AppDetails Current Date'!Y:Y,"ENRO",
'YearB-AppDetails Current Date'!I:I,"FALL")),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HC'!D:T,12,FALSE)),
N(VLOOKUP(D163&amp;F163,'Budgeted Projections Intl HC'!D:T,13,FALSE))
)
),"")</f>
        <v/>
      </c>
      <c r="I163" s="73" t="str">
        <f>IFERROR(1/(1/COUNTIFS(
'YearB-AppDetails Current Date'!A:A,D163,
'YearB-AppDetails Current Date'!F:F,E163,
'YearB-AppDetails Current Date'!E:E,--F163,
'YearB-AppDetails Current Date'!I:I,"FALL")), "")</f>
        <v/>
      </c>
      <c r="J163" s="74" t="str" cm="1">
        <f t="array" ref="J163">IFERROR(1/(1/SUM(COUNTIFS(
'YearB-AppDetails Current Date'!A:A,D163,
'YearB-AppDetails Current Date'!F:F,E163,
'YearB-AppDetails Current Date'!E:E,--F163,
'YearB-AppDetails Current Date'!O:O,{"ACLN","ACPT","COND"},
'YearB-AppDetails Current Date'!S:S,"&lt;&gt;ACLN",
'YearB-AppDetails Current Date'!S:S,"&lt;&gt;ACPT",
'YearB-AppDetails Current Date'!S:S,"&lt;&gt;COND",
'YearB-AppDetails Current Date'!I:I,"FALL"))), "")</f>
        <v/>
      </c>
      <c r="K163" s="73" t="str">
        <f>IFERROR(1/(1/SUM(COUNTIFS(
'YearB-AppDetails Current Date'!A:A,D163,
'YearB-AppDetails Current Date'!F:F,E163,
'YearB-AppDetails Current Date'!E:E,--F163,
'YearB-AppDetails Current Date'!R:R,"&lt;&gt;"&amp;"",
'YearB-AppDetails Current Date'!I:I,"FALL"))), "")</f>
        <v/>
      </c>
      <c r="L163" s="74" t="str" cm="1">
        <f t="array" ref="L163">IFERROR(1/(1/SUM(COUNTIFS(
'YearB-AppDetails Current Date'!A:A,D163,
'YearB-AppDetails Current Date'!F:F,E163,
'YearB-AppDetails Current Date'!E:E,--F163,
'YearB-AppDetails Current Date'!T:T,{"APEX","DENY","NTSL"},
'YearB-AppDetails Current Date'!I:I,"FALL"))), "")</f>
        <v/>
      </c>
      <c r="M163" s="74" t="str" cm="1">
        <f t="array" ref="M163">IFERROR(1/(1/SUM(COUNTIFS(
'YearB-AppDetails Current Date'!A:A,D163,
'YearB-AppDetails Current Date'!F:F,E163,
'YearB-AppDetails Current Date'!E:E,--F163,
'YearB-AppDetails Current Date'!U:U,{"CCAN","DECL"},
'YearB-AppDetails Current Date'!I:I,"FALL"))), "")</f>
        <v/>
      </c>
      <c r="N163" s="74" t="str" cm="1">
        <f t="array" ref="N163">IFERROR(1/(1/SUM(COUNTIFS(
'YearB-AppDetails Current Date'!A:A,D163,
'YearB-AppDetails Current Date'!F:F,E163,
'YearB-AppDetails Current Date'!E:E,--F163,
'YearB-AppDetails Current Date'!V:V,{"APRO","NODE"},
'YearB-AppDetails Current Date'!I:I,"FALL"))), "")</f>
        <v/>
      </c>
      <c r="O163" s="74" t="str" cm="1">
        <f t="array" ref="O163">IFERROR(1/(1/SUM(COUNTIFS(
'YearB-AppDetails Current Date'!A:A,D163,
'YearB-AppDetails Current Date'!F:F,E163,
'YearB-AppDetails Current Date'!E:E,--F163,
'YearB-AppDetails Current Date'!T:T,{"CDMT","RQMT","WAIT"},
'YearB-AppDetails Current Date'!I:I,"FALL"))), "")</f>
        <v/>
      </c>
      <c r="P163" s="74" t="str">
        <f>IFERROR(1/(1/COUNTIFS(
'YearB-AppDetails Current Date'!A:A,D163,
'YearB-AppDetails Current Date'!F:F,E163,
'YearB-AppDetails Current Date'!E:E,--F163,
'YearB-AppDetails Current Date'!Y:Y,"ENRO",
'YearB-AppDetails Current Date'!I:I,"FALL")),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HC'!D:T,12,FALSE)),
N(VLOOKUP(D164&amp;F164,'Budgeted Projections Dom HC'!D:T,13,FALSE))
)
),"")</f>
        <v/>
      </c>
      <c r="I164" s="73" t="str">
        <f>IFERROR(1/(1/COUNTIFS(
'YearB-AppDetails Current Date'!A:A,D164,
'YearB-AppDetails Current Date'!F:F,E164,
'YearB-AppDetails Current Date'!E:E,--F164,
'YearB-AppDetails Current Date'!I:I,"FALL")), "")</f>
        <v/>
      </c>
      <c r="J164" s="74" t="str" cm="1">
        <f t="array" ref="J164">IFERROR(1/(1/SUM(COUNTIFS(
'YearB-AppDetails Current Date'!A:A,D164,
'YearB-AppDetails Current Date'!F:F,E164,
'YearB-AppDetails Current Date'!E:E,--F164,
'YearB-AppDetails Current Date'!O:O,{"ACLN","ACPT","COND"},
'YearB-AppDetails Current Date'!S:S,"&lt;&gt;ACLN",
'YearB-AppDetails Current Date'!S:S,"&lt;&gt;ACPT",
'YearB-AppDetails Current Date'!S:S,"&lt;&gt;COND",
'YearB-AppDetails Current Date'!I:I,"FALL"))), "")</f>
        <v/>
      </c>
      <c r="K164" s="73" t="str">
        <f>IFERROR(1/(1/SUM(COUNTIFS(
'YearB-AppDetails Current Date'!A:A,D164,
'YearB-AppDetails Current Date'!F:F,E164,
'YearB-AppDetails Current Date'!E:E,--F164,
'YearB-AppDetails Current Date'!R:R,"&lt;&gt;"&amp;"",
'YearB-AppDetails Current Date'!I:I,"FALL"))), "")</f>
        <v/>
      </c>
      <c r="L164" s="74" t="str" cm="1">
        <f t="array" ref="L164">IFERROR(1/(1/SUM(COUNTIFS(
'YearB-AppDetails Current Date'!A:A,D164,
'YearB-AppDetails Current Date'!F:F,E164,
'YearB-AppDetails Current Date'!E:E,--F164,
'YearB-AppDetails Current Date'!T:T,{"APEX","DENY","NTSL"},
'YearB-AppDetails Current Date'!I:I,"FALL"))), "")</f>
        <v/>
      </c>
      <c r="M164" s="74" t="str" cm="1">
        <f t="array" ref="M164">IFERROR(1/(1/SUM(COUNTIFS(
'YearB-AppDetails Current Date'!A:A,D164,
'YearB-AppDetails Current Date'!F:F,E164,
'YearB-AppDetails Current Date'!E:E,--F164,
'YearB-AppDetails Current Date'!U:U,{"CCAN","DECL"},
'YearB-AppDetails Current Date'!I:I,"FALL"))), "")</f>
        <v/>
      </c>
      <c r="N164" s="74" t="str" cm="1">
        <f t="array" ref="N164">IFERROR(1/(1/SUM(COUNTIFS(
'YearB-AppDetails Current Date'!A:A,D164,
'YearB-AppDetails Current Date'!F:F,E164,
'YearB-AppDetails Current Date'!E:E,--F164,
'YearB-AppDetails Current Date'!V:V,{"APRO","NODE"},
'YearB-AppDetails Current Date'!I:I,"FALL"))), "")</f>
        <v/>
      </c>
      <c r="O164" s="74" t="str" cm="1">
        <f t="array" ref="O164">IFERROR(1/(1/SUM(COUNTIFS(
'YearB-AppDetails Current Date'!A:A,D164,
'YearB-AppDetails Current Date'!F:F,E164,
'YearB-AppDetails Current Date'!E:E,--F164,
'YearB-AppDetails Current Date'!T:T,{"CDMT","RQMT","WAIT"},
'YearB-AppDetails Current Date'!I:I,"FALL"))), "")</f>
        <v/>
      </c>
      <c r="P164" s="74" t="str">
        <f>IFERROR(1/(1/COUNTIFS(
'YearB-AppDetails Current Date'!A:A,D164,
'YearB-AppDetails Current Date'!F:F,E164,
'YearB-AppDetails Current Date'!E:E,--F164,
'YearB-AppDetails Current Date'!Y:Y,"ENRO",
'YearB-AppDetails Current Date'!I:I,"FALL")),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HC'!D:T,12,FALSE)),
N(VLOOKUP(D165&amp;F165,'Budgeted Projections Intl HC'!D:T,13,FALSE))
)
),"")</f>
        <v/>
      </c>
      <c r="I165" s="73" t="str">
        <f>IFERROR(1/(1/COUNTIFS(
'YearB-AppDetails Current Date'!A:A,D165,
'YearB-AppDetails Current Date'!F:F,E165,
'YearB-AppDetails Current Date'!E:E,--F165,
'YearB-AppDetails Current Date'!I:I,"FALL")), "")</f>
        <v/>
      </c>
      <c r="J165" s="74" t="str" cm="1">
        <f t="array" ref="J165">IFERROR(1/(1/SUM(COUNTIFS(
'YearB-AppDetails Current Date'!A:A,D165,
'YearB-AppDetails Current Date'!F:F,E165,
'YearB-AppDetails Current Date'!E:E,--F165,
'YearB-AppDetails Current Date'!O:O,{"ACLN","ACPT","COND"},
'YearB-AppDetails Current Date'!S:S,"&lt;&gt;ACLN",
'YearB-AppDetails Current Date'!S:S,"&lt;&gt;ACPT",
'YearB-AppDetails Current Date'!S:S,"&lt;&gt;COND",
'YearB-AppDetails Current Date'!I:I,"FALL"))), "")</f>
        <v/>
      </c>
      <c r="K165" s="73" t="str">
        <f>IFERROR(1/(1/SUM(COUNTIFS(
'YearB-AppDetails Current Date'!A:A,D165,
'YearB-AppDetails Current Date'!F:F,E165,
'YearB-AppDetails Current Date'!E:E,--F165,
'YearB-AppDetails Current Date'!R:R,"&lt;&gt;"&amp;"",
'YearB-AppDetails Current Date'!I:I,"FALL"))), "")</f>
        <v/>
      </c>
      <c r="L165" s="74" t="str" cm="1">
        <f t="array" ref="L165">IFERROR(1/(1/SUM(COUNTIFS(
'YearB-AppDetails Current Date'!A:A,D165,
'YearB-AppDetails Current Date'!F:F,E165,
'YearB-AppDetails Current Date'!E:E,--F165,
'YearB-AppDetails Current Date'!T:T,{"APEX","DENY","NTSL"},
'YearB-AppDetails Current Date'!I:I,"FALL"))), "")</f>
        <v/>
      </c>
      <c r="M165" s="74" t="str" cm="1">
        <f t="array" ref="M165">IFERROR(1/(1/SUM(COUNTIFS(
'YearB-AppDetails Current Date'!A:A,D165,
'YearB-AppDetails Current Date'!F:F,E165,
'YearB-AppDetails Current Date'!E:E,--F165,
'YearB-AppDetails Current Date'!U:U,{"CCAN","DECL"},
'YearB-AppDetails Current Date'!I:I,"FALL"))), "")</f>
        <v/>
      </c>
      <c r="N165" s="74" t="str" cm="1">
        <f t="array" ref="N165">IFERROR(1/(1/SUM(COUNTIFS(
'YearB-AppDetails Current Date'!A:A,D165,
'YearB-AppDetails Current Date'!F:F,E165,
'YearB-AppDetails Current Date'!E:E,--F165,
'YearB-AppDetails Current Date'!V:V,{"APRO","NODE"},
'YearB-AppDetails Current Date'!I:I,"FALL"))), "")</f>
        <v/>
      </c>
      <c r="O165" s="74" t="str" cm="1">
        <f t="array" ref="O165">IFERROR(1/(1/SUM(COUNTIFS(
'YearB-AppDetails Current Date'!A:A,D165,
'YearB-AppDetails Current Date'!F:F,E165,
'YearB-AppDetails Current Date'!E:E,--F165,
'YearB-AppDetails Current Date'!T:T,{"CDMT","RQMT","WAIT"},
'YearB-AppDetails Current Date'!I:I,"FALL"))), "")</f>
        <v/>
      </c>
      <c r="P165" s="74" t="str">
        <f>IFERROR(1/(1/COUNTIFS(
'YearB-AppDetails Current Date'!A:A,D165,
'YearB-AppDetails Current Date'!F:F,E165,
'YearB-AppDetails Current Date'!E:E,--F165,
'YearB-AppDetails Current Date'!Y:Y,"ENRO",
'YearB-AppDetails Current Date'!I:I,"FALL")),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HC'!D:T,12,FALSE)),
N(VLOOKUP(D166&amp;F166,'Budgeted Projections Dom HC'!D:T,13,FALSE))
)
),"")</f>
        <v/>
      </c>
      <c r="I166" s="73" t="str">
        <f>IFERROR(1/(1/COUNTIFS(
'YearB-AppDetails Current Date'!A:A,D166,
'YearB-AppDetails Current Date'!F:F,E166,
'YearB-AppDetails Current Date'!E:E,--F166,
'YearB-AppDetails Current Date'!I:I,"FALL")), "")</f>
        <v/>
      </c>
      <c r="J166" s="74" t="str" cm="1">
        <f t="array" ref="J166">IFERROR(1/(1/SUM(COUNTIFS(
'YearB-AppDetails Current Date'!A:A,D166,
'YearB-AppDetails Current Date'!F:F,E166,
'YearB-AppDetails Current Date'!E:E,--F166,
'YearB-AppDetails Current Date'!O:O,{"ACLN","ACPT","COND"},
'YearB-AppDetails Current Date'!S:S,"&lt;&gt;ACLN",
'YearB-AppDetails Current Date'!S:S,"&lt;&gt;ACPT",
'YearB-AppDetails Current Date'!S:S,"&lt;&gt;COND",
'YearB-AppDetails Current Date'!I:I,"FALL"))), "")</f>
        <v/>
      </c>
      <c r="K166" s="73" t="str">
        <f>IFERROR(1/(1/SUM(COUNTIFS(
'YearB-AppDetails Current Date'!A:A,D166,
'YearB-AppDetails Current Date'!F:F,E166,
'YearB-AppDetails Current Date'!E:E,--F166,
'YearB-AppDetails Current Date'!R:R,"&lt;&gt;"&amp;"",
'YearB-AppDetails Current Date'!I:I,"FALL"))), "")</f>
        <v/>
      </c>
      <c r="L166" s="74" t="str" cm="1">
        <f t="array" ref="L166">IFERROR(1/(1/SUM(COUNTIFS(
'YearB-AppDetails Current Date'!A:A,D166,
'YearB-AppDetails Current Date'!F:F,E166,
'YearB-AppDetails Current Date'!E:E,--F166,
'YearB-AppDetails Current Date'!T:T,{"APEX","DENY","NTSL"},
'YearB-AppDetails Current Date'!I:I,"FALL"))), "")</f>
        <v/>
      </c>
      <c r="M166" s="74" t="str" cm="1">
        <f t="array" ref="M166">IFERROR(1/(1/SUM(COUNTIFS(
'YearB-AppDetails Current Date'!A:A,D166,
'YearB-AppDetails Current Date'!F:F,E166,
'YearB-AppDetails Current Date'!E:E,--F166,
'YearB-AppDetails Current Date'!U:U,{"CCAN","DECL"},
'YearB-AppDetails Current Date'!I:I,"FALL"))), "")</f>
        <v/>
      </c>
      <c r="N166" s="74" t="str" cm="1">
        <f t="array" ref="N166">IFERROR(1/(1/SUM(COUNTIFS(
'YearB-AppDetails Current Date'!A:A,D166,
'YearB-AppDetails Current Date'!F:F,E166,
'YearB-AppDetails Current Date'!E:E,--F166,
'YearB-AppDetails Current Date'!V:V,{"APRO","NODE"},
'YearB-AppDetails Current Date'!I:I,"FALL"))), "")</f>
        <v/>
      </c>
      <c r="O166" s="74" t="str" cm="1">
        <f t="array" ref="O166">IFERROR(1/(1/SUM(COUNTIFS(
'YearB-AppDetails Current Date'!A:A,D166,
'YearB-AppDetails Current Date'!F:F,E166,
'YearB-AppDetails Current Date'!E:E,--F166,
'YearB-AppDetails Current Date'!T:T,{"CDMT","RQMT","WAIT"},
'YearB-AppDetails Current Date'!I:I,"FALL"))), "")</f>
        <v/>
      </c>
      <c r="P166" s="74" t="str">
        <f>IFERROR(1/(1/COUNTIFS(
'YearB-AppDetails Current Date'!A:A,D166,
'YearB-AppDetails Current Date'!F:F,E166,
'YearB-AppDetails Current Date'!E:E,--F166,
'YearB-AppDetails Current Date'!Y:Y,"ENRO",
'YearB-AppDetails Current Date'!I:I,"FALL")),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HC'!D:T,12,FALSE)),
N(VLOOKUP(D167&amp;F167,'Budgeted Projections Intl HC'!D:T,13,FALSE))
)
),"")</f>
        <v/>
      </c>
      <c r="I167" s="73" t="str">
        <f>IFERROR(1/(1/COUNTIFS(
'YearB-AppDetails Current Date'!A:A,D167,
'YearB-AppDetails Current Date'!F:F,E167,
'YearB-AppDetails Current Date'!E:E,--F167,
'YearB-AppDetails Current Date'!I:I,"FALL")), "")</f>
        <v/>
      </c>
      <c r="J167" s="74" t="str" cm="1">
        <f t="array" ref="J167">IFERROR(1/(1/SUM(COUNTIFS(
'YearB-AppDetails Current Date'!A:A,D167,
'YearB-AppDetails Current Date'!F:F,E167,
'YearB-AppDetails Current Date'!E:E,--F167,
'YearB-AppDetails Current Date'!O:O,{"ACLN","ACPT","COND"},
'YearB-AppDetails Current Date'!S:S,"&lt;&gt;ACLN",
'YearB-AppDetails Current Date'!S:S,"&lt;&gt;ACPT",
'YearB-AppDetails Current Date'!S:S,"&lt;&gt;COND",
'YearB-AppDetails Current Date'!I:I,"FALL"))), "")</f>
        <v/>
      </c>
      <c r="K167" s="73" t="str">
        <f>IFERROR(1/(1/SUM(COUNTIFS(
'YearB-AppDetails Current Date'!A:A,D167,
'YearB-AppDetails Current Date'!F:F,E167,
'YearB-AppDetails Current Date'!E:E,--F167,
'YearB-AppDetails Current Date'!R:R,"&lt;&gt;"&amp;"",
'YearB-AppDetails Current Date'!I:I,"FALL"))), "")</f>
        <v/>
      </c>
      <c r="L167" s="74" t="str" cm="1">
        <f t="array" ref="L167">IFERROR(1/(1/SUM(COUNTIFS(
'YearB-AppDetails Current Date'!A:A,D167,
'YearB-AppDetails Current Date'!F:F,E167,
'YearB-AppDetails Current Date'!E:E,--F167,
'YearB-AppDetails Current Date'!T:T,{"APEX","DENY","NTSL"},
'YearB-AppDetails Current Date'!I:I,"FALL"))), "")</f>
        <v/>
      </c>
      <c r="M167" s="74" t="str" cm="1">
        <f t="array" ref="M167">IFERROR(1/(1/SUM(COUNTIFS(
'YearB-AppDetails Current Date'!A:A,D167,
'YearB-AppDetails Current Date'!F:F,E167,
'YearB-AppDetails Current Date'!E:E,--F167,
'YearB-AppDetails Current Date'!U:U,{"CCAN","DECL"},
'YearB-AppDetails Current Date'!I:I,"FALL"))), "")</f>
        <v/>
      </c>
      <c r="N167" s="74" t="str" cm="1">
        <f t="array" ref="N167">IFERROR(1/(1/SUM(COUNTIFS(
'YearB-AppDetails Current Date'!A:A,D167,
'YearB-AppDetails Current Date'!F:F,E167,
'YearB-AppDetails Current Date'!E:E,--F167,
'YearB-AppDetails Current Date'!V:V,{"APRO","NODE"},
'YearB-AppDetails Current Date'!I:I,"FALL"))), "")</f>
        <v/>
      </c>
      <c r="O167" s="74" t="str" cm="1">
        <f t="array" ref="O167">IFERROR(1/(1/SUM(COUNTIFS(
'YearB-AppDetails Current Date'!A:A,D167,
'YearB-AppDetails Current Date'!F:F,E167,
'YearB-AppDetails Current Date'!E:E,--F167,
'YearB-AppDetails Current Date'!T:T,{"CDMT","RQMT","WAIT"},
'YearB-AppDetails Current Date'!I:I,"FALL"))), "")</f>
        <v/>
      </c>
      <c r="P167" s="74" t="str">
        <f>IFERROR(1/(1/COUNTIFS(
'YearB-AppDetails Current Date'!A:A,D167,
'YearB-AppDetails Current Date'!F:F,E167,
'YearB-AppDetails Current Date'!E:E,--F167,
'YearB-AppDetails Current Date'!Y:Y,"ENRO",
'YearB-AppDetails Current Date'!I:I,"FALL")),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HC'!D:T,12,FALSE)),
N(VLOOKUP(D168&amp;F168,'Budgeted Projections Dom HC'!D:T,13,FALSE))
)
),"")</f>
        <v/>
      </c>
      <c r="I168" s="73" t="str">
        <f>IFERROR(1/(1/COUNTIFS(
'YearB-AppDetails Current Date'!A:A,D168,
'YearB-AppDetails Current Date'!F:F,E168,
'YearB-AppDetails Current Date'!E:E,--F168,
'YearB-AppDetails Current Date'!I:I,"FALL")), "")</f>
        <v/>
      </c>
      <c r="J168" s="74" t="str" cm="1">
        <f t="array" ref="J168">IFERROR(1/(1/SUM(COUNTIFS(
'YearB-AppDetails Current Date'!A:A,D168,
'YearB-AppDetails Current Date'!F:F,E168,
'YearB-AppDetails Current Date'!E:E,--F168,
'YearB-AppDetails Current Date'!O:O,{"ACLN","ACPT","COND"},
'YearB-AppDetails Current Date'!S:S,"&lt;&gt;ACLN",
'YearB-AppDetails Current Date'!S:S,"&lt;&gt;ACPT",
'YearB-AppDetails Current Date'!S:S,"&lt;&gt;COND",
'YearB-AppDetails Current Date'!I:I,"FALL"))), "")</f>
        <v/>
      </c>
      <c r="K168" s="73" t="str">
        <f>IFERROR(1/(1/SUM(COUNTIFS(
'YearB-AppDetails Current Date'!A:A,D168,
'YearB-AppDetails Current Date'!F:F,E168,
'YearB-AppDetails Current Date'!E:E,--F168,
'YearB-AppDetails Current Date'!R:R,"&lt;&gt;"&amp;"",
'YearB-AppDetails Current Date'!I:I,"FALL"))), "")</f>
        <v/>
      </c>
      <c r="L168" s="74" t="str" cm="1">
        <f t="array" ref="L168">IFERROR(1/(1/SUM(COUNTIFS(
'YearB-AppDetails Current Date'!A:A,D168,
'YearB-AppDetails Current Date'!F:F,E168,
'YearB-AppDetails Current Date'!E:E,--F168,
'YearB-AppDetails Current Date'!T:T,{"APEX","DENY","NTSL"},
'YearB-AppDetails Current Date'!I:I,"FALL"))), "")</f>
        <v/>
      </c>
      <c r="M168" s="74" t="str" cm="1">
        <f t="array" ref="M168">IFERROR(1/(1/SUM(COUNTIFS(
'YearB-AppDetails Current Date'!A:A,D168,
'YearB-AppDetails Current Date'!F:F,E168,
'YearB-AppDetails Current Date'!E:E,--F168,
'YearB-AppDetails Current Date'!U:U,{"CCAN","DECL"},
'YearB-AppDetails Current Date'!I:I,"FALL"))), "")</f>
        <v/>
      </c>
      <c r="N168" s="74" t="str" cm="1">
        <f t="array" ref="N168">IFERROR(1/(1/SUM(COUNTIFS(
'YearB-AppDetails Current Date'!A:A,D168,
'YearB-AppDetails Current Date'!F:F,E168,
'YearB-AppDetails Current Date'!E:E,--F168,
'YearB-AppDetails Current Date'!V:V,{"APRO","NODE"},
'YearB-AppDetails Current Date'!I:I,"FALL"))), "")</f>
        <v/>
      </c>
      <c r="O168" s="74" t="str" cm="1">
        <f t="array" ref="O168">IFERROR(1/(1/SUM(COUNTIFS(
'YearB-AppDetails Current Date'!A:A,D168,
'YearB-AppDetails Current Date'!F:F,E168,
'YearB-AppDetails Current Date'!E:E,--F168,
'YearB-AppDetails Current Date'!T:T,{"CDMT","RQMT","WAIT"},
'YearB-AppDetails Current Date'!I:I,"FALL"))), "")</f>
        <v/>
      </c>
      <c r="P168" s="74" t="str">
        <f>IFERROR(1/(1/COUNTIFS(
'YearB-AppDetails Current Date'!A:A,D168,
'YearB-AppDetails Current Date'!F:F,E168,
'YearB-AppDetails Current Date'!E:E,--F168,
'YearB-AppDetails Current Date'!Y:Y,"ENRO",
'YearB-AppDetails Current Date'!I:I,"FALL")),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HC'!D:T,12,FALSE)),
N(VLOOKUP(D169&amp;F169,'Budgeted Projections Intl HC'!D:T,13,FALSE))
)
),"")</f>
        <v/>
      </c>
      <c r="I169" s="73" t="str">
        <f>IFERROR(1/(1/COUNTIFS(
'YearB-AppDetails Current Date'!A:A,D169,
'YearB-AppDetails Current Date'!F:F,E169,
'YearB-AppDetails Current Date'!E:E,--F169,
'YearB-AppDetails Current Date'!I:I,"FALL")), "")</f>
        <v/>
      </c>
      <c r="J169" s="74" t="str" cm="1">
        <f t="array" ref="J169">IFERROR(1/(1/SUM(COUNTIFS(
'YearB-AppDetails Current Date'!A:A,D169,
'YearB-AppDetails Current Date'!F:F,E169,
'YearB-AppDetails Current Date'!E:E,--F169,
'YearB-AppDetails Current Date'!O:O,{"ACLN","ACPT","COND"},
'YearB-AppDetails Current Date'!S:S,"&lt;&gt;ACLN",
'YearB-AppDetails Current Date'!S:S,"&lt;&gt;ACPT",
'YearB-AppDetails Current Date'!S:S,"&lt;&gt;COND",
'YearB-AppDetails Current Date'!I:I,"FALL"))), "")</f>
        <v/>
      </c>
      <c r="K169" s="73" t="str">
        <f>IFERROR(1/(1/SUM(COUNTIFS(
'YearB-AppDetails Current Date'!A:A,D169,
'YearB-AppDetails Current Date'!F:F,E169,
'YearB-AppDetails Current Date'!E:E,--F169,
'YearB-AppDetails Current Date'!R:R,"&lt;&gt;"&amp;"",
'YearB-AppDetails Current Date'!I:I,"FALL"))), "")</f>
        <v/>
      </c>
      <c r="L169" s="74" t="str" cm="1">
        <f t="array" ref="L169">IFERROR(1/(1/SUM(COUNTIFS(
'YearB-AppDetails Current Date'!A:A,D169,
'YearB-AppDetails Current Date'!F:F,E169,
'YearB-AppDetails Current Date'!E:E,--F169,
'YearB-AppDetails Current Date'!T:T,{"APEX","DENY","NTSL"},
'YearB-AppDetails Current Date'!I:I,"FALL"))), "")</f>
        <v/>
      </c>
      <c r="M169" s="74" t="str" cm="1">
        <f t="array" ref="M169">IFERROR(1/(1/SUM(COUNTIFS(
'YearB-AppDetails Current Date'!A:A,D169,
'YearB-AppDetails Current Date'!F:F,E169,
'YearB-AppDetails Current Date'!E:E,--F169,
'YearB-AppDetails Current Date'!U:U,{"CCAN","DECL"},
'YearB-AppDetails Current Date'!I:I,"FALL"))), "")</f>
        <v/>
      </c>
      <c r="N169" s="74" t="str" cm="1">
        <f t="array" ref="N169">IFERROR(1/(1/SUM(COUNTIFS(
'YearB-AppDetails Current Date'!A:A,D169,
'YearB-AppDetails Current Date'!F:F,E169,
'YearB-AppDetails Current Date'!E:E,--F169,
'YearB-AppDetails Current Date'!V:V,{"APRO","NODE"},
'YearB-AppDetails Current Date'!I:I,"FALL"))), "")</f>
        <v/>
      </c>
      <c r="O169" s="74" t="str" cm="1">
        <f t="array" ref="O169">IFERROR(1/(1/SUM(COUNTIFS(
'YearB-AppDetails Current Date'!A:A,D169,
'YearB-AppDetails Current Date'!F:F,E169,
'YearB-AppDetails Current Date'!E:E,--F169,
'YearB-AppDetails Current Date'!T:T,{"CDMT","RQMT","WAIT"},
'YearB-AppDetails Current Date'!I:I,"FALL"))), "")</f>
        <v/>
      </c>
      <c r="P169" s="74" t="str">
        <f>IFERROR(1/(1/COUNTIFS(
'YearB-AppDetails Current Date'!A:A,D169,
'YearB-AppDetails Current Date'!F:F,E169,
'YearB-AppDetails Current Date'!E:E,--F169,
'YearB-AppDetails Current Date'!Y:Y,"ENRO",
'YearB-AppDetails Current Date'!I:I,"FALL")),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HC'!D:T,12,FALSE)),
N(VLOOKUP(D170&amp;F170,'Budgeted Projections Dom HC'!D:T,13,FALSE))
)
),"")</f>
        <v/>
      </c>
      <c r="I170" s="73" t="str">
        <f>IFERROR(1/(1/COUNTIFS(
'YearB-AppDetails Current Date'!A:A,D170,
'YearB-AppDetails Current Date'!F:F,E170,
'YearB-AppDetails Current Date'!E:E,--F170,
'YearB-AppDetails Current Date'!I:I,"FALL")), "")</f>
        <v/>
      </c>
      <c r="J170" s="74" t="str" cm="1">
        <f t="array" ref="J170">IFERROR(1/(1/SUM(COUNTIFS(
'YearB-AppDetails Current Date'!A:A,D170,
'YearB-AppDetails Current Date'!F:F,E170,
'YearB-AppDetails Current Date'!E:E,--F170,
'YearB-AppDetails Current Date'!O:O,{"ACLN","ACPT","COND"},
'YearB-AppDetails Current Date'!S:S,"&lt;&gt;ACLN",
'YearB-AppDetails Current Date'!S:S,"&lt;&gt;ACPT",
'YearB-AppDetails Current Date'!S:S,"&lt;&gt;COND",
'YearB-AppDetails Current Date'!I:I,"FALL"))), "")</f>
        <v/>
      </c>
      <c r="K170" s="73" t="str">
        <f>IFERROR(1/(1/SUM(COUNTIFS(
'YearB-AppDetails Current Date'!A:A,D170,
'YearB-AppDetails Current Date'!F:F,E170,
'YearB-AppDetails Current Date'!E:E,--F170,
'YearB-AppDetails Current Date'!R:R,"&lt;&gt;"&amp;"",
'YearB-AppDetails Current Date'!I:I,"FALL"))), "")</f>
        <v/>
      </c>
      <c r="L170" s="74" t="str" cm="1">
        <f t="array" ref="L170">IFERROR(1/(1/SUM(COUNTIFS(
'YearB-AppDetails Current Date'!A:A,D170,
'YearB-AppDetails Current Date'!F:F,E170,
'YearB-AppDetails Current Date'!E:E,--F170,
'YearB-AppDetails Current Date'!T:T,{"APEX","DENY","NTSL"},
'YearB-AppDetails Current Date'!I:I,"FALL"))), "")</f>
        <v/>
      </c>
      <c r="M170" s="74" t="str" cm="1">
        <f t="array" ref="M170">IFERROR(1/(1/SUM(COUNTIFS(
'YearB-AppDetails Current Date'!A:A,D170,
'YearB-AppDetails Current Date'!F:F,E170,
'YearB-AppDetails Current Date'!E:E,--F170,
'YearB-AppDetails Current Date'!U:U,{"CCAN","DECL"},
'YearB-AppDetails Current Date'!I:I,"FALL"))), "")</f>
        <v/>
      </c>
      <c r="N170" s="74" t="str" cm="1">
        <f t="array" ref="N170">IFERROR(1/(1/SUM(COUNTIFS(
'YearB-AppDetails Current Date'!A:A,D170,
'YearB-AppDetails Current Date'!F:F,E170,
'YearB-AppDetails Current Date'!E:E,--F170,
'YearB-AppDetails Current Date'!V:V,{"APRO","NODE"},
'YearB-AppDetails Current Date'!I:I,"FALL"))), "")</f>
        <v/>
      </c>
      <c r="O170" s="74" t="str" cm="1">
        <f t="array" ref="O170">IFERROR(1/(1/SUM(COUNTIFS(
'YearB-AppDetails Current Date'!A:A,D170,
'YearB-AppDetails Current Date'!F:F,E170,
'YearB-AppDetails Current Date'!E:E,--F170,
'YearB-AppDetails Current Date'!T:T,{"CDMT","RQMT","WAIT"},
'YearB-AppDetails Current Date'!I:I,"FALL"))), "")</f>
        <v/>
      </c>
      <c r="P170" s="74" t="str">
        <f>IFERROR(1/(1/COUNTIFS(
'YearB-AppDetails Current Date'!A:A,D170,
'YearB-AppDetails Current Date'!F:F,E170,
'YearB-AppDetails Current Date'!E:E,--F170,
'YearB-AppDetails Current Date'!Y:Y,"ENRO",
'YearB-AppDetails Current Date'!I:I,"FALL")),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HC'!D:T,12,FALSE)),
N(VLOOKUP(D171&amp;F171,'Budgeted Projections Intl HC'!D:T,13,FALSE))
)
),"")</f>
        <v/>
      </c>
      <c r="I171" s="73" t="str">
        <f>IFERROR(1/(1/COUNTIFS(
'YearB-AppDetails Current Date'!A:A,D171,
'YearB-AppDetails Current Date'!F:F,E171,
'YearB-AppDetails Current Date'!E:E,--F171,
'YearB-AppDetails Current Date'!I:I,"FALL")), "")</f>
        <v/>
      </c>
      <c r="J171" s="74" t="str" cm="1">
        <f t="array" ref="J171">IFERROR(1/(1/SUM(COUNTIFS(
'YearB-AppDetails Current Date'!A:A,D171,
'YearB-AppDetails Current Date'!F:F,E171,
'YearB-AppDetails Current Date'!E:E,--F171,
'YearB-AppDetails Current Date'!O:O,{"ACLN","ACPT","COND"},
'YearB-AppDetails Current Date'!S:S,"&lt;&gt;ACLN",
'YearB-AppDetails Current Date'!S:S,"&lt;&gt;ACPT",
'YearB-AppDetails Current Date'!S:S,"&lt;&gt;COND",
'YearB-AppDetails Current Date'!I:I,"FALL"))), "")</f>
        <v/>
      </c>
      <c r="K171" s="73" t="str">
        <f>IFERROR(1/(1/SUM(COUNTIFS(
'YearB-AppDetails Current Date'!A:A,D171,
'YearB-AppDetails Current Date'!F:F,E171,
'YearB-AppDetails Current Date'!E:E,--F171,
'YearB-AppDetails Current Date'!R:R,"&lt;&gt;"&amp;"",
'YearB-AppDetails Current Date'!I:I,"FALL"))), "")</f>
        <v/>
      </c>
      <c r="L171" s="74" t="str" cm="1">
        <f t="array" ref="L171">IFERROR(1/(1/SUM(COUNTIFS(
'YearB-AppDetails Current Date'!A:A,D171,
'YearB-AppDetails Current Date'!F:F,E171,
'YearB-AppDetails Current Date'!E:E,--F171,
'YearB-AppDetails Current Date'!T:T,{"APEX","DENY","NTSL"},
'YearB-AppDetails Current Date'!I:I,"FALL"))), "")</f>
        <v/>
      </c>
      <c r="M171" s="74" t="str" cm="1">
        <f t="array" ref="M171">IFERROR(1/(1/SUM(COUNTIFS(
'YearB-AppDetails Current Date'!A:A,D171,
'YearB-AppDetails Current Date'!F:F,E171,
'YearB-AppDetails Current Date'!E:E,--F171,
'YearB-AppDetails Current Date'!U:U,{"CCAN","DECL"},
'YearB-AppDetails Current Date'!I:I,"FALL"))), "")</f>
        <v/>
      </c>
      <c r="N171" s="74" t="str" cm="1">
        <f t="array" ref="N171">IFERROR(1/(1/SUM(COUNTIFS(
'YearB-AppDetails Current Date'!A:A,D171,
'YearB-AppDetails Current Date'!F:F,E171,
'YearB-AppDetails Current Date'!E:E,--F171,
'YearB-AppDetails Current Date'!V:V,{"APRO","NODE"},
'YearB-AppDetails Current Date'!I:I,"FALL"))), "")</f>
        <v/>
      </c>
      <c r="O171" s="74" t="str" cm="1">
        <f t="array" ref="O171">IFERROR(1/(1/SUM(COUNTIFS(
'YearB-AppDetails Current Date'!A:A,D171,
'YearB-AppDetails Current Date'!F:F,E171,
'YearB-AppDetails Current Date'!E:E,--F171,
'YearB-AppDetails Current Date'!T:T,{"CDMT","RQMT","WAIT"},
'YearB-AppDetails Current Date'!I:I,"FALL"))), "")</f>
        <v/>
      </c>
      <c r="P171" s="74" t="str">
        <f>IFERROR(1/(1/COUNTIFS(
'YearB-AppDetails Current Date'!A:A,D171,
'YearB-AppDetails Current Date'!F:F,E171,
'YearB-AppDetails Current Date'!E:E,--F171,
'YearB-AppDetails Current Date'!Y:Y,"ENRO",
'YearB-AppDetails Current Date'!I:I,"FALL")),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HC'!D:T,12,FALSE)),
N(VLOOKUP(D172&amp;F172,'Budgeted Projections Dom HC'!D:T,13,FALSE))
)
),"")</f>
        <v/>
      </c>
      <c r="I172" s="73" t="str">
        <f>IFERROR(1/(1/COUNTIFS(
'YearB-AppDetails Current Date'!A:A,D172,
'YearB-AppDetails Current Date'!F:F,E172,
'YearB-AppDetails Current Date'!E:E,--F172,
'YearB-AppDetails Current Date'!I:I,"FALL")), "")</f>
        <v/>
      </c>
      <c r="J172" s="74" t="str" cm="1">
        <f t="array" ref="J172">IFERROR(1/(1/SUM(COUNTIFS(
'YearB-AppDetails Current Date'!A:A,D172,
'YearB-AppDetails Current Date'!F:F,E172,
'YearB-AppDetails Current Date'!E:E,--F172,
'YearB-AppDetails Current Date'!O:O,{"ACLN","ACPT","COND"},
'YearB-AppDetails Current Date'!S:S,"&lt;&gt;ACLN",
'YearB-AppDetails Current Date'!S:S,"&lt;&gt;ACPT",
'YearB-AppDetails Current Date'!S:S,"&lt;&gt;COND",
'YearB-AppDetails Current Date'!I:I,"FALL"))), "")</f>
        <v/>
      </c>
      <c r="K172" s="73" t="str">
        <f>IFERROR(1/(1/SUM(COUNTIFS(
'YearB-AppDetails Current Date'!A:A,D172,
'YearB-AppDetails Current Date'!F:F,E172,
'YearB-AppDetails Current Date'!E:E,--F172,
'YearB-AppDetails Current Date'!R:R,"&lt;&gt;"&amp;"",
'YearB-AppDetails Current Date'!I:I,"FALL"))), "")</f>
        <v/>
      </c>
      <c r="L172" s="74" t="str" cm="1">
        <f t="array" ref="L172">IFERROR(1/(1/SUM(COUNTIFS(
'YearB-AppDetails Current Date'!A:A,D172,
'YearB-AppDetails Current Date'!F:F,E172,
'YearB-AppDetails Current Date'!E:E,--F172,
'YearB-AppDetails Current Date'!T:T,{"APEX","DENY","NTSL"},
'YearB-AppDetails Current Date'!I:I,"FALL"))), "")</f>
        <v/>
      </c>
      <c r="M172" s="74" t="str" cm="1">
        <f t="array" ref="M172">IFERROR(1/(1/SUM(COUNTIFS(
'YearB-AppDetails Current Date'!A:A,D172,
'YearB-AppDetails Current Date'!F:F,E172,
'YearB-AppDetails Current Date'!E:E,--F172,
'YearB-AppDetails Current Date'!U:U,{"CCAN","DECL"},
'YearB-AppDetails Current Date'!I:I,"FALL"))), "")</f>
        <v/>
      </c>
      <c r="N172" s="74" t="str" cm="1">
        <f t="array" ref="N172">IFERROR(1/(1/SUM(COUNTIFS(
'YearB-AppDetails Current Date'!A:A,D172,
'YearB-AppDetails Current Date'!F:F,E172,
'YearB-AppDetails Current Date'!E:E,--F172,
'YearB-AppDetails Current Date'!V:V,{"APRO","NODE"},
'YearB-AppDetails Current Date'!I:I,"FALL"))), "")</f>
        <v/>
      </c>
      <c r="O172" s="74" t="str" cm="1">
        <f t="array" ref="O172">IFERROR(1/(1/SUM(COUNTIFS(
'YearB-AppDetails Current Date'!A:A,D172,
'YearB-AppDetails Current Date'!F:F,E172,
'YearB-AppDetails Current Date'!E:E,--F172,
'YearB-AppDetails Current Date'!T:T,{"CDMT","RQMT","WAIT"},
'YearB-AppDetails Current Date'!I:I,"FALL"))), "")</f>
        <v/>
      </c>
      <c r="P172" s="74" t="str">
        <f>IFERROR(1/(1/COUNTIFS(
'YearB-AppDetails Current Date'!A:A,D172,
'YearB-AppDetails Current Date'!F:F,E172,
'YearB-AppDetails Current Date'!E:E,--F172,
'YearB-AppDetails Current Date'!Y:Y,"ENRO",
'YearB-AppDetails Current Date'!I:I,"FALL")),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HC'!D:T,12,FALSE)),
N(VLOOKUP(D173&amp;F173,'Budgeted Projections Intl HC'!D:T,13,FALSE))
)
),"")</f>
        <v/>
      </c>
      <c r="I173" s="73" t="str">
        <f>IFERROR(1/(1/COUNTIFS(
'YearB-AppDetails Current Date'!A:A,D173,
'YearB-AppDetails Current Date'!F:F,E173,
'YearB-AppDetails Current Date'!E:E,--F173,
'YearB-AppDetails Current Date'!I:I,"FALL")), "")</f>
        <v/>
      </c>
      <c r="J173" s="74" t="str" cm="1">
        <f t="array" ref="J173">IFERROR(1/(1/SUM(COUNTIFS(
'YearB-AppDetails Current Date'!A:A,D173,
'YearB-AppDetails Current Date'!F:F,E173,
'YearB-AppDetails Current Date'!E:E,--F173,
'YearB-AppDetails Current Date'!O:O,{"ACLN","ACPT","COND"},
'YearB-AppDetails Current Date'!S:S,"&lt;&gt;ACLN",
'YearB-AppDetails Current Date'!S:S,"&lt;&gt;ACPT",
'YearB-AppDetails Current Date'!S:S,"&lt;&gt;COND",
'YearB-AppDetails Current Date'!I:I,"FALL"))), "")</f>
        <v/>
      </c>
      <c r="K173" s="73" t="str">
        <f>IFERROR(1/(1/SUM(COUNTIFS(
'YearB-AppDetails Current Date'!A:A,D173,
'YearB-AppDetails Current Date'!F:F,E173,
'YearB-AppDetails Current Date'!E:E,--F173,
'YearB-AppDetails Current Date'!R:R,"&lt;&gt;"&amp;"",
'YearB-AppDetails Current Date'!I:I,"FALL"))), "")</f>
        <v/>
      </c>
      <c r="L173" s="74" t="str" cm="1">
        <f t="array" ref="L173">IFERROR(1/(1/SUM(COUNTIFS(
'YearB-AppDetails Current Date'!A:A,D173,
'YearB-AppDetails Current Date'!F:F,E173,
'YearB-AppDetails Current Date'!E:E,--F173,
'YearB-AppDetails Current Date'!T:T,{"APEX","DENY","NTSL"},
'YearB-AppDetails Current Date'!I:I,"FALL"))), "")</f>
        <v/>
      </c>
      <c r="M173" s="74" t="str" cm="1">
        <f t="array" ref="M173">IFERROR(1/(1/SUM(COUNTIFS(
'YearB-AppDetails Current Date'!A:A,D173,
'YearB-AppDetails Current Date'!F:F,E173,
'YearB-AppDetails Current Date'!E:E,--F173,
'YearB-AppDetails Current Date'!U:U,{"CCAN","DECL"},
'YearB-AppDetails Current Date'!I:I,"FALL"))), "")</f>
        <v/>
      </c>
      <c r="N173" s="74" t="str" cm="1">
        <f t="array" ref="N173">IFERROR(1/(1/SUM(COUNTIFS(
'YearB-AppDetails Current Date'!A:A,D173,
'YearB-AppDetails Current Date'!F:F,E173,
'YearB-AppDetails Current Date'!E:E,--F173,
'YearB-AppDetails Current Date'!V:V,{"APRO","NODE"},
'YearB-AppDetails Current Date'!I:I,"FALL"))), "")</f>
        <v/>
      </c>
      <c r="O173" s="74" t="str" cm="1">
        <f t="array" ref="O173">IFERROR(1/(1/SUM(COUNTIFS(
'YearB-AppDetails Current Date'!A:A,D173,
'YearB-AppDetails Current Date'!F:F,E173,
'YearB-AppDetails Current Date'!E:E,--F173,
'YearB-AppDetails Current Date'!T:T,{"CDMT","RQMT","WAIT"},
'YearB-AppDetails Current Date'!I:I,"FALL"))), "")</f>
        <v/>
      </c>
      <c r="P173" s="74" t="str">
        <f>IFERROR(1/(1/COUNTIFS(
'YearB-AppDetails Current Date'!A:A,D173,
'YearB-AppDetails Current Date'!F:F,E173,
'YearB-AppDetails Current Date'!E:E,--F173,
'YearB-AppDetails Current Date'!Y:Y,"ENRO",
'YearB-AppDetails Current Date'!I:I,"FALL")),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HC'!D:T,12,FALSE)),
N(VLOOKUP(D174&amp;F174,'Budgeted Projections Dom HC'!D:T,13,FALSE))
)
),"")</f>
        <v/>
      </c>
      <c r="I174" s="73" t="str">
        <f>IFERROR(1/(1/COUNTIFS(
'YearB-AppDetails Current Date'!A:A,D174,
'YearB-AppDetails Current Date'!F:F,E174,
'YearB-AppDetails Current Date'!E:E,--F174,
'YearB-AppDetails Current Date'!I:I,"FALL")), "")</f>
        <v/>
      </c>
      <c r="J174" s="74" t="str" cm="1">
        <f t="array" ref="J174">IFERROR(1/(1/SUM(COUNTIFS(
'YearB-AppDetails Current Date'!A:A,D174,
'YearB-AppDetails Current Date'!F:F,E174,
'YearB-AppDetails Current Date'!E:E,--F174,
'YearB-AppDetails Current Date'!O:O,{"ACLN","ACPT","COND"},
'YearB-AppDetails Current Date'!S:S,"&lt;&gt;ACLN",
'YearB-AppDetails Current Date'!S:S,"&lt;&gt;ACPT",
'YearB-AppDetails Current Date'!S:S,"&lt;&gt;COND",
'YearB-AppDetails Current Date'!I:I,"FALL"))), "")</f>
        <v/>
      </c>
      <c r="K174" s="73" t="str">
        <f>IFERROR(1/(1/SUM(COUNTIFS(
'YearB-AppDetails Current Date'!A:A,D174,
'YearB-AppDetails Current Date'!F:F,E174,
'YearB-AppDetails Current Date'!E:E,--F174,
'YearB-AppDetails Current Date'!R:R,"&lt;&gt;"&amp;"",
'YearB-AppDetails Current Date'!I:I,"FALL"))), "")</f>
        <v/>
      </c>
      <c r="L174" s="74" t="str" cm="1">
        <f t="array" ref="L174">IFERROR(1/(1/SUM(COUNTIFS(
'YearB-AppDetails Current Date'!A:A,D174,
'YearB-AppDetails Current Date'!F:F,E174,
'YearB-AppDetails Current Date'!E:E,--F174,
'YearB-AppDetails Current Date'!T:T,{"APEX","DENY","NTSL"},
'YearB-AppDetails Current Date'!I:I,"FALL"))), "")</f>
        <v/>
      </c>
      <c r="M174" s="74" t="str" cm="1">
        <f t="array" ref="M174">IFERROR(1/(1/SUM(COUNTIFS(
'YearB-AppDetails Current Date'!A:A,D174,
'YearB-AppDetails Current Date'!F:F,E174,
'YearB-AppDetails Current Date'!E:E,--F174,
'YearB-AppDetails Current Date'!U:U,{"CCAN","DECL"},
'YearB-AppDetails Current Date'!I:I,"FALL"))), "")</f>
        <v/>
      </c>
      <c r="N174" s="74" t="str" cm="1">
        <f t="array" ref="N174">IFERROR(1/(1/SUM(COUNTIFS(
'YearB-AppDetails Current Date'!A:A,D174,
'YearB-AppDetails Current Date'!F:F,E174,
'YearB-AppDetails Current Date'!E:E,--F174,
'YearB-AppDetails Current Date'!V:V,{"APRO","NODE"},
'YearB-AppDetails Current Date'!I:I,"FALL"))), "")</f>
        <v/>
      </c>
      <c r="O174" s="74" t="str" cm="1">
        <f t="array" ref="O174">IFERROR(1/(1/SUM(COUNTIFS(
'YearB-AppDetails Current Date'!A:A,D174,
'YearB-AppDetails Current Date'!F:F,E174,
'YearB-AppDetails Current Date'!E:E,--F174,
'YearB-AppDetails Current Date'!T:T,{"CDMT","RQMT","WAIT"},
'YearB-AppDetails Current Date'!I:I,"FALL"))), "")</f>
        <v/>
      </c>
      <c r="P174" s="74" t="str">
        <f>IFERROR(1/(1/COUNTIFS(
'YearB-AppDetails Current Date'!A:A,D174,
'YearB-AppDetails Current Date'!F:F,E174,
'YearB-AppDetails Current Date'!E:E,--F174,
'YearB-AppDetails Current Date'!Y:Y,"ENRO",
'YearB-AppDetails Current Date'!I:I,"FALL")),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HC'!D:T,12,FALSE)),
N(VLOOKUP(D175&amp;F175,'Budgeted Projections Intl HC'!D:T,13,FALSE))
)
),"")</f>
        <v/>
      </c>
      <c r="I175" s="73" t="str">
        <f>IFERROR(1/(1/COUNTIFS(
'YearB-AppDetails Current Date'!A:A,D175,
'YearB-AppDetails Current Date'!F:F,E175,
'YearB-AppDetails Current Date'!E:E,--F175,
'YearB-AppDetails Current Date'!I:I,"FALL")), "")</f>
        <v/>
      </c>
      <c r="J175" s="74" t="str" cm="1">
        <f t="array" ref="J175">IFERROR(1/(1/SUM(COUNTIFS(
'YearB-AppDetails Current Date'!A:A,D175,
'YearB-AppDetails Current Date'!F:F,E175,
'YearB-AppDetails Current Date'!E:E,--F175,
'YearB-AppDetails Current Date'!O:O,{"ACLN","ACPT","COND"},
'YearB-AppDetails Current Date'!S:S,"&lt;&gt;ACLN",
'YearB-AppDetails Current Date'!S:S,"&lt;&gt;ACPT",
'YearB-AppDetails Current Date'!S:S,"&lt;&gt;COND",
'YearB-AppDetails Current Date'!I:I,"FALL"))), "")</f>
        <v/>
      </c>
      <c r="K175" s="73" t="str">
        <f>IFERROR(1/(1/SUM(COUNTIFS(
'YearB-AppDetails Current Date'!A:A,D175,
'YearB-AppDetails Current Date'!F:F,E175,
'YearB-AppDetails Current Date'!E:E,--F175,
'YearB-AppDetails Current Date'!R:R,"&lt;&gt;"&amp;"",
'YearB-AppDetails Current Date'!I:I,"FALL"))), "")</f>
        <v/>
      </c>
      <c r="L175" s="74" t="str" cm="1">
        <f t="array" ref="L175">IFERROR(1/(1/SUM(COUNTIFS(
'YearB-AppDetails Current Date'!A:A,D175,
'YearB-AppDetails Current Date'!F:F,E175,
'YearB-AppDetails Current Date'!E:E,--F175,
'YearB-AppDetails Current Date'!T:T,{"APEX","DENY","NTSL"},
'YearB-AppDetails Current Date'!I:I,"FALL"))), "")</f>
        <v/>
      </c>
      <c r="M175" s="74" t="str" cm="1">
        <f t="array" ref="M175">IFERROR(1/(1/SUM(COUNTIFS(
'YearB-AppDetails Current Date'!A:A,D175,
'YearB-AppDetails Current Date'!F:F,E175,
'YearB-AppDetails Current Date'!E:E,--F175,
'YearB-AppDetails Current Date'!U:U,{"CCAN","DECL"},
'YearB-AppDetails Current Date'!I:I,"FALL"))), "")</f>
        <v/>
      </c>
      <c r="N175" s="74" t="str" cm="1">
        <f t="array" ref="N175">IFERROR(1/(1/SUM(COUNTIFS(
'YearB-AppDetails Current Date'!A:A,D175,
'YearB-AppDetails Current Date'!F:F,E175,
'YearB-AppDetails Current Date'!E:E,--F175,
'YearB-AppDetails Current Date'!V:V,{"APRO","NODE"},
'YearB-AppDetails Current Date'!I:I,"FALL"))), "")</f>
        <v/>
      </c>
      <c r="O175" s="74" t="str" cm="1">
        <f t="array" ref="O175">IFERROR(1/(1/SUM(COUNTIFS(
'YearB-AppDetails Current Date'!A:A,D175,
'YearB-AppDetails Current Date'!F:F,E175,
'YearB-AppDetails Current Date'!E:E,--F175,
'YearB-AppDetails Current Date'!T:T,{"CDMT","RQMT","WAIT"},
'YearB-AppDetails Current Date'!I:I,"FALL"))), "")</f>
        <v/>
      </c>
      <c r="P175" s="74" t="str">
        <f>IFERROR(1/(1/COUNTIFS(
'YearB-AppDetails Current Date'!A:A,D175,
'YearB-AppDetails Current Date'!F:F,E175,
'YearB-AppDetails Current Date'!E:E,--F175,
'YearB-AppDetails Current Date'!Y:Y,"ENRO",
'YearB-AppDetails Current Date'!I:I,"FALL")),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HC'!D:T,12,FALSE)),
N(VLOOKUP(D176&amp;F176,'Budgeted Projections Dom HC'!D:T,13,FALSE))
)
),"")</f>
        <v/>
      </c>
      <c r="I176" s="73" t="str">
        <f>IFERROR(1/(1/COUNTIFS(
'YearB-AppDetails Current Date'!A:A,D176,
'YearB-AppDetails Current Date'!F:F,E176,
'YearB-AppDetails Current Date'!E:E,--F176,
'YearB-AppDetails Current Date'!I:I,"FALL")), "")</f>
        <v/>
      </c>
      <c r="J176" s="74" t="str" cm="1">
        <f t="array" ref="J176">IFERROR(1/(1/SUM(COUNTIFS(
'YearB-AppDetails Current Date'!A:A,D176,
'YearB-AppDetails Current Date'!F:F,E176,
'YearB-AppDetails Current Date'!E:E,--F176,
'YearB-AppDetails Current Date'!O:O,{"ACLN","ACPT","COND"},
'YearB-AppDetails Current Date'!S:S,"&lt;&gt;ACLN",
'YearB-AppDetails Current Date'!S:S,"&lt;&gt;ACPT",
'YearB-AppDetails Current Date'!S:S,"&lt;&gt;COND",
'YearB-AppDetails Current Date'!I:I,"FALL"))), "")</f>
        <v/>
      </c>
      <c r="K176" s="73" t="str">
        <f>IFERROR(1/(1/SUM(COUNTIFS(
'YearB-AppDetails Current Date'!A:A,D176,
'YearB-AppDetails Current Date'!F:F,E176,
'YearB-AppDetails Current Date'!E:E,--F176,
'YearB-AppDetails Current Date'!R:R,"&lt;&gt;"&amp;"",
'YearB-AppDetails Current Date'!I:I,"FALL"))), "")</f>
        <v/>
      </c>
      <c r="L176" s="74" t="str" cm="1">
        <f t="array" ref="L176">IFERROR(1/(1/SUM(COUNTIFS(
'YearB-AppDetails Current Date'!A:A,D176,
'YearB-AppDetails Current Date'!F:F,E176,
'YearB-AppDetails Current Date'!E:E,--F176,
'YearB-AppDetails Current Date'!T:T,{"APEX","DENY","NTSL"},
'YearB-AppDetails Current Date'!I:I,"FALL"))), "")</f>
        <v/>
      </c>
      <c r="M176" s="74" t="str" cm="1">
        <f t="array" ref="M176">IFERROR(1/(1/SUM(COUNTIFS(
'YearB-AppDetails Current Date'!A:A,D176,
'YearB-AppDetails Current Date'!F:F,E176,
'YearB-AppDetails Current Date'!E:E,--F176,
'YearB-AppDetails Current Date'!U:U,{"CCAN","DECL"},
'YearB-AppDetails Current Date'!I:I,"FALL"))), "")</f>
        <v/>
      </c>
      <c r="N176" s="74" t="str" cm="1">
        <f t="array" ref="N176">IFERROR(1/(1/SUM(COUNTIFS(
'YearB-AppDetails Current Date'!A:A,D176,
'YearB-AppDetails Current Date'!F:F,E176,
'YearB-AppDetails Current Date'!E:E,--F176,
'YearB-AppDetails Current Date'!V:V,{"APRO","NODE"},
'YearB-AppDetails Current Date'!I:I,"FALL"))), "")</f>
        <v/>
      </c>
      <c r="O176" s="74" t="str" cm="1">
        <f t="array" ref="O176">IFERROR(1/(1/SUM(COUNTIFS(
'YearB-AppDetails Current Date'!A:A,D176,
'YearB-AppDetails Current Date'!F:F,E176,
'YearB-AppDetails Current Date'!E:E,--F176,
'YearB-AppDetails Current Date'!T:T,{"CDMT","RQMT","WAIT"},
'YearB-AppDetails Current Date'!I:I,"FALL"))), "")</f>
        <v/>
      </c>
      <c r="P176" s="74" t="str">
        <f>IFERROR(1/(1/COUNTIFS(
'YearB-AppDetails Current Date'!A:A,D176,
'YearB-AppDetails Current Date'!F:F,E176,
'YearB-AppDetails Current Date'!E:E,--F176,
'YearB-AppDetails Current Date'!Y:Y,"ENRO",
'YearB-AppDetails Current Date'!I:I,"FALL")),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HC'!D:T,12,FALSE)),
N(VLOOKUP(D177&amp;F177,'Budgeted Projections Intl HC'!D:T,13,FALSE))
)
),"")</f>
        <v/>
      </c>
      <c r="I177" s="73" t="str">
        <f>IFERROR(1/(1/COUNTIFS(
'YearB-AppDetails Current Date'!A:A,D177,
'YearB-AppDetails Current Date'!F:F,E177,
'YearB-AppDetails Current Date'!E:E,--F177,
'YearB-AppDetails Current Date'!I:I,"FALL")), "")</f>
        <v/>
      </c>
      <c r="J177" s="74" t="str" cm="1">
        <f t="array" ref="J177">IFERROR(1/(1/SUM(COUNTIFS(
'YearB-AppDetails Current Date'!A:A,D177,
'YearB-AppDetails Current Date'!F:F,E177,
'YearB-AppDetails Current Date'!E:E,--F177,
'YearB-AppDetails Current Date'!O:O,{"ACLN","ACPT","COND"},
'YearB-AppDetails Current Date'!S:S,"&lt;&gt;ACLN",
'YearB-AppDetails Current Date'!S:S,"&lt;&gt;ACPT",
'YearB-AppDetails Current Date'!S:S,"&lt;&gt;COND",
'YearB-AppDetails Current Date'!I:I,"FALL"))), "")</f>
        <v/>
      </c>
      <c r="K177" s="73" t="str">
        <f>IFERROR(1/(1/SUM(COUNTIFS(
'YearB-AppDetails Current Date'!A:A,D177,
'YearB-AppDetails Current Date'!F:F,E177,
'YearB-AppDetails Current Date'!E:E,--F177,
'YearB-AppDetails Current Date'!R:R,"&lt;&gt;"&amp;"",
'YearB-AppDetails Current Date'!I:I,"FALL"))), "")</f>
        <v/>
      </c>
      <c r="L177" s="74" t="str" cm="1">
        <f t="array" ref="L177">IFERROR(1/(1/SUM(COUNTIFS(
'YearB-AppDetails Current Date'!A:A,D177,
'YearB-AppDetails Current Date'!F:F,E177,
'YearB-AppDetails Current Date'!E:E,--F177,
'YearB-AppDetails Current Date'!T:T,{"APEX","DENY","NTSL"},
'YearB-AppDetails Current Date'!I:I,"FALL"))), "")</f>
        <v/>
      </c>
      <c r="M177" s="74" t="str" cm="1">
        <f t="array" ref="M177">IFERROR(1/(1/SUM(COUNTIFS(
'YearB-AppDetails Current Date'!A:A,D177,
'YearB-AppDetails Current Date'!F:F,E177,
'YearB-AppDetails Current Date'!E:E,--F177,
'YearB-AppDetails Current Date'!U:U,{"CCAN","DECL"},
'YearB-AppDetails Current Date'!I:I,"FALL"))), "")</f>
        <v/>
      </c>
      <c r="N177" s="74" t="str" cm="1">
        <f t="array" ref="N177">IFERROR(1/(1/SUM(COUNTIFS(
'YearB-AppDetails Current Date'!A:A,D177,
'YearB-AppDetails Current Date'!F:F,E177,
'YearB-AppDetails Current Date'!E:E,--F177,
'YearB-AppDetails Current Date'!V:V,{"APRO","NODE"},
'YearB-AppDetails Current Date'!I:I,"FALL"))), "")</f>
        <v/>
      </c>
      <c r="O177" s="74" t="str" cm="1">
        <f t="array" ref="O177">IFERROR(1/(1/SUM(COUNTIFS(
'YearB-AppDetails Current Date'!A:A,D177,
'YearB-AppDetails Current Date'!F:F,E177,
'YearB-AppDetails Current Date'!E:E,--F177,
'YearB-AppDetails Current Date'!T:T,{"CDMT","RQMT","WAIT"},
'YearB-AppDetails Current Date'!I:I,"FALL"))), "")</f>
        <v/>
      </c>
      <c r="P177" s="74" t="str">
        <f>IFERROR(1/(1/COUNTIFS(
'YearB-AppDetails Current Date'!A:A,D177,
'YearB-AppDetails Current Date'!F:F,E177,
'YearB-AppDetails Current Date'!E:E,--F177,
'YearB-AppDetails Current Date'!Y:Y,"ENRO",
'YearB-AppDetails Current Date'!I:I,"FALL")),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HC'!D:T,12,FALSE)),
N(VLOOKUP(D178&amp;F178,'Budgeted Projections Dom HC'!D:T,13,FALSE))
)
),"")</f>
        <v/>
      </c>
      <c r="I178" s="73" t="str">
        <f>IFERROR(1/(1/COUNTIFS(
'YearB-AppDetails Current Date'!A:A,D178,
'YearB-AppDetails Current Date'!F:F,E178,
'YearB-AppDetails Current Date'!E:E,--F178,
'YearB-AppDetails Current Date'!I:I,"FALL")), "")</f>
        <v/>
      </c>
      <c r="J178" s="74" t="str" cm="1">
        <f t="array" ref="J178">IFERROR(1/(1/SUM(COUNTIFS(
'YearB-AppDetails Current Date'!A:A,D178,
'YearB-AppDetails Current Date'!F:F,E178,
'YearB-AppDetails Current Date'!E:E,--F178,
'YearB-AppDetails Current Date'!O:O,{"ACLN","ACPT","COND"},
'YearB-AppDetails Current Date'!S:S,"&lt;&gt;ACLN",
'YearB-AppDetails Current Date'!S:S,"&lt;&gt;ACPT",
'YearB-AppDetails Current Date'!S:S,"&lt;&gt;COND",
'YearB-AppDetails Current Date'!I:I,"FALL"))), "")</f>
        <v/>
      </c>
      <c r="K178" s="73" t="str">
        <f>IFERROR(1/(1/SUM(COUNTIFS(
'YearB-AppDetails Current Date'!A:A,D178,
'YearB-AppDetails Current Date'!F:F,E178,
'YearB-AppDetails Current Date'!E:E,--F178,
'YearB-AppDetails Current Date'!R:R,"&lt;&gt;"&amp;"",
'YearB-AppDetails Current Date'!I:I,"FALL"))), "")</f>
        <v/>
      </c>
      <c r="L178" s="74" t="str" cm="1">
        <f t="array" ref="L178">IFERROR(1/(1/SUM(COUNTIFS(
'YearB-AppDetails Current Date'!A:A,D178,
'YearB-AppDetails Current Date'!F:F,E178,
'YearB-AppDetails Current Date'!E:E,--F178,
'YearB-AppDetails Current Date'!T:T,{"APEX","DENY","NTSL"},
'YearB-AppDetails Current Date'!I:I,"FALL"))), "")</f>
        <v/>
      </c>
      <c r="M178" s="74" t="str" cm="1">
        <f t="array" ref="M178">IFERROR(1/(1/SUM(COUNTIFS(
'YearB-AppDetails Current Date'!A:A,D178,
'YearB-AppDetails Current Date'!F:F,E178,
'YearB-AppDetails Current Date'!E:E,--F178,
'YearB-AppDetails Current Date'!U:U,{"CCAN","DECL"},
'YearB-AppDetails Current Date'!I:I,"FALL"))), "")</f>
        <v/>
      </c>
      <c r="N178" s="74" t="str" cm="1">
        <f t="array" ref="N178">IFERROR(1/(1/SUM(COUNTIFS(
'YearB-AppDetails Current Date'!A:A,D178,
'YearB-AppDetails Current Date'!F:F,E178,
'YearB-AppDetails Current Date'!E:E,--F178,
'YearB-AppDetails Current Date'!V:V,{"APRO","NODE"},
'YearB-AppDetails Current Date'!I:I,"FALL"))), "")</f>
        <v/>
      </c>
      <c r="O178" s="74" t="str" cm="1">
        <f t="array" ref="O178">IFERROR(1/(1/SUM(COUNTIFS(
'YearB-AppDetails Current Date'!A:A,D178,
'YearB-AppDetails Current Date'!F:F,E178,
'YearB-AppDetails Current Date'!E:E,--F178,
'YearB-AppDetails Current Date'!T:T,{"CDMT","RQMT","WAIT"},
'YearB-AppDetails Current Date'!I:I,"FALL"))), "")</f>
        <v/>
      </c>
      <c r="P178" s="74" t="str">
        <f>IFERROR(1/(1/COUNTIFS(
'YearB-AppDetails Current Date'!A:A,D178,
'YearB-AppDetails Current Date'!F:F,E178,
'YearB-AppDetails Current Date'!E:E,--F178,
'YearB-AppDetails Current Date'!Y:Y,"ENRO",
'YearB-AppDetails Current Date'!I:I,"FALL")),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HC'!D:T,12,FALSE)),
N(VLOOKUP(D179&amp;F179,'Budgeted Projections Intl HC'!D:T,13,FALSE))
)
),"")</f>
        <v/>
      </c>
      <c r="I179" s="73" t="str">
        <f>IFERROR(1/(1/COUNTIFS(
'YearB-AppDetails Current Date'!A:A,D179,
'YearB-AppDetails Current Date'!F:F,E179,
'YearB-AppDetails Current Date'!E:E,--F179,
'YearB-AppDetails Current Date'!I:I,"FALL")), "")</f>
        <v/>
      </c>
      <c r="J179" s="74" t="str" cm="1">
        <f t="array" ref="J179">IFERROR(1/(1/SUM(COUNTIFS(
'YearB-AppDetails Current Date'!A:A,D179,
'YearB-AppDetails Current Date'!F:F,E179,
'YearB-AppDetails Current Date'!E:E,--F179,
'YearB-AppDetails Current Date'!O:O,{"ACLN","ACPT","COND"},
'YearB-AppDetails Current Date'!S:S,"&lt;&gt;ACLN",
'YearB-AppDetails Current Date'!S:S,"&lt;&gt;ACPT",
'YearB-AppDetails Current Date'!S:S,"&lt;&gt;COND",
'YearB-AppDetails Current Date'!I:I,"FALL"))), "")</f>
        <v/>
      </c>
      <c r="K179" s="73" t="str">
        <f>IFERROR(1/(1/SUM(COUNTIFS(
'YearB-AppDetails Current Date'!A:A,D179,
'YearB-AppDetails Current Date'!F:F,E179,
'YearB-AppDetails Current Date'!E:E,--F179,
'YearB-AppDetails Current Date'!R:R,"&lt;&gt;"&amp;"",
'YearB-AppDetails Current Date'!I:I,"FALL"))), "")</f>
        <v/>
      </c>
      <c r="L179" s="74" t="str" cm="1">
        <f t="array" ref="L179">IFERROR(1/(1/SUM(COUNTIFS(
'YearB-AppDetails Current Date'!A:A,D179,
'YearB-AppDetails Current Date'!F:F,E179,
'YearB-AppDetails Current Date'!E:E,--F179,
'YearB-AppDetails Current Date'!T:T,{"APEX","DENY","NTSL"},
'YearB-AppDetails Current Date'!I:I,"FALL"))), "")</f>
        <v/>
      </c>
      <c r="M179" s="74" t="str" cm="1">
        <f t="array" ref="M179">IFERROR(1/(1/SUM(COUNTIFS(
'YearB-AppDetails Current Date'!A:A,D179,
'YearB-AppDetails Current Date'!F:F,E179,
'YearB-AppDetails Current Date'!E:E,--F179,
'YearB-AppDetails Current Date'!U:U,{"CCAN","DECL"},
'YearB-AppDetails Current Date'!I:I,"FALL"))), "")</f>
        <v/>
      </c>
      <c r="N179" s="74" t="str" cm="1">
        <f t="array" ref="N179">IFERROR(1/(1/SUM(COUNTIFS(
'YearB-AppDetails Current Date'!A:A,D179,
'YearB-AppDetails Current Date'!F:F,E179,
'YearB-AppDetails Current Date'!E:E,--F179,
'YearB-AppDetails Current Date'!V:V,{"APRO","NODE"},
'YearB-AppDetails Current Date'!I:I,"FALL"))), "")</f>
        <v/>
      </c>
      <c r="O179" s="74" t="str" cm="1">
        <f t="array" ref="O179">IFERROR(1/(1/SUM(COUNTIFS(
'YearB-AppDetails Current Date'!A:A,D179,
'YearB-AppDetails Current Date'!F:F,E179,
'YearB-AppDetails Current Date'!E:E,--F179,
'YearB-AppDetails Current Date'!T:T,{"CDMT","RQMT","WAIT"},
'YearB-AppDetails Current Date'!I:I,"FALL"))), "")</f>
        <v/>
      </c>
      <c r="P179" s="74" t="str">
        <f>IFERROR(1/(1/COUNTIFS(
'YearB-AppDetails Current Date'!A:A,D179,
'YearB-AppDetails Current Date'!F:F,E179,
'YearB-AppDetails Current Date'!E:E,--F179,
'YearB-AppDetails Current Date'!Y:Y,"ENRO",
'YearB-AppDetails Current Date'!I:I,"FALL")),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HC'!D:T,12,FALSE)),
N(VLOOKUP(D180&amp;F180,'Budgeted Projections Dom HC'!D:T,13,FALSE))
)
),"")</f>
        <v/>
      </c>
      <c r="I180" s="73" t="str">
        <f>IFERROR(1/(1/COUNTIFS(
'YearB-AppDetails Current Date'!A:A,D180,
'YearB-AppDetails Current Date'!F:F,E180,
'YearB-AppDetails Current Date'!E:E,--F180,
'YearB-AppDetails Current Date'!I:I,"FALL")), "")</f>
        <v/>
      </c>
      <c r="J180" s="74" t="str" cm="1">
        <f t="array" ref="J180">IFERROR(1/(1/SUM(COUNTIFS(
'YearB-AppDetails Current Date'!A:A,D180,
'YearB-AppDetails Current Date'!F:F,E180,
'YearB-AppDetails Current Date'!E:E,--F180,
'YearB-AppDetails Current Date'!O:O,{"ACLN","ACPT","COND"},
'YearB-AppDetails Current Date'!S:S,"&lt;&gt;ACLN",
'YearB-AppDetails Current Date'!S:S,"&lt;&gt;ACPT",
'YearB-AppDetails Current Date'!S:S,"&lt;&gt;COND",
'YearB-AppDetails Current Date'!I:I,"FALL"))), "")</f>
        <v/>
      </c>
      <c r="K180" s="73" t="str">
        <f>IFERROR(1/(1/SUM(COUNTIFS(
'YearB-AppDetails Current Date'!A:A,D180,
'YearB-AppDetails Current Date'!F:F,E180,
'YearB-AppDetails Current Date'!E:E,--F180,
'YearB-AppDetails Current Date'!R:R,"&lt;&gt;"&amp;"",
'YearB-AppDetails Current Date'!I:I,"FALL"))), "")</f>
        <v/>
      </c>
      <c r="L180" s="74" t="str" cm="1">
        <f t="array" ref="L180">IFERROR(1/(1/SUM(COUNTIFS(
'YearB-AppDetails Current Date'!A:A,D180,
'YearB-AppDetails Current Date'!F:F,E180,
'YearB-AppDetails Current Date'!E:E,--F180,
'YearB-AppDetails Current Date'!T:T,{"APEX","DENY","NTSL"},
'YearB-AppDetails Current Date'!I:I,"FALL"))), "")</f>
        <v/>
      </c>
      <c r="M180" s="74" t="str" cm="1">
        <f t="array" ref="M180">IFERROR(1/(1/SUM(COUNTIFS(
'YearB-AppDetails Current Date'!A:A,D180,
'YearB-AppDetails Current Date'!F:F,E180,
'YearB-AppDetails Current Date'!E:E,--F180,
'YearB-AppDetails Current Date'!U:U,{"CCAN","DECL"},
'YearB-AppDetails Current Date'!I:I,"FALL"))), "")</f>
        <v/>
      </c>
      <c r="N180" s="74" t="str" cm="1">
        <f t="array" ref="N180">IFERROR(1/(1/SUM(COUNTIFS(
'YearB-AppDetails Current Date'!A:A,D180,
'YearB-AppDetails Current Date'!F:F,E180,
'YearB-AppDetails Current Date'!E:E,--F180,
'YearB-AppDetails Current Date'!V:V,{"APRO","NODE"},
'YearB-AppDetails Current Date'!I:I,"FALL"))), "")</f>
        <v/>
      </c>
      <c r="O180" s="74" t="str" cm="1">
        <f t="array" ref="O180">IFERROR(1/(1/SUM(COUNTIFS(
'YearB-AppDetails Current Date'!A:A,D180,
'YearB-AppDetails Current Date'!F:F,E180,
'YearB-AppDetails Current Date'!E:E,--F180,
'YearB-AppDetails Current Date'!T:T,{"CDMT","RQMT","WAIT"},
'YearB-AppDetails Current Date'!I:I,"FALL"))), "")</f>
        <v/>
      </c>
      <c r="P180" s="74" t="str">
        <f>IFERROR(1/(1/COUNTIFS(
'YearB-AppDetails Current Date'!A:A,D180,
'YearB-AppDetails Current Date'!F:F,E180,
'YearB-AppDetails Current Date'!E:E,--F180,
'YearB-AppDetails Current Date'!Y:Y,"ENRO",
'YearB-AppDetails Current Date'!I:I,"FALL")),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HC'!D:T,12,FALSE)),
N(VLOOKUP(D181&amp;F181,'Budgeted Projections Intl HC'!D:T,13,FALSE))
)
),"")</f>
        <v/>
      </c>
      <c r="I181" s="73" t="str">
        <f>IFERROR(1/(1/COUNTIFS(
'YearB-AppDetails Current Date'!A:A,D181,
'YearB-AppDetails Current Date'!F:F,E181,
'YearB-AppDetails Current Date'!E:E,--F181,
'YearB-AppDetails Current Date'!I:I,"FALL")), "")</f>
        <v/>
      </c>
      <c r="J181" s="74" t="str" cm="1">
        <f t="array" ref="J181">IFERROR(1/(1/SUM(COUNTIFS(
'YearB-AppDetails Current Date'!A:A,D181,
'YearB-AppDetails Current Date'!F:F,E181,
'YearB-AppDetails Current Date'!E:E,--F181,
'YearB-AppDetails Current Date'!O:O,{"ACLN","ACPT","COND"},
'YearB-AppDetails Current Date'!S:S,"&lt;&gt;ACLN",
'YearB-AppDetails Current Date'!S:S,"&lt;&gt;ACPT",
'YearB-AppDetails Current Date'!S:S,"&lt;&gt;COND",
'YearB-AppDetails Current Date'!I:I,"FALL"))), "")</f>
        <v/>
      </c>
      <c r="K181" s="73" t="str">
        <f>IFERROR(1/(1/SUM(COUNTIFS(
'YearB-AppDetails Current Date'!A:A,D181,
'YearB-AppDetails Current Date'!F:F,E181,
'YearB-AppDetails Current Date'!E:E,--F181,
'YearB-AppDetails Current Date'!R:R,"&lt;&gt;"&amp;"",
'YearB-AppDetails Current Date'!I:I,"FALL"))), "")</f>
        <v/>
      </c>
      <c r="L181" s="74" t="str" cm="1">
        <f t="array" ref="L181">IFERROR(1/(1/SUM(COUNTIFS(
'YearB-AppDetails Current Date'!A:A,D181,
'YearB-AppDetails Current Date'!F:F,E181,
'YearB-AppDetails Current Date'!E:E,--F181,
'YearB-AppDetails Current Date'!T:T,{"APEX","DENY","NTSL"},
'YearB-AppDetails Current Date'!I:I,"FALL"))), "")</f>
        <v/>
      </c>
      <c r="M181" s="74" t="str" cm="1">
        <f t="array" ref="M181">IFERROR(1/(1/SUM(COUNTIFS(
'YearB-AppDetails Current Date'!A:A,D181,
'YearB-AppDetails Current Date'!F:F,E181,
'YearB-AppDetails Current Date'!E:E,--F181,
'YearB-AppDetails Current Date'!U:U,{"CCAN","DECL"},
'YearB-AppDetails Current Date'!I:I,"FALL"))), "")</f>
        <v/>
      </c>
      <c r="N181" s="74" t="str" cm="1">
        <f t="array" ref="N181">IFERROR(1/(1/SUM(COUNTIFS(
'YearB-AppDetails Current Date'!A:A,D181,
'YearB-AppDetails Current Date'!F:F,E181,
'YearB-AppDetails Current Date'!E:E,--F181,
'YearB-AppDetails Current Date'!V:V,{"APRO","NODE"},
'YearB-AppDetails Current Date'!I:I,"FALL"))), "")</f>
        <v/>
      </c>
      <c r="O181" s="74" t="str" cm="1">
        <f t="array" ref="O181">IFERROR(1/(1/SUM(COUNTIFS(
'YearB-AppDetails Current Date'!A:A,D181,
'YearB-AppDetails Current Date'!F:F,E181,
'YearB-AppDetails Current Date'!E:E,--F181,
'YearB-AppDetails Current Date'!T:T,{"CDMT","RQMT","WAIT"},
'YearB-AppDetails Current Date'!I:I,"FALL"))), "")</f>
        <v/>
      </c>
      <c r="P181" s="74" t="str">
        <f>IFERROR(1/(1/COUNTIFS(
'YearB-AppDetails Current Date'!A:A,D181,
'YearB-AppDetails Current Date'!F:F,E181,
'YearB-AppDetails Current Date'!E:E,--F181,
'YearB-AppDetails Current Date'!Y:Y,"ENRO",
'YearB-AppDetails Current Date'!I:I,"FALL")),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HC'!D:T,12,FALSE)),
N(VLOOKUP(D182&amp;F182,'Budgeted Projections Dom HC'!D:T,13,FALSE))
)
),"")</f>
        <v/>
      </c>
      <c r="I182" s="73" t="str">
        <f>IFERROR(1/(1/COUNTIFS(
'YearB-AppDetails Current Date'!A:A,D182,
'YearB-AppDetails Current Date'!F:F,E182,
'YearB-AppDetails Current Date'!E:E,--F182,
'YearB-AppDetails Current Date'!I:I,"FALL")), "")</f>
        <v/>
      </c>
      <c r="J182" s="74" t="str" cm="1">
        <f t="array" ref="J182">IFERROR(1/(1/SUM(COUNTIFS(
'YearB-AppDetails Current Date'!A:A,D182,
'YearB-AppDetails Current Date'!F:F,E182,
'YearB-AppDetails Current Date'!E:E,--F182,
'YearB-AppDetails Current Date'!O:O,{"ACLN","ACPT","COND"},
'YearB-AppDetails Current Date'!S:S,"&lt;&gt;ACLN",
'YearB-AppDetails Current Date'!S:S,"&lt;&gt;ACPT",
'YearB-AppDetails Current Date'!S:S,"&lt;&gt;COND",
'YearB-AppDetails Current Date'!I:I,"FALL"))), "")</f>
        <v/>
      </c>
      <c r="K182" s="73" t="str">
        <f>IFERROR(1/(1/SUM(COUNTIFS(
'YearB-AppDetails Current Date'!A:A,D182,
'YearB-AppDetails Current Date'!F:F,E182,
'YearB-AppDetails Current Date'!E:E,--F182,
'YearB-AppDetails Current Date'!R:R,"&lt;&gt;"&amp;"",
'YearB-AppDetails Current Date'!I:I,"FALL"))), "")</f>
        <v/>
      </c>
      <c r="L182" s="74" t="str" cm="1">
        <f t="array" ref="L182">IFERROR(1/(1/SUM(COUNTIFS(
'YearB-AppDetails Current Date'!A:A,D182,
'YearB-AppDetails Current Date'!F:F,E182,
'YearB-AppDetails Current Date'!E:E,--F182,
'YearB-AppDetails Current Date'!T:T,{"APEX","DENY","NTSL"},
'YearB-AppDetails Current Date'!I:I,"FALL"))), "")</f>
        <v/>
      </c>
      <c r="M182" s="74" t="str" cm="1">
        <f t="array" ref="M182">IFERROR(1/(1/SUM(COUNTIFS(
'YearB-AppDetails Current Date'!A:A,D182,
'YearB-AppDetails Current Date'!F:F,E182,
'YearB-AppDetails Current Date'!E:E,--F182,
'YearB-AppDetails Current Date'!U:U,{"CCAN","DECL"},
'YearB-AppDetails Current Date'!I:I,"FALL"))), "")</f>
        <v/>
      </c>
      <c r="N182" s="74" t="str" cm="1">
        <f t="array" ref="N182">IFERROR(1/(1/SUM(COUNTIFS(
'YearB-AppDetails Current Date'!A:A,D182,
'YearB-AppDetails Current Date'!F:F,E182,
'YearB-AppDetails Current Date'!E:E,--F182,
'YearB-AppDetails Current Date'!V:V,{"APRO","NODE"},
'YearB-AppDetails Current Date'!I:I,"FALL"))), "")</f>
        <v/>
      </c>
      <c r="O182" s="74" t="str" cm="1">
        <f t="array" ref="O182">IFERROR(1/(1/SUM(COUNTIFS(
'YearB-AppDetails Current Date'!A:A,D182,
'YearB-AppDetails Current Date'!F:F,E182,
'YearB-AppDetails Current Date'!E:E,--F182,
'YearB-AppDetails Current Date'!T:T,{"CDMT","RQMT","WAIT"},
'YearB-AppDetails Current Date'!I:I,"FALL"))), "")</f>
        <v/>
      </c>
      <c r="P182" s="74" t="str">
        <f>IFERROR(1/(1/COUNTIFS(
'YearB-AppDetails Current Date'!A:A,D182,
'YearB-AppDetails Current Date'!F:F,E182,
'YearB-AppDetails Current Date'!E:E,--F182,
'YearB-AppDetails Current Date'!Y:Y,"ENRO",
'YearB-AppDetails Current Date'!I:I,"FALL")),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HC'!D:T,12,FALSE)),
N(VLOOKUP(D183&amp;F183,'Budgeted Projections Intl HC'!D:T,13,FALSE))
)
),"")</f>
        <v/>
      </c>
      <c r="I183" s="73" t="str">
        <f>IFERROR(1/(1/COUNTIFS(
'YearB-AppDetails Current Date'!A:A,D183,
'YearB-AppDetails Current Date'!F:F,E183,
'YearB-AppDetails Current Date'!E:E,--F183,
'YearB-AppDetails Current Date'!I:I,"FALL")), "")</f>
        <v/>
      </c>
      <c r="J183" s="74" t="str" cm="1">
        <f t="array" ref="J183">IFERROR(1/(1/SUM(COUNTIFS(
'YearB-AppDetails Current Date'!A:A,D183,
'YearB-AppDetails Current Date'!F:F,E183,
'YearB-AppDetails Current Date'!E:E,--F183,
'YearB-AppDetails Current Date'!O:O,{"ACLN","ACPT","COND"},
'YearB-AppDetails Current Date'!S:S,"&lt;&gt;ACLN",
'YearB-AppDetails Current Date'!S:S,"&lt;&gt;ACPT",
'YearB-AppDetails Current Date'!S:S,"&lt;&gt;COND",
'YearB-AppDetails Current Date'!I:I,"FALL"))), "")</f>
        <v/>
      </c>
      <c r="K183" s="73" t="str">
        <f>IFERROR(1/(1/SUM(COUNTIFS(
'YearB-AppDetails Current Date'!A:A,D183,
'YearB-AppDetails Current Date'!F:F,E183,
'YearB-AppDetails Current Date'!E:E,--F183,
'YearB-AppDetails Current Date'!R:R,"&lt;&gt;"&amp;"",
'YearB-AppDetails Current Date'!I:I,"FALL"))), "")</f>
        <v/>
      </c>
      <c r="L183" s="74" t="str" cm="1">
        <f t="array" ref="L183">IFERROR(1/(1/SUM(COUNTIFS(
'YearB-AppDetails Current Date'!A:A,D183,
'YearB-AppDetails Current Date'!F:F,E183,
'YearB-AppDetails Current Date'!E:E,--F183,
'YearB-AppDetails Current Date'!T:T,{"APEX","DENY","NTSL"},
'YearB-AppDetails Current Date'!I:I,"FALL"))), "")</f>
        <v/>
      </c>
      <c r="M183" s="74" t="str" cm="1">
        <f t="array" ref="M183">IFERROR(1/(1/SUM(COUNTIFS(
'YearB-AppDetails Current Date'!A:A,D183,
'YearB-AppDetails Current Date'!F:F,E183,
'YearB-AppDetails Current Date'!E:E,--F183,
'YearB-AppDetails Current Date'!U:U,{"CCAN","DECL"},
'YearB-AppDetails Current Date'!I:I,"FALL"))), "")</f>
        <v/>
      </c>
      <c r="N183" s="74" t="str" cm="1">
        <f t="array" ref="N183">IFERROR(1/(1/SUM(COUNTIFS(
'YearB-AppDetails Current Date'!A:A,D183,
'YearB-AppDetails Current Date'!F:F,E183,
'YearB-AppDetails Current Date'!E:E,--F183,
'YearB-AppDetails Current Date'!V:V,{"APRO","NODE"},
'YearB-AppDetails Current Date'!I:I,"FALL"))), "")</f>
        <v/>
      </c>
      <c r="O183" s="74" t="str" cm="1">
        <f t="array" ref="O183">IFERROR(1/(1/SUM(COUNTIFS(
'YearB-AppDetails Current Date'!A:A,D183,
'YearB-AppDetails Current Date'!F:F,E183,
'YearB-AppDetails Current Date'!E:E,--F183,
'YearB-AppDetails Current Date'!T:T,{"CDMT","RQMT","WAIT"},
'YearB-AppDetails Current Date'!I:I,"FALL"))), "")</f>
        <v/>
      </c>
      <c r="P183" s="74" t="str">
        <f>IFERROR(1/(1/COUNTIFS(
'YearB-AppDetails Current Date'!A:A,D183,
'YearB-AppDetails Current Date'!F:F,E183,
'YearB-AppDetails Current Date'!E:E,--F183,
'YearB-AppDetails Current Date'!Y:Y,"ENRO",
'YearB-AppDetails Current Date'!I:I,"FALL")),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HC'!D:T,12,FALSE)),
N(VLOOKUP(D184&amp;F184,'Budgeted Projections Dom HC'!D:T,13,FALSE))
)
),"")</f>
        <v/>
      </c>
      <c r="I184" s="73" t="str">
        <f>IFERROR(1/(1/COUNTIFS(
'YearB-AppDetails Current Date'!A:A,D184,
'YearB-AppDetails Current Date'!F:F,E184,
'YearB-AppDetails Current Date'!E:E,--F184,
'YearB-AppDetails Current Date'!I:I,"FALL")), "")</f>
        <v/>
      </c>
      <c r="J184" s="74" t="str" cm="1">
        <f t="array" ref="J184">IFERROR(1/(1/SUM(COUNTIFS(
'YearB-AppDetails Current Date'!A:A,D184,
'YearB-AppDetails Current Date'!F:F,E184,
'YearB-AppDetails Current Date'!E:E,--F184,
'YearB-AppDetails Current Date'!O:O,{"ACLN","ACPT","COND"},
'YearB-AppDetails Current Date'!S:S,"&lt;&gt;ACLN",
'YearB-AppDetails Current Date'!S:S,"&lt;&gt;ACPT",
'YearB-AppDetails Current Date'!S:S,"&lt;&gt;COND",
'YearB-AppDetails Current Date'!I:I,"FALL"))), "")</f>
        <v/>
      </c>
      <c r="K184" s="73" t="str">
        <f>IFERROR(1/(1/SUM(COUNTIFS(
'YearB-AppDetails Current Date'!A:A,D184,
'YearB-AppDetails Current Date'!F:F,E184,
'YearB-AppDetails Current Date'!E:E,--F184,
'YearB-AppDetails Current Date'!R:R,"&lt;&gt;"&amp;"",
'YearB-AppDetails Current Date'!I:I,"FALL"))), "")</f>
        <v/>
      </c>
      <c r="L184" s="74" t="str" cm="1">
        <f t="array" ref="L184">IFERROR(1/(1/SUM(COUNTIFS(
'YearB-AppDetails Current Date'!A:A,D184,
'YearB-AppDetails Current Date'!F:F,E184,
'YearB-AppDetails Current Date'!E:E,--F184,
'YearB-AppDetails Current Date'!T:T,{"APEX","DENY","NTSL"},
'YearB-AppDetails Current Date'!I:I,"FALL"))), "")</f>
        <v/>
      </c>
      <c r="M184" s="74" t="str" cm="1">
        <f t="array" ref="M184">IFERROR(1/(1/SUM(COUNTIFS(
'YearB-AppDetails Current Date'!A:A,D184,
'YearB-AppDetails Current Date'!F:F,E184,
'YearB-AppDetails Current Date'!E:E,--F184,
'YearB-AppDetails Current Date'!U:U,{"CCAN","DECL"},
'YearB-AppDetails Current Date'!I:I,"FALL"))), "")</f>
        <v/>
      </c>
      <c r="N184" s="74" t="str" cm="1">
        <f t="array" ref="N184">IFERROR(1/(1/SUM(COUNTIFS(
'YearB-AppDetails Current Date'!A:A,D184,
'YearB-AppDetails Current Date'!F:F,E184,
'YearB-AppDetails Current Date'!E:E,--F184,
'YearB-AppDetails Current Date'!V:V,{"APRO","NODE"},
'YearB-AppDetails Current Date'!I:I,"FALL"))), "")</f>
        <v/>
      </c>
      <c r="O184" s="74" t="str" cm="1">
        <f t="array" ref="O184">IFERROR(1/(1/SUM(COUNTIFS(
'YearB-AppDetails Current Date'!A:A,D184,
'YearB-AppDetails Current Date'!F:F,E184,
'YearB-AppDetails Current Date'!E:E,--F184,
'YearB-AppDetails Current Date'!T:T,{"CDMT","RQMT","WAIT"},
'YearB-AppDetails Current Date'!I:I,"FALL"))), "")</f>
        <v/>
      </c>
      <c r="P184" s="74" t="str">
        <f>IFERROR(1/(1/COUNTIFS(
'YearB-AppDetails Current Date'!A:A,D184,
'YearB-AppDetails Current Date'!F:F,E184,
'YearB-AppDetails Current Date'!E:E,--F184,
'YearB-AppDetails Current Date'!Y:Y,"ENRO",
'YearB-AppDetails Current Date'!I:I,"FALL")),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HC'!D:T,12,FALSE)),
N(VLOOKUP(D185&amp;F185,'Budgeted Projections Intl HC'!D:T,13,FALSE))
)
),"")</f>
        <v/>
      </c>
      <c r="I185" s="73" t="str">
        <f>IFERROR(1/(1/COUNTIFS(
'YearB-AppDetails Current Date'!A:A,D185,
'YearB-AppDetails Current Date'!F:F,E185,
'YearB-AppDetails Current Date'!E:E,--F185,
'YearB-AppDetails Current Date'!I:I,"FALL")), "")</f>
        <v/>
      </c>
      <c r="J185" s="74" t="str" cm="1">
        <f t="array" ref="J185">IFERROR(1/(1/SUM(COUNTIFS(
'YearB-AppDetails Current Date'!A:A,D185,
'YearB-AppDetails Current Date'!F:F,E185,
'YearB-AppDetails Current Date'!E:E,--F185,
'YearB-AppDetails Current Date'!O:O,{"ACLN","ACPT","COND"},
'YearB-AppDetails Current Date'!S:S,"&lt;&gt;ACLN",
'YearB-AppDetails Current Date'!S:S,"&lt;&gt;ACPT",
'YearB-AppDetails Current Date'!S:S,"&lt;&gt;COND",
'YearB-AppDetails Current Date'!I:I,"FALL"))), "")</f>
        <v/>
      </c>
      <c r="K185" s="73" t="str">
        <f>IFERROR(1/(1/SUM(COUNTIFS(
'YearB-AppDetails Current Date'!A:A,D185,
'YearB-AppDetails Current Date'!F:F,E185,
'YearB-AppDetails Current Date'!E:E,--F185,
'YearB-AppDetails Current Date'!R:R,"&lt;&gt;"&amp;"",
'YearB-AppDetails Current Date'!I:I,"FALL"))), "")</f>
        <v/>
      </c>
      <c r="L185" s="74" t="str" cm="1">
        <f t="array" ref="L185">IFERROR(1/(1/SUM(COUNTIFS(
'YearB-AppDetails Current Date'!A:A,D185,
'YearB-AppDetails Current Date'!F:F,E185,
'YearB-AppDetails Current Date'!E:E,--F185,
'YearB-AppDetails Current Date'!T:T,{"APEX","DENY","NTSL"},
'YearB-AppDetails Current Date'!I:I,"FALL"))), "")</f>
        <v/>
      </c>
      <c r="M185" s="74" t="str" cm="1">
        <f t="array" ref="M185">IFERROR(1/(1/SUM(COUNTIFS(
'YearB-AppDetails Current Date'!A:A,D185,
'YearB-AppDetails Current Date'!F:F,E185,
'YearB-AppDetails Current Date'!E:E,--F185,
'YearB-AppDetails Current Date'!U:U,{"CCAN","DECL"},
'YearB-AppDetails Current Date'!I:I,"FALL"))), "")</f>
        <v/>
      </c>
      <c r="N185" s="74" t="str" cm="1">
        <f t="array" ref="N185">IFERROR(1/(1/SUM(COUNTIFS(
'YearB-AppDetails Current Date'!A:A,D185,
'YearB-AppDetails Current Date'!F:F,E185,
'YearB-AppDetails Current Date'!E:E,--F185,
'YearB-AppDetails Current Date'!V:V,{"APRO","NODE"},
'YearB-AppDetails Current Date'!I:I,"FALL"))), "")</f>
        <v/>
      </c>
      <c r="O185" s="74" t="str" cm="1">
        <f t="array" ref="O185">IFERROR(1/(1/SUM(COUNTIFS(
'YearB-AppDetails Current Date'!A:A,D185,
'YearB-AppDetails Current Date'!F:F,E185,
'YearB-AppDetails Current Date'!E:E,--F185,
'YearB-AppDetails Current Date'!T:T,{"CDMT","RQMT","WAIT"},
'YearB-AppDetails Current Date'!I:I,"FALL"))), "")</f>
        <v/>
      </c>
      <c r="P185" s="74" t="str">
        <f>IFERROR(1/(1/COUNTIFS(
'YearB-AppDetails Current Date'!A:A,D185,
'YearB-AppDetails Current Date'!F:F,E185,
'YearB-AppDetails Current Date'!E:E,--F185,
'YearB-AppDetails Current Date'!Y:Y,"ENRO",
'YearB-AppDetails Current Date'!I:I,"FALL")),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HC'!D:T,12,FALSE)),
N(VLOOKUP(D186&amp;F186,'Budgeted Projections Dom HC'!D:T,13,FALSE))
)
),"")</f>
        <v/>
      </c>
      <c r="I186" s="73" t="str">
        <f>IFERROR(1/(1/COUNTIFS(
'YearB-AppDetails Current Date'!A:A,D186,
'YearB-AppDetails Current Date'!F:F,E186,
'YearB-AppDetails Current Date'!E:E,--F186,
'YearB-AppDetails Current Date'!I:I,"FALL")), "")</f>
        <v/>
      </c>
      <c r="J186" s="74" t="str" cm="1">
        <f t="array" ref="J186">IFERROR(1/(1/SUM(COUNTIFS(
'YearB-AppDetails Current Date'!A:A,D186,
'YearB-AppDetails Current Date'!F:F,E186,
'YearB-AppDetails Current Date'!E:E,--F186,
'YearB-AppDetails Current Date'!O:O,{"ACLN","ACPT","COND"},
'YearB-AppDetails Current Date'!S:S,"&lt;&gt;ACLN",
'YearB-AppDetails Current Date'!S:S,"&lt;&gt;ACPT",
'YearB-AppDetails Current Date'!S:S,"&lt;&gt;COND",
'YearB-AppDetails Current Date'!I:I,"FALL"))), "")</f>
        <v/>
      </c>
      <c r="K186" s="73" t="str">
        <f>IFERROR(1/(1/SUM(COUNTIFS(
'YearB-AppDetails Current Date'!A:A,D186,
'YearB-AppDetails Current Date'!F:F,E186,
'YearB-AppDetails Current Date'!E:E,--F186,
'YearB-AppDetails Current Date'!R:R,"&lt;&gt;"&amp;"",
'YearB-AppDetails Current Date'!I:I,"FALL"))), "")</f>
        <v/>
      </c>
      <c r="L186" s="74" t="str" cm="1">
        <f t="array" ref="L186">IFERROR(1/(1/SUM(COUNTIFS(
'YearB-AppDetails Current Date'!A:A,D186,
'YearB-AppDetails Current Date'!F:F,E186,
'YearB-AppDetails Current Date'!E:E,--F186,
'YearB-AppDetails Current Date'!T:T,{"APEX","DENY","NTSL"},
'YearB-AppDetails Current Date'!I:I,"FALL"))), "")</f>
        <v/>
      </c>
      <c r="M186" s="74" t="str" cm="1">
        <f t="array" ref="M186">IFERROR(1/(1/SUM(COUNTIFS(
'YearB-AppDetails Current Date'!A:A,D186,
'YearB-AppDetails Current Date'!F:F,E186,
'YearB-AppDetails Current Date'!E:E,--F186,
'YearB-AppDetails Current Date'!U:U,{"CCAN","DECL"},
'YearB-AppDetails Current Date'!I:I,"FALL"))), "")</f>
        <v/>
      </c>
      <c r="N186" s="74" t="str" cm="1">
        <f t="array" ref="N186">IFERROR(1/(1/SUM(COUNTIFS(
'YearB-AppDetails Current Date'!A:A,D186,
'YearB-AppDetails Current Date'!F:F,E186,
'YearB-AppDetails Current Date'!E:E,--F186,
'YearB-AppDetails Current Date'!V:V,{"APRO","NODE"},
'YearB-AppDetails Current Date'!I:I,"FALL"))), "")</f>
        <v/>
      </c>
      <c r="O186" s="74" t="str" cm="1">
        <f t="array" ref="O186">IFERROR(1/(1/SUM(COUNTIFS(
'YearB-AppDetails Current Date'!A:A,D186,
'YearB-AppDetails Current Date'!F:F,E186,
'YearB-AppDetails Current Date'!E:E,--F186,
'YearB-AppDetails Current Date'!T:T,{"CDMT","RQMT","WAIT"},
'YearB-AppDetails Current Date'!I:I,"FALL"))), "")</f>
        <v/>
      </c>
      <c r="P186" s="74" t="str">
        <f>IFERROR(1/(1/COUNTIFS(
'YearB-AppDetails Current Date'!A:A,D186,
'YearB-AppDetails Current Date'!F:F,E186,
'YearB-AppDetails Current Date'!E:E,--F186,
'YearB-AppDetails Current Date'!Y:Y,"ENRO",
'YearB-AppDetails Current Date'!I:I,"FALL")),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HC'!D:T,12,FALSE)),
N(VLOOKUP(D187&amp;F187,'Budgeted Projections Intl HC'!D:T,13,FALSE))
)
),"")</f>
        <v/>
      </c>
      <c r="I187" s="73" t="str">
        <f>IFERROR(1/(1/COUNTIFS(
'YearB-AppDetails Current Date'!A:A,D187,
'YearB-AppDetails Current Date'!F:F,E187,
'YearB-AppDetails Current Date'!E:E,--F187,
'YearB-AppDetails Current Date'!I:I,"FALL")), "")</f>
        <v/>
      </c>
      <c r="J187" s="74" t="str" cm="1">
        <f t="array" ref="J187">IFERROR(1/(1/SUM(COUNTIFS(
'YearB-AppDetails Current Date'!A:A,D187,
'YearB-AppDetails Current Date'!F:F,E187,
'YearB-AppDetails Current Date'!E:E,--F187,
'YearB-AppDetails Current Date'!O:O,{"ACLN","ACPT","COND"},
'YearB-AppDetails Current Date'!S:S,"&lt;&gt;ACLN",
'YearB-AppDetails Current Date'!S:S,"&lt;&gt;ACPT",
'YearB-AppDetails Current Date'!S:S,"&lt;&gt;COND",
'YearB-AppDetails Current Date'!I:I,"FALL"))), "")</f>
        <v/>
      </c>
      <c r="K187" s="73" t="str">
        <f>IFERROR(1/(1/SUM(COUNTIFS(
'YearB-AppDetails Current Date'!A:A,D187,
'YearB-AppDetails Current Date'!F:F,E187,
'YearB-AppDetails Current Date'!E:E,--F187,
'YearB-AppDetails Current Date'!R:R,"&lt;&gt;"&amp;"",
'YearB-AppDetails Current Date'!I:I,"FALL"))), "")</f>
        <v/>
      </c>
      <c r="L187" s="74" t="str" cm="1">
        <f t="array" ref="L187">IFERROR(1/(1/SUM(COUNTIFS(
'YearB-AppDetails Current Date'!A:A,D187,
'YearB-AppDetails Current Date'!F:F,E187,
'YearB-AppDetails Current Date'!E:E,--F187,
'YearB-AppDetails Current Date'!T:T,{"APEX","DENY","NTSL"},
'YearB-AppDetails Current Date'!I:I,"FALL"))), "")</f>
        <v/>
      </c>
      <c r="M187" s="74" t="str" cm="1">
        <f t="array" ref="M187">IFERROR(1/(1/SUM(COUNTIFS(
'YearB-AppDetails Current Date'!A:A,D187,
'YearB-AppDetails Current Date'!F:F,E187,
'YearB-AppDetails Current Date'!E:E,--F187,
'YearB-AppDetails Current Date'!U:U,{"CCAN","DECL"},
'YearB-AppDetails Current Date'!I:I,"FALL"))), "")</f>
        <v/>
      </c>
      <c r="N187" s="74" t="str" cm="1">
        <f t="array" ref="N187">IFERROR(1/(1/SUM(COUNTIFS(
'YearB-AppDetails Current Date'!A:A,D187,
'YearB-AppDetails Current Date'!F:F,E187,
'YearB-AppDetails Current Date'!E:E,--F187,
'YearB-AppDetails Current Date'!V:V,{"APRO","NODE"},
'YearB-AppDetails Current Date'!I:I,"FALL"))), "")</f>
        <v/>
      </c>
      <c r="O187" s="74" t="str" cm="1">
        <f t="array" ref="O187">IFERROR(1/(1/SUM(COUNTIFS(
'YearB-AppDetails Current Date'!A:A,D187,
'YearB-AppDetails Current Date'!F:F,E187,
'YearB-AppDetails Current Date'!E:E,--F187,
'YearB-AppDetails Current Date'!T:T,{"CDMT","RQMT","WAIT"},
'YearB-AppDetails Current Date'!I:I,"FALL"))), "")</f>
        <v/>
      </c>
      <c r="P187" s="74" t="str">
        <f>IFERROR(1/(1/COUNTIFS(
'YearB-AppDetails Current Date'!A:A,D187,
'YearB-AppDetails Current Date'!F:F,E187,
'YearB-AppDetails Current Date'!E:E,--F187,
'YearB-AppDetails Current Date'!Y:Y,"ENRO",
'YearB-AppDetails Current Date'!I:I,"FALL")),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HC'!D:T,12,FALSE)),
N(VLOOKUP(D188&amp;F188,'Budgeted Projections Dom HC'!D:T,13,FALSE))
)
),"")</f>
        <v/>
      </c>
      <c r="I188" s="73" t="str">
        <f>IFERROR(1/(1/COUNTIFS(
'YearB-AppDetails Current Date'!A:A,D188,
'YearB-AppDetails Current Date'!F:F,E188,
'YearB-AppDetails Current Date'!E:E,--F188,
'YearB-AppDetails Current Date'!I:I,"FALL")), "")</f>
        <v/>
      </c>
      <c r="J188" s="74" t="str" cm="1">
        <f t="array" ref="J188">IFERROR(1/(1/SUM(COUNTIFS(
'YearB-AppDetails Current Date'!A:A,D188,
'YearB-AppDetails Current Date'!F:F,E188,
'YearB-AppDetails Current Date'!E:E,--F188,
'YearB-AppDetails Current Date'!O:O,{"ACLN","ACPT","COND"},
'YearB-AppDetails Current Date'!S:S,"&lt;&gt;ACLN",
'YearB-AppDetails Current Date'!S:S,"&lt;&gt;ACPT",
'YearB-AppDetails Current Date'!S:S,"&lt;&gt;COND",
'YearB-AppDetails Current Date'!I:I,"FALL"))), "")</f>
        <v/>
      </c>
      <c r="K188" s="73" t="str">
        <f>IFERROR(1/(1/SUM(COUNTIFS(
'YearB-AppDetails Current Date'!A:A,D188,
'YearB-AppDetails Current Date'!F:F,E188,
'YearB-AppDetails Current Date'!E:E,--F188,
'YearB-AppDetails Current Date'!R:R,"&lt;&gt;"&amp;"",
'YearB-AppDetails Current Date'!I:I,"FALL"))), "")</f>
        <v/>
      </c>
      <c r="L188" s="74" t="str" cm="1">
        <f t="array" ref="L188">IFERROR(1/(1/SUM(COUNTIFS(
'YearB-AppDetails Current Date'!A:A,D188,
'YearB-AppDetails Current Date'!F:F,E188,
'YearB-AppDetails Current Date'!E:E,--F188,
'YearB-AppDetails Current Date'!T:T,{"APEX","DENY","NTSL"},
'YearB-AppDetails Current Date'!I:I,"FALL"))), "")</f>
        <v/>
      </c>
      <c r="M188" s="74" t="str" cm="1">
        <f t="array" ref="M188">IFERROR(1/(1/SUM(COUNTIFS(
'YearB-AppDetails Current Date'!A:A,D188,
'YearB-AppDetails Current Date'!F:F,E188,
'YearB-AppDetails Current Date'!E:E,--F188,
'YearB-AppDetails Current Date'!U:U,{"CCAN","DECL"},
'YearB-AppDetails Current Date'!I:I,"FALL"))), "")</f>
        <v/>
      </c>
      <c r="N188" s="74" t="str" cm="1">
        <f t="array" ref="N188">IFERROR(1/(1/SUM(COUNTIFS(
'YearB-AppDetails Current Date'!A:A,D188,
'YearB-AppDetails Current Date'!F:F,E188,
'YearB-AppDetails Current Date'!E:E,--F188,
'YearB-AppDetails Current Date'!V:V,{"APRO","NODE"},
'YearB-AppDetails Current Date'!I:I,"FALL"))), "")</f>
        <v/>
      </c>
      <c r="O188" s="74" t="str" cm="1">
        <f t="array" ref="O188">IFERROR(1/(1/SUM(COUNTIFS(
'YearB-AppDetails Current Date'!A:A,D188,
'YearB-AppDetails Current Date'!F:F,E188,
'YearB-AppDetails Current Date'!E:E,--F188,
'YearB-AppDetails Current Date'!T:T,{"CDMT","RQMT","WAIT"},
'YearB-AppDetails Current Date'!I:I,"FALL"))), "")</f>
        <v/>
      </c>
      <c r="P188" s="74" t="str">
        <f>IFERROR(1/(1/COUNTIFS(
'YearB-AppDetails Current Date'!A:A,D188,
'YearB-AppDetails Current Date'!F:F,E188,
'YearB-AppDetails Current Date'!E:E,--F188,
'YearB-AppDetails Current Date'!Y:Y,"ENRO",
'YearB-AppDetails Current Date'!I:I,"FALL")),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HC'!D:T,12,FALSE)),
N(VLOOKUP(D189&amp;F189,'Budgeted Projections Intl HC'!D:T,13,FALSE))
)
),"")</f>
        <v/>
      </c>
      <c r="I189" s="73" t="str">
        <f>IFERROR(1/(1/COUNTIFS(
'YearB-AppDetails Current Date'!A:A,D189,
'YearB-AppDetails Current Date'!F:F,E189,
'YearB-AppDetails Current Date'!E:E,--F189,
'YearB-AppDetails Current Date'!I:I,"FALL")), "")</f>
        <v/>
      </c>
      <c r="J189" s="74" t="str" cm="1">
        <f t="array" ref="J189">IFERROR(1/(1/SUM(COUNTIFS(
'YearB-AppDetails Current Date'!A:A,D189,
'YearB-AppDetails Current Date'!F:F,E189,
'YearB-AppDetails Current Date'!E:E,--F189,
'YearB-AppDetails Current Date'!O:O,{"ACLN","ACPT","COND"},
'YearB-AppDetails Current Date'!S:S,"&lt;&gt;ACLN",
'YearB-AppDetails Current Date'!S:S,"&lt;&gt;ACPT",
'YearB-AppDetails Current Date'!S:S,"&lt;&gt;COND",
'YearB-AppDetails Current Date'!I:I,"FALL"))), "")</f>
        <v/>
      </c>
      <c r="K189" s="73" t="str">
        <f>IFERROR(1/(1/SUM(COUNTIFS(
'YearB-AppDetails Current Date'!A:A,D189,
'YearB-AppDetails Current Date'!F:F,E189,
'YearB-AppDetails Current Date'!E:E,--F189,
'YearB-AppDetails Current Date'!R:R,"&lt;&gt;"&amp;"",
'YearB-AppDetails Current Date'!I:I,"FALL"))), "")</f>
        <v/>
      </c>
      <c r="L189" s="74" t="str" cm="1">
        <f t="array" ref="L189">IFERROR(1/(1/SUM(COUNTIFS(
'YearB-AppDetails Current Date'!A:A,D189,
'YearB-AppDetails Current Date'!F:F,E189,
'YearB-AppDetails Current Date'!E:E,--F189,
'YearB-AppDetails Current Date'!T:T,{"APEX","DENY","NTSL"},
'YearB-AppDetails Current Date'!I:I,"FALL"))), "")</f>
        <v/>
      </c>
      <c r="M189" s="74" t="str" cm="1">
        <f t="array" ref="M189">IFERROR(1/(1/SUM(COUNTIFS(
'YearB-AppDetails Current Date'!A:A,D189,
'YearB-AppDetails Current Date'!F:F,E189,
'YearB-AppDetails Current Date'!E:E,--F189,
'YearB-AppDetails Current Date'!U:U,{"CCAN","DECL"},
'YearB-AppDetails Current Date'!I:I,"FALL"))), "")</f>
        <v/>
      </c>
      <c r="N189" s="74" t="str" cm="1">
        <f t="array" ref="N189">IFERROR(1/(1/SUM(COUNTIFS(
'YearB-AppDetails Current Date'!A:A,D189,
'YearB-AppDetails Current Date'!F:F,E189,
'YearB-AppDetails Current Date'!E:E,--F189,
'YearB-AppDetails Current Date'!V:V,{"APRO","NODE"},
'YearB-AppDetails Current Date'!I:I,"FALL"))), "")</f>
        <v/>
      </c>
      <c r="O189" s="74" t="str" cm="1">
        <f t="array" ref="O189">IFERROR(1/(1/SUM(COUNTIFS(
'YearB-AppDetails Current Date'!A:A,D189,
'YearB-AppDetails Current Date'!F:F,E189,
'YearB-AppDetails Current Date'!E:E,--F189,
'YearB-AppDetails Current Date'!T:T,{"CDMT","RQMT","WAIT"},
'YearB-AppDetails Current Date'!I:I,"FALL"))), "")</f>
        <v/>
      </c>
      <c r="P189" s="74" t="str">
        <f>IFERROR(1/(1/COUNTIFS(
'YearB-AppDetails Current Date'!A:A,D189,
'YearB-AppDetails Current Date'!F:F,E189,
'YearB-AppDetails Current Date'!E:E,--F189,
'YearB-AppDetails Current Date'!Y:Y,"ENRO",
'YearB-AppDetails Current Date'!I:I,"FALL")),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HC'!D:T,12,FALSE)),
N(VLOOKUP(D190&amp;F190,'Budgeted Projections Dom HC'!D:T,13,FALSE))
)
),"")</f>
        <v/>
      </c>
      <c r="I190" s="73" t="str">
        <f>IFERROR(1/(1/COUNTIFS(
'YearB-AppDetails Current Date'!A:A,D190,
'YearB-AppDetails Current Date'!F:F,E190,
'YearB-AppDetails Current Date'!E:E,--F190,
'YearB-AppDetails Current Date'!I:I,"FALL")), "")</f>
        <v/>
      </c>
      <c r="J190" s="74" t="str" cm="1">
        <f t="array" ref="J190">IFERROR(1/(1/SUM(COUNTIFS(
'YearB-AppDetails Current Date'!A:A,D190,
'YearB-AppDetails Current Date'!F:F,E190,
'YearB-AppDetails Current Date'!E:E,--F190,
'YearB-AppDetails Current Date'!O:O,{"ACLN","ACPT","COND"},
'YearB-AppDetails Current Date'!S:S,"&lt;&gt;ACLN",
'YearB-AppDetails Current Date'!S:S,"&lt;&gt;ACPT",
'YearB-AppDetails Current Date'!S:S,"&lt;&gt;COND",
'YearB-AppDetails Current Date'!I:I,"FALL"))), "")</f>
        <v/>
      </c>
      <c r="K190" s="73" t="str">
        <f>IFERROR(1/(1/SUM(COUNTIFS(
'YearB-AppDetails Current Date'!A:A,D190,
'YearB-AppDetails Current Date'!F:F,E190,
'YearB-AppDetails Current Date'!E:E,--F190,
'YearB-AppDetails Current Date'!R:R,"&lt;&gt;"&amp;"",
'YearB-AppDetails Current Date'!I:I,"FALL"))), "")</f>
        <v/>
      </c>
      <c r="L190" s="74" t="str" cm="1">
        <f t="array" ref="L190">IFERROR(1/(1/SUM(COUNTIFS(
'YearB-AppDetails Current Date'!A:A,D190,
'YearB-AppDetails Current Date'!F:F,E190,
'YearB-AppDetails Current Date'!E:E,--F190,
'YearB-AppDetails Current Date'!T:T,{"APEX","DENY","NTSL"},
'YearB-AppDetails Current Date'!I:I,"FALL"))), "")</f>
        <v/>
      </c>
      <c r="M190" s="74" t="str" cm="1">
        <f t="array" ref="M190">IFERROR(1/(1/SUM(COUNTIFS(
'YearB-AppDetails Current Date'!A:A,D190,
'YearB-AppDetails Current Date'!F:F,E190,
'YearB-AppDetails Current Date'!E:E,--F190,
'YearB-AppDetails Current Date'!U:U,{"CCAN","DECL"},
'YearB-AppDetails Current Date'!I:I,"FALL"))), "")</f>
        <v/>
      </c>
      <c r="N190" s="74" t="str" cm="1">
        <f t="array" ref="N190">IFERROR(1/(1/SUM(COUNTIFS(
'YearB-AppDetails Current Date'!A:A,D190,
'YearB-AppDetails Current Date'!F:F,E190,
'YearB-AppDetails Current Date'!E:E,--F190,
'YearB-AppDetails Current Date'!V:V,{"APRO","NODE"},
'YearB-AppDetails Current Date'!I:I,"FALL"))), "")</f>
        <v/>
      </c>
      <c r="O190" s="74" t="str" cm="1">
        <f t="array" ref="O190">IFERROR(1/(1/SUM(COUNTIFS(
'YearB-AppDetails Current Date'!A:A,D190,
'YearB-AppDetails Current Date'!F:F,E190,
'YearB-AppDetails Current Date'!E:E,--F190,
'YearB-AppDetails Current Date'!T:T,{"CDMT","RQMT","WAIT"},
'YearB-AppDetails Current Date'!I:I,"FALL"))), "")</f>
        <v/>
      </c>
      <c r="P190" s="74" t="str">
        <f>IFERROR(1/(1/COUNTIFS(
'YearB-AppDetails Current Date'!A:A,D190,
'YearB-AppDetails Current Date'!F:F,E190,
'YearB-AppDetails Current Date'!E:E,--F190,
'YearB-AppDetails Current Date'!Y:Y,"ENRO",
'YearB-AppDetails Current Date'!I:I,"FALL")),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HC'!D:T,12,FALSE)),
N(VLOOKUP(D191&amp;F191,'Budgeted Projections Intl HC'!D:T,13,FALSE))
)
),"")</f>
        <v/>
      </c>
      <c r="I191" s="73" t="str">
        <f>IFERROR(1/(1/COUNTIFS(
'YearB-AppDetails Current Date'!A:A,D191,
'YearB-AppDetails Current Date'!F:F,E191,
'YearB-AppDetails Current Date'!E:E,--F191,
'YearB-AppDetails Current Date'!I:I,"FALL")), "")</f>
        <v/>
      </c>
      <c r="J191" s="74" t="str" cm="1">
        <f t="array" ref="J191">IFERROR(1/(1/SUM(COUNTIFS(
'YearB-AppDetails Current Date'!A:A,D191,
'YearB-AppDetails Current Date'!F:F,E191,
'YearB-AppDetails Current Date'!E:E,--F191,
'YearB-AppDetails Current Date'!O:O,{"ACLN","ACPT","COND"},
'YearB-AppDetails Current Date'!S:S,"&lt;&gt;ACLN",
'YearB-AppDetails Current Date'!S:S,"&lt;&gt;ACPT",
'YearB-AppDetails Current Date'!S:S,"&lt;&gt;COND",
'YearB-AppDetails Current Date'!I:I,"FALL"))), "")</f>
        <v/>
      </c>
      <c r="K191" s="73" t="str">
        <f>IFERROR(1/(1/SUM(COUNTIFS(
'YearB-AppDetails Current Date'!A:A,D191,
'YearB-AppDetails Current Date'!F:F,E191,
'YearB-AppDetails Current Date'!E:E,--F191,
'YearB-AppDetails Current Date'!R:R,"&lt;&gt;"&amp;"",
'YearB-AppDetails Current Date'!I:I,"FALL"))), "")</f>
        <v/>
      </c>
      <c r="L191" s="74" t="str" cm="1">
        <f t="array" ref="L191">IFERROR(1/(1/SUM(COUNTIFS(
'YearB-AppDetails Current Date'!A:A,D191,
'YearB-AppDetails Current Date'!F:F,E191,
'YearB-AppDetails Current Date'!E:E,--F191,
'YearB-AppDetails Current Date'!T:T,{"APEX","DENY","NTSL"},
'YearB-AppDetails Current Date'!I:I,"FALL"))), "")</f>
        <v/>
      </c>
      <c r="M191" s="74" t="str" cm="1">
        <f t="array" ref="M191">IFERROR(1/(1/SUM(COUNTIFS(
'YearB-AppDetails Current Date'!A:A,D191,
'YearB-AppDetails Current Date'!F:F,E191,
'YearB-AppDetails Current Date'!E:E,--F191,
'YearB-AppDetails Current Date'!U:U,{"CCAN","DECL"},
'YearB-AppDetails Current Date'!I:I,"FALL"))), "")</f>
        <v/>
      </c>
      <c r="N191" s="74" t="str" cm="1">
        <f t="array" ref="N191">IFERROR(1/(1/SUM(COUNTIFS(
'YearB-AppDetails Current Date'!A:A,D191,
'YearB-AppDetails Current Date'!F:F,E191,
'YearB-AppDetails Current Date'!E:E,--F191,
'YearB-AppDetails Current Date'!V:V,{"APRO","NODE"},
'YearB-AppDetails Current Date'!I:I,"FALL"))), "")</f>
        <v/>
      </c>
      <c r="O191" s="74" t="str" cm="1">
        <f t="array" ref="O191">IFERROR(1/(1/SUM(COUNTIFS(
'YearB-AppDetails Current Date'!A:A,D191,
'YearB-AppDetails Current Date'!F:F,E191,
'YearB-AppDetails Current Date'!E:E,--F191,
'YearB-AppDetails Current Date'!T:T,{"CDMT","RQMT","WAIT"},
'YearB-AppDetails Current Date'!I:I,"FALL"))), "")</f>
        <v/>
      </c>
      <c r="P191" s="74" t="str">
        <f>IFERROR(1/(1/COUNTIFS(
'YearB-AppDetails Current Date'!A:A,D191,
'YearB-AppDetails Current Date'!F:F,E191,
'YearB-AppDetails Current Date'!E:E,--F191,
'YearB-AppDetails Current Date'!Y:Y,"ENRO",
'YearB-AppDetails Current Date'!I:I,"FALL")),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HC'!D:T,12,FALSE)),
N(VLOOKUP(D192&amp;F192,'Budgeted Projections Dom HC'!D:T,13,FALSE))
)
),"")</f>
        <v/>
      </c>
      <c r="I192" s="73" t="str">
        <f>IFERROR(1/(1/COUNTIFS(
'YearB-AppDetails Current Date'!A:A,D192,
'YearB-AppDetails Current Date'!F:F,E192,
'YearB-AppDetails Current Date'!E:E,--F192,
'YearB-AppDetails Current Date'!I:I,"FALL")), "")</f>
        <v/>
      </c>
      <c r="J192" s="74" t="str" cm="1">
        <f t="array" ref="J192">IFERROR(1/(1/SUM(COUNTIFS(
'YearB-AppDetails Current Date'!A:A,D192,
'YearB-AppDetails Current Date'!F:F,E192,
'YearB-AppDetails Current Date'!E:E,--F192,
'YearB-AppDetails Current Date'!O:O,{"ACLN","ACPT","COND"},
'YearB-AppDetails Current Date'!S:S,"&lt;&gt;ACLN",
'YearB-AppDetails Current Date'!S:S,"&lt;&gt;ACPT",
'YearB-AppDetails Current Date'!S:S,"&lt;&gt;COND",
'YearB-AppDetails Current Date'!I:I,"FALL"))), "")</f>
        <v/>
      </c>
      <c r="K192" s="73" t="str">
        <f>IFERROR(1/(1/SUM(COUNTIFS(
'YearB-AppDetails Current Date'!A:A,D192,
'YearB-AppDetails Current Date'!F:F,E192,
'YearB-AppDetails Current Date'!E:E,--F192,
'YearB-AppDetails Current Date'!R:R,"&lt;&gt;"&amp;"",
'YearB-AppDetails Current Date'!I:I,"FALL"))), "")</f>
        <v/>
      </c>
      <c r="L192" s="74" t="str" cm="1">
        <f t="array" ref="L192">IFERROR(1/(1/SUM(COUNTIFS(
'YearB-AppDetails Current Date'!A:A,D192,
'YearB-AppDetails Current Date'!F:F,E192,
'YearB-AppDetails Current Date'!E:E,--F192,
'YearB-AppDetails Current Date'!T:T,{"APEX","DENY","NTSL"},
'YearB-AppDetails Current Date'!I:I,"FALL"))), "")</f>
        <v/>
      </c>
      <c r="M192" s="74" t="str" cm="1">
        <f t="array" ref="M192">IFERROR(1/(1/SUM(COUNTIFS(
'YearB-AppDetails Current Date'!A:A,D192,
'YearB-AppDetails Current Date'!F:F,E192,
'YearB-AppDetails Current Date'!E:E,--F192,
'YearB-AppDetails Current Date'!U:U,{"CCAN","DECL"},
'YearB-AppDetails Current Date'!I:I,"FALL"))), "")</f>
        <v/>
      </c>
      <c r="N192" s="74" t="str" cm="1">
        <f t="array" ref="N192">IFERROR(1/(1/SUM(COUNTIFS(
'YearB-AppDetails Current Date'!A:A,D192,
'YearB-AppDetails Current Date'!F:F,E192,
'YearB-AppDetails Current Date'!E:E,--F192,
'YearB-AppDetails Current Date'!V:V,{"APRO","NODE"},
'YearB-AppDetails Current Date'!I:I,"FALL"))), "")</f>
        <v/>
      </c>
      <c r="O192" s="74" t="str" cm="1">
        <f t="array" ref="O192">IFERROR(1/(1/SUM(COUNTIFS(
'YearB-AppDetails Current Date'!A:A,D192,
'YearB-AppDetails Current Date'!F:F,E192,
'YearB-AppDetails Current Date'!E:E,--F192,
'YearB-AppDetails Current Date'!T:T,{"CDMT","RQMT","WAIT"},
'YearB-AppDetails Current Date'!I:I,"FALL"))), "")</f>
        <v/>
      </c>
      <c r="P192" s="74" t="str">
        <f>IFERROR(1/(1/COUNTIFS(
'YearB-AppDetails Current Date'!A:A,D192,
'YearB-AppDetails Current Date'!F:F,E192,
'YearB-AppDetails Current Date'!E:E,--F192,
'YearB-AppDetails Current Date'!Y:Y,"ENRO",
'YearB-AppDetails Current Date'!I:I,"FALL")),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HC'!D:T,12,FALSE)),
N(VLOOKUP(D193&amp;F193,'Budgeted Projections Intl HC'!D:T,13,FALSE))
)
),"")</f>
        <v/>
      </c>
      <c r="I193" s="73" t="str">
        <f>IFERROR(1/(1/COUNTIFS(
'YearB-AppDetails Current Date'!A:A,D193,
'YearB-AppDetails Current Date'!F:F,E193,
'YearB-AppDetails Current Date'!E:E,--F193,
'YearB-AppDetails Current Date'!I:I,"FALL")), "")</f>
        <v/>
      </c>
      <c r="J193" s="74" t="str" cm="1">
        <f t="array" ref="J193">IFERROR(1/(1/SUM(COUNTIFS(
'YearB-AppDetails Current Date'!A:A,D193,
'YearB-AppDetails Current Date'!F:F,E193,
'YearB-AppDetails Current Date'!E:E,--F193,
'YearB-AppDetails Current Date'!O:O,{"ACLN","ACPT","COND"},
'YearB-AppDetails Current Date'!S:S,"&lt;&gt;ACLN",
'YearB-AppDetails Current Date'!S:S,"&lt;&gt;ACPT",
'YearB-AppDetails Current Date'!S:S,"&lt;&gt;COND",
'YearB-AppDetails Current Date'!I:I,"FALL"))), "")</f>
        <v/>
      </c>
      <c r="K193" s="73" t="str">
        <f>IFERROR(1/(1/SUM(COUNTIFS(
'YearB-AppDetails Current Date'!A:A,D193,
'YearB-AppDetails Current Date'!F:F,E193,
'YearB-AppDetails Current Date'!E:E,--F193,
'YearB-AppDetails Current Date'!R:R,"&lt;&gt;"&amp;"",
'YearB-AppDetails Current Date'!I:I,"FALL"))), "")</f>
        <v/>
      </c>
      <c r="L193" s="74" t="str" cm="1">
        <f t="array" ref="L193">IFERROR(1/(1/SUM(COUNTIFS(
'YearB-AppDetails Current Date'!A:A,D193,
'YearB-AppDetails Current Date'!F:F,E193,
'YearB-AppDetails Current Date'!E:E,--F193,
'YearB-AppDetails Current Date'!T:T,{"APEX","DENY","NTSL"},
'YearB-AppDetails Current Date'!I:I,"FALL"))), "")</f>
        <v/>
      </c>
      <c r="M193" s="74" t="str" cm="1">
        <f t="array" ref="M193">IFERROR(1/(1/SUM(COUNTIFS(
'YearB-AppDetails Current Date'!A:A,D193,
'YearB-AppDetails Current Date'!F:F,E193,
'YearB-AppDetails Current Date'!E:E,--F193,
'YearB-AppDetails Current Date'!U:U,{"CCAN","DECL"},
'YearB-AppDetails Current Date'!I:I,"FALL"))), "")</f>
        <v/>
      </c>
      <c r="N193" s="74" t="str" cm="1">
        <f t="array" ref="N193">IFERROR(1/(1/SUM(COUNTIFS(
'YearB-AppDetails Current Date'!A:A,D193,
'YearB-AppDetails Current Date'!F:F,E193,
'YearB-AppDetails Current Date'!E:E,--F193,
'YearB-AppDetails Current Date'!V:V,{"APRO","NODE"},
'YearB-AppDetails Current Date'!I:I,"FALL"))), "")</f>
        <v/>
      </c>
      <c r="O193" s="74" t="str" cm="1">
        <f t="array" ref="O193">IFERROR(1/(1/SUM(COUNTIFS(
'YearB-AppDetails Current Date'!A:A,D193,
'YearB-AppDetails Current Date'!F:F,E193,
'YearB-AppDetails Current Date'!E:E,--F193,
'YearB-AppDetails Current Date'!T:T,{"CDMT","RQMT","WAIT"},
'YearB-AppDetails Current Date'!I:I,"FALL"))), "")</f>
        <v/>
      </c>
      <c r="P193" s="74" t="str">
        <f>IFERROR(1/(1/COUNTIFS(
'YearB-AppDetails Current Date'!A:A,D193,
'YearB-AppDetails Current Date'!F:F,E193,
'YearB-AppDetails Current Date'!E:E,--F193,
'YearB-AppDetails Current Date'!Y:Y,"ENRO",
'YearB-AppDetails Current Date'!I:I,"FALL")),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HC'!D:T,12,FALSE)),
N(VLOOKUP(D195&amp;F195,'Budgeted Projections Dom HC'!D:T,13,FALSE))
)
),"")</f>
        <v/>
      </c>
      <c r="I195" s="73" t="str">
        <f>IFERROR(1/(1/COUNTIFS(
'YearB-AppDetails Current Date'!A:A,D195,
'YearB-AppDetails Current Date'!F:F,E195,
'YearB-AppDetails Current Date'!E:E,--F195,
'YearB-AppDetails Current Date'!I:I,"FALL")), "")</f>
        <v/>
      </c>
      <c r="J195" s="74" t="str" cm="1">
        <f t="array" ref="J195">IFERROR(1/(1/SUM(COUNTIFS(
'YearB-AppDetails Current Date'!A:A,D195,
'YearB-AppDetails Current Date'!F:F,E195,
'YearB-AppDetails Current Date'!E:E,--F195,
'YearB-AppDetails Current Date'!O:O,{"ACLN","ACPT","COND"},
'YearB-AppDetails Current Date'!S:S,"&lt;&gt;ACLN",
'YearB-AppDetails Current Date'!S:S,"&lt;&gt;ACPT",
'YearB-AppDetails Current Date'!S:S,"&lt;&gt;COND",
'YearB-AppDetails Current Date'!I:I,"FALL"))), "")</f>
        <v/>
      </c>
      <c r="K195" s="73" t="str">
        <f>IFERROR(1/(1/SUM(COUNTIFS(
'YearB-AppDetails Current Date'!A:A,D195,
'YearB-AppDetails Current Date'!F:F,E195,
'YearB-AppDetails Current Date'!E:E,--F195,
'YearB-AppDetails Current Date'!R:R,"&lt;&gt;"&amp;"",
'YearB-AppDetails Current Date'!I:I,"FALL"))), "")</f>
        <v/>
      </c>
      <c r="L195" s="74" t="str" cm="1">
        <f t="array" ref="L195">IFERROR(1/(1/SUM(COUNTIFS(
'YearB-AppDetails Current Date'!A:A,D195,
'YearB-AppDetails Current Date'!F:F,E195,
'YearB-AppDetails Current Date'!E:E,--F195,
'YearB-AppDetails Current Date'!T:T,{"APEX","DENY","NTSL"},
'YearB-AppDetails Current Date'!I:I,"FALL"))), "")</f>
        <v/>
      </c>
      <c r="M195" s="74" t="str" cm="1">
        <f t="array" ref="M195">IFERROR(1/(1/SUM(COUNTIFS(
'YearB-AppDetails Current Date'!A:A,D195,
'YearB-AppDetails Current Date'!F:F,E195,
'YearB-AppDetails Current Date'!E:E,--F195,
'YearB-AppDetails Current Date'!U:U,{"CCAN","DECL"},
'YearB-AppDetails Current Date'!I:I,"FALL"))), "")</f>
        <v/>
      </c>
      <c r="N195" s="74" t="str" cm="1">
        <f t="array" ref="N195">IFERROR(1/(1/SUM(COUNTIFS(
'YearB-AppDetails Current Date'!A:A,D195,
'YearB-AppDetails Current Date'!F:F,E195,
'YearB-AppDetails Current Date'!E:E,--F195,
'YearB-AppDetails Current Date'!V:V,{"APRO","NODE"},
'YearB-AppDetails Current Date'!I:I,"FALL"))), "")</f>
        <v/>
      </c>
      <c r="O195" s="74" t="str" cm="1">
        <f t="array" ref="O195">IFERROR(1/(1/SUM(COUNTIFS(
'YearB-AppDetails Current Date'!A:A,D195,
'YearB-AppDetails Current Date'!F:F,E195,
'YearB-AppDetails Current Date'!E:E,--F195,
'YearB-AppDetails Current Date'!T:T,{"CDMT","RQMT","WAIT"},
'YearB-AppDetails Current Date'!I:I,"FALL"))), "")</f>
        <v/>
      </c>
      <c r="P195" s="74" t="str">
        <f>IFERROR(1/(1/COUNTIFS(
'YearB-AppDetails Current Date'!A:A,D195,
'YearB-AppDetails Current Date'!F:F,E195,
'YearB-AppDetails Current Date'!E:E,--F195,
'YearB-AppDetails Current Date'!Y:Y,"ENRO",
'YearB-AppDetails Current Date'!I:I,"FALL")),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HC'!D:T,12,FALSE)),
N(VLOOKUP(D196&amp;F196,'Budgeted Projections Intl HC'!D:T,13,FALSE))
)
),"")</f>
        <v/>
      </c>
      <c r="I196" s="73" t="str">
        <f>IFERROR(1/(1/COUNTIFS(
'YearB-AppDetails Current Date'!A:A,D196,
'YearB-AppDetails Current Date'!F:F,E196,
'YearB-AppDetails Current Date'!E:E,--F196,
'YearB-AppDetails Current Date'!I:I,"FALL")), "")</f>
        <v/>
      </c>
      <c r="J196" s="74" t="str" cm="1">
        <f t="array" ref="J196">IFERROR(1/(1/SUM(COUNTIFS(
'YearB-AppDetails Current Date'!A:A,D196,
'YearB-AppDetails Current Date'!F:F,E196,
'YearB-AppDetails Current Date'!E:E,--F196,
'YearB-AppDetails Current Date'!O:O,{"ACLN","ACPT","COND"},
'YearB-AppDetails Current Date'!S:S,"&lt;&gt;ACLN",
'YearB-AppDetails Current Date'!S:S,"&lt;&gt;ACPT",
'YearB-AppDetails Current Date'!S:S,"&lt;&gt;COND",
'YearB-AppDetails Current Date'!I:I,"FALL"))), "")</f>
        <v/>
      </c>
      <c r="K196" s="73" t="str">
        <f>IFERROR(1/(1/SUM(COUNTIFS(
'YearB-AppDetails Current Date'!A:A,D196,
'YearB-AppDetails Current Date'!F:F,E196,
'YearB-AppDetails Current Date'!E:E,--F196,
'YearB-AppDetails Current Date'!R:R,"&lt;&gt;"&amp;"",
'YearB-AppDetails Current Date'!I:I,"FALL"))), "")</f>
        <v/>
      </c>
      <c r="L196" s="74" t="str" cm="1">
        <f t="array" ref="L196">IFERROR(1/(1/SUM(COUNTIFS(
'YearB-AppDetails Current Date'!A:A,D196,
'YearB-AppDetails Current Date'!F:F,E196,
'YearB-AppDetails Current Date'!E:E,--F196,
'YearB-AppDetails Current Date'!T:T,{"APEX","DENY","NTSL"},
'YearB-AppDetails Current Date'!I:I,"FALL"))), "")</f>
        <v/>
      </c>
      <c r="M196" s="74" t="str" cm="1">
        <f t="array" ref="M196">IFERROR(1/(1/SUM(COUNTIFS(
'YearB-AppDetails Current Date'!A:A,D196,
'YearB-AppDetails Current Date'!F:F,E196,
'YearB-AppDetails Current Date'!E:E,--F196,
'YearB-AppDetails Current Date'!U:U,{"CCAN","DECL"},
'YearB-AppDetails Current Date'!I:I,"FALL"))), "")</f>
        <v/>
      </c>
      <c r="N196" s="74" t="str" cm="1">
        <f t="array" ref="N196">IFERROR(1/(1/SUM(COUNTIFS(
'YearB-AppDetails Current Date'!A:A,D196,
'YearB-AppDetails Current Date'!F:F,E196,
'YearB-AppDetails Current Date'!E:E,--F196,
'YearB-AppDetails Current Date'!V:V,{"APRO","NODE"},
'YearB-AppDetails Current Date'!I:I,"FALL"))), "")</f>
        <v/>
      </c>
      <c r="O196" s="74" t="str" cm="1">
        <f t="array" ref="O196">IFERROR(1/(1/SUM(COUNTIFS(
'YearB-AppDetails Current Date'!A:A,D196,
'YearB-AppDetails Current Date'!F:F,E196,
'YearB-AppDetails Current Date'!E:E,--F196,
'YearB-AppDetails Current Date'!T:T,{"CDMT","RQMT","WAIT"},
'YearB-AppDetails Current Date'!I:I,"FALL"))), "")</f>
        <v/>
      </c>
      <c r="P196" s="74" t="str">
        <f>IFERROR(1/(1/COUNTIFS(
'YearB-AppDetails Current Date'!A:A,D196,
'YearB-AppDetails Current Date'!F:F,E196,
'YearB-AppDetails Current Date'!E:E,--F196,
'YearB-AppDetails Current Date'!Y:Y,"ENRO",
'YearB-AppDetails Current Date'!I:I,"FALL")),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HC'!D:T,10,FALSE)),
N(VLOOKUP(D199&amp;F199,'Budgeted Projections Dom HC'!D:T,11,FALSE))
)/4)
),"")</f>
        <v/>
      </c>
      <c r="I199" s="73" t="str">
        <f>IFERROR(1/(1/COUNTIFS(
'YearB-AppDetails Current Date'!A:A,D199,
'YearB-AppDetails Current Date'!F:F,E199,
'YearB-AppDetails Current Date'!E:E,--F199,
'YearB-AppDetails Current Date'!I:I,"FALL")), "")</f>
        <v/>
      </c>
      <c r="J199" s="74" t="str" cm="1">
        <f t="array" ref="J199">IFERROR(1/(1/SUM(COUNTIFS(
'YearB-AppDetails Current Date'!A:A,D199,
'YearB-AppDetails Current Date'!F:F,E199,
'YearB-AppDetails Current Date'!E:E,--F199,
'YearB-AppDetails Current Date'!O:O,{"ACLN","ACPT","COND"},
'YearB-AppDetails Current Date'!S:S,"&lt;&gt;ACLN",
'YearB-AppDetails Current Date'!S:S,"&lt;&gt;ACPT",
'YearB-AppDetails Current Date'!S:S,"&lt;&gt;COND",
'YearB-AppDetails Current Date'!I:I,"FALL"))), "")</f>
        <v/>
      </c>
      <c r="K199" s="73" t="str">
        <f>IFERROR(1/(1/SUM(COUNTIFS(
'YearB-AppDetails Current Date'!A:A,D199,
'YearB-AppDetails Current Date'!F:F,E199,
'YearB-AppDetails Current Date'!E:E,--F199,
'YearB-AppDetails Current Date'!R:R,"&lt;&gt;"&amp;"",
'YearB-AppDetails Current Date'!I:I,"FALL"))), "")</f>
        <v/>
      </c>
      <c r="L199" s="74" t="str" cm="1">
        <f t="array" ref="L199">IFERROR(1/(1/SUM(COUNTIFS(
'YearB-AppDetails Current Date'!A:A,D199,
'YearB-AppDetails Current Date'!F:F,E199,
'YearB-AppDetails Current Date'!E:E,--F199,
'YearB-AppDetails Current Date'!T:T,{"APEX","DENY","NTSL"},
'YearB-AppDetails Current Date'!I:I,"FALL"))), "")</f>
        <v/>
      </c>
      <c r="M199" s="74" t="str" cm="1">
        <f t="array" ref="M199">IFERROR(1/(1/SUM(COUNTIFS(
'YearB-AppDetails Current Date'!A:A,D199,
'YearB-AppDetails Current Date'!F:F,E199,
'YearB-AppDetails Current Date'!E:E,--F199,
'YearB-AppDetails Current Date'!U:U,{"CCAN","DECL"},
'YearB-AppDetails Current Date'!I:I,"FALL"))), "")</f>
        <v/>
      </c>
      <c r="N199" s="74" t="str" cm="1">
        <f t="array" ref="N199">IFERROR(1/(1/SUM(COUNTIFS(
'YearB-AppDetails Current Date'!A:A,D199,
'YearB-AppDetails Current Date'!F:F,E199,
'YearB-AppDetails Current Date'!E:E,--F199,
'YearB-AppDetails Current Date'!V:V,{"APRO","NODE"},
'YearB-AppDetails Current Date'!I:I,"FALL"))), "")</f>
        <v/>
      </c>
      <c r="O199" s="74" t="str" cm="1">
        <f t="array" ref="O199">IFERROR(1/(1/SUM(COUNTIFS(
'YearB-AppDetails Current Date'!A:A,D199,
'YearB-AppDetails Current Date'!F:F,E199,
'YearB-AppDetails Current Date'!E:E,--F199,
'YearB-AppDetails Current Date'!T:T,{"CDMT","RQMT","WAIT"},
'YearB-AppDetails Current Date'!I:I,"FALL"))), "")</f>
        <v/>
      </c>
      <c r="P199" s="74" t="str">
        <f>IFERROR(1/(1/COUNTIFS(
'YearB-AppDetails Current Date'!A:A,D199,
'YearB-AppDetails Current Date'!F:F,E199,
'YearB-AppDetails Current Date'!E:E,--F199,
'YearB-AppDetails Current Date'!Y:Y,"ENRO",
'YearB-AppDetails Current Date'!I:I,"FALL")),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HC'!D:T,10,FALSE)),
N(VLOOKUP(D200&amp;F200,'Budgeted Projections Intl HC'!D:T,11,FALSE))
)/4)
),"")</f>
        <v/>
      </c>
      <c r="I200" s="73" t="str">
        <f>IFERROR(1/(1/COUNTIFS(
'YearB-AppDetails Current Date'!A:A,D200,
'YearB-AppDetails Current Date'!F:F,E200,
'YearB-AppDetails Current Date'!E:E,--F200,
'YearB-AppDetails Current Date'!I:I,"FALL")), "")</f>
        <v/>
      </c>
      <c r="J200" s="74" t="str" cm="1">
        <f t="array" ref="J200">IFERROR(1/(1/SUM(COUNTIFS(
'YearB-AppDetails Current Date'!A:A,D200,
'YearB-AppDetails Current Date'!F:F,E200,
'YearB-AppDetails Current Date'!E:E,--F200,
'YearB-AppDetails Current Date'!O:O,{"ACLN","ACPT","COND"},
'YearB-AppDetails Current Date'!S:S,"&lt;&gt;ACLN",
'YearB-AppDetails Current Date'!S:S,"&lt;&gt;ACPT",
'YearB-AppDetails Current Date'!S:S,"&lt;&gt;COND",
'YearB-AppDetails Current Date'!I:I,"FALL"))), "")</f>
        <v/>
      </c>
      <c r="K200" s="73" t="str">
        <f>IFERROR(1/(1/SUM(COUNTIFS(
'YearB-AppDetails Current Date'!A:A,D200,
'YearB-AppDetails Current Date'!F:F,E200,
'YearB-AppDetails Current Date'!E:E,--F200,
'YearB-AppDetails Current Date'!R:R,"&lt;&gt;"&amp;"",
'YearB-AppDetails Current Date'!I:I,"FALL"))), "")</f>
        <v/>
      </c>
      <c r="L200" s="74" t="str" cm="1">
        <f t="array" ref="L200">IFERROR(1/(1/SUM(COUNTIFS(
'YearB-AppDetails Current Date'!A:A,D200,
'YearB-AppDetails Current Date'!F:F,E200,
'YearB-AppDetails Current Date'!E:E,--F200,
'YearB-AppDetails Current Date'!T:T,{"APEX","DENY","NTSL"},
'YearB-AppDetails Current Date'!I:I,"FALL"))), "")</f>
        <v/>
      </c>
      <c r="M200" s="74" t="str" cm="1">
        <f t="array" ref="M200">IFERROR(1/(1/SUM(COUNTIFS(
'YearB-AppDetails Current Date'!A:A,D200,
'YearB-AppDetails Current Date'!F:F,E200,
'YearB-AppDetails Current Date'!E:E,--F200,
'YearB-AppDetails Current Date'!U:U,{"CCAN","DECL"},
'YearB-AppDetails Current Date'!I:I,"FALL"))), "")</f>
        <v/>
      </c>
      <c r="N200" s="74" t="str" cm="1">
        <f t="array" ref="N200">IFERROR(1/(1/SUM(COUNTIFS(
'YearB-AppDetails Current Date'!A:A,D200,
'YearB-AppDetails Current Date'!F:F,E200,
'YearB-AppDetails Current Date'!E:E,--F200,
'YearB-AppDetails Current Date'!V:V,{"APRO","NODE"},
'YearB-AppDetails Current Date'!I:I,"FALL"))), "")</f>
        <v/>
      </c>
      <c r="O200" s="74" t="str" cm="1">
        <f t="array" ref="O200">IFERROR(1/(1/SUM(COUNTIFS(
'YearB-AppDetails Current Date'!A:A,D200,
'YearB-AppDetails Current Date'!F:F,E200,
'YearB-AppDetails Current Date'!E:E,--F200,
'YearB-AppDetails Current Date'!T:T,{"CDMT","RQMT","WAIT"},
'YearB-AppDetails Current Date'!I:I,"FALL"))), "")</f>
        <v/>
      </c>
      <c r="P200" s="74" t="str">
        <f>IFERROR(1/(1/COUNTIFS(
'YearB-AppDetails Current Date'!A:A,D200,
'YearB-AppDetails Current Date'!F:F,E200,
'YearB-AppDetails Current Date'!E:E,--F200,
'YearB-AppDetails Current Date'!Y:Y,"ENRO",
'YearB-AppDetails Current Date'!I:I,"FALL")),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A3:A33"/>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B18:B28"/>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17" priority="5" operator="between">
      <formula>10</formula>
      <formula>100000000</formula>
    </cfRule>
    <cfRule type="cellIs" dxfId="16" priority="6" operator="between">
      <formula>1</formula>
      <formula>9</formula>
    </cfRule>
    <cfRule type="expression" dxfId="15" priority="7">
      <formula>AND(J3=0, J3&lt;&gt;"")</formula>
    </cfRule>
  </conditionalFormatting>
  <conditionalFormatting sqref="J29:J32">
    <cfRule type="cellIs" dxfId="14" priority="1" operator="between">
      <formula>10</formula>
      <formula>100000000</formula>
    </cfRule>
    <cfRule type="cellIs" dxfId="13" priority="2" operator="between">
      <formula>1</formula>
      <formula>9</formula>
    </cfRule>
    <cfRule type="expression" dxfId="12"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BD13C-5159-4B27-909D-12025C2F085C}">
  <sheetPr codeName="Sheet10">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"Winter "&amp;'YearB-AppDetails Current Date'!$J$2+1</f>
        <v>Winter 1</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HC'!D:T,10,FALSE)),
N(VLOOKUP(D3&amp;F3,'Budgeted Projections Dom HC'!D:T,11,FALSE))
)/4)
),"")</f>
        <v/>
      </c>
      <c r="I3" s="73" t="str">
        <f>IFERROR(1/(1/COUNTIFS(
'YearB-AppDetails Current Date'!A:A,D3,
'YearB-AppDetails Current Date'!F:F,E3,
'YearB-AppDetails Current Date'!E:E,--F3,
'YearB-AppDetails Current Date'!I:I,"WINTER")), "")</f>
        <v/>
      </c>
      <c r="J3" s="74" t="str" cm="1">
        <f t="array" ref="J3">IFERROR(1/(1/SUM(COUNTIFS(
'YearB-AppDetails Current Date'!A:A,D3,
'YearB-AppDetails Current Date'!F:F,E3,
'YearB-AppDetails Current Date'!E:E,--F3,
'YearB-AppDetails Current Date'!O:O,{"ACLN","ACPT","COND"},
'YearB-AppDetails Current Date'!S:S,"&lt;&gt;ACLN",
'YearB-AppDetails Current Date'!S:S,"&lt;&gt;ACPT",
'YearB-AppDetails Current Date'!S:S,"&lt;&gt;COND",
'YearB-AppDetails Current Date'!I:I,"WINTER"))), "")</f>
        <v/>
      </c>
      <c r="K3" s="73" t="str">
        <f>IFERROR(1/(1/SUM(COUNTIFS(
'YearB-AppDetails Current Date'!A:A,D3,
'YearB-AppDetails Current Date'!F:F,E3,
'YearB-AppDetails Current Date'!E:E,--F3,
'YearB-AppDetails Current Date'!R:R,"&lt;&gt;"&amp;"",
'YearB-AppDetails Current Date'!I:I,"WINTER"))), "")</f>
        <v/>
      </c>
      <c r="L3" s="74" t="str" cm="1">
        <f t="array" ref="L3">IFERROR(1/(1/SUM(COUNTIFS(
'YearB-AppDetails Current Date'!A:A,D3,
'YearB-AppDetails Current Date'!F:F,E3,
'YearB-AppDetails Current Date'!E:E,--F3,
'YearB-AppDetails Current Date'!T:T,{"APEX","DENY","NTSL"},
'YearB-AppDetails Current Date'!I:I,"WINTER"))), "")</f>
        <v/>
      </c>
      <c r="M3" s="74" t="str" cm="1">
        <f t="array" ref="M3">IFERROR(1/(1/SUM(COUNTIFS(
'YearB-AppDetails Current Date'!A:A,D3,
'YearB-AppDetails Current Date'!F:F,E3,
'YearB-AppDetails Current Date'!E:E,--F3,
'YearB-AppDetails Current Date'!U:U,{"CCAN","DECL"},
'YearB-AppDetails Current Date'!I:I,"WINTER"))), "")</f>
        <v/>
      </c>
      <c r="N3" s="74" t="str" cm="1">
        <f t="array" ref="N3">IFERROR(1/(1/SUM(COUNTIFS(
'YearB-AppDetails Current Date'!A:A,D3,
'YearB-AppDetails Current Date'!F:F,E3,
'YearB-AppDetails Current Date'!E:E,--F3,
'YearB-AppDetails Current Date'!V:V,{"APRO","NODE"},
'YearB-AppDetails Current Date'!I:I,"WINTER"))), "")</f>
        <v/>
      </c>
      <c r="O3" s="74" t="str" cm="1">
        <f t="array" ref="O3">IFERROR(1/(1/SUM(COUNTIFS(
'YearB-AppDetails Current Date'!A:A,D3,
'YearB-AppDetails Current Date'!F:F,E3,
'YearB-AppDetails Current Date'!E:E,--F3,
'YearB-AppDetails Current Date'!T:T,{"CDMT","RQMT","WAIT"},
'YearB-AppDetails Current Date'!I:I,"WINTER"))), "")</f>
        <v/>
      </c>
      <c r="P3" s="74" t="str">
        <f>IFERROR(1/(1/COUNTIFS(
'YearB-AppDetails Current Date'!A:A,D3,
'YearB-AppDetails Current Date'!F:F,E3,
'YearB-AppDetails Current Date'!E:E,--F3,
'YearB-AppDetails Current Date'!Y:Y,"ENRO",
'YearB-AppDetails Current Date'!I:I,"WINTER")), "")</f>
        <v/>
      </c>
      <c r="Q3" s="3" t="str">
        <f>IFERROR(P3/J3,"")</f>
        <v/>
      </c>
    </row>
    <row r="4" spans="1:17" ht="15.75" customHeight="1" x14ac:dyDescent="0.25">
      <c r="A4" s="170"/>
      <c r="B4" s="122"/>
      <c r="C4" s="125"/>
      <c r="D4" s="2" t="s">
        <v>47</v>
      </c>
      <c r="E4" s="2" t="s">
        <v>43</v>
      </c>
      <c r="F4" s="31">
        <v>1</v>
      </c>
      <c r="G4" s="140"/>
      <c r="H4" s="73" t="str">
        <f>IFERROR(1/(1/(
SUM(
N(VLOOKUP(D4&amp;F4,'Budgeted Projections Intl HC'!D:T,10,FALSE)),
N(VLOOKUP(D4&amp;F4,'Budgeted Projections Intl HC'!D:T,11,FALSE))
)/4)
),"")</f>
        <v/>
      </c>
      <c r="I4" s="73" t="str">
        <f>IFERROR(1/(1/COUNTIFS(
'YearB-AppDetails Current Date'!A:A,D4,
'YearB-AppDetails Current Date'!F:F,E4,
'YearB-AppDetails Current Date'!E:E,--F4,
'YearB-AppDetails Current Date'!I:I,"WINTER")), "")</f>
        <v/>
      </c>
      <c r="J4" s="74" t="str" cm="1">
        <f t="array" ref="J4">IFERROR(1/(1/SUM(COUNTIFS(
'YearB-AppDetails Current Date'!A:A,D4,
'YearB-AppDetails Current Date'!F:F,E4,
'YearB-AppDetails Current Date'!E:E,--F4,
'YearB-AppDetails Current Date'!O:O,{"ACLN","ACPT","COND"},
'YearB-AppDetails Current Date'!S:S,"&lt;&gt;ACLN",
'YearB-AppDetails Current Date'!S:S,"&lt;&gt;ACPT",
'YearB-AppDetails Current Date'!S:S,"&lt;&gt;COND",
'YearB-AppDetails Current Date'!I:I,"WINTER"))), "")</f>
        <v/>
      </c>
      <c r="K4" s="73" t="str">
        <f>IFERROR(1/(1/SUM(COUNTIFS(
'YearB-AppDetails Current Date'!A:A,D4,
'YearB-AppDetails Current Date'!F:F,E4,
'YearB-AppDetails Current Date'!E:E,--F4,
'YearB-AppDetails Current Date'!R:R,"&lt;&gt;"&amp;"",
'YearB-AppDetails Current Date'!I:I,"WINTER"))), "")</f>
        <v/>
      </c>
      <c r="L4" s="74" t="str" cm="1">
        <f t="array" ref="L4">IFERROR(1/(1/SUM(COUNTIFS(
'YearB-AppDetails Current Date'!A:A,D4,
'YearB-AppDetails Current Date'!F:F,E4,
'YearB-AppDetails Current Date'!E:E,--F4,
'YearB-AppDetails Current Date'!T:T,{"APEX","DENY","NTSL"},
'YearB-AppDetails Current Date'!I:I,"WINTER"))), "")</f>
        <v/>
      </c>
      <c r="M4" s="74" t="str" cm="1">
        <f t="array" ref="M4">IFERROR(1/(1/SUM(COUNTIFS(
'YearB-AppDetails Current Date'!A:A,D4,
'YearB-AppDetails Current Date'!F:F,E4,
'YearB-AppDetails Current Date'!E:E,--F4,
'YearB-AppDetails Current Date'!U:U,{"CCAN","DECL"},
'YearB-AppDetails Current Date'!I:I,"WINTER"))), "")</f>
        <v/>
      </c>
      <c r="N4" s="74" t="str" cm="1">
        <f t="array" ref="N4">IFERROR(1/(1/SUM(COUNTIFS(
'YearB-AppDetails Current Date'!A:A,D4,
'YearB-AppDetails Current Date'!F:F,E4,
'YearB-AppDetails Current Date'!E:E,--F4,
'YearB-AppDetails Current Date'!V:V,{"APRO","NODE"},
'YearB-AppDetails Current Date'!I:I,"WINTER"))), "")</f>
        <v/>
      </c>
      <c r="O4" s="74" t="str" cm="1">
        <f t="array" ref="O4">IFERROR(1/(1/SUM(COUNTIFS(
'YearB-AppDetails Current Date'!A:A,D4,
'YearB-AppDetails Current Date'!F:F,E4,
'YearB-AppDetails Current Date'!E:E,--F4,
'YearB-AppDetails Current Date'!T:T,{"CDMT","RQMT","WAIT"},
'YearB-AppDetails Current Date'!I:I,"WINTER"))), "")</f>
        <v/>
      </c>
      <c r="P4" s="74" t="str">
        <f>IFERROR(1/(1/COUNTIFS(
'YearB-AppDetails Current Date'!A:A,D4,
'YearB-AppDetails Current Date'!F:F,E4,
'YearB-AppDetails Current Date'!E:E,--F4,
'YearB-AppDetails Current Date'!Y:Y,"ENRO",
'YearB-AppDetails Current Date'!I:I,"WINTER")),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HC'!D:T,10,FALSE)),
N(VLOOKUP(D5&amp;F5,'Budgeted Projections Dom HC'!D:T,11,FALSE))
)/4)
),"")</f>
        <v/>
      </c>
      <c r="I5" s="73" t="str">
        <f>IFERROR(1/(1/COUNTIFS(
'YearB-AppDetails Current Date'!A:A,D5,
'YearB-AppDetails Current Date'!F:F,E5,
'YearB-AppDetails Current Date'!E:E,--F5,
'YearB-AppDetails Current Date'!I:I,"WINTER")), "")</f>
        <v/>
      </c>
      <c r="J5" s="74" t="str" cm="1">
        <f t="array" ref="J5">IFERROR(1/(1/SUM(COUNTIFS(
'YearB-AppDetails Current Date'!A:A,D5,
'YearB-AppDetails Current Date'!F:F,E5,
'YearB-AppDetails Current Date'!E:E,--F5,
'YearB-AppDetails Current Date'!O:O,{"ACLN","ACPT","COND"},
'YearB-AppDetails Current Date'!S:S,"&lt;&gt;ACLN",
'YearB-AppDetails Current Date'!S:S,"&lt;&gt;ACPT",
'YearB-AppDetails Current Date'!S:S,"&lt;&gt;COND",
'YearB-AppDetails Current Date'!I:I,"WINTER"))), "")</f>
        <v/>
      </c>
      <c r="K5" s="73" t="str">
        <f>IFERROR(1/(1/SUM(COUNTIFS(
'YearB-AppDetails Current Date'!A:A,D5,
'YearB-AppDetails Current Date'!F:F,E5,
'YearB-AppDetails Current Date'!E:E,--F5,
'YearB-AppDetails Current Date'!R:R,"&lt;&gt;"&amp;"",
'YearB-AppDetails Current Date'!I:I,"WINTER"))), "")</f>
        <v/>
      </c>
      <c r="L5" s="74" t="str" cm="1">
        <f t="array" ref="L5">IFERROR(1/(1/SUM(COUNTIFS(
'YearB-AppDetails Current Date'!A:A,D5,
'YearB-AppDetails Current Date'!F:F,E5,
'YearB-AppDetails Current Date'!E:E,--F5,
'YearB-AppDetails Current Date'!T:T,{"APEX","DENY","NTSL"},
'YearB-AppDetails Current Date'!I:I,"WINTER"))), "")</f>
        <v/>
      </c>
      <c r="M5" s="74" t="str" cm="1">
        <f t="array" ref="M5">IFERROR(1/(1/SUM(COUNTIFS(
'YearB-AppDetails Current Date'!A:A,D5,
'YearB-AppDetails Current Date'!F:F,E5,
'YearB-AppDetails Current Date'!E:E,--F5,
'YearB-AppDetails Current Date'!U:U,{"CCAN","DECL"},
'YearB-AppDetails Current Date'!I:I,"WINTER"))), "")</f>
        <v/>
      </c>
      <c r="N5" s="74" t="str" cm="1">
        <f t="array" ref="N5">IFERROR(1/(1/SUM(COUNTIFS(
'YearB-AppDetails Current Date'!A:A,D5,
'YearB-AppDetails Current Date'!F:F,E5,
'YearB-AppDetails Current Date'!E:E,--F5,
'YearB-AppDetails Current Date'!V:V,{"APRO","NODE"},
'YearB-AppDetails Current Date'!I:I,"WINTER"))), "")</f>
        <v/>
      </c>
      <c r="O5" s="74" t="str" cm="1">
        <f t="array" ref="O5">IFERROR(1/(1/SUM(COUNTIFS(
'YearB-AppDetails Current Date'!A:A,D5,
'YearB-AppDetails Current Date'!F:F,E5,
'YearB-AppDetails Current Date'!E:E,--F5,
'YearB-AppDetails Current Date'!T:T,{"CDMT","RQMT","WAIT"},
'YearB-AppDetails Current Date'!I:I,"WINTER"))), "")</f>
        <v/>
      </c>
      <c r="P5" s="74" t="str">
        <f>IFERROR(1/(1/COUNTIFS(
'YearB-AppDetails Current Date'!A:A,D5,
'YearB-AppDetails Current Date'!F:F,E5,
'YearB-AppDetails Current Date'!E:E,--F5,
'YearB-AppDetails Current Date'!Y:Y,"ENRO",
'YearB-AppDetails Current Date'!I:I,"WINTER")), "")</f>
        <v/>
      </c>
      <c r="Q5" s="3" t="str">
        <f t="shared" si="0"/>
        <v/>
      </c>
    </row>
    <row r="6" spans="1:17" ht="15.75" customHeight="1" x14ac:dyDescent="0.25">
      <c r="A6" s="170"/>
      <c r="B6" s="122"/>
      <c r="C6" s="125"/>
      <c r="D6" s="2" t="s">
        <v>50</v>
      </c>
      <c r="E6" s="2" t="s">
        <v>43</v>
      </c>
      <c r="F6" s="31">
        <v>1</v>
      </c>
      <c r="G6" s="140"/>
      <c r="H6" s="73" t="str">
        <f>IFERROR(1/(1/(
SUM(
N(VLOOKUP(D6&amp;F6,'Budgeted Projections Intl HC'!D:T,10,FALSE)),
N(VLOOKUP(D6&amp;F6,'Budgeted Projections Intl HC'!D:T,11,FALSE))
)/4)
),"")</f>
        <v/>
      </c>
      <c r="I6" s="73" t="str">
        <f>IFERROR(1/(1/COUNTIFS(
'YearB-AppDetails Current Date'!A:A,D6,
'YearB-AppDetails Current Date'!F:F,E6,
'YearB-AppDetails Current Date'!E:E,--F6,
'YearB-AppDetails Current Date'!I:I,"WINTER")), "")</f>
        <v/>
      </c>
      <c r="J6" s="74" t="str" cm="1">
        <f t="array" ref="J6">IFERROR(1/(1/SUM(COUNTIFS(
'YearB-AppDetails Current Date'!A:A,D6,
'YearB-AppDetails Current Date'!F:F,E6,
'YearB-AppDetails Current Date'!E:E,--F6,
'YearB-AppDetails Current Date'!O:O,{"ACLN","ACPT","COND"},
'YearB-AppDetails Current Date'!S:S,"&lt;&gt;ACLN",
'YearB-AppDetails Current Date'!S:S,"&lt;&gt;ACPT",
'YearB-AppDetails Current Date'!S:S,"&lt;&gt;COND",
'YearB-AppDetails Current Date'!I:I,"WINTER"))), "")</f>
        <v/>
      </c>
      <c r="K6" s="73" t="str">
        <f>IFERROR(1/(1/SUM(COUNTIFS(
'YearB-AppDetails Current Date'!A:A,D6,
'YearB-AppDetails Current Date'!F:F,E6,
'YearB-AppDetails Current Date'!E:E,--F6,
'YearB-AppDetails Current Date'!R:R,"&lt;&gt;"&amp;"",
'YearB-AppDetails Current Date'!I:I,"WINTER"))), "")</f>
        <v/>
      </c>
      <c r="L6" s="74" t="str" cm="1">
        <f t="array" ref="L6">IFERROR(1/(1/SUM(COUNTIFS(
'YearB-AppDetails Current Date'!A:A,D6,
'YearB-AppDetails Current Date'!F:F,E6,
'YearB-AppDetails Current Date'!E:E,--F6,
'YearB-AppDetails Current Date'!T:T,{"APEX","DENY","NTSL"},
'YearB-AppDetails Current Date'!I:I,"WINTER"))), "")</f>
        <v/>
      </c>
      <c r="M6" s="74" t="str" cm="1">
        <f t="array" ref="M6">IFERROR(1/(1/SUM(COUNTIFS(
'YearB-AppDetails Current Date'!A:A,D6,
'YearB-AppDetails Current Date'!F:F,E6,
'YearB-AppDetails Current Date'!E:E,--F6,
'YearB-AppDetails Current Date'!U:U,{"CCAN","DECL"},
'YearB-AppDetails Current Date'!I:I,"WINTER"))), "")</f>
        <v/>
      </c>
      <c r="N6" s="74" t="str" cm="1">
        <f t="array" ref="N6">IFERROR(1/(1/SUM(COUNTIFS(
'YearB-AppDetails Current Date'!A:A,D6,
'YearB-AppDetails Current Date'!F:F,E6,
'YearB-AppDetails Current Date'!E:E,--F6,
'YearB-AppDetails Current Date'!V:V,{"APRO","NODE"},
'YearB-AppDetails Current Date'!I:I,"WINTER"))), "")</f>
        <v/>
      </c>
      <c r="O6" s="74" t="str" cm="1">
        <f t="array" ref="O6">IFERROR(1/(1/SUM(COUNTIFS(
'YearB-AppDetails Current Date'!A:A,D6,
'YearB-AppDetails Current Date'!F:F,E6,
'YearB-AppDetails Current Date'!E:E,--F6,
'YearB-AppDetails Current Date'!T:T,{"CDMT","RQMT","WAIT"},
'YearB-AppDetails Current Date'!I:I,"WINTER"))), "")</f>
        <v/>
      </c>
      <c r="P6" s="74" t="str">
        <f>IFERROR(1/(1/COUNTIFS(
'YearB-AppDetails Current Date'!A:A,D6,
'YearB-AppDetails Current Date'!F:F,E6,
'YearB-AppDetails Current Date'!E:E,--F6,
'YearB-AppDetails Current Date'!Y:Y,"ENRO",
'YearB-AppDetails Current Date'!I:I,"WINTER")),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HC'!D:T,14,FALSE)),
N(VLOOKUP(D7&amp;F7,'Budgeted Projections Dom HC'!D:T,15,FALSE))
)
),"")</f>
        <v/>
      </c>
      <c r="I7" s="73" t="str">
        <f>IFERROR(1/(1/COUNTIFS(
'YearB-AppDetails Current Date'!A:A,D7,
'YearB-AppDetails Current Date'!F:F,E7,
'YearB-AppDetails Current Date'!E:E,--F7,
'YearB-AppDetails Current Date'!I:I,"WINTER")), "")</f>
        <v/>
      </c>
      <c r="J7" s="74" t="str" cm="1">
        <f t="array" ref="J7">IFERROR(1/(1/SUM(COUNTIFS(
'YearB-AppDetails Current Date'!A:A,D7,
'YearB-AppDetails Current Date'!F:F,E7,
'YearB-AppDetails Current Date'!E:E,--F7,
'YearB-AppDetails Current Date'!O:O,{"ACLN","ACPT","COND"},
'YearB-AppDetails Current Date'!S:S,"&lt;&gt;ACLN",
'YearB-AppDetails Current Date'!S:S,"&lt;&gt;ACPT",
'YearB-AppDetails Current Date'!S:S,"&lt;&gt;COND",
'YearB-AppDetails Current Date'!I:I,"WINTER"))), "")</f>
        <v/>
      </c>
      <c r="K7" s="73" t="str">
        <f>IFERROR(1/(1/SUM(COUNTIFS(
'YearB-AppDetails Current Date'!A:A,D7,
'YearB-AppDetails Current Date'!F:F,E7,
'YearB-AppDetails Current Date'!E:E,--F7,
'YearB-AppDetails Current Date'!R:R,"&lt;&gt;"&amp;"",
'YearB-AppDetails Current Date'!I:I,"WINTER"))), "")</f>
        <v/>
      </c>
      <c r="L7" s="74" t="str" cm="1">
        <f t="array" ref="L7">IFERROR(1/(1/SUM(COUNTIFS(
'YearB-AppDetails Current Date'!A:A,D7,
'YearB-AppDetails Current Date'!F:F,E7,
'YearB-AppDetails Current Date'!E:E,--F7,
'YearB-AppDetails Current Date'!T:T,{"APEX","DENY","NTSL"},
'YearB-AppDetails Current Date'!I:I,"WINTER"))), "")</f>
        <v/>
      </c>
      <c r="M7" s="74" t="str" cm="1">
        <f t="array" ref="M7">IFERROR(1/(1/SUM(COUNTIFS(
'YearB-AppDetails Current Date'!A:A,D7,
'YearB-AppDetails Current Date'!F:F,E7,
'YearB-AppDetails Current Date'!E:E,--F7,
'YearB-AppDetails Current Date'!U:U,{"CCAN","DECL"},
'YearB-AppDetails Current Date'!I:I,"WINTER"))), "")</f>
        <v/>
      </c>
      <c r="N7" s="74" t="str" cm="1">
        <f t="array" ref="N7">IFERROR(1/(1/SUM(COUNTIFS(
'YearB-AppDetails Current Date'!A:A,D7,
'YearB-AppDetails Current Date'!F:F,E7,
'YearB-AppDetails Current Date'!E:E,--F7,
'YearB-AppDetails Current Date'!V:V,{"APRO","NODE"},
'YearB-AppDetails Current Date'!I:I,"WINTER"))), "")</f>
        <v/>
      </c>
      <c r="O7" s="74" t="str" cm="1">
        <f t="array" ref="O7">IFERROR(1/(1/SUM(COUNTIFS(
'YearB-AppDetails Current Date'!A:A,D7,
'YearB-AppDetails Current Date'!F:F,E7,
'YearB-AppDetails Current Date'!E:E,--F7,
'YearB-AppDetails Current Date'!T:T,{"CDMT","RQMT","WAIT"},
'YearB-AppDetails Current Date'!I:I,"WINTER"))), "")</f>
        <v/>
      </c>
      <c r="P7" s="74" t="str">
        <f>IFERROR(1/(1/COUNTIFS(
'YearB-AppDetails Current Date'!A:A,D7,
'YearB-AppDetails Current Date'!F:F,E7,
'YearB-AppDetails Current Date'!E:E,--F7,
'YearB-AppDetails Current Date'!Y:Y,"ENRO",
'YearB-AppDetails Current Date'!I:I,"WINTER")), "")</f>
        <v/>
      </c>
      <c r="Q7" s="3" t="str">
        <f t="shared" si="0"/>
        <v/>
      </c>
    </row>
    <row r="8" spans="1:17" ht="15.75" customHeight="1" x14ac:dyDescent="0.25">
      <c r="A8" s="170"/>
      <c r="B8" s="122"/>
      <c r="C8" s="125"/>
      <c r="D8" s="23" t="s">
        <v>41</v>
      </c>
      <c r="E8" s="2" t="s">
        <v>43</v>
      </c>
      <c r="F8" s="31">
        <v>1</v>
      </c>
      <c r="G8" s="140"/>
      <c r="H8" s="73" t="str">
        <f>IFERROR(1/(1/
SUM(
N(VLOOKUP(D8&amp;F8,'Budgeted Projections Intl HC'!D:T,14,FALSE)),
N(VLOOKUP(D8&amp;F8,'Budgeted Projections Intl HC'!D:T,15,FALSE))
)
),"")</f>
        <v/>
      </c>
      <c r="I8" s="73" t="str">
        <f>IFERROR(1/(1/COUNTIFS(
'YearB-AppDetails Current Date'!A:A,D8,
'YearB-AppDetails Current Date'!F:F,E8,
'YearB-AppDetails Current Date'!E:E,--F8,
'YearB-AppDetails Current Date'!I:I,"WINTER")), "")</f>
        <v/>
      </c>
      <c r="J8" s="74" t="str" cm="1">
        <f t="array" ref="J8">IFERROR(1/(1/SUM(COUNTIFS(
'YearB-AppDetails Current Date'!A:A,D8,
'YearB-AppDetails Current Date'!F:F,E8,
'YearB-AppDetails Current Date'!E:E,--F8,
'YearB-AppDetails Current Date'!O:O,{"ACLN","ACPT","COND"},
'YearB-AppDetails Current Date'!S:S,"&lt;&gt;ACLN",
'YearB-AppDetails Current Date'!S:S,"&lt;&gt;ACPT",
'YearB-AppDetails Current Date'!S:S,"&lt;&gt;COND",
'YearB-AppDetails Current Date'!I:I,"WINTER"))), "")</f>
        <v/>
      </c>
      <c r="K8" s="73" t="str">
        <f>IFERROR(1/(1/SUM(COUNTIFS(
'YearB-AppDetails Current Date'!A:A,D8,
'YearB-AppDetails Current Date'!F:F,E8,
'YearB-AppDetails Current Date'!E:E,--F8,
'YearB-AppDetails Current Date'!R:R,"&lt;&gt;"&amp;"",
'YearB-AppDetails Current Date'!I:I,"WINTER"))), "")</f>
        <v/>
      </c>
      <c r="L8" s="74" t="str" cm="1">
        <f t="array" ref="L8">IFERROR(1/(1/SUM(COUNTIFS(
'YearB-AppDetails Current Date'!A:A,D8,
'YearB-AppDetails Current Date'!F:F,E8,
'YearB-AppDetails Current Date'!E:E,--F8,
'YearB-AppDetails Current Date'!T:T,{"APEX","DENY","NTSL"},
'YearB-AppDetails Current Date'!I:I,"WINTER"))), "")</f>
        <v/>
      </c>
      <c r="M8" s="74" t="str" cm="1">
        <f t="array" ref="M8">IFERROR(1/(1/SUM(COUNTIFS(
'YearB-AppDetails Current Date'!A:A,D8,
'YearB-AppDetails Current Date'!F:F,E8,
'YearB-AppDetails Current Date'!E:E,--F8,
'YearB-AppDetails Current Date'!U:U,{"CCAN","DECL"},
'YearB-AppDetails Current Date'!I:I,"WINTER"))), "")</f>
        <v/>
      </c>
      <c r="N8" s="74" t="str" cm="1">
        <f t="array" ref="N8">IFERROR(1/(1/SUM(COUNTIFS(
'YearB-AppDetails Current Date'!A:A,D8,
'YearB-AppDetails Current Date'!F:F,E8,
'YearB-AppDetails Current Date'!E:E,--F8,
'YearB-AppDetails Current Date'!V:V,{"APRO","NODE"},
'YearB-AppDetails Current Date'!I:I,"WINTER"))), "")</f>
        <v/>
      </c>
      <c r="O8" s="74" t="str" cm="1">
        <f t="array" ref="O8">IFERROR(1/(1/SUM(COUNTIFS(
'YearB-AppDetails Current Date'!A:A,D8,
'YearB-AppDetails Current Date'!F:F,E8,
'YearB-AppDetails Current Date'!E:E,--F8,
'YearB-AppDetails Current Date'!T:T,{"CDMT","RQMT","WAIT"},
'YearB-AppDetails Current Date'!I:I,"WINTER"))), "")</f>
        <v/>
      </c>
      <c r="P8" s="74" t="str">
        <f>IFERROR(1/(1/COUNTIFS(
'YearB-AppDetails Current Date'!A:A,D8,
'YearB-AppDetails Current Date'!F:F,E8,
'YearB-AppDetails Current Date'!E:E,--F8,
'YearB-AppDetails Current Date'!Y:Y,"ENRO",
'YearB-AppDetails Current Date'!I:I,"WINTER")),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HC'!D:T,14,FALSE)),
N(VLOOKUP(D9&amp;F9,'Budgeted Projections Dom HC'!D:T,15,FALSE))
)
),"")</f>
        <v/>
      </c>
      <c r="I9" s="73" t="str">
        <f>IFERROR(1/(1/COUNTIFS(
'YearB-AppDetails Current Date'!A:A,D9,
'YearB-AppDetails Current Date'!F:F,E9,
'YearB-AppDetails Current Date'!E:E,--F9,
'YearB-AppDetails Current Date'!I:I,"WINTER")), "")</f>
        <v/>
      </c>
      <c r="J9" s="74" t="str" cm="1">
        <f t="array" ref="J9">IFERROR(1/(1/SUM(COUNTIFS(
'YearB-AppDetails Current Date'!A:A,D9,
'YearB-AppDetails Current Date'!F:F,E9,
'YearB-AppDetails Current Date'!E:E,--F9,
'YearB-AppDetails Current Date'!O:O,{"ACLN","ACPT","COND"},
'YearB-AppDetails Current Date'!S:S,"&lt;&gt;ACLN",
'YearB-AppDetails Current Date'!S:S,"&lt;&gt;ACPT",
'YearB-AppDetails Current Date'!S:S,"&lt;&gt;COND",
'YearB-AppDetails Current Date'!I:I,"WINTER"))), "")</f>
        <v/>
      </c>
      <c r="K9" s="73" t="str">
        <f>IFERROR(1/(1/SUM(COUNTIFS(
'YearB-AppDetails Current Date'!A:A,D9,
'YearB-AppDetails Current Date'!F:F,E9,
'YearB-AppDetails Current Date'!E:E,--F9,
'YearB-AppDetails Current Date'!R:R,"&lt;&gt;"&amp;"",
'YearB-AppDetails Current Date'!I:I,"WINTER"))), "")</f>
        <v/>
      </c>
      <c r="L9" s="74" t="str" cm="1">
        <f t="array" ref="L9">IFERROR(1/(1/SUM(COUNTIFS(
'YearB-AppDetails Current Date'!A:A,D9,
'YearB-AppDetails Current Date'!F:F,E9,
'YearB-AppDetails Current Date'!E:E,--F9,
'YearB-AppDetails Current Date'!T:T,{"APEX","DENY","NTSL"},
'YearB-AppDetails Current Date'!I:I,"WINTER"))), "")</f>
        <v/>
      </c>
      <c r="M9" s="74" t="str" cm="1">
        <f t="array" ref="M9">IFERROR(1/(1/SUM(COUNTIFS(
'YearB-AppDetails Current Date'!A:A,D9,
'YearB-AppDetails Current Date'!F:F,E9,
'YearB-AppDetails Current Date'!E:E,--F9,
'YearB-AppDetails Current Date'!U:U,{"CCAN","DECL"},
'YearB-AppDetails Current Date'!I:I,"WINTER"))), "")</f>
        <v/>
      </c>
      <c r="N9" s="74" t="str" cm="1">
        <f t="array" ref="N9">IFERROR(1/(1/SUM(COUNTIFS(
'YearB-AppDetails Current Date'!A:A,D9,
'YearB-AppDetails Current Date'!F:F,E9,
'YearB-AppDetails Current Date'!E:E,--F9,
'YearB-AppDetails Current Date'!V:V,{"APRO","NODE"},
'YearB-AppDetails Current Date'!I:I,"WINTER"))), "")</f>
        <v/>
      </c>
      <c r="O9" s="74" t="str" cm="1">
        <f t="array" ref="O9">IFERROR(1/(1/SUM(COUNTIFS(
'YearB-AppDetails Current Date'!A:A,D9,
'YearB-AppDetails Current Date'!F:F,E9,
'YearB-AppDetails Current Date'!E:E,--F9,
'YearB-AppDetails Current Date'!T:T,{"CDMT","RQMT","WAIT"},
'YearB-AppDetails Current Date'!I:I,"WINTER"))), "")</f>
        <v/>
      </c>
      <c r="P9" s="74" t="str">
        <f>IFERROR(1/(1/COUNTIFS(
'YearB-AppDetails Current Date'!A:A,D9,
'YearB-AppDetails Current Date'!F:F,E9,
'YearB-AppDetails Current Date'!E:E,--F9,
'YearB-AppDetails Current Date'!Y:Y,"ENRO",
'YearB-AppDetails Current Date'!I:I,"WINTER")),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HC'!D:T,14,FALSE)),
N(VLOOKUP(D10&amp;F10,'Budgeted Projections Intl HC'!D:T,15,FALSE))
)
),"")</f>
        <v/>
      </c>
      <c r="I10" s="73" t="str">
        <f>IFERROR(1/(1/COUNTIFS(
'YearB-AppDetails Current Date'!A:A,D10,
'YearB-AppDetails Current Date'!F:F,E10,
'YearB-AppDetails Current Date'!E:E,--F10,
'YearB-AppDetails Current Date'!I:I,"WINTER")), "")</f>
        <v/>
      </c>
      <c r="J10" s="74" t="str" cm="1">
        <f t="array" ref="J10">IFERROR(1/(1/SUM(COUNTIFS(
'YearB-AppDetails Current Date'!A:A,D10,
'YearB-AppDetails Current Date'!F:F,E10,
'YearB-AppDetails Current Date'!E:E,--F10,
'YearB-AppDetails Current Date'!O:O,{"ACLN","ACPT","COND"},
'YearB-AppDetails Current Date'!S:S,"&lt;&gt;ACLN",
'YearB-AppDetails Current Date'!S:S,"&lt;&gt;ACPT",
'YearB-AppDetails Current Date'!S:S,"&lt;&gt;COND",
'YearB-AppDetails Current Date'!I:I,"WINTER"))), "")</f>
        <v/>
      </c>
      <c r="K10" s="73" t="str">
        <f>IFERROR(1/(1/SUM(COUNTIFS(
'YearB-AppDetails Current Date'!A:A,D10,
'YearB-AppDetails Current Date'!F:F,E10,
'YearB-AppDetails Current Date'!E:E,--F10,
'YearB-AppDetails Current Date'!R:R,"&lt;&gt;"&amp;"",
'YearB-AppDetails Current Date'!I:I,"WINTER"))), "")</f>
        <v/>
      </c>
      <c r="L10" s="74" t="str" cm="1">
        <f t="array" ref="L10">IFERROR(1/(1/SUM(COUNTIFS(
'YearB-AppDetails Current Date'!A:A,D10,
'YearB-AppDetails Current Date'!F:F,E10,
'YearB-AppDetails Current Date'!E:E,--F10,
'YearB-AppDetails Current Date'!T:T,{"APEX","DENY","NTSL"},
'YearB-AppDetails Current Date'!I:I,"WINTER"))), "")</f>
        <v/>
      </c>
      <c r="M10" s="74" t="str" cm="1">
        <f t="array" ref="M10">IFERROR(1/(1/SUM(COUNTIFS(
'YearB-AppDetails Current Date'!A:A,D10,
'YearB-AppDetails Current Date'!F:F,E10,
'YearB-AppDetails Current Date'!E:E,--F10,
'YearB-AppDetails Current Date'!U:U,{"CCAN","DECL"},
'YearB-AppDetails Current Date'!I:I,"WINTER"))), "")</f>
        <v/>
      </c>
      <c r="N10" s="74" t="str" cm="1">
        <f t="array" ref="N10">IFERROR(1/(1/SUM(COUNTIFS(
'YearB-AppDetails Current Date'!A:A,D10,
'YearB-AppDetails Current Date'!F:F,E10,
'YearB-AppDetails Current Date'!E:E,--F10,
'YearB-AppDetails Current Date'!V:V,{"APRO","NODE"},
'YearB-AppDetails Current Date'!I:I,"WINTER"))), "")</f>
        <v/>
      </c>
      <c r="O10" s="74" t="str" cm="1">
        <f t="array" ref="O10">IFERROR(1/(1/SUM(COUNTIFS(
'YearB-AppDetails Current Date'!A:A,D10,
'YearB-AppDetails Current Date'!F:F,E10,
'YearB-AppDetails Current Date'!E:E,--F10,
'YearB-AppDetails Current Date'!T:T,{"CDMT","RQMT","WAIT"},
'YearB-AppDetails Current Date'!I:I,"WINTER"))), "")</f>
        <v/>
      </c>
      <c r="P10" s="74" t="str">
        <f>IFERROR(1/(1/COUNTIFS(
'YearB-AppDetails Current Date'!A:A,D10,
'YearB-AppDetails Current Date'!F:F,E10,
'YearB-AppDetails Current Date'!E:E,--F10,
'YearB-AppDetails Current Date'!Y:Y,"ENRO",
'YearB-AppDetails Current Date'!I:I,"WINTER")),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HC'!D:T,14,FALSE)),
N(VLOOKUP(D11&amp;F11,'Budgeted Projections Dom HC'!D:T,15,FALSE))
)
),"")</f>
        <v/>
      </c>
      <c r="I11" s="73" t="str">
        <f>IFERROR(1/(1/COUNTIFS(
'YearB-AppDetails Current Date'!A:A,D11,
'YearB-AppDetails Current Date'!F:F,E11,
'YearB-AppDetails Current Date'!E:E,--F11,
'YearB-AppDetails Current Date'!I:I,"WINTER")), "")</f>
        <v/>
      </c>
      <c r="J11" s="74" t="str" cm="1">
        <f t="array" ref="J11">IFERROR(1/(1/SUM(COUNTIFS(
'YearB-AppDetails Current Date'!A:A,D11,
'YearB-AppDetails Current Date'!F:F,E11,
'YearB-AppDetails Current Date'!E:E,--F11,
'YearB-AppDetails Current Date'!O:O,{"ACLN","ACPT","COND"},
'YearB-AppDetails Current Date'!S:S,"&lt;&gt;ACLN",
'YearB-AppDetails Current Date'!S:S,"&lt;&gt;ACPT",
'YearB-AppDetails Current Date'!S:S,"&lt;&gt;COND",
'YearB-AppDetails Current Date'!I:I,"WINTER"))), "")</f>
        <v/>
      </c>
      <c r="K11" s="73" t="str">
        <f>IFERROR(1/(1/SUM(COUNTIFS(
'YearB-AppDetails Current Date'!A:A,D11,
'YearB-AppDetails Current Date'!F:F,E11,
'YearB-AppDetails Current Date'!E:E,--F11,
'YearB-AppDetails Current Date'!R:R,"&lt;&gt;"&amp;"",
'YearB-AppDetails Current Date'!I:I,"WINTER"))), "")</f>
        <v/>
      </c>
      <c r="L11" s="74" t="str" cm="1">
        <f t="array" ref="L11">IFERROR(1/(1/SUM(COUNTIFS(
'YearB-AppDetails Current Date'!A:A,D11,
'YearB-AppDetails Current Date'!F:F,E11,
'YearB-AppDetails Current Date'!E:E,--F11,
'YearB-AppDetails Current Date'!T:T,{"APEX","DENY","NTSL"},
'YearB-AppDetails Current Date'!I:I,"WINTER"))), "")</f>
        <v/>
      </c>
      <c r="M11" s="74" t="str" cm="1">
        <f t="array" ref="M11">IFERROR(1/(1/SUM(COUNTIFS(
'YearB-AppDetails Current Date'!A:A,D11,
'YearB-AppDetails Current Date'!F:F,E11,
'YearB-AppDetails Current Date'!E:E,--F11,
'YearB-AppDetails Current Date'!U:U,{"CCAN","DECL"},
'YearB-AppDetails Current Date'!I:I,"WINTER"))), "")</f>
        <v/>
      </c>
      <c r="N11" s="74" t="str" cm="1">
        <f t="array" ref="N11">IFERROR(1/(1/SUM(COUNTIFS(
'YearB-AppDetails Current Date'!A:A,D11,
'YearB-AppDetails Current Date'!F:F,E11,
'YearB-AppDetails Current Date'!E:E,--F11,
'YearB-AppDetails Current Date'!V:V,{"APRO","NODE"},
'YearB-AppDetails Current Date'!I:I,"WINTER"))), "")</f>
        <v/>
      </c>
      <c r="O11" s="74" t="str" cm="1">
        <f t="array" ref="O11">IFERROR(1/(1/SUM(COUNTIFS(
'YearB-AppDetails Current Date'!A:A,D11,
'YearB-AppDetails Current Date'!F:F,E11,
'YearB-AppDetails Current Date'!E:E,--F11,
'YearB-AppDetails Current Date'!T:T,{"CDMT","RQMT","WAIT"},
'YearB-AppDetails Current Date'!I:I,"WINTER"))), "")</f>
        <v/>
      </c>
      <c r="P11" s="74" t="str">
        <f>IFERROR(1/(1/COUNTIFS(
'YearB-AppDetails Current Date'!A:A,D11,
'YearB-AppDetails Current Date'!F:F,E11,
'YearB-AppDetails Current Date'!E:E,--F11,
'YearB-AppDetails Current Date'!Y:Y,"ENRO",
'YearB-AppDetails Current Date'!I:I,"WINTER")),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HC'!D:T,14,FALSE)),
N(VLOOKUP(D12&amp;F12,'Budgeted Projections Intl HC'!D:T,15,FALSE))
)
),"")</f>
        <v/>
      </c>
      <c r="I12" s="73" t="str">
        <f>IFERROR(1/(1/COUNTIFS(
'YearB-AppDetails Current Date'!A:A,D12,
'YearB-AppDetails Current Date'!F:F,E12,
'YearB-AppDetails Current Date'!E:E,--F12,
'YearB-AppDetails Current Date'!I:I,"WINTER")), "")</f>
        <v/>
      </c>
      <c r="J12" s="74" t="str" cm="1">
        <f t="array" ref="J12">IFERROR(1/(1/SUM(COUNTIFS(
'YearB-AppDetails Current Date'!A:A,D12,
'YearB-AppDetails Current Date'!F:F,E12,
'YearB-AppDetails Current Date'!E:E,--F12,
'YearB-AppDetails Current Date'!O:O,{"ACLN","ACPT","COND"},
'YearB-AppDetails Current Date'!S:S,"&lt;&gt;ACLN",
'YearB-AppDetails Current Date'!S:S,"&lt;&gt;ACPT",
'YearB-AppDetails Current Date'!S:S,"&lt;&gt;COND",
'YearB-AppDetails Current Date'!I:I,"WINTER"))), "")</f>
        <v/>
      </c>
      <c r="K12" s="73" t="str">
        <f>IFERROR(1/(1/SUM(COUNTIFS(
'YearB-AppDetails Current Date'!A:A,D12,
'YearB-AppDetails Current Date'!F:F,E12,
'YearB-AppDetails Current Date'!E:E,--F12,
'YearB-AppDetails Current Date'!R:R,"&lt;&gt;"&amp;"",
'YearB-AppDetails Current Date'!I:I,"WINTER"))), "")</f>
        <v/>
      </c>
      <c r="L12" s="74" t="str" cm="1">
        <f t="array" ref="L12">IFERROR(1/(1/SUM(COUNTIFS(
'YearB-AppDetails Current Date'!A:A,D12,
'YearB-AppDetails Current Date'!F:F,E12,
'YearB-AppDetails Current Date'!E:E,--F12,
'YearB-AppDetails Current Date'!T:T,{"APEX","DENY","NTSL"},
'YearB-AppDetails Current Date'!I:I,"WINTER"))), "")</f>
        <v/>
      </c>
      <c r="M12" s="74" t="str" cm="1">
        <f t="array" ref="M12">IFERROR(1/(1/SUM(COUNTIFS(
'YearB-AppDetails Current Date'!A:A,D12,
'YearB-AppDetails Current Date'!F:F,E12,
'YearB-AppDetails Current Date'!E:E,--F12,
'YearB-AppDetails Current Date'!U:U,{"CCAN","DECL"},
'YearB-AppDetails Current Date'!I:I,"WINTER"))), "")</f>
        <v/>
      </c>
      <c r="N12" s="74" t="str" cm="1">
        <f t="array" ref="N12">IFERROR(1/(1/SUM(COUNTIFS(
'YearB-AppDetails Current Date'!A:A,D12,
'YearB-AppDetails Current Date'!F:F,E12,
'YearB-AppDetails Current Date'!E:E,--F12,
'YearB-AppDetails Current Date'!V:V,{"APRO","NODE"},
'YearB-AppDetails Current Date'!I:I,"WINTER"))), "")</f>
        <v/>
      </c>
      <c r="O12" s="74" t="str" cm="1">
        <f t="array" ref="O12">IFERROR(1/(1/SUM(COUNTIFS(
'YearB-AppDetails Current Date'!A:A,D12,
'YearB-AppDetails Current Date'!F:F,E12,
'YearB-AppDetails Current Date'!E:E,--F12,
'YearB-AppDetails Current Date'!T:T,{"CDMT","RQMT","WAIT"},
'YearB-AppDetails Current Date'!I:I,"WINTER"))), "")</f>
        <v/>
      </c>
      <c r="P12" s="74" t="str">
        <f>IFERROR(1/(1/COUNTIFS(
'YearB-AppDetails Current Date'!A:A,D12,
'YearB-AppDetails Current Date'!F:F,E12,
'YearB-AppDetails Current Date'!E:E,--F12,
'YearB-AppDetails Current Date'!Y:Y,"ENRO",
'YearB-AppDetails Current Date'!I:I,"WINTER")),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HC'!D:T,14,FALSE)),
N(VLOOKUP(D13&amp;F13,'Budgeted Projections Dom HC'!D:T,15,FALSE))
)
),"")</f>
        <v/>
      </c>
      <c r="I13" s="73" t="str">
        <f>IFERROR(1/(1/COUNTIFS(
'YearB-AppDetails Current Date'!A:A,D13,
'YearB-AppDetails Current Date'!F:F,E13,
'YearB-AppDetails Current Date'!E:E,--F13,
'YearB-AppDetails Current Date'!I:I,"WINTER")), "")</f>
        <v/>
      </c>
      <c r="J13" s="74" t="str" cm="1">
        <f t="array" ref="J13">IFERROR(1/(1/SUM(COUNTIFS(
'YearB-AppDetails Current Date'!A:A,D13,
'YearB-AppDetails Current Date'!F:F,E13,
'YearB-AppDetails Current Date'!E:E,--F13,
'YearB-AppDetails Current Date'!O:O,{"ACLN","ACPT","COND"},
'YearB-AppDetails Current Date'!S:S,"&lt;&gt;ACLN",
'YearB-AppDetails Current Date'!S:S,"&lt;&gt;ACPT",
'YearB-AppDetails Current Date'!S:S,"&lt;&gt;COND",
'YearB-AppDetails Current Date'!I:I,"WINTER"))), "")</f>
        <v/>
      </c>
      <c r="K13" s="73" t="str">
        <f>IFERROR(1/(1/SUM(COUNTIFS(
'YearB-AppDetails Current Date'!A:A,D13,
'YearB-AppDetails Current Date'!F:F,E13,
'YearB-AppDetails Current Date'!E:E,--F13,
'YearB-AppDetails Current Date'!R:R,"&lt;&gt;"&amp;"",
'YearB-AppDetails Current Date'!I:I,"WINTER"))), "")</f>
        <v/>
      </c>
      <c r="L13" s="74" t="str" cm="1">
        <f t="array" ref="L13">IFERROR(1/(1/SUM(COUNTIFS(
'YearB-AppDetails Current Date'!A:A,D13,
'YearB-AppDetails Current Date'!F:F,E13,
'YearB-AppDetails Current Date'!E:E,--F13,
'YearB-AppDetails Current Date'!T:T,{"APEX","DENY","NTSL"},
'YearB-AppDetails Current Date'!I:I,"WINTER"))), "")</f>
        <v/>
      </c>
      <c r="M13" s="74" t="str" cm="1">
        <f t="array" ref="M13">IFERROR(1/(1/SUM(COUNTIFS(
'YearB-AppDetails Current Date'!A:A,D13,
'YearB-AppDetails Current Date'!F:F,E13,
'YearB-AppDetails Current Date'!E:E,--F13,
'YearB-AppDetails Current Date'!U:U,{"CCAN","DECL"},
'YearB-AppDetails Current Date'!I:I,"WINTER"))), "")</f>
        <v/>
      </c>
      <c r="N13" s="74" t="str" cm="1">
        <f t="array" ref="N13">IFERROR(1/(1/SUM(COUNTIFS(
'YearB-AppDetails Current Date'!A:A,D13,
'YearB-AppDetails Current Date'!F:F,E13,
'YearB-AppDetails Current Date'!E:E,--F13,
'YearB-AppDetails Current Date'!V:V,{"APRO","NODE"},
'YearB-AppDetails Current Date'!I:I,"WINTER"))), "")</f>
        <v/>
      </c>
      <c r="O13" s="74" t="str" cm="1">
        <f t="array" ref="O13">IFERROR(1/(1/SUM(COUNTIFS(
'YearB-AppDetails Current Date'!A:A,D13,
'YearB-AppDetails Current Date'!F:F,E13,
'YearB-AppDetails Current Date'!E:E,--F13,
'YearB-AppDetails Current Date'!T:T,{"CDMT","RQMT","WAIT"},
'YearB-AppDetails Current Date'!I:I,"WINTER"))), "")</f>
        <v/>
      </c>
      <c r="P13" s="74" t="str">
        <f>IFERROR(1/(1/COUNTIFS(
'YearB-AppDetails Current Date'!A:A,D13,
'YearB-AppDetails Current Date'!F:F,E13,
'YearB-AppDetails Current Date'!E:E,--F13,
'YearB-AppDetails Current Date'!Y:Y,"ENRO",
'YearB-AppDetails Current Date'!I:I,"WINTER")),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HC'!D:T,14,FALSE)),
N(VLOOKUP(D14&amp;F14,'Budgeted Projections Intl HC'!D:T,15,FALSE))
)
),"")</f>
        <v/>
      </c>
      <c r="I14" s="73" t="str">
        <f>IFERROR(1/(1/COUNTIFS(
'YearB-AppDetails Current Date'!A:A,D14,
'YearB-AppDetails Current Date'!F:F,E14,
'YearB-AppDetails Current Date'!E:E,--F14,
'YearB-AppDetails Current Date'!I:I,"WINTER")), "")</f>
        <v/>
      </c>
      <c r="J14" s="74" t="str" cm="1">
        <f t="array" ref="J14">IFERROR(1/(1/SUM(COUNTIFS(
'YearB-AppDetails Current Date'!A:A,D14,
'YearB-AppDetails Current Date'!F:F,E14,
'YearB-AppDetails Current Date'!E:E,--F14,
'YearB-AppDetails Current Date'!O:O,{"ACLN","ACPT","COND"},
'YearB-AppDetails Current Date'!S:S,"&lt;&gt;ACLN",
'YearB-AppDetails Current Date'!S:S,"&lt;&gt;ACPT",
'YearB-AppDetails Current Date'!S:S,"&lt;&gt;COND",
'YearB-AppDetails Current Date'!I:I,"WINTER"))), "")</f>
        <v/>
      </c>
      <c r="K14" s="73" t="str">
        <f>IFERROR(1/(1/SUM(COUNTIFS(
'YearB-AppDetails Current Date'!A:A,D14,
'YearB-AppDetails Current Date'!F:F,E14,
'YearB-AppDetails Current Date'!E:E,--F14,
'YearB-AppDetails Current Date'!R:R,"&lt;&gt;"&amp;"",
'YearB-AppDetails Current Date'!I:I,"WINTER"))), "")</f>
        <v/>
      </c>
      <c r="L14" s="74" t="str" cm="1">
        <f t="array" ref="L14">IFERROR(1/(1/SUM(COUNTIFS(
'YearB-AppDetails Current Date'!A:A,D14,
'YearB-AppDetails Current Date'!F:F,E14,
'YearB-AppDetails Current Date'!E:E,--F14,
'YearB-AppDetails Current Date'!T:T,{"APEX","DENY","NTSL"},
'YearB-AppDetails Current Date'!I:I,"WINTER"))), "")</f>
        <v/>
      </c>
      <c r="M14" s="74" t="str" cm="1">
        <f t="array" ref="M14">IFERROR(1/(1/SUM(COUNTIFS(
'YearB-AppDetails Current Date'!A:A,D14,
'YearB-AppDetails Current Date'!F:F,E14,
'YearB-AppDetails Current Date'!E:E,--F14,
'YearB-AppDetails Current Date'!U:U,{"CCAN","DECL"},
'YearB-AppDetails Current Date'!I:I,"WINTER"))), "")</f>
        <v/>
      </c>
      <c r="N14" s="74" t="str" cm="1">
        <f t="array" ref="N14">IFERROR(1/(1/SUM(COUNTIFS(
'YearB-AppDetails Current Date'!A:A,D14,
'YearB-AppDetails Current Date'!F:F,E14,
'YearB-AppDetails Current Date'!E:E,--F14,
'YearB-AppDetails Current Date'!V:V,{"APRO","NODE"},
'YearB-AppDetails Current Date'!I:I,"WINTER"))), "")</f>
        <v/>
      </c>
      <c r="O14" s="74" t="str" cm="1">
        <f t="array" ref="O14">IFERROR(1/(1/SUM(COUNTIFS(
'YearB-AppDetails Current Date'!A:A,D14,
'YearB-AppDetails Current Date'!F:F,E14,
'YearB-AppDetails Current Date'!E:E,--F14,
'YearB-AppDetails Current Date'!T:T,{"CDMT","RQMT","WAIT"},
'YearB-AppDetails Current Date'!I:I,"WINTER"))), "")</f>
        <v/>
      </c>
      <c r="P14" s="74" t="str">
        <f>IFERROR(1/(1/COUNTIFS(
'YearB-AppDetails Current Date'!A:A,D14,
'YearB-AppDetails Current Date'!F:F,E14,
'YearB-AppDetails Current Date'!E:E,--F14,
'YearB-AppDetails Current Date'!Y:Y,"ENRO",
'YearB-AppDetails Current Date'!I:I,"WINTER")),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HC'!D:T,14,FALSE)),
N(VLOOKUP(D15&amp;F15,'Budgeted Projections Dom HC'!D:T,15,FALSE))
)
),"")</f>
        <v/>
      </c>
      <c r="I15" s="73" t="str">
        <f>IFERROR(1/(1/COUNTIFS(
'YearB-AppDetails Current Date'!A:A,D15,
'YearB-AppDetails Current Date'!F:F,E15,
'YearB-AppDetails Current Date'!E:E,--F15,
'YearB-AppDetails Current Date'!I:I,"WINTER")), "")</f>
        <v/>
      </c>
      <c r="J15" s="74" t="str" cm="1">
        <f t="array" ref="J15">IFERROR(1/(1/SUM(COUNTIFS(
'YearB-AppDetails Current Date'!A:A,D15,
'YearB-AppDetails Current Date'!F:F,E15,
'YearB-AppDetails Current Date'!E:E,--F15,
'YearB-AppDetails Current Date'!O:O,{"ACLN","ACPT","COND"},
'YearB-AppDetails Current Date'!S:S,"&lt;&gt;ACLN",
'YearB-AppDetails Current Date'!S:S,"&lt;&gt;ACPT",
'YearB-AppDetails Current Date'!S:S,"&lt;&gt;COND",
'YearB-AppDetails Current Date'!I:I,"WINTER"))), "")</f>
        <v/>
      </c>
      <c r="K15" s="73" t="str">
        <f>IFERROR(1/(1/SUM(COUNTIFS(
'YearB-AppDetails Current Date'!A:A,D15,
'YearB-AppDetails Current Date'!F:F,E15,
'YearB-AppDetails Current Date'!E:E,--F15,
'YearB-AppDetails Current Date'!R:R,"&lt;&gt;"&amp;"",
'YearB-AppDetails Current Date'!I:I,"WINTER"))), "")</f>
        <v/>
      </c>
      <c r="L15" s="74" t="str" cm="1">
        <f t="array" ref="L15">IFERROR(1/(1/SUM(COUNTIFS(
'YearB-AppDetails Current Date'!A:A,D15,
'YearB-AppDetails Current Date'!F:F,E15,
'YearB-AppDetails Current Date'!E:E,--F15,
'YearB-AppDetails Current Date'!T:T,{"APEX","DENY","NTSL"},
'YearB-AppDetails Current Date'!I:I,"WINTER"))), "")</f>
        <v/>
      </c>
      <c r="M15" s="74" t="str" cm="1">
        <f t="array" ref="M15">IFERROR(1/(1/SUM(COUNTIFS(
'YearB-AppDetails Current Date'!A:A,D15,
'YearB-AppDetails Current Date'!F:F,E15,
'YearB-AppDetails Current Date'!E:E,--F15,
'YearB-AppDetails Current Date'!U:U,{"CCAN","DECL"},
'YearB-AppDetails Current Date'!I:I,"WINTER"))), "")</f>
        <v/>
      </c>
      <c r="N15" s="74" t="str" cm="1">
        <f t="array" ref="N15">IFERROR(1/(1/SUM(COUNTIFS(
'YearB-AppDetails Current Date'!A:A,D15,
'YearB-AppDetails Current Date'!F:F,E15,
'YearB-AppDetails Current Date'!E:E,--F15,
'YearB-AppDetails Current Date'!V:V,{"APRO","NODE"},
'YearB-AppDetails Current Date'!I:I,"WINTER"))), "")</f>
        <v/>
      </c>
      <c r="O15" s="74" t="str" cm="1">
        <f t="array" ref="O15">IFERROR(1/(1/SUM(COUNTIFS(
'YearB-AppDetails Current Date'!A:A,D15,
'YearB-AppDetails Current Date'!F:F,E15,
'YearB-AppDetails Current Date'!E:E,--F15,
'YearB-AppDetails Current Date'!T:T,{"CDMT","RQMT","WAIT"},
'YearB-AppDetails Current Date'!I:I,"WINTER"))), "")</f>
        <v/>
      </c>
      <c r="P15" s="74" t="str">
        <f>IFERROR(1/(1/COUNTIFS(
'YearB-AppDetails Current Date'!A:A,D15,
'YearB-AppDetails Current Date'!F:F,E15,
'YearB-AppDetails Current Date'!E:E,--F15,
'YearB-AppDetails Current Date'!Y:Y,"ENRO",
'YearB-AppDetails Current Date'!I:I,"WINTER")),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HC'!D:T,14,FALSE)),
N(VLOOKUP(D16&amp;F16,'Budgeted Projections Intl HC'!D:T,15,FALSE))
)
),"")</f>
        <v/>
      </c>
      <c r="I16" s="73" t="str">
        <f>IFERROR(1/(1/COUNTIFS(
'YearB-AppDetails Current Date'!A:A,D16,
'YearB-AppDetails Current Date'!F:F,E16,
'YearB-AppDetails Current Date'!E:E,--F16,
'YearB-AppDetails Current Date'!I:I,"WINTER")), "")</f>
        <v/>
      </c>
      <c r="J16" s="74" t="str" cm="1">
        <f t="array" ref="J16">IFERROR(1/(1/SUM(COUNTIFS(
'YearB-AppDetails Current Date'!A:A,D16,
'YearB-AppDetails Current Date'!F:F,E16,
'YearB-AppDetails Current Date'!E:E,--F16,
'YearB-AppDetails Current Date'!O:O,{"ACLN","ACPT","COND"},
'YearB-AppDetails Current Date'!S:S,"&lt;&gt;ACLN",
'YearB-AppDetails Current Date'!S:S,"&lt;&gt;ACPT",
'YearB-AppDetails Current Date'!S:S,"&lt;&gt;COND",
'YearB-AppDetails Current Date'!I:I,"WINTER"))), "")</f>
        <v/>
      </c>
      <c r="K16" s="73" t="str">
        <f>IFERROR(1/(1/SUM(COUNTIFS(
'YearB-AppDetails Current Date'!A:A,D16,
'YearB-AppDetails Current Date'!F:F,E16,
'YearB-AppDetails Current Date'!E:E,--F16,
'YearB-AppDetails Current Date'!R:R,"&lt;&gt;"&amp;"",
'YearB-AppDetails Current Date'!I:I,"WINTER"))), "")</f>
        <v/>
      </c>
      <c r="L16" s="74" t="str" cm="1">
        <f t="array" ref="L16">IFERROR(1/(1/SUM(COUNTIFS(
'YearB-AppDetails Current Date'!A:A,D16,
'YearB-AppDetails Current Date'!F:F,E16,
'YearB-AppDetails Current Date'!E:E,--F16,
'YearB-AppDetails Current Date'!T:T,{"APEX","DENY","NTSL"},
'YearB-AppDetails Current Date'!I:I,"WINTER"))), "")</f>
        <v/>
      </c>
      <c r="M16" s="74" t="str" cm="1">
        <f t="array" ref="M16">IFERROR(1/(1/SUM(COUNTIFS(
'YearB-AppDetails Current Date'!A:A,D16,
'YearB-AppDetails Current Date'!F:F,E16,
'YearB-AppDetails Current Date'!E:E,--F16,
'YearB-AppDetails Current Date'!U:U,{"CCAN","DECL"},
'YearB-AppDetails Current Date'!I:I,"WINTER"))), "")</f>
        <v/>
      </c>
      <c r="N16" s="74" t="str" cm="1">
        <f t="array" ref="N16">IFERROR(1/(1/SUM(COUNTIFS(
'YearB-AppDetails Current Date'!A:A,D16,
'YearB-AppDetails Current Date'!F:F,E16,
'YearB-AppDetails Current Date'!E:E,--F16,
'YearB-AppDetails Current Date'!V:V,{"APRO","NODE"},
'YearB-AppDetails Current Date'!I:I,"WINTER"))), "")</f>
        <v/>
      </c>
      <c r="O16" s="74" t="str" cm="1">
        <f t="array" ref="O16">IFERROR(1/(1/SUM(COUNTIFS(
'YearB-AppDetails Current Date'!A:A,D16,
'YearB-AppDetails Current Date'!F:F,E16,
'YearB-AppDetails Current Date'!E:E,--F16,
'YearB-AppDetails Current Date'!T:T,{"CDMT","RQMT","WAIT"},
'YearB-AppDetails Current Date'!I:I,"WINTER"))), "")</f>
        <v/>
      </c>
      <c r="P16" s="74" t="str">
        <f>IFERROR(1/(1/COUNTIFS(
'YearB-AppDetails Current Date'!A:A,D16,
'YearB-AppDetails Current Date'!F:F,E16,
'YearB-AppDetails Current Date'!E:E,--F16,
'YearB-AppDetails Current Date'!Y:Y,"ENRO",
'YearB-AppDetails Current Date'!I:I,"WINTER")),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HC'!D:T,14,FALSE)),
N(VLOOKUP(D18&amp;F18,'Budgeted Projections Dom HC'!D:T,15,FALSE))
)
),"")</f>
        <v/>
      </c>
      <c r="I18" s="73" t="str">
        <f>IFERROR(1/(1/COUNTIFS(
'YearB-AppDetails Current Date'!A:A,D18,
'YearB-AppDetails Current Date'!F:F,E18,
'YearB-AppDetails Current Date'!E:E,--F18,
'YearB-AppDetails Current Date'!I:I,"WINTER")), "")</f>
        <v/>
      </c>
      <c r="J18" s="74" t="str" cm="1">
        <f t="array" ref="J18">IFERROR(1/(1/SUM(COUNTIFS(
'YearB-AppDetails Current Date'!A:A,D18,
'YearB-AppDetails Current Date'!F:F,E18,
'YearB-AppDetails Current Date'!E:E,--F18,
'YearB-AppDetails Current Date'!O:O,{"ACLN","ACPT","COND"},
'YearB-AppDetails Current Date'!S:S,"&lt;&gt;ACLN",
'YearB-AppDetails Current Date'!S:S,"&lt;&gt;ACPT",
'YearB-AppDetails Current Date'!S:S,"&lt;&gt;COND",
'YearB-AppDetails Current Date'!I:I,"WINTER"))), "")</f>
        <v/>
      </c>
      <c r="K18" s="73" t="str">
        <f>IFERROR(1/(1/SUM(COUNTIFS(
'YearB-AppDetails Current Date'!A:A,D18,
'YearB-AppDetails Current Date'!F:F,E18,
'YearB-AppDetails Current Date'!E:E,--F18,
'YearB-AppDetails Current Date'!R:R,"&lt;&gt;"&amp;"",
'YearB-AppDetails Current Date'!I:I,"WINTER"))), "")</f>
        <v/>
      </c>
      <c r="L18" s="74" t="str" cm="1">
        <f t="array" ref="L18">IFERROR(1/(1/SUM(COUNTIFS(
'YearB-AppDetails Current Date'!A:A,D18,
'YearB-AppDetails Current Date'!F:F,E18,
'YearB-AppDetails Current Date'!E:E,--F18,
'YearB-AppDetails Current Date'!T:T,{"APEX","DENY","NTSL"},
'YearB-AppDetails Current Date'!I:I,"WINTER"))), "")</f>
        <v/>
      </c>
      <c r="M18" s="74" t="str" cm="1">
        <f t="array" ref="M18">IFERROR(1/(1/SUM(COUNTIFS(
'YearB-AppDetails Current Date'!A:A,D18,
'YearB-AppDetails Current Date'!F:F,E18,
'YearB-AppDetails Current Date'!E:E,--F18,
'YearB-AppDetails Current Date'!U:U,{"CCAN","DECL"},
'YearB-AppDetails Current Date'!I:I,"WINTER"))), "")</f>
        <v/>
      </c>
      <c r="N18" s="74" t="str" cm="1">
        <f t="array" ref="N18">IFERROR(1/(1/SUM(COUNTIFS(
'YearB-AppDetails Current Date'!A:A,D18,
'YearB-AppDetails Current Date'!F:F,E18,
'YearB-AppDetails Current Date'!E:E,--F18,
'YearB-AppDetails Current Date'!V:V,{"APRO","NODE"},
'YearB-AppDetails Current Date'!I:I,"WINTER"))), "")</f>
        <v/>
      </c>
      <c r="O18" s="74" t="str" cm="1">
        <f t="array" ref="O18">IFERROR(1/(1/SUM(COUNTIFS(
'YearB-AppDetails Current Date'!A:A,D18,
'YearB-AppDetails Current Date'!F:F,E18,
'YearB-AppDetails Current Date'!E:E,--F18,
'YearB-AppDetails Current Date'!T:T,{"CDMT","RQMT","WAIT"},
'YearB-AppDetails Current Date'!I:I,"WINTER"))), "")</f>
        <v/>
      </c>
      <c r="P18" s="74" t="str">
        <f>IFERROR(1/(1/COUNTIFS(
'YearB-AppDetails Current Date'!A:A,D18,
'YearB-AppDetails Current Date'!F:F,E18,
'YearB-AppDetails Current Date'!E:E,--F18,
'YearB-AppDetails Current Date'!Y:Y,"ENRO",
'YearB-AppDetails Current Date'!I:I,"WINTER")),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HC'!D:T,14,FALSE)),
N(VLOOKUP(D19&amp;F19,'Budgeted Projections Intl HC'!D:T,15,FALSE))
)
),"")</f>
        <v/>
      </c>
      <c r="I19" s="73" t="str">
        <f>IFERROR(1/(1/COUNTIFS(
'YearB-AppDetails Current Date'!A:A,D19,
'YearB-AppDetails Current Date'!F:F,E19,
'YearB-AppDetails Current Date'!E:E,--F19,
'YearB-AppDetails Current Date'!I:I,"WINTER")), "")</f>
        <v/>
      </c>
      <c r="J19" s="74" t="str" cm="1">
        <f t="array" ref="J19">IFERROR(1/(1/SUM(COUNTIFS(
'YearB-AppDetails Current Date'!A:A,D19,
'YearB-AppDetails Current Date'!F:F,E19,
'YearB-AppDetails Current Date'!E:E,--F19,
'YearB-AppDetails Current Date'!O:O,{"ACLN","ACPT","COND"},
'YearB-AppDetails Current Date'!S:S,"&lt;&gt;ACLN",
'YearB-AppDetails Current Date'!S:S,"&lt;&gt;ACPT",
'YearB-AppDetails Current Date'!S:S,"&lt;&gt;COND",
'YearB-AppDetails Current Date'!I:I,"WINTER"))), "")</f>
        <v/>
      </c>
      <c r="K19" s="73" t="str">
        <f>IFERROR(1/(1/SUM(COUNTIFS(
'YearB-AppDetails Current Date'!A:A,D19,
'YearB-AppDetails Current Date'!F:F,E19,
'YearB-AppDetails Current Date'!E:E,--F19,
'YearB-AppDetails Current Date'!R:R,"&lt;&gt;"&amp;"",
'YearB-AppDetails Current Date'!I:I,"WINTER"))), "")</f>
        <v/>
      </c>
      <c r="L19" s="74" t="str" cm="1">
        <f t="array" ref="L19">IFERROR(1/(1/SUM(COUNTIFS(
'YearB-AppDetails Current Date'!A:A,D19,
'YearB-AppDetails Current Date'!F:F,E19,
'YearB-AppDetails Current Date'!E:E,--F19,
'YearB-AppDetails Current Date'!T:T,{"APEX","DENY","NTSL"},
'YearB-AppDetails Current Date'!I:I,"WINTER"))), "")</f>
        <v/>
      </c>
      <c r="M19" s="74" t="str" cm="1">
        <f t="array" ref="M19">IFERROR(1/(1/SUM(COUNTIFS(
'YearB-AppDetails Current Date'!A:A,D19,
'YearB-AppDetails Current Date'!F:F,E19,
'YearB-AppDetails Current Date'!E:E,--F19,
'YearB-AppDetails Current Date'!U:U,{"CCAN","DECL"},
'YearB-AppDetails Current Date'!I:I,"WINTER"))), "")</f>
        <v/>
      </c>
      <c r="N19" s="74" t="str" cm="1">
        <f t="array" ref="N19">IFERROR(1/(1/SUM(COUNTIFS(
'YearB-AppDetails Current Date'!A:A,D19,
'YearB-AppDetails Current Date'!F:F,E19,
'YearB-AppDetails Current Date'!E:E,--F19,
'YearB-AppDetails Current Date'!V:V,{"APRO","NODE"},
'YearB-AppDetails Current Date'!I:I,"WINTER"))), "")</f>
        <v/>
      </c>
      <c r="O19" s="74" t="str" cm="1">
        <f t="array" ref="O19">IFERROR(1/(1/SUM(COUNTIFS(
'YearB-AppDetails Current Date'!A:A,D19,
'YearB-AppDetails Current Date'!F:F,E19,
'YearB-AppDetails Current Date'!E:E,--F19,
'YearB-AppDetails Current Date'!T:T,{"CDMT","RQMT","WAIT"},
'YearB-AppDetails Current Date'!I:I,"WINTER"))), "")</f>
        <v/>
      </c>
      <c r="P19" s="74" t="str">
        <f>IFERROR(1/(1/COUNTIFS(
'YearB-AppDetails Current Date'!A:A,D19,
'YearB-AppDetails Current Date'!F:F,E19,
'YearB-AppDetails Current Date'!E:E,--F19,
'YearB-AppDetails Current Date'!Y:Y,"ENRO",
'YearB-AppDetails Current Date'!I:I,"WINTER")),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HC'!D:T,14,FALSE)),
N(VLOOKUP(D20&amp;F20,'Budgeted Projections Dom HC'!D:T,15,FALSE))
)
),"")</f>
        <v/>
      </c>
      <c r="I20" s="73" t="str">
        <f>IFERROR(1/(1/COUNTIFS(
'YearB-AppDetails Current Date'!A:A,D20,
'YearB-AppDetails Current Date'!F:F,E20,
'YearB-AppDetails Current Date'!E:E,--F20,
'YearB-AppDetails Current Date'!I:I,"WINTER")), "")</f>
        <v/>
      </c>
      <c r="J20" s="74" t="str" cm="1">
        <f t="array" ref="J20">IFERROR(1/(1/SUM(COUNTIFS(
'YearB-AppDetails Current Date'!A:A,D20,
'YearB-AppDetails Current Date'!F:F,E20,
'YearB-AppDetails Current Date'!E:E,--F20,
'YearB-AppDetails Current Date'!O:O,{"ACLN","ACPT","COND"},
'YearB-AppDetails Current Date'!S:S,"&lt;&gt;ACLN",
'YearB-AppDetails Current Date'!S:S,"&lt;&gt;ACPT",
'YearB-AppDetails Current Date'!S:S,"&lt;&gt;COND",
'YearB-AppDetails Current Date'!I:I,"WINTER"))), "")</f>
        <v/>
      </c>
      <c r="K20" s="73" t="str">
        <f>IFERROR(1/(1/SUM(COUNTIFS(
'YearB-AppDetails Current Date'!A:A,D20,
'YearB-AppDetails Current Date'!F:F,E20,
'YearB-AppDetails Current Date'!E:E,--F20,
'YearB-AppDetails Current Date'!R:R,"&lt;&gt;"&amp;"",
'YearB-AppDetails Current Date'!I:I,"WINTER"))), "")</f>
        <v/>
      </c>
      <c r="L20" s="74" t="str" cm="1">
        <f t="array" ref="L20">IFERROR(1/(1/SUM(COUNTIFS(
'YearB-AppDetails Current Date'!A:A,D20,
'YearB-AppDetails Current Date'!F:F,E20,
'YearB-AppDetails Current Date'!E:E,--F20,
'YearB-AppDetails Current Date'!T:T,{"APEX","DENY","NTSL"},
'YearB-AppDetails Current Date'!I:I,"WINTER"))), "")</f>
        <v/>
      </c>
      <c r="M20" s="74" t="str" cm="1">
        <f t="array" ref="M20">IFERROR(1/(1/SUM(COUNTIFS(
'YearB-AppDetails Current Date'!A:A,D20,
'YearB-AppDetails Current Date'!F:F,E20,
'YearB-AppDetails Current Date'!E:E,--F20,
'YearB-AppDetails Current Date'!U:U,{"CCAN","DECL"},
'YearB-AppDetails Current Date'!I:I,"WINTER"))), "")</f>
        <v/>
      </c>
      <c r="N20" s="74" t="str" cm="1">
        <f t="array" ref="N20">IFERROR(1/(1/SUM(COUNTIFS(
'YearB-AppDetails Current Date'!A:A,D20,
'YearB-AppDetails Current Date'!F:F,E20,
'YearB-AppDetails Current Date'!E:E,--F20,
'YearB-AppDetails Current Date'!V:V,{"APRO","NODE"},
'YearB-AppDetails Current Date'!I:I,"WINTER"))), "")</f>
        <v/>
      </c>
      <c r="O20" s="74" t="str" cm="1">
        <f t="array" ref="O20">IFERROR(1/(1/SUM(COUNTIFS(
'YearB-AppDetails Current Date'!A:A,D20,
'YearB-AppDetails Current Date'!F:F,E20,
'YearB-AppDetails Current Date'!E:E,--F20,
'YearB-AppDetails Current Date'!T:T,{"CDMT","RQMT","WAIT"},
'YearB-AppDetails Current Date'!I:I,"WINTER"))), "")</f>
        <v/>
      </c>
      <c r="P20" s="74" t="str">
        <f>IFERROR(1/(1/COUNTIFS(
'YearB-AppDetails Current Date'!A:A,D20,
'YearB-AppDetails Current Date'!F:F,E20,
'YearB-AppDetails Current Date'!E:E,--F20,
'YearB-AppDetails Current Date'!Y:Y,"ENRO",
'YearB-AppDetails Current Date'!I:I,"WINTER")),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HC'!D:T,14,FALSE)),
N(VLOOKUP(D21&amp;F21,'Budgeted Projections Intl HC'!D:T,15,FALSE))
)
),"")</f>
        <v/>
      </c>
      <c r="I21" s="73" t="str">
        <f>IFERROR(1/(1/COUNTIFS(
'YearB-AppDetails Current Date'!A:A,D21,
'YearB-AppDetails Current Date'!F:F,E21,
'YearB-AppDetails Current Date'!E:E,--F21,
'YearB-AppDetails Current Date'!I:I,"WINTER")), "")</f>
        <v/>
      </c>
      <c r="J21" s="74" t="str" cm="1">
        <f t="array" ref="J21">IFERROR(1/(1/SUM(COUNTIFS(
'YearB-AppDetails Current Date'!A:A,D21,
'YearB-AppDetails Current Date'!F:F,E21,
'YearB-AppDetails Current Date'!E:E,--F21,
'YearB-AppDetails Current Date'!O:O,{"ACLN","ACPT","COND"},
'YearB-AppDetails Current Date'!S:S,"&lt;&gt;ACLN",
'YearB-AppDetails Current Date'!S:S,"&lt;&gt;ACPT",
'YearB-AppDetails Current Date'!S:S,"&lt;&gt;COND",
'YearB-AppDetails Current Date'!I:I,"WINTER"))), "")</f>
        <v/>
      </c>
      <c r="K21" s="73" t="str">
        <f>IFERROR(1/(1/SUM(COUNTIFS(
'YearB-AppDetails Current Date'!A:A,D21,
'YearB-AppDetails Current Date'!F:F,E21,
'YearB-AppDetails Current Date'!E:E,--F21,
'YearB-AppDetails Current Date'!R:R,"&lt;&gt;"&amp;"",
'YearB-AppDetails Current Date'!I:I,"WINTER"))), "")</f>
        <v/>
      </c>
      <c r="L21" s="74" t="str" cm="1">
        <f t="array" ref="L21">IFERROR(1/(1/SUM(COUNTIFS(
'YearB-AppDetails Current Date'!A:A,D21,
'YearB-AppDetails Current Date'!F:F,E21,
'YearB-AppDetails Current Date'!E:E,--F21,
'YearB-AppDetails Current Date'!T:T,{"APEX","DENY","NTSL"},
'YearB-AppDetails Current Date'!I:I,"WINTER"))), "")</f>
        <v/>
      </c>
      <c r="M21" s="74" t="str" cm="1">
        <f t="array" ref="M21">IFERROR(1/(1/SUM(COUNTIFS(
'YearB-AppDetails Current Date'!A:A,D21,
'YearB-AppDetails Current Date'!F:F,E21,
'YearB-AppDetails Current Date'!E:E,--F21,
'YearB-AppDetails Current Date'!U:U,{"CCAN","DECL"},
'YearB-AppDetails Current Date'!I:I,"WINTER"))), "")</f>
        <v/>
      </c>
      <c r="N21" s="74" t="str" cm="1">
        <f t="array" ref="N21">IFERROR(1/(1/SUM(COUNTIFS(
'YearB-AppDetails Current Date'!A:A,D21,
'YearB-AppDetails Current Date'!F:F,E21,
'YearB-AppDetails Current Date'!E:E,--F21,
'YearB-AppDetails Current Date'!V:V,{"APRO","NODE"},
'YearB-AppDetails Current Date'!I:I,"WINTER"))), "")</f>
        <v/>
      </c>
      <c r="O21" s="74" t="str" cm="1">
        <f t="array" ref="O21">IFERROR(1/(1/SUM(COUNTIFS(
'YearB-AppDetails Current Date'!A:A,D21,
'YearB-AppDetails Current Date'!F:F,E21,
'YearB-AppDetails Current Date'!E:E,--F21,
'YearB-AppDetails Current Date'!T:T,{"CDMT","RQMT","WAIT"},
'YearB-AppDetails Current Date'!I:I,"WINTER"))), "")</f>
        <v/>
      </c>
      <c r="P21" s="74" t="str">
        <f>IFERROR(1/(1/COUNTIFS(
'YearB-AppDetails Current Date'!A:A,D21,
'YearB-AppDetails Current Date'!F:F,E21,
'YearB-AppDetails Current Date'!E:E,--F21,
'YearB-AppDetails Current Date'!Y:Y,"ENRO",
'YearB-AppDetails Current Date'!I:I,"WINTER")),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HC'!D:T,14,FALSE)),
N(VLOOKUP(D22&amp;F22,'Budgeted Projections Dom HC'!D:T,15,FALSE))
)
),"")</f>
        <v/>
      </c>
      <c r="I22" s="73" t="str">
        <f>IFERROR(1/(1/COUNTIFS(
'YearB-AppDetails Current Date'!A:A,D22,
'YearB-AppDetails Current Date'!F:F,E22,
'YearB-AppDetails Current Date'!E:E,--F22,
'YearB-AppDetails Current Date'!I:I,"WINTER")), "")</f>
        <v/>
      </c>
      <c r="J22" s="74" t="str" cm="1">
        <f t="array" ref="J22">IFERROR(1/(1/SUM(COUNTIFS(
'YearB-AppDetails Current Date'!A:A,D22,
'YearB-AppDetails Current Date'!F:F,E22,
'YearB-AppDetails Current Date'!E:E,--F22,
'YearB-AppDetails Current Date'!O:O,{"ACLN","ACPT","COND"},
'YearB-AppDetails Current Date'!S:S,"&lt;&gt;ACLN",
'YearB-AppDetails Current Date'!S:S,"&lt;&gt;ACPT",
'YearB-AppDetails Current Date'!S:S,"&lt;&gt;COND",
'YearB-AppDetails Current Date'!I:I,"WINTER"))), "")</f>
        <v/>
      </c>
      <c r="K22" s="73" t="str">
        <f>IFERROR(1/(1/SUM(COUNTIFS(
'YearB-AppDetails Current Date'!A:A,D22,
'YearB-AppDetails Current Date'!F:F,E22,
'YearB-AppDetails Current Date'!E:E,--F22,
'YearB-AppDetails Current Date'!R:R,"&lt;&gt;"&amp;"",
'YearB-AppDetails Current Date'!I:I,"WINTER"))), "")</f>
        <v/>
      </c>
      <c r="L22" s="74" t="str" cm="1">
        <f t="array" ref="L22">IFERROR(1/(1/SUM(COUNTIFS(
'YearB-AppDetails Current Date'!A:A,D22,
'YearB-AppDetails Current Date'!F:F,E22,
'YearB-AppDetails Current Date'!E:E,--F22,
'YearB-AppDetails Current Date'!T:T,{"APEX","DENY","NTSL"},
'YearB-AppDetails Current Date'!I:I,"WINTER"))), "")</f>
        <v/>
      </c>
      <c r="M22" s="74" t="str" cm="1">
        <f t="array" ref="M22">IFERROR(1/(1/SUM(COUNTIFS(
'YearB-AppDetails Current Date'!A:A,D22,
'YearB-AppDetails Current Date'!F:F,E22,
'YearB-AppDetails Current Date'!E:E,--F22,
'YearB-AppDetails Current Date'!U:U,{"CCAN","DECL"},
'YearB-AppDetails Current Date'!I:I,"WINTER"))), "")</f>
        <v/>
      </c>
      <c r="N22" s="74" t="str" cm="1">
        <f t="array" ref="N22">IFERROR(1/(1/SUM(COUNTIFS(
'YearB-AppDetails Current Date'!A:A,D22,
'YearB-AppDetails Current Date'!F:F,E22,
'YearB-AppDetails Current Date'!E:E,--F22,
'YearB-AppDetails Current Date'!V:V,{"APRO","NODE"},
'YearB-AppDetails Current Date'!I:I,"WINTER"))), "")</f>
        <v/>
      </c>
      <c r="O22" s="74" t="str" cm="1">
        <f t="array" ref="O22">IFERROR(1/(1/SUM(COUNTIFS(
'YearB-AppDetails Current Date'!A:A,D22,
'YearB-AppDetails Current Date'!F:F,E22,
'YearB-AppDetails Current Date'!E:E,--F22,
'YearB-AppDetails Current Date'!T:T,{"CDMT","RQMT","WAIT"},
'YearB-AppDetails Current Date'!I:I,"WINTER"))), "")</f>
        <v/>
      </c>
      <c r="P22" s="74" t="str">
        <f>IFERROR(1/(1/COUNTIFS(
'YearB-AppDetails Current Date'!A:A,D22,
'YearB-AppDetails Current Date'!F:F,E22,
'YearB-AppDetails Current Date'!E:E,--F22,
'YearB-AppDetails Current Date'!Y:Y,"ENRO",
'YearB-AppDetails Current Date'!I:I,"WINTER")),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HC'!D:T,14,FALSE)),
N(VLOOKUP(D23&amp;F23,'Budgeted Projections Intl HC'!D:T,15,FALSE))
)
),"")</f>
        <v/>
      </c>
      <c r="I23" s="73" t="str">
        <f>IFERROR(1/(1/COUNTIFS(
'YearB-AppDetails Current Date'!A:A,D23,
'YearB-AppDetails Current Date'!F:F,E23,
'YearB-AppDetails Current Date'!E:E,--F23,
'YearB-AppDetails Current Date'!I:I,"WINTER")), "")</f>
        <v/>
      </c>
      <c r="J23" s="74" t="str" cm="1">
        <f t="array" ref="J23">IFERROR(1/(1/SUM(COUNTIFS(
'YearB-AppDetails Current Date'!A:A,D23,
'YearB-AppDetails Current Date'!F:F,E23,
'YearB-AppDetails Current Date'!E:E,--F23,
'YearB-AppDetails Current Date'!O:O,{"ACLN","ACPT","COND"},
'YearB-AppDetails Current Date'!S:S,"&lt;&gt;ACLN",
'YearB-AppDetails Current Date'!S:S,"&lt;&gt;ACPT",
'YearB-AppDetails Current Date'!S:S,"&lt;&gt;COND",
'YearB-AppDetails Current Date'!I:I,"WINTER"))), "")</f>
        <v/>
      </c>
      <c r="K23" s="73" t="str">
        <f>IFERROR(1/(1/SUM(COUNTIFS(
'YearB-AppDetails Current Date'!A:A,D23,
'YearB-AppDetails Current Date'!F:F,E23,
'YearB-AppDetails Current Date'!E:E,--F23,
'YearB-AppDetails Current Date'!R:R,"&lt;&gt;"&amp;"",
'YearB-AppDetails Current Date'!I:I,"WINTER"))), "")</f>
        <v/>
      </c>
      <c r="L23" s="74" t="str" cm="1">
        <f t="array" ref="L23">IFERROR(1/(1/SUM(COUNTIFS(
'YearB-AppDetails Current Date'!A:A,D23,
'YearB-AppDetails Current Date'!F:F,E23,
'YearB-AppDetails Current Date'!E:E,--F23,
'YearB-AppDetails Current Date'!T:T,{"APEX","DENY","NTSL"},
'YearB-AppDetails Current Date'!I:I,"WINTER"))), "")</f>
        <v/>
      </c>
      <c r="M23" s="74" t="str" cm="1">
        <f t="array" ref="M23">IFERROR(1/(1/SUM(COUNTIFS(
'YearB-AppDetails Current Date'!A:A,D23,
'YearB-AppDetails Current Date'!F:F,E23,
'YearB-AppDetails Current Date'!E:E,--F23,
'YearB-AppDetails Current Date'!U:U,{"CCAN","DECL"},
'YearB-AppDetails Current Date'!I:I,"WINTER"))), "")</f>
        <v/>
      </c>
      <c r="N23" s="74" t="str" cm="1">
        <f t="array" ref="N23">IFERROR(1/(1/SUM(COUNTIFS(
'YearB-AppDetails Current Date'!A:A,D23,
'YearB-AppDetails Current Date'!F:F,E23,
'YearB-AppDetails Current Date'!E:E,--F23,
'YearB-AppDetails Current Date'!V:V,{"APRO","NODE"},
'YearB-AppDetails Current Date'!I:I,"WINTER"))), "")</f>
        <v/>
      </c>
      <c r="O23" s="74" t="str" cm="1">
        <f t="array" ref="O23">IFERROR(1/(1/SUM(COUNTIFS(
'YearB-AppDetails Current Date'!A:A,D23,
'YearB-AppDetails Current Date'!F:F,E23,
'YearB-AppDetails Current Date'!E:E,--F23,
'YearB-AppDetails Current Date'!T:T,{"CDMT","RQMT","WAIT"},
'YearB-AppDetails Current Date'!I:I,"WINTER"))), "")</f>
        <v/>
      </c>
      <c r="P23" s="74" t="str">
        <f>IFERROR(1/(1/COUNTIFS(
'YearB-AppDetails Current Date'!A:A,D23,
'YearB-AppDetails Current Date'!F:F,E23,
'YearB-AppDetails Current Date'!E:E,--F23,
'YearB-AppDetails Current Date'!Y:Y,"ENRO",
'YearB-AppDetails Current Date'!I:I,"WINTER")),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HC'!D:T,14,FALSE)),
N(VLOOKUP(D24&amp;F24,'Budgeted Projections Dom HC'!D:T,15,FALSE))
)
),"")</f>
        <v/>
      </c>
      <c r="I24" s="73" t="str">
        <f>IFERROR(1/(1/COUNTIFS(
'YearB-AppDetails Current Date'!A:A,D24,
'YearB-AppDetails Current Date'!F:F,E24,
'YearB-AppDetails Current Date'!E:E,--F24,
'YearB-AppDetails Current Date'!I:I,"WINTER")), "")</f>
        <v/>
      </c>
      <c r="J24" s="74" t="str" cm="1">
        <f t="array" ref="J24">IFERROR(1/(1/SUM(COUNTIFS(
'YearB-AppDetails Current Date'!A:A,D24,
'YearB-AppDetails Current Date'!F:F,E24,
'YearB-AppDetails Current Date'!E:E,--F24,
'YearB-AppDetails Current Date'!O:O,{"ACLN","ACPT","COND"},
'YearB-AppDetails Current Date'!S:S,"&lt;&gt;ACLN",
'YearB-AppDetails Current Date'!S:S,"&lt;&gt;ACPT",
'YearB-AppDetails Current Date'!S:S,"&lt;&gt;COND",
'YearB-AppDetails Current Date'!I:I,"WINTER"))), "")</f>
        <v/>
      </c>
      <c r="K24" s="73" t="str">
        <f>IFERROR(1/(1/SUM(COUNTIFS(
'YearB-AppDetails Current Date'!A:A,D24,
'YearB-AppDetails Current Date'!F:F,E24,
'YearB-AppDetails Current Date'!E:E,--F24,
'YearB-AppDetails Current Date'!R:R,"&lt;&gt;"&amp;"",
'YearB-AppDetails Current Date'!I:I,"WINTER"))), "")</f>
        <v/>
      </c>
      <c r="L24" s="74" t="str" cm="1">
        <f t="array" ref="L24">IFERROR(1/(1/SUM(COUNTIFS(
'YearB-AppDetails Current Date'!A:A,D24,
'YearB-AppDetails Current Date'!F:F,E24,
'YearB-AppDetails Current Date'!E:E,--F24,
'YearB-AppDetails Current Date'!T:T,{"APEX","DENY","NTSL"},
'YearB-AppDetails Current Date'!I:I,"WINTER"))), "")</f>
        <v/>
      </c>
      <c r="M24" s="74" t="str" cm="1">
        <f t="array" ref="M24">IFERROR(1/(1/SUM(COUNTIFS(
'YearB-AppDetails Current Date'!A:A,D24,
'YearB-AppDetails Current Date'!F:F,E24,
'YearB-AppDetails Current Date'!E:E,--F24,
'YearB-AppDetails Current Date'!U:U,{"CCAN","DECL"},
'YearB-AppDetails Current Date'!I:I,"WINTER"))), "")</f>
        <v/>
      </c>
      <c r="N24" s="74" t="str" cm="1">
        <f t="array" ref="N24">IFERROR(1/(1/SUM(COUNTIFS(
'YearB-AppDetails Current Date'!A:A,D24,
'YearB-AppDetails Current Date'!F:F,E24,
'YearB-AppDetails Current Date'!E:E,--F24,
'YearB-AppDetails Current Date'!V:V,{"APRO","NODE"},
'YearB-AppDetails Current Date'!I:I,"WINTER"))), "")</f>
        <v/>
      </c>
      <c r="O24" s="74" t="str" cm="1">
        <f t="array" ref="O24">IFERROR(1/(1/SUM(COUNTIFS(
'YearB-AppDetails Current Date'!A:A,D24,
'YearB-AppDetails Current Date'!F:F,E24,
'YearB-AppDetails Current Date'!E:E,--F24,
'YearB-AppDetails Current Date'!T:T,{"CDMT","RQMT","WAIT"},
'YearB-AppDetails Current Date'!I:I,"WINTER"))), "")</f>
        <v/>
      </c>
      <c r="P24" s="74" t="str">
        <f>IFERROR(1/(1/COUNTIFS(
'YearB-AppDetails Current Date'!A:A,D24,
'YearB-AppDetails Current Date'!F:F,E24,
'YearB-AppDetails Current Date'!E:E,--F24,
'YearB-AppDetails Current Date'!Y:Y,"ENRO",
'YearB-AppDetails Current Date'!I:I,"WINTER")),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HC'!D:T,14,FALSE)),
N(VLOOKUP(D25&amp;F25,'Budgeted Projections Intl HC'!D:T,15,FALSE))
)
),"")</f>
        <v/>
      </c>
      <c r="I25" s="73" t="str">
        <f>IFERROR(1/(1/COUNTIFS(
'YearB-AppDetails Current Date'!A:A,D25,
'YearB-AppDetails Current Date'!F:F,E25,
'YearB-AppDetails Current Date'!E:E,--F25,
'YearB-AppDetails Current Date'!I:I,"WINTER")), "")</f>
        <v/>
      </c>
      <c r="J25" s="74" t="str" cm="1">
        <f t="array" ref="J25">IFERROR(1/(1/SUM(COUNTIFS(
'YearB-AppDetails Current Date'!A:A,D25,
'YearB-AppDetails Current Date'!F:F,E25,
'YearB-AppDetails Current Date'!E:E,--F25,
'YearB-AppDetails Current Date'!O:O,{"ACLN","ACPT","COND"},
'YearB-AppDetails Current Date'!S:S,"&lt;&gt;ACLN",
'YearB-AppDetails Current Date'!S:S,"&lt;&gt;ACPT",
'YearB-AppDetails Current Date'!S:S,"&lt;&gt;COND",
'YearB-AppDetails Current Date'!I:I,"WINTER"))), "")</f>
        <v/>
      </c>
      <c r="K25" s="73" t="str">
        <f>IFERROR(1/(1/SUM(COUNTIFS(
'YearB-AppDetails Current Date'!A:A,D25,
'YearB-AppDetails Current Date'!F:F,E25,
'YearB-AppDetails Current Date'!E:E,--F25,
'YearB-AppDetails Current Date'!R:R,"&lt;&gt;"&amp;"",
'YearB-AppDetails Current Date'!I:I,"WINTER"))), "")</f>
        <v/>
      </c>
      <c r="L25" s="74" t="str" cm="1">
        <f t="array" ref="L25">IFERROR(1/(1/SUM(COUNTIFS(
'YearB-AppDetails Current Date'!A:A,D25,
'YearB-AppDetails Current Date'!F:F,E25,
'YearB-AppDetails Current Date'!E:E,--F25,
'YearB-AppDetails Current Date'!T:T,{"APEX","DENY","NTSL"},
'YearB-AppDetails Current Date'!I:I,"WINTER"))), "")</f>
        <v/>
      </c>
      <c r="M25" s="74" t="str" cm="1">
        <f t="array" ref="M25">IFERROR(1/(1/SUM(COUNTIFS(
'YearB-AppDetails Current Date'!A:A,D25,
'YearB-AppDetails Current Date'!F:F,E25,
'YearB-AppDetails Current Date'!E:E,--F25,
'YearB-AppDetails Current Date'!U:U,{"CCAN","DECL"},
'YearB-AppDetails Current Date'!I:I,"WINTER"))), "")</f>
        <v/>
      </c>
      <c r="N25" s="74" t="str" cm="1">
        <f t="array" ref="N25">IFERROR(1/(1/SUM(COUNTIFS(
'YearB-AppDetails Current Date'!A:A,D25,
'YearB-AppDetails Current Date'!F:F,E25,
'YearB-AppDetails Current Date'!E:E,--F25,
'YearB-AppDetails Current Date'!V:V,{"APRO","NODE"},
'YearB-AppDetails Current Date'!I:I,"WINTER"))), "")</f>
        <v/>
      </c>
      <c r="O25" s="74" t="str" cm="1">
        <f t="array" ref="O25">IFERROR(1/(1/SUM(COUNTIFS(
'YearB-AppDetails Current Date'!A:A,D25,
'YearB-AppDetails Current Date'!F:F,E25,
'YearB-AppDetails Current Date'!E:E,--F25,
'YearB-AppDetails Current Date'!T:T,{"CDMT","RQMT","WAIT"},
'YearB-AppDetails Current Date'!I:I,"WINTER"))), "")</f>
        <v/>
      </c>
      <c r="P25" s="74" t="str">
        <f>IFERROR(1/(1/COUNTIFS(
'YearB-AppDetails Current Date'!A:A,D25,
'YearB-AppDetails Current Date'!F:F,E25,
'YearB-AppDetails Current Date'!E:E,--F25,
'YearB-AppDetails Current Date'!Y:Y,"ENRO",
'YearB-AppDetails Current Date'!I:I,"WINTER")),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HC'!D:T,14,FALSE)),
N(VLOOKUP(D26&amp;F26,'Budgeted Projections Dom HC'!D:T,15,FALSE))
)
),"")</f>
        <v/>
      </c>
      <c r="I26" s="73" t="str">
        <f>IFERROR(1/(1/COUNTIFS(
'YearB-AppDetails Current Date'!A:A,D26,
'YearB-AppDetails Current Date'!F:F,E26,
'YearB-AppDetails Current Date'!E:E,--F26,
'YearB-AppDetails Current Date'!I:I,"WINTER")), "")</f>
        <v/>
      </c>
      <c r="J26" s="74" t="str" cm="1">
        <f t="array" ref="J26">IFERROR(1/(1/SUM(COUNTIFS(
'YearB-AppDetails Current Date'!A:A,D26,
'YearB-AppDetails Current Date'!F:F,E26,
'YearB-AppDetails Current Date'!E:E,--F26,
'YearB-AppDetails Current Date'!O:O,{"ACLN","ACPT","COND"},
'YearB-AppDetails Current Date'!S:S,"&lt;&gt;ACLN",
'YearB-AppDetails Current Date'!S:S,"&lt;&gt;ACPT",
'YearB-AppDetails Current Date'!S:S,"&lt;&gt;COND",
'YearB-AppDetails Current Date'!I:I,"WINTER"))), "")</f>
        <v/>
      </c>
      <c r="K26" s="73" t="str">
        <f>IFERROR(1/(1/SUM(COUNTIFS(
'YearB-AppDetails Current Date'!A:A,D26,
'YearB-AppDetails Current Date'!F:F,E26,
'YearB-AppDetails Current Date'!E:E,--F26,
'YearB-AppDetails Current Date'!R:R,"&lt;&gt;"&amp;"",
'YearB-AppDetails Current Date'!I:I,"WINTER"))), "")</f>
        <v/>
      </c>
      <c r="L26" s="74" t="str" cm="1">
        <f t="array" ref="L26">IFERROR(1/(1/SUM(COUNTIFS(
'YearB-AppDetails Current Date'!A:A,D26,
'YearB-AppDetails Current Date'!F:F,E26,
'YearB-AppDetails Current Date'!E:E,--F26,
'YearB-AppDetails Current Date'!T:T,{"APEX","DENY","NTSL"},
'YearB-AppDetails Current Date'!I:I,"WINTER"))), "")</f>
        <v/>
      </c>
      <c r="M26" s="74" t="str" cm="1">
        <f t="array" ref="M26">IFERROR(1/(1/SUM(COUNTIFS(
'YearB-AppDetails Current Date'!A:A,D26,
'YearB-AppDetails Current Date'!F:F,E26,
'YearB-AppDetails Current Date'!E:E,--F26,
'YearB-AppDetails Current Date'!U:U,{"CCAN","DECL"},
'YearB-AppDetails Current Date'!I:I,"WINTER"))), "")</f>
        <v/>
      </c>
      <c r="N26" s="74" t="str" cm="1">
        <f t="array" ref="N26">IFERROR(1/(1/SUM(COUNTIFS(
'YearB-AppDetails Current Date'!A:A,D26,
'YearB-AppDetails Current Date'!F:F,E26,
'YearB-AppDetails Current Date'!E:E,--F26,
'YearB-AppDetails Current Date'!V:V,{"APRO","NODE"},
'YearB-AppDetails Current Date'!I:I,"WINTER"))), "")</f>
        <v/>
      </c>
      <c r="O26" s="74" t="str" cm="1">
        <f t="array" ref="O26">IFERROR(1/(1/SUM(COUNTIFS(
'YearB-AppDetails Current Date'!A:A,D26,
'YearB-AppDetails Current Date'!F:F,E26,
'YearB-AppDetails Current Date'!E:E,--F26,
'YearB-AppDetails Current Date'!T:T,{"CDMT","RQMT","WAIT"},
'YearB-AppDetails Current Date'!I:I,"WINTER"))), "")</f>
        <v/>
      </c>
      <c r="P26" s="74" t="str">
        <f>IFERROR(1/(1/COUNTIFS(
'YearB-AppDetails Current Date'!A:A,D26,
'YearB-AppDetails Current Date'!F:F,E26,
'YearB-AppDetails Current Date'!E:E,--F26,
'YearB-AppDetails Current Date'!Y:Y,"ENRO",
'YearB-AppDetails Current Date'!I:I,"WINTER")),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HC'!D:T,14,FALSE)),
N(VLOOKUP(D27&amp;F27,'Budgeted Projections Intl HC'!D:T,15,FALSE))
)
),"")</f>
        <v/>
      </c>
      <c r="I27" s="73" t="str">
        <f>IFERROR(1/(1/COUNTIFS(
'YearB-AppDetails Current Date'!A:A,D27,
'YearB-AppDetails Current Date'!F:F,E27,
'YearB-AppDetails Current Date'!E:E,--F27,
'YearB-AppDetails Current Date'!I:I,"WINTER")), "")</f>
        <v/>
      </c>
      <c r="J27" s="74" t="str" cm="1">
        <f t="array" ref="J27">IFERROR(1/(1/SUM(COUNTIFS(
'YearB-AppDetails Current Date'!A:A,D27,
'YearB-AppDetails Current Date'!F:F,E27,
'YearB-AppDetails Current Date'!E:E,--F27,
'YearB-AppDetails Current Date'!O:O,{"ACLN","ACPT","COND"},
'YearB-AppDetails Current Date'!S:S,"&lt;&gt;ACLN",
'YearB-AppDetails Current Date'!S:S,"&lt;&gt;ACPT",
'YearB-AppDetails Current Date'!S:S,"&lt;&gt;COND",
'YearB-AppDetails Current Date'!I:I,"WINTER"))), "")</f>
        <v/>
      </c>
      <c r="K27" s="73" t="str">
        <f>IFERROR(1/(1/SUM(COUNTIFS(
'YearB-AppDetails Current Date'!A:A,D27,
'YearB-AppDetails Current Date'!F:F,E27,
'YearB-AppDetails Current Date'!E:E,--F27,
'YearB-AppDetails Current Date'!R:R,"&lt;&gt;"&amp;"",
'YearB-AppDetails Current Date'!I:I,"WINTER"))), "")</f>
        <v/>
      </c>
      <c r="L27" s="74" t="str" cm="1">
        <f t="array" ref="L27">IFERROR(1/(1/SUM(COUNTIFS(
'YearB-AppDetails Current Date'!A:A,D27,
'YearB-AppDetails Current Date'!F:F,E27,
'YearB-AppDetails Current Date'!E:E,--F27,
'YearB-AppDetails Current Date'!T:T,{"APEX","DENY","NTSL"},
'YearB-AppDetails Current Date'!I:I,"WINTER"))), "")</f>
        <v/>
      </c>
      <c r="M27" s="74" t="str" cm="1">
        <f t="array" ref="M27">IFERROR(1/(1/SUM(COUNTIFS(
'YearB-AppDetails Current Date'!A:A,D27,
'YearB-AppDetails Current Date'!F:F,E27,
'YearB-AppDetails Current Date'!E:E,--F27,
'YearB-AppDetails Current Date'!U:U,{"CCAN","DECL"},
'YearB-AppDetails Current Date'!I:I,"WINTER"))), "")</f>
        <v/>
      </c>
      <c r="N27" s="74" t="str" cm="1">
        <f t="array" ref="N27">IFERROR(1/(1/SUM(COUNTIFS(
'YearB-AppDetails Current Date'!A:A,D27,
'YearB-AppDetails Current Date'!F:F,E27,
'YearB-AppDetails Current Date'!E:E,--F27,
'YearB-AppDetails Current Date'!V:V,{"APRO","NODE"},
'YearB-AppDetails Current Date'!I:I,"WINTER"))), "")</f>
        <v/>
      </c>
      <c r="O27" s="74" t="str" cm="1">
        <f t="array" ref="O27">IFERROR(1/(1/SUM(COUNTIFS(
'YearB-AppDetails Current Date'!A:A,D27,
'YearB-AppDetails Current Date'!F:F,E27,
'YearB-AppDetails Current Date'!E:E,--F27,
'YearB-AppDetails Current Date'!T:T,{"CDMT","RQMT","WAIT"},
'YearB-AppDetails Current Date'!I:I,"WINTER"))), "")</f>
        <v/>
      </c>
      <c r="P27" s="74" t="str">
        <f>IFERROR(1/(1/COUNTIFS(
'YearB-AppDetails Current Date'!A:A,D27,
'YearB-AppDetails Current Date'!F:F,E27,
'YearB-AppDetails Current Date'!E:E,--F27,
'YearB-AppDetails Current Date'!Y:Y,"ENRO",
'YearB-AppDetails Current Date'!I:I,"WINTER")),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HC'!D:T,14,FALSE)),
N(VLOOKUP(D29&amp;F29,'Budgeted Projections Dom HC'!D:T,15,FALSE))
)
),"")</f>
        <v/>
      </c>
      <c r="I29" s="73" t="str">
        <f>IFERROR(1/(1/COUNTIFS(
'YearB-AppDetails Current Date'!A:A,D29,
'YearB-AppDetails Current Date'!F:F,E29,
'YearB-AppDetails Current Date'!E:E,--F29,
'YearB-AppDetails Current Date'!I:I,"WINTER")), "")</f>
        <v/>
      </c>
      <c r="J29" s="74" t="str" cm="1">
        <f t="array" ref="J29">IFERROR(1/(1/SUM(COUNTIFS(
'YearB-AppDetails Current Date'!A:A,D29,
'YearB-AppDetails Current Date'!F:F,E29,
'YearB-AppDetails Current Date'!E:E,--F29,
'YearB-AppDetails Current Date'!O:O,{"ACLN","ACPT","COND"},
'YearB-AppDetails Current Date'!S:S,"&lt;&gt;ACLN",
'YearB-AppDetails Current Date'!S:S,"&lt;&gt;ACPT",
'YearB-AppDetails Current Date'!S:S,"&lt;&gt;COND",
'YearB-AppDetails Current Date'!I:I,"WINTER"))), "")</f>
        <v/>
      </c>
      <c r="K29" s="73" t="str">
        <f>IFERROR(1/(1/SUM(COUNTIFS(
'YearB-AppDetails Current Date'!A:A,D29,
'YearB-AppDetails Current Date'!F:F,E29,
'YearB-AppDetails Current Date'!E:E,--F29,
'YearB-AppDetails Current Date'!R:R,"&lt;&gt;"&amp;"",
'YearB-AppDetails Current Date'!I:I,"WINTER"))), "")</f>
        <v/>
      </c>
      <c r="L29" s="74" t="str" cm="1">
        <f t="array" ref="L29">IFERROR(1/(1/SUM(COUNTIFS(
'YearB-AppDetails Current Date'!A:A,D29,
'YearB-AppDetails Current Date'!F:F,E29,
'YearB-AppDetails Current Date'!E:E,--F29,
'YearB-AppDetails Current Date'!T:T,{"APEX","DENY","NTSL"},
'YearB-AppDetails Current Date'!I:I,"WINTER"))), "")</f>
        <v/>
      </c>
      <c r="M29" s="74" t="str" cm="1">
        <f t="array" ref="M29">IFERROR(1/(1/SUM(COUNTIFS(
'YearB-AppDetails Current Date'!A:A,D29,
'YearB-AppDetails Current Date'!F:F,E29,
'YearB-AppDetails Current Date'!E:E,--F29,
'YearB-AppDetails Current Date'!U:U,{"CCAN","DECL"},
'YearB-AppDetails Current Date'!I:I,"WINTER"))), "")</f>
        <v/>
      </c>
      <c r="N29" s="74" t="str" cm="1">
        <f t="array" ref="N29">IFERROR(1/(1/SUM(COUNTIFS(
'YearB-AppDetails Current Date'!A:A,D29,
'YearB-AppDetails Current Date'!F:F,E29,
'YearB-AppDetails Current Date'!E:E,--F29,
'YearB-AppDetails Current Date'!V:V,{"APRO","NODE"},
'YearB-AppDetails Current Date'!I:I,"WINTER"))), "")</f>
        <v/>
      </c>
      <c r="O29" s="74" t="str" cm="1">
        <f t="array" ref="O29">IFERROR(1/(1/SUM(COUNTIFS(
'YearB-AppDetails Current Date'!A:A,D29,
'YearB-AppDetails Current Date'!F:F,E29,
'YearB-AppDetails Current Date'!E:E,--F29,
'YearB-AppDetails Current Date'!T:T,{"CDMT","RQMT","WAIT"},
'YearB-AppDetails Current Date'!I:I,"WINTER"))), "")</f>
        <v/>
      </c>
      <c r="P29" s="74" t="str">
        <f>IFERROR(1/(1/COUNTIFS(
'YearB-AppDetails Current Date'!A:A,D29,
'YearB-AppDetails Current Date'!F:F,E29,
'YearB-AppDetails Current Date'!E:E,--F29,
'YearB-AppDetails Current Date'!Y:Y,"ENRO",
'YearB-AppDetails Current Date'!I:I,"WINTER")),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HC'!D:T,14,FALSE)),
N(VLOOKUP(D30&amp;F30,'Budgeted Projections Intl HC'!D:T,15,FALSE))
)
),"")</f>
        <v/>
      </c>
      <c r="I30" s="73" t="str">
        <f>IFERROR(1/(1/COUNTIFS(
'YearB-AppDetails Current Date'!A:A,D30,
'YearB-AppDetails Current Date'!F:F,E30,
'YearB-AppDetails Current Date'!E:E,--F30,
'YearB-AppDetails Current Date'!I:I,"WINTER")), "")</f>
        <v/>
      </c>
      <c r="J30" s="74" t="str" cm="1">
        <f t="array" ref="J30">IFERROR(1/(1/SUM(COUNTIFS(
'YearB-AppDetails Current Date'!A:A,D30,
'YearB-AppDetails Current Date'!F:F,E30,
'YearB-AppDetails Current Date'!E:E,--F30,
'YearB-AppDetails Current Date'!O:O,{"ACLN","ACPT","COND"},
'YearB-AppDetails Current Date'!S:S,"&lt;&gt;ACLN",
'YearB-AppDetails Current Date'!S:S,"&lt;&gt;ACPT",
'YearB-AppDetails Current Date'!S:S,"&lt;&gt;COND",
'YearB-AppDetails Current Date'!I:I,"WINTER"))), "")</f>
        <v/>
      </c>
      <c r="K30" s="73" t="str">
        <f>IFERROR(1/(1/SUM(COUNTIFS(
'YearB-AppDetails Current Date'!A:A,D30,
'YearB-AppDetails Current Date'!F:F,E30,
'YearB-AppDetails Current Date'!E:E,--F30,
'YearB-AppDetails Current Date'!R:R,"&lt;&gt;"&amp;"",
'YearB-AppDetails Current Date'!I:I,"WINTER"))), "")</f>
        <v/>
      </c>
      <c r="L30" s="74" t="str" cm="1">
        <f t="array" ref="L30">IFERROR(1/(1/SUM(COUNTIFS(
'YearB-AppDetails Current Date'!A:A,D30,
'YearB-AppDetails Current Date'!F:F,E30,
'YearB-AppDetails Current Date'!E:E,--F30,
'YearB-AppDetails Current Date'!T:T,{"APEX","DENY","NTSL"},
'YearB-AppDetails Current Date'!I:I,"WINTER"))), "")</f>
        <v/>
      </c>
      <c r="M30" s="74" t="str" cm="1">
        <f t="array" ref="M30">IFERROR(1/(1/SUM(COUNTIFS(
'YearB-AppDetails Current Date'!A:A,D30,
'YearB-AppDetails Current Date'!F:F,E30,
'YearB-AppDetails Current Date'!E:E,--F30,
'YearB-AppDetails Current Date'!U:U,{"CCAN","DECL"},
'YearB-AppDetails Current Date'!I:I,"WINTER"))), "")</f>
        <v/>
      </c>
      <c r="N30" s="74" t="str" cm="1">
        <f t="array" ref="N30">IFERROR(1/(1/SUM(COUNTIFS(
'YearB-AppDetails Current Date'!A:A,D30,
'YearB-AppDetails Current Date'!F:F,E30,
'YearB-AppDetails Current Date'!E:E,--F30,
'YearB-AppDetails Current Date'!V:V,{"APRO","NODE"},
'YearB-AppDetails Current Date'!I:I,"WINTER"))), "")</f>
        <v/>
      </c>
      <c r="O30" s="74" t="str" cm="1">
        <f t="array" ref="O30">IFERROR(1/(1/SUM(COUNTIFS(
'YearB-AppDetails Current Date'!A:A,D30,
'YearB-AppDetails Current Date'!F:F,E30,
'YearB-AppDetails Current Date'!E:E,--F30,
'YearB-AppDetails Current Date'!T:T,{"CDMT","RQMT","WAIT"},
'YearB-AppDetails Current Date'!I:I,"WINTER"))), "")</f>
        <v/>
      </c>
      <c r="P30" s="74" t="str">
        <f>IFERROR(1/(1/COUNTIFS(
'YearB-AppDetails Current Date'!A:A,D30,
'YearB-AppDetails Current Date'!F:F,E30,
'YearB-AppDetails Current Date'!E:E,--F30,
'YearB-AppDetails Current Date'!Y:Y,"ENRO",
'YearB-AppDetails Current Date'!I:I,"WINTER")),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HC'!D:T,14,FALSE)),
N(VLOOKUP(D31&amp;F31,'Budgeted Projections Dom HC'!D:T,15,FALSE))
)
),"")</f>
        <v/>
      </c>
      <c r="I31" s="73" t="str">
        <f>IFERROR(1/(1/COUNTIFS(
'YearB-AppDetails Current Date'!A:A,D31,
'YearB-AppDetails Current Date'!F:F,E31,
'YearB-AppDetails Current Date'!E:E,--F31,
'YearB-AppDetails Current Date'!I:I,"WINTER")), "")</f>
        <v/>
      </c>
      <c r="J31" s="74" t="str" cm="1">
        <f t="array" ref="J31">IFERROR(1/(1/SUM(COUNTIFS(
'YearB-AppDetails Current Date'!A:A,D31,
'YearB-AppDetails Current Date'!F:F,E31,
'YearB-AppDetails Current Date'!E:E,--F31,
'YearB-AppDetails Current Date'!O:O,{"ACLN","ACPT","COND"},
'YearB-AppDetails Current Date'!S:S,"&lt;&gt;ACLN",
'YearB-AppDetails Current Date'!S:S,"&lt;&gt;ACPT",
'YearB-AppDetails Current Date'!S:S,"&lt;&gt;COND",
'YearB-AppDetails Current Date'!I:I,"WINTER"))), "")</f>
        <v/>
      </c>
      <c r="K31" s="73" t="str">
        <f>IFERROR(1/(1/SUM(COUNTIFS(
'YearB-AppDetails Current Date'!A:A,D31,
'YearB-AppDetails Current Date'!F:F,E31,
'YearB-AppDetails Current Date'!E:E,--F31,
'YearB-AppDetails Current Date'!R:R,"&lt;&gt;"&amp;"",
'YearB-AppDetails Current Date'!I:I,"WINTER"))), "")</f>
        <v/>
      </c>
      <c r="L31" s="74" t="str" cm="1">
        <f t="array" ref="L31">IFERROR(1/(1/SUM(COUNTIFS(
'YearB-AppDetails Current Date'!A:A,D31,
'YearB-AppDetails Current Date'!F:F,E31,
'YearB-AppDetails Current Date'!E:E,--F31,
'YearB-AppDetails Current Date'!T:T,{"APEX","DENY","NTSL"},
'YearB-AppDetails Current Date'!I:I,"WINTER"))), "")</f>
        <v/>
      </c>
      <c r="M31" s="74" t="str" cm="1">
        <f t="array" ref="M31">IFERROR(1/(1/SUM(COUNTIFS(
'YearB-AppDetails Current Date'!A:A,D31,
'YearB-AppDetails Current Date'!F:F,E31,
'YearB-AppDetails Current Date'!E:E,--F31,
'YearB-AppDetails Current Date'!U:U,{"CCAN","DECL"},
'YearB-AppDetails Current Date'!I:I,"WINTER"))), "")</f>
        <v/>
      </c>
      <c r="N31" s="74" t="str" cm="1">
        <f t="array" ref="N31">IFERROR(1/(1/SUM(COUNTIFS(
'YearB-AppDetails Current Date'!A:A,D31,
'YearB-AppDetails Current Date'!F:F,E31,
'YearB-AppDetails Current Date'!E:E,--F31,
'YearB-AppDetails Current Date'!V:V,{"APRO","NODE"},
'YearB-AppDetails Current Date'!I:I,"WINTER"))), "")</f>
        <v/>
      </c>
      <c r="O31" s="74" t="str" cm="1">
        <f t="array" ref="O31">IFERROR(1/(1/SUM(COUNTIFS(
'YearB-AppDetails Current Date'!A:A,D31,
'YearB-AppDetails Current Date'!F:F,E31,
'YearB-AppDetails Current Date'!E:E,--F31,
'YearB-AppDetails Current Date'!T:T,{"CDMT","RQMT","WAIT"},
'YearB-AppDetails Current Date'!I:I,"WINTER"))), "")</f>
        <v/>
      </c>
      <c r="P31" s="74" t="str">
        <f>IFERROR(1/(1/COUNTIFS(
'YearB-AppDetails Current Date'!A:A,D31,
'YearB-AppDetails Current Date'!F:F,E31,
'YearB-AppDetails Current Date'!E:E,--F31,
'YearB-AppDetails Current Date'!Y:Y,"ENRO",
'YearB-AppDetails Current Date'!I:I,"WINTER")),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HC'!D:T,14,FALSE)),
N(VLOOKUP(D32&amp;F32,'Budgeted Projections Intl HC'!D:T,15,FALSE))
)
),"")</f>
        <v/>
      </c>
      <c r="I32" s="73" t="str">
        <f>IFERROR(1/(1/COUNTIFS(
'YearB-AppDetails Current Date'!A:A,D32,
'YearB-AppDetails Current Date'!F:F,E32,
'YearB-AppDetails Current Date'!E:E,--F32,
'YearB-AppDetails Current Date'!I:I,"WINTER")), "")</f>
        <v/>
      </c>
      <c r="J32" s="74" t="str" cm="1">
        <f t="array" ref="J32">IFERROR(1/(1/SUM(COUNTIFS(
'YearB-AppDetails Current Date'!A:A,D32,
'YearB-AppDetails Current Date'!F:F,E32,
'YearB-AppDetails Current Date'!E:E,--F32,
'YearB-AppDetails Current Date'!O:O,{"ACLN","ACPT","COND"},
'YearB-AppDetails Current Date'!S:S,"&lt;&gt;ACLN",
'YearB-AppDetails Current Date'!S:S,"&lt;&gt;ACPT",
'YearB-AppDetails Current Date'!S:S,"&lt;&gt;COND",
'YearB-AppDetails Current Date'!I:I,"WINTER"))), "")</f>
        <v/>
      </c>
      <c r="K32" s="73" t="str">
        <f>IFERROR(1/(1/SUM(COUNTIFS(
'YearB-AppDetails Current Date'!A:A,D32,
'YearB-AppDetails Current Date'!F:F,E32,
'YearB-AppDetails Current Date'!E:E,--F32,
'YearB-AppDetails Current Date'!R:R,"&lt;&gt;"&amp;"",
'YearB-AppDetails Current Date'!I:I,"WINTER"))), "")</f>
        <v/>
      </c>
      <c r="L32" s="74" t="str" cm="1">
        <f t="array" ref="L32">IFERROR(1/(1/SUM(COUNTIFS(
'YearB-AppDetails Current Date'!A:A,D32,
'YearB-AppDetails Current Date'!F:F,E32,
'YearB-AppDetails Current Date'!E:E,--F32,
'YearB-AppDetails Current Date'!T:T,{"APEX","DENY","NTSL"},
'YearB-AppDetails Current Date'!I:I,"WINTER"))), "")</f>
        <v/>
      </c>
      <c r="M32" s="74" t="str" cm="1">
        <f t="array" ref="M32">IFERROR(1/(1/SUM(COUNTIFS(
'YearB-AppDetails Current Date'!A:A,D32,
'YearB-AppDetails Current Date'!F:F,E32,
'YearB-AppDetails Current Date'!E:E,--F32,
'YearB-AppDetails Current Date'!U:U,{"CCAN","DECL"},
'YearB-AppDetails Current Date'!I:I,"WINTER"))), "")</f>
        <v/>
      </c>
      <c r="N32" s="74" t="str" cm="1">
        <f t="array" ref="N32">IFERROR(1/(1/SUM(COUNTIFS(
'YearB-AppDetails Current Date'!A:A,D32,
'YearB-AppDetails Current Date'!F:F,E32,
'YearB-AppDetails Current Date'!E:E,--F32,
'YearB-AppDetails Current Date'!V:V,{"APRO","NODE"},
'YearB-AppDetails Current Date'!I:I,"WINTER"))), "")</f>
        <v/>
      </c>
      <c r="O32" s="74" t="str" cm="1">
        <f t="array" ref="O32">IFERROR(1/(1/SUM(COUNTIFS(
'YearB-AppDetails Current Date'!A:A,D32,
'YearB-AppDetails Current Date'!F:F,E32,
'YearB-AppDetails Current Date'!E:E,--F32,
'YearB-AppDetails Current Date'!T:T,{"CDMT","RQMT","WAIT"},
'YearB-AppDetails Current Date'!I:I,"WINTER"))), "")</f>
        <v/>
      </c>
      <c r="P32" s="74" t="str">
        <f>IFERROR(1/(1/COUNTIFS(
'YearB-AppDetails Current Date'!A:A,D32,
'YearB-AppDetails Current Date'!F:F,E32,
'YearB-AppDetails Current Date'!E:E,--F32,
'YearB-AppDetails Current Date'!Y:Y,"ENRO",
'YearB-AppDetails Current Date'!I:I,"WINTER")),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HC'!D:T,14,FALSE)),
N(VLOOKUP(D35&amp;F35,'Budgeted Projections Dom HC'!D:T,15,FALSE))
)
),"")</f>
        <v/>
      </c>
      <c r="I35" s="73" t="str">
        <f>IFERROR(1/(1/COUNTIFS(
'YearB-AppDetails Current Date'!A:A,D35,
'YearB-AppDetails Current Date'!F:F,E35,
'YearB-AppDetails Current Date'!E:E,--F35,
'YearB-AppDetails Current Date'!I:I,"WINTER")), "")</f>
        <v/>
      </c>
      <c r="J35" s="74" t="str" cm="1">
        <f t="array" ref="J35">IFERROR(1/(1/SUM(COUNTIFS(
'YearB-AppDetails Current Date'!A:A,D35,
'YearB-AppDetails Current Date'!F:F,E35,
'YearB-AppDetails Current Date'!E:E,--F35,
'YearB-AppDetails Current Date'!O:O,{"ACLN","ACPT","COND"},
'YearB-AppDetails Current Date'!S:S,"&lt;&gt;ACLN",
'YearB-AppDetails Current Date'!S:S,"&lt;&gt;ACPT",
'YearB-AppDetails Current Date'!S:S,"&lt;&gt;COND",
'YearB-AppDetails Current Date'!I:I,"WINTER"))), "")</f>
        <v/>
      </c>
      <c r="K35" s="73" t="str">
        <f>IFERROR(1/(1/SUM(COUNTIFS(
'YearB-AppDetails Current Date'!A:A,D35,
'YearB-AppDetails Current Date'!F:F,E35,
'YearB-AppDetails Current Date'!E:E,--F35,
'YearB-AppDetails Current Date'!R:R,"&lt;&gt;"&amp;"",
'YearB-AppDetails Current Date'!I:I,"WINTER"))), "")</f>
        <v/>
      </c>
      <c r="L35" s="74" t="str" cm="1">
        <f t="array" ref="L35">IFERROR(1/(1/SUM(COUNTIFS(
'YearB-AppDetails Current Date'!A:A,D35,
'YearB-AppDetails Current Date'!F:F,E35,
'YearB-AppDetails Current Date'!E:E,--F35,
'YearB-AppDetails Current Date'!T:T,{"APEX","DENY","NTSL"},
'YearB-AppDetails Current Date'!I:I,"WINTER"))), "")</f>
        <v/>
      </c>
      <c r="M35" s="74" t="str" cm="1">
        <f t="array" ref="M35">IFERROR(1/(1/SUM(COUNTIFS(
'YearB-AppDetails Current Date'!A:A,D35,
'YearB-AppDetails Current Date'!F:F,E35,
'YearB-AppDetails Current Date'!E:E,--F35,
'YearB-AppDetails Current Date'!U:U,{"CCAN","DECL"},
'YearB-AppDetails Current Date'!I:I,"WINTER"))), "")</f>
        <v/>
      </c>
      <c r="N35" s="74" t="str" cm="1">
        <f t="array" ref="N35">IFERROR(1/(1/SUM(COUNTIFS(
'YearB-AppDetails Current Date'!A:A,D35,
'YearB-AppDetails Current Date'!F:F,E35,
'YearB-AppDetails Current Date'!E:E,--F35,
'YearB-AppDetails Current Date'!V:V,{"APRO","NODE"},
'YearB-AppDetails Current Date'!I:I,"WINTER"))), "")</f>
        <v/>
      </c>
      <c r="O35" s="74" t="str" cm="1">
        <f t="array" ref="O35">IFERROR(1/(1/SUM(COUNTIFS(
'YearB-AppDetails Current Date'!A:A,D35,
'YearB-AppDetails Current Date'!F:F,E35,
'YearB-AppDetails Current Date'!E:E,--F35,
'YearB-AppDetails Current Date'!T:T,{"CDMT","RQMT","WAIT"},
'YearB-AppDetails Current Date'!I:I,"WINTER"))), "")</f>
        <v/>
      </c>
      <c r="P35" s="74" t="str">
        <f>IFERROR(1/(1/COUNTIFS(
'YearB-AppDetails Current Date'!A:A,D35,
'YearB-AppDetails Current Date'!F:F,E35,
'YearB-AppDetails Current Date'!E:E,--F35,
'YearB-AppDetails Current Date'!Y:Y,"ENRO",
'YearB-AppDetails Current Date'!I:I,"WINTER")),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HC'!D:T,14,FALSE)),
N(VLOOKUP(D36&amp;F36,'Budgeted Projections Intl HC'!D:T,15,FALSE))
)
),"")</f>
        <v/>
      </c>
      <c r="I36" s="73" t="str">
        <f>IFERROR(1/(1/COUNTIFS(
'YearB-AppDetails Current Date'!A:A,D36,
'YearB-AppDetails Current Date'!F:F,E36,
'YearB-AppDetails Current Date'!E:E,--F36,
'YearB-AppDetails Current Date'!I:I,"WINTER")), "")</f>
        <v/>
      </c>
      <c r="J36" s="74" t="str" cm="1">
        <f t="array" ref="J36">IFERROR(1/(1/SUM(COUNTIFS(
'YearB-AppDetails Current Date'!A:A,D36,
'YearB-AppDetails Current Date'!F:F,E36,
'YearB-AppDetails Current Date'!E:E,--F36,
'YearB-AppDetails Current Date'!O:O,{"ACLN","ACPT","COND"},
'YearB-AppDetails Current Date'!S:S,"&lt;&gt;ACLN",
'YearB-AppDetails Current Date'!S:S,"&lt;&gt;ACPT",
'YearB-AppDetails Current Date'!S:S,"&lt;&gt;COND",
'YearB-AppDetails Current Date'!I:I,"WINTER"))), "")</f>
        <v/>
      </c>
      <c r="K36" s="73" t="str">
        <f>IFERROR(1/(1/SUM(COUNTIFS(
'YearB-AppDetails Current Date'!A:A,D36,
'YearB-AppDetails Current Date'!F:F,E36,
'YearB-AppDetails Current Date'!E:E,--F36,
'YearB-AppDetails Current Date'!R:R,"&lt;&gt;"&amp;"",
'YearB-AppDetails Current Date'!I:I,"WINTER"))), "")</f>
        <v/>
      </c>
      <c r="L36" s="74" t="str" cm="1">
        <f t="array" ref="L36">IFERROR(1/(1/SUM(COUNTIFS(
'YearB-AppDetails Current Date'!A:A,D36,
'YearB-AppDetails Current Date'!F:F,E36,
'YearB-AppDetails Current Date'!E:E,--F36,
'YearB-AppDetails Current Date'!T:T,{"APEX","DENY","NTSL"},
'YearB-AppDetails Current Date'!I:I,"WINTER"))), "")</f>
        <v/>
      </c>
      <c r="M36" s="74" t="str" cm="1">
        <f t="array" ref="M36">IFERROR(1/(1/SUM(COUNTIFS(
'YearB-AppDetails Current Date'!A:A,D36,
'YearB-AppDetails Current Date'!F:F,E36,
'YearB-AppDetails Current Date'!E:E,--F36,
'YearB-AppDetails Current Date'!U:U,{"CCAN","DECL"},
'YearB-AppDetails Current Date'!I:I,"WINTER"))), "")</f>
        <v/>
      </c>
      <c r="N36" s="74" t="str" cm="1">
        <f t="array" ref="N36">IFERROR(1/(1/SUM(COUNTIFS(
'YearB-AppDetails Current Date'!A:A,D36,
'YearB-AppDetails Current Date'!F:F,E36,
'YearB-AppDetails Current Date'!E:E,--F36,
'YearB-AppDetails Current Date'!V:V,{"APRO","NODE"},
'YearB-AppDetails Current Date'!I:I,"WINTER"))), "")</f>
        <v/>
      </c>
      <c r="O36" s="74" t="str" cm="1">
        <f t="array" ref="O36">IFERROR(1/(1/SUM(COUNTIFS(
'YearB-AppDetails Current Date'!A:A,D36,
'YearB-AppDetails Current Date'!F:F,E36,
'YearB-AppDetails Current Date'!E:E,--F36,
'YearB-AppDetails Current Date'!T:T,{"CDMT","RQMT","WAIT"},
'YearB-AppDetails Current Date'!I:I,"WINTER"))), "")</f>
        <v/>
      </c>
      <c r="P36" s="74" t="str">
        <f>IFERROR(1/(1/COUNTIFS(
'YearB-AppDetails Current Date'!A:A,D36,
'YearB-AppDetails Current Date'!F:F,E36,
'YearB-AppDetails Current Date'!E:E,--F36,
'YearB-AppDetails Current Date'!Y:Y,"ENRO",
'YearB-AppDetails Current Date'!I:I,"WINTER")),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HC'!D:T,14,FALSE)),
N(VLOOKUP(D37&amp;F37,'Budgeted Projections Dom HC'!D:T,15,FALSE))
)
),"")</f>
        <v/>
      </c>
      <c r="I37" s="73" t="str">
        <f>IFERROR(1/(1/COUNTIFS(
'YearB-AppDetails Current Date'!A:A,D37,
'YearB-AppDetails Current Date'!F:F,E37,
'YearB-AppDetails Current Date'!E:E,--F37,
'YearB-AppDetails Current Date'!I:I,"WINTER")), "")</f>
        <v/>
      </c>
      <c r="J37" s="74" t="str" cm="1">
        <f t="array" ref="J37">IFERROR(1/(1/SUM(COUNTIFS(
'YearB-AppDetails Current Date'!A:A,D37,
'YearB-AppDetails Current Date'!F:F,E37,
'YearB-AppDetails Current Date'!E:E,--F37,
'YearB-AppDetails Current Date'!O:O,{"ACLN","ACPT","COND"},
'YearB-AppDetails Current Date'!S:S,"&lt;&gt;ACLN",
'YearB-AppDetails Current Date'!S:S,"&lt;&gt;ACPT",
'YearB-AppDetails Current Date'!S:S,"&lt;&gt;COND",
'YearB-AppDetails Current Date'!I:I,"WINTER"))), "")</f>
        <v/>
      </c>
      <c r="K37" s="73" t="str">
        <f>IFERROR(1/(1/SUM(COUNTIFS(
'YearB-AppDetails Current Date'!A:A,D37,
'YearB-AppDetails Current Date'!F:F,E37,
'YearB-AppDetails Current Date'!E:E,--F37,
'YearB-AppDetails Current Date'!R:R,"&lt;&gt;"&amp;"",
'YearB-AppDetails Current Date'!I:I,"WINTER"))), "")</f>
        <v/>
      </c>
      <c r="L37" s="74" t="str" cm="1">
        <f t="array" ref="L37">IFERROR(1/(1/SUM(COUNTIFS(
'YearB-AppDetails Current Date'!A:A,D37,
'YearB-AppDetails Current Date'!F:F,E37,
'YearB-AppDetails Current Date'!E:E,--F37,
'YearB-AppDetails Current Date'!T:T,{"APEX","DENY","NTSL"},
'YearB-AppDetails Current Date'!I:I,"WINTER"))), "")</f>
        <v/>
      </c>
      <c r="M37" s="74" t="str" cm="1">
        <f t="array" ref="M37">IFERROR(1/(1/SUM(COUNTIFS(
'YearB-AppDetails Current Date'!A:A,D37,
'YearB-AppDetails Current Date'!F:F,E37,
'YearB-AppDetails Current Date'!E:E,--F37,
'YearB-AppDetails Current Date'!U:U,{"CCAN","DECL"},
'YearB-AppDetails Current Date'!I:I,"WINTER"))), "")</f>
        <v/>
      </c>
      <c r="N37" s="74" t="str" cm="1">
        <f t="array" ref="N37">IFERROR(1/(1/SUM(COUNTIFS(
'YearB-AppDetails Current Date'!A:A,D37,
'YearB-AppDetails Current Date'!F:F,E37,
'YearB-AppDetails Current Date'!E:E,--F37,
'YearB-AppDetails Current Date'!V:V,{"APRO","NODE"},
'YearB-AppDetails Current Date'!I:I,"WINTER"))), "")</f>
        <v/>
      </c>
      <c r="O37" s="74" t="str" cm="1">
        <f t="array" ref="O37">IFERROR(1/(1/SUM(COUNTIFS(
'YearB-AppDetails Current Date'!A:A,D37,
'YearB-AppDetails Current Date'!F:F,E37,
'YearB-AppDetails Current Date'!E:E,--F37,
'YearB-AppDetails Current Date'!T:T,{"CDMT","RQMT","WAIT"},
'YearB-AppDetails Current Date'!I:I,"WINTER"))), "")</f>
        <v/>
      </c>
      <c r="P37" s="74" t="str">
        <f>IFERROR(1/(1/COUNTIFS(
'YearB-AppDetails Current Date'!A:A,D37,
'YearB-AppDetails Current Date'!F:F,E37,
'YearB-AppDetails Current Date'!E:E,--F37,
'YearB-AppDetails Current Date'!Y:Y,"ENRO",
'YearB-AppDetails Current Date'!I:I,"WINTER")),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HC'!D:T,14,FALSE)),
N(VLOOKUP(D38&amp;F38,'Budgeted Projections Intl HC'!D:T,15,FALSE))
)
),"")</f>
        <v/>
      </c>
      <c r="I38" s="73" t="str">
        <f>IFERROR(1/(1/COUNTIFS(
'YearB-AppDetails Current Date'!A:A,D38,
'YearB-AppDetails Current Date'!F:F,E38,
'YearB-AppDetails Current Date'!E:E,--F38,
'YearB-AppDetails Current Date'!I:I,"WINTER")), "")</f>
        <v/>
      </c>
      <c r="J38" s="74" t="str" cm="1">
        <f t="array" ref="J38">IFERROR(1/(1/SUM(COUNTIFS(
'YearB-AppDetails Current Date'!A:A,D38,
'YearB-AppDetails Current Date'!F:F,E38,
'YearB-AppDetails Current Date'!E:E,--F38,
'YearB-AppDetails Current Date'!O:O,{"ACLN","ACPT","COND"},
'YearB-AppDetails Current Date'!S:S,"&lt;&gt;ACLN",
'YearB-AppDetails Current Date'!S:S,"&lt;&gt;ACPT",
'YearB-AppDetails Current Date'!S:S,"&lt;&gt;COND",
'YearB-AppDetails Current Date'!I:I,"WINTER"))), "")</f>
        <v/>
      </c>
      <c r="K38" s="73" t="str">
        <f>IFERROR(1/(1/SUM(COUNTIFS(
'YearB-AppDetails Current Date'!A:A,D38,
'YearB-AppDetails Current Date'!F:F,E38,
'YearB-AppDetails Current Date'!E:E,--F38,
'YearB-AppDetails Current Date'!R:R,"&lt;&gt;"&amp;"",
'YearB-AppDetails Current Date'!I:I,"WINTER"))), "")</f>
        <v/>
      </c>
      <c r="L38" s="74" t="str" cm="1">
        <f t="array" ref="L38">IFERROR(1/(1/SUM(COUNTIFS(
'YearB-AppDetails Current Date'!A:A,D38,
'YearB-AppDetails Current Date'!F:F,E38,
'YearB-AppDetails Current Date'!E:E,--F38,
'YearB-AppDetails Current Date'!T:T,{"APEX","DENY","NTSL"},
'YearB-AppDetails Current Date'!I:I,"WINTER"))), "")</f>
        <v/>
      </c>
      <c r="M38" s="74" t="str" cm="1">
        <f t="array" ref="M38">IFERROR(1/(1/SUM(COUNTIFS(
'YearB-AppDetails Current Date'!A:A,D38,
'YearB-AppDetails Current Date'!F:F,E38,
'YearB-AppDetails Current Date'!E:E,--F38,
'YearB-AppDetails Current Date'!U:U,{"CCAN","DECL"},
'YearB-AppDetails Current Date'!I:I,"WINTER"))), "")</f>
        <v/>
      </c>
      <c r="N38" s="74" t="str" cm="1">
        <f t="array" ref="N38">IFERROR(1/(1/SUM(COUNTIFS(
'YearB-AppDetails Current Date'!A:A,D38,
'YearB-AppDetails Current Date'!F:F,E38,
'YearB-AppDetails Current Date'!E:E,--F38,
'YearB-AppDetails Current Date'!V:V,{"APRO","NODE"},
'YearB-AppDetails Current Date'!I:I,"WINTER"))), "")</f>
        <v/>
      </c>
      <c r="O38" s="74" t="str" cm="1">
        <f t="array" ref="O38">IFERROR(1/(1/SUM(COUNTIFS(
'YearB-AppDetails Current Date'!A:A,D38,
'YearB-AppDetails Current Date'!F:F,E38,
'YearB-AppDetails Current Date'!E:E,--F38,
'YearB-AppDetails Current Date'!T:T,{"CDMT","RQMT","WAIT"},
'YearB-AppDetails Current Date'!I:I,"WINTER"))), "")</f>
        <v/>
      </c>
      <c r="P38" s="74" t="str">
        <f>IFERROR(1/(1/COUNTIFS(
'YearB-AppDetails Current Date'!A:A,D38,
'YearB-AppDetails Current Date'!F:F,E38,
'YearB-AppDetails Current Date'!E:E,--F38,
'YearB-AppDetails Current Date'!Y:Y,"ENRO",
'YearB-AppDetails Current Date'!I:I,"WINTER")),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HC'!D:T,14,FALSE)),
N(VLOOKUP(D39&amp;F39,'Budgeted Projections Dom HC'!D:T,15,FALSE))
)
),"")</f>
        <v/>
      </c>
      <c r="I39" s="73" t="str">
        <f>IFERROR(1/(1/COUNTIFS(
'YearB-AppDetails Current Date'!A:A,D39,
'YearB-AppDetails Current Date'!F:F,E39,
'YearB-AppDetails Current Date'!E:E,--F39,
'YearB-AppDetails Current Date'!I:I,"WINTER")), "")</f>
        <v/>
      </c>
      <c r="J39" s="74" t="str" cm="1">
        <f t="array" ref="J39">IFERROR(1/(1/SUM(COUNTIFS(
'YearB-AppDetails Current Date'!A:A,D39,
'YearB-AppDetails Current Date'!F:F,E39,
'YearB-AppDetails Current Date'!E:E,--F39,
'YearB-AppDetails Current Date'!O:O,{"ACLN","ACPT","COND"},
'YearB-AppDetails Current Date'!S:S,"&lt;&gt;ACLN",
'YearB-AppDetails Current Date'!S:S,"&lt;&gt;ACPT",
'YearB-AppDetails Current Date'!S:S,"&lt;&gt;COND",
'YearB-AppDetails Current Date'!I:I,"WINTER"))), "")</f>
        <v/>
      </c>
      <c r="K39" s="73" t="str">
        <f>IFERROR(1/(1/SUM(COUNTIFS(
'YearB-AppDetails Current Date'!A:A,D39,
'YearB-AppDetails Current Date'!F:F,E39,
'YearB-AppDetails Current Date'!E:E,--F39,
'YearB-AppDetails Current Date'!R:R,"&lt;&gt;"&amp;"",
'YearB-AppDetails Current Date'!I:I,"WINTER"))), "")</f>
        <v/>
      </c>
      <c r="L39" s="74" t="str" cm="1">
        <f t="array" ref="L39">IFERROR(1/(1/SUM(COUNTIFS(
'YearB-AppDetails Current Date'!A:A,D39,
'YearB-AppDetails Current Date'!F:F,E39,
'YearB-AppDetails Current Date'!E:E,--F39,
'YearB-AppDetails Current Date'!T:T,{"APEX","DENY","NTSL"},
'YearB-AppDetails Current Date'!I:I,"WINTER"))), "")</f>
        <v/>
      </c>
      <c r="M39" s="74" t="str" cm="1">
        <f t="array" ref="M39">IFERROR(1/(1/SUM(COUNTIFS(
'YearB-AppDetails Current Date'!A:A,D39,
'YearB-AppDetails Current Date'!F:F,E39,
'YearB-AppDetails Current Date'!E:E,--F39,
'YearB-AppDetails Current Date'!U:U,{"CCAN","DECL"},
'YearB-AppDetails Current Date'!I:I,"WINTER"))), "")</f>
        <v/>
      </c>
      <c r="N39" s="74" t="str" cm="1">
        <f t="array" ref="N39">IFERROR(1/(1/SUM(COUNTIFS(
'YearB-AppDetails Current Date'!A:A,D39,
'YearB-AppDetails Current Date'!F:F,E39,
'YearB-AppDetails Current Date'!E:E,--F39,
'YearB-AppDetails Current Date'!V:V,{"APRO","NODE"},
'YearB-AppDetails Current Date'!I:I,"WINTER"))), "")</f>
        <v/>
      </c>
      <c r="O39" s="74" t="str" cm="1">
        <f t="array" ref="O39">IFERROR(1/(1/SUM(COUNTIFS(
'YearB-AppDetails Current Date'!A:A,D39,
'YearB-AppDetails Current Date'!F:F,E39,
'YearB-AppDetails Current Date'!E:E,--F39,
'YearB-AppDetails Current Date'!T:T,{"CDMT","RQMT","WAIT"},
'YearB-AppDetails Current Date'!I:I,"WINTER"))), "")</f>
        <v/>
      </c>
      <c r="P39" s="74" t="str">
        <f>IFERROR(1/(1/COUNTIFS(
'YearB-AppDetails Current Date'!A:A,D39,
'YearB-AppDetails Current Date'!F:F,E39,
'YearB-AppDetails Current Date'!E:E,--F39,
'YearB-AppDetails Current Date'!Y:Y,"ENRO",
'YearB-AppDetails Current Date'!I:I,"WINTER")),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HC'!D:T,14,FALSE)),
N(VLOOKUP(D40&amp;F40,'Budgeted Projections Intl HC'!D:T,15,FALSE))
)
),"")</f>
        <v/>
      </c>
      <c r="I40" s="73" t="str">
        <f>IFERROR(1/(1/COUNTIFS(
'YearB-AppDetails Current Date'!A:A,D40,
'YearB-AppDetails Current Date'!F:F,E40,
'YearB-AppDetails Current Date'!E:E,--F40,
'YearB-AppDetails Current Date'!I:I,"WINTER")), "")</f>
        <v/>
      </c>
      <c r="J40" s="74" t="str" cm="1">
        <f t="array" ref="J40">IFERROR(1/(1/SUM(COUNTIFS(
'YearB-AppDetails Current Date'!A:A,D40,
'YearB-AppDetails Current Date'!F:F,E40,
'YearB-AppDetails Current Date'!E:E,--F40,
'YearB-AppDetails Current Date'!O:O,{"ACLN","ACPT","COND"},
'YearB-AppDetails Current Date'!S:S,"&lt;&gt;ACLN",
'YearB-AppDetails Current Date'!S:S,"&lt;&gt;ACPT",
'YearB-AppDetails Current Date'!S:S,"&lt;&gt;COND",
'YearB-AppDetails Current Date'!I:I,"WINTER"))), "")</f>
        <v/>
      </c>
      <c r="K40" s="73" t="str">
        <f>IFERROR(1/(1/SUM(COUNTIFS(
'YearB-AppDetails Current Date'!A:A,D40,
'YearB-AppDetails Current Date'!F:F,E40,
'YearB-AppDetails Current Date'!E:E,--F40,
'YearB-AppDetails Current Date'!R:R,"&lt;&gt;"&amp;"",
'YearB-AppDetails Current Date'!I:I,"WINTER"))), "")</f>
        <v/>
      </c>
      <c r="L40" s="74" t="str" cm="1">
        <f t="array" ref="L40">IFERROR(1/(1/SUM(COUNTIFS(
'YearB-AppDetails Current Date'!A:A,D40,
'YearB-AppDetails Current Date'!F:F,E40,
'YearB-AppDetails Current Date'!E:E,--F40,
'YearB-AppDetails Current Date'!T:T,{"APEX","DENY","NTSL"},
'YearB-AppDetails Current Date'!I:I,"WINTER"))), "")</f>
        <v/>
      </c>
      <c r="M40" s="74" t="str" cm="1">
        <f t="array" ref="M40">IFERROR(1/(1/SUM(COUNTIFS(
'YearB-AppDetails Current Date'!A:A,D40,
'YearB-AppDetails Current Date'!F:F,E40,
'YearB-AppDetails Current Date'!E:E,--F40,
'YearB-AppDetails Current Date'!U:U,{"CCAN","DECL"},
'YearB-AppDetails Current Date'!I:I,"WINTER"))), "")</f>
        <v/>
      </c>
      <c r="N40" s="74" t="str" cm="1">
        <f t="array" ref="N40">IFERROR(1/(1/SUM(COUNTIFS(
'YearB-AppDetails Current Date'!A:A,D40,
'YearB-AppDetails Current Date'!F:F,E40,
'YearB-AppDetails Current Date'!E:E,--F40,
'YearB-AppDetails Current Date'!V:V,{"APRO","NODE"},
'YearB-AppDetails Current Date'!I:I,"WINTER"))), "")</f>
        <v/>
      </c>
      <c r="O40" s="74" t="str" cm="1">
        <f t="array" ref="O40">IFERROR(1/(1/SUM(COUNTIFS(
'YearB-AppDetails Current Date'!A:A,D40,
'YearB-AppDetails Current Date'!F:F,E40,
'YearB-AppDetails Current Date'!E:E,--F40,
'YearB-AppDetails Current Date'!T:T,{"CDMT","RQMT","WAIT"},
'YearB-AppDetails Current Date'!I:I,"WINTER"))), "")</f>
        <v/>
      </c>
      <c r="P40" s="74" t="str">
        <f>IFERROR(1/(1/COUNTIFS(
'YearB-AppDetails Current Date'!A:A,D40,
'YearB-AppDetails Current Date'!F:F,E40,
'YearB-AppDetails Current Date'!E:E,--F40,
'YearB-AppDetails Current Date'!Y:Y,"ENRO",
'YearB-AppDetails Current Date'!I:I,"WINTER")),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HC'!D:T,14,FALSE)),
N(VLOOKUP(D41&amp;F41,'Budgeted Projections Dom HC'!D:T,15,FALSE))
)
),"")</f>
        <v/>
      </c>
      <c r="I41" s="73" t="str">
        <f>IFERROR(1/(1/COUNTIFS(
'YearB-AppDetails Current Date'!A:A,D41,
'YearB-AppDetails Current Date'!F:F,E41,
'YearB-AppDetails Current Date'!E:E,--F41,
'YearB-AppDetails Current Date'!I:I,"WINTER")), "")</f>
        <v/>
      </c>
      <c r="J41" s="74" t="str" cm="1">
        <f t="array" ref="J41">IFERROR(1/(1/SUM(COUNTIFS(
'YearB-AppDetails Current Date'!A:A,D41,
'YearB-AppDetails Current Date'!F:F,E41,
'YearB-AppDetails Current Date'!E:E,--F41,
'YearB-AppDetails Current Date'!O:O,{"ACLN","ACPT","COND"},
'YearB-AppDetails Current Date'!S:S,"&lt;&gt;ACLN",
'YearB-AppDetails Current Date'!S:S,"&lt;&gt;ACPT",
'YearB-AppDetails Current Date'!S:S,"&lt;&gt;COND",
'YearB-AppDetails Current Date'!I:I,"WINTER"))), "")</f>
        <v/>
      </c>
      <c r="K41" s="73" t="str">
        <f>IFERROR(1/(1/SUM(COUNTIFS(
'YearB-AppDetails Current Date'!A:A,D41,
'YearB-AppDetails Current Date'!F:F,E41,
'YearB-AppDetails Current Date'!E:E,--F41,
'YearB-AppDetails Current Date'!R:R,"&lt;&gt;"&amp;"",
'YearB-AppDetails Current Date'!I:I,"WINTER"))), "")</f>
        <v/>
      </c>
      <c r="L41" s="74" t="str" cm="1">
        <f t="array" ref="L41">IFERROR(1/(1/SUM(COUNTIFS(
'YearB-AppDetails Current Date'!A:A,D41,
'YearB-AppDetails Current Date'!F:F,E41,
'YearB-AppDetails Current Date'!E:E,--F41,
'YearB-AppDetails Current Date'!T:T,{"APEX","DENY","NTSL"},
'YearB-AppDetails Current Date'!I:I,"WINTER"))), "")</f>
        <v/>
      </c>
      <c r="M41" s="74" t="str" cm="1">
        <f t="array" ref="M41">IFERROR(1/(1/SUM(COUNTIFS(
'YearB-AppDetails Current Date'!A:A,D41,
'YearB-AppDetails Current Date'!F:F,E41,
'YearB-AppDetails Current Date'!E:E,--F41,
'YearB-AppDetails Current Date'!U:U,{"CCAN","DECL"},
'YearB-AppDetails Current Date'!I:I,"WINTER"))), "")</f>
        <v/>
      </c>
      <c r="N41" s="74" t="str" cm="1">
        <f t="array" ref="N41">IFERROR(1/(1/SUM(COUNTIFS(
'YearB-AppDetails Current Date'!A:A,D41,
'YearB-AppDetails Current Date'!F:F,E41,
'YearB-AppDetails Current Date'!E:E,--F41,
'YearB-AppDetails Current Date'!V:V,{"APRO","NODE"},
'YearB-AppDetails Current Date'!I:I,"WINTER"))), "")</f>
        <v/>
      </c>
      <c r="O41" s="74" t="str" cm="1">
        <f t="array" ref="O41">IFERROR(1/(1/SUM(COUNTIFS(
'YearB-AppDetails Current Date'!A:A,D41,
'YearB-AppDetails Current Date'!F:F,E41,
'YearB-AppDetails Current Date'!E:E,--F41,
'YearB-AppDetails Current Date'!T:T,{"CDMT","RQMT","WAIT"},
'YearB-AppDetails Current Date'!I:I,"WINTER"))), "")</f>
        <v/>
      </c>
      <c r="P41" s="74" t="str">
        <f>IFERROR(1/(1/COUNTIFS(
'YearB-AppDetails Current Date'!A:A,D41,
'YearB-AppDetails Current Date'!F:F,E41,
'YearB-AppDetails Current Date'!E:E,--F41,
'YearB-AppDetails Current Date'!Y:Y,"ENRO",
'YearB-AppDetails Current Date'!I:I,"WINTER")),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HC'!D:T,14,FALSE)),
N(VLOOKUP(D42&amp;F42,'Budgeted Projections Intl HC'!D:T,15,FALSE))
)
),"")</f>
        <v/>
      </c>
      <c r="I42" s="73" t="str">
        <f>IFERROR(1/(1/COUNTIFS(
'YearB-AppDetails Current Date'!A:A,D42,
'YearB-AppDetails Current Date'!F:F,E42,
'YearB-AppDetails Current Date'!E:E,--F42,
'YearB-AppDetails Current Date'!I:I,"WINTER")), "")</f>
        <v/>
      </c>
      <c r="J42" s="74" t="str" cm="1">
        <f t="array" ref="J42">IFERROR(1/(1/SUM(COUNTIFS(
'YearB-AppDetails Current Date'!A:A,D42,
'YearB-AppDetails Current Date'!F:F,E42,
'YearB-AppDetails Current Date'!E:E,--F42,
'YearB-AppDetails Current Date'!O:O,{"ACLN","ACPT","COND"},
'YearB-AppDetails Current Date'!S:S,"&lt;&gt;ACLN",
'YearB-AppDetails Current Date'!S:S,"&lt;&gt;ACPT",
'YearB-AppDetails Current Date'!S:S,"&lt;&gt;COND",
'YearB-AppDetails Current Date'!I:I,"WINTER"))), "")</f>
        <v/>
      </c>
      <c r="K42" s="73" t="str">
        <f>IFERROR(1/(1/SUM(COUNTIFS(
'YearB-AppDetails Current Date'!A:A,D42,
'YearB-AppDetails Current Date'!F:F,E42,
'YearB-AppDetails Current Date'!E:E,--F42,
'YearB-AppDetails Current Date'!R:R,"&lt;&gt;"&amp;"",
'YearB-AppDetails Current Date'!I:I,"WINTER"))), "")</f>
        <v/>
      </c>
      <c r="L42" s="74" t="str" cm="1">
        <f t="array" ref="L42">IFERROR(1/(1/SUM(COUNTIFS(
'YearB-AppDetails Current Date'!A:A,D42,
'YearB-AppDetails Current Date'!F:F,E42,
'YearB-AppDetails Current Date'!E:E,--F42,
'YearB-AppDetails Current Date'!T:T,{"APEX","DENY","NTSL"},
'YearB-AppDetails Current Date'!I:I,"WINTER"))), "")</f>
        <v/>
      </c>
      <c r="M42" s="74" t="str" cm="1">
        <f t="array" ref="M42">IFERROR(1/(1/SUM(COUNTIFS(
'YearB-AppDetails Current Date'!A:A,D42,
'YearB-AppDetails Current Date'!F:F,E42,
'YearB-AppDetails Current Date'!E:E,--F42,
'YearB-AppDetails Current Date'!U:U,{"CCAN","DECL"},
'YearB-AppDetails Current Date'!I:I,"WINTER"))), "")</f>
        <v/>
      </c>
      <c r="N42" s="74" t="str" cm="1">
        <f t="array" ref="N42">IFERROR(1/(1/SUM(COUNTIFS(
'YearB-AppDetails Current Date'!A:A,D42,
'YearB-AppDetails Current Date'!F:F,E42,
'YearB-AppDetails Current Date'!E:E,--F42,
'YearB-AppDetails Current Date'!V:V,{"APRO","NODE"},
'YearB-AppDetails Current Date'!I:I,"WINTER"))), "")</f>
        <v/>
      </c>
      <c r="O42" s="74" t="str" cm="1">
        <f t="array" ref="O42">IFERROR(1/(1/SUM(COUNTIFS(
'YearB-AppDetails Current Date'!A:A,D42,
'YearB-AppDetails Current Date'!F:F,E42,
'YearB-AppDetails Current Date'!E:E,--F42,
'YearB-AppDetails Current Date'!T:T,{"CDMT","RQMT","WAIT"},
'YearB-AppDetails Current Date'!I:I,"WINTER"))), "")</f>
        <v/>
      </c>
      <c r="P42" s="74" t="str">
        <f>IFERROR(1/(1/COUNTIFS(
'YearB-AppDetails Current Date'!A:A,D42,
'YearB-AppDetails Current Date'!F:F,E42,
'YearB-AppDetails Current Date'!E:E,--F42,
'YearB-AppDetails Current Date'!Y:Y,"ENRO",
'YearB-AppDetails Current Date'!I:I,"WINTER")),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HC'!D:T,14,FALSE)),
N(VLOOKUP(D43&amp;F43,'Budgeted Projections Dom HC'!D:T,15,FALSE))
)
),"")</f>
        <v/>
      </c>
      <c r="I43" s="73" t="str">
        <f>IFERROR(1/(1/COUNTIFS(
'YearB-AppDetails Current Date'!A:A,D43,
'YearB-AppDetails Current Date'!F:F,E43,
'YearB-AppDetails Current Date'!E:E,--F43,
'YearB-AppDetails Current Date'!I:I,"WINTER")), "")</f>
        <v/>
      </c>
      <c r="J43" s="74" t="str" cm="1">
        <f t="array" ref="J43">IFERROR(1/(1/SUM(COUNTIFS(
'YearB-AppDetails Current Date'!A:A,D43,
'YearB-AppDetails Current Date'!F:F,E43,
'YearB-AppDetails Current Date'!E:E,--F43,
'YearB-AppDetails Current Date'!O:O,{"ACLN","ACPT","COND"},
'YearB-AppDetails Current Date'!S:S,"&lt;&gt;ACLN",
'YearB-AppDetails Current Date'!S:S,"&lt;&gt;ACPT",
'YearB-AppDetails Current Date'!S:S,"&lt;&gt;COND",
'YearB-AppDetails Current Date'!I:I,"WINTER"))), "")</f>
        <v/>
      </c>
      <c r="K43" s="73" t="str">
        <f>IFERROR(1/(1/SUM(COUNTIFS(
'YearB-AppDetails Current Date'!A:A,D43,
'YearB-AppDetails Current Date'!F:F,E43,
'YearB-AppDetails Current Date'!E:E,--F43,
'YearB-AppDetails Current Date'!R:R,"&lt;&gt;"&amp;"",
'YearB-AppDetails Current Date'!I:I,"WINTER"))), "")</f>
        <v/>
      </c>
      <c r="L43" s="74" t="str" cm="1">
        <f t="array" ref="L43">IFERROR(1/(1/SUM(COUNTIFS(
'YearB-AppDetails Current Date'!A:A,D43,
'YearB-AppDetails Current Date'!F:F,E43,
'YearB-AppDetails Current Date'!E:E,--F43,
'YearB-AppDetails Current Date'!T:T,{"APEX","DENY","NTSL"},
'YearB-AppDetails Current Date'!I:I,"WINTER"))), "")</f>
        <v/>
      </c>
      <c r="M43" s="74" t="str" cm="1">
        <f t="array" ref="M43">IFERROR(1/(1/SUM(COUNTIFS(
'YearB-AppDetails Current Date'!A:A,D43,
'YearB-AppDetails Current Date'!F:F,E43,
'YearB-AppDetails Current Date'!E:E,--F43,
'YearB-AppDetails Current Date'!U:U,{"CCAN","DECL"},
'YearB-AppDetails Current Date'!I:I,"WINTER"))), "")</f>
        <v/>
      </c>
      <c r="N43" s="74" t="str" cm="1">
        <f t="array" ref="N43">IFERROR(1/(1/SUM(COUNTIFS(
'YearB-AppDetails Current Date'!A:A,D43,
'YearB-AppDetails Current Date'!F:F,E43,
'YearB-AppDetails Current Date'!E:E,--F43,
'YearB-AppDetails Current Date'!V:V,{"APRO","NODE"},
'YearB-AppDetails Current Date'!I:I,"WINTER"))), "")</f>
        <v/>
      </c>
      <c r="O43" s="74" t="str" cm="1">
        <f t="array" ref="O43">IFERROR(1/(1/SUM(COUNTIFS(
'YearB-AppDetails Current Date'!A:A,D43,
'YearB-AppDetails Current Date'!F:F,E43,
'YearB-AppDetails Current Date'!E:E,--F43,
'YearB-AppDetails Current Date'!T:T,{"CDMT","RQMT","WAIT"},
'YearB-AppDetails Current Date'!I:I,"WINTER"))), "")</f>
        <v/>
      </c>
      <c r="P43" s="74" t="str">
        <f>IFERROR(1/(1/COUNTIFS(
'YearB-AppDetails Current Date'!A:A,D43,
'YearB-AppDetails Current Date'!F:F,E43,
'YearB-AppDetails Current Date'!E:E,--F43,
'YearB-AppDetails Current Date'!Y:Y,"ENRO",
'YearB-AppDetails Current Date'!I:I,"WINTER")),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HC'!D:T,14,FALSE)),
N(VLOOKUP(D44&amp;F44,'Budgeted Projections Intl HC'!D:T,15,FALSE))
)
),"")</f>
        <v/>
      </c>
      <c r="I44" s="73" t="str">
        <f>IFERROR(1/(1/COUNTIFS(
'YearB-AppDetails Current Date'!A:A,D44,
'YearB-AppDetails Current Date'!F:F,E44,
'YearB-AppDetails Current Date'!E:E,--F44,
'YearB-AppDetails Current Date'!I:I,"WINTER")), "")</f>
        <v/>
      </c>
      <c r="J44" s="74" t="str" cm="1">
        <f t="array" ref="J44">IFERROR(1/(1/SUM(COUNTIFS(
'YearB-AppDetails Current Date'!A:A,D44,
'YearB-AppDetails Current Date'!F:F,E44,
'YearB-AppDetails Current Date'!E:E,--F44,
'YearB-AppDetails Current Date'!O:O,{"ACLN","ACPT","COND"},
'YearB-AppDetails Current Date'!S:S,"&lt;&gt;ACLN",
'YearB-AppDetails Current Date'!S:S,"&lt;&gt;ACPT",
'YearB-AppDetails Current Date'!S:S,"&lt;&gt;COND",
'YearB-AppDetails Current Date'!I:I,"WINTER"))), "")</f>
        <v/>
      </c>
      <c r="K44" s="73" t="str">
        <f>IFERROR(1/(1/SUM(COUNTIFS(
'YearB-AppDetails Current Date'!A:A,D44,
'YearB-AppDetails Current Date'!F:F,E44,
'YearB-AppDetails Current Date'!E:E,--F44,
'YearB-AppDetails Current Date'!R:R,"&lt;&gt;"&amp;"",
'YearB-AppDetails Current Date'!I:I,"WINTER"))), "")</f>
        <v/>
      </c>
      <c r="L44" s="74" t="str" cm="1">
        <f t="array" ref="L44">IFERROR(1/(1/SUM(COUNTIFS(
'YearB-AppDetails Current Date'!A:A,D44,
'YearB-AppDetails Current Date'!F:F,E44,
'YearB-AppDetails Current Date'!E:E,--F44,
'YearB-AppDetails Current Date'!T:T,{"APEX","DENY","NTSL"},
'YearB-AppDetails Current Date'!I:I,"WINTER"))), "")</f>
        <v/>
      </c>
      <c r="M44" s="74" t="str" cm="1">
        <f t="array" ref="M44">IFERROR(1/(1/SUM(COUNTIFS(
'YearB-AppDetails Current Date'!A:A,D44,
'YearB-AppDetails Current Date'!F:F,E44,
'YearB-AppDetails Current Date'!E:E,--F44,
'YearB-AppDetails Current Date'!U:U,{"CCAN","DECL"},
'YearB-AppDetails Current Date'!I:I,"WINTER"))), "")</f>
        <v/>
      </c>
      <c r="N44" s="74" t="str" cm="1">
        <f t="array" ref="N44">IFERROR(1/(1/SUM(COUNTIFS(
'YearB-AppDetails Current Date'!A:A,D44,
'YearB-AppDetails Current Date'!F:F,E44,
'YearB-AppDetails Current Date'!E:E,--F44,
'YearB-AppDetails Current Date'!V:V,{"APRO","NODE"},
'YearB-AppDetails Current Date'!I:I,"WINTER"))), "")</f>
        <v/>
      </c>
      <c r="O44" s="74" t="str" cm="1">
        <f t="array" ref="O44">IFERROR(1/(1/SUM(COUNTIFS(
'YearB-AppDetails Current Date'!A:A,D44,
'YearB-AppDetails Current Date'!F:F,E44,
'YearB-AppDetails Current Date'!E:E,--F44,
'YearB-AppDetails Current Date'!T:T,{"CDMT","RQMT","WAIT"},
'YearB-AppDetails Current Date'!I:I,"WINTER"))), "")</f>
        <v/>
      </c>
      <c r="P44" s="74" t="str">
        <f>IFERROR(1/(1/COUNTIFS(
'YearB-AppDetails Current Date'!A:A,D44,
'YearB-AppDetails Current Date'!F:F,E44,
'YearB-AppDetails Current Date'!E:E,--F44,
'YearB-AppDetails Current Date'!Y:Y,"ENRO",
'YearB-AppDetails Current Date'!I:I,"WINTER")),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HC'!D:T,14,FALSE)),
N(VLOOKUP(D45&amp;F45,'Budgeted Projections Dom HC'!D:T,15,FALSE))
)
),"")</f>
        <v/>
      </c>
      <c r="I45" s="73" t="str">
        <f>IFERROR(1/(1/COUNTIFS(
'YearB-AppDetails Current Date'!A:A,D45,
'YearB-AppDetails Current Date'!F:F,E45,
'YearB-AppDetails Current Date'!E:E,--F45,
'YearB-AppDetails Current Date'!I:I,"WINTER")), "")</f>
        <v/>
      </c>
      <c r="J45" s="74" t="str" cm="1">
        <f t="array" ref="J45">IFERROR(1/(1/SUM(COUNTIFS(
'YearB-AppDetails Current Date'!A:A,D45,
'YearB-AppDetails Current Date'!F:F,E45,
'YearB-AppDetails Current Date'!E:E,--F45,
'YearB-AppDetails Current Date'!O:O,{"ACLN","ACPT","COND"},
'YearB-AppDetails Current Date'!S:S,"&lt;&gt;ACLN",
'YearB-AppDetails Current Date'!S:S,"&lt;&gt;ACPT",
'YearB-AppDetails Current Date'!S:S,"&lt;&gt;COND",
'YearB-AppDetails Current Date'!I:I,"WINTER"))), "")</f>
        <v/>
      </c>
      <c r="K45" s="73" t="str">
        <f>IFERROR(1/(1/SUM(COUNTIFS(
'YearB-AppDetails Current Date'!A:A,D45,
'YearB-AppDetails Current Date'!F:F,E45,
'YearB-AppDetails Current Date'!E:E,--F45,
'YearB-AppDetails Current Date'!R:R,"&lt;&gt;"&amp;"",
'YearB-AppDetails Current Date'!I:I,"WINTER"))), "")</f>
        <v/>
      </c>
      <c r="L45" s="74" t="str" cm="1">
        <f t="array" ref="L45">IFERROR(1/(1/SUM(COUNTIFS(
'YearB-AppDetails Current Date'!A:A,D45,
'YearB-AppDetails Current Date'!F:F,E45,
'YearB-AppDetails Current Date'!E:E,--F45,
'YearB-AppDetails Current Date'!T:T,{"APEX","DENY","NTSL"},
'YearB-AppDetails Current Date'!I:I,"WINTER"))), "")</f>
        <v/>
      </c>
      <c r="M45" s="74" t="str" cm="1">
        <f t="array" ref="M45">IFERROR(1/(1/SUM(COUNTIFS(
'YearB-AppDetails Current Date'!A:A,D45,
'YearB-AppDetails Current Date'!F:F,E45,
'YearB-AppDetails Current Date'!E:E,--F45,
'YearB-AppDetails Current Date'!U:U,{"CCAN","DECL"},
'YearB-AppDetails Current Date'!I:I,"WINTER"))), "")</f>
        <v/>
      </c>
      <c r="N45" s="74" t="str" cm="1">
        <f t="array" ref="N45">IFERROR(1/(1/SUM(COUNTIFS(
'YearB-AppDetails Current Date'!A:A,D45,
'YearB-AppDetails Current Date'!F:F,E45,
'YearB-AppDetails Current Date'!E:E,--F45,
'YearB-AppDetails Current Date'!V:V,{"APRO","NODE"},
'YearB-AppDetails Current Date'!I:I,"WINTER"))), "")</f>
        <v/>
      </c>
      <c r="O45" s="74" t="str" cm="1">
        <f t="array" ref="O45">IFERROR(1/(1/SUM(COUNTIFS(
'YearB-AppDetails Current Date'!A:A,D45,
'YearB-AppDetails Current Date'!F:F,E45,
'YearB-AppDetails Current Date'!E:E,--F45,
'YearB-AppDetails Current Date'!T:T,{"CDMT","RQMT","WAIT"},
'YearB-AppDetails Current Date'!I:I,"WINTER"))), "")</f>
        <v/>
      </c>
      <c r="P45" s="74" t="str">
        <f>IFERROR(1/(1/COUNTIFS(
'YearB-AppDetails Current Date'!A:A,D45,
'YearB-AppDetails Current Date'!F:F,E45,
'YearB-AppDetails Current Date'!E:E,--F45,
'YearB-AppDetails Current Date'!Y:Y,"ENRO",
'YearB-AppDetails Current Date'!I:I,"WINTER")),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HC'!D:T,14,FALSE)),
N(VLOOKUP(D46&amp;F46,'Budgeted Projections Intl HC'!D:T,15,FALSE))
)
),"")</f>
        <v/>
      </c>
      <c r="I46" s="73" t="str">
        <f>IFERROR(1/(1/COUNTIFS(
'YearB-AppDetails Current Date'!A:A,D46,
'YearB-AppDetails Current Date'!F:F,E46,
'YearB-AppDetails Current Date'!E:E,--F46,
'YearB-AppDetails Current Date'!I:I,"WINTER")), "")</f>
        <v/>
      </c>
      <c r="J46" s="74" t="str" cm="1">
        <f t="array" ref="J46">IFERROR(1/(1/SUM(COUNTIFS(
'YearB-AppDetails Current Date'!A:A,D46,
'YearB-AppDetails Current Date'!F:F,E46,
'YearB-AppDetails Current Date'!E:E,--F46,
'YearB-AppDetails Current Date'!O:O,{"ACLN","ACPT","COND"},
'YearB-AppDetails Current Date'!S:S,"&lt;&gt;ACLN",
'YearB-AppDetails Current Date'!S:S,"&lt;&gt;ACPT",
'YearB-AppDetails Current Date'!S:S,"&lt;&gt;COND",
'YearB-AppDetails Current Date'!I:I,"WINTER"))), "")</f>
        <v/>
      </c>
      <c r="K46" s="73" t="str">
        <f>IFERROR(1/(1/SUM(COUNTIFS(
'YearB-AppDetails Current Date'!A:A,D46,
'YearB-AppDetails Current Date'!F:F,E46,
'YearB-AppDetails Current Date'!E:E,--F46,
'YearB-AppDetails Current Date'!R:R,"&lt;&gt;"&amp;"",
'YearB-AppDetails Current Date'!I:I,"WINTER"))), "")</f>
        <v/>
      </c>
      <c r="L46" s="74" t="str" cm="1">
        <f t="array" ref="L46">IFERROR(1/(1/SUM(COUNTIFS(
'YearB-AppDetails Current Date'!A:A,D46,
'YearB-AppDetails Current Date'!F:F,E46,
'YearB-AppDetails Current Date'!E:E,--F46,
'YearB-AppDetails Current Date'!T:T,{"APEX","DENY","NTSL"},
'YearB-AppDetails Current Date'!I:I,"WINTER"))), "")</f>
        <v/>
      </c>
      <c r="M46" s="74" t="str" cm="1">
        <f t="array" ref="M46">IFERROR(1/(1/SUM(COUNTIFS(
'YearB-AppDetails Current Date'!A:A,D46,
'YearB-AppDetails Current Date'!F:F,E46,
'YearB-AppDetails Current Date'!E:E,--F46,
'YearB-AppDetails Current Date'!U:U,{"CCAN","DECL"},
'YearB-AppDetails Current Date'!I:I,"WINTER"))), "")</f>
        <v/>
      </c>
      <c r="N46" s="74" t="str" cm="1">
        <f t="array" ref="N46">IFERROR(1/(1/SUM(COUNTIFS(
'YearB-AppDetails Current Date'!A:A,D46,
'YearB-AppDetails Current Date'!F:F,E46,
'YearB-AppDetails Current Date'!E:E,--F46,
'YearB-AppDetails Current Date'!V:V,{"APRO","NODE"},
'YearB-AppDetails Current Date'!I:I,"WINTER"))), "")</f>
        <v/>
      </c>
      <c r="O46" s="74" t="str" cm="1">
        <f t="array" ref="O46">IFERROR(1/(1/SUM(COUNTIFS(
'YearB-AppDetails Current Date'!A:A,D46,
'YearB-AppDetails Current Date'!F:F,E46,
'YearB-AppDetails Current Date'!E:E,--F46,
'YearB-AppDetails Current Date'!T:T,{"CDMT","RQMT","WAIT"},
'YearB-AppDetails Current Date'!I:I,"WINTER"))), "")</f>
        <v/>
      </c>
      <c r="P46" s="74" t="str">
        <f>IFERROR(1/(1/COUNTIFS(
'YearB-AppDetails Current Date'!A:A,D46,
'YearB-AppDetails Current Date'!F:F,E46,
'YearB-AppDetails Current Date'!E:E,--F46,
'YearB-AppDetails Current Date'!Y:Y,"ENRO",
'YearB-AppDetails Current Date'!I:I,"WINTER")),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HC'!D:T,14,FALSE)),
N(VLOOKUP(D47&amp;F47,'Budgeted Projections Dom HC'!D:T,15,FALSE))
)
),"")</f>
        <v/>
      </c>
      <c r="I47" s="73" t="str">
        <f>IFERROR(1/(1/COUNTIFS(
'YearB-AppDetails Current Date'!A:A,D47,
'YearB-AppDetails Current Date'!F:F,E47,
'YearB-AppDetails Current Date'!E:E,--F47,
'YearB-AppDetails Current Date'!I:I,"WINTER")), "")</f>
        <v/>
      </c>
      <c r="J47" s="74" t="str" cm="1">
        <f t="array" ref="J47">IFERROR(1/(1/SUM(COUNTIFS(
'YearB-AppDetails Current Date'!A:A,D47,
'YearB-AppDetails Current Date'!F:F,E47,
'YearB-AppDetails Current Date'!E:E,--F47,
'YearB-AppDetails Current Date'!O:O,{"ACLN","ACPT","COND"},
'YearB-AppDetails Current Date'!S:S,"&lt;&gt;ACLN",
'YearB-AppDetails Current Date'!S:S,"&lt;&gt;ACPT",
'YearB-AppDetails Current Date'!S:S,"&lt;&gt;COND",
'YearB-AppDetails Current Date'!I:I,"WINTER"))), "")</f>
        <v/>
      </c>
      <c r="K47" s="73" t="str">
        <f>IFERROR(1/(1/SUM(COUNTIFS(
'YearB-AppDetails Current Date'!A:A,D47,
'YearB-AppDetails Current Date'!F:F,E47,
'YearB-AppDetails Current Date'!E:E,--F47,
'YearB-AppDetails Current Date'!R:R,"&lt;&gt;"&amp;"",
'YearB-AppDetails Current Date'!I:I,"WINTER"))), "")</f>
        <v/>
      </c>
      <c r="L47" s="74" t="str" cm="1">
        <f t="array" ref="L47">IFERROR(1/(1/SUM(COUNTIFS(
'YearB-AppDetails Current Date'!A:A,D47,
'YearB-AppDetails Current Date'!F:F,E47,
'YearB-AppDetails Current Date'!E:E,--F47,
'YearB-AppDetails Current Date'!T:T,{"APEX","DENY","NTSL"},
'YearB-AppDetails Current Date'!I:I,"WINTER"))), "")</f>
        <v/>
      </c>
      <c r="M47" s="74" t="str" cm="1">
        <f t="array" ref="M47">IFERROR(1/(1/SUM(COUNTIFS(
'YearB-AppDetails Current Date'!A:A,D47,
'YearB-AppDetails Current Date'!F:F,E47,
'YearB-AppDetails Current Date'!E:E,--F47,
'YearB-AppDetails Current Date'!U:U,{"CCAN","DECL"},
'YearB-AppDetails Current Date'!I:I,"WINTER"))), "")</f>
        <v/>
      </c>
      <c r="N47" s="74" t="str" cm="1">
        <f t="array" ref="N47">IFERROR(1/(1/SUM(COUNTIFS(
'YearB-AppDetails Current Date'!A:A,D47,
'YearB-AppDetails Current Date'!F:F,E47,
'YearB-AppDetails Current Date'!E:E,--F47,
'YearB-AppDetails Current Date'!V:V,{"APRO","NODE"},
'YearB-AppDetails Current Date'!I:I,"WINTER"))), "")</f>
        <v/>
      </c>
      <c r="O47" s="74" t="str" cm="1">
        <f t="array" ref="O47">IFERROR(1/(1/SUM(COUNTIFS(
'YearB-AppDetails Current Date'!A:A,D47,
'YearB-AppDetails Current Date'!F:F,E47,
'YearB-AppDetails Current Date'!E:E,--F47,
'YearB-AppDetails Current Date'!T:T,{"CDMT","RQMT","WAIT"},
'YearB-AppDetails Current Date'!I:I,"WINTER"))), "")</f>
        <v/>
      </c>
      <c r="P47" s="74" t="str">
        <f>IFERROR(1/(1/COUNTIFS(
'YearB-AppDetails Current Date'!A:A,D47,
'YearB-AppDetails Current Date'!F:F,E47,
'YearB-AppDetails Current Date'!E:E,--F47,
'YearB-AppDetails Current Date'!Y:Y,"ENRO",
'YearB-AppDetails Current Date'!I:I,"WINTER")),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HC'!D:T,14,FALSE)),
N(VLOOKUP(D48&amp;F48,'Budgeted Projections Intl HC'!D:T,15,FALSE))
)
),"")</f>
        <v/>
      </c>
      <c r="I48" s="73" t="str">
        <f>IFERROR(1/(1/COUNTIFS(
'YearB-AppDetails Current Date'!A:A,D48,
'YearB-AppDetails Current Date'!F:F,E48,
'YearB-AppDetails Current Date'!E:E,--F48,
'YearB-AppDetails Current Date'!I:I,"WINTER")), "")</f>
        <v/>
      </c>
      <c r="J48" s="74" t="str" cm="1">
        <f t="array" ref="J48">IFERROR(1/(1/SUM(COUNTIFS(
'YearB-AppDetails Current Date'!A:A,D48,
'YearB-AppDetails Current Date'!F:F,E48,
'YearB-AppDetails Current Date'!E:E,--F48,
'YearB-AppDetails Current Date'!O:O,{"ACLN","ACPT","COND"},
'YearB-AppDetails Current Date'!S:S,"&lt;&gt;ACLN",
'YearB-AppDetails Current Date'!S:S,"&lt;&gt;ACPT",
'YearB-AppDetails Current Date'!S:S,"&lt;&gt;COND",
'YearB-AppDetails Current Date'!I:I,"WINTER"))), "")</f>
        <v/>
      </c>
      <c r="K48" s="73" t="str">
        <f>IFERROR(1/(1/SUM(COUNTIFS(
'YearB-AppDetails Current Date'!A:A,D48,
'YearB-AppDetails Current Date'!F:F,E48,
'YearB-AppDetails Current Date'!E:E,--F48,
'YearB-AppDetails Current Date'!R:R,"&lt;&gt;"&amp;"",
'YearB-AppDetails Current Date'!I:I,"WINTER"))), "")</f>
        <v/>
      </c>
      <c r="L48" s="74" t="str" cm="1">
        <f t="array" ref="L48">IFERROR(1/(1/SUM(COUNTIFS(
'YearB-AppDetails Current Date'!A:A,D48,
'YearB-AppDetails Current Date'!F:F,E48,
'YearB-AppDetails Current Date'!E:E,--F48,
'YearB-AppDetails Current Date'!T:T,{"APEX","DENY","NTSL"},
'YearB-AppDetails Current Date'!I:I,"WINTER"))), "")</f>
        <v/>
      </c>
      <c r="M48" s="74" t="str" cm="1">
        <f t="array" ref="M48">IFERROR(1/(1/SUM(COUNTIFS(
'YearB-AppDetails Current Date'!A:A,D48,
'YearB-AppDetails Current Date'!F:F,E48,
'YearB-AppDetails Current Date'!E:E,--F48,
'YearB-AppDetails Current Date'!U:U,{"CCAN","DECL"},
'YearB-AppDetails Current Date'!I:I,"WINTER"))), "")</f>
        <v/>
      </c>
      <c r="N48" s="74" t="str" cm="1">
        <f t="array" ref="N48">IFERROR(1/(1/SUM(COUNTIFS(
'YearB-AppDetails Current Date'!A:A,D48,
'YearB-AppDetails Current Date'!F:F,E48,
'YearB-AppDetails Current Date'!E:E,--F48,
'YearB-AppDetails Current Date'!V:V,{"APRO","NODE"},
'YearB-AppDetails Current Date'!I:I,"WINTER"))), "")</f>
        <v/>
      </c>
      <c r="O48" s="74" t="str" cm="1">
        <f t="array" ref="O48">IFERROR(1/(1/SUM(COUNTIFS(
'YearB-AppDetails Current Date'!A:A,D48,
'YearB-AppDetails Current Date'!F:F,E48,
'YearB-AppDetails Current Date'!E:E,--F48,
'YearB-AppDetails Current Date'!T:T,{"CDMT","RQMT","WAIT"},
'YearB-AppDetails Current Date'!I:I,"WINTER"))), "")</f>
        <v/>
      </c>
      <c r="P48" s="74" t="str">
        <f>IFERROR(1/(1/COUNTIFS(
'YearB-AppDetails Current Date'!A:A,D48,
'YearB-AppDetails Current Date'!F:F,E48,
'YearB-AppDetails Current Date'!E:E,--F48,
'YearB-AppDetails Current Date'!Y:Y,"ENRO",
'YearB-AppDetails Current Date'!I:I,"WINTER")),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HC'!D:T,14,FALSE)),
N(VLOOKUP(D50&amp;F50,'Budgeted Projections Dom HC'!D:T,15,FALSE))
)
),"")</f>
        <v/>
      </c>
      <c r="I50" s="73" t="str">
        <f>IFERROR(1/(1/COUNTIFS(
'YearB-AppDetails Current Date'!A:A,D50,
'YearB-AppDetails Current Date'!F:F,E50,
'YearB-AppDetails Current Date'!E:E,--F50,
'YearB-AppDetails Current Date'!I:I,"WINTER")), "")</f>
        <v/>
      </c>
      <c r="J50" s="74" t="str" cm="1">
        <f t="array" ref="J50">IFERROR(1/(1/SUM(COUNTIFS(
'YearB-AppDetails Current Date'!A:A,D50,
'YearB-AppDetails Current Date'!F:F,E50,
'YearB-AppDetails Current Date'!E:E,--F50,
'YearB-AppDetails Current Date'!O:O,{"ACLN","ACPT","COND"},
'YearB-AppDetails Current Date'!S:S,"&lt;&gt;ACLN",
'YearB-AppDetails Current Date'!S:S,"&lt;&gt;ACPT",
'YearB-AppDetails Current Date'!S:S,"&lt;&gt;COND",
'YearB-AppDetails Current Date'!I:I,"WINTER"))), "")</f>
        <v/>
      </c>
      <c r="K50" s="73" t="str">
        <f>IFERROR(1/(1/SUM(COUNTIFS(
'YearB-AppDetails Current Date'!A:A,D50,
'YearB-AppDetails Current Date'!F:F,E50,
'YearB-AppDetails Current Date'!E:E,--F50,
'YearB-AppDetails Current Date'!R:R,"&lt;&gt;"&amp;"",
'YearB-AppDetails Current Date'!I:I,"WINTER"))), "")</f>
        <v/>
      </c>
      <c r="L50" s="74" t="str" cm="1">
        <f t="array" ref="L50">IFERROR(1/(1/SUM(COUNTIFS(
'YearB-AppDetails Current Date'!A:A,D50,
'YearB-AppDetails Current Date'!F:F,E50,
'YearB-AppDetails Current Date'!E:E,--F50,
'YearB-AppDetails Current Date'!T:T,{"APEX","DENY","NTSL"},
'YearB-AppDetails Current Date'!I:I,"WINTER"))), "")</f>
        <v/>
      </c>
      <c r="M50" s="74" t="str" cm="1">
        <f t="array" ref="M50">IFERROR(1/(1/SUM(COUNTIFS(
'YearB-AppDetails Current Date'!A:A,D50,
'YearB-AppDetails Current Date'!F:F,E50,
'YearB-AppDetails Current Date'!E:E,--F50,
'YearB-AppDetails Current Date'!U:U,{"CCAN","DECL"},
'YearB-AppDetails Current Date'!I:I,"WINTER"))), "")</f>
        <v/>
      </c>
      <c r="N50" s="74" t="str" cm="1">
        <f t="array" ref="N50">IFERROR(1/(1/SUM(COUNTIFS(
'YearB-AppDetails Current Date'!A:A,D50,
'YearB-AppDetails Current Date'!F:F,E50,
'YearB-AppDetails Current Date'!E:E,--F50,
'YearB-AppDetails Current Date'!V:V,{"APRO","NODE"},
'YearB-AppDetails Current Date'!I:I,"WINTER"))), "")</f>
        <v/>
      </c>
      <c r="O50" s="74" t="str" cm="1">
        <f t="array" ref="O50">IFERROR(1/(1/SUM(COUNTIFS(
'YearB-AppDetails Current Date'!A:A,D50,
'YearB-AppDetails Current Date'!F:F,E50,
'YearB-AppDetails Current Date'!E:E,--F50,
'YearB-AppDetails Current Date'!T:T,{"CDMT","RQMT","WAIT"},
'YearB-AppDetails Current Date'!I:I,"WINTER"))), "")</f>
        <v/>
      </c>
      <c r="P50" s="74" t="str">
        <f>IFERROR(1/(1/COUNTIFS(
'YearB-AppDetails Current Date'!A:A,D50,
'YearB-AppDetails Current Date'!F:F,E50,
'YearB-AppDetails Current Date'!E:E,--F50,
'YearB-AppDetails Current Date'!Y:Y,"ENRO",
'YearB-AppDetails Current Date'!I:I,"WINTER")),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HC'!D:T,14,FALSE)),
N(VLOOKUP(D51&amp;F51,'Budgeted Projections Intl HC'!D:T,15,FALSE))
)
),"")</f>
        <v/>
      </c>
      <c r="I51" s="73" t="str">
        <f>IFERROR(1/(1/COUNTIFS(
'YearB-AppDetails Current Date'!A:A,D51,
'YearB-AppDetails Current Date'!F:F,E51,
'YearB-AppDetails Current Date'!E:E,--F51,
'YearB-AppDetails Current Date'!I:I,"WINTER")), "")</f>
        <v/>
      </c>
      <c r="J51" s="74" t="str" cm="1">
        <f t="array" ref="J51">IFERROR(1/(1/SUM(COUNTIFS(
'YearB-AppDetails Current Date'!A:A,D51,
'YearB-AppDetails Current Date'!F:F,E51,
'YearB-AppDetails Current Date'!E:E,--F51,
'YearB-AppDetails Current Date'!O:O,{"ACLN","ACPT","COND"},
'YearB-AppDetails Current Date'!S:S,"&lt;&gt;ACLN",
'YearB-AppDetails Current Date'!S:S,"&lt;&gt;ACPT",
'YearB-AppDetails Current Date'!S:S,"&lt;&gt;COND",
'YearB-AppDetails Current Date'!I:I,"WINTER"))), "")</f>
        <v/>
      </c>
      <c r="K51" s="73" t="str">
        <f>IFERROR(1/(1/SUM(COUNTIFS(
'YearB-AppDetails Current Date'!A:A,D51,
'YearB-AppDetails Current Date'!F:F,E51,
'YearB-AppDetails Current Date'!E:E,--F51,
'YearB-AppDetails Current Date'!R:R,"&lt;&gt;"&amp;"",
'YearB-AppDetails Current Date'!I:I,"WINTER"))), "")</f>
        <v/>
      </c>
      <c r="L51" s="74" t="str" cm="1">
        <f t="array" ref="L51">IFERROR(1/(1/SUM(COUNTIFS(
'YearB-AppDetails Current Date'!A:A,D51,
'YearB-AppDetails Current Date'!F:F,E51,
'YearB-AppDetails Current Date'!E:E,--F51,
'YearB-AppDetails Current Date'!T:T,{"APEX","DENY","NTSL"},
'YearB-AppDetails Current Date'!I:I,"WINTER"))), "")</f>
        <v/>
      </c>
      <c r="M51" s="74" t="str" cm="1">
        <f t="array" ref="M51">IFERROR(1/(1/SUM(COUNTIFS(
'YearB-AppDetails Current Date'!A:A,D51,
'YearB-AppDetails Current Date'!F:F,E51,
'YearB-AppDetails Current Date'!E:E,--F51,
'YearB-AppDetails Current Date'!U:U,{"CCAN","DECL"},
'YearB-AppDetails Current Date'!I:I,"WINTER"))), "")</f>
        <v/>
      </c>
      <c r="N51" s="74" t="str" cm="1">
        <f t="array" ref="N51">IFERROR(1/(1/SUM(COUNTIFS(
'YearB-AppDetails Current Date'!A:A,D51,
'YearB-AppDetails Current Date'!F:F,E51,
'YearB-AppDetails Current Date'!E:E,--F51,
'YearB-AppDetails Current Date'!V:V,{"APRO","NODE"},
'YearB-AppDetails Current Date'!I:I,"WINTER"))), "")</f>
        <v/>
      </c>
      <c r="O51" s="74" t="str" cm="1">
        <f t="array" ref="O51">IFERROR(1/(1/SUM(COUNTIFS(
'YearB-AppDetails Current Date'!A:A,D51,
'YearB-AppDetails Current Date'!F:F,E51,
'YearB-AppDetails Current Date'!E:E,--F51,
'YearB-AppDetails Current Date'!T:T,{"CDMT","RQMT","WAIT"},
'YearB-AppDetails Current Date'!I:I,"WINTER"))), "")</f>
        <v/>
      </c>
      <c r="P51" s="74" t="str">
        <f>IFERROR(1/(1/COUNTIFS(
'YearB-AppDetails Current Date'!A:A,D51,
'YearB-AppDetails Current Date'!F:F,E51,
'YearB-AppDetails Current Date'!E:E,--F51,
'YearB-AppDetails Current Date'!Y:Y,"ENRO",
'YearB-AppDetails Current Date'!I:I,"WINTER")),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HC'!D:T,14,FALSE)),
N(VLOOKUP(D52&amp;F52,'Budgeted Projections Dom HC'!D:T,15,FALSE))
)
),"")</f>
        <v/>
      </c>
      <c r="I52" s="73" t="str">
        <f>IFERROR(1/(1/COUNTIFS(
'YearB-AppDetails Current Date'!A:A,D52,
'YearB-AppDetails Current Date'!F:F,E52,
'YearB-AppDetails Current Date'!E:E,--F52,
'YearB-AppDetails Current Date'!I:I,"WINTER")), "")</f>
        <v/>
      </c>
      <c r="J52" s="74" t="str" cm="1">
        <f t="array" ref="J52">IFERROR(1/(1/SUM(COUNTIFS(
'YearB-AppDetails Current Date'!A:A,D52,
'YearB-AppDetails Current Date'!F:F,E52,
'YearB-AppDetails Current Date'!E:E,--F52,
'YearB-AppDetails Current Date'!O:O,{"ACLN","ACPT","COND"},
'YearB-AppDetails Current Date'!S:S,"&lt;&gt;ACLN",
'YearB-AppDetails Current Date'!S:S,"&lt;&gt;ACPT",
'YearB-AppDetails Current Date'!S:S,"&lt;&gt;COND",
'YearB-AppDetails Current Date'!I:I,"WINTER"))), "")</f>
        <v/>
      </c>
      <c r="K52" s="73" t="str">
        <f>IFERROR(1/(1/SUM(COUNTIFS(
'YearB-AppDetails Current Date'!A:A,D52,
'YearB-AppDetails Current Date'!F:F,E52,
'YearB-AppDetails Current Date'!E:E,--F52,
'YearB-AppDetails Current Date'!R:R,"&lt;&gt;"&amp;"",
'YearB-AppDetails Current Date'!I:I,"WINTER"))), "")</f>
        <v/>
      </c>
      <c r="L52" s="74" t="str" cm="1">
        <f t="array" ref="L52">IFERROR(1/(1/SUM(COUNTIFS(
'YearB-AppDetails Current Date'!A:A,D52,
'YearB-AppDetails Current Date'!F:F,E52,
'YearB-AppDetails Current Date'!E:E,--F52,
'YearB-AppDetails Current Date'!T:T,{"APEX","DENY","NTSL"},
'YearB-AppDetails Current Date'!I:I,"WINTER"))), "")</f>
        <v/>
      </c>
      <c r="M52" s="74" t="str" cm="1">
        <f t="array" ref="M52">IFERROR(1/(1/SUM(COUNTIFS(
'YearB-AppDetails Current Date'!A:A,D52,
'YearB-AppDetails Current Date'!F:F,E52,
'YearB-AppDetails Current Date'!E:E,--F52,
'YearB-AppDetails Current Date'!U:U,{"CCAN","DECL"},
'YearB-AppDetails Current Date'!I:I,"WINTER"))), "")</f>
        <v/>
      </c>
      <c r="N52" s="74" t="str" cm="1">
        <f t="array" ref="N52">IFERROR(1/(1/SUM(COUNTIFS(
'YearB-AppDetails Current Date'!A:A,D52,
'YearB-AppDetails Current Date'!F:F,E52,
'YearB-AppDetails Current Date'!E:E,--F52,
'YearB-AppDetails Current Date'!V:V,{"APRO","NODE"},
'YearB-AppDetails Current Date'!I:I,"WINTER"))), "")</f>
        <v/>
      </c>
      <c r="O52" s="74" t="str" cm="1">
        <f t="array" ref="O52">IFERROR(1/(1/SUM(COUNTIFS(
'YearB-AppDetails Current Date'!A:A,D52,
'YearB-AppDetails Current Date'!F:F,E52,
'YearB-AppDetails Current Date'!E:E,--F52,
'YearB-AppDetails Current Date'!T:T,{"CDMT","RQMT","WAIT"},
'YearB-AppDetails Current Date'!I:I,"WINTER"))), "")</f>
        <v/>
      </c>
      <c r="P52" s="74" t="str">
        <f>IFERROR(1/(1/COUNTIFS(
'YearB-AppDetails Current Date'!A:A,D52,
'YearB-AppDetails Current Date'!F:F,E52,
'YearB-AppDetails Current Date'!E:E,--F52,
'YearB-AppDetails Current Date'!Y:Y,"ENRO",
'YearB-AppDetails Current Date'!I:I,"WINTER")),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HC'!D:T,14,FALSE)),
N(VLOOKUP(D53&amp;F53,'Budgeted Projections Intl HC'!D:T,15,FALSE))
)
),"")</f>
        <v/>
      </c>
      <c r="I53" s="73" t="str">
        <f>IFERROR(1/(1/COUNTIFS(
'YearB-AppDetails Current Date'!A:A,D53,
'YearB-AppDetails Current Date'!F:F,E53,
'YearB-AppDetails Current Date'!E:E,--F53,
'YearB-AppDetails Current Date'!I:I,"WINTER")), "")</f>
        <v/>
      </c>
      <c r="J53" s="74" t="str" cm="1">
        <f t="array" ref="J53">IFERROR(1/(1/SUM(COUNTIFS(
'YearB-AppDetails Current Date'!A:A,D53,
'YearB-AppDetails Current Date'!F:F,E53,
'YearB-AppDetails Current Date'!E:E,--F53,
'YearB-AppDetails Current Date'!O:O,{"ACLN","ACPT","COND"},
'YearB-AppDetails Current Date'!S:S,"&lt;&gt;ACLN",
'YearB-AppDetails Current Date'!S:S,"&lt;&gt;ACPT",
'YearB-AppDetails Current Date'!S:S,"&lt;&gt;COND",
'YearB-AppDetails Current Date'!I:I,"WINTER"))), "")</f>
        <v/>
      </c>
      <c r="K53" s="73" t="str">
        <f>IFERROR(1/(1/SUM(COUNTIFS(
'YearB-AppDetails Current Date'!A:A,D53,
'YearB-AppDetails Current Date'!F:F,E53,
'YearB-AppDetails Current Date'!E:E,--F53,
'YearB-AppDetails Current Date'!R:R,"&lt;&gt;"&amp;"",
'YearB-AppDetails Current Date'!I:I,"WINTER"))), "")</f>
        <v/>
      </c>
      <c r="L53" s="74" t="str" cm="1">
        <f t="array" ref="L53">IFERROR(1/(1/SUM(COUNTIFS(
'YearB-AppDetails Current Date'!A:A,D53,
'YearB-AppDetails Current Date'!F:F,E53,
'YearB-AppDetails Current Date'!E:E,--F53,
'YearB-AppDetails Current Date'!T:T,{"APEX","DENY","NTSL"},
'YearB-AppDetails Current Date'!I:I,"WINTER"))), "")</f>
        <v/>
      </c>
      <c r="M53" s="74" t="str" cm="1">
        <f t="array" ref="M53">IFERROR(1/(1/SUM(COUNTIFS(
'YearB-AppDetails Current Date'!A:A,D53,
'YearB-AppDetails Current Date'!F:F,E53,
'YearB-AppDetails Current Date'!E:E,--F53,
'YearB-AppDetails Current Date'!U:U,{"CCAN","DECL"},
'YearB-AppDetails Current Date'!I:I,"WINTER"))), "")</f>
        <v/>
      </c>
      <c r="N53" s="74" t="str" cm="1">
        <f t="array" ref="N53">IFERROR(1/(1/SUM(COUNTIFS(
'YearB-AppDetails Current Date'!A:A,D53,
'YearB-AppDetails Current Date'!F:F,E53,
'YearB-AppDetails Current Date'!E:E,--F53,
'YearB-AppDetails Current Date'!V:V,{"APRO","NODE"},
'YearB-AppDetails Current Date'!I:I,"WINTER"))), "")</f>
        <v/>
      </c>
      <c r="O53" s="74" t="str" cm="1">
        <f t="array" ref="O53">IFERROR(1/(1/SUM(COUNTIFS(
'YearB-AppDetails Current Date'!A:A,D53,
'YearB-AppDetails Current Date'!F:F,E53,
'YearB-AppDetails Current Date'!E:E,--F53,
'YearB-AppDetails Current Date'!T:T,{"CDMT","RQMT","WAIT"},
'YearB-AppDetails Current Date'!I:I,"WINTER"))), "")</f>
        <v/>
      </c>
      <c r="P53" s="74" t="str">
        <f>IFERROR(1/(1/COUNTIFS(
'YearB-AppDetails Current Date'!A:A,D53,
'YearB-AppDetails Current Date'!F:F,E53,
'YearB-AppDetails Current Date'!E:E,--F53,
'YearB-AppDetails Current Date'!Y:Y,"ENRO",
'YearB-AppDetails Current Date'!I:I,"WINTER")),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HC'!D:T,14,FALSE)),
N(VLOOKUP(D55&amp;F55,'Budgeted Projections Dom HC'!D:T,15,FALSE))
)
),"")</f>
        <v/>
      </c>
      <c r="I55" s="73" t="str">
        <f>IFERROR(1/(1/COUNTIFS(
'YearB-AppDetails Current Date'!A:A,D55,
'YearB-AppDetails Current Date'!F:F,E55,
'YearB-AppDetails Current Date'!E:E,--F55,
'YearB-AppDetails Current Date'!I:I,"WINTER")), "")</f>
        <v/>
      </c>
      <c r="J55" s="74" t="str" cm="1">
        <f t="array" ref="J55">IFERROR(1/(1/SUM(COUNTIFS(
'YearB-AppDetails Current Date'!A:A,D55,
'YearB-AppDetails Current Date'!F:F,E55,
'YearB-AppDetails Current Date'!E:E,--F55,
'YearB-AppDetails Current Date'!O:O,{"ACLN","ACPT","COND"},
'YearB-AppDetails Current Date'!S:S,"&lt;&gt;ACLN",
'YearB-AppDetails Current Date'!S:S,"&lt;&gt;ACPT",
'YearB-AppDetails Current Date'!S:S,"&lt;&gt;COND",
'YearB-AppDetails Current Date'!I:I,"WINTER"))), "")</f>
        <v/>
      </c>
      <c r="K55" s="73" t="str">
        <f>IFERROR(1/(1/SUM(COUNTIFS(
'YearB-AppDetails Current Date'!A:A,D55,
'YearB-AppDetails Current Date'!F:F,E55,
'YearB-AppDetails Current Date'!E:E,--F55,
'YearB-AppDetails Current Date'!R:R,"&lt;&gt;"&amp;"",
'YearB-AppDetails Current Date'!I:I,"WINTER"))), "")</f>
        <v/>
      </c>
      <c r="L55" s="74" t="str" cm="1">
        <f t="array" ref="L55">IFERROR(1/(1/SUM(COUNTIFS(
'YearB-AppDetails Current Date'!A:A,D55,
'YearB-AppDetails Current Date'!F:F,E55,
'YearB-AppDetails Current Date'!E:E,--F55,
'YearB-AppDetails Current Date'!T:T,{"APEX","DENY","NTSL"},
'YearB-AppDetails Current Date'!I:I,"WINTER"))), "")</f>
        <v/>
      </c>
      <c r="M55" s="74" t="str" cm="1">
        <f t="array" ref="M55">IFERROR(1/(1/SUM(COUNTIFS(
'YearB-AppDetails Current Date'!A:A,D55,
'YearB-AppDetails Current Date'!F:F,E55,
'YearB-AppDetails Current Date'!E:E,--F55,
'YearB-AppDetails Current Date'!U:U,{"CCAN","DECL"},
'YearB-AppDetails Current Date'!I:I,"WINTER"))), "")</f>
        <v/>
      </c>
      <c r="N55" s="74" t="str" cm="1">
        <f t="array" ref="N55">IFERROR(1/(1/SUM(COUNTIFS(
'YearB-AppDetails Current Date'!A:A,D55,
'YearB-AppDetails Current Date'!F:F,E55,
'YearB-AppDetails Current Date'!E:E,--F55,
'YearB-AppDetails Current Date'!V:V,{"APRO","NODE"},
'YearB-AppDetails Current Date'!I:I,"WINTER"))), "")</f>
        <v/>
      </c>
      <c r="O55" s="74" t="str" cm="1">
        <f t="array" ref="O55">IFERROR(1/(1/SUM(COUNTIFS(
'YearB-AppDetails Current Date'!A:A,D55,
'YearB-AppDetails Current Date'!F:F,E55,
'YearB-AppDetails Current Date'!E:E,--F55,
'YearB-AppDetails Current Date'!T:T,{"CDMT","RQMT","WAIT"},
'YearB-AppDetails Current Date'!I:I,"WINTER"))), "")</f>
        <v/>
      </c>
      <c r="P55" s="74" t="str">
        <f>IFERROR(1/(1/COUNTIFS(
'YearB-AppDetails Current Date'!A:A,D55,
'YearB-AppDetails Current Date'!F:F,E55,
'YearB-AppDetails Current Date'!E:E,--F55,
'YearB-AppDetails Current Date'!Y:Y,"ENRO",
'YearB-AppDetails Current Date'!I:I,"WINTER")),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HC'!D:T,14,FALSE)),
N(VLOOKUP(D56&amp;F56,'Budgeted Projections Intl HC'!D:T,15,FALSE))
)
),"")</f>
        <v/>
      </c>
      <c r="I56" s="73" t="str">
        <f>IFERROR(1/(1/COUNTIFS(
'YearB-AppDetails Current Date'!A:A,D56,
'YearB-AppDetails Current Date'!F:F,E56,
'YearB-AppDetails Current Date'!E:E,--F56,
'YearB-AppDetails Current Date'!I:I,"WINTER")), "")</f>
        <v/>
      </c>
      <c r="J56" s="74" t="str" cm="1">
        <f t="array" ref="J56">IFERROR(1/(1/SUM(COUNTIFS(
'YearB-AppDetails Current Date'!A:A,D56,
'YearB-AppDetails Current Date'!F:F,E56,
'YearB-AppDetails Current Date'!E:E,--F56,
'YearB-AppDetails Current Date'!O:O,{"ACLN","ACPT","COND"},
'YearB-AppDetails Current Date'!S:S,"&lt;&gt;ACLN",
'YearB-AppDetails Current Date'!S:S,"&lt;&gt;ACPT",
'YearB-AppDetails Current Date'!S:S,"&lt;&gt;COND",
'YearB-AppDetails Current Date'!I:I,"WINTER"))), "")</f>
        <v/>
      </c>
      <c r="K56" s="73" t="str">
        <f>IFERROR(1/(1/SUM(COUNTIFS(
'YearB-AppDetails Current Date'!A:A,D56,
'YearB-AppDetails Current Date'!F:F,E56,
'YearB-AppDetails Current Date'!E:E,--F56,
'YearB-AppDetails Current Date'!R:R,"&lt;&gt;"&amp;"",
'YearB-AppDetails Current Date'!I:I,"WINTER"))), "")</f>
        <v/>
      </c>
      <c r="L56" s="74" t="str" cm="1">
        <f t="array" ref="L56">IFERROR(1/(1/SUM(COUNTIFS(
'YearB-AppDetails Current Date'!A:A,D56,
'YearB-AppDetails Current Date'!F:F,E56,
'YearB-AppDetails Current Date'!E:E,--F56,
'YearB-AppDetails Current Date'!T:T,{"APEX","DENY","NTSL"},
'YearB-AppDetails Current Date'!I:I,"WINTER"))), "")</f>
        <v/>
      </c>
      <c r="M56" s="74" t="str" cm="1">
        <f t="array" ref="M56">IFERROR(1/(1/SUM(COUNTIFS(
'YearB-AppDetails Current Date'!A:A,D56,
'YearB-AppDetails Current Date'!F:F,E56,
'YearB-AppDetails Current Date'!E:E,--F56,
'YearB-AppDetails Current Date'!U:U,{"CCAN","DECL"},
'YearB-AppDetails Current Date'!I:I,"WINTER"))), "")</f>
        <v/>
      </c>
      <c r="N56" s="74" t="str" cm="1">
        <f t="array" ref="N56">IFERROR(1/(1/SUM(COUNTIFS(
'YearB-AppDetails Current Date'!A:A,D56,
'YearB-AppDetails Current Date'!F:F,E56,
'YearB-AppDetails Current Date'!E:E,--F56,
'YearB-AppDetails Current Date'!V:V,{"APRO","NODE"},
'YearB-AppDetails Current Date'!I:I,"WINTER"))), "")</f>
        <v/>
      </c>
      <c r="O56" s="74" t="str" cm="1">
        <f t="array" ref="O56">IFERROR(1/(1/SUM(COUNTIFS(
'YearB-AppDetails Current Date'!A:A,D56,
'YearB-AppDetails Current Date'!F:F,E56,
'YearB-AppDetails Current Date'!E:E,--F56,
'YearB-AppDetails Current Date'!T:T,{"CDMT","RQMT","WAIT"},
'YearB-AppDetails Current Date'!I:I,"WINTER"))), "")</f>
        <v/>
      </c>
      <c r="P56" s="74" t="str">
        <f>IFERROR(1/(1/COUNTIFS(
'YearB-AppDetails Current Date'!A:A,D56,
'YearB-AppDetails Current Date'!F:F,E56,
'YearB-AppDetails Current Date'!E:E,--F56,
'YearB-AppDetails Current Date'!Y:Y,"ENRO",
'YearB-AppDetails Current Date'!I:I,"WINTER")),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HC'!D:T,14,FALSE)),
N(VLOOKUP(D57&amp;F57,'Budgeted Projections Dom HC'!D:T,15,FALSE))
)
),"")</f>
        <v/>
      </c>
      <c r="I57" s="73" t="str">
        <f>IFERROR(1/(1/COUNTIFS(
'YearB-AppDetails Current Date'!A:A,D57,
'YearB-AppDetails Current Date'!F:F,E57,
'YearB-AppDetails Current Date'!E:E,--F57,
'YearB-AppDetails Current Date'!I:I,"WINTER")), "")</f>
        <v/>
      </c>
      <c r="J57" s="74" t="str" cm="1">
        <f t="array" ref="J57">IFERROR(1/(1/SUM(COUNTIFS(
'YearB-AppDetails Current Date'!A:A,D57,
'YearB-AppDetails Current Date'!F:F,E57,
'YearB-AppDetails Current Date'!E:E,--F57,
'YearB-AppDetails Current Date'!O:O,{"ACLN","ACPT","COND"},
'YearB-AppDetails Current Date'!S:S,"&lt;&gt;ACLN",
'YearB-AppDetails Current Date'!S:S,"&lt;&gt;ACPT",
'YearB-AppDetails Current Date'!S:S,"&lt;&gt;COND",
'YearB-AppDetails Current Date'!I:I,"WINTER"))), "")</f>
        <v/>
      </c>
      <c r="K57" s="73" t="str">
        <f>IFERROR(1/(1/SUM(COUNTIFS(
'YearB-AppDetails Current Date'!A:A,D57,
'YearB-AppDetails Current Date'!F:F,E57,
'YearB-AppDetails Current Date'!E:E,--F57,
'YearB-AppDetails Current Date'!R:R,"&lt;&gt;"&amp;"",
'YearB-AppDetails Current Date'!I:I,"WINTER"))), "")</f>
        <v/>
      </c>
      <c r="L57" s="74" t="str" cm="1">
        <f t="array" ref="L57">IFERROR(1/(1/SUM(COUNTIFS(
'YearB-AppDetails Current Date'!A:A,D57,
'YearB-AppDetails Current Date'!F:F,E57,
'YearB-AppDetails Current Date'!E:E,--F57,
'YearB-AppDetails Current Date'!T:T,{"APEX","DENY","NTSL"},
'YearB-AppDetails Current Date'!I:I,"WINTER"))), "")</f>
        <v/>
      </c>
      <c r="M57" s="74" t="str" cm="1">
        <f t="array" ref="M57">IFERROR(1/(1/SUM(COUNTIFS(
'YearB-AppDetails Current Date'!A:A,D57,
'YearB-AppDetails Current Date'!F:F,E57,
'YearB-AppDetails Current Date'!E:E,--F57,
'YearB-AppDetails Current Date'!U:U,{"CCAN","DECL"},
'YearB-AppDetails Current Date'!I:I,"WINTER"))), "")</f>
        <v/>
      </c>
      <c r="N57" s="74" t="str" cm="1">
        <f t="array" ref="N57">IFERROR(1/(1/SUM(COUNTIFS(
'YearB-AppDetails Current Date'!A:A,D57,
'YearB-AppDetails Current Date'!F:F,E57,
'YearB-AppDetails Current Date'!E:E,--F57,
'YearB-AppDetails Current Date'!V:V,{"APRO","NODE"},
'YearB-AppDetails Current Date'!I:I,"WINTER"))), "")</f>
        <v/>
      </c>
      <c r="O57" s="74" t="str" cm="1">
        <f t="array" ref="O57">IFERROR(1/(1/SUM(COUNTIFS(
'YearB-AppDetails Current Date'!A:A,D57,
'YearB-AppDetails Current Date'!F:F,E57,
'YearB-AppDetails Current Date'!E:E,--F57,
'YearB-AppDetails Current Date'!T:T,{"CDMT","RQMT","WAIT"},
'YearB-AppDetails Current Date'!I:I,"WINTER"))), "")</f>
        <v/>
      </c>
      <c r="P57" s="74" t="str">
        <f>IFERROR(1/(1/COUNTIFS(
'YearB-AppDetails Current Date'!A:A,D57,
'YearB-AppDetails Current Date'!F:F,E57,
'YearB-AppDetails Current Date'!E:E,--F57,
'YearB-AppDetails Current Date'!Y:Y,"ENRO",
'YearB-AppDetails Current Date'!I:I,"WINTER")),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HC'!D:T,14,FALSE)),
N(VLOOKUP(D58&amp;F58,'Budgeted Projections Intl HC'!D:T,15,FALSE))
)
),"")</f>
        <v/>
      </c>
      <c r="I58" s="73" t="str">
        <f>IFERROR(1/(1/COUNTIFS(
'YearB-AppDetails Current Date'!A:A,D58,
'YearB-AppDetails Current Date'!F:F,E58,
'YearB-AppDetails Current Date'!E:E,--F58,
'YearB-AppDetails Current Date'!I:I,"WINTER")), "")</f>
        <v/>
      </c>
      <c r="J58" s="74" t="str" cm="1">
        <f t="array" ref="J58">IFERROR(1/(1/SUM(COUNTIFS(
'YearB-AppDetails Current Date'!A:A,D58,
'YearB-AppDetails Current Date'!F:F,E58,
'YearB-AppDetails Current Date'!E:E,--F58,
'YearB-AppDetails Current Date'!O:O,{"ACLN","ACPT","COND"},
'YearB-AppDetails Current Date'!S:S,"&lt;&gt;ACLN",
'YearB-AppDetails Current Date'!S:S,"&lt;&gt;ACPT",
'YearB-AppDetails Current Date'!S:S,"&lt;&gt;COND",
'YearB-AppDetails Current Date'!I:I,"WINTER"))), "")</f>
        <v/>
      </c>
      <c r="K58" s="73" t="str">
        <f>IFERROR(1/(1/SUM(COUNTIFS(
'YearB-AppDetails Current Date'!A:A,D58,
'YearB-AppDetails Current Date'!F:F,E58,
'YearB-AppDetails Current Date'!E:E,--F58,
'YearB-AppDetails Current Date'!R:R,"&lt;&gt;"&amp;"",
'YearB-AppDetails Current Date'!I:I,"WINTER"))), "")</f>
        <v/>
      </c>
      <c r="L58" s="74" t="str" cm="1">
        <f t="array" ref="L58">IFERROR(1/(1/SUM(COUNTIFS(
'YearB-AppDetails Current Date'!A:A,D58,
'YearB-AppDetails Current Date'!F:F,E58,
'YearB-AppDetails Current Date'!E:E,--F58,
'YearB-AppDetails Current Date'!T:T,{"APEX","DENY","NTSL"},
'YearB-AppDetails Current Date'!I:I,"WINTER"))), "")</f>
        <v/>
      </c>
      <c r="M58" s="74" t="str" cm="1">
        <f t="array" ref="M58">IFERROR(1/(1/SUM(COUNTIFS(
'YearB-AppDetails Current Date'!A:A,D58,
'YearB-AppDetails Current Date'!F:F,E58,
'YearB-AppDetails Current Date'!E:E,--F58,
'YearB-AppDetails Current Date'!U:U,{"CCAN","DECL"},
'YearB-AppDetails Current Date'!I:I,"WINTER"))), "")</f>
        <v/>
      </c>
      <c r="N58" s="74" t="str" cm="1">
        <f t="array" ref="N58">IFERROR(1/(1/SUM(COUNTIFS(
'YearB-AppDetails Current Date'!A:A,D58,
'YearB-AppDetails Current Date'!F:F,E58,
'YearB-AppDetails Current Date'!E:E,--F58,
'YearB-AppDetails Current Date'!V:V,{"APRO","NODE"},
'YearB-AppDetails Current Date'!I:I,"WINTER"))), "")</f>
        <v/>
      </c>
      <c r="O58" s="74" t="str" cm="1">
        <f t="array" ref="O58">IFERROR(1/(1/SUM(COUNTIFS(
'YearB-AppDetails Current Date'!A:A,D58,
'YearB-AppDetails Current Date'!F:F,E58,
'YearB-AppDetails Current Date'!E:E,--F58,
'YearB-AppDetails Current Date'!T:T,{"CDMT","RQMT","WAIT"},
'YearB-AppDetails Current Date'!I:I,"WINTER"))), "")</f>
        <v/>
      </c>
      <c r="P58" s="74" t="str">
        <f>IFERROR(1/(1/COUNTIFS(
'YearB-AppDetails Current Date'!A:A,D58,
'YearB-AppDetails Current Date'!F:F,E58,
'YearB-AppDetails Current Date'!E:E,--F58,
'YearB-AppDetails Current Date'!Y:Y,"ENRO",
'YearB-AppDetails Current Date'!I:I,"WINTER")),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HC'!D:T,14,FALSE)),
N(VLOOKUP(D59&amp;F59,'Budgeted Projections Dom HC'!D:T,15,FALSE))
)
),"")</f>
        <v/>
      </c>
      <c r="I59" s="73" t="str">
        <f>IFERROR(1/(1/COUNTIFS(
'YearB-AppDetails Current Date'!A:A,D59,
'YearB-AppDetails Current Date'!F:F,E59,
'YearB-AppDetails Current Date'!E:E,--F59,
'YearB-AppDetails Current Date'!I:I,"WINTER")), "")</f>
        <v/>
      </c>
      <c r="J59" s="74" t="str" cm="1">
        <f t="array" ref="J59">IFERROR(1/(1/SUM(COUNTIFS(
'YearB-AppDetails Current Date'!A:A,D59,
'YearB-AppDetails Current Date'!F:F,E59,
'YearB-AppDetails Current Date'!E:E,--F59,
'YearB-AppDetails Current Date'!O:O,{"ACLN","ACPT","COND"},
'YearB-AppDetails Current Date'!S:S,"&lt;&gt;ACLN",
'YearB-AppDetails Current Date'!S:S,"&lt;&gt;ACPT",
'YearB-AppDetails Current Date'!S:S,"&lt;&gt;COND",
'YearB-AppDetails Current Date'!I:I,"WINTER"))), "")</f>
        <v/>
      </c>
      <c r="K59" s="73" t="str">
        <f>IFERROR(1/(1/SUM(COUNTIFS(
'YearB-AppDetails Current Date'!A:A,D59,
'YearB-AppDetails Current Date'!F:F,E59,
'YearB-AppDetails Current Date'!E:E,--F59,
'YearB-AppDetails Current Date'!R:R,"&lt;&gt;"&amp;"",
'YearB-AppDetails Current Date'!I:I,"WINTER"))), "")</f>
        <v/>
      </c>
      <c r="L59" s="74" t="str" cm="1">
        <f t="array" ref="L59">IFERROR(1/(1/SUM(COUNTIFS(
'YearB-AppDetails Current Date'!A:A,D59,
'YearB-AppDetails Current Date'!F:F,E59,
'YearB-AppDetails Current Date'!E:E,--F59,
'YearB-AppDetails Current Date'!T:T,{"APEX","DENY","NTSL"},
'YearB-AppDetails Current Date'!I:I,"WINTER"))), "")</f>
        <v/>
      </c>
      <c r="M59" s="74" t="str" cm="1">
        <f t="array" ref="M59">IFERROR(1/(1/SUM(COUNTIFS(
'YearB-AppDetails Current Date'!A:A,D59,
'YearB-AppDetails Current Date'!F:F,E59,
'YearB-AppDetails Current Date'!E:E,--F59,
'YearB-AppDetails Current Date'!U:U,{"CCAN","DECL"},
'YearB-AppDetails Current Date'!I:I,"WINTER"))), "")</f>
        <v/>
      </c>
      <c r="N59" s="74" t="str" cm="1">
        <f t="array" ref="N59">IFERROR(1/(1/SUM(COUNTIFS(
'YearB-AppDetails Current Date'!A:A,D59,
'YearB-AppDetails Current Date'!F:F,E59,
'YearB-AppDetails Current Date'!E:E,--F59,
'YearB-AppDetails Current Date'!V:V,{"APRO","NODE"},
'YearB-AppDetails Current Date'!I:I,"WINTER"))), "")</f>
        <v/>
      </c>
      <c r="O59" s="74" t="str" cm="1">
        <f t="array" ref="O59">IFERROR(1/(1/SUM(COUNTIFS(
'YearB-AppDetails Current Date'!A:A,D59,
'YearB-AppDetails Current Date'!F:F,E59,
'YearB-AppDetails Current Date'!E:E,--F59,
'YearB-AppDetails Current Date'!T:T,{"CDMT","RQMT","WAIT"},
'YearB-AppDetails Current Date'!I:I,"WINTER"))), "")</f>
        <v/>
      </c>
      <c r="P59" s="74" t="str">
        <f>IFERROR(1/(1/COUNTIFS(
'YearB-AppDetails Current Date'!A:A,D59,
'YearB-AppDetails Current Date'!F:F,E59,
'YearB-AppDetails Current Date'!E:E,--F59,
'YearB-AppDetails Current Date'!Y:Y,"ENRO",
'YearB-AppDetails Current Date'!I:I,"WINTER")),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HC'!D:T,14,FALSE)),
N(VLOOKUP(D60&amp;F60,'Budgeted Projections Intl HC'!D:T,15,FALSE))
)
),"")</f>
        <v/>
      </c>
      <c r="I60" s="73" t="str">
        <f>IFERROR(1/(1/COUNTIFS(
'YearB-AppDetails Current Date'!A:A,D60,
'YearB-AppDetails Current Date'!F:F,E60,
'YearB-AppDetails Current Date'!E:E,--F60,
'YearB-AppDetails Current Date'!I:I,"WINTER")), "")</f>
        <v/>
      </c>
      <c r="J60" s="74" t="str" cm="1">
        <f t="array" ref="J60">IFERROR(1/(1/SUM(COUNTIFS(
'YearB-AppDetails Current Date'!A:A,D60,
'YearB-AppDetails Current Date'!F:F,E60,
'YearB-AppDetails Current Date'!E:E,--F60,
'YearB-AppDetails Current Date'!O:O,{"ACLN","ACPT","COND"},
'YearB-AppDetails Current Date'!S:S,"&lt;&gt;ACLN",
'YearB-AppDetails Current Date'!S:S,"&lt;&gt;ACPT",
'YearB-AppDetails Current Date'!S:S,"&lt;&gt;COND",
'YearB-AppDetails Current Date'!I:I,"WINTER"))), "")</f>
        <v/>
      </c>
      <c r="K60" s="73" t="str">
        <f>IFERROR(1/(1/SUM(COUNTIFS(
'YearB-AppDetails Current Date'!A:A,D60,
'YearB-AppDetails Current Date'!F:F,E60,
'YearB-AppDetails Current Date'!E:E,--F60,
'YearB-AppDetails Current Date'!R:R,"&lt;&gt;"&amp;"",
'YearB-AppDetails Current Date'!I:I,"WINTER"))), "")</f>
        <v/>
      </c>
      <c r="L60" s="74" t="str" cm="1">
        <f t="array" ref="L60">IFERROR(1/(1/SUM(COUNTIFS(
'YearB-AppDetails Current Date'!A:A,D60,
'YearB-AppDetails Current Date'!F:F,E60,
'YearB-AppDetails Current Date'!E:E,--F60,
'YearB-AppDetails Current Date'!T:T,{"APEX","DENY","NTSL"},
'YearB-AppDetails Current Date'!I:I,"WINTER"))), "")</f>
        <v/>
      </c>
      <c r="M60" s="74" t="str" cm="1">
        <f t="array" ref="M60">IFERROR(1/(1/SUM(COUNTIFS(
'YearB-AppDetails Current Date'!A:A,D60,
'YearB-AppDetails Current Date'!F:F,E60,
'YearB-AppDetails Current Date'!E:E,--F60,
'YearB-AppDetails Current Date'!U:U,{"CCAN","DECL"},
'YearB-AppDetails Current Date'!I:I,"WINTER"))), "")</f>
        <v/>
      </c>
      <c r="N60" s="74" t="str" cm="1">
        <f t="array" ref="N60">IFERROR(1/(1/SUM(COUNTIFS(
'YearB-AppDetails Current Date'!A:A,D60,
'YearB-AppDetails Current Date'!F:F,E60,
'YearB-AppDetails Current Date'!E:E,--F60,
'YearB-AppDetails Current Date'!V:V,{"APRO","NODE"},
'YearB-AppDetails Current Date'!I:I,"WINTER"))), "")</f>
        <v/>
      </c>
      <c r="O60" s="74" t="str" cm="1">
        <f t="array" ref="O60">IFERROR(1/(1/SUM(COUNTIFS(
'YearB-AppDetails Current Date'!A:A,D60,
'YearB-AppDetails Current Date'!F:F,E60,
'YearB-AppDetails Current Date'!E:E,--F60,
'YearB-AppDetails Current Date'!T:T,{"CDMT","RQMT","WAIT"},
'YearB-AppDetails Current Date'!I:I,"WINTER"))), "")</f>
        <v/>
      </c>
      <c r="P60" s="74" t="str">
        <f>IFERROR(1/(1/COUNTIFS(
'YearB-AppDetails Current Date'!A:A,D60,
'YearB-AppDetails Current Date'!F:F,E60,
'YearB-AppDetails Current Date'!E:E,--F60,
'YearB-AppDetails Current Date'!Y:Y,"ENRO",
'YearB-AppDetails Current Date'!I:I,"WINTER")),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HC'!D:T,14,FALSE)),
N(VLOOKUP(D61&amp;F61,'Budgeted Projections Dom HC'!D:T,15,FALSE))
)
),"")</f>
        <v/>
      </c>
      <c r="I61" s="73" t="str">
        <f>IFERROR(1/(1/COUNTIFS(
'YearB-AppDetails Current Date'!A:A,D61,
'YearB-AppDetails Current Date'!F:F,E61,
'YearB-AppDetails Current Date'!E:E,--F61,
'YearB-AppDetails Current Date'!I:I,"WINTER")), "")</f>
        <v/>
      </c>
      <c r="J61" s="74" t="str" cm="1">
        <f t="array" ref="J61">IFERROR(1/(1/SUM(COUNTIFS(
'YearB-AppDetails Current Date'!A:A,D61,
'YearB-AppDetails Current Date'!F:F,E61,
'YearB-AppDetails Current Date'!E:E,--F61,
'YearB-AppDetails Current Date'!O:O,{"ACLN","ACPT","COND"},
'YearB-AppDetails Current Date'!S:S,"&lt;&gt;ACLN",
'YearB-AppDetails Current Date'!S:S,"&lt;&gt;ACPT",
'YearB-AppDetails Current Date'!S:S,"&lt;&gt;COND",
'YearB-AppDetails Current Date'!I:I,"WINTER"))), "")</f>
        <v/>
      </c>
      <c r="K61" s="73" t="str">
        <f>IFERROR(1/(1/SUM(COUNTIFS(
'YearB-AppDetails Current Date'!A:A,D61,
'YearB-AppDetails Current Date'!F:F,E61,
'YearB-AppDetails Current Date'!E:E,--F61,
'YearB-AppDetails Current Date'!R:R,"&lt;&gt;"&amp;"",
'YearB-AppDetails Current Date'!I:I,"WINTER"))), "")</f>
        <v/>
      </c>
      <c r="L61" s="74" t="str" cm="1">
        <f t="array" ref="L61">IFERROR(1/(1/SUM(COUNTIFS(
'YearB-AppDetails Current Date'!A:A,D61,
'YearB-AppDetails Current Date'!F:F,E61,
'YearB-AppDetails Current Date'!E:E,--F61,
'YearB-AppDetails Current Date'!T:T,{"APEX","DENY","NTSL"},
'YearB-AppDetails Current Date'!I:I,"WINTER"))), "")</f>
        <v/>
      </c>
      <c r="M61" s="74" t="str" cm="1">
        <f t="array" ref="M61">IFERROR(1/(1/SUM(COUNTIFS(
'YearB-AppDetails Current Date'!A:A,D61,
'YearB-AppDetails Current Date'!F:F,E61,
'YearB-AppDetails Current Date'!E:E,--F61,
'YearB-AppDetails Current Date'!U:U,{"CCAN","DECL"},
'YearB-AppDetails Current Date'!I:I,"WINTER"))), "")</f>
        <v/>
      </c>
      <c r="N61" s="74" t="str" cm="1">
        <f t="array" ref="N61">IFERROR(1/(1/SUM(COUNTIFS(
'YearB-AppDetails Current Date'!A:A,D61,
'YearB-AppDetails Current Date'!F:F,E61,
'YearB-AppDetails Current Date'!E:E,--F61,
'YearB-AppDetails Current Date'!V:V,{"APRO","NODE"},
'YearB-AppDetails Current Date'!I:I,"WINTER"))), "")</f>
        <v/>
      </c>
      <c r="O61" s="74" t="str" cm="1">
        <f t="array" ref="O61">IFERROR(1/(1/SUM(COUNTIFS(
'YearB-AppDetails Current Date'!A:A,D61,
'YearB-AppDetails Current Date'!F:F,E61,
'YearB-AppDetails Current Date'!E:E,--F61,
'YearB-AppDetails Current Date'!T:T,{"CDMT","RQMT","WAIT"},
'YearB-AppDetails Current Date'!I:I,"WINTER"))), "")</f>
        <v/>
      </c>
      <c r="P61" s="74" t="str">
        <f>IFERROR(1/(1/COUNTIFS(
'YearB-AppDetails Current Date'!A:A,D61,
'YearB-AppDetails Current Date'!F:F,E61,
'YearB-AppDetails Current Date'!E:E,--F61,
'YearB-AppDetails Current Date'!Y:Y,"ENRO",
'YearB-AppDetails Current Date'!I:I,"WINTER")),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HC'!D:T,14,FALSE)),
N(VLOOKUP(D62&amp;F62,'Budgeted Projections Intl HC'!D:T,15,FALSE))
)
),"")</f>
        <v/>
      </c>
      <c r="I62" s="73" t="str">
        <f>IFERROR(1/(1/COUNTIFS(
'YearB-AppDetails Current Date'!A:A,D62,
'YearB-AppDetails Current Date'!F:F,E62,
'YearB-AppDetails Current Date'!E:E,--F62,
'YearB-AppDetails Current Date'!I:I,"WINTER")), "")</f>
        <v/>
      </c>
      <c r="J62" s="74" t="str" cm="1">
        <f t="array" ref="J62">IFERROR(1/(1/SUM(COUNTIFS(
'YearB-AppDetails Current Date'!A:A,D62,
'YearB-AppDetails Current Date'!F:F,E62,
'YearB-AppDetails Current Date'!E:E,--F62,
'YearB-AppDetails Current Date'!O:O,{"ACLN","ACPT","COND"},
'YearB-AppDetails Current Date'!S:S,"&lt;&gt;ACLN",
'YearB-AppDetails Current Date'!S:S,"&lt;&gt;ACPT",
'YearB-AppDetails Current Date'!S:S,"&lt;&gt;COND",
'YearB-AppDetails Current Date'!I:I,"WINTER"))), "")</f>
        <v/>
      </c>
      <c r="K62" s="73" t="str">
        <f>IFERROR(1/(1/SUM(COUNTIFS(
'YearB-AppDetails Current Date'!A:A,D62,
'YearB-AppDetails Current Date'!F:F,E62,
'YearB-AppDetails Current Date'!E:E,--F62,
'YearB-AppDetails Current Date'!R:R,"&lt;&gt;"&amp;"",
'YearB-AppDetails Current Date'!I:I,"WINTER"))), "")</f>
        <v/>
      </c>
      <c r="L62" s="74" t="str" cm="1">
        <f t="array" ref="L62">IFERROR(1/(1/SUM(COUNTIFS(
'YearB-AppDetails Current Date'!A:A,D62,
'YearB-AppDetails Current Date'!F:F,E62,
'YearB-AppDetails Current Date'!E:E,--F62,
'YearB-AppDetails Current Date'!T:T,{"APEX","DENY","NTSL"},
'YearB-AppDetails Current Date'!I:I,"WINTER"))), "")</f>
        <v/>
      </c>
      <c r="M62" s="74" t="str" cm="1">
        <f t="array" ref="M62">IFERROR(1/(1/SUM(COUNTIFS(
'YearB-AppDetails Current Date'!A:A,D62,
'YearB-AppDetails Current Date'!F:F,E62,
'YearB-AppDetails Current Date'!E:E,--F62,
'YearB-AppDetails Current Date'!U:U,{"CCAN","DECL"},
'YearB-AppDetails Current Date'!I:I,"WINTER"))), "")</f>
        <v/>
      </c>
      <c r="N62" s="74" t="str" cm="1">
        <f t="array" ref="N62">IFERROR(1/(1/SUM(COUNTIFS(
'YearB-AppDetails Current Date'!A:A,D62,
'YearB-AppDetails Current Date'!F:F,E62,
'YearB-AppDetails Current Date'!E:E,--F62,
'YearB-AppDetails Current Date'!V:V,{"APRO","NODE"},
'YearB-AppDetails Current Date'!I:I,"WINTER"))), "")</f>
        <v/>
      </c>
      <c r="O62" s="74" t="str" cm="1">
        <f t="array" ref="O62">IFERROR(1/(1/SUM(COUNTIFS(
'YearB-AppDetails Current Date'!A:A,D62,
'YearB-AppDetails Current Date'!F:F,E62,
'YearB-AppDetails Current Date'!E:E,--F62,
'YearB-AppDetails Current Date'!T:T,{"CDMT","RQMT","WAIT"},
'YearB-AppDetails Current Date'!I:I,"WINTER"))), "")</f>
        <v/>
      </c>
      <c r="P62" s="74" t="str">
        <f>IFERROR(1/(1/COUNTIFS(
'YearB-AppDetails Current Date'!A:A,D62,
'YearB-AppDetails Current Date'!F:F,E62,
'YearB-AppDetails Current Date'!E:E,--F62,
'YearB-AppDetails Current Date'!Y:Y,"ENRO",
'YearB-AppDetails Current Date'!I:I,"WINTER")),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HC'!D:T,14,FALSE)),
N(VLOOKUP(D64&amp;F64,'Budgeted Projections Dom HC'!D:T,15,FALSE))
)
),"")</f>
        <v/>
      </c>
      <c r="I64" s="73" t="str">
        <f>IFERROR(1/(1/COUNTIFS(
'YearB-AppDetails Current Date'!A:A,D64,
'YearB-AppDetails Current Date'!F:F,E64,
'YearB-AppDetails Current Date'!E:E,--F64,
'YearB-AppDetails Current Date'!I:I,"WINTER")), "")</f>
        <v/>
      </c>
      <c r="J64" s="74" t="str" cm="1">
        <f t="array" ref="J64">IFERROR(1/(1/SUM(COUNTIFS(
'YearB-AppDetails Current Date'!A:A,D64,
'YearB-AppDetails Current Date'!F:F,E64,
'YearB-AppDetails Current Date'!E:E,--F64,
'YearB-AppDetails Current Date'!O:O,{"ACLN","ACPT","COND"},
'YearB-AppDetails Current Date'!S:S,"&lt;&gt;ACLN",
'YearB-AppDetails Current Date'!S:S,"&lt;&gt;ACPT",
'YearB-AppDetails Current Date'!S:S,"&lt;&gt;COND",
'YearB-AppDetails Current Date'!I:I,"WINTER"))), "")</f>
        <v/>
      </c>
      <c r="K64" s="73" t="str">
        <f>IFERROR(1/(1/SUM(COUNTIFS(
'YearB-AppDetails Current Date'!A:A,D64,
'YearB-AppDetails Current Date'!F:F,E64,
'YearB-AppDetails Current Date'!E:E,--F64,
'YearB-AppDetails Current Date'!R:R,"&lt;&gt;"&amp;"",
'YearB-AppDetails Current Date'!I:I,"WINTER"))), "")</f>
        <v/>
      </c>
      <c r="L64" s="74" t="str" cm="1">
        <f t="array" ref="L64">IFERROR(1/(1/SUM(COUNTIFS(
'YearB-AppDetails Current Date'!A:A,D64,
'YearB-AppDetails Current Date'!F:F,E64,
'YearB-AppDetails Current Date'!E:E,--F64,
'YearB-AppDetails Current Date'!T:T,{"APEX","DENY","NTSL"},
'YearB-AppDetails Current Date'!I:I,"WINTER"))), "")</f>
        <v/>
      </c>
      <c r="M64" s="74" t="str" cm="1">
        <f t="array" ref="M64">IFERROR(1/(1/SUM(COUNTIFS(
'YearB-AppDetails Current Date'!A:A,D64,
'YearB-AppDetails Current Date'!F:F,E64,
'YearB-AppDetails Current Date'!E:E,--F64,
'YearB-AppDetails Current Date'!U:U,{"CCAN","DECL"},
'YearB-AppDetails Current Date'!I:I,"WINTER"))), "")</f>
        <v/>
      </c>
      <c r="N64" s="74" t="str" cm="1">
        <f t="array" ref="N64">IFERROR(1/(1/SUM(COUNTIFS(
'YearB-AppDetails Current Date'!A:A,D64,
'YearB-AppDetails Current Date'!F:F,E64,
'YearB-AppDetails Current Date'!E:E,--F64,
'YearB-AppDetails Current Date'!V:V,{"APRO","NODE"},
'YearB-AppDetails Current Date'!I:I,"WINTER"))), "")</f>
        <v/>
      </c>
      <c r="O64" s="74" t="str" cm="1">
        <f t="array" ref="O64">IFERROR(1/(1/SUM(COUNTIFS(
'YearB-AppDetails Current Date'!A:A,D64,
'YearB-AppDetails Current Date'!F:F,E64,
'YearB-AppDetails Current Date'!E:E,--F64,
'YearB-AppDetails Current Date'!T:T,{"CDMT","RQMT","WAIT"},
'YearB-AppDetails Current Date'!I:I,"WINTER"))), "")</f>
        <v/>
      </c>
      <c r="P64" s="74" t="str">
        <f>IFERROR(1/(1/COUNTIFS(
'YearB-AppDetails Current Date'!A:A,D64,
'YearB-AppDetails Current Date'!F:F,E64,
'YearB-AppDetails Current Date'!E:E,--F64,
'YearB-AppDetails Current Date'!Y:Y,"ENRO",
'YearB-AppDetails Current Date'!I:I,"WINTER")),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HC'!D:T,14,FALSE)),
N(VLOOKUP(D65&amp;F65,'Budgeted Projections Intl HC'!D:T,15,FALSE))
)
),"")</f>
        <v/>
      </c>
      <c r="I65" s="73" t="str">
        <f>IFERROR(1/(1/COUNTIFS(
'YearB-AppDetails Current Date'!A:A,D65,
'YearB-AppDetails Current Date'!F:F,E65,
'YearB-AppDetails Current Date'!E:E,--F65,
'YearB-AppDetails Current Date'!I:I,"WINTER")), "")</f>
        <v/>
      </c>
      <c r="J65" s="74" t="str" cm="1">
        <f t="array" ref="J65">IFERROR(1/(1/SUM(COUNTIFS(
'YearB-AppDetails Current Date'!A:A,D65,
'YearB-AppDetails Current Date'!F:F,E65,
'YearB-AppDetails Current Date'!E:E,--F65,
'YearB-AppDetails Current Date'!O:O,{"ACLN","ACPT","COND"},
'YearB-AppDetails Current Date'!S:S,"&lt;&gt;ACLN",
'YearB-AppDetails Current Date'!S:S,"&lt;&gt;ACPT",
'YearB-AppDetails Current Date'!S:S,"&lt;&gt;COND",
'YearB-AppDetails Current Date'!I:I,"WINTER"))), "")</f>
        <v/>
      </c>
      <c r="K65" s="73" t="str">
        <f>IFERROR(1/(1/SUM(COUNTIFS(
'YearB-AppDetails Current Date'!A:A,D65,
'YearB-AppDetails Current Date'!F:F,E65,
'YearB-AppDetails Current Date'!E:E,--F65,
'YearB-AppDetails Current Date'!R:R,"&lt;&gt;"&amp;"",
'YearB-AppDetails Current Date'!I:I,"WINTER"))), "")</f>
        <v/>
      </c>
      <c r="L65" s="74" t="str" cm="1">
        <f t="array" ref="L65">IFERROR(1/(1/SUM(COUNTIFS(
'YearB-AppDetails Current Date'!A:A,D65,
'YearB-AppDetails Current Date'!F:F,E65,
'YearB-AppDetails Current Date'!E:E,--F65,
'YearB-AppDetails Current Date'!T:T,{"APEX","DENY","NTSL"},
'YearB-AppDetails Current Date'!I:I,"WINTER"))), "")</f>
        <v/>
      </c>
      <c r="M65" s="74" t="str" cm="1">
        <f t="array" ref="M65">IFERROR(1/(1/SUM(COUNTIFS(
'YearB-AppDetails Current Date'!A:A,D65,
'YearB-AppDetails Current Date'!F:F,E65,
'YearB-AppDetails Current Date'!E:E,--F65,
'YearB-AppDetails Current Date'!U:U,{"CCAN","DECL"},
'YearB-AppDetails Current Date'!I:I,"WINTER"))), "")</f>
        <v/>
      </c>
      <c r="N65" s="74" t="str" cm="1">
        <f t="array" ref="N65">IFERROR(1/(1/SUM(COUNTIFS(
'YearB-AppDetails Current Date'!A:A,D65,
'YearB-AppDetails Current Date'!F:F,E65,
'YearB-AppDetails Current Date'!E:E,--F65,
'YearB-AppDetails Current Date'!V:V,{"APRO","NODE"},
'YearB-AppDetails Current Date'!I:I,"WINTER"))), "")</f>
        <v/>
      </c>
      <c r="O65" s="74" t="str" cm="1">
        <f t="array" ref="O65">IFERROR(1/(1/SUM(COUNTIFS(
'YearB-AppDetails Current Date'!A:A,D65,
'YearB-AppDetails Current Date'!F:F,E65,
'YearB-AppDetails Current Date'!E:E,--F65,
'YearB-AppDetails Current Date'!T:T,{"CDMT","RQMT","WAIT"},
'YearB-AppDetails Current Date'!I:I,"WINTER"))), "")</f>
        <v/>
      </c>
      <c r="P65" s="74" t="str">
        <f>IFERROR(1/(1/COUNTIFS(
'YearB-AppDetails Current Date'!A:A,D65,
'YearB-AppDetails Current Date'!F:F,E65,
'YearB-AppDetails Current Date'!E:E,--F65,
'YearB-AppDetails Current Date'!Y:Y,"ENRO",
'YearB-AppDetails Current Date'!I:I,"WINTER")),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HC'!D:T,14,FALSE)),
N(VLOOKUP(D66&amp;F66,'Budgeted Projections Dom HC'!D:T,15,FALSE))
)
),"")</f>
        <v/>
      </c>
      <c r="I66" s="73" t="str">
        <f>IFERROR(1/(1/COUNTIFS(
'YearB-AppDetails Current Date'!A:A,D66,
'YearB-AppDetails Current Date'!F:F,E66,
'YearB-AppDetails Current Date'!E:E,--F66,
'YearB-AppDetails Current Date'!I:I,"WINTER")), "")</f>
        <v/>
      </c>
      <c r="J66" s="74" t="str" cm="1">
        <f t="array" ref="J66">IFERROR(1/(1/SUM(COUNTIFS(
'YearB-AppDetails Current Date'!A:A,D66,
'YearB-AppDetails Current Date'!F:F,E66,
'YearB-AppDetails Current Date'!E:E,--F66,
'YearB-AppDetails Current Date'!O:O,{"ACLN","ACPT","COND"},
'YearB-AppDetails Current Date'!S:S,"&lt;&gt;ACLN",
'YearB-AppDetails Current Date'!S:S,"&lt;&gt;ACPT",
'YearB-AppDetails Current Date'!S:S,"&lt;&gt;COND",
'YearB-AppDetails Current Date'!I:I,"WINTER"))), "")</f>
        <v/>
      </c>
      <c r="K66" s="73" t="str">
        <f>IFERROR(1/(1/SUM(COUNTIFS(
'YearB-AppDetails Current Date'!A:A,D66,
'YearB-AppDetails Current Date'!F:F,E66,
'YearB-AppDetails Current Date'!E:E,--F66,
'YearB-AppDetails Current Date'!R:R,"&lt;&gt;"&amp;"",
'YearB-AppDetails Current Date'!I:I,"WINTER"))), "")</f>
        <v/>
      </c>
      <c r="L66" s="74" t="str" cm="1">
        <f t="array" ref="L66">IFERROR(1/(1/SUM(COUNTIFS(
'YearB-AppDetails Current Date'!A:A,D66,
'YearB-AppDetails Current Date'!F:F,E66,
'YearB-AppDetails Current Date'!E:E,--F66,
'YearB-AppDetails Current Date'!T:T,{"APEX","DENY","NTSL"},
'YearB-AppDetails Current Date'!I:I,"WINTER"))), "")</f>
        <v/>
      </c>
      <c r="M66" s="74" t="str" cm="1">
        <f t="array" ref="M66">IFERROR(1/(1/SUM(COUNTIFS(
'YearB-AppDetails Current Date'!A:A,D66,
'YearB-AppDetails Current Date'!F:F,E66,
'YearB-AppDetails Current Date'!E:E,--F66,
'YearB-AppDetails Current Date'!U:U,{"CCAN","DECL"},
'YearB-AppDetails Current Date'!I:I,"WINTER"))), "")</f>
        <v/>
      </c>
      <c r="N66" s="74" t="str" cm="1">
        <f t="array" ref="N66">IFERROR(1/(1/SUM(COUNTIFS(
'YearB-AppDetails Current Date'!A:A,D66,
'YearB-AppDetails Current Date'!F:F,E66,
'YearB-AppDetails Current Date'!E:E,--F66,
'YearB-AppDetails Current Date'!V:V,{"APRO","NODE"},
'YearB-AppDetails Current Date'!I:I,"WINTER"))), "")</f>
        <v/>
      </c>
      <c r="O66" s="74" t="str" cm="1">
        <f t="array" ref="O66">IFERROR(1/(1/SUM(COUNTIFS(
'YearB-AppDetails Current Date'!A:A,D66,
'YearB-AppDetails Current Date'!F:F,E66,
'YearB-AppDetails Current Date'!E:E,--F66,
'YearB-AppDetails Current Date'!T:T,{"CDMT","RQMT","WAIT"},
'YearB-AppDetails Current Date'!I:I,"WINTER"))), "")</f>
        <v/>
      </c>
      <c r="P66" s="74" t="str">
        <f>IFERROR(1/(1/COUNTIFS(
'YearB-AppDetails Current Date'!A:A,D66,
'YearB-AppDetails Current Date'!F:F,E66,
'YearB-AppDetails Current Date'!E:E,--F66,
'YearB-AppDetails Current Date'!Y:Y,"ENRO",
'YearB-AppDetails Current Date'!I:I,"WINTER")),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HC'!D:T,14,FALSE)),
N(VLOOKUP(D67&amp;F67,'Budgeted Projections Intl HC'!D:T,15,FALSE))
)
),"")</f>
        <v/>
      </c>
      <c r="I67" s="73" t="str">
        <f>IFERROR(1/(1/COUNTIFS(
'YearB-AppDetails Current Date'!A:A,D67,
'YearB-AppDetails Current Date'!F:F,E67,
'YearB-AppDetails Current Date'!E:E,--F67,
'YearB-AppDetails Current Date'!I:I,"WINTER")), "")</f>
        <v/>
      </c>
      <c r="J67" s="74" t="str" cm="1">
        <f t="array" ref="J67">IFERROR(1/(1/SUM(COUNTIFS(
'YearB-AppDetails Current Date'!A:A,D67,
'YearB-AppDetails Current Date'!F:F,E67,
'YearB-AppDetails Current Date'!E:E,--F67,
'YearB-AppDetails Current Date'!O:O,{"ACLN","ACPT","COND"},
'YearB-AppDetails Current Date'!S:S,"&lt;&gt;ACLN",
'YearB-AppDetails Current Date'!S:S,"&lt;&gt;ACPT",
'YearB-AppDetails Current Date'!S:S,"&lt;&gt;COND",
'YearB-AppDetails Current Date'!I:I,"WINTER"))), "")</f>
        <v/>
      </c>
      <c r="K67" s="73" t="str">
        <f>IFERROR(1/(1/SUM(COUNTIFS(
'YearB-AppDetails Current Date'!A:A,D67,
'YearB-AppDetails Current Date'!F:F,E67,
'YearB-AppDetails Current Date'!E:E,--F67,
'YearB-AppDetails Current Date'!R:R,"&lt;&gt;"&amp;"",
'YearB-AppDetails Current Date'!I:I,"WINTER"))), "")</f>
        <v/>
      </c>
      <c r="L67" s="74" t="str" cm="1">
        <f t="array" ref="L67">IFERROR(1/(1/SUM(COUNTIFS(
'YearB-AppDetails Current Date'!A:A,D67,
'YearB-AppDetails Current Date'!F:F,E67,
'YearB-AppDetails Current Date'!E:E,--F67,
'YearB-AppDetails Current Date'!T:T,{"APEX","DENY","NTSL"},
'YearB-AppDetails Current Date'!I:I,"WINTER"))), "")</f>
        <v/>
      </c>
      <c r="M67" s="74" t="str" cm="1">
        <f t="array" ref="M67">IFERROR(1/(1/SUM(COUNTIFS(
'YearB-AppDetails Current Date'!A:A,D67,
'YearB-AppDetails Current Date'!F:F,E67,
'YearB-AppDetails Current Date'!E:E,--F67,
'YearB-AppDetails Current Date'!U:U,{"CCAN","DECL"},
'YearB-AppDetails Current Date'!I:I,"WINTER"))), "")</f>
        <v/>
      </c>
      <c r="N67" s="74" t="str" cm="1">
        <f t="array" ref="N67">IFERROR(1/(1/SUM(COUNTIFS(
'YearB-AppDetails Current Date'!A:A,D67,
'YearB-AppDetails Current Date'!F:F,E67,
'YearB-AppDetails Current Date'!E:E,--F67,
'YearB-AppDetails Current Date'!V:V,{"APRO","NODE"},
'YearB-AppDetails Current Date'!I:I,"WINTER"))), "")</f>
        <v/>
      </c>
      <c r="O67" s="74" t="str" cm="1">
        <f t="array" ref="O67">IFERROR(1/(1/SUM(COUNTIFS(
'YearB-AppDetails Current Date'!A:A,D67,
'YearB-AppDetails Current Date'!F:F,E67,
'YearB-AppDetails Current Date'!E:E,--F67,
'YearB-AppDetails Current Date'!T:T,{"CDMT","RQMT","WAIT"},
'YearB-AppDetails Current Date'!I:I,"WINTER"))), "")</f>
        <v/>
      </c>
      <c r="P67" s="74" t="str">
        <f>IFERROR(1/(1/COUNTIFS(
'YearB-AppDetails Current Date'!A:A,D67,
'YearB-AppDetails Current Date'!F:F,E67,
'YearB-AppDetails Current Date'!E:E,--F67,
'YearB-AppDetails Current Date'!Y:Y,"ENRO",
'YearB-AppDetails Current Date'!I:I,"WINTER")),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HC'!D:T,14,FALSE)),
N(VLOOKUP(D68&amp;F68,'Budgeted Projections Dom HC'!D:T,15,FALSE))
)
),"")</f>
        <v/>
      </c>
      <c r="I68" s="73" t="str">
        <f>IFERROR(1/(1/COUNTIFS(
'YearB-AppDetails Current Date'!A:A,D68,
'YearB-AppDetails Current Date'!F:F,E68,
'YearB-AppDetails Current Date'!E:E,--F68,
'YearB-AppDetails Current Date'!I:I,"WINTER")), "")</f>
        <v/>
      </c>
      <c r="J68" s="74" t="str" cm="1">
        <f t="array" ref="J68">IFERROR(1/(1/SUM(COUNTIFS(
'YearB-AppDetails Current Date'!A:A,D68,
'YearB-AppDetails Current Date'!F:F,E68,
'YearB-AppDetails Current Date'!E:E,--F68,
'YearB-AppDetails Current Date'!O:O,{"ACLN","ACPT","COND"},
'YearB-AppDetails Current Date'!S:S,"&lt;&gt;ACLN",
'YearB-AppDetails Current Date'!S:S,"&lt;&gt;ACPT",
'YearB-AppDetails Current Date'!S:S,"&lt;&gt;COND",
'YearB-AppDetails Current Date'!I:I,"WINTER"))), "")</f>
        <v/>
      </c>
      <c r="K68" s="73" t="str">
        <f>IFERROR(1/(1/SUM(COUNTIFS(
'YearB-AppDetails Current Date'!A:A,D68,
'YearB-AppDetails Current Date'!F:F,E68,
'YearB-AppDetails Current Date'!E:E,--F68,
'YearB-AppDetails Current Date'!R:R,"&lt;&gt;"&amp;"",
'YearB-AppDetails Current Date'!I:I,"WINTER"))), "")</f>
        <v/>
      </c>
      <c r="L68" s="74" t="str" cm="1">
        <f t="array" ref="L68">IFERROR(1/(1/SUM(COUNTIFS(
'YearB-AppDetails Current Date'!A:A,D68,
'YearB-AppDetails Current Date'!F:F,E68,
'YearB-AppDetails Current Date'!E:E,--F68,
'YearB-AppDetails Current Date'!T:T,{"APEX","DENY","NTSL"},
'YearB-AppDetails Current Date'!I:I,"WINTER"))), "")</f>
        <v/>
      </c>
      <c r="M68" s="74" t="str" cm="1">
        <f t="array" ref="M68">IFERROR(1/(1/SUM(COUNTIFS(
'YearB-AppDetails Current Date'!A:A,D68,
'YearB-AppDetails Current Date'!F:F,E68,
'YearB-AppDetails Current Date'!E:E,--F68,
'YearB-AppDetails Current Date'!U:U,{"CCAN","DECL"},
'YearB-AppDetails Current Date'!I:I,"WINTER"))), "")</f>
        <v/>
      </c>
      <c r="N68" s="74" t="str" cm="1">
        <f t="array" ref="N68">IFERROR(1/(1/SUM(COUNTIFS(
'YearB-AppDetails Current Date'!A:A,D68,
'YearB-AppDetails Current Date'!F:F,E68,
'YearB-AppDetails Current Date'!E:E,--F68,
'YearB-AppDetails Current Date'!V:V,{"APRO","NODE"},
'YearB-AppDetails Current Date'!I:I,"WINTER"))), "")</f>
        <v/>
      </c>
      <c r="O68" s="74" t="str" cm="1">
        <f t="array" ref="O68">IFERROR(1/(1/SUM(COUNTIFS(
'YearB-AppDetails Current Date'!A:A,D68,
'YearB-AppDetails Current Date'!F:F,E68,
'YearB-AppDetails Current Date'!E:E,--F68,
'YearB-AppDetails Current Date'!T:T,{"CDMT","RQMT","WAIT"},
'YearB-AppDetails Current Date'!I:I,"WINTER"))), "")</f>
        <v/>
      </c>
      <c r="P68" s="74" t="str">
        <f>IFERROR(1/(1/COUNTIFS(
'YearB-AppDetails Current Date'!A:A,D68,
'YearB-AppDetails Current Date'!F:F,E68,
'YearB-AppDetails Current Date'!E:E,--F68,
'YearB-AppDetails Current Date'!Y:Y,"ENRO",
'YearB-AppDetails Current Date'!I:I,"WINTER")),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HC'!D:T,14,FALSE)),
N(VLOOKUP(D69&amp;F69,'Budgeted Projections Intl HC'!D:T,15,FALSE))
)
),"")</f>
        <v/>
      </c>
      <c r="I69" s="73" t="str">
        <f>IFERROR(1/(1/COUNTIFS(
'YearB-AppDetails Current Date'!A:A,D69,
'YearB-AppDetails Current Date'!F:F,E69,
'YearB-AppDetails Current Date'!E:E,--F69,
'YearB-AppDetails Current Date'!I:I,"WINTER")), "")</f>
        <v/>
      </c>
      <c r="J69" s="74" t="str" cm="1">
        <f t="array" ref="J69">IFERROR(1/(1/SUM(COUNTIFS(
'YearB-AppDetails Current Date'!A:A,D69,
'YearB-AppDetails Current Date'!F:F,E69,
'YearB-AppDetails Current Date'!E:E,--F69,
'YearB-AppDetails Current Date'!O:O,{"ACLN","ACPT","COND"},
'YearB-AppDetails Current Date'!S:S,"&lt;&gt;ACLN",
'YearB-AppDetails Current Date'!S:S,"&lt;&gt;ACPT",
'YearB-AppDetails Current Date'!S:S,"&lt;&gt;COND",
'YearB-AppDetails Current Date'!I:I,"WINTER"))), "")</f>
        <v/>
      </c>
      <c r="K69" s="73" t="str">
        <f>IFERROR(1/(1/SUM(COUNTIFS(
'YearB-AppDetails Current Date'!A:A,D69,
'YearB-AppDetails Current Date'!F:F,E69,
'YearB-AppDetails Current Date'!E:E,--F69,
'YearB-AppDetails Current Date'!R:R,"&lt;&gt;"&amp;"",
'YearB-AppDetails Current Date'!I:I,"WINTER"))), "")</f>
        <v/>
      </c>
      <c r="L69" s="74" t="str" cm="1">
        <f t="array" ref="L69">IFERROR(1/(1/SUM(COUNTIFS(
'YearB-AppDetails Current Date'!A:A,D69,
'YearB-AppDetails Current Date'!F:F,E69,
'YearB-AppDetails Current Date'!E:E,--F69,
'YearB-AppDetails Current Date'!T:T,{"APEX","DENY","NTSL"},
'YearB-AppDetails Current Date'!I:I,"WINTER"))), "")</f>
        <v/>
      </c>
      <c r="M69" s="74" t="str" cm="1">
        <f t="array" ref="M69">IFERROR(1/(1/SUM(COUNTIFS(
'YearB-AppDetails Current Date'!A:A,D69,
'YearB-AppDetails Current Date'!F:F,E69,
'YearB-AppDetails Current Date'!E:E,--F69,
'YearB-AppDetails Current Date'!U:U,{"CCAN","DECL"},
'YearB-AppDetails Current Date'!I:I,"WINTER"))), "")</f>
        <v/>
      </c>
      <c r="N69" s="74" t="str" cm="1">
        <f t="array" ref="N69">IFERROR(1/(1/SUM(COUNTIFS(
'YearB-AppDetails Current Date'!A:A,D69,
'YearB-AppDetails Current Date'!F:F,E69,
'YearB-AppDetails Current Date'!E:E,--F69,
'YearB-AppDetails Current Date'!V:V,{"APRO","NODE"},
'YearB-AppDetails Current Date'!I:I,"WINTER"))), "")</f>
        <v/>
      </c>
      <c r="O69" s="74" t="str" cm="1">
        <f t="array" ref="O69">IFERROR(1/(1/SUM(COUNTIFS(
'YearB-AppDetails Current Date'!A:A,D69,
'YearB-AppDetails Current Date'!F:F,E69,
'YearB-AppDetails Current Date'!E:E,--F69,
'YearB-AppDetails Current Date'!T:T,{"CDMT","RQMT","WAIT"},
'YearB-AppDetails Current Date'!I:I,"WINTER"))), "")</f>
        <v/>
      </c>
      <c r="P69" s="74" t="str">
        <f>IFERROR(1/(1/COUNTIFS(
'YearB-AppDetails Current Date'!A:A,D69,
'YearB-AppDetails Current Date'!F:F,E69,
'YearB-AppDetails Current Date'!E:E,--F69,
'YearB-AppDetails Current Date'!Y:Y,"ENRO",
'YearB-AppDetails Current Date'!I:I,"WINTER")),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HC'!D:T,14,FALSE)),
N(VLOOKUP(D70&amp;F70,'Budgeted Projections Dom HC'!D:T,15,FALSE))
)
),"")</f>
        <v/>
      </c>
      <c r="I70" s="73" t="str">
        <f>IFERROR(1/(1/COUNTIFS(
'YearB-AppDetails Current Date'!A:A,D70,
'YearB-AppDetails Current Date'!F:F,E70,
'YearB-AppDetails Current Date'!E:E,--F70,
'YearB-AppDetails Current Date'!I:I,"WINTER")), "")</f>
        <v/>
      </c>
      <c r="J70" s="74" t="str" cm="1">
        <f t="array" ref="J70">IFERROR(1/(1/SUM(COUNTIFS(
'YearB-AppDetails Current Date'!A:A,D70,
'YearB-AppDetails Current Date'!F:F,E70,
'YearB-AppDetails Current Date'!E:E,--F70,
'YearB-AppDetails Current Date'!O:O,{"ACLN","ACPT","COND"},
'YearB-AppDetails Current Date'!S:S,"&lt;&gt;ACLN",
'YearB-AppDetails Current Date'!S:S,"&lt;&gt;ACPT",
'YearB-AppDetails Current Date'!S:S,"&lt;&gt;COND",
'YearB-AppDetails Current Date'!I:I,"WINTER"))), "")</f>
        <v/>
      </c>
      <c r="K70" s="73" t="str">
        <f>IFERROR(1/(1/SUM(COUNTIFS(
'YearB-AppDetails Current Date'!A:A,D70,
'YearB-AppDetails Current Date'!F:F,E70,
'YearB-AppDetails Current Date'!E:E,--F70,
'YearB-AppDetails Current Date'!R:R,"&lt;&gt;"&amp;"",
'YearB-AppDetails Current Date'!I:I,"WINTER"))), "")</f>
        <v/>
      </c>
      <c r="L70" s="74" t="str" cm="1">
        <f t="array" ref="L70">IFERROR(1/(1/SUM(COUNTIFS(
'YearB-AppDetails Current Date'!A:A,D70,
'YearB-AppDetails Current Date'!F:F,E70,
'YearB-AppDetails Current Date'!E:E,--F70,
'YearB-AppDetails Current Date'!T:T,{"APEX","DENY","NTSL"},
'YearB-AppDetails Current Date'!I:I,"WINTER"))), "")</f>
        <v/>
      </c>
      <c r="M70" s="74" t="str" cm="1">
        <f t="array" ref="M70">IFERROR(1/(1/SUM(COUNTIFS(
'YearB-AppDetails Current Date'!A:A,D70,
'YearB-AppDetails Current Date'!F:F,E70,
'YearB-AppDetails Current Date'!E:E,--F70,
'YearB-AppDetails Current Date'!U:U,{"CCAN","DECL"},
'YearB-AppDetails Current Date'!I:I,"WINTER"))), "")</f>
        <v/>
      </c>
      <c r="N70" s="74" t="str" cm="1">
        <f t="array" ref="N70">IFERROR(1/(1/SUM(COUNTIFS(
'YearB-AppDetails Current Date'!A:A,D70,
'YearB-AppDetails Current Date'!F:F,E70,
'YearB-AppDetails Current Date'!E:E,--F70,
'YearB-AppDetails Current Date'!V:V,{"APRO","NODE"},
'YearB-AppDetails Current Date'!I:I,"WINTER"))), "")</f>
        <v/>
      </c>
      <c r="O70" s="74" t="str" cm="1">
        <f t="array" ref="O70">IFERROR(1/(1/SUM(COUNTIFS(
'YearB-AppDetails Current Date'!A:A,D70,
'YearB-AppDetails Current Date'!F:F,E70,
'YearB-AppDetails Current Date'!E:E,--F70,
'YearB-AppDetails Current Date'!T:T,{"CDMT","RQMT","WAIT"},
'YearB-AppDetails Current Date'!I:I,"WINTER"))), "")</f>
        <v/>
      </c>
      <c r="P70" s="74" t="str">
        <f>IFERROR(1/(1/COUNTIFS(
'YearB-AppDetails Current Date'!A:A,D70,
'YearB-AppDetails Current Date'!F:F,E70,
'YearB-AppDetails Current Date'!E:E,--F70,
'YearB-AppDetails Current Date'!Y:Y,"ENRO",
'YearB-AppDetails Current Date'!I:I,"WINTER")),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HC'!D:T,14,FALSE)),
N(VLOOKUP(D71&amp;F71,'Budgeted Projections Intl HC'!D:T,15,FALSE))
)
),"")</f>
        <v/>
      </c>
      <c r="I71" s="73" t="str">
        <f>IFERROR(1/(1/COUNTIFS(
'YearB-AppDetails Current Date'!A:A,D71,
'YearB-AppDetails Current Date'!F:F,E71,
'YearB-AppDetails Current Date'!E:E,--F71,
'YearB-AppDetails Current Date'!I:I,"WINTER")), "")</f>
        <v/>
      </c>
      <c r="J71" s="74" t="str" cm="1">
        <f t="array" ref="J71">IFERROR(1/(1/SUM(COUNTIFS(
'YearB-AppDetails Current Date'!A:A,D71,
'YearB-AppDetails Current Date'!F:F,E71,
'YearB-AppDetails Current Date'!E:E,--F71,
'YearB-AppDetails Current Date'!O:O,{"ACLN","ACPT","COND"},
'YearB-AppDetails Current Date'!S:S,"&lt;&gt;ACLN",
'YearB-AppDetails Current Date'!S:S,"&lt;&gt;ACPT",
'YearB-AppDetails Current Date'!S:S,"&lt;&gt;COND",
'YearB-AppDetails Current Date'!I:I,"WINTER"))), "")</f>
        <v/>
      </c>
      <c r="K71" s="73" t="str">
        <f>IFERROR(1/(1/SUM(COUNTIFS(
'YearB-AppDetails Current Date'!A:A,D71,
'YearB-AppDetails Current Date'!F:F,E71,
'YearB-AppDetails Current Date'!E:E,--F71,
'YearB-AppDetails Current Date'!R:R,"&lt;&gt;"&amp;"",
'YearB-AppDetails Current Date'!I:I,"WINTER"))), "")</f>
        <v/>
      </c>
      <c r="L71" s="74" t="str" cm="1">
        <f t="array" ref="L71">IFERROR(1/(1/SUM(COUNTIFS(
'YearB-AppDetails Current Date'!A:A,D71,
'YearB-AppDetails Current Date'!F:F,E71,
'YearB-AppDetails Current Date'!E:E,--F71,
'YearB-AppDetails Current Date'!T:T,{"APEX","DENY","NTSL"},
'YearB-AppDetails Current Date'!I:I,"WINTER"))), "")</f>
        <v/>
      </c>
      <c r="M71" s="74" t="str" cm="1">
        <f t="array" ref="M71">IFERROR(1/(1/SUM(COUNTIFS(
'YearB-AppDetails Current Date'!A:A,D71,
'YearB-AppDetails Current Date'!F:F,E71,
'YearB-AppDetails Current Date'!E:E,--F71,
'YearB-AppDetails Current Date'!U:U,{"CCAN","DECL"},
'YearB-AppDetails Current Date'!I:I,"WINTER"))), "")</f>
        <v/>
      </c>
      <c r="N71" s="74" t="str" cm="1">
        <f t="array" ref="N71">IFERROR(1/(1/SUM(COUNTIFS(
'YearB-AppDetails Current Date'!A:A,D71,
'YearB-AppDetails Current Date'!F:F,E71,
'YearB-AppDetails Current Date'!E:E,--F71,
'YearB-AppDetails Current Date'!V:V,{"APRO","NODE"},
'YearB-AppDetails Current Date'!I:I,"WINTER"))), "")</f>
        <v/>
      </c>
      <c r="O71" s="74" t="str" cm="1">
        <f t="array" ref="O71">IFERROR(1/(1/SUM(COUNTIFS(
'YearB-AppDetails Current Date'!A:A,D71,
'YearB-AppDetails Current Date'!F:F,E71,
'YearB-AppDetails Current Date'!E:E,--F71,
'YearB-AppDetails Current Date'!T:T,{"CDMT","RQMT","WAIT"},
'YearB-AppDetails Current Date'!I:I,"WINTER"))), "")</f>
        <v/>
      </c>
      <c r="P71" s="74" t="str">
        <f>IFERROR(1/(1/COUNTIFS(
'YearB-AppDetails Current Date'!A:A,D71,
'YearB-AppDetails Current Date'!F:F,E71,
'YearB-AppDetails Current Date'!E:E,--F71,
'YearB-AppDetails Current Date'!Y:Y,"ENRO",
'YearB-AppDetails Current Date'!I:I,"WINTER")),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HC'!D:T,14,FALSE)),
N(VLOOKUP("BSCACN,BSCAFT,BSCAEE3",'Budgeted Projections Dom HC'!D:T,15,FALSE))
)
),"")</f>
        <v/>
      </c>
      <c r="I72" s="73" t="str" cm="1">
        <f t="array" ref="I72">IFERROR(1/(1/SUM(COUNTIFS(
'YearB-AppDetails Current Date'!A:A,TRIM(_xlfn.TEXTSPLIT(D72,{"&amp;",","})),
'YearB-AppDetails Current Date'!F:F,E72,
'YearB-AppDetails Current Date'!E:E,--F72,
'YearB-AppDetails Current Date'!I:I,"WINTER"))), "")</f>
        <v/>
      </c>
      <c r="J72" s="74" t="str" cm="1">
        <f t="array" ref="J72">IFERROR(1/(1/SUM(
COUNTIFS(
'YearB-AppDetails Current Date'!A:A,"BSCN",
'YearB-AppDetails Current Date'!F:F,E72,
'YearB-AppDetails Current Date'!E:E,--F72,
'YearB-AppDetails Current Date'!O:O,{"ACLN","ACPT","COND"},
'YearB-AppDetails Current Date'!S:S,"&lt;&gt;ACLN",
'YearB-AppDetails Current Date'!S:S,"&lt;&gt;ACPT",
'YearB-AppDetails Current Date'!S:S,"&lt;&gt;COND",
'YearB-AppDetails Current Date'!I:I,"WINTER")
+
COUNTIFS(
'YearB-AppDetails Current Date'!A:A,"BSCACN",
'YearB-AppDetails Current Date'!F:F,E72,
'YearB-AppDetails Current Date'!E:E,--F72,
'YearB-AppDetails Current Date'!O:O,{"ACLN","ACPT","COND"},
'YearB-AppDetails Current Date'!S:S,"&lt;&gt;ACLN",
'YearB-AppDetails Current Date'!S:S,"&lt;&gt;ACPT",
'YearB-AppDetails Current Date'!S:S,"&lt;&gt;COND",
'YearB-AppDetails Current Date'!I:I,"WINTER")
+
COUNTIFS(
'YearB-AppDetails Current Date'!A:A,"BSCAFT",
'YearB-AppDetails Current Date'!F:F,E72,
'YearB-AppDetails Current Date'!E:E,--F72,
'YearB-AppDetails Current Date'!O:O,{"ACLN","ACPT","COND"},
'YearB-AppDetails Current Date'!S:S,"&lt;&gt;ACLN",
'YearB-AppDetails Current Date'!S:S,"&lt;&gt;ACPT",
'YearB-AppDetails Current Date'!S:S,"&lt;&gt;COND",
'YearB-AppDetails Current Date'!I:I,"WINTER")
+
COUNTIFS(
'YearB-AppDetails Current Date'!A:A,"BSCAEE",
'YearB-AppDetails Current Date'!F:F,E72,
'YearB-AppDetails Current Date'!E:E,--F72,
'YearB-AppDetails Current Date'!O:O,{"ACLN","ACPT","COND"},
'YearB-AppDetails Current Date'!S:S,"&lt;&gt;ACLN",
'YearB-AppDetails Current Date'!S:S,"&lt;&gt;ACPT",
'YearB-AppDetails Current Date'!S:S,"&lt;&gt;COND",
'YearB-AppDetails Current Date'!I:I,"WINTER")
)), "")</f>
        <v/>
      </c>
      <c r="K72" s="73" t="str">
        <f>IFERROR(1/(1/SUM(
COUNTIFS(
'YearB-AppDetails Current Date'!A:A,"BSCN",
'YearB-AppDetails Current Date'!F:F,E72,
'YearB-AppDetails Current Date'!E:E,--F72,
'YearB-AppDetails Current Date'!R:R,"&lt;&gt;"&amp;"",
'YearB-AppDetails Current Date'!I:I,"WINTER")
+
COUNTIFS(
'YearB-AppDetails Current Date'!A:A,"BSCACN",
'YearB-AppDetails Current Date'!F:F,E72,
'YearB-AppDetails Current Date'!E:E,--F72,
'YearB-AppDetails Current Date'!R:R,"&lt;&gt;"&amp;"",
'YearB-AppDetails Current Date'!I:I,"WINTER")
+
COUNTIFS(
'YearB-AppDetails Current Date'!A:A,"BSCAFT",
'YearB-AppDetails Current Date'!F:F,E72,
'YearB-AppDetails Current Date'!E:E,--F72,
'YearB-AppDetails Current Date'!R:R,"&lt;&gt;"&amp;"",
'YearB-AppDetails Current Date'!I:I,"WINTER")
+
COUNTIFS(
'YearB-AppDetails Current Date'!A:A,"BSCAEE",
'YearB-AppDetails Current Date'!F:F,E72,
'YearB-AppDetails Current Date'!E:E,--F72,
'YearB-AppDetails Current Date'!R:R,"&lt;&gt;"&amp;"",
'YearB-AppDetails Current Date'!I:I,"WINTER")
)), "")</f>
        <v/>
      </c>
      <c r="L72" s="74" t="str" cm="1">
        <f t="array" ref="L72">IFERROR(1/(1/SUM(
COUNTIFS(
'YearB-AppDetails Current Date'!A:A,"BSCN",
'YearB-AppDetails Current Date'!F:F,E72,
'YearB-AppDetails Current Date'!E:E,--F72,
'YearB-AppDetails Current Date'!T:T,{"APEX","DENY","NTSL"},
'YearB-AppDetails Current Date'!I:I,"WINTER")
+
COUNTIFS(
'YearB-AppDetails Current Date'!A:A,"BSCACN",
'YearB-AppDetails Current Date'!F:F,E72,
'YearB-AppDetails Current Date'!E:E,--F72,
'YearB-AppDetails Current Date'!T:T,{"APEX","DENY","NTSL"},
'YearB-AppDetails Current Date'!I:I,"WINTER")
+
COUNTIFS(
'YearB-AppDetails Current Date'!A:A,"BSCAFT",
'YearB-AppDetails Current Date'!F:F,E72,
'YearB-AppDetails Current Date'!E:E,--F72,
'YearB-AppDetails Current Date'!T:T,{"APEX","DENY","NTSL"},
'YearB-AppDetails Current Date'!I:I,"WINTER")
+
COUNTIFS(
'YearB-AppDetails Current Date'!A:A,"BSCAEE",
'YearB-AppDetails Current Date'!F:F,E72,
'YearB-AppDetails Current Date'!E:E,--F72,
'YearB-AppDetails Current Date'!T:T,{"APEX","DENY","NTSL"},
'YearB-AppDetails Current Date'!I:I,"WINTER")
)), "")</f>
        <v/>
      </c>
      <c r="M72" s="74" t="str" cm="1">
        <f t="array" ref="M72">IFERROR(1/(1/SUM(
COUNTIFS(
'YearB-AppDetails Current Date'!A:A,"BSCN",
'YearB-AppDetails Current Date'!F:F,E72,
'YearB-AppDetails Current Date'!E:E,--F72,
'YearB-AppDetails Current Date'!U:U,{"CCAN","DECL"},
'YearB-AppDetails Current Date'!I:I,"WINTER")
+
COUNTIFS(
'YearB-AppDetails Current Date'!A:A,"BSCACN",
'YearB-AppDetails Current Date'!F:F,E72,
'YearB-AppDetails Current Date'!E:E,--F72,
'YearB-AppDetails Current Date'!U:U,{"CCAN","DECL"},
'YearB-AppDetails Current Date'!I:I,"WINTER")
+
COUNTIFS(
'YearB-AppDetails Current Date'!A:A,"BSCAFT",
'YearB-AppDetails Current Date'!F:F,E72,
'YearB-AppDetails Current Date'!E:E,--F72,
'YearB-AppDetails Current Date'!U:U,{"CCAN","DECL"},
'YearB-AppDetails Current Date'!I:I,"WINTER")
+
COUNTIFS(
'YearB-AppDetails Current Date'!A:A,"BSCAEE",
'YearB-AppDetails Current Date'!F:F,E72,
'YearB-AppDetails Current Date'!E:E,--F72,
'YearB-AppDetails Current Date'!U:U,{"CCAN","DECL"},
'YearB-AppDetails Current Date'!I:I,"WINTER")
)), "")</f>
        <v/>
      </c>
      <c r="N72" s="74" t="str" cm="1">
        <f t="array" ref="N72">IFERROR(1/(1/SUM(
COUNTIFS(
'YearB-AppDetails Current Date'!A:A,"BSCN",
'YearB-AppDetails Current Date'!F:F,E72,
'YearB-AppDetails Current Date'!E:E,--F72,
'YearB-AppDetails Current Date'!V:V,{"APRO","NODE"},
'YearB-AppDetails Current Date'!I:I,"WINTER")
+
COUNTIFS(
'YearB-AppDetails Current Date'!A:A,"BSCACN",
'YearB-AppDetails Current Date'!F:F,E72,
'YearB-AppDetails Current Date'!E:E,--F72,
'YearB-AppDetails Current Date'!V:V,{"APRO","NODE"},
'YearB-AppDetails Current Date'!I:I,"WINTER")
+
COUNTIFS(
'YearB-AppDetails Current Date'!A:A,"BSCAFT",
'YearB-AppDetails Current Date'!F:F,E72,
'YearB-AppDetails Current Date'!E:E,--F72,
'YearB-AppDetails Current Date'!V:V,{"APRO","NODE"},
'YearB-AppDetails Current Date'!I:I,"WINTER")
+
COUNTIFS(
'YearB-AppDetails Current Date'!A:A,"BSCAEE",
'YearB-AppDetails Current Date'!F:F,E72,
'YearB-AppDetails Current Date'!E:E,--F72,
'YearB-AppDetails Current Date'!V:V,{"APRO","NODE"},
'YearB-AppDetails Current Date'!I:I,"WINTER")
)), "")</f>
        <v/>
      </c>
      <c r="O72" s="74" t="str" cm="1">
        <f t="array" ref="O72">IFERROR(1/(1/SUM(
COUNTIFS(
'YearB-AppDetails Current Date'!A:A,"BSCN",
'YearB-AppDetails Current Date'!F:F,E72,
'YearB-AppDetails Current Date'!E:E,--F72,
'YearB-AppDetails Current Date'!T:T,{"CDMT","RQMT","WAIT"},
'YearB-AppDetails Current Date'!I:I,"WINTER")
+
COUNTIFS(
'YearB-AppDetails Current Date'!A:A,"BSCACN",
'YearB-AppDetails Current Date'!F:F,E72,
'YearB-AppDetails Current Date'!E:E,--F72,
'YearB-AppDetails Current Date'!T:T,{"CDMT","RQMT","WAIT"},
'YearB-AppDetails Current Date'!I:I,"WINTER")
+
COUNTIFS(
'YearB-AppDetails Current Date'!A:A,"BSCAFT",
'YearB-AppDetails Current Date'!F:F,E72,
'YearB-AppDetails Current Date'!E:E,--F72,
'YearB-AppDetails Current Date'!T:T,{"CDMT","RQMT","WAIT"},
'YearB-AppDetails Current Date'!I:I,"WINTER")
+
COUNTIFS(
'YearB-AppDetails Current Date'!A:A,"BSCAEE",
'YearB-AppDetails Current Date'!F:F,E72,
'YearB-AppDetails Current Date'!E:E,--F72,
'YearB-AppDetails Current Date'!T:T,{"CDMT","RQMT","WAIT"},
'YearB-AppDetails Current Date'!I:I,"WINTER")
)), "")</f>
        <v/>
      </c>
      <c r="P72" s="74" t="str" cm="1">
        <f t="array" ref="P72">IFERROR(1/(1/SUM(COUNTIFS(
'YearB-AppDetails Current Date'!A:A,TRIM(_xlfn.TEXTSPLIT(D72,{"&amp;",","})),
'YearB-AppDetails Current Date'!F:F,E72,
'YearB-AppDetails Current Date'!E:E,--F72,
'YearB-AppDetails Current Date'!Y:Y,"ENRO",
'YearB-AppDetails Current Date'!I:I,"WINTER"))),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HC'!D:T,14,FALSE)),
N(VLOOKUP("BSCACN,BSCAFT,BSCAEE3",'Budgeted Projections Intl HC'!D:T,15,FALSE))
)
),"")</f>
        <v/>
      </c>
      <c r="I73" s="73" t="str" cm="1">
        <f t="array" ref="I73">IFERROR(1/(1/SUM(COUNTIFS(
'YearB-AppDetails Current Date'!A:A,TRIM(_xlfn.TEXTSPLIT(D73,{"&amp;",","})),
'YearB-AppDetails Current Date'!F:F,E73,
'YearB-AppDetails Current Date'!E:E,--F73,
'YearB-AppDetails Current Date'!I:I,"WINTER"))), "")</f>
        <v/>
      </c>
      <c r="J73" s="74" t="str" cm="1">
        <f t="array" ref="J73">IFERROR(1/(1/SUM(
COUNTIFS(
'YearB-AppDetails Current Date'!A:A,"BSCN",
'YearB-AppDetails Current Date'!F:F,E73,
'YearB-AppDetails Current Date'!E:E,--F73,
'YearB-AppDetails Current Date'!O:O,{"ACLN","ACPT","COND"},
'YearB-AppDetails Current Date'!S:S,"&lt;&gt;ACLN",
'YearB-AppDetails Current Date'!S:S,"&lt;&gt;ACPT",
'YearB-AppDetails Current Date'!S:S,"&lt;&gt;COND",
'YearB-AppDetails Current Date'!I:I,"WINTER")
+
COUNTIFS(
'YearB-AppDetails Current Date'!A:A,"BSCACN",
'YearB-AppDetails Current Date'!F:F,E73,
'YearB-AppDetails Current Date'!E:E,--F73,
'YearB-AppDetails Current Date'!O:O,{"ACLN","ACPT","COND"},
'YearB-AppDetails Current Date'!S:S,"&lt;&gt;ACLN",
'YearB-AppDetails Current Date'!S:S,"&lt;&gt;ACPT",
'YearB-AppDetails Current Date'!S:S,"&lt;&gt;COND",
'YearB-AppDetails Current Date'!I:I,"WINTER")
+
COUNTIFS(
'YearB-AppDetails Current Date'!A:A,"BSCAFT",
'YearB-AppDetails Current Date'!F:F,E73,
'YearB-AppDetails Current Date'!E:E,--F73,
'YearB-AppDetails Current Date'!O:O,{"ACLN","ACPT","COND"},
'YearB-AppDetails Current Date'!S:S,"&lt;&gt;ACLN",
'YearB-AppDetails Current Date'!S:S,"&lt;&gt;ACPT",
'YearB-AppDetails Current Date'!S:S,"&lt;&gt;COND",
'YearB-AppDetails Current Date'!I:I,"WINTER")
+
COUNTIFS(
'YearB-AppDetails Current Date'!A:A,"BSCAEE",
'YearB-AppDetails Current Date'!F:F,E73,
'YearB-AppDetails Current Date'!E:E,--F73,
'YearB-AppDetails Current Date'!O:O,{"ACLN","ACPT","COND"},
'YearB-AppDetails Current Date'!S:S,"&lt;&gt;ACLN",
'YearB-AppDetails Current Date'!S:S,"&lt;&gt;ACPT",
'YearB-AppDetails Current Date'!S:S,"&lt;&gt;COND",
'YearB-AppDetails Current Date'!I:I,"WINTER")
)), "")</f>
        <v/>
      </c>
      <c r="K73" s="73" t="str">
        <f>IFERROR(1/(1/SUM(
COUNTIFS(
'YearB-AppDetails Current Date'!A:A,"BSCN",
'YearB-AppDetails Current Date'!F:F,E73,
'YearB-AppDetails Current Date'!E:E,--F73,
'YearB-AppDetails Current Date'!R:R,"&lt;&gt;"&amp;"",
'YearB-AppDetails Current Date'!I:I,"WINTER")
+
COUNTIFS(
'YearB-AppDetails Current Date'!A:A,"BSCACN",
'YearB-AppDetails Current Date'!F:F,E73,
'YearB-AppDetails Current Date'!E:E,--F73,
'YearB-AppDetails Current Date'!R:R,"&lt;&gt;"&amp;"",
'YearB-AppDetails Current Date'!I:I,"WINTER")
+
COUNTIFS(
'YearB-AppDetails Current Date'!A:A,"BSCAFT",
'YearB-AppDetails Current Date'!F:F,E73,
'YearB-AppDetails Current Date'!E:E,--F73,
'YearB-AppDetails Current Date'!R:R,"&lt;&gt;"&amp;"",
'YearB-AppDetails Current Date'!I:I,"WINTER")
+
COUNTIFS(
'YearB-AppDetails Current Date'!A:A,"BSCAEE",
'YearB-AppDetails Current Date'!F:F,E73,
'YearB-AppDetails Current Date'!E:E,--F73,
'YearB-AppDetails Current Date'!R:R,"&lt;&gt;"&amp;"",
'YearB-AppDetails Current Date'!I:I,"WINTER")
)), "")</f>
        <v/>
      </c>
      <c r="L73" s="74" t="str" cm="1">
        <f t="array" ref="L73">IFERROR(1/(1/SUM(
COUNTIFS(
'YearB-AppDetails Current Date'!A:A,"BSCN",
'YearB-AppDetails Current Date'!F:F,E73,
'YearB-AppDetails Current Date'!E:E,--F73,
'YearB-AppDetails Current Date'!T:T,{"APEX","DENY","NTSL"},
'YearB-AppDetails Current Date'!I:I,"WINTER")
+
COUNTIFS(
'YearB-AppDetails Current Date'!A:A,"BSCACN",
'YearB-AppDetails Current Date'!F:F,E73,
'YearB-AppDetails Current Date'!E:E,--F73,
'YearB-AppDetails Current Date'!T:T,{"APEX","DENY","NTSL"},
'YearB-AppDetails Current Date'!I:I,"WINTER")
+
COUNTIFS(
'YearB-AppDetails Current Date'!A:A,"BSCAFT",
'YearB-AppDetails Current Date'!F:F,E73,
'YearB-AppDetails Current Date'!E:E,--F73,
'YearB-AppDetails Current Date'!T:T,{"APEX","DENY","NTSL"},
'YearB-AppDetails Current Date'!I:I,"WINTER")
+
COUNTIFS(
'YearB-AppDetails Current Date'!A:A,"BSCAEE",
'YearB-AppDetails Current Date'!F:F,E73,
'YearB-AppDetails Current Date'!E:E,--F73,
'YearB-AppDetails Current Date'!T:T,{"APEX","DENY","NTSL"},
'YearB-AppDetails Current Date'!I:I,"WINTER")
)), "")</f>
        <v/>
      </c>
      <c r="M73" s="74" t="str" cm="1">
        <f t="array" ref="M73">IFERROR(1/(1/SUM(
COUNTIFS(
'YearB-AppDetails Current Date'!A:A,"BSCN",
'YearB-AppDetails Current Date'!F:F,E73,
'YearB-AppDetails Current Date'!E:E,--F73,
'YearB-AppDetails Current Date'!U:U,{"CCAN","DECL"},
'YearB-AppDetails Current Date'!I:I,"WINTER")
+
COUNTIFS(
'YearB-AppDetails Current Date'!A:A,"BSCACN",
'YearB-AppDetails Current Date'!F:F,E73,
'YearB-AppDetails Current Date'!E:E,--F73,
'YearB-AppDetails Current Date'!U:U,{"CCAN","DECL"},
'YearB-AppDetails Current Date'!I:I,"WINTER")
+
COUNTIFS(
'YearB-AppDetails Current Date'!A:A,"BSCAFT",
'YearB-AppDetails Current Date'!F:F,E73,
'YearB-AppDetails Current Date'!E:E,--F73,
'YearB-AppDetails Current Date'!U:U,{"CCAN","DECL"},
'YearB-AppDetails Current Date'!I:I,"WINTER")
+
COUNTIFS(
'YearB-AppDetails Current Date'!A:A,"BSCAEE",
'YearB-AppDetails Current Date'!F:F,E73,
'YearB-AppDetails Current Date'!E:E,--F73,
'YearB-AppDetails Current Date'!U:U,{"CCAN","DECL"},
'YearB-AppDetails Current Date'!I:I,"WINTER")
)), "")</f>
        <v/>
      </c>
      <c r="N73" s="74" t="str" cm="1">
        <f t="array" ref="N73">IFERROR(1/(1/SUM(
COUNTIFS(
'YearB-AppDetails Current Date'!A:A,"BSCN",
'YearB-AppDetails Current Date'!F:F,E73,
'YearB-AppDetails Current Date'!E:E,--F73,
'YearB-AppDetails Current Date'!V:V,{"APRO","NODE"},
'YearB-AppDetails Current Date'!I:I,"WINTER")
+
COUNTIFS(
'YearB-AppDetails Current Date'!A:A,"BSCACN",
'YearB-AppDetails Current Date'!F:F,E73,
'YearB-AppDetails Current Date'!E:E,--F73,
'YearB-AppDetails Current Date'!V:V,{"APRO","NODE"},
'YearB-AppDetails Current Date'!I:I,"WINTER")
+
COUNTIFS(
'YearB-AppDetails Current Date'!A:A,"BSCAFT",
'YearB-AppDetails Current Date'!F:F,E73,
'YearB-AppDetails Current Date'!E:E,--F73,
'YearB-AppDetails Current Date'!V:V,{"APRO","NODE"},
'YearB-AppDetails Current Date'!I:I,"WINTER")
+
COUNTIFS(
'YearB-AppDetails Current Date'!A:A,"BSCAEE",
'YearB-AppDetails Current Date'!F:F,E73,
'YearB-AppDetails Current Date'!E:E,--F73,
'YearB-AppDetails Current Date'!V:V,{"APRO","NODE"},
'YearB-AppDetails Current Date'!I:I,"WINTER")
)), "")</f>
        <v/>
      </c>
      <c r="O73" s="74" t="str" cm="1">
        <f t="array" ref="O73">IFERROR(1/(1/SUM(
COUNTIFS(
'YearB-AppDetails Current Date'!A:A,"BSCN",
'YearB-AppDetails Current Date'!F:F,E73,
'YearB-AppDetails Current Date'!E:E,--F73,
'YearB-AppDetails Current Date'!T:T,{"CDMT","RQMT","WAIT"},
'YearB-AppDetails Current Date'!I:I,"WINTER")
+
COUNTIFS(
'YearB-AppDetails Current Date'!A:A,"BSCACN",
'YearB-AppDetails Current Date'!F:F,E73,
'YearB-AppDetails Current Date'!E:E,--F73,
'YearB-AppDetails Current Date'!T:T,{"CDMT","RQMT","WAIT"},
'YearB-AppDetails Current Date'!I:I,"WINTER")
+
COUNTIFS(
'YearB-AppDetails Current Date'!A:A,"BSCAFT",
'YearB-AppDetails Current Date'!F:F,E73,
'YearB-AppDetails Current Date'!E:E,--F73,
'YearB-AppDetails Current Date'!T:T,{"CDMT","RQMT","WAIT"},
'YearB-AppDetails Current Date'!I:I,"WINTER")
+
COUNTIFS(
'YearB-AppDetails Current Date'!A:A,"BSCAEE",
'YearB-AppDetails Current Date'!F:F,E73,
'YearB-AppDetails Current Date'!E:E,--F73,
'YearB-AppDetails Current Date'!T:T,{"CDMT","RQMT","WAIT"},
'YearB-AppDetails Current Date'!I:I,"WINTER")
)), "")</f>
        <v/>
      </c>
      <c r="P73" s="74" t="str" cm="1">
        <f t="array" ref="P73">IFERROR(1/(1/SUM(COUNTIFS(
'YearB-AppDetails Current Date'!A:A,TRIM(_xlfn.TEXTSPLIT(D73,{"&amp;",","})),
'YearB-AppDetails Current Date'!F:F,E73,
'YearB-AppDetails Current Date'!E:E,--F73,
'YearB-AppDetails Current Date'!Y:Y,"ENRO",
'YearB-AppDetails Current Date'!I:I,"WINTER"))),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HC'!D:T,14,FALSE)),
N(VLOOKUP(D74&amp;F74,'Budgeted Projections Dom HC'!D:T,15,FALSE))
)
),"")</f>
        <v/>
      </c>
      <c r="I74" s="73" t="str">
        <f>IFERROR(1/(1/COUNTIFS(
'YearB-AppDetails Current Date'!A:A,D74,
'YearB-AppDetails Current Date'!F:F,E74,
'YearB-AppDetails Current Date'!E:E,--F74,
'YearB-AppDetails Current Date'!I:I,"WINTER")), "")</f>
        <v/>
      </c>
      <c r="J74" s="74" t="str" cm="1">
        <f t="array" ref="J74">IFERROR(1/(1/SUM(COUNTIFS(
'YearB-AppDetails Current Date'!A:A,D74,
'YearB-AppDetails Current Date'!F:F,E74,
'YearB-AppDetails Current Date'!E:E,--F74,
'YearB-AppDetails Current Date'!O:O,{"ACLN","ACPT","COND"},
'YearB-AppDetails Current Date'!S:S,"&lt;&gt;ACLN",
'YearB-AppDetails Current Date'!S:S,"&lt;&gt;ACPT",
'YearB-AppDetails Current Date'!S:S,"&lt;&gt;COND",
'YearB-AppDetails Current Date'!I:I,"WINTER"))), "")</f>
        <v/>
      </c>
      <c r="K74" s="73" t="str">
        <f>IFERROR(1/(1/SUM(COUNTIFS(
'YearB-AppDetails Current Date'!A:A,D74,
'YearB-AppDetails Current Date'!F:F,E74,
'YearB-AppDetails Current Date'!E:E,--F74,
'YearB-AppDetails Current Date'!R:R,"&lt;&gt;"&amp;"",
'YearB-AppDetails Current Date'!I:I,"WINTER"))), "")</f>
        <v/>
      </c>
      <c r="L74" s="74" t="str" cm="1">
        <f t="array" ref="L74">IFERROR(1/(1/SUM(COUNTIFS(
'YearB-AppDetails Current Date'!A:A,D74,
'YearB-AppDetails Current Date'!F:F,E74,
'YearB-AppDetails Current Date'!E:E,--F74,
'YearB-AppDetails Current Date'!T:T,{"APEX","DENY","NTSL"},
'YearB-AppDetails Current Date'!I:I,"WINTER"))), "")</f>
        <v/>
      </c>
      <c r="M74" s="74" t="str" cm="1">
        <f t="array" ref="M74">IFERROR(1/(1/SUM(COUNTIFS(
'YearB-AppDetails Current Date'!A:A,D74,
'YearB-AppDetails Current Date'!F:F,E74,
'YearB-AppDetails Current Date'!E:E,--F74,
'YearB-AppDetails Current Date'!U:U,{"CCAN","DECL"},
'YearB-AppDetails Current Date'!I:I,"WINTER"))), "")</f>
        <v/>
      </c>
      <c r="N74" s="74" t="str" cm="1">
        <f t="array" ref="N74">IFERROR(1/(1/SUM(COUNTIFS(
'YearB-AppDetails Current Date'!A:A,D74,
'YearB-AppDetails Current Date'!F:F,E74,
'YearB-AppDetails Current Date'!E:E,--F74,
'YearB-AppDetails Current Date'!V:V,{"APRO","NODE"},
'YearB-AppDetails Current Date'!I:I,"WINTER"))), "")</f>
        <v/>
      </c>
      <c r="O74" s="74" t="str" cm="1">
        <f t="array" ref="O74">IFERROR(1/(1/SUM(COUNTIFS(
'YearB-AppDetails Current Date'!A:A,D74,
'YearB-AppDetails Current Date'!F:F,E74,
'YearB-AppDetails Current Date'!E:E,--F74,
'YearB-AppDetails Current Date'!T:T,{"CDMT","RQMT","WAIT"},
'YearB-AppDetails Current Date'!I:I,"WINTER"))), "")</f>
        <v/>
      </c>
      <c r="P74" s="74" t="str">
        <f>IFERROR(1/(1/COUNTIFS(
'YearB-AppDetails Current Date'!A:A,D74,
'YearB-AppDetails Current Date'!F:F,E74,
'YearB-AppDetails Current Date'!E:E,--F74,
'YearB-AppDetails Current Date'!Y:Y,"ENRO",
'YearB-AppDetails Current Date'!I:I,"WINTER")),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HC'!D:T,14,FALSE)),
N(VLOOKUP(D75&amp;F75,'Budgeted Projections Intl HC'!D:T,15,FALSE))
)
),"")</f>
        <v/>
      </c>
      <c r="I75" s="73" t="str">
        <f>IFERROR(1/(1/COUNTIFS(
'YearB-AppDetails Current Date'!A:A,D75,
'YearB-AppDetails Current Date'!F:F,E75,
'YearB-AppDetails Current Date'!E:E,--F75,
'YearB-AppDetails Current Date'!I:I,"WINTER")), "")</f>
        <v/>
      </c>
      <c r="J75" s="74" t="str" cm="1">
        <f t="array" ref="J75">IFERROR(1/(1/SUM(COUNTIFS(
'YearB-AppDetails Current Date'!A:A,D75,
'YearB-AppDetails Current Date'!F:F,E75,
'YearB-AppDetails Current Date'!E:E,--F75,
'YearB-AppDetails Current Date'!O:O,{"ACLN","ACPT","COND"},
'YearB-AppDetails Current Date'!S:S,"&lt;&gt;ACLN",
'YearB-AppDetails Current Date'!S:S,"&lt;&gt;ACPT",
'YearB-AppDetails Current Date'!S:S,"&lt;&gt;COND",
'YearB-AppDetails Current Date'!I:I,"WINTER"))), "")</f>
        <v/>
      </c>
      <c r="K75" s="73" t="str">
        <f>IFERROR(1/(1/SUM(COUNTIFS(
'YearB-AppDetails Current Date'!A:A,D75,
'YearB-AppDetails Current Date'!F:F,E75,
'YearB-AppDetails Current Date'!E:E,--F75,
'YearB-AppDetails Current Date'!R:R,"&lt;&gt;"&amp;"",
'YearB-AppDetails Current Date'!I:I,"WINTER"))), "")</f>
        <v/>
      </c>
      <c r="L75" s="74" t="str" cm="1">
        <f t="array" ref="L75">IFERROR(1/(1/SUM(COUNTIFS(
'YearB-AppDetails Current Date'!A:A,D75,
'YearB-AppDetails Current Date'!F:F,E75,
'YearB-AppDetails Current Date'!E:E,--F75,
'YearB-AppDetails Current Date'!T:T,{"APEX","DENY","NTSL"},
'YearB-AppDetails Current Date'!I:I,"WINTER"))), "")</f>
        <v/>
      </c>
      <c r="M75" s="74" t="str" cm="1">
        <f t="array" ref="M75">IFERROR(1/(1/SUM(COUNTIFS(
'YearB-AppDetails Current Date'!A:A,D75,
'YearB-AppDetails Current Date'!F:F,E75,
'YearB-AppDetails Current Date'!E:E,--F75,
'YearB-AppDetails Current Date'!U:U,{"CCAN","DECL"},
'YearB-AppDetails Current Date'!I:I,"WINTER"))), "")</f>
        <v/>
      </c>
      <c r="N75" s="74" t="str" cm="1">
        <f t="array" ref="N75">IFERROR(1/(1/SUM(COUNTIFS(
'YearB-AppDetails Current Date'!A:A,D75,
'YearB-AppDetails Current Date'!F:F,E75,
'YearB-AppDetails Current Date'!E:E,--F75,
'YearB-AppDetails Current Date'!V:V,{"APRO","NODE"},
'YearB-AppDetails Current Date'!I:I,"WINTER"))), "")</f>
        <v/>
      </c>
      <c r="O75" s="74" t="str" cm="1">
        <f t="array" ref="O75">IFERROR(1/(1/SUM(COUNTIFS(
'YearB-AppDetails Current Date'!A:A,D75,
'YearB-AppDetails Current Date'!F:F,E75,
'YearB-AppDetails Current Date'!E:E,--F75,
'YearB-AppDetails Current Date'!T:T,{"CDMT","RQMT","WAIT"},
'YearB-AppDetails Current Date'!I:I,"WINTER"))), "")</f>
        <v/>
      </c>
      <c r="P75" s="74" t="str">
        <f>IFERROR(1/(1/COUNTIFS(
'YearB-AppDetails Current Date'!A:A,D75,
'YearB-AppDetails Current Date'!F:F,E75,
'YearB-AppDetails Current Date'!E:E,--F75,
'YearB-AppDetails Current Date'!Y:Y,"ENRO",
'YearB-AppDetails Current Date'!I:I,"WINTER")),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HC'!D:T,14,FALSE)),
N(VLOOKUP(D78&amp;F78,'Budgeted Projections Dom HC'!D:T,15,FALSE))
)
),"")</f>
        <v/>
      </c>
      <c r="I78" s="73" t="str">
        <f>IFERROR(1/(1/COUNTIFS(
'YearB-AppDetails Current Date'!A:A,D78,
'YearB-AppDetails Current Date'!F:F,E78,
'YearB-AppDetails Current Date'!E:E,--F78,
'YearB-AppDetails Current Date'!I:I,"WINTER")), "")</f>
        <v/>
      </c>
      <c r="J78" s="74" t="str" cm="1">
        <f t="array" ref="J78">IFERROR(1/(1/SUM(COUNTIFS(
'YearB-AppDetails Current Date'!A:A,D78,
'YearB-AppDetails Current Date'!F:F,E78,
'YearB-AppDetails Current Date'!E:E,--F78,
'YearB-AppDetails Current Date'!O:O,{"ACLN","ACPT","COND"},
'YearB-AppDetails Current Date'!S:S,"&lt;&gt;ACLN",
'YearB-AppDetails Current Date'!S:S,"&lt;&gt;ACPT",
'YearB-AppDetails Current Date'!S:S,"&lt;&gt;COND",
'YearB-AppDetails Current Date'!I:I,"WINTER"))), "")</f>
        <v/>
      </c>
      <c r="K78" s="73" t="str">
        <f>IFERROR(1/(1/SUM(COUNTIFS(
'YearB-AppDetails Current Date'!A:A,D78,
'YearB-AppDetails Current Date'!F:F,E78,
'YearB-AppDetails Current Date'!E:E,--F78,
'YearB-AppDetails Current Date'!R:R,"&lt;&gt;"&amp;"",
'YearB-AppDetails Current Date'!I:I,"WINTER"))), "")</f>
        <v/>
      </c>
      <c r="L78" s="74" t="str" cm="1">
        <f t="array" ref="L78">IFERROR(1/(1/SUM(COUNTIFS(
'YearB-AppDetails Current Date'!A:A,D78,
'YearB-AppDetails Current Date'!F:F,E78,
'YearB-AppDetails Current Date'!E:E,--F78,
'YearB-AppDetails Current Date'!T:T,{"APEX","DENY","NTSL"},
'YearB-AppDetails Current Date'!I:I,"WINTER"))), "")</f>
        <v/>
      </c>
      <c r="M78" s="74" t="str" cm="1">
        <f t="array" ref="M78">IFERROR(1/(1/SUM(COUNTIFS(
'YearB-AppDetails Current Date'!A:A,D78,
'YearB-AppDetails Current Date'!F:F,E78,
'YearB-AppDetails Current Date'!E:E,--F78,
'YearB-AppDetails Current Date'!U:U,{"CCAN","DECL"},
'YearB-AppDetails Current Date'!I:I,"WINTER"))), "")</f>
        <v/>
      </c>
      <c r="N78" s="74" t="str" cm="1">
        <f t="array" ref="N78">IFERROR(1/(1/SUM(COUNTIFS(
'YearB-AppDetails Current Date'!A:A,D78,
'YearB-AppDetails Current Date'!F:F,E78,
'YearB-AppDetails Current Date'!E:E,--F78,
'YearB-AppDetails Current Date'!V:V,{"APRO","NODE"},
'YearB-AppDetails Current Date'!I:I,"WINTER"))), "")</f>
        <v/>
      </c>
      <c r="O78" s="74" t="str" cm="1">
        <f t="array" ref="O78">IFERROR(1/(1/SUM(COUNTIFS(
'YearB-AppDetails Current Date'!A:A,D78,
'YearB-AppDetails Current Date'!F:F,E78,
'YearB-AppDetails Current Date'!E:E,--F78,
'YearB-AppDetails Current Date'!T:T,{"CDMT","RQMT","WAIT"},
'YearB-AppDetails Current Date'!I:I,"WINTER"))), "")</f>
        <v/>
      </c>
      <c r="P78" s="74" t="str">
        <f>IFERROR(1/(1/COUNTIFS(
'YearB-AppDetails Current Date'!A:A,D78,
'YearB-AppDetails Current Date'!F:F,E78,
'YearB-AppDetails Current Date'!E:E,--F78,
'YearB-AppDetails Current Date'!Y:Y,"ENRO",
'YearB-AppDetails Current Date'!I:I,"WINTER")),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HC'!D:T,14,FALSE)),
N(VLOOKUP(D79&amp;F79,'Budgeted Projections Intl HC'!D:T,15,FALSE))
)
),"")</f>
        <v/>
      </c>
      <c r="I79" s="73" t="str">
        <f>IFERROR(1/(1/COUNTIFS(
'YearB-AppDetails Current Date'!A:A,D79,
'YearB-AppDetails Current Date'!F:F,E79,
'YearB-AppDetails Current Date'!E:E,--F79,
'YearB-AppDetails Current Date'!I:I,"WINTER")), "")</f>
        <v/>
      </c>
      <c r="J79" s="74" t="str" cm="1">
        <f t="array" ref="J79">IFERROR(1/(1/SUM(COUNTIFS(
'YearB-AppDetails Current Date'!A:A,D79,
'YearB-AppDetails Current Date'!F:F,E79,
'YearB-AppDetails Current Date'!E:E,--F79,
'YearB-AppDetails Current Date'!O:O,{"ACLN","ACPT","COND"},
'YearB-AppDetails Current Date'!S:S,"&lt;&gt;ACLN",
'YearB-AppDetails Current Date'!S:S,"&lt;&gt;ACPT",
'YearB-AppDetails Current Date'!S:S,"&lt;&gt;COND",
'YearB-AppDetails Current Date'!I:I,"WINTER"))), "")</f>
        <v/>
      </c>
      <c r="K79" s="73" t="str">
        <f>IFERROR(1/(1/SUM(COUNTIFS(
'YearB-AppDetails Current Date'!A:A,D79,
'YearB-AppDetails Current Date'!F:F,E79,
'YearB-AppDetails Current Date'!E:E,--F79,
'YearB-AppDetails Current Date'!R:R,"&lt;&gt;"&amp;"",
'YearB-AppDetails Current Date'!I:I,"WINTER"))), "")</f>
        <v/>
      </c>
      <c r="L79" s="74" t="str" cm="1">
        <f t="array" ref="L79">IFERROR(1/(1/SUM(COUNTIFS(
'YearB-AppDetails Current Date'!A:A,D79,
'YearB-AppDetails Current Date'!F:F,E79,
'YearB-AppDetails Current Date'!E:E,--F79,
'YearB-AppDetails Current Date'!T:T,{"APEX","DENY","NTSL"},
'YearB-AppDetails Current Date'!I:I,"WINTER"))), "")</f>
        <v/>
      </c>
      <c r="M79" s="74" t="str" cm="1">
        <f t="array" ref="M79">IFERROR(1/(1/SUM(COUNTIFS(
'YearB-AppDetails Current Date'!A:A,D79,
'YearB-AppDetails Current Date'!F:F,E79,
'YearB-AppDetails Current Date'!E:E,--F79,
'YearB-AppDetails Current Date'!U:U,{"CCAN","DECL"},
'YearB-AppDetails Current Date'!I:I,"WINTER"))), "")</f>
        <v/>
      </c>
      <c r="N79" s="74" t="str" cm="1">
        <f t="array" ref="N79">IFERROR(1/(1/SUM(COUNTIFS(
'YearB-AppDetails Current Date'!A:A,D79,
'YearB-AppDetails Current Date'!F:F,E79,
'YearB-AppDetails Current Date'!E:E,--F79,
'YearB-AppDetails Current Date'!V:V,{"APRO","NODE"},
'YearB-AppDetails Current Date'!I:I,"WINTER"))), "")</f>
        <v/>
      </c>
      <c r="O79" s="74" t="str" cm="1">
        <f t="array" ref="O79">IFERROR(1/(1/SUM(COUNTIFS(
'YearB-AppDetails Current Date'!A:A,D79,
'YearB-AppDetails Current Date'!F:F,E79,
'YearB-AppDetails Current Date'!E:E,--F79,
'YearB-AppDetails Current Date'!T:T,{"CDMT","RQMT","WAIT"},
'YearB-AppDetails Current Date'!I:I,"WINTER"))), "")</f>
        <v/>
      </c>
      <c r="P79" s="74" t="str">
        <f>IFERROR(1/(1/COUNTIFS(
'YearB-AppDetails Current Date'!A:A,D79,
'YearB-AppDetails Current Date'!F:F,E79,
'YearB-AppDetails Current Date'!E:E,--F79,
'YearB-AppDetails Current Date'!Y:Y,"ENRO",
'YearB-AppDetails Current Date'!I:I,"WINTER")),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HC'!D:T,14,FALSE)),
N(VLOOKUP(D80&amp;F80,'Budgeted Projections Dom HC'!D:T,15,FALSE))
)
),"")</f>
        <v/>
      </c>
      <c r="I80" s="73" t="str">
        <f>IFERROR(1/(1/COUNTIFS(
'YearB-AppDetails Current Date'!A:A,D80,
'YearB-AppDetails Current Date'!F:F,E80,
'YearB-AppDetails Current Date'!E:E,--F80,
'YearB-AppDetails Current Date'!I:I,"WINTER")), "")</f>
        <v/>
      </c>
      <c r="J80" s="74" t="str" cm="1">
        <f t="array" ref="J80">IFERROR(1/(1/SUM(COUNTIFS(
'YearB-AppDetails Current Date'!A:A,D80,
'YearB-AppDetails Current Date'!F:F,E80,
'YearB-AppDetails Current Date'!E:E,--F80,
'YearB-AppDetails Current Date'!O:O,{"ACLN","ACPT","COND"},
'YearB-AppDetails Current Date'!S:S,"&lt;&gt;ACLN",
'YearB-AppDetails Current Date'!S:S,"&lt;&gt;ACPT",
'YearB-AppDetails Current Date'!S:S,"&lt;&gt;COND",
'YearB-AppDetails Current Date'!I:I,"WINTER"))), "")</f>
        <v/>
      </c>
      <c r="K80" s="73" t="str">
        <f>IFERROR(1/(1/SUM(COUNTIFS(
'YearB-AppDetails Current Date'!A:A,D80,
'YearB-AppDetails Current Date'!F:F,E80,
'YearB-AppDetails Current Date'!E:E,--F80,
'YearB-AppDetails Current Date'!R:R,"&lt;&gt;"&amp;"",
'YearB-AppDetails Current Date'!I:I,"WINTER"))), "")</f>
        <v/>
      </c>
      <c r="L80" s="74" t="str" cm="1">
        <f t="array" ref="L80">IFERROR(1/(1/SUM(COUNTIFS(
'YearB-AppDetails Current Date'!A:A,D80,
'YearB-AppDetails Current Date'!F:F,E80,
'YearB-AppDetails Current Date'!E:E,--F80,
'YearB-AppDetails Current Date'!T:T,{"APEX","DENY","NTSL"},
'YearB-AppDetails Current Date'!I:I,"WINTER"))), "")</f>
        <v/>
      </c>
      <c r="M80" s="74" t="str" cm="1">
        <f t="array" ref="M80">IFERROR(1/(1/SUM(COUNTIFS(
'YearB-AppDetails Current Date'!A:A,D80,
'YearB-AppDetails Current Date'!F:F,E80,
'YearB-AppDetails Current Date'!E:E,--F80,
'YearB-AppDetails Current Date'!U:U,{"CCAN","DECL"},
'YearB-AppDetails Current Date'!I:I,"WINTER"))), "")</f>
        <v/>
      </c>
      <c r="N80" s="74" t="str" cm="1">
        <f t="array" ref="N80">IFERROR(1/(1/SUM(COUNTIFS(
'YearB-AppDetails Current Date'!A:A,D80,
'YearB-AppDetails Current Date'!F:F,E80,
'YearB-AppDetails Current Date'!E:E,--F80,
'YearB-AppDetails Current Date'!V:V,{"APRO","NODE"},
'YearB-AppDetails Current Date'!I:I,"WINTER"))), "")</f>
        <v/>
      </c>
      <c r="O80" s="74" t="str" cm="1">
        <f t="array" ref="O80">IFERROR(1/(1/SUM(COUNTIFS(
'YearB-AppDetails Current Date'!A:A,D80,
'YearB-AppDetails Current Date'!F:F,E80,
'YearB-AppDetails Current Date'!E:E,--F80,
'YearB-AppDetails Current Date'!T:T,{"CDMT","RQMT","WAIT"},
'YearB-AppDetails Current Date'!I:I,"WINTER"))), "")</f>
        <v/>
      </c>
      <c r="P80" s="74" t="str">
        <f>IFERROR(1/(1/COUNTIFS(
'YearB-AppDetails Current Date'!A:A,D80,
'YearB-AppDetails Current Date'!F:F,E80,
'YearB-AppDetails Current Date'!E:E,--F80,
'YearB-AppDetails Current Date'!Y:Y,"ENRO",
'YearB-AppDetails Current Date'!I:I,"WINTER")),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HC'!D:T,14,FALSE)),
N(VLOOKUP(D81&amp;F81,'Budgeted Projections Intl HC'!D:T,15,FALSE))
)
),"")</f>
        <v/>
      </c>
      <c r="I81" s="73" t="str">
        <f>IFERROR(1/(1/COUNTIFS(
'YearB-AppDetails Current Date'!A:A,D81,
'YearB-AppDetails Current Date'!F:F,E81,
'YearB-AppDetails Current Date'!E:E,--F81,
'YearB-AppDetails Current Date'!I:I,"WINTER")), "")</f>
        <v/>
      </c>
      <c r="J81" s="74" t="str" cm="1">
        <f t="array" ref="J81">IFERROR(1/(1/SUM(COUNTIFS(
'YearB-AppDetails Current Date'!A:A,D81,
'YearB-AppDetails Current Date'!F:F,E81,
'YearB-AppDetails Current Date'!E:E,--F81,
'YearB-AppDetails Current Date'!O:O,{"ACLN","ACPT","COND"},
'YearB-AppDetails Current Date'!S:S,"&lt;&gt;ACLN",
'YearB-AppDetails Current Date'!S:S,"&lt;&gt;ACPT",
'YearB-AppDetails Current Date'!S:S,"&lt;&gt;COND",
'YearB-AppDetails Current Date'!I:I,"WINTER"))), "")</f>
        <v/>
      </c>
      <c r="K81" s="73" t="str">
        <f>IFERROR(1/(1/SUM(COUNTIFS(
'YearB-AppDetails Current Date'!A:A,D81,
'YearB-AppDetails Current Date'!F:F,E81,
'YearB-AppDetails Current Date'!E:E,--F81,
'YearB-AppDetails Current Date'!R:R,"&lt;&gt;"&amp;"",
'YearB-AppDetails Current Date'!I:I,"WINTER"))), "")</f>
        <v/>
      </c>
      <c r="L81" s="74" t="str" cm="1">
        <f t="array" ref="L81">IFERROR(1/(1/SUM(COUNTIFS(
'YearB-AppDetails Current Date'!A:A,D81,
'YearB-AppDetails Current Date'!F:F,E81,
'YearB-AppDetails Current Date'!E:E,--F81,
'YearB-AppDetails Current Date'!T:T,{"APEX","DENY","NTSL"},
'YearB-AppDetails Current Date'!I:I,"WINTER"))), "")</f>
        <v/>
      </c>
      <c r="M81" s="74" t="str" cm="1">
        <f t="array" ref="M81">IFERROR(1/(1/SUM(COUNTIFS(
'YearB-AppDetails Current Date'!A:A,D81,
'YearB-AppDetails Current Date'!F:F,E81,
'YearB-AppDetails Current Date'!E:E,--F81,
'YearB-AppDetails Current Date'!U:U,{"CCAN","DECL"},
'YearB-AppDetails Current Date'!I:I,"WINTER"))), "")</f>
        <v/>
      </c>
      <c r="N81" s="74" t="str" cm="1">
        <f t="array" ref="N81">IFERROR(1/(1/SUM(COUNTIFS(
'YearB-AppDetails Current Date'!A:A,D81,
'YearB-AppDetails Current Date'!F:F,E81,
'YearB-AppDetails Current Date'!E:E,--F81,
'YearB-AppDetails Current Date'!V:V,{"APRO","NODE"},
'YearB-AppDetails Current Date'!I:I,"WINTER"))), "")</f>
        <v/>
      </c>
      <c r="O81" s="74" t="str" cm="1">
        <f t="array" ref="O81">IFERROR(1/(1/SUM(COUNTIFS(
'YearB-AppDetails Current Date'!A:A,D81,
'YearB-AppDetails Current Date'!F:F,E81,
'YearB-AppDetails Current Date'!E:E,--F81,
'YearB-AppDetails Current Date'!T:T,{"CDMT","RQMT","WAIT"},
'YearB-AppDetails Current Date'!I:I,"WINTER"))), "")</f>
        <v/>
      </c>
      <c r="P81" s="74" t="str">
        <f>IFERROR(1/(1/COUNTIFS(
'YearB-AppDetails Current Date'!A:A,D81,
'YearB-AppDetails Current Date'!F:F,E81,
'YearB-AppDetails Current Date'!E:E,--F81,
'YearB-AppDetails Current Date'!Y:Y,"ENRO",
'YearB-AppDetails Current Date'!I:I,"WINTER")),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HC'!D:T,14,FALSE)),
N(VLOOKUP(D82&amp;F82,'Budgeted Projections Dom HC'!D:T,15,FALSE))
)
),"")</f>
        <v/>
      </c>
      <c r="I82" s="73" t="str">
        <f>IFERROR(1/(1/COUNTIFS(
'YearB-AppDetails Current Date'!A:A,D82,
'YearB-AppDetails Current Date'!F:F,E82,
'YearB-AppDetails Current Date'!E:E,--F82,
'YearB-AppDetails Current Date'!I:I,"WINTER")), "")</f>
        <v/>
      </c>
      <c r="J82" s="74" t="str" cm="1">
        <f t="array" ref="J82">IFERROR(1/(1/SUM(COUNTIFS(
'YearB-AppDetails Current Date'!A:A,D82,
'YearB-AppDetails Current Date'!F:F,E82,
'YearB-AppDetails Current Date'!E:E,--F82,
'YearB-AppDetails Current Date'!O:O,{"ACLN","ACPT","COND"},
'YearB-AppDetails Current Date'!S:S,"&lt;&gt;ACLN",
'YearB-AppDetails Current Date'!S:S,"&lt;&gt;ACPT",
'YearB-AppDetails Current Date'!S:S,"&lt;&gt;COND",
'YearB-AppDetails Current Date'!I:I,"WINTER"))), "")</f>
        <v/>
      </c>
      <c r="K82" s="73" t="str">
        <f>IFERROR(1/(1/SUM(COUNTIFS(
'YearB-AppDetails Current Date'!A:A,D82,
'YearB-AppDetails Current Date'!F:F,E82,
'YearB-AppDetails Current Date'!E:E,--F82,
'YearB-AppDetails Current Date'!R:R,"&lt;&gt;"&amp;"",
'YearB-AppDetails Current Date'!I:I,"WINTER"))), "")</f>
        <v/>
      </c>
      <c r="L82" s="74" t="str" cm="1">
        <f t="array" ref="L82">IFERROR(1/(1/SUM(COUNTIFS(
'YearB-AppDetails Current Date'!A:A,D82,
'YearB-AppDetails Current Date'!F:F,E82,
'YearB-AppDetails Current Date'!E:E,--F82,
'YearB-AppDetails Current Date'!T:T,{"APEX","DENY","NTSL"},
'YearB-AppDetails Current Date'!I:I,"WINTER"))), "")</f>
        <v/>
      </c>
      <c r="M82" s="74" t="str" cm="1">
        <f t="array" ref="M82">IFERROR(1/(1/SUM(COUNTIFS(
'YearB-AppDetails Current Date'!A:A,D82,
'YearB-AppDetails Current Date'!F:F,E82,
'YearB-AppDetails Current Date'!E:E,--F82,
'YearB-AppDetails Current Date'!U:U,{"CCAN","DECL"},
'YearB-AppDetails Current Date'!I:I,"WINTER"))), "")</f>
        <v/>
      </c>
      <c r="N82" s="74" t="str" cm="1">
        <f t="array" ref="N82">IFERROR(1/(1/SUM(COUNTIFS(
'YearB-AppDetails Current Date'!A:A,D82,
'YearB-AppDetails Current Date'!F:F,E82,
'YearB-AppDetails Current Date'!E:E,--F82,
'YearB-AppDetails Current Date'!V:V,{"APRO","NODE"},
'YearB-AppDetails Current Date'!I:I,"WINTER"))), "")</f>
        <v/>
      </c>
      <c r="O82" s="74" t="str" cm="1">
        <f t="array" ref="O82">IFERROR(1/(1/SUM(COUNTIFS(
'YearB-AppDetails Current Date'!A:A,D82,
'YearB-AppDetails Current Date'!F:F,E82,
'YearB-AppDetails Current Date'!E:E,--F82,
'YearB-AppDetails Current Date'!T:T,{"CDMT","RQMT","WAIT"},
'YearB-AppDetails Current Date'!I:I,"WINTER"))), "")</f>
        <v/>
      </c>
      <c r="P82" s="74" t="str">
        <f>IFERROR(1/(1/COUNTIFS(
'YearB-AppDetails Current Date'!A:A,D82,
'YearB-AppDetails Current Date'!F:F,E82,
'YearB-AppDetails Current Date'!E:E,--F82,
'YearB-AppDetails Current Date'!Y:Y,"ENRO",
'YearB-AppDetails Current Date'!I:I,"WINTER")),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HC'!D:T,14,FALSE)),
N(VLOOKUP(D83&amp;F83,'Budgeted Projections Intl HC'!D:T,15,FALSE))
)
),"")</f>
        <v/>
      </c>
      <c r="I83" s="73" t="str">
        <f>IFERROR(1/(1/COUNTIFS(
'YearB-AppDetails Current Date'!A:A,D83,
'YearB-AppDetails Current Date'!F:F,E83,
'YearB-AppDetails Current Date'!E:E,--F83,
'YearB-AppDetails Current Date'!I:I,"WINTER")), "")</f>
        <v/>
      </c>
      <c r="J83" s="74" t="str" cm="1">
        <f t="array" ref="J83">IFERROR(1/(1/SUM(COUNTIFS(
'YearB-AppDetails Current Date'!A:A,D83,
'YearB-AppDetails Current Date'!F:F,E83,
'YearB-AppDetails Current Date'!E:E,--F83,
'YearB-AppDetails Current Date'!O:O,{"ACLN","ACPT","COND"},
'YearB-AppDetails Current Date'!S:S,"&lt;&gt;ACLN",
'YearB-AppDetails Current Date'!S:S,"&lt;&gt;ACPT",
'YearB-AppDetails Current Date'!S:S,"&lt;&gt;COND",
'YearB-AppDetails Current Date'!I:I,"WINTER"))), "")</f>
        <v/>
      </c>
      <c r="K83" s="73" t="str">
        <f>IFERROR(1/(1/SUM(COUNTIFS(
'YearB-AppDetails Current Date'!A:A,D83,
'YearB-AppDetails Current Date'!F:F,E83,
'YearB-AppDetails Current Date'!E:E,--F83,
'YearB-AppDetails Current Date'!R:R,"&lt;&gt;"&amp;"",
'YearB-AppDetails Current Date'!I:I,"WINTER"))), "")</f>
        <v/>
      </c>
      <c r="L83" s="74" t="str" cm="1">
        <f t="array" ref="L83">IFERROR(1/(1/SUM(COUNTIFS(
'YearB-AppDetails Current Date'!A:A,D83,
'YearB-AppDetails Current Date'!F:F,E83,
'YearB-AppDetails Current Date'!E:E,--F83,
'YearB-AppDetails Current Date'!T:T,{"APEX","DENY","NTSL"},
'YearB-AppDetails Current Date'!I:I,"WINTER"))), "")</f>
        <v/>
      </c>
      <c r="M83" s="74" t="str" cm="1">
        <f t="array" ref="M83">IFERROR(1/(1/SUM(COUNTIFS(
'YearB-AppDetails Current Date'!A:A,D83,
'YearB-AppDetails Current Date'!F:F,E83,
'YearB-AppDetails Current Date'!E:E,--F83,
'YearB-AppDetails Current Date'!U:U,{"CCAN","DECL"},
'YearB-AppDetails Current Date'!I:I,"WINTER"))), "")</f>
        <v/>
      </c>
      <c r="N83" s="74" t="str" cm="1">
        <f t="array" ref="N83">IFERROR(1/(1/SUM(COUNTIFS(
'YearB-AppDetails Current Date'!A:A,D83,
'YearB-AppDetails Current Date'!F:F,E83,
'YearB-AppDetails Current Date'!E:E,--F83,
'YearB-AppDetails Current Date'!V:V,{"APRO","NODE"},
'YearB-AppDetails Current Date'!I:I,"WINTER"))), "")</f>
        <v/>
      </c>
      <c r="O83" s="74" t="str" cm="1">
        <f t="array" ref="O83">IFERROR(1/(1/SUM(COUNTIFS(
'YearB-AppDetails Current Date'!A:A,D83,
'YearB-AppDetails Current Date'!F:F,E83,
'YearB-AppDetails Current Date'!E:E,--F83,
'YearB-AppDetails Current Date'!T:T,{"CDMT","RQMT","WAIT"},
'YearB-AppDetails Current Date'!I:I,"WINTER"))), "")</f>
        <v/>
      </c>
      <c r="P83" s="74" t="str">
        <f>IFERROR(1/(1/COUNTIFS(
'YearB-AppDetails Current Date'!A:A,D83,
'YearB-AppDetails Current Date'!F:F,E83,
'YearB-AppDetails Current Date'!E:E,--F83,
'YearB-AppDetails Current Date'!Y:Y,"ENRO",
'YearB-AppDetails Current Date'!I:I,"WINTER")),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HC'!D:T,14,FALSE)),
N(VLOOKUP(D84&amp;F84,'Budgeted Projections Dom HC'!D:T,15,FALSE))
)
),"")</f>
        <v/>
      </c>
      <c r="I84" s="73" t="str">
        <f>IFERROR(1/(1/COUNTIFS(
'YearB-AppDetails Current Date'!A:A,D84,
'YearB-AppDetails Current Date'!F:F,E84,
'YearB-AppDetails Current Date'!E:E,--F84,
'YearB-AppDetails Current Date'!I:I,"WINTER")), "")</f>
        <v/>
      </c>
      <c r="J84" s="74" t="str" cm="1">
        <f t="array" ref="J84">IFERROR(1/(1/SUM(COUNTIFS(
'YearB-AppDetails Current Date'!A:A,D84,
'YearB-AppDetails Current Date'!F:F,E84,
'YearB-AppDetails Current Date'!E:E,--F84,
'YearB-AppDetails Current Date'!O:O,{"ACLN","ACPT","COND"},
'YearB-AppDetails Current Date'!S:S,"&lt;&gt;ACLN",
'YearB-AppDetails Current Date'!S:S,"&lt;&gt;ACPT",
'YearB-AppDetails Current Date'!S:S,"&lt;&gt;COND",
'YearB-AppDetails Current Date'!I:I,"WINTER"))), "")</f>
        <v/>
      </c>
      <c r="K84" s="73" t="str">
        <f>IFERROR(1/(1/SUM(COUNTIFS(
'YearB-AppDetails Current Date'!A:A,D84,
'YearB-AppDetails Current Date'!F:F,E84,
'YearB-AppDetails Current Date'!E:E,--F84,
'YearB-AppDetails Current Date'!R:R,"&lt;&gt;"&amp;"",
'YearB-AppDetails Current Date'!I:I,"WINTER"))), "")</f>
        <v/>
      </c>
      <c r="L84" s="74" t="str" cm="1">
        <f t="array" ref="L84">IFERROR(1/(1/SUM(COUNTIFS(
'YearB-AppDetails Current Date'!A:A,D84,
'YearB-AppDetails Current Date'!F:F,E84,
'YearB-AppDetails Current Date'!E:E,--F84,
'YearB-AppDetails Current Date'!T:T,{"APEX","DENY","NTSL"},
'YearB-AppDetails Current Date'!I:I,"WINTER"))), "")</f>
        <v/>
      </c>
      <c r="M84" s="74" t="str" cm="1">
        <f t="array" ref="M84">IFERROR(1/(1/SUM(COUNTIFS(
'YearB-AppDetails Current Date'!A:A,D84,
'YearB-AppDetails Current Date'!F:F,E84,
'YearB-AppDetails Current Date'!E:E,--F84,
'YearB-AppDetails Current Date'!U:U,{"CCAN","DECL"},
'YearB-AppDetails Current Date'!I:I,"WINTER"))), "")</f>
        <v/>
      </c>
      <c r="N84" s="74" t="str" cm="1">
        <f t="array" ref="N84">IFERROR(1/(1/SUM(COUNTIFS(
'YearB-AppDetails Current Date'!A:A,D84,
'YearB-AppDetails Current Date'!F:F,E84,
'YearB-AppDetails Current Date'!E:E,--F84,
'YearB-AppDetails Current Date'!V:V,{"APRO","NODE"},
'YearB-AppDetails Current Date'!I:I,"WINTER"))), "")</f>
        <v/>
      </c>
      <c r="O84" s="74" t="str" cm="1">
        <f t="array" ref="O84">IFERROR(1/(1/SUM(COUNTIFS(
'YearB-AppDetails Current Date'!A:A,D84,
'YearB-AppDetails Current Date'!F:F,E84,
'YearB-AppDetails Current Date'!E:E,--F84,
'YearB-AppDetails Current Date'!T:T,{"CDMT","RQMT","WAIT"},
'YearB-AppDetails Current Date'!I:I,"WINTER"))), "")</f>
        <v/>
      </c>
      <c r="P84" s="74" t="str">
        <f>IFERROR(1/(1/COUNTIFS(
'YearB-AppDetails Current Date'!A:A,D84,
'YearB-AppDetails Current Date'!F:F,E84,
'YearB-AppDetails Current Date'!E:E,--F84,
'YearB-AppDetails Current Date'!Y:Y,"ENRO",
'YearB-AppDetails Current Date'!I:I,"WINTER")),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HC'!D:T,14,FALSE)),
N(VLOOKUP(D85&amp;F85,'Budgeted Projections Intl HC'!D:T,15,FALSE))
)
),"")</f>
        <v/>
      </c>
      <c r="I85" s="73" t="str">
        <f>IFERROR(1/(1/COUNTIFS(
'YearB-AppDetails Current Date'!A:A,D85,
'YearB-AppDetails Current Date'!F:F,E85,
'YearB-AppDetails Current Date'!E:E,--F85,
'YearB-AppDetails Current Date'!I:I,"WINTER")), "")</f>
        <v/>
      </c>
      <c r="J85" s="74" t="str" cm="1">
        <f t="array" ref="J85">IFERROR(1/(1/SUM(COUNTIFS(
'YearB-AppDetails Current Date'!A:A,D85,
'YearB-AppDetails Current Date'!F:F,E85,
'YearB-AppDetails Current Date'!E:E,--F85,
'YearB-AppDetails Current Date'!O:O,{"ACLN","ACPT","COND"},
'YearB-AppDetails Current Date'!S:S,"&lt;&gt;ACLN",
'YearB-AppDetails Current Date'!S:S,"&lt;&gt;ACPT",
'YearB-AppDetails Current Date'!S:S,"&lt;&gt;COND",
'YearB-AppDetails Current Date'!I:I,"WINTER"))), "")</f>
        <v/>
      </c>
      <c r="K85" s="73" t="str">
        <f>IFERROR(1/(1/SUM(COUNTIFS(
'YearB-AppDetails Current Date'!A:A,D85,
'YearB-AppDetails Current Date'!F:F,E85,
'YearB-AppDetails Current Date'!E:E,--F85,
'YearB-AppDetails Current Date'!R:R,"&lt;&gt;"&amp;"",
'YearB-AppDetails Current Date'!I:I,"WINTER"))), "")</f>
        <v/>
      </c>
      <c r="L85" s="74" t="str" cm="1">
        <f t="array" ref="L85">IFERROR(1/(1/SUM(COUNTIFS(
'YearB-AppDetails Current Date'!A:A,D85,
'YearB-AppDetails Current Date'!F:F,E85,
'YearB-AppDetails Current Date'!E:E,--F85,
'YearB-AppDetails Current Date'!T:T,{"APEX","DENY","NTSL"},
'YearB-AppDetails Current Date'!I:I,"WINTER"))), "")</f>
        <v/>
      </c>
      <c r="M85" s="74" t="str" cm="1">
        <f t="array" ref="M85">IFERROR(1/(1/SUM(COUNTIFS(
'YearB-AppDetails Current Date'!A:A,D85,
'YearB-AppDetails Current Date'!F:F,E85,
'YearB-AppDetails Current Date'!E:E,--F85,
'YearB-AppDetails Current Date'!U:U,{"CCAN","DECL"},
'YearB-AppDetails Current Date'!I:I,"WINTER"))), "")</f>
        <v/>
      </c>
      <c r="N85" s="74" t="str" cm="1">
        <f t="array" ref="N85">IFERROR(1/(1/SUM(COUNTIFS(
'YearB-AppDetails Current Date'!A:A,D85,
'YearB-AppDetails Current Date'!F:F,E85,
'YearB-AppDetails Current Date'!E:E,--F85,
'YearB-AppDetails Current Date'!V:V,{"APRO","NODE"},
'YearB-AppDetails Current Date'!I:I,"WINTER"))), "")</f>
        <v/>
      </c>
      <c r="O85" s="74" t="str" cm="1">
        <f t="array" ref="O85">IFERROR(1/(1/SUM(COUNTIFS(
'YearB-AppDetails Current Date'!A:A,D85,
'YearB-AppDetails Current Date'!F:F,E85,
'YearB-AppDetails Current Date'!E:E,--F85,
'YearB-AppDetails Current Date'!T:T,{"CDMT","RQMT","WAIT"},
'YearB-AppDetails Current Date'!I:I,"WINTER"))), "")</f>
        <v/>
      </c>
      <c r="P85" s="74" t="str">
        <f>IFERROR(1/(1/COUNTIFS(
'YearB-AppDetails Current Date'!A:A,D85,
'YearB-AppDetails Current Date'!F:F,E85,
'YearB-AppDetails Current Date'!E:E,--F85,
'YearB-AppDetails Current Date'!Y:Y,"ENRO",
'YearB-AppDetails Current Date'!I:I,"WINTER")),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HC'!D:T,14,FALSE)),
N(VLOOKUP(D86&amp;F86,'Budgeted Projections Dom HC'!D:T,15,FALSE))
)
),"")</f>
        <v/>
      </c>
      <c r="I86" s="73" t="str">
        <f>IFERROR(1/(1/COUNTIFS(
'YearB-AppDetails Current Date'!A:A,D86,
'YearB-AppDetails Current Date'!F:F,E86,
'YearB-AppDetails Current Date'!E:E,--F86,
'YearB-AppDetails Current Date'!I:I,"WINTER")), "")</f>
        <v/>
      </c>
      <c r="J86" s="74" t="str" cm="1">
        <f t="array" ref="J86">IFERROR(1/(1/SUM(COUNTIFS(
'YearB-AppDetails Current Date'!A:A,D86,
'YearB-AppDetails Current Date'!F:F,E86,
'YearB-AppDetails Current Date'!E:E,--F86,
'YearB-AppDetails Current Date'!O:O,{"ACLN","ACPT","COND"},
'YearB-AppDetails Current Date'!S:S,"&lt;&gt;ACLN",
'YearB-AppDetails Current Date'!S:S,"&lt;&gt;ACPT",
'YearB-AppDetails Current Date'!S:S,"&lt;&gt;COND",
'YearB-AppDetails Current Date'!I:I,"WINTER"))), "")</f>
        <v/>
      </c>
      <c r="K86" s="73" t="str">
        <f>IFERROR(1/(1/SUM(COUNTIFS(
'YearB-AppDetails Current Date'!A:A,D86,
'YearB-AppDetails Current Date'!F:F,E86,
'YearB-AppDetails Current Date'!E:E,--F86,
'YearB-AppDetails Current Date'!R:R,"&lt;&gt;"&amp;"",
'YearB-AppDetails Current Date'!I:I,"WINTER"))), "")</f>
        <v/>
      </c>
      <c r="L86" s="74" t="str" cm="1">
        <f t="array" ref="L86">IFERROR(1/(1/SUM(COUNTIFS(
'YearB-AppDetails Current Date'!A:A,D86,
'YearB-AppDetails Current Date'!F:F,E86,
'YearB-AppDetails Current Date'!E:E,--F86,
'YearB-AppDetails Current Date'!T:T,{"APEX","DENY","NTSL"},
'YearB-AppDetails Current Date'!I:I,"WINTER"))), "")</f>
        <v/>
      </c>
      <c r="M86" s="74" t="str" cm="1">
        <f t="array" ref="M86">IFERROR(1/(1/SUM(COUNTIFS(
'YearB-AppDetails Current Date'!A:A,D86,
'YearB-AppDetails Current Date'!F:F,E86,
'YearB-AppDetails Current Date'!E:E,--F86,
'YearB-AppDetails Current Date'!U:U,{"CCAN","DECL"},
'YearB-AppDetails Current Date'!I:I,"WINTER"))), "")</f>
        <v/>
      </c>
      <c r="N86" s="74" t="str" cm="1">
        <f t="array" ref="N86">IFERROR(1/(1/SUM(COUNTIFS(
'YearB-AppDetails Current Date'!A:A,D86,
'YearB-AppDetails Current Date'!F:F,E86,
'YearB-AppDetails Current Date'!E:E,--F86,
'YearB-AppDetails Current Date'!V:V,{"APRO","NODE"},
'YearB-AppDetails Current Date'!I:I,"WINTER"))), "")</f>
        <v/>
      </c>
      <c r="O86" s="74" t="str" cm="1">
        <f t="array" ref="O86">IFERROR(1/(1/SUM(COUNTIFS(
'YearB-AppDetails Current Date'!A:A,D86,
'YearB-AppDetails Current Date'!F:F,E86,
'YearB-AppDetails Current Date'!E:E,--F86,
'YearB-AppDetails Current Date'!T:T,{"CDMT","RQMT","WAIT"},
'YearB-AppDetails Current Date'!I:I,"WINTER"))), "")</f>
        <v/>
      </c>
      <c r="P86" s="74" t="str">
        <f>IFERROR(1/(1/COUNTIFS(
'YearB-AppDetails Current Date'!A:A,D86,
'YearB-AppDetails Current Date'!F:F,E86,
'YearB-AppDetails Current Date'!E:E,--F86,
'YearB-AppDetails Current Date'!Y:Y,"ENRO",
'YearB-AppDetails Current Date'!I:I,"WINTER")),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HC'!D:T,14,FALSE)),
N(VLOOKUP(D87&amp;F87,'Budgeted Projections Intl HC'!D:T,15,FALSE))
)
),"")</f>
        <v/>
      </c>
      <c r="I87" s="73" t="str">
        <f>IFERROR(1/(1/COUNTIFS(
'YearB-AppDetails Current Date'!A:A,D87,
'YearB-AppDetails Current Date'!F:F,E87,
'YearB-AppDetails Current Date'!E:E,--F87,
'YearB-AppDetails Current Date'!I:I,"WINTER")), "")</f>
        <v/>
      </c>
      <c r="J87" s="74" t="str" cm="1">
        <f t="array" ref="J87">IFERROR(1/(1/SUM(COUNTIFS(
'YearB-AppDetails Current Date'!A:A,D87,
'YearB-AppDetails Current Date'!F:F,E87,
'YearB-AppDetails Current Date'!E:E,--F87,
'YearB-AppDetails Current Date'!O:O,{"ACLN","ACPT","COND"},
'YearB-AppDetails Current Date'!S:S,"&lt;&gt;ACLN",
'YearB-AppDetails Current Date'!S:S,"&lt;&gt;ACPT",
'YearB-AppDetails Current Date'!S:S,"&lt;&gt;COND",
'YearB-AppDetails Current Date'!I:I,"WINTER"))), "")</f>
        <v/>
      </c>
      <c r="K87" s="73" t="str">
        <f>IFERROR(1/(1/SUM(COUNTIFS(
'YearB-AppDetails Current Date'!A:A,D87,
'YearB-AppDetails Current Date'!F:F,E87,
'YearB-AppDetails Current Date'!E:E,--F87,
'YearB-AppDetails Current Date'!R:R,"&lt;&gt;"&amp;"",
'YearB-AppDetails Current Date'!I:I,"WINTER"))), "")</f>
        <v/>
      </c>
      <c r="L87" s="74" t="str" cm="1">
        <f t="array" ref="L87">IFERROR(1/(1/SUM(COUNTIFS(
'YearB-AppDetails Current Date'!A:A,D87,
'YearB-AppDetails Current Date'!F:F,E87,
'YearB-AppDetails Current Date'!E:E,--F87,
'YearB-AppDetails Current Date'!T:T,{"APEX","DENY","NTSL"},
'YearB-AppDetails Current Date'!I:I,"WINTER"))), "")</f>
        <v/>
      </c>
      <c r="M87" s="74" t="str" cm="1">
        <f t="array" ref="M87">IFERROR(1/(1/SUM(COUNTIFS(
'YearB-AppDetails Current Date'!A:A,D87,
'YearB-AppDetails Current Date'!F:F,E87,
'YearB-AppDetails Current Date'!E:E,--F87,
'YearB-AppDetails Current Date'!U:U,{"CCAN","DECL"},
'YearB-AppDetails Current Date'!I:I,"WINTER"))), "")</f>
        <v/>
      </c>
      <c r="N87" s="74" t="str" cm="1">
        <f t="array" ref="N87">IFERROR(1/(1/SUM(COUNTIFS(
'YearB-AppDetails Current Date'!A:A,D87,
'YearB-AppDetails Current Date'!F:F,E87,
'YearB-AppDetails Current Date'!E:E,--F87,
'YearB-AppDetails Current Date'!V:V,{"APRO","NODE"},
'YearB-AppDetails Current Date'!I:I,"WINTER"))), "")</f>
        <v/>
      </c>
      <c r="O87" s="74" t="str" cm="1">
        <f t="array" ref="O87">IFERROR(1/(1/SUM(COUNTIFS(
'YearB-AppDetails Current Date'!A:A,D87,
'YearB-AppDetails Current Date'!F:F,E87,
'YearB-AppDetails Current Date'!E:E,--F87,
'YearB-AppDetails Current Date'!T:T,{"CDMT","RQMT","WAIT"},
'YearB-AppDetails Current Date'!I:I,"WINTER"))), "")</f>
        <v/>
      </c>
      <c r="P87" s="74" t="str">
        <f>IFERROR(1/(1/COUNTIFS(
'YearB-AppDetails Current Date'!A:A,D87,
'YearB-AppDetails Current Date'!F:F,E87,
'YearB-AppDetails Current Date'!E:E,--F87,
'YearB-AppDetails Current Date'!Y:Y,"ENRO",
'YearB-AppDetails Current Date'!I:I,"WINTER")),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HC'!D:T,14,FALSE)),
N(VLOOKUP(D88&amp;F88,'Budgeted Projections Dom HC'!D:T,15,FALSE))
)
),"")</f>
        <v/>
      </c>
      <c r="I88" s="73" t="str">
        <f>IFERROR(1/(1/COUNTIFS(
'YearB-AppDetails Current Date'!A:A,D88,
'YearB-AppDetails Current Date'!F:F,E88,
'YearB-AppDetails Current Date'!E:E,--F88,
'YearB-AppDetails Current Date'!I:I,"WINTER")), "")</f>
        <v/>
      </c>
      <c r="J88" s="74" t="str" cm="1">
        <f t="array" ref="J88">IFERROR(1/(1/SUM(COUNTIFS(
'YearB-AppDetails Current Date'!A:A,D88,
'YearB-AppDetails Current Date'!F:F,E88,
'YearB-AppDetails Current Date'!E:E,--F88,
'YearB-AppDetails Current Date'!O:O,{"ACLN","ACPT","COND"},
'YearB-AppDetails Current Date'!S:S,"&lt;&gt;ACLN",
'YearB-AppDetails Current Date'!S:S,"&lt;&gt;ACPT",
'YearB-AppDetails Current Date'!S:S,"&lt;&gt;COND",
'YearB-AppDetails Current Date'!I:I,"WINTER"))), "")</f>
        <v/>
      </c>
      <c r="K88" s="73" t="str">
        <f>IFERROR(1/(1/SUM(COUNTIFS(
'YearB-AppDetails Current Date'!A:A,D88,
'YearB-AppDetails Current Date'!F:F,E88,
'YearB-AppDetails Current Date'!E:E,--F88,
'YearB-AppDetails Current Date'!R:R,"&lt;&gt;"&amp;"",
'YearB-AppDetails Current Date'!I:I,"WINTER"))), "")</f>
        <v/>
      </c>
      <c r="L88" s="74" t="str" cm="1">
        <f t="array" ref="L88">IFERROR(1/(1/SUM(COUNTIFS(
'YearB-AppDetails Current Date'!A:A,D88,
'YearB-AppDetails Current Date'!F:F,E88,
'YearB-AppDetails Current Date'!E:E,--F88,
'YearB-AppDetails Current Date'!T:T,{"APEX","DENY","NTSL"},
'YearB-AppDetails Current Date'!I:I,"WINTER"))), "")</f>
        <v/>
      </c>
      <c r="M88" s="74" t="str" cm="1">
        <f t="array" ref="M88">IFERROR(1/(1/SUM(COUNTIFS(
'YearB-AppDetails Current Date'!A:A,D88,
'YearB-AppDetails Current Date'!F:F,E88,
'YearB-AppDetails Current Date'!E:E,--F88,
'YearB-AppDetails Current Date'!U:U,{"CCAN","DECL"},
'YearB-AppDetails Current Date'!I:I,"WINTER"))), "")</f>
        <v/>
      </c>
      <c r="N88" s="74" t="str" cm="1">
        <f t="array" ref="N88">IFERROR(1/(1/SUM(COUNTIFS(
'YearB-AppDetails Current Date'!A:A,D88,
'YearB-AppDetails Current Date'!F:F,E88,
'YearB-AppDetails Current Date'!E:E,--F88,
'YearB-AppDetails Current Date'!V:V,{"APRO","NODE"},
'YearB-AppDetails Current Date'!I:I,"WINTER"))), "")</f>
        <v/>
      </c>
      <c r="O88" s="74" t="str" cm="1">
        <f t="array" ref="O88">IFERROR(1/(1/SUM(COUNTIFS(
'YearB-AppDetails Current Date'!A:A,D88,
'YearB-AppDetails Current Date'!F:F,E88,
'YearB-AppDetails Current Date'!E:E,--F88,
'YearB-AppDetails Current Date'!T:T,{"CDMT","RQMT","WAIT"},
'YearB-AppDetails Current Date'!I:I,"WINTER"))), "")</f>
        <v/>
      </c>
      <c r="P88" s="74" t="str">
        <f>IFERROR(1/(1/COUNTIFS(
'YearB-AppDetails Current Date'!A:A,D88,
'YearB-AppDetails Current Date'!F:F,E88,
'YearB-AppDetails Current Date'!E:E,--F88,
'YearB-AppDetails Current Date'!Y:Y,"ENRO",
'YearB-AppDetails Current Date'!I:I,"WINTER")),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HC'!D:T,14,FALSE)),
N(VLOOKUP(D89&amp;F89,'Budgeted Projections Intl HC'!D:T,15,FALSE))
)
),"")</f>
        <v/>
      </c>
      <c r="I89" s="73" t="str">
        <f>IFERROR(1/(1/COUNTIFS(
'YearB-AppDetails Current Date'!A:A,D89,
'YearB-AppDetails Current Date'!F:F,E89,
'YearB-AppDetails Current Date'!E:E,--F89,
'YearB-AppDetails Current Date'!I:I,"WINTER")), "")</f>
        <v/>
      </c>
      <c r="J89" s="74" t="str" cm="1">
        <f t="array" ref="J89">IFERROR(1/(1/SUM(COUNTIFS(
'YearB-AppDetails Current Date'!A:A,D89,
'YearB-AppDetails Current Date'!F:F,E89,
'YearB-AppDetails Current Date'!E:E,--F89,
'YearB-AppDetails Current Date'!O:O,{"ACLN","ACPT","COND"},
'YearB-AppDetails Current Date'!S:S,"&lt;&gt;ACLN",
'YearB-AppDetails Current Date'!S:S,"&lt;&gt;ACPT",
'YearB-AppDetails Current Date'!S:S,"&lt;&gt;COND",
'YearB-AppDetails Current Date'!I:I,"WINTER"))), "")</f>
        <v/>
      </c>
      <c r="K89" s="73" t="str">
        <f>IFERROR(1/(1/SUM(COUNTIFS(
'YearB-AppDetails Current Date'!A:A,D89,
'YearB-AppDetails Current Date'!F:F,E89,
'YearB-AppDetails Current Date'!E:E,--F89,
'YearB-AppDetails Current Date'!R:R,"&lt;&gt;"&amp;"",
'YearB-AppDetails Current Date'!I:I,"WINTER"))), "")</f>
        <v/>
      </c>
      <c r="L89" s="74" t="str" cm="1">
        <f t="array" ref="L89">IFERROR(1/(1/SUM(COUNTIFS(
'YearB-AppDetails Current Date'!A:A,D89,
'YearB-AppDetails Current Date'!F:F,E89,
'YearB-AppDetails Current Date'!E:E,--F89,
'YearB-AppDetails Current Date'!T:T,{"APEX","DENY","NTSL"},
'YearB-AppDetails Current Date'!I:I,"WINTER"))), "")</f>
        <v/>
      </c>
      <c r="M89" s="74" t="str" cm="1">
        <f t="array" ref="M89">IFERROR(1/(1/SUM(COUNTIFS(
'YearB-AppDetails Current Date'!A:A,D89,
'YearB-AppDetails Current Date'!F:F,E89,
'YearB-AppDetails Current Date'!E:E,--F89,
'YearB-AppDetails Current Date'!U:U,{"CCAN","DECL"},
'YearB-AppDetails Current Date'!I:I,"WINTER"))), "")</f>
        <v/>
      </c>
      <c r="N89" s="74" t="str" cm="1">
        <f t="array" ref="N89">IFERROR(1/(1/SUM(COUNTIFS(
'YearB-AppDetails Current Date'!A:A,D89,
'YearB-AppDetails Current Date'!F:F,E89,
'YearB-AppDetails Current Date'!E:E,--F89,
'YearB-AppDetails Current Date'!V:V,{"APRO","NODE"},
'YearB-AppDetails Current Date'!I:I,"WINTER"))), "")</f>
        <v/>
      </c>
      <c r="O89" s="74" t="str" cm="1">
        <f t="array" ref="O89">IFERROR(1/(1/SUM(COUNTIFS(
'YearB-AppDetails Current Date'!A:A,D89,
'YearB-AppDetails Current Date'!F:F,E89,
'YearB-AppDetails Current Date'!E:E,--F89,
'YearB-AppDetails Current Date'!T:T,{"CDMT","RQMT","WAIT"},
'YearB-AppDetails Current Date'!I:I,"WINTER"))), "")</f>
        <v/>
      </c>
      <c r="P89" s="74" t="str">
        <f>IFERROR(1/(1/COUNTIFS(
'YearB-AppDetails Current Date'!A:A,D89,
'YearB-AppDetails Current Date'!F:F,E89,
'YearB-AppDetails Current Date'!E:E,--F89,
'YearB-AppDetails Current Date'!Y:Y,"ENRO",
'YearB-AppDetails Current Date'!I:I,"WINTER")),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HC'!D:T,14,FALSE)),
N(VLOOKUP(D90&amp;F90,'Budgeted Projections Dom HC'!D:T,15,FALSE))
)
),"")</f>
        <v/>
      </c>
      <c r="I90" s="73" t="str">
        <f>IFERROR(1/(1/COUNTIFS(
'YearB-AppDetails Current Date'!A:A,D90,
'YearB-AppDetails Current Date'!F:F,E90,
'YearB-AppDetails Current Date'!E:E,--F90,
'YearB-AppDetails Current Date'!I:I,"WINTER")), "")</f>
        <v/>
      </c>
      <c r="J90" s="74" t="str" cm="1">
        <f t="array" ref="J90">IFERROR(1/(1/SUM(COUNTIFS(
'YearB-AppDetails Current Date'!A:A,D90,
'YearB-AppDetails Current Date'!F:F,E90,
'YearB-AppDetails Current Date'!E:E,--F90,
'YearB-AppDetails Current Date'!O:O,{"ACLN","ACPT","COND"},
'YearB-AppDetails Current Date'!S:S,"&lt;&gt;ACLN",
'YearB-AppDetails Current Date'!S:S,"&lt;&gt;ACPT",
'YearB-AppDetails Current Date'!S:S,"&lt;&gt;COND",
'YearB-AppDetails Current Date'!I:I,"WINTER"))), "")</f>
        <v/>
      </c>
      <c r="K90" s="73" t="str">
        <f>IFERROR(1/(1/SUM(COUNTIFS(
'YearB-AppDetails Current Date'!A:A,D90,
'YearB-AppDetails Current Date'!F:F,E90,
'YearB-AppDetails Current Date'!E:E,--F90,
'YearB-AppDetails Current Date'!R:R,"&lt;&gt;"&amp;"",
'YearB-AppDetails Current Date'!I:I,"WINTER"))), "")</f>
        <v/>
      </c>
      <c r="L90" s="74" t="str" cm="1">
        <f t="array" ref="L90">IFERROR(1/(1/SUM(COUNTIFS(
'YearB-AppDetails Current Date'!A:A,D90,
'YearB-AppDetails Current Date'!F:F,E90,
'YearB-AppDetails Current Date'!E:E,--F90,
'YearB-AppDetails Current Date'!T:T,{"APEX","DENY","NTSL"},
'YearB-AppDetails Current Date'!I:I,"WINTER"))), "")</f>
        <v/>
      </c>
      <c r="M90" s="74" t="str" cm="1">
        <f t="array" ref="M90">IFERROR(1/(1/SUM(COUNTIFS(
'YearB-AppDetails Current Date'!A:A,D90,
'YearB-AppDetails Current Date'!F:F,E90,
'YearB-AppDetails Current Date'!E:E,--F90,
'YearB-AppDetails Current Date'!U:U,{"CCAN","DECL"},
'YearB-AppDetails Current Date'!I:I,"WINTER"))), "")</f>
        <v/>
      </c>
      <c r="N90" s="74" t="str" cm="1">
        <f t="array" ref="N90">IFERROR(1/(1/SUM(COUNTIFS(
'YearB-AppDetails Current Date'!A:A,D90,
'YearB-AppDetails Current Date'!F:F,E90,
'YearB-AppDetails Current Date'!E:E,--F90,
'YearB-AppDetails Current Date'!V:V,{"APRO","NODE"},
'YearB-AppDetails Current Date'!I:I,"WINTER"))), "")</f>
        <v/>
      </c>
      <c r="O90" s="74" t="str" cm="1">
        <f t="array" ref="O90">IFERROR(1/(1/SUM(COUNTIFS(
'YearB-AppDetails Current Date'!A:A,D90,
'YearB-AppDetails Current Date'!F:F,E90,
'YearB-AppDetails Current Date'!E:E,--F90,
'YearB-AppDetails Current Date'!T:T,{"CDMT","RQMT","WAIT"},
'YearB-AppDetails Current Date'!I:I,"WINTER"))), "")</f>
        <v/>
      </c>
      <c r="P90" s="74" t="str">
        <f>IFERROR(1/(1/COUNTIFS(
'YearB-AppDetails Current Date'!A:A,D90,
'YearB-AppDetails Current Date'!F:F,E90,
'YearB-AppDetails Current Date'!E:E,--F90,
'YearB-AppDetails Current Date'!Y:Y,"ENRO",
'YearB-AppDetails Current Date'!I:I,"WINTER")),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HC'!D:T,14,FALSE)),
N(VLOOKUP(D91&amp;F91,'Budgeted Projections Intl HC'!D:T,15,FALSE))
)
),"")</f>
        <v/>
      </c>
      <c r="I91" s="73" t="str">
        <f>IFERROR(1/(1/COUNTIFS(
'YearB-AppDetails Current Date'!A:A,D91,
'YearB-AppDetails Current Date'!F:F,E91,
'YearB-AppDetails Current Date'!E:E,--F91,
'YearB-AppDetails Current Date'!I:I,"WINTER")), "")</f>
        <v/>
      </c>
      <c r="J91" s="74" t="str" cm="1">
        <f t="array" ref="J91">IFERROR(1/(1/SUM(COUNTIFS(
'YearB-AppDetails Current Date'!A:A,D91,
'YearB-AppDetails Current Date'!F:F,E91,
'YearB-AppDetails Current Date'!E:E,--F91,
'YearB-AppDetails Current Date'!O:O,{"ACLN","ACPT","COND"},
'YearB-AppDetails Current Date'!S:S,"&lt;&gt;ACLN",
'YearB-AppDetails Current Date'!S:S,"&lt;&gt;ACPT",
'YearB-AppDetails Current Date'!S:S,"&lt;&gt;COND",
'YearB-AppDetails Current Date'!I:I,"WINTER"))), "")</f>
        <v/>
      </c>
      <c r="K91" s="73" t="str">
        <f>IFERROR(1/(1/SUM(COUNTIFS(
'YearB-AppDetails Current Date'!A:A,D91,
'YearB-AppDetails Current Date'!F:F,E91,
'YearB-AppDetails Current Date'!E:E,--F91,
'YearB-AppDetails Current Date'!R:R,"&lt;&gt;"&amp;"",
'YearB-AppDetails Current Date'!I:I,"WINTER"))), "")</f>
        <v/>
      </c>
      <c r="L91" s="74" t="str" cm="1">
        <f t="array" ref="L91">IFERROR(1/(1/SUM(COUNTIFS(
'YearB-AppDetails Current Date'!A:A,D91,
'YearB-AppDetails Current Date'!F:F,E91,
'YearB-AppDetails Current Date'!E:E,--F91,
'YearB-AppDetails Current Date'!T:T,{"APEX","DENY","NTSL"},
'YearB-AppDetails Current Date'!I:I,"WINTER"))), "")</f>
        <v/>
      </c>
      <c r="M91" s="74" t="str" cm="1">
        <f t="array" ref="M91">IFERROR(1/(1/SUM(COUNTIFS(
'YearB-AppDetails Current Date'!A:A,D91,
'YearB-AppDetails Current Date'!F:F,E91,
'YearB-AppDetails Current Date'!E:E,--F91,
'YearB-AppDetails Current Date'!U:U,{"CCAN","DECL"},
'YearB-AppDetails Current Date'!I:I,"WINTER"))), "")</f>
        <v/>
      </c>
      <c r="N91" s="74" t="str" cm="1">
        <f t="array" ref="N91">IFERROR(1/(1/SUM(COUNTIFS(
'YearB-AppDetails Current Date'!A:A,D91,
'YearB-AppDetails Current Date'!F:F,E91,
'YearB-AppDetails Current Date'!E:E,--F91,
'YearB-AppDetails Current Date'!V:V,{"APRO","NODE"},
'YearB-AppDetails Current Date'!I:I,"WINTER"))), "")</f>
        <v/>
      </c>
      <c r="O91" s="74" t="str" cm="1">
        <f t="array" ref="O91">IFERROR(1/(1/SUM(COUNTIFS(
'YearB-AppDetails Current Date'!A:A,D91,
'YearB-AppDetails Current Date'!F:F,E91,
'YearB-AppDetails Current Date'!E:E,--F91,
'YearB-AppDetails Current Date'!T:T,{"CDMT","RQMT","WAIT"},
'YearB-AppDetails Current Date'!I:I,"WINTER"))), "")</f>
        <v/>
      </c>
      <c r="P91" s="74" t="str">
        <f>IFERROR(1/(1/COUNTIFS(
'YearB-AppDetails Current Date'!A:A,D91,
'YearB-AppDetails Current Date'!F:F,E91,
'YearB-AppDetails Current Date'!E:E,--F91,
'YearB-AppDetails Current Date'!Y:Y,"ENRO",
'YearB-AppDetails Current Date'!I:I,"WINTER")),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HC'!D:T,14,FALSE)),
N(VLOOKUP(D92&amp;F92,'Budgeted Projections Dom HC'!D:T,15,FALSE))
)
),"")</f>
        <v/>
      </c>
      <c r="I92" s="73" t="str">
        <f>IFERROR(1/(1/COUNTIFS(
'YearB-AppDetails Current Date'!A:A,D92,
'YearB-AppDetails Current Date'!F:F,E92,
'YearB-AppDetails Current Date'!E:E,--F92,
'YearB-AppDetails Current Date'!I:I,"WINTER")), "")</f>
        <v/>
      </c>
      <c r="J92" s="74" t="str" cm="1">
        <f t="array" ref="J92">IFERROR(1/(1/SUM(COUNTIFS(
'YearB-AppDetails Current Date'!A:A,D92,
'YearB-AppDetails Current Date'!F:F,E92,
'YearB-AppDetails Current Date'!E:E,--F92,
'YearB-AppDetails Current Date'!O:O,{"ACLN","ACPT","COND"},
'YearB-AppDetails Current Date'!S:S,"&lt;&gt;ACLN",
'YearB-AppDetails Current Date'!S:S,"&lt;&gt;ACPT",
'YearB-AppDetails Current Date'!S:S,"&lt;&gt;COND",
'YearB-AppDetails Current Date'!I:I,"WINTER"))), "")</f>
        <v/>
      </c>
      <c r="K92" s="73" t="str">
        <f>IFERROR(1/(1/SUM(COUNTIFS(
'YearB-AppDetails Current Date'!A:A,D92,
'YearB-AppDetails Current Date'!F:F,E92,
'YearB-AppDetails Current Date'!E:E,--F92,
'YearB-AppDetails Current Date'!R:R,"&lt;&gt;"&amp;"",
'YearB-AppDetails Current Date'!I:I,"WINTER"))), "")</f>
        <v/>
      </c>
      <c r="L92" s="74" t="str" cm="1">
        <f t="array" ref="L92">IFERROR(1/(1/SUM(COUNTIFS(
'YearB-AppDetails Current Date'!A:A,D92,
'YearB-AppDetails Current Date'!F:F,E92,
'YearB-AppDetails Current Date'!E:E,--F92,
'YearB-AppDetails Current Date'!T:T,{"APEX","DENY","NTSL"},
'YearB-AppDetails Current Date'!I:I,"WINTER"))), "")</f>
        <v/>
      </c>
      <c r="M92" s="74" t="str" cm="1">
        <f t="array" ref="M92">IFERROR(1/(1/SUM(COUNTIFS(
'YearB-AppDetails Current Date'!A:A,D92,
'YearB-AppDetails Current Date'!F:F,E92,
'YearB-AppDetails Current Date'!E:E,--F92,
'YearB-AppDetails Current Date'!U:U,{"CCAN","DECL"},
'YearB-AppDetails Current Date'!I:I,"WINTER"))), "")</f>
        <v/>
      </c>
      <c r="N92" s="74" t="str" cm="1">
        <f t="array" ref="N92">IFERROR(1/(1/SUM(COUNTIFS(
'YearB-AppDetails Current Date'!A:A,D92,
'YearB-AppDetails Current Date'!F:F,E92,
'YearB-AppDetails Current Date'!E:E,--F92,
'YearB-AppDetails Current Date'!V:V,{"APRO","NODE"},
'YearB-AppDetails Current Date'!I:I,"WINTER"))), "")</f>
        <v/>
      </c>
      <c r="O92" s="74" t="str" cm="1">
        <f t="array" ref="O92">IFERROR(1/(1/SUM(COUNTIFS(
'YearB-AppDetails Current Date'!A:A,D92,
'YearB-AppDetails Current Date'!F:F,E92,
'YearB-AppDetails Current Date'!E:E,--F92,
'YearB-AppDetails Current Date'!T:T,{"CDMT","RQMT","WAIT"},
'YearB-AppDetails Current Date'!I:I,"WINTER"))), "")</f>
        <v/>
      </c>
      <c r="P92" s="74" t="str">
        <f>IFERROR(1/(1/COUNTIFS(
'YearB-AppDetails Current Date'!A:A,D92,
'YearB-AppDetails Current Date'!F:F,E92,
'YearB-AppDetails Current Date'!E:E,--F92,
'YearB-AppDetails Current Date'!Y:Y,"ENRO",
'YearB-AppDetails Current Date'!I:I,"WINTER")),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HC'!D:T,14,FALSE)),
N(VLOOKUP(D93&amp;F93,'Budgeted Projections Intl HC'!D:T,15,FALSE))
)
),"")</f>
        <v/>
      </c>
      <c r="I93" s="73" t="str">
        <f>IFERROR(1/(1/COUNTIFS(
'YearB-AppDetails Current Date'!A:A,D93,
'YearB-AppDetails Current Date'!F:F,E93,
'YearB-AppDetails Current Date'!E:E,--F93,
'YearB-AppDetails Current Date'!I:I,"WINTER")), "")</f>
        <v/>
      </c>
      <c r="J93" s="74" t="str" cm="1">
        <f t="array" ref="J93">IFERROR(1/(1/SUM(COUNTIFS(
'YearB-AppDetails Current Date'!A:A,D93,
'YearB-AppDetails Current Date'!F:F,E93,
'YearB-AppDetails Current Date'!E:E,--F93,
'YearB-AppDetails Current Date'!O:O,{"ACLN","ACPT","COND"},
'YearB-AppDetails Current Date'!S:S,"&lt;&gt;ACLN",
'YearB-AppDetails Current Date'!S:S,"&lt;&gt;ACPT",
'YearB-AppDetails Current Date'!S:S,"&lt;&gt;COND",
'YearB-AppDetails Current Date'!I:I,"WINTER"))), "")</f>
        <v/>
      </c>
      <c r="K93" s="73" t="str">
        <f>IFERROR(1/(1/SUM(COUNTIFS(
'YearB-AppDetails Current Date'!A:A,D93,
'YearB-AppDetails Current Date'!F:F,E93,
'YearB-AppDetails Current Date'!E:E,--F93,
'YearB-AppDetails Current Date'!R:R,"&lt;&gt;"&amp;"",
'YearB-AppDetails Current Date'!I:I,"WINTER"))), "")</f>
        <v/>
      </c>
      <c r="L93" s="74" t="str" cm="1">
        <f t="array" ref="L93">IFERROR(1/(1/SUM(COUNTIFS(
'YearB-AppDetails Current Date'!A:A,D93,
'YearB-AppDetails Current Date'!F:F,E93,
'YearB-AppDetails Current Date'!E:E,--F93,
'YearB-AppDetails Current Date'!T:T,{"APEX","DENY","NTSL"},
'YearB-AppDetails Current Date'!I:I,"WINTER"))), "")</f>
        <v/>
      </c>
      <c r="M93" s="74" t="str" cm="1">
        <f t="array" ref="M93">IFERROR(1/(1/SUM(COUNTIFS(
'YearB-AppDetails Current Date'!A:A,D93,
'YearB-AppDetails Current Date'!F:F,E93,
'YearB-AppDetails Current Date'!E:E,--F93,
'YearB-AppDetails Current Date'!U:U,{"CCAN","DECL"},
'YearB-AppDetails Current Date'!I:I,"WINTER"))), "")</f>
        <v/>
      </c>
      <c r="N93" s="74" t="str" cm="1">
        <f t="array" ref="N93">IFERROR(1/(1/SUM(COUNTIFS(
'YearB-AppDetails Current Date'!A:A,D93,
'YearB-AppDetails Current Date'!F:F,E93,
'YearB-AppDetails Current Date'!E:E,--F93,
'YearB-AppDetails Current Date'!V:V,{"APRO","NODE"},
'YearB-AppDetails Current Date'!I:I,"WINTER"))), "")</f>
        <v/>
      </c>
      <c r="O93" s="74" t="str" cm="1">
        <f t="array" ref="O93">IFERROR(1/(1/SUM(COUNTIFS(
'YearB-AppDetails Current Date'!A:A,D93,
'YearB-AppDetails Current Date'!F:F,E93,
'YearB-AppDetails Current Date'!E:E,--F93,
'YearB-AppDetails Current Date'!T:T,{"CDMT","RQMT","WAIT"},
'YearB-AppDetails Current Date'!I:I,"WINTER"))), "")</f>
        <v/>
      </c>
      <c r="P93" s="74" t="str">
        <f>IFERROR(1/(1/COUNTIFS(
'YearB-AppDetails Current Date'!A:A,D93,
'YearB-AppDetails Current Date'!F:F,E93,
'YearB-AppDetails Current Date'!E:E,--F93,
'YearB-AppDetails Current Date'!Y:Y,"ENRO",
'YearB-AppDetails Current Date'!I:I,"WINTER")),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HC'!D:T,14,FALSE)),
N(VLOOKUP(D94&amp;F94,'Budgeted Projections Dom HC'!D:T,15,FALSE))
)
),"")</f>
        <v/>
      </c>
      <c r="I94" s="73" t="str">
        <f>IFERROR(1/(1/COUNTIFS(
'YearB-AppDetails Current Date'!A:A,D94,
'YearB-AppDetails Current Date'!F:F,E94,
'YearB-AppDetails Current Date'!E:E,--F94,
'YearB-AppDetails Current Date'!I:I,"WINTER")), "")</f>
        <v/>
      </c>
      <c r="J94" s="74" t="str" cm="1">
        <f t="array" ref="J94">IFERROR(1/(1/SUM(COUNTIFS(
'YearB-AppDetails Current Date'!A:A,D94,
'YearB-AppDetails Current Date'!F:F,E94,
'YearB-AppDetails Current Date'!E:E,--F94,
'YearB-AppDetails Current Date'!O:O,{"ACLN","ACPT","COND"},
'YearB-AppDetails Current Date'!S:S,"&lt;&gt;ACLN",
'YearB-AppDetails Current Date'!S:S,"&lt;&gt;ACPT",
'YearB-AppDetails Current Date'!S:S,"&lt;&gt;COND",
'YearB-AppDetails Current Date'!I:I,"WINTER"))), "")</f>
        <v/>
      </c>
      <c r="K94" s="73" t="str">
        <f>IFERROR(1/(1/SUM(COUNTIFS(
'YearB-AppDetails Current Date'!A:A,D94,
'YearB-AppDetails Current Date'!F:F,E94,
'YearB-AppDetails Current Date'!E:E,--F94,
'YearB-AppDetails Current Date'!R:R,"&lt;&gt;"&amp;"",
'YearB-AppDetails Current Date'!I:I,"WINTER"))), "")</f>
        <v/>
      </c>
      <c r="L94" s="74" t="str" cm="1">
        <f t="array" ref="L94">IFERROR(1/(1/SUM(COUNTIFS(
'YearB-AppDetails Current Date'!A:A,D94,
'YearB-AppDetails Current Date'!F:F,E94,
'YearB-AppDetails Current Date'!E:E,--F94,
'YearB-AppDetails Current Date'!T:T,{"APEX","DENY","NTSL"},
'YearB-AppDetails Current Date'!I:I,"WINTER"))), "")</f>
        <v/>
      </c>
      <c r="M94" s="74" t="str" cm="1">
        <f t="array" ref="M94">IFERROR(1/(1/SUM(COUNTIFS(
'YearB-AppDetails Current Date'!A:A,D94,
'YearB-AppDetails Current Date'!F:F,E94,
'YearB-AppDetails Current Date'!E:E,--F94,
'YearB-AppDetails Current Date'!U:U,{"CCAN","DECL"},
'YearB-AppDetails Current Date'!I:I,"WINTER"))), "")</f>
        <v/>
      </c>
      <c r="N94" s="74" t="str" cm="1">
        <f t="array" ref="N94">IFERROR(1/(1/SUM(COUNTIFS(
'YearB-AppDetails Current Date'!A:A,D94,
'YearB-AppDetails Current Date'!F:F,E94,
'YearB-AppDetails Current Date'!E:E,--F94,
'YearB-AppDetails Current Date'!V:V,{"APRO","NODE"},
'YearB-AppDetails Current Date'!I:I,"WINTER"))), "")</f>
        <v/>
      </c>
      <c r="O94" s="74" t="str" cm="1">
        <f t="array" ref="O94">IFERROR(1/(1/SUM(COUNTIFS(
'YearB-AppDetails Current Date'!A:A,D94,
'YearB-AppDetails Current Date'!F:F,E94,
'YearB-AppDetails Current Date'!E:E,--F94,
'YearB-AppDetails Current Date'!T:T,{"CDMT","RQMT","WAIT"},
'YearB-AppDetails Current Date'!I:I,"WINTER"))), "")</f>
        <v/>
      </c>
      <c r="P94" s="74" t="str">
        <f>IFERROR(1/(1/COUNTIFS(
'YearB-AppDetails Current Date'!A:A,D94,
'YearB-AppDetails Current Date'!F:F,E94,
'YearB-AppDetails Current Date'!E:E,--F94,
'YearB-AppDetails Current Date'!Y:Y,"ENRO",
'YearB-AppDetails Current Date'!I:I,"WINTER")),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HC'!D:T,14,FALSE)),
N(VLOOKUP(D95&amp;F95,'Budgeted Projections Intl HC'!D:T,15,FALSE))
)
),"")</f>
        <v/>
      </c>
      <c r="I95" s="73" t="str">
        <f>IFERROR(1/(1/COUNTIFS(
'YearB-AppDetails Current Date'!A:A,D95,
'YearB-AppDetails Current Date'!F:F,E95,
'YearB-AppDetails Current Date'!E:E,--F95,
'YearB-AppDetails Current Date'!I:I,"WINTER")), "")</f>
        <v/>
      </c>
      <c r="J95" s="74" t="str" cm="1">
        <f t="array" ref="J95">IFERROR(1/(1/SUM(COUNTIFS(
'YearB-AppDetails Current Date'!A:A,D95,
'YearB-AppDetails Current Date'!F:F,E95,
'YearB-AppDetails Current Date'!E:E,--F95,
'YearB-AppDetails Current Date'!O:O,{"ACLN","ACPT","COND"},
'YearB-AppDetails Current Date'!S:S,"&lt;&gt;ACLN",
'YearB-AppDetails Current Date'!S:S,"&lt;&gt;ACPT",
'YearB-AppDetails Current Date'!S:S,"&lt;&gt;COND",
'YearB-AppDetails Current Date'!I:I,"WINTER"))), "")</f>
        <v/>
      </c>
      <c r="K95" s="73" t="str">
        <f>IFERROR(1/(1/SUM(COUNTIFS(
'YearB-AppDetails Current Date'!A:A,D95,
'YearB-AppDetails Current Date'!F:F,E95,
'YearB-AppDetails Current Date'!E:E,--F95,
'YearB-AppDetails Current Date'!R:R,"&lt;&gt;"&amp;"",
'YearB-AppDetails Current Date'!I:I,"WINTER"))), "")</f>
        <v/>
      </c>
      <c r="L95" s="74" t="str" cm="1">
        <f t="array" ref="L95">IFERROR(1/(1/SUM(COUNTIFS(
'YearB-AppDetails Current Date'!A:A,D95,
'YearB-AppDetails Current Date'!F:F,E95,
'YearB-AppDetails Current Date'!E:E,--F95,
'YearB-AppDetails Current Date'!T:T,{"APEX","DENY","NTSL"},
'YearB-AppDetails Current Date'!I:I,"WINTER"))), "")</f>
        <v/>
      </c>
      <c r="M95" s="74" t="str" cm="1">
        <f t="array" ref="M95">IFERROR(1/(1/SUM(COUNTIFS(
'YearB-AppDetails Current Date'!A:A,D95,
'YearB-AppDetails Current Date'!F:F,E95,
'YearB-AppDetails Current Date'!E:E,--F95,
'YearB-AppDetails Current Date'!U:U,{"CCAN","DECL"},
'YearB-AppDetails Current Date'!I:I,"WINTER"))), "")</f>
        <v/>
      </c>
      <c r="N95" s="74" t="str" cm="1">
        <f t="array" ref="N95">IFERROR(1/(1/SUM(COUNTIFS(
'YearB-AppDetails Current Date'!A:A,D95,
'YearB-AppDetails Current Date'!F:F,E95,
'YearB-AppDetails Current Date'!E:E,--F95,
'YearB-AppDetails Current Date'!V:V,{"APRO","NODE"},
'YearB-AppDetails Current Date'!I:I,"WINTER"))), "")</f>
        <v/>
      </c>
      <c r="O95" s="74" t="str" cm="1">
        <f t="array" ref="O95">IFERROR(1/(1/SUM(COUNTIFS(
'YearB-AppDetails Current Date'!A:A,D95,
'YearB-AppDetails Current Date'!F:F,E95,
'YearB-AppDetails Current Date'!E:E,--F95,
'YearB-AppDetails Current Date'!T:T,{"CDMT","RQMT","WAIT"},
'YearB-AppDetails Current Date'!I:I,"WINTER"))), "")</f>
        <v/>
      </c>
      <c r="P95" s="74" t="str">
        <f>IFERROR(1/(1/COUNTIFS(
'YearB-AppDetails Current Date'!A:A,D95,
'YearB-AppDetails Current Date'!F:F,E95,
'YearB-AppDetails Current Date'!E:E,--F95,
'YearB-AppDetails Current Date'!Y:Y,"ENRO",
'YearB-AppDetails Current Date'!I:I,"WINTER")),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HC'!D:T,14,FALSE)),
N(VLOOKUP(D96&amp;F96,'Budgeted Projections Dom HC'!D:T,15,FALSE))
)
),"")</f>
        <v/>
      </c>
      <c r="I96" s="73" t="str">
        <f>IFERROR(1/(1/COUNTIFS(
'YearB-AppDetails Current Date'!A:A,D96,
'YearB-AppDetails Current Date'!F:F,E96,
'YearB-AppDetails Current Date'!E:E,--F96,
'YearB-AppDetails Current Date'!I:I,"WINTER")), "")</f>
        <v/>
      </c>
      <c r="J96" s="74" t="str" cm="1">
        <f t="array" ref="J96">IFERROR(1/(1/SUM(COUNTIFS(
'YearB-AppDetails Current Date'!A:A,D96,
'YearB-AppDetails Current Date'!F:F,E96,
'YearB-AppDetails Current Date'!E:E,--F96,
'YearB-AppDetails Current Date'!O:O,{"ACLN","ACPT","COND"},
'YearB-AppDetails Current Date'!S:S,"&lt;&gt;ACLN",
'YearB-AppDetails Current Date'!S:S,"&lt;&gt;ACPT",
'YearB-AppDetails Current Date'!S:S,"&lt;&gt;COND",
'YearB-AppDetails Current Date'!I:I,"WINTER"))), "")</f>
        <v/>
      </c>
      <c r="K96" s="73" t="str">
        <f>IFERROR(1/(1/SUM(COUNTIFS(
'YearB-AppDetails Current Date'!A:A,D96,
'YearB-AppDetails Current Date'!F:F,E96,
'YearB-AppDetails Current Date'!E:E,--F96,
'YearB-AppDetails Current Date'!R:R,"&lt;&gt;"&amp;"",
'YearB-AppDetails Current Date'!I:I,"WINTER"))), "")</f>
        <v/>
      </c>
      <c r="L96" s="74" t="str" cm="1">
        <f t="array" ref="L96">IFERROR(1/(1/SUM(COUNTIFS(
'YearB-AppDetails Current Date'!A:A,D96,
'YearB-AppDetails Current Date'!F:F,E96,
'YearB-AppDetails Current Date'!E:E,--F96,
'YearB-AppDetails Current Date'!T:T,{"APEX","DENY","NTSL"},
'YearB-AppDetails Current Date'!I:I,"WINTER"))), "")</f>
        <v/>
      </c>
      <c r="M96" s="74" t="str" cm="1">
        <f t="array" ref="M96">IFERROR(1/(1/SUM(COUNTIFS(
'YearB-AppDetails Current Date'!A:A,D96,
'YearB-AppDetails Current Date'!F:F,E96,
'YearB-AppDetails Current Date'!E:E,--F96,
'YearB-AppDetails Current Date'!U:U,{"CCAN","DECL"},
'YearB-AppDetails Current Date'!I:I,"WINTER"))), "")</f>
        <v/>
      </c>
      <c r="N96" s="74" t="str" cm="1">
        <f t="array" ref="N96">IFERROR(1/(1/SUM(COUNTIFS(
'YearB-AppDetails Current Date'!A:A,D96,
'YearB-AppDetails Current Date'!F:F,E96,
'YearB-AppDetails Current Date'!E:E,--F96,
'YearB-AppDetails Current Date'!V:V,{"APRO","NODE"},
'YearB-AppDetails Current Date'!I:I,"WINTER"))), "")</f>
        <v/>
      </c>
      <c r="O96" s="74" t="str" cm="1">
        <f t="array" ref="O96">IFERROR(1/(1/SUM(COUNTIFS(
'YearB-AppDetails Current Date'!A:A,D96,
'YearB-AppDetails Current Date'!F:F,E96,
'YearB-AppDetails Current Date'!E:E,--F96,
'YearB-AppDetails Current Date'!T:T,{"CDMT","RQMT","WAIT"},
'YearB-AppDetails Current Date'!I:I,"WINTER"))), "")</f>
        <v/>
      </c>
      <c r="P96" s="74" t="str">
        <f>IFERROR(1/(1/COUNTIFS(
'YearB-AppDetails Current Date'!A:A,D96,
'YearB-AppDetails Current Date'!F:F,E96,
'YearB-AppDetails Current Date'!E:E,--F96,
'YearB-AppDetails Current Date'!Y:Y,"ENRO",
'YearB-AppDetails Current Date'!I:I,"WINTER")),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HC'!D:T,14,FALSE)),
N(VLOOKUP(D97&amp;F97,'Budgeted Projections Intl HC'!D:T,15,FALSE))
)
),"")</f>
        <v/>
      </c>
      <c r="I97" s="73" t="str">
        <f>IFERROR(1/(1/COUNTIFS(
'YearB-AppDetails Current Date'!A:A,D97,
'YearB-AppDetails Current Date'!F:F,E97,
'YearB-AppDetails Current Date'!E:E,--F97,
'YearB-AppDetails Current Date'!I:I,"WINTER")), "")</f>
        <v/>
      </c>
      <c r="J97" s="74" t="str" cm="1">
        <f t="array" ref="J97">IFERROR(1/(1/SUM(COUNTIFS(
'YearB-AppDetails Current Date'!A:A,D97,
'YearB-AppDetails Current Date'!F:F,E97,
'YearB-AppDetails Current Date'!E:E,--F97,
'YearB-AppDetails Current Date'!O:O,{"ACLN","ACPT","COND"},
'YearB-AppDetails Current Date'!S:S,"&lt;&gt;ACLN",
'YearB-AppDetails Current Date'!S:S,"&lt;&gt;ACPT",
'YearB-AppDetails Current Date'!S:S,"&lt;&gt;COND",
'YearB-AppDetails Current Date'!I:I,"WINTER"))), "")</f>
        <v/>
      </c>
      <c r="K97" s="73" t="str">
        <f>IFERROR(1/(1/SUM(COUNTIFS(
'YearB-AppDetails Current Date'!A:A,D97,
'YearB-AppDetails Current Date'!F:F,E97,
'YearB-AppDetails Current Date'!E:E,--F97,
'YearB-AppDetails Current Date'!R:R,"&lt;&gt;"&amp;"",
'YearB-AppDetails Current Date'!I:I,"WINTER"))), "")</f>
        <v/>
      </c>
      <c r="L97" s="74" t="str" cm="1">
        <f t="array" ref="L97">IFERROR(1/(1/SUM(COUNTIFS(
'YearB-AppDetails Current Date'!A:A,D97,
'YearB-AppDetails Current Date'!F:F,E97,
'YearB-AppDetails Current Date'!E:E,--F97,
'YearB-AppDetails Current Date'!T:T,{"APEX","DENY","NTSL"},
'YearB-AppDetails Current Date'!I:I,"WINTER"))), "")</f>
        <v/>
      </c>
      <c r="M97" s="74" t="str" cm="1">
        <f t="array" ref="M97">IFERROR(1/(1/SUM(COUNTIFS(
'YearB-AppDetails Current Date'!A:A,D97,
'YearB-AppDetails Current Date'!F:F,E97,
'YearB-AppDetails Current Date'!E:E,--F97,
'YearB-AppDetails Current Date'!U:U,{"CCAN","DECL"},
'YearB-AppDetails Current Date'!I:I,"WINTER"))), "")</f>
        <v/>
      </c>
      <c r="N97" s="74" t="str" cm="1">
        <f t="array" ref="N97">IFERROR(1/(1/SUM(COUNTIFS(
'YearB-AppDetails Current Date'!A:A,D97,
'YearB-AppDetails Current Date'!F:F,E97,
'YearB-AppDetails Current Date'!E:E,--F97,
'YearB-AppDetails Current Date'!V:V,{"APRO","NODE"},
'YearB-AppDetails Current Date'!I:I,"WINTER"))), "")</f>
        <v/>
      </c>
      <c r="O97" s="74" t="str" cm="1">
        <f t="array" ref="O97">IFERROR(1/(1/SUM(COUNTIFS(
'YearB-AppDetails Current Date'!A:A,D97,
'YearB-AppDetails Current Date'!F:F,E97,
'YearB-AppDetails Current Date'!E:E,--F97,
'YearB-AppDetails Current Date'!T:T,{"CDMT","RQMT","WAIT"},
'YearB-AppDetails Current Date'!I:I,"WINTER"))), "")</f>
        <v/>
      </c>
      <c r="P97" s="74" t="str">
        <f>IFERROR(1/(1/COUNTIFS(
'YearB-AppDetails Current Date'!A:A,D97,
'YearB-AppDetails Current Date'!F:F,E97,
'YearB-AppDetails Current Date'!E:E,--F97,
'YearB-AppDetails Current Date'!Y:Y,"ENRO",
'YearB-AppDetails Current Date'!I:I,"WINTER")),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HC'!D:T,14,FALSE)),
N(VLOOKUP(D98&amp;F98,'Budgeted Projections Dom HC'!D:T,15,FALSE))
)
),"")</f>
        <v/>
      </c>
      <c r="I98" s="73" t="str">
        <f>IFERROR(1/(1/COUNTIFS(
'YearB-AppDetails Current Date'!A:A,D98,
'YearB-AppDetails Current Date'!F:F,E98,
'YearB-AppDetails Current Date'!E:E,--F98,
'YearB-AppDetails Current Date'!I:I,"WINTER")), "")</f>
        <v/>
      </c>
      <c r="J98" s="74" t="str" cm="1">
        <f t="array" ref="J98">IFERROR(1/(1/SUM(COUNTIFS(
'YearB-AppDetails Current Date'!A:A,D98,
'YearB-AppDetails Current Date'!F:F,E98,
'YearB-AppDetails Current Date'!E:E,--F98,
'YearB-AppDetails Current Date'!O:O,{"ACLN","ACPT","COND"},
'YearB-AppDetails Current Date'!S:S,"&lt;&gt;ACLN",
'YearB-AppDetails Current Date'!S:S,"&lt;&gt;ACPT",
'YearB-AppDetails Current Date'!S:S,"&lt;&gt;COND",
'YearB-AppDetails Current Date'!I:I,"WINTER"))), "")</f>
        <v/>
      </c>
      <c r="K98" s="73" t="str">
        <f>IFERROR(1/(1/SUM(COUNTIFS(
'YearB-AppDetails Current Date'!A:A,D98,
'YearB-AppDetails Current Date'!F:F,E98,
'YearB-AppDetails Current Date'!E:E,--F98,
'YearB-AppDetails Current Date'!R:R,"&lt;&gt;"&amp;"",
'YearB-AppDetails Current Date'!I:I,"WINTER"))), "")</f>
        <v/>
      </c>
      <c r="L98" s="74" t="str" cm="1">
        <f t="array" ref="L98">IFERROR(1/(1/SUM(COUNTIFS(
'YearB-AppDetails Current Date'!A:A,D98,
'YearB-AppDetails Current Date'!F:F,E98,
'YearB-AppDetails Current Date'!E:E,--F98,
'YearB-AppDetails Current Date'!T:T,{"APEX","DENY","NTSL"},
'YearB-AppDetails Current Date'!I:I,"WINTER"))), "")</f>
        <v/>
      </c>
      <c r="M98" s="74" t="str" cm="1">
        <f t="array" ref="M98">IFERROR(1/(1/SUM(COUNTIFS(
'YearB-AppDetails Current Date'!A:A,D98,
'YearB-AppDetails Current Date'!F:F,E98,
'YearB-AppDetails Current Date'!E:E,--F98,
'YearB-AppDetails Current Date'!U:U,{"CCAN","DECL"},
'YearB-AppDetails Current Date'!I:I,"WINTER"))), "")</f>
        <v/>
      </c>
      <c r="N98" s="74" t="str" cm="1">
        <f t="array" ref="N98">IFERROR(1/(1/SUM(COUNTIFS(
'YearB-AppDetails Current Date'!A:A,D98,
'YearB-AppDetails Current Date'!F:F,E98,
'YearB-AppDetails Current Date'!E:E,--F98,
'YearB-AppDetails Current Date'!V:V,{"APRO","NODE"},
'YearB-AppDetails Current Date'!I:I,"WINTER"))), "")</f>
        <v/>
      </c>
      <c r="O98" s="74" t="str" cm="1">
        <f t="array" ref="O98">IFERROR(1/(1/SUM(COUNTIFS(
'YearB-AppDetails Current Date'!A:A,D98,
'YearB-AppDetails Current Date'!F:F,E98,
'YearB-AppDetails Current Date'!E:E,--F98,
'YearB-AppDetails Current Date'!T:T,{"CDMT","RQMT","WAIT"},
'YearB-AppDetails Current Date'!I:I,"WINTER"))), "")</f>
        <v/>
      </c>
      <c r="P98" s="74" t="str">
        <f>IFERROR(1/(1/COUNTIFS(
'YearB-AppDetails Current Date'!A:A,D98,
'YearB-AppDetails Current Date'!F:F,E98,
'YearB-AppDetails Current Date'!E:E,--F98,
'YearB-AppDetails Current Date'!Y:Y,"ENRO",
'YearB-AppDetails Current Date'!I:I,"WINTER")),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HC'!D:T,14,FALSE)),
N(VLOOKUP(D99&amp;F99,'Budgeted Projections Intl HC'!D:T,15,FALSE))
)
),"")</f>
        <v/>
      </c>
      <c r="I99" s="73" t="str">
        <f>IFERROR(1/(1/COUNTIFS(
'YearB-AppDetails Current Date'!A:A,D99,
'YearB-AppDetails Current Date'!F:F,E99,
'YearB-AppDetails Current Date'!E:E,--F99,
'YearB-AppDetails Current Date'!I:I,"WINTER")), "")</f>
        <v/>
      </c>
      <c r="J99" s="74" t="str" cm="1">
        <f t="array" ref="J99">IFERROR(1/(1/SUM(COUNTIFS(
'YearB-AppDetails Current Date'!A:A,D99,
'YearB-AppDetails Current Date'!F:F,E99,
'YearB-AppDetails Current Date'!E:E,--F99,
'YearB-AppDetails Current Date'!O:O,{"ACLN","ACPT","COND"},
'YearB-AppDetails Current Date'!S:S,"&lt;&gt;ACLN",
'YearB-AppDetails Current Date'!S:S,"&lt;&gt;ACPT",
'YearB-AppDetails Current Date'!S:S,"&lt;&gt;COND",
'YearB-AppDetails Current Date'!I:I,"WINTER"))), "")</f>
        <v/>
      </c>
      <c r="K99" s="73" t="str">
        <f>IFERROR(1/(1/SUM(COUNTIFS(
'YearB-AppDetails Current Date'!A:A,D99,
'YearB-AppDetails Current Date'!F:F,E99,
'YearB-AppDetails Current Date'!E:E,--F99,
'YearB-AppDetails Current Date'!R:R,"&lt;&gt;"&amp;"",
'YearB-AppDetails Current Date'!I:I,"WINTER"))), "")</f>
        <v/>
      </c>
      <c r="L99" s="74" t="str" cm="1">
        <f t="array" ref="L99">IFERROR(1/(1/SUM(COUNTIFS(
'YearB-AppDetails Current Date'!A:A,D99,
'YearB-AppDetails Current Date'!F:F,E99,
'YearB-AppDetails Current Date'!E:E,--F99,
'YearB-AppDetails Current Date'!T:T,{"APEX","DENY","NTSL"},
'YearB-AppDetails Current Date'!I:I,"WINTER"))), "")</f>
        <v/>
      </c>
      <c r="M99" s="74" t="str" cm="1">
        <f t="array" ref="M99">IFERROR(1/(1/SUM(COUNTIFS(
'YearB-AppDetails Current Date'!A:A,D99,
'YearB-AppDetails Current Date'!F:F,E99,
'YearB-AppDetails Current Date'!E:E,--F99,
'YearB-AppDetails Current Date'!U:U,{"CCAN","DECL"},
'YearB-AppDetails Current Date'!I:I,"WINTER"))), "")</f>
        <v/>
      </c>
      <c r="N99" s="74" t="str" cm="1">
        <f t="array" ref="N99">IFERROR(1/(1/SUM(COUNTIFS(
'YearB-AppDetails Current Date'!A:A,D99,
'YearB-AppDetails Current Date'!F:F,E99,
'YearB-AppDetails Current Date'!E:E,--F99,
'YearB-AppDetails Current Date'!V:V,{"APRO","NODE"},
'YearB-AppDetails Current Date'!I:I,"WINTER"))), "")</f>
        <v/>
      </c>
      <c r="O99" s="74" t="str" cm="1">
        <f t="array" ref="O99">IFERROR(1/(1/SUM(COUNTIFS(
'YearB-AppDetails Current Date'!A:A,D99,
'YearB-AppDetails Current Date'!F:F,E99,
'YearB-AppDetails Current Date'!E:E,--F99,
'YearB-AppDetails Current Date'!T:T,{"CDMT","RQMT","WAIT"},
'YearB-AppDetails Current Date'!I:I,"WINTER"))), "")</f>
        <v/>
      </c>
      <c r="P99" s="74" t="str">
        <f>IFERROR(1/(1/COUNTIFS(
'YearB-AppDetails Current Date'!A:A,D99,
'YearB-AppDetails Current Date'!F:F,E99,
'YearB-AppDetails Current Date'!E:E,--F99,
'YearB-AppDetails Current Date'!Y:Y,"ENRO",
'YearB-AppDetails Current Date'!I:I,"WINTER")),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HC'!D:T,14,FALSE)),
N(VLOOKUP(D100&amp;F100,'Budgeted Projections Dom HC'!D:T,15,FALSE))
)
),"")</f>
        <v/>
      </c>
      <c r="I100" s="73" t="str">
        <f>IFERROR(1/(1/COUNTIFS(
'YearB-AppDetails Current Date'!A:A,D100,
'YearB-AppDetails Current Date'!F:F,E100,
'YearB-AppDetails Current Date'!E:E,--F100,
'YearB-AppDetails Current Date'!I:I,"WINTER")), "")</f>
        <v/>
      </c>
      <c r="J100" s="74" t="str" cm="1">
        <f t="array" ref="J100">IFERROR(1/(1/SUM(COUNTIFS(
'YearB-AppDetails Current Date'!A:A,D100,
'YearB-AppDetails Current Date'!F:F,E100,
'YearB-AppDetails Current Date'!E:E,--F100,
'YearB-AppDetails Current Date'!O:O,{"ACLN","ACPT","COND"},
'YearB-AppDetails Current Date'!S:S,"&lt;&gt;ACLN",
'YearB-AppDetails Current Date'!S:S,"&lt;&gt;ACPT",
'YearB-AppDetails Current Date'!S:S,"&lt;&gt;COND",
'YearB-AppDetails Current Date'!I:I,"WINTER"))), "")</f>
        <v/>
      </c>
      <c r="K100" s="73" t="str">
        <f>IFERROR(1/(1/SUM(COUNTIFS(
'YearB-AppDetails Current Date'!A:A,D100,
'YearB-AppDetails Current Date'!F:F,E100,
'YearB-AppDetails Current Date'!E:E,--F100,
'YearB-AppDetails Current Date'!R:R,"&lt;&gt;"&amp;"",
'YearB-AppDetails Current Date'!I:I,"WINTER"))), "")</f>
        <v/>
      </c>
      <c r="L100" s="74" t="str" cm="1">
        <f t="array" ref="L100">IFERROR(1/(1/SUM(COUNTIFS(
'YearB-AppDetails Current Date'!A:A,D100,
'YearB-AppDetails Current Date'!F:F,E100,
'YearB-AppDetails Current Date'!E:E,--F100,
'YearB-AppDetails Current Date'!T:T,{"APEX","DENY","NTSL"},
'YearB-AppDetails Current Date'!I:I,"WINTER"))), "")</f>
        <v/>
      </c>
      <c r="M100" s="74" t="str" cm="1">
        <f t="array" ref="M100">IFERROR(1/(1/SUM(COUNTIFS(
'YearB-AppDetails Current Date'!A:A,D100,
'YearB-AppDetails Current Date'!F:F,E100,
'YearB-AppDetails Current Date'!E:E,--F100,
'YearB-AppDetails Current Date'!U:U,{"CCAN","DECL"},
'YearB-AppDetails Current Date'!I:I,"WINTER"))), "")</f>
        <v/>
      </c>
      <c r="N100" s="74" t="str" cm="1">
        <f t="array" ref="N100">IFERROR(1/(1/SUM(COUNTIFS(
'YearB-AppDetails Current Date'!A:A,D100,
'YearB-AppDetails Current Date'!F:F,E100,
'YearB-AppDetails Current Date'!E:E,--F100,
'YearB-AppDetails Current Date'!V:V,{"APRO","NODE"},
'YearB-AppDetails Current Date'!I:I,"WINTER"))), "")</f>
        <v/>
      </c>
      <c r="O100" s="74" t="str" cm="1">
        <f t="array" ref="O100">IFERROR(1/(1/SUM(COUNTIFS(
'YearB-AppDetails Current Date'!A:A,D100,
'YearB-AppDetails Current Date'!F:F,E100,
'YearB-AppDetails Current Date'!E:E,--F100,
'YearB-AppDetails Current Date'!T:T,{"CDMT","RQMT","WAIT"},
'YearB-AppDetails Current Date'!I:I,"WINTER"))), "")</f>
        <v/>
      </c>
      <c r="P100" s="74" t="str">
        <f>IFERROR(1/(1/COUNTIFS(
'YearB-AppDetails Current Date'!A:A,D100,
'YearB-AppDetails Current Date'!F:F,E100,
'YearB-AppDetails Current Date'!E:E,--F100,
'YearB-AppDetails Current Date'!Y:Y,"ENRO",
'YearB-AppDetails Current Date'!I:I,"WINTER")),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HC'!D:T,14,FALSE)),
N(VLOOKUP(D101&amp;F101,'Budgeted Projections Intl HC'!D:T,15,FALSE))
)
),"")</f>
        <v/>
      </c>
      <c r="I101" s="73" t="str">
        <f>IFERROR(1/(1/COUNTIFS(
'YearB-AppDetails Current Date'!A:A,D101,
'YearB-AppDetails Current Date'!F:F,E101,
'YearB-AppDetails Current Date'!E:E,--F101,
'YearB-AppDetails Current Date'!I:I,"WINTER")), "")</f>
        <v/>
      </c>
      <c r="J101" s="74" t="str" cm="1">
        <f t="array" ref="J101">IFERROR(1/(1/SUM(COUNTIFS(
'YearB-AppDetails Current Date'!A:A,D101,
'YearB-AppDetails Current Date'!F:F,E101,
'YearB-AppDetails Current Date'!E:E,--F101,
'YearB-AppDetails Current Date'!O:O,{"ACLN","ACPT","COND"},
'YearB-AppDetails Current Date'!S:S,"&lt;&gt;ACLN",
'YearB-AppDetails Current Date'!S:S,"&lt;&gt;ACPT",
'YearB-AppDetails Current Date'!S:S,"&lt;&gt;COND",
'YearB-AppDetails Current Date'!I:I,"WINTER"))), "")</f>
        <v/>
      </c>
      <c r="K101" s="73" t="str">
        <f>IFERROR(1/(1/SUM(COUNTIFS(
'YearB-AppDetails Current Date'!A:A,D101,
'YearB-AppDetails Current Date'!F:F,E101,
'YearB-AppDetails Current Date'!E:E,--F101,
'YearB-AppDetails Current Date'!R:R,"&lt;&gt;"&amp;"",
'YearB-AppDetails Current Date'!I:I,"WINTER"))), "")</f>
        <v/>
      </c>
      <c r="L101" s="74" t="str" cm="1">
        <f t="array" ref="L101">IFERROR(1/(1/SUM(COUNTIFS(
'YearB-AppDetails Current Date'!A:A,D101,
'YearB-AppDetails Current Date'!F:F,E101,
'YearB-AppDetails Current Date'!E:E,--F101,
'YearB-AppDetails Current Date'!T:T,{"APEX","DENY","NTSL"},
'YearB-AppDetails Current Date'!I:I,"WINTER"))), "")</f>
        <v/>
      </c>
      <c r="M101" s="74" t="str" cm="1">
        <f t="array" ref="M101">IFERROR(1/(1/SUM(COUNTIFS(
'YearB-AppDetails Current Date'!A:A,D101,
'YearB-AppDetails Current Date'!F:F,E101,
'YearB-AppDetails Current Date'!E:E,--F101,
'YearB-AppDetails Current Date'!U:U,{"CCAN","DECL"},
'YearB-AppDetails Current Date'!I:I,"WINTER"))), "")</f>
        <v/>
      </c>
      <c r="N101" s="74" t="str" cm="1">
        <f t="array" ref="N101">IFERROR(1/(1/SUM(COUNTIFS(
'YearB-AppDetails Current Date'!A:A,D101,
'YearB-AppDetails Current Date'!F:F,E101,
'YearB-AppDetails Current Date'!E:E,--F101,
'YearB-AppDetails Current Date'!V:V,{"APRO","NODE"},
'YearB-AppDetails Current Date'!I:I,"WINTER"))), "")</f>
        <v/>
      </c>
      <c r="O101" s="74" t="str" cm="1">
        <f t="array" ref="O101">IFERROR(1/(1/SUM(COUNTIFS(
'YearB-AppDetails Current Date'!A:A,D101,
'YearB-AppDetails Current Date'!F:F,E101,
'YearB-AppDetails Current Date'!E:E,--F101,
'YearB-AppDetails Current Date'!T:T,{"CDMT","RQMT","WAIT"},
'YearB-AppDetails Current Date'!I:I,"WINTER"))), "")</f>
        <v/>
      </c>
      <c r="P101" s="74" t="str">
        <f>IFERROR(1/(1/COUNTIFS(
'YearB-AppDetails Current Date'!A:A,D101,
'YearB-AppDetails Current Date'!F:F,E101,
'YearB-AppDetails Current Date'!E:E,--F101,
'YearB-AppDetails Current Date'!Y:Y,"ENRO",
'YearB-AppDetails Current Date'!I:I,"WINTER")),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HC'!D:T,14,FALSE)),
N(VLOOKUP(D102&amp;F102,'Budgeted Projections Dom HC'!D:T,15,FALSE))
)
),"")</f>
        <v/>
      </c>
      <c r="I102" s="73" t="str">
        <f>IFERROR(1/(1/COUNTIFS(
'YearB-AppDetails Current Date'!A:A,D102,
'YearB-AppDetails Current Date'!F:F,E102,
'YearB-AppDetails Current Date'!E:E,--F102,
'YearB-AppDetails Current Date'!I:I,"WINTER")), "")</f>
        <v/>
      </c>
      <c r="J102" s="74" t="str" cm="1">
        <f t="array" ref="J102">IFERROR(1/(1/SUM(COUNTIFS(
'YearB-AppDetails Current Date'!A:A,D102,
'YearB-AppDetails Current Date'!F:F,E102,
'YearB-AppDetails Current Date'!E:E,--F102,
'YearB-AppDetails Current Date'!O:O,{"ACLN","ACPT","COND"},
'YearB-AppDetails Current Date'!S:S,"&lt;&gt;ACLN",
'YearB-AppDetails Current Date'!S:S,"&lt;&gt;ACPT",
'YearB-AppDetails Current Date'!S:S,"&lt;&gt;COND",
'YearB-AppDetails Current Date'!I:I,"WINTER"))), "")</f>
        <v/>
      </c>
      <c r="K102" s="73" t="str">
        <f>IFERROR(1/(1/SUM(COUNTIFS(
'YearB-AppDetails Current Date'!A:A,D102,
'YearB-AppDetails Current Date'!F:F,E102,
'YearB-AppDetails Current Date'!E:E,--F102,
'YearB-AppDetails Current Date'!R:R,"&lt;&gt;"&amp;"",
'YearB-AppDetails Current Date'!I:I,"WINTER"))), "")</f>
        <v/>
      </c>
      <c r="L102" s="74" t="str" cm="1">
        <f t="array" ref="L102">IFERROR(1/(1/SUM(COUNTIFS(
'YearB-AppDetails Current Date'!A:A,D102,
'YearB-AppDetails Current Date'!F:F,E102,
'YearB-AppDetails Current Date'!E:E,--F102,
'YearB-AppDetails Current Date'!T:T,{"APEX","DENY","NTSL"},
'YearB-AppDetails Current Date'!I:I,"WINTER"))), "")</f>
        <v/>
      </c>
      <c r="M102" s="74" t="str" cm="1">
        <f t="array" ref="M102">IFERROR(1/(1/SUM(COUNTIFS(
'YearB-AppDetails Current Date'!A:A,D102,
'YearB-AppDetails Current Date'!F:F,E102,
'YearB-AppDetails Current Date'!E:E,--F102,
'YearB-AppDetails Current Date'!U:U,{"CCAN","DECL"},
'YearB-AppDetails Current Date'!I:I,"WINTER"))), "")</f>
        <v/>
      </c>
      <c r="N102" s="74" t="str" cm="1">
        <f t="array" ref="N102">IFERROR(1/(1/SUM(COUNTIFS(
'YearB-AppDetails Current Date'!A:A,D102,
'YearB-AppDetails Current Date'!F:F,E102,
'YearB-AppDetails Current Date'!E:E,--F102,
'YearB-AppDetails Current Date'!V:V,{"APRO","NODE"},
'YearB-AppDetails Current Date'!I:I,"WINTER"))), "")</f>
        <v/>
      </c>
      <c r="O102" s="74" t="str" cm="1">
        <f t="array" ref="O102">IFERROR(1/(1/SUM(COUNTIFS(
'YearB-AppDetails Current Date'!A:A,D102,
'YearB-AppDetails Current Date'!F:F,E102,
'YearB-AppDetails Current Date'!E:E,--F102,
'YearB-AppDetails Current Date'!T:T,{"CDMT","RQMT","WAIT"},
'YearB-AppDetails Current Date'!I:I,"WINTER"))), "")</f>
        <v/>
      </c>
      <c r="P102" s="74" t="str">
        <f>IFERROR(1/(1/COUNTIFS(
'YearB-AppDetails Current Date'!A:A,D102,
'YearB-AppDetails Current Date'!F:F,E102,
'YearB-AppDetails Current Date'!E:E,--F102,
'YearB-AppDetails Current Date'!Y:Y,"ENRO",
'YearB-AppDetails Current Date'!I:I,"WINTER")),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HC'!D:T,14,FALSE)),
N(VLOOKUP(D103&amp;F103,'Budgeted Projections Intl HC'!D:T,15,FALSE))
)
),"")</f>
        <v/>
      </c>
      <c r="I103" s="73" t="str">
        <f>IFERROR(1/(1/COUNTIFS(
'YearB-AppDetails Current Date'!A:A,D103,
'YearB-AppDetails Current Date'!F:F,E103,
'YearB-AppDetails Current Date'!E:E,--F103,
'YearB-AppDetails Current Date'!I:I,"WINTER")), "")</f>
        <v/>
      </c>
      <c r="J103" s="74" t="str" cm="1">
        <f t="array" ref="J103">IFERROR(1/(1/SUM(COUNTIFS(
'YearB-AppDetails Current Date'!A:A,D103,
'YearB-AppDetails Current Date'!F:F,E103,
'YearB-AppDetails Current Date'!E:E,--F103,
'YearB-AppDetails Current Date'!O:O,{"ACLN","ACPT","COND"},
'YearB-AppDetails Current Date'!S:S,"&lt;&gt;ACLN",
'YearB-AppDetails Current Date'!S:S,"&lt;&gt;ACPT",
'YearB-AppDetails Current Date'!S:S,"&lt;&gt;COND",
'YearB-AppDetails Current Date'!I:I,"WINTER"))), "")</f>
        <v/>
      </c>
      <c r="K103" s="73" t="str">
        <f>IFERROR(1/(1/SUM(COUNTIFS(
'YearB-AppDetails Current Date'!A:A,D103,
'YearB-AppDetails Current Date'!F:F,E103,
'YearB-AppDetails Current Date'!E:E,--F103,
'YearB-AppDetails Current Date'!R:R,"&lt;&gt;"&amp;"",
'YearB-AppDetails Current Date'!I:I,"WINTER"))), "")</f>
        <v/>
      </c>
      <c r="L103" s="74" t="str" cm="1">
        <f t="array" ref="L103">IFERROR(1/(1/SUM(COUNTIFS(
'YearB-AppDetails Current Date'!A:A,D103,
'YearB-AppDetails Current Date'!F:F,E103,
'YearB-AppDetails Current Date'!E:E,--F103,
'YearB-AppDetails Current Date'!T:T,{"APEX","DENY","NTSL"},
'YearB-AppDetails Current Date'!I:I,"WINTER"))), "")</f>
        <v/>
      </c>
      <c r="M103" s="74" t="str" cm="1">
        <f t="array" ref="M103">IFERROR(1/(1/SUM(COUNTIFS(
'YearB-AppDetails Current Date'!A:A,D103,
'YearB-AppDetails Current Date'!F:F,E103,
'YearB-AppDetails Current Date'!E:E,--F103,
'YearB-AppDetails Current Date'!U:U,{"CCAN","DECL"},
'YearB-AppDetails Current Date'!I:I,"WINTER"))), "")</f>
        <v/>
      </c>
      <c r="N103" s="74" t="str" cm="1">
        <f t="array" ref="N103">IFERROR(1/(1/SUM(COUNTIFS(
'YearB-AppDetails Current Date'!A:A,D103,
'YearB-AppDetails Current Date'!F:F,E103,
'YearB-AppDetails Current Date'!E:E,--F103,
'YearB-AppDetails Current Date'!V:V,{"APRO","NODE"},
'YearB-AppDetails Current Date'!I:I,"WINTER"))), "")</f>
        <v/>
      </c>
      <c r="O103" s="74" t="str" cm="1">
        <f t="array" ref="O103">IFERROR(1/(1/SUM(COUNTIFS(
'YearB-AppDetails Current Date'!A:A,D103,
'YearB-AppDetails Current Date'!F:F,E103,
'YearB-AppDetails Current Date'!E:E,--F103,
'YearB-AppDetails Current Date'!T:T,{"CDMT","RQMT","WAIT"},
'YearB-AppDetails Current Date'!I:I,"WINTER"))), "")</f>
        <v/>
      </c>
      <c r="P103" s="74" t="str">
        <f>IFERROR(1/(1/COUNTIFS(
'YearB-AppDetails Current Date'!A:A,D103,
'YearB-AppDetails Current Date'!F:F,E103,
'YearB-AppDetails Current Date'!E:E,--F103,
'YearB-AppDetails Current Date'!Y:Y,"ENRO",
'YearB-AppDetails Current Date'!I:I,"WINTER")),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HC'!D:T,14,FALSE)),
N(VLOOKUP(D104&amp;F104,'Budgeted Projections Dom HC'!D:T,15,FALSE))
)
),"")</f>
        <v/>
      </c>
      <c r="I104" s="73" t="str">
        <f>IFERROR(1/(1/COUNTIFS(
'YearB-AppDetails Current Date'!A:A,D104,
'YearB-AppDetails Current Date'!F:F,E104,
'YearB-AppDetails Current Date'!E:E,--F104,
'YearB-AppDetails Current Date'!I:I,"WINTER")), "")</f>
        <v/>
      </c>
      <c r="J104" s="74" t="str" cm="1">
        <f t="array" ref="J104">IFERROR(1/(1/SUM(COUNTIFS(
'YearB-AppDetails Current Date'!A:A,D104,
'YearB-AppDetails Current Date'!F:F,E104,
'YearB-AppDetails Current Date'!E:E,--F104,
'YearB-AppDetails Current Date'!O:O,{"ACLN","ACPT","COND"},
'YearB-AppDetails Current Date'!S:S,"&lt;&gt;ACLN",
'YearB-AppDetails Current Date'!S:S,"&lt;&gt;ACPT",
'YearB-AppDetails Current Date'!S:S,"&lt;&gt;COND",
'YearB-AppDetails Current Date'!I:I,"WINTER"))), "")</f>
        <v/>
      </c>
      <c r="K104" s="73" t="str">
        <f>IFERROR(1/(1/SUM(COUNTIFS(
'YearB-AppDetails Current Date'!A:A,D104,
'YearB-AppDetails Current Date'!F:F,E104,
'YearB-AppDetails Current Date'!E:E,--F104,
'YearB-AppDetails Current Date'!R:R,"&lt;&gt;"&amp;"",
'YearB-AppDetails Current Date'!I:I,"WINTER"))), "")</f>
        <v/>
      </c>
      <c r="L104" s="74" t="str" cm="1">
        <f t="array" ref="L104">IFERROR(1/(1/SUM(COUNTIFS(
'YearB-AppDetails Current Date'!A:A,D104,
'YearB-AppDetails Current Date'!F:F,E104,
'YearB-AppDetails Current Date'!E:E,--F104,
'YearB-AppDetails Current Date'!T:T,{"APEX","DENY","NTSL"},
'YearB-AppDetails Current Date'!I:I,"WINTER"))), "")</f>
        <v/>
      </c>
      <c r="M104" s="74" t="str" cm="1">
        <f t="array" ref="M104">IFERROR(1/(1/SUM(COUNTIFS(
'YearB-AppDetails Current Date'!A:A,D104,
'YearB-AppDetails Current Date'!F:F,E104,
'YearB-AppDetails Current Date'!E:E,--F104,
'YearB-AppDetails Current Date'!U:U,{"CCAN","DECL"},
'YearB-AppDetails Current Date'!I:I,"WINTER"))), "")</f>
        <v/>
      </c>
      <c r="N104" s="74" t="str" cm="1">
        <f t="array" ref="N104">IFERROR(1/(1/SUM(COUNTIFS(
'YearB-AppDetails Current Date'!A:A,D104,
'YearB-AppDetails Current Date'!F:F,E104,
'YearB-AppDetails Current Date'!E:E,--F104,
'YearB-AppDetails Current Date'!V:V,{"APRO","NODE"},
'YearB-AppDetails Current Date'!I:I,"WINTER"))), "")</f>
        <v/>
      </c>
      <c r="O104" s="74" t="str" cm="1">
        <f t="array" ref="O104">IFERROR(1/(1/SUM(COUNTIFS(
'YearB-AppDetails Current Date'!A:A,D104,
'YearB-AppDetails Current Date'!F:F,E104,
'YearB-AppDetails Current Date'!E:E,--F104,
'YearB-AppDetails Current Date'!T:T,{"CDMT","RQMT","WAIT"},
'YearB-AppDetails Current Date'!I:I,"WINTER"))), "")</f>
        <v/>
      </c>
      <c r="P104" s="74" t="str">
        <f>IFERROR(1/(1/COUNTIFS(
'YearB-AppDetails Current Date'!A:A,D104,
'YearB-AppDetails Current Date'!F:F,E104,
'YearB-AppDetails Current Date'!E:E,--F104,
'YearB-AppDetails Current Date'!Y:Y,"ENRO",
'YearB-AppDetails Current Date'!I:I,"WINTER")),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HC'!D:T,14,FALSE)),
N(VLOOKUP(D105&amp;F105,'Budgeted Projections Intl HC'!D:T,15,FALSE))
)
),"")</f>
        <v/>
      </c>
      <c r="I105" s="73" t="str">
        <f>IFERROR(1/(1/COUNTIFS(
'YearB-AppDetails Current Date'!A:A,D105,
'YearB-AppDetails Current Date'!F:F,E105,
'YearB-AppDetails Current Date'!E:E,--F105,
'YearB-AppDetails Current Date'!I:I,"WINTER")), "")</f>
        <v/>
      </c>
      <c r="J105" s="74" t="str" cm="1">
        <f t="array" ref="J105">IFERROR(1/(1/SUM(COUNTIFS(
'YearB-AppDetails Current Date'!A:A,D105,
'YearB-AppDetails Current Date'!F:F,E105,
'YearB-AppDetails Current Date'!E:E,--F105,
'YearB-AppDetails Current Date'!O:O,{"ACLN","ACPT","COND"},
'YearB-AppDetails Current Date'!S:S,"&lt;&gt;ACLN",
'YearB-AppDetails Current Date'!S:S,"&lt;&gt;ACPT",
'YearB-AppDetails Current Date'!S:S,"&lt;&gt;COND",
'YearB-AppDetails Current Date'!I:I,"WINTER"))), "")</f>
        <v/>
      </c>
      <c r="K105" s="73" t="str">
        <f>IFERROR(1/(1/SUM(COUNTIFS(
'YearB-AppDetails Current Date'!A:A,D105,
'YearB-AppDetails Current Date'!F:F,E105,
'YearB-AppDetails Current Date'!E:E,--F105,
'YearB-AppDetails Current Date'!R:R,"&lt;&gt;"&amp;"",
'YearB-AppDetails Current Date'!I:I,"WINTER"))), "")</f>
        <v/>
      </c>
      <c r="L105" s="74" t="str" cm="1">
        <f t="array" ref="L105">IFERROR(1/(1/SUM(COUNTIFS(
'YearB-AppDetails Current Date'!A:A,D105,
'YearB-AppDetails Current Date'!F:F,E105,
'YearB-AppDetails Current Date'!E:E,--F105,
'YearB-AppDetails Current Date'!T:T,{"APEX","DENY","NTSL"},
'YearB-AppDetails Current Date'!I:I,"WINTER"))), "")</f>
        <v/>
      </c>
      <c r="M105" s="74" t="str" cm="1">
        <f t="array" ref="M105">IFERROR(1/(1/SUM(COUNTIFS(
'YearB-AppDetails Current Date'!A:A,D105,
'YearB-AppDetails Current Date'!F:F,E105,
'YearB-AppDetails Current Date'!E:E,--F105,
'YearB-AppDetails Current Date'!U:U,{"CCAN","DECL"},
'YearB-AppDetails Current Date'!I:I,"WINTER"))), "")</f>
        <v/>
      </c>
      <c r="N105" s="74" t="str" cm="1">
        <f t="array" ref="N105">IFERROR(1/(1/SUM(COUNTIFS(
'YearB-AppDetails Current Date'!A:A,D105,
'YearB-AppDetails Current Date'!F:F,E105,
'YearB-AppDetails Current Date'!E:E,--F105,
'YearB-AppDetails Current Date'!V:V,{"APRO","NODE"},
'YearB-AppDetails Current Date'!I:I,"WINTER"))), "")</f>
        <v/>
      </c>
      <c r="O105" s="74" t="str" cm="1">
        <f t="array" ref="O105">IFERROR(1/(1/SUM(COUNTIFS(
'YearB-AppDetails Current Date'!A:A,D105,
'YearB-AppDetails Current Date'!F:F,E105,
'YearB-AppDetails Current Date'!E:E,--F105,
'YearB-AppDetails Current Date'!T:T,{"CDMT","RQMT","WAIT"},
'YearB-AppDetails Current Date'!I:I,"WINTER"))), "")</f>
        <v/>
      </c>
      <c r="P105" s="74" t="str">
        <f>IFERROR(1/(1/COUNTIFS(
'YearB-AppDetails Current Date'!A:A,D105,
'YearB-AppDetails Current Date'!F:F,E105,
'YearB-AppDetails Current Date'!E:E,--F105,
'YearB-AppDetails Current Date'!Y:Y,"ENRO",
'YearB-AppDetails Current Date'!I:I,"WINTER")),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HC'!D:T,14,FALSE)),
N(VLOOKUP(D106&amp;F106,'Budgeted Projections Dom HC'!D:T,15,FALSE))
)
),"")</f>
        <v/>
      </c>
      <c r="I106" s="73" t="str">
        <f>IFERROR(1/(1/COUNTIFS(
'YearB-AppDetails Current Date'!A:A,D106,
'YearB-AppDetails Current Date'!F:F,E106,
'YearB-AppDetails Current Date'!E:E,--F106,
'YearB-AppDetails Current Date'!I:I,"WINTER")), "")</f>
        <v/>
      </c>
      <c r="J106" s="74" t="str" cm="1">
        <f t="array" ref="J106">IFERROR(1/(1/SUM(COUNTIFS(
'YearB-AppDetails Current Date'!A:A,D106,
'YearB-AppDetails Current Date'!F:F,E106,
'YearB-AppDetails Current Date'!E:E,--F106,
'YearB-AppDetails Current Date'!O:O,{"ACLN","ACPT","COND"},
'YearB-AppDetails Current Date'!S:S,"&lt;&gt;ACLN",
'YearB-AppDetails Current Date'!S:S,"&lt;&gt;ACPT",
'YearB-AppDetails Current Date'!S:S,"&lt;&gt;COND",
'YearB-AppDetails Current Date'!I:I,"WINTER"))), "")</f>
        <v/>
      </c>
      <c r="K106" s="73" t="str">
        <f>IFERROR(1/(1/SUM(COUNTIFS(
'YearB-AppDetails Current Date'!A:A,D106,
'YearB-AppDetails Current Date'!F:F,E106,
'YearB-AppDetails Current Date'!E:E,--F106,
'YearB-AppDetails Current Date'!R:R,"&lt;&gt;"&amp;"",
'YearB-AppDetails Current Date'!I:I,"WINTER"))), "")</f>
        <v/>
      </c>
      <c r="L106" s="74" t="str" cm="1">
        <f t="array" ref="L106">IFERROR(1/(1/SUM(COUNTIFS(
'YearB-AppDetails Current Date'!A:A,D106,
'YearB-AppDetails Current Date'!F:F,E106,
'YearB-AppDetails Current Date'!E:E,--F106,
'YearB-AppDetails Current Date'!T:T,{"APEX","DENY","NTSL"},
'YearB-AppDetails Current Date'!I:I,"WINTER"))), "")</f>
        <v/>
      </c>
      <c r="M106" s="74" t="str" cm="1">
        <f t="array" ref="M106">IFERROR(1/(1/SUM(COUNTIFS(
'YearB-AppDetails Current Date'!A:A,D106,
'YearB-AppDetails Current Date'!F:F,E106,
'YearB-AppDetails Current Date'!E:E,--F106,
'YearB-AppDetails Current Date'!U:U,{"CCAN","DECL"},
'YearB-AppDetails Current Date'!I:I,"WINTER"))), "")</f>
        <v/>
      </c>
      <c r="N106" s="74" t="str" cm="1">
        <f t="array" ref="N106">IFERROR(1/(1/SUM(COUNTIFS(
'YearB-AppDetails Current Date'!A:A,D106,
'YearB-AppDetails Current Date'!F:F,E106,
'YearB-AppDetails Current Date'!E:E,--F106,
'YearB-AppDetails Current Date'!V:V,{"APRO","NODE"},
'YearB-AppDetails Current Date'!I:I,"WINTER"))), "")</f>
        <v/>
      </c>
      <c r="O106" s="74" t="str" cm="1">
        <f t="array" ref="O106">IFERROR(1/(1/SUM(COUNTIFS(
'YearB-AppDetails Current Date'!A:A,D106,
'YearB-AppDetails Current Date'!F:F,E106,
'YearB-AppDetails Current Date'!E:E,--F106,
'YearB-AppDetails Current Date'!T:T,{"CDMT","RQMT","WAIT"},
'YearB-AppDetails Current Date'!I:I,"WINTER"))), "")</f>
        <v/>
      </c>
      <c r="P106" s="74" t="str">
        <f>IFERROR(1/(1/COUNTIFS(
'YearB-AppDetails Current Date'!A:A,D106,
'YearB-AppDetails Current Date'!F:F,E106,
'YearB-AppDetails Current Date'!E:E,--F106,
'YearB-AppDetails Current Date'!Y:Y,"ENRO",
'YearB-AppDetails Current Date'!I:I,"WINTER")),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HC'!D:T,14,FALSE)),
N(VLOOKUP(D107&amp;F107,'Budgeted Projections Intl HC'!D:T,15,FALSE))
)
),"")</f>
        <v/>
      </c>
      <c r="I107" s="73" t="str">
        <f>IFERROR(1/(1/COUNTIFS(
'YearB-AppDetails Current Date'!A:A,D107,
'YearB-AppDetails Current Date'!F:F,E107,
'YearB-AppDetails Current Date'!E:E,--F107,
'YearB-AppDetails Current Date'!I:I,"WINTER")), "")</f>
        <v/>
      </c>
      <c r="J107" s="74" t="str" cm="1">
        <f t="array" ref="J107">IFERROR(1/(1/SUM(COUNTIFS(
'YearB-AppDetails Current Date'!A:A,D107,
'YearB-AppDetails Current Date'!F:F,E107,
'YearB-AppDetails Current Date'!E:E,--F107,
'YearB-AppDetails Current Date'!O:O,{"ACLN","ACPT","COND"},
'YearB-AppDetails Current Date'!S:S,"&lt;&gt;ACLN",
'YearB-AppDetails Current Date'!S:S,"&lt;&gt;ACPT",
'YearB-AppDetails Current Date'!S:S,"&lt;&gt;COND",
'YearB-AppDetails Current Date'!I:I,"WINTER"))), "")</f>
        <v/>
      </c>
      <c r="K107" s="73" t="str">
        <f>IFERROR(1/(1/SUM(COUNTIFS(
'YearB-AppDetails Current Date'!A:A,D107,
'YearB-AppDetails Current Date'!F:F,E107,
'YearB-AppDetails Current Date'!E:E,--F107,
'YearB-AppDetails Current Date'!R:R,"&lt;&gt;"&amp;"",
'YearB-AppDetails Current Date'!I:I,"WINTER"))), "")</f>
        <v/>
      </c>
      <c r="L107" s="74" t="str" cm="1">
        <f t="array" ref="L107">IFERROR(1/(1/SUM(COUNTIFS(
'YearB-AppDetails Current Date'!A:A,D107,
'YearB-AppDetails Current Date'!F:F,E107,
'YearB-AppDetails Current Date'!E:E,--F107,
'YearB-AppDetails Current Date'!T:T,{"APEX","DENY","NTSL"},
'YearB-AppDetails Current Date'!I:I,"WINTER"))), "")</f>
        <v/>
      </c>
      <c r="M107" s="74" t="str" cm="1">
        <f t="array" ref="M107">IFERROR(1/(1/SUM(COUNTIFS(
'YearB-AppDetails Current Date'!A:A,D107,
'YearB-AppDetails Current Date'!F:F,E107,
'YearB-AppDetails Current Date'!E:E,--F107,
'YearB-AppDetails Current Date'!U:U,{"CCAN","DECL"},
'YearB-AppDetails Current Date'!I:I,"WINTER"))), "")</f>
        <v/>
      </c>
      <c r="N107" s="74" t="str" cm="1">
        <f t="array" ref="N107">IFERROR(1/(1/SUM(COUNTIFS(
'YearB-AppDetails Current Date'!A:A,D107,
'YearB-AppDetails Current Date'!F:F,E107,
'YearB-AppDetails Current Date'!E:E,--F107,
'YearB-AppDetails Current Date'!V:V,{"APRO","NODE"},
'YearB-AppDetails Current Date'!I:I,"WINTER"))), "")</f>
        <v/>
      </c>
      <c r="O107" s="74" t="str" cm="1">
        <f t="array" ref="O107">IFERROR(1/(1/SUM(COUNTIFS(
'YearB-AppDetails Current Date'!A:A,D107,
'YearB-AppDetails Current Date'!F:F,E107,
'YearB-AppDetails Current Date'!E:E,--F107,
'YearB-AppDetails Current Date'!T:T,{"CDMT","RQMT","WAIT"},
'YearB-AppDetails Current Date'!I:I,"WINTER"))), "")</f>
        <v/>
      </c>
      <c r="P107" s="74" t="str">
        <f>IFERROR(1/(1/COUNTIFS(
'YearB-AppDetails Current Date'!A:A,D107,
'YearB-AppDetails Current Date'!F:F,E107,
'YearB-AppDetails Current Date'!E:E,--F107,
'YearB-AppDetails Current Date'!Y:Y,"ENRO",
'YearB-AppDetails Current Date'!I:I,"WINTER")),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HC'!D:T,14,FALSE)),
N(VLOOKUP(D108&amp;F108,'Budgeted Projections Dom HC'!D:T,15,FALSE))
)
),"")</f>
        <v/>
      </c>
      <c r="I108" s="73" t="str">
        <f>IFERROR(1/(1/COUNTIFS(
'YearB-AppDetails Current Date'!A:A,D108,
'YearB-AppDetails Current Date'!F:F,E108,
'YearB-AppDetails Current Date'!E:E,--F108,
'YearB-AppDetails Current Date'!I:I,"WINTER")), "")</f>
        <v/>
      </c>
      <c r="J108" s="74" t="str" cm="1">
        <f t="array" ref="J108">IFERROR(1/(1/SUM(COUNTIFS(
'YearB-AppDetails Current Date'!A:A,D108,
'YearB-AppDetails Current Date'!F:F,E108,
'YearB-AppDetails Current Date'!E:E,--F108,
'YearB-AppDetails Current Date'!O:O,{"ACLN","ACPT","COND"},
'YearB-AppDetails Current Date'!S:S,"&lt;&gt;ACLN",
'YearB-AppDetails Current Date'!S:S,"&lt;&gt;ACPT",
'YearB-AppDetails Current Date'!S:S,"&lt;&gt;COND",
'YearB-AppDetails Current Date'!I:I,"WINTER"))), "")</f>
        <v/>
      </c>
      <c r="K108" s="73" t="str">
        <f>IFERROR(1/(1/SUM(COUNTIFS(
'YearB-AppDetails Current Date'!A:A,D108,
'YearB-AppDetails Current Date'!F:F,E108,
'YearB-AppDetails Current Date'!E:E,--F108,
'YearB-AppDetails Current Date'!R:R,"&lt;&gt;"&amp;"",
'YearB-AppDetails Current Date'!I:I,"WINTER"))), "")</f>
        <v/>
      </c>
      <c r="L108" s="74" t="str" cm="1">
        <f t="array" ref="L108">IFERROR(1/(1/SUM(COUNTIFS(
'YearB-AppDetails Current Date'!A:A,D108,
'YearB-AppDetails Current Date'!F:F,E108,
'YearB-AppDetails Current Date'!E:E,--F108,
'YearB-AppDetails Current Date'!T:T,{"APEX","DENY","NTSL"},
'YearB-AppDetails Current Date'!I:I,"WINTER"))), "")</f>
        <v/>
      </c>
      <c r="M108" s="74" t="str" cm="1">
        <f t="array" ref="M108">IFERROR(1/(1/SUM(COUNTIFS(
'YearB-AppDetails Current Date'!A:A,D108,
'YearB-AppDetails Current Date'!F:F,E108,
'YearB-AppDetails Current Date'!E:E,--F108,
'YearB-AppDetails Current Date'!U:U,{"CCAN","DECL"},
'YearB-AppDetails Current Date'!I:I,"WINTER"))), "")</f>
        <v/>
      </c>
      <c r="N108" s="74" t="str" cm="1">
        <f t="array" ref="N108">IFERROR(1/(1/SUM(COUNTIFS(
'YearB-AppDetails Current Date'!A:A,D108,
'YearB-AppDetails Current Date'!F:F,E108,
'YearB-AppDetails Current Date'!E:E,--F108,
'YearB-AppDetails Current Date'!V:V,{"APRO","NODE"},
'YearB-AppDetails Current Date'!I:I,"WINTER"))), "")</f>
        <v/>
      </c>
      <c r="O108" s="74" t="str" cm="1">
        <f t="array" ref="O108">IFERROR(1/(1/SUM(COUNTIFS(
'YearB-AppDetails Current Date'!A:A,D108,
'YearB-AppDetails Current Date'!F:F,E108,
'YearB-AppDetails Current Date'!E:E,--F108,
'YearB-AppDetails Current Date'!T:T,{"CDMT","RQMT","WAIT"},
'YearB-AppDetails Current Date'!I:I,"WINTER"))), "")</f>
        <v/>
      </c>
      <c r="P108" s="74" t="str">
        <f>IFERROR(1/(1/COUNTIFS(
'YearB-AppDetails Current Date'!A:A,D108,
'YearB-AppDetails Current Date'!F:F,E108,
'YearB-AppDetails Current Date'!E:E,--F108,
'YearB-AppDetails Current Date'!Y:Y,"ENRO",
'YearB-AppDetails Current Date'!I:I,"WINTER")),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HC'!D:T,14,FALSE)),
N(VLOOKUP(D109&amp;F109,'Budgeted Projections Intl HC'!D:T,15,FALSE))
)
),"")</f>
        <v/>
      </c>
      <c r="I109" s="73" t="str">
        <f>IFERROR(1/(1/COUNTIFS(
'YearB-AppDetails Current Date'!A:A,D109,
'YearB-AppDetails Current Date'!F:F,E109,
'YearB-AppDetails Current Date'!E:E,--F109,
'YearB-AppDetails Current Date'!I:I,"WINTER")), "")</f>
        <v/>
      </c>
      <c r="J109" s="74" t="str" cm="1">
        <f t="array" ref="J109">IFERROR(1/(1/SUM(COUNTIFS(
'YearB-AppDetails Current Date'!A:A,D109,
'YearB-AppDetails Current Date'!F:F,E109,
'YearB-AppDetails Current Date'!E:E,--F109,
'YearB-AppDetails Current Date'!O:O,{"ACLN","ACPT","COND"},
'YearB-AppDetails Current Date'!S:S,"&lt;&gt;ACLN",
'YearB-AppDetails Current Date'!S:S,"&lt;&gt;ACPT",
'YearB-AppDetails Current Date'!S:S,"&lt;&gt;COND",
'YearB-AppDetails Current Date'!I:I,"WINTER"))), "")</f>
        <v/>
      </c>
      <c r="K109" s="73" t="str">
        <f>IFERROR(1/(1/SUM(COUNTIFS(
'YearB-AppDetails Current Date'!A:A,D109,
'YearB-AppDetails Current Date'!F:F,E109,
'YearB-AppDetails Current Date'!E:E,--F109,
'YearB-AppDetails Current Date'!R:R,"&lt;&gt;"&amp;"",
'YearB-AppDetails Current Date'!I:I,"WINTER"))), "")</f>
        <v/>
      </c>
      <c r="L109" s="74" t="str" cm="1">
        <f t="array" ref="L109">IFERROR(1/(1/SUM(COUNTIFS(
'YearB-AppDetails Current Date'!A:A,D109,
'YearB-AppDetails Current Date'!F:F,E109,
'YearB-AppDetails Current Date'!E:E,--F109,
'YearB-AppDetails Current Date'!T:T,{"APEX","DENY","NTSL"},
'YearB-AppDetails Current Date'!I:I,"WINTER"))), "")</f>
        <v/>
      </c>
      <c r="M109" s="74" t="str" cm="1">
        <f t="array" ref="M109">IFERROR(1/(1/SUM(COUNTIFS(
'YearB-AppDetails Current Date'!A:A,D109,
'YearB-AppDetails Current Date'!F:F,E109,
'YearB-AppDetails Current Date'!E:E,--F109,
'YearB-AppDetails Current Date'!U:U,{"CCAN","DECL"},
'YearB-AppDetails Current Date'!I:I,"WINTER"))), "")</f>
        <v/>
      </c>
      <c r="N109" s="74" t="str" cm="1">
        <f t="array" ref="N109">IFERROR(1/(1/SUM(COUNTIFS(
'YearB-AppDetails Current Date'!A:A,D109,
'YearB-AppDetails Current Date'!F:F,E109,
'YearB-AppDetails Current Date'!E:E,--F109,
'YearB-AppDetails Current Date'!V:V,{"APRO","NODE"},
'YearB-AppDetails Current Date'!I:I,"WINTER"))), "")</f>
        <v/>
      </c>
      <c r="O109" s="74" t="str" cm="1">
        <f t="array" ref="O109">IFERROR(1/(1/SUM(COUNTIFS(
'YearB-AppDetails Current Date'!A:A,D109,
'YearB-AppDetails Current Date'!F:F,E109,
'YearB-AppDetails Current Date'!E:E,--F109,
'YearB-AppDetails Current Date'!T:T,{"CDMT","RQMT","WAIT"},
'YearB-AppDetails Current Date'!I:I,"WINTER"))), "")</f>
        <v/>
      </c>
      <c r="P109" s="74" t="str">
        <f>IFERROR(1/(1/COUNTIFS(
'YearB-AppDetails Current Date'!A:A,D109,
'YearB-AppDetails Current Date'!F:F,E109,
'YearB-AppDetails Current Date'!E:E,--F109,
'YearB-AppDetails Current Date'!Y:Y,"ENRO",
'YearB-AppDetails Current Date'!I:I,"WINTER")),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HC'!D:T,14,FALSE)),
N(VLOOKUP(D110&amp;F110,'Budgeted Projections Dom HC'!D:T,15,FALSE))
)
),"")</f>
        <v/>
      </c>
      <c r="I110" s="73" t="str">
        <f>IFERROR(1/(1/COUNTIFS(
'YearB-AppDetails Current Date'!A:A,D110,
'YearB-AppDetails Current Date'!F:F,E110,
'YearB-AppDetails Current Date'!E:E,--F110,
'YearB-AppDetails Current Date'!I:I,"WINTER")), "")</f>
        <v/>
      </c>
      <c r="J110" s="74" t="str" cm="1">
        <f t="array" ref="J110">IFERROR(1/(1/SUM(COUNTIFS(
'YearB-AppDetails Current Date'!A:A,D110,
'YearB-AppDetails Current Date'!F:F,E110,
'YearB-AppDetails Current Date'!E:E,--F110,
'YearB-AppDetails Current Date'!O:O,{"ACLN","ACPT","COND"},
'YearB-AppDetails Current Date'!S:S,"&lt;&gt;ACLN",
'YearB-AppDetails Current Date'!S:S,"&lt;&gt;ACPT",
'YearB-AppDetails Current Date'!S:S,"&lt;&gt;COND",
'YearB-AppDetails Current Date'!I:I,"WINTER"))), "")</f>
        <v/>
      </c>
      <c r="K110" s="73" t="str">
        <f>IFERROR(1/(1/SUM(COUNTIFS(
'YearB-AppDetails Current Date'!A:A,D110,
'YearB-AppDetails Current Date'!F:F,E110,
'YearB-AppDetails Current Date'!E:E,--F110,
'YearB-AppDetails Current Date'!R:R,"&lt;&gt;"&amp;"",
'YearB-AppDetails Current Date'!I:I,"WINTER"))), "")</f>
        <v/>
      </c>
      <c r="L110" s="74" t="str" cm="1">
        <f t="array" ref="L110">IFERROR(1/(1/SUM(COUNTIFS(
'YearB-AppDetails Current Date'!A:A,D110,
'YearB-AppDetails Current Date'!F:F,E110,
'YearB-AppDetails Current Date'!E:E,--F110,
'YearB-AppDetails Current Date'!T:T,{"APEX","DENY","NTSL"},
'YearB-AppDetails Current Date'!I:I,"WINTER"))), "")</f>
        <v/>
      </c>
      <c r="M110" s="74" t="str" cm="1">
        <f t="array" ref="M110">IFERROR(1/(1/SUM(COUNTIFS(
'YearB-AppDetails Current Date'!A:A,D110,
'YearB-AppDetails Current Date'!F:F,E110,
'YearB-AppDetails Current Date'!E:E,--F110,
'YearB-AppDetails Current Date'!U:U,{"CCAN","DECL"},
'YearB-AppDetails Current Date'!I:I,"WINTER"))), "")</f>
        <v/>
      </c>
      <c r="N110" s="74" t="str" cm="1">
        <f t="array" ref="N110">IFERROR(1/(1/SUM(COUNTIFS(
'YearB-AppDetails Current Date'!A:A,D110,
'YearB-AppDetails Current Date'!F:F,E110,
'YearB-AppDetails Current Date'!E:E,--F110,
'YearB-AppDetails Current Date'!V:V,{"APRO","NODE"},
'YearB-AppDetails Current Date'!I:I,"WINTER"))), "")</f>
        <v/>
      </c>
      <c r="O110" s="74" t="str" cm="1">
        <f t="array" ref="O110">IFERROR(1/(1/SUM(COUNTIFS(
'YearB-AppDetails Current Date'!A:A,D110,
'YearB-AppDetails Current Date'!F:F,E110,
'YearB-AppDetails Current Date'!E:E,--F110,
'YearB-AppDetails Current Date'!T:T,{"CDMT","RQMT","WAIT"},
'YearB-AppDetails Current Date'!I:I,"WINTER"))), "")</f>
        <v/>
      </c>
      <c r="P110" s="74" t="str">
        <f>IFERROR(1/(1/COUNTIFS(
'YearB-AppDetails Current Date'!A:A,D110,
'YearB-AppDetails Current Date'!F:F,E110,
'YearB-AppDetails Current Date'!E:E,--F110,
'YearB-AppDetails Current Date'!Y:Y,"ENRO",
'YearB-AppDetails Current Date'!I:I,"WINTER")),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HC'!D:T,14,FALSE)),
N(VLOOKUP(D111&amp;F111,'Budgeted Projections Intl HC'!D:T,15,FALSE))
)
),"")</f>
        <v/>
      </c>
      <c r="I111" s="73" t="str">
        <f>IFERROR(1/(1/COUNTIFS(
'YearB-AppDetails Current Date'!A:A,D111,
'YearB-AppDetails Current Date'!F:F,E111,
'YearB-AppDetails Current Date'!E:E,--F111,
'YearB-AppDetails Current Date'!I:I,"WINTER")), "")</f>
        <v/>
      </c>
      <c r="J111" s="74" t="str" cm="1">
        <f t="array" ref="J111">IFERROR(1/(1/SUM(COUNTIFS(
'YearB-AppDetails Current Date'!A:A,D111,
'YearB-AppDetails Current Date'!F:F,E111,
'YearB-AppDetails Current Date'!E:E,--F111,
'YearB-AppDetails Current Date'!O:O,{"ACLN","ACPT","COND"},
'YearB-AppDetails Current Date'!S:S,"&lt;&gt;ACLN",
'YearB-AppDetails Current Date'!S:S,"&lt;&gt;ACPT",
'YearB-AppDetails Current Date'!S:S,"&lt;&gt;COND",
'YearB-AppDetails Current Date'!I:I,"WINTER"))), "")</f>
        <v/>
      </c>
      <c r="K111" s="73" t="str">
        <f>IFERROR(1/(1/SUM(COUNTIFS(
'YearB-AppDetails Current Date'!A:A,D111,
'YearB-AppDetails Current Date'!F:F,E111,
'YearB-AppDetails Current Date'!E:E,--F111,
'YearB-AppDetails Current Date'!R:R,"&lt;&gt;"&amp;"",
'YearB-AppDetails Current Date'!I:I,"WINTER"))), "")</f>
        <v/>
      </c>
      <c r="L111" s="74" t="str" cm="1">
        <f t="array" ref="L111">IFERROR(1/(1/SUM(COUNTIFS(
'YearB-AppDetails Current Date'!A:A,D111,
'YearB-AppDetails Current Date'!F:F,E111,
'YearB-AppDetails Current Date'!E:E,--F111,
'YearB-AppDetails Current Date'!T:T,{"APEX","DENY","NTSL"},
'YearB-AppDetails Current Date'!I:I,"WINTER"))), "")</f>
        <v/>
      </c>
      <c r="M111" s="74" t="str" cm="1">
        <f t="array" ref="M111">IFERROR(1/(1/SUM(COUNTIFS(
'YearB-AppDetails Current Date'!A:A,D111,
'YearB-AppDetails Current Date'!F:F,E111,
'YearB-AppDetails Current Date'!E:E,--F111,
'YearB-AppDetails Current Date'!U:U,{"CCAN","DECL"},
'YearB-AppDetails Current Date'!I:I,"WINTER"))), "")</f>
        <v/>
      </c>
      <c r="N111" s="74" t="str" cm="1">
        <f t="array" ref="N111">IFERROR(1/(1/SUM(COUNTIFS(
'YearB-AppDetails Current Date'!A:A,D111,
'YearB-AppDetails Current Date'!F:F,E111,
'YearB-AppDetails Current Date'!E:E,--F111,
'YearB-AppDetails Current Date'!V:V,{"APRO","NODE"},
'YearB-AppDetails Current Date'!I:I,"WINTER"))), "")</f>
        <v/>
      </c>
      <c r="O111" s="74" t="str" cm="1">
        <f t="array" ref="O111">IFERROR(1/(1/SUM(COUNTIFS(
'YearB-AppDetails Current Date'!A:A,D111,
'YearB-AppDetails Current Date'!F:F,E111,
'YearB-AppDetails Current Date'!E:E,--F111,
'YearB-AppDetails Current Date'!T:T,{"CDMT","RQMT","WAIT"},
'YearB-AppDetails Current Date'!I:I,"WINTER"))), "")</f>
        <v/>
      </c>
      <c r="P111" s="74" t="str">
        <f>IFERROR(1/(1/COUNTIFS(
'YearB-AppDetails Current Date'!A:A,D111,
'YearB-AppDetails Current Date'!F:F,E111,
'YearB-AppDetails Current Date'!E:E,--F111,
'YearB-AppDetails Current Date'!Y:Y,"ENRO",
'YearB-AppDetails Current Date'!I:I,"WINTER")),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HC'!D:T,14,FALSE)),
N(VLOOKUP(D112&amp;F112,'Budgeted Projections Dom HC'!D:T,15,FALSE))
)
),"")</f>
        <v/>
      </c>
      <c r="I112" s="73" t="str">
        <f>IFERROR(1/(1/COUNTIFS(
'YearB-AppDetails Current Date'!A:A,D112,
'YearB-AppDetails Current Date'!F:F,E112,
'YearB-AppDetails Current Date'!E:E,--F112,
'YearB-AppDetails Current Date'!I:I,"WINTER")), "")</f>
        <v/>
      </c>
      <c r="J112" s="74" t="str" cm="1">
        <f t="array" ref="J112">IFERROR(1/(1/SUM(COUNTIFS(
'YearB-AppDetails Current Date'!A:A,D112,
'YearB-AppDetails Current Date'!F:F,E112,
'YearB-AppDetails Current Date'!E:E,--F112,
'YearB-AppDetails Current Date'!O:O,{"ACLN","ACPT","COND"},
'YearB-AppDetails Current Date'!S:S,"&lt;&gt;ACLN",
'YearB-AppDetails Current Date'!S:S,"&lt;&gt;ACPT",
'YearB-AppDetails Current Date'!S:S,"&lt;&gt;COND",
'YearB-AppDetails Current Date'!I:I,"WINTER"))), "")</f>
        <v/>
      </c>
      <c r="K112" s="73" t="str">
        <f>IFERROR(1/(1/SUM(COUNTIFS(
'YearB-AppDetails Current Date'!A:A,D112,
'YearB-AppDetails Current Date'!F:F,E112,
'YearB-AppDetails Current Date'!E:E,--F112,
'YearB-AppDetails Current Date'!R:R,"&lt;&gt;"&amp;"",
'YearB-AppDetails Current Date'!I:I,"WINTER"))), "")</f>
        <v/>
      </c>
      <c r="L112" s="74" t="str" cm="1">
        <f t="array" ref="L112">IFERROR(1/(1/SUM(COUNTIFS(
'YearB-AppDetails Current Date'!A:A,D112,
'YearB-AppDetails Current Date'!F:F,E112,
'YearB-AppDetails Current Date'!E:E,--F112,
'YearB-AppDetails Current Date'!T:T,{"APEX","DENY","NTSL"},
'YearB-AppDetails Current Date'!I:I,"WINTER"))), "")</f>
        <v/>
      </c>
      <c r="M112" s="74" t="str" cm="1">
        <f t="array" ref="M112">IFERROR(1/(1/SUM(COUNTIFS(
'YearB-AppDetails Current Date'!A:A,D112,
'YearB-AppDetails Current Date'!F:F,E112,
'YearB-AppDetails Current Date'!E:E,--F112,
'YearB-AppDetails Current Date'!U:U,{"CCAN","DECL"},
'YearB-AppDetails Current Date'!I:I,"WINTER"))), "")</f>
        <v/>
      </c>
      <c r="N112" s="74" t="str" cm="1">
        <f t="array" ref="N112">IFERROR(1/(1/SUM(COUNTIFS(
'YearB-AppDetails Current Date'!A:A,D112,
'YearB-AppDetails Current Date'!F:F,E112,
'YearB-AppDetails Current Date'!E:E,--F112,
'YearB-AppDetails Current Date'!V:V,{"APRO","NODE"},
'YearB-AppDetails Current Date'!I:I,"WINTER"))), "")</f>
        <v/>
      </c>
      <c r="O112" s="74" t="str" cm="1">
        <f t="array" ref="O112">IFERROR(1/(1/SUM(COUNTIFS(
'YearB-AppDetails Current Date'!A:A,D112,
'YearB-AppDetails Current Date'!F:F,E112,
'YearB-AppDetails Current Date'!E:E,--F112,
'YearB-AppDetails Current Date'!T:T,{"CDMT","RQMT","WAIT"},
'YearB-AppDetails Current Date'!I:I,"WINTER"))), "")</f>
        <v/>
      </c>
      <c r="P112" s="74" t="str">
        <f>IFERROR(1/(1/COUNTIFS(
'YearB-AppDetails Current Date'!A:A,D112,
'YearB-AppDetails Current Date'!F:F,E112,
'YearB-AppDetails Current Date'!E:E,--F112,
'YearB-AppDetails Current Date'!Y:Y,"ENRO",
'YearB-AppDetails Current Date'!I:I,"WINTER")),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HC'!D:T,14,FALSE)),
N(VLOOKUP(D113&amp;F113,'Budgeted Projections Intl HC'!D:T,15,FALSE))
)
),"")</f>
        <v/>
      </c>
      <c r="I113" s="73" t="str">
        <f>IFERROR(1/(1/COUNTIFS(
'YearB-AppDetails Current Date'!A:A,D113,
'YearB-AppDetails Current Date'!F:F,E113,
'YearB-AppDetails Current Date'!E:E,--F113,
'YearB-AppDetails Current Date'!I:I,"WINTER")), "")</f>
        <v/>
      </c>
      <c r="J113" s="74" t="str" cm="1">
        <f t="array" ref="J113">IFERROR(1/(1/SUM(COUNTIFS(
'YearB-AppDetails Current Date'!A:A,D113,
'YearB-AppDetails Current Date'!F:F,E113,
'YearB-AppDetails Current Date'!E:E,--F113,
'YearB-AppDetails Current Date'!O:O,{"ACLN","ACPT","COND"},
'YearB-AppDetails Current Date'!S:S,"&lt;&gt;ACLN",
'YearB-AppDetails Current Date'!S:S,"&lt;&gt;ACPT",
'YearB-AppDetails Current Date'!S:S,"&lt;&gt;COND",
'YearB-AppDetails Current Date'!I:I,"WINTER"))), "")</f>
        <v/>
      </c>
      <c r="K113" s="73" t="str">
        <f>IFERROR(1/(1/SUM(COUNTIFS(
'YearB-AppDetails Current Date'!A:A,D113,
'YearB-AppDetails Current Date'!F:F,E113,
'YearB-AppDetails Current Date'!E:E,--F113,
'YearB-AppDetails Current Date'!R:R,"&lt;&gt;"&amp;"",
'YearB-AppDetails Current Date'!I:I,"WINTER"))), "")</f>
        <v/>
      </c>
      <c r="L113" s="74" t="str" cm="1">
        <f t="array" ref="L113">IFERROR(1/(1/SUM(COUNTIFS(
'YearB-AppDetails Current Date'!A:A,D113,
'YearB-AppDetails Current Date'!F:F,E113,
'YearB-AppDetails Current Date'!E:E,--F113,
'YearB-AppDetails Current Date'!T:T,{"APEX","DENY","NTSL"},
'YearB-AppDetails Current Date'!I:I,"WINTER"))), "")</f>
        <v/>
      </c>
      <c r="M113" s="74" t="str" cm="1">
        <f t="array" ref="M113">IFERROR(1/(1/SUM(COUNTIFS(
'YearB-AppDetails Current Date'!A:A,D113,
'YearB-AppDetails Current Date'!F:F,E113,
'YearB-AppDetails Current Date'!E:E,--F113,
'YearB-AppDetails Current Date'!U:U,{"CCAN","DECL"},
'YearB-AppDetails Current Date'!I:I,"WINTER"))), "")</f>
        <v/>
      </c>
      <c r="N113" s="74" t="str" cm="1">
        <f t="array" ref="N113">IFERROR(1/(1/SUM(COUNTIFS(
'YearB-AppDetails Current Date'!A:A,D113,
'YearB-AppDetails Current Date'!F:F,E113,
'YearB-AppDetails Current Date'!E:E,--F113,
'YearB-AppDetails Current Date'!V:V,{"APRO","NODE"},
'YearB-AppDetails Current Date'!I:I,"WINTER"))), "")</f>
        <v/>
      </c>
      <c r="O113" s="74" t="str" cm="1">
        <f t="array" ref="O113">IFERROR(1/(1/SUM(COUNTIFS(
'YearB-AppDetails Current Date'!A:A,D113,
'YearB-AppDetails Current Date'!F:F,E113,
'YearB-AppDetails Current Date'!E:E,--F113,
'YearB-AppDetails Current Date'!T:T,{"CDMT","RQMT","WAIT"},
'YearB-AppDetails Current Date'!I:I,"WINTER"))), "")</f>
        <v/>
      </c>
      <c r="P113" s="74" t="str">
        <f>IFERROR(1/(1/COUNTIFS(
'YearB-AppDetails Current Date'!A:A,D113,
'YearB-AppDetails Current Date'!F:F,E113,
'YearB-AppDetails Current Date'!E:E,--F113,
'YearB-AppDetails Current Date'!Y:Y,"ENRO",
'YearB-AppDetails Current Date'!I:I,"WINTER")),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HC'!D:T,14,FALSE)),
N(VLOOKUP(D114&amp;F114,'Budgeted Projections Dom HC'!D:T,15,FALSE))
)
),"")</f>
        <v/>
      </c>
      <c r="I114" s="73" t="str">
        <f>IFERROR(1/(1/COUNTIFS(
'YearB-AppDetails Current Date'!A:A,D114,
'YearB-AppDetails Current Date'!F:F,E114,
'YearB-AppDetails Current Date'!E:E,--F114,
'YearB-AppDetails Current Date'!I:I,"WINTER")), "")</f>
        <v/>
      </c>
      <c r="J114" s="74" t="str" cm="1">
        <f t="array" ref="J114">IFERROR(1/(1/SUM(COUNTIFS(
'YearB-AppDetails Current Date'!A:A,D114,
'YearB-AppDetails Current Date'!F:F,E114,
'YearB-AppDetails Current Date'!E:E,--F114,
'YearB-AppDetails Current Date'!O:O,{"ACLN","ACPT","COND"},
'YearB-AppDetails Current Date'!S:S,"&lt;&gt;ACLN",
'YearB-AppDetails Current Date'!S:S,"&lt;&gt;ACPT",
'YearB-AppDetails Current Date'!S:S,"&lt;&gt;COND",
'YearB-AppDetails Current Date'!I:I,"WINTER"))), "")</f>
        <v/>
      </c>
      <c r="K114" s="73" t="str">
        <f>IFERROR(1/(1/SUM(COUNTIFS(
'YearB-AppDetails Current Date'!A:A,D114,
'YearB-AppDetails Current Date'!F:F,E114,
'YearB-AppDetails Current Date'!E:E,--F114,
'YearB-AppDetails Current Date'!R:R,"&lt;&gt;"&amp;"",
'YearB-AppDetails Current Date'!I:I,"WINTER"))), "")</f>
        <v/>
      </c>
      <c r="L114" s="74" t="str" cm="1">
        <f t="array" ref="L114">IFERROR(1/(1/SUM(COUNTIFS(
'YearB-AppDetails Current Date'!A:A,D114,
'YearB-AppDetails Current Date'!F:F,E114,
'YearB-AppDetails Current Date'!E:E,--F114,
'YearB-AppDetails Current Date'!T:T,{"APEX","DENY","NTSL"},
'YearB-AppDetails Current Date'!I:I,"WINTER"))), "")</f>
        <v/>
      </c>
      <c r="M114" s="74" t="str" cm="1">
        <f t="array" ref="M114">IFERROR(1/(1/SUM(COUNTIFS(
'YearB-AppDetails Current Date'!A:A,D114,
'YearB-AppDetails Current Date'!F:F,E114,
'YearB-AppDetails Current Date'!E:E,--F114,
'YearB-AppDetails Current Date'!U:U,{"CCAN","DECL"},
'YearB-AppDetails Current Date'!I:I,"WINTER"))), "")</f>
        <v/>
      </c>
      <c r="N114" s="74" t="str" cm="1">
        <f t="array" ref="N114">IFERROR(1/(1/SUM(COUNTIFS(
'YearB-AppDetails Current Date'!A:A,D114,
'YearB-AppDetails Current Date'!F:F,E114,
'YearB-AppDetails Current Date'!E:E,--F114,
'YearB-AppDetails Current Date'!V:V,{"APRO","NODE"},
'YearB-AppDetails Current Date'!I:I,"WINTER"))), "")</f>
        <v/>
      </c>
      <c r="O114" s="74" t="str" cm="1">
        <f t="array" ref="O114">IFERROR(1/(1/SUM(COUNTIFS(
'YearB-AppDetails Current Date'!A:A,D114,
'YearB-AppDetails Current Date'!F:F,E114,
'YearB-AppDetails Current Date'!E:E,--F114,
'YearB-AppDetails Current Date'!T:T,{"CDMT","RQMT","WAIT"},
'YearB-AppDetails Current Date'!I:I,"WINTER"))), "")</f>
        <v/>
      </c>
      <c r="P114" s="74" t="str">
        <f>IFERROR(1/(1/COUNTIFS(
'YearB-AppDetails Current Date'!A:A,D114,
'YearB-AppDetails Current Date'!F:F,E114,
'YearB-AppDetails Current Date'!E:E,--F114,
'YearB-AppDetails Current Date'!Y:Y,"ENRO",
'YearB-AppDetails Current Date'!I:I,"WINTER")),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HC'!D:T,14,FALSE)),
N(VLOOKUP(D115&amp;F115,'Budgeted Projections Intl HC'!D:T,15,FALSE))
)
),"")</f>
        <v/>
      </c>
      <c r="I115" s="73" t="str">
        <f>IFERROR(1/(1/COUNTIFS(
'YearB-AppDetails Current Date'!A:A,D115,
'YearB-AppDetails Current Date'!F:F,E115,
'YearB-AppDetails Current Date'!E:E,--F115,
'YearB-AppDetails Current Date'!I:I,"WINTER")), "")</f>
        <v/>
      </c>
      <c r="J115" s="74" t="str" cm="1">
        <f t="array" ref="J115">IFERROR(1/(1/SUM(COUNTIFS(
'YearB-AppDetails Current Date'!A:A,D115,
'YearB-AppDetails Current Date'!F:F,E115,
'YearB-AppDetails Current Date'!E:E,--F115,
'YearB-AppDetails Current Date'!O:O,{"ACLN","ACPT","COND"},
'YearB-AppDetails Current Date'!S:S,"&lt;&gt;ACLN",
'YearB-AppDetails Current Date'!S:S,"&lt;&gt;ACPT",
'YearB-AppDetails Current Date'!S:S,"&lt;&gt;COND",
'YearB-AppDetails Current Date'!I:I,"WINTER"))), "")</f>
        <v/>
      </c>
      <c r="K115" s="73" t="str">
        <f>IFERROR(1/(1/SUM(COUNTIFS(
'YearB-AppDetails Current Date'!A:A,D115,
'YearB-AppDetails Current Date'!F:F,E115,
'YearB-AppDetails Current Date'!E:E,--F115,
'YearB-AppDetails Current Date'!R:R,"&lt;&gt;"&amp;"",
'YearB-AppDetails Current Date'!I:I,"WINTER"))), "")</f>
        <v/>
      </c>
      <c r="L115" s="74" t="str" cm="1">
        <f t="array" ref="L115">IFERROR(1/(1/SUM(COUNTIFS(
'YearB-AppDetails Current Date'!A:A,D115,
'YearB-AppDetails Current Date'!F:F,E115,
'YearB-AppDetails Current Date'!E:E,--F115,
'YearB-AppDetails Current Date'!T:T,{"APEX","DENY","NTSL"},
'YearB-AppDetails Current Date'!I:I,"WINTER"))), "")</f>
        <v/>
      </c>
      <c r="M115" s="74" t="str" cm="1">
        <f t="array" ref="M115">IFERROR(1/(1/SUM(COUNTIFS(
'YearB-AppDetails Current Date'!A:A,D115,
'YearB-AppDetails Current Date'!F:F,E115,
'YearB-AppDetails Current Date'!E:E,--F115,
'YearB-AppDetails Current Date'!U:U,{"CCAN","DECL"},
'YearB-AppDetails Current Date'!I:I,"WINTER"))), "")</f>
        <v/>
      </c>
      <c r="N115" s="74" t="str" cm="1">
        <f t="array" ref="N115">IFERROR(1/(1/SUM(COUNTIFS(
'YearB-AppDetails Current Date'!A:A,D115,
'YearB-AppDetails Current Date'!F:F,E115,
'YearB-AppDetails Current Date'!E:E,--F115,
'YearB-AppDetails Current Date'!V:V,{"APRO","NODE"},
'YearB-AppDetails Current Date'!I:I,"WINTER"))), "")</f>
        <v/>
      </c>
      <c r="O115" s="74" t="str" cm="1">
        <f t="array" ref="O115">IFERROR(1/(1/SUM(COUNTIFS(
'YearB-AppDetails Current Date'!A:A,D115,
'YearB-AppDetails Current Date'!F:F,E115,
'YearB-AppDetails Current Date'!E:E,--F115,
'YearB-AppDetails Current Date'!T:T,{"CDMT","RQMT","WAIT"},
'YearB-AppDetails Current Date'!I:I,"WINTER"))), "")</f>
        <v/>
      </c>
      <c r="P115" s="74" t="str">
        <f>IFERROR(1/(1/COUNTIFS(
'YearB-AppDetails Current Date'!A:A,D115,
'YearB-AppDetails Current Date'!F:F,E115,
'YearB-AppDetails Current Date'!E:E,--F115,
'YearB-AppDetails Current Date'!Y:Y,"ENRO",
'YearB-AppDetails Current Date'!I:I,"WINTER")),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HC'!D:T,14,FALSE)),
N(VLOOKUP(D116&amp;F116,'Budgeted Projections Dom HC'!D:T,15,FALSE))
)
),"")</f>
        <v/>
      </c>
      <c r="I116" s="73" t="str">
        <f>IFERROR(1/(1/COUNTIFS(
'YearB-AppDetails Current Date'!A:A,D116,
'YearB-AppDetails Current Date'!F:F,E116,
'YearB-AppDetails Current Date'!E:E,--F116,
'YearB-AppDetails Current Date'!I:I,"WINTER")), "")</f>
        <v/>
      </c>
      <c r="J116" s="74" t="str" cm="1">
        <f t="array" ref="J116">IFERROR(1/(1/SUM(COUNTIFS(
'YearB-AppDetails Current Date'!A:A,D116,
'YearB-AppDetails Current Date'!F:F,E116,
'YearB-AppDetails Current Date'!E:E,--F116,
'YearB-AppDetails Current Date'!O:O,{"ACLN","ACPT","COND"},
'YearB-AppDetails Current Date'!S:S,"&lt;&gt;ACLN",
'YearB-AppDetails Current Date'!S:S,"&lt;&gt;ACPT",
'YearB-AppDetails Current Date'!S:S,"&lt;&gt;COND",
'YearB-AppDetails Current Date'!I:I,"WINTER"))), "")</f>
        <v/>
      </c>
      <c r="K116" s="73" t="str">
        <f>IFERROR(1/(1/SUM(COUNTIFS(
'YearB-AppDetails Current Date'!A:A,D116,
'YearB-AppDetails Current Date'!F:F,E116,
'YearB-AppDetails Current Date'!E:E,--F116,
'YearB-AppDetails Current Date'!R:R,"&lt;&gt;"&amp;"",
'YearB-AppDetails Current Date'!I:I,"WINTER"))), "")</f>
        <v/>
      </c>
      <c r="L116" s="74" t="str" cm="1">
        <f t="array" ref="L116">IFERROR(1/(1/SUM(COUNTIFS(
'YearB-AppDetails Current Date'!A:A,D116,
'YearB-AppDetails Current Date'!F:F,E116,
'YearB-AppDetails Current Date'!E:E,--F116,
'YearB-AppDetails Current Date'!T:T,{"APEX","DENY","NTSL"},
'YearB-AppDetails Current Date'!I:I,"WINTER"))), "")</f>
        <v/>
      </c>
      <c r="M116" s="74" t="str" cm="1">
        <f t="array" ref="M116">IFERROR(1/(1/SUM(COUNTIFS(
'YearB-AppDetails Current Date'!A:A,D116,
'YearB-AppDetails Current Date'!F:F,E116,
'YearB-AppDetails Current Date'!E:E,--F116,
'YearB-AppDetails Current Date'!U:U,{"CCAN","DECL"},
'YearB-AppDetails Current Date'!I:I,"WINTER"))), "")</f>
        <v/>
      </c>
      <c r="N116" s="74" t="str" cm="1">
        <f t="array" ref="N116">IFERROR(1/(1/SUM(COUNTIFS(
'YearB-AppDetails Current Date'!A:A,D116,
'YearB-AppDetails Current Date'!F:F,E116,
'YearB-AppDetails Current Date'!E:E,--F116,
'YearB-AppDetails Current Date'!V:V,{"APRO","NODE"},
'YearB-AppDetails Current Date'!I:I,"WINTER"))), "")</f>
        <v/>
      </c>
      <c r="O116" s="74" t="str" cm="1">
        <f t="array" ref="O116">IFERROR(1/(1/SUM(COUNTIFS(
'YearB-AppDetails Current Date'!A:A,D116,
'YearB-AppDetails Current Date'!F:F,E116,
'YearB-AppDetails Current Date'!E:E,--F116,
'YearB-AppDetails Current Date'!T:T,{"CDMT","RQMT","WAIT"},
'YearB-AppDetails Current Date'!I:I,"WINTER"))), "")</f>
        <v/>
      </c>
      <c r="P116" s="74" t="str">
        <f>IFERROR(1/(1/COUNTIFS(
'YearB-AppDetails Current Date'!A:A,D116,
'YearB-AppDetails Current Date'!F:F,E116,
'YearB-AppDetails Current Date'!E:E,--F116,
'YearB-AppDetails Current Date'!Y:Y,"ENRO",
'YearB-AppDetails Current Date'!I:I,"WINTER")),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HC'!D:T,14,FALSE)),
N(VLOOKUP(D117&amp;F117,'Budgeted Projections Intl HC'!D:T,15,FALSE))
)
),"")</f>
        <v/>
      </c>
      <c r="I117" s="73" t="str">
        <f>IFERROR(1/(1/COUNTIFS(
'YearB-AppDetails Current Date'!A:A,D117,
'YearB-AppDetails Current Date'!F:F,E117,
'YearB-AppDetails Current Date'!E:E,--F117,
'YearB-AppDetails Current Date'!I:I,"WINTER")), "")</f>
        <v/>
      </c>
      <c r="J117" s="74" t="str" cm="1">
        <f t="array" ref="J117">IFERROR(1/(1/SUM(COUNTIFS(
'YearB-AppDetails Current Date'!A:A,D117,
'YearB-AppDetails Current Date'!F:F,E117,
'YearB-AppDetails Current Date'!E:E,--F117,
'YearB-AppDetails Current Date'!O:O,{"ACLN","ACPT","COND"},
'YearB-AppDetails Current Date'!S:S,"&lt;&gt;ACLN",
'YearB-AppDetails Current Date'!S:S,"&lt;&gt;ACPT",
'YearB-AppDetails Current Date'!S:S,"&lt;&gt;COND",
'YearB-AppDetails Current Date'!I:I,"WINTER"))), "")</f>
        <v/>
      </c>
      <c r="K117" s="73" t="str">
        <f>IFERROR(1/(1/SUM(COUNTIFS(
'YearB-AppDetails Current Date'!A:A,D117,
'YearB-AppDetails Current Date'!F:F,E117,
'YearB-AppDetails Current Date'!E:E,--F117,
'YearB-AppDetails Current Date'!R:R,"&lt;&gt;"&amp;"",
'YearB-AppDetails Current Date'!I:I,"WINTER"))), "")</f>
        <v/>
      </c>
      <c r="L117" s="74" t="str" cm="1">
        <f t="array" ref="L117">IFERROR(1/(1/SUM(COUNTIFS(
'YearB-AppDetails Current Date'!A:A,D117,
'YearB-AppDetails Current Date'!F:F,E117,
'YearB-AppDetails Current Date'!E:E,--F117,
'YearB-AppDetails Current Date'!T:T,{"APEX","DENY","NTSL"},
'YearB-AppDetails Current Date'!I:I,"WINTER"))), "")</f>
        <v/>
      </c>
      <c r="M117" s="74" t="str" cm="1">
        <f t="array" ref="M117">IFERROR(1/(1/SUM(COUNTIFS(
'YearB-AppDetails Current Date'!A:A,D117,
'YearB-AppDetails Current Date'!F:F,E117,
'YearB-AppDetails Current Date'!E:E,--F117,
'YearB-AppDetails Current Date'!U:U,{"CCAN","DECL"},
'YearB-AppDetails Current Date'!I:I,"WINTER"))), "")</f>
        <v/>
      </c>
      <c r="N117" s="74" t="str" cm="1">
        <f t="array" ref="N117">IFERROR(1/(1/SUM(COUNTIFS(
'YearB-AppDetails Current Date'!A:A,D117,
'YearB-AppDetails Current Date'!F:F,E117,
'YearB-AppDetails Current Date'!E:E,--F117,
'YearB-AppDetails Current Date'!V:V,{"APRO","NODE"},
'YearB-AppDetails Current Date'!I:I,"WINTER"))), "")</f>
        <v/>
      </c>
      <c r="O117" s="74" t="str" cm="1">
        <f t="array" ref="O117">IFERROR(1/(1/SUM(COUNTIFS(
'YearB-AppDetails Current Date'!A:A,D117,
'YearB-AppDetails Current Date'!F:F,E117,
'YearB-AppDetails Current Date'!E:E,--F117,
'YearB-AppDetails Current Date'!T:T,{"CDMT","RQMT","WAIT"},
'YearB-AppDetails Current Date'!I:I,"WINTER"))), "")</f>
        <v/>
      </c>
      <c r="P117" s="74" t="str">
        <f>IFERROR(1/(1/COUNTIFS(
'YearB-AppDetails Current Date'!A:A,D117,
'YearB-AppDetails Current Date'!F:F,E117,
'YearB-AppDetails Current Date'!E:E,--F117,
'YearB-AppDetails Current Date'!Y:Y,"ENRO",
'YearB-AppDetails Current Date'!I:I,"WINTER")),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HC'!D:T,14,FALSE)),
N(VLOOKUP(D118&amp;F118,'Budgeted Projections Dom HC'!D:T,15,FALSE))
)
),"")</f>
        <v/>
      </c>
      <c r="I118" s="73" t="str">
        <f>IFERROR(1/(1/COUNTIFS(
'YearB-AppDetails Current Date'!A:A,D118,
'YearB-AppDetails Current Date'!F:F,E118,
'YearB-AppDetails Current Date'!E:E,--F118,
'YearB-AppDetails Current Date'!I:I,"WINTER")), "")</f>
        <v/>
      </c>
      <c r="J118" s="74" t="str" cm="1">
        <f t="array" ref="J118">IFERROR(1/(1/SUM(COUNTIFS(
'YearB-AppDetails Current Date'!A:A,D118,
'YearB-AppDetails Current Date'!F:F,E118,
'YearB-AppDetails Current Date'!E:E,--F118,
'YearB-AppDetails Current Date'!O:O,{"ACLN","ACPT","COND"},
'YearB-AppDetails Current Date'!S:S,"&lt;&gt;ACLN",
'YearB-AppDetails Current Date'!S:S,"&lt;&gt;ACPT",
'YearB-AppDetails Current Date'!S:S,"&lt;&gt;COND",
'YearB-AppDetails Current Date'!I:I,"WINTER"))), "")</f>
        <v/>
      </c>
      <c r="K118" s="73" t="str">
        <f>IFERROR(1/(1/SUM(COUNTIFS(
'YearB-AppDetails Current Date'!A:A,D118,
'YearB-AppDetails Current Date'!F:F,E118,
'YearB-AppDetails Current Date'!E:E,--F118,
'YearB-AppDetails Current Date'!R:R,"&lt;&gt;"&amp;"",
'YearB-AppDetails Current Date'!I:I,"WINTER"))), "")</f>
        <v/>
      </c>
      <c r="L118" s="74" t="str" cm="1">
        <f t="array" ref="L118">IFERROR(1/(1/SUM(COUNTIFS(
'YearB-AppDetails Current Date'!A:A,D118,
'YearB-AppDetails Current Date'!F:F,E118,
'YearB-AppDetails Current Date'!E:E,--F118,
'YearB-AppDetails Current Date'!T:T,{"APEX","DENY","NTSL"},
'YearB-AppDetails Current Date'!I:I,"WINTER"))), "")</f>
        <v/>
      </c>
      <c r="M118" s="74" t="str" cm="1">
        <f t="array" ref="M118">IFERROR(1/(1/SUM(COUNTIFS(
'YearB-AppDetails Current Date'!A:A,D118,
'YearB-AppDetails Current Date'!F:F,E118,
'YearB-AppDetails Current Date'!E:E,--F118,
'YearB-AppDetails Current Date'!U:U,{"CCAN","DECL"},
'YearB-AppDetails Current Date'!I:I,"WINTER"))), "")</f>
        <v/>
      </c>
      <c r="N118" s="74" t="str" cm="1">
        <f t="array" ref="N118">IFERROR(1/(1/SUM(COUNTIFS(
'YearB-AppDetails Current Date'!A:A,D118,
'YearB-AppDetails Current Date'!F:F,E118,
'YearB-AppDetails Current Date'!E:E,--F118,
'YearB-AppDetails Current Date'!V:V,{"APRO","NODE"},
'YearB-AppDetails Current Date'!I:I,"WINTER"))), "")</f>
        <v/>
      </c>
      <c r="O118" s="74" t="str" cm="1">
        <f t="array" ref="O118">IFERROR(1/(1/SUM(COUNTIFS(
'YearB-AppDetails Current Date'!A:A,D118,
'YearB-AppDetails Current Date'!F:F,E118,
'YearB-AppDetails Current Date'!E:E,--F118,
'YearB-AppDetails Current Date'!T:T,{"CDMT","RQMT","WAIT"},
'YearB-AppDetails Current Date'!I:I,"WINTER"))), "")</f>
        <v/>
      </c>
      <c r="P118" s="74" t="str">
        <f>IFERROR(1/(1/COUNTIFS(
'YearB-AppDetails Current Date'!A:A,D118,
'YearB-AppDetails Current Date'!F:F,E118,
'YearB-AppDetails Current Date'!E:E,--F118,
'YearB-AppDetails Current Date'!Y:Y,"ENRO",
'YearB-AppDetails Current Date'!I:I,"WINTER")),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HC'!D:T,14,FALSE)),
N(VLOOKUP(D119&amp;F119,'Budgeted Projections Intl HC'!D:T,15,FALSE))
)
),"")</f>
        <v/>
      </c>
      <c r="I119" s="73" t="str">
        <f>IFERROR(1/(1/COUNTIFS(
'YearB-AppDetails Current Date'!A:A,D119,
'YearB-AppDetails Current Date'!F:F,E119,
'YearB-AppDetails Current Date'!E:E,--F119,
'YearB-AppDetails Current Date'!I:I,"WINTER")), "")</f>
        <v/>
      </c>
      <c r="J119" s="74" t="str" cm="1">
        <f t="array" ref="J119">IFERROR(1/(1/SUM(COUNTIFS(
'YearB-AppDetails Current Date'!A:A,D119,
'YearB-AppDetails Current Date'!F:F,E119,
'YearB-AppDetails Current Date'!E:E,--F119,
'YearB-AppDetails Current Date'!O:O,{"ACLN","ACPT","COND"},
'YearB-AppDetails Current Date'!S:S,"&lt;&gt;ACLN",
'YearB-AppDetails Current Date'!S:S,"&lt;&gt;ACPT",
'YearB-AppDetails Current Date'!S:S,"&lt;&gt;COND",
'YearB-AppDetails Current Date'!I:I,"WINTER"))), "")</f>
        <v/>
      </c>
      <c r="K119" s="73" t="str">
        <f>IFERROR(1/(1/SUM(COUNTIFS(
'YearB-AppDetails Current Date'!A:A,D119,
'YearB-AppDetails Current Date'!F:F,E119,
'YearB-AppDetails Current Date'!E:E,--F119,
'YearB-AppDetails Current Date'!R:R,"&lt;&gt;"&amp;"",
'YearB-AppDetails Current Date'!I:I,"WINTER"))), "")</f>
        <v/>
      </c>
      <c r="L119" s="74" t="str" cm="1">
        <f t="array" ref="L119">IFERROR(1/(1/SUM(COUNTIFS(
'YearB-AppDetails Current Date'!A:A,D119,
'YearB-AppDetails Current Date'!F:F,E119,
'YearB-AppDetails Current Date'!E:E,--F119,
'YearB-AppDetails Current Date'!T:T,{"APEX","DENY","NTSL"},
'YearB-AppDetails Current Date'!I:I,"WINTER"))), "")</f>
        <v/>
      </c>
      <c r="M119" s="74" t="str" cm="1">
        <f t="array" ref="M119">IFERROR(1/(1/SUM(COUNTIFS(
'YearB-AppDetails Current Date'!A:A,D119,
'YearB-AppDetails Current Date'!F:F,E119,
'YearB-AppDetails Current Date'!E:E,--F119,
'YearB-AppDetails Current Date'!U:U,{"CCAN","DECL"},
'YearB-AppDetails Current Date'!I:I,"WINTER"))), "")</f>
        <v/>
      </c>
      <c r="N119" s="74" t="str" cm="1">
        <f t="array" ref="N119">IFERROR(1/(1/SUM(COUNTIFS(
'YearB-AppDetails Current Date'!A:A,D119,
'YearB-AppDetails Current Date'!F:F,E119,
'YearB-AppDetails Current Date'!E:E,--F119,
'YearB-AppDetails Current Date'!V:V,{"APRO","NODE"},
'YearB-AppDetails Current Date'!I:I,"WINTER"))), "")</f>
        <v/>
      </c>
      <c r="O119" s="74" t="str" cm="1">
        <f t="array" ref="O119">IFERROR(1/(1/SUM(COUNTIFS(
'YearB-AppDetails Current Date'!A:A,D119,
'YearB-AppDetails Current Date'!F:F,E119,
'YearB-AppDetails Current Date'!E:E,--F119,
'YearB-AppDetails Current Date'!T:T,{"CDMT","RQMT","WAIT"},
'YearB-AppDetails Current Date'!I:I,"WINTER"))), "")</f>
        <v/>
      </c>
      <c r="P119" s="74" t="str">
        <f>IFERROR(1/(1/COUNTIFS(
'YearB-AppDetails Current Date'!A:A,D119,
'YearB-AppDetails Current Date'!F:F,E119,
'YearB-AppDetails Current Date'!E:E,--F119,
'YearB-AppDetails Current Date'!Y:Y,"ENRO",
'YearB-AppDetails Current Date'!I:I,"WINTER")),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HC'!D:T,14,FALSE)),
N(VLOOKUP(D120&amp;F120,'Budgeted Projections Dom HC'!D:T,15,FALSE))
)
),"")</f>
        <v/>
      </c>
      <c r="I120" s="73" t="str">
        <f>IFERROR(1/(1/COUNTIFS(
'YearB-AppDetails Current Date'!A:A,D120,
'YearB-AppDetails Current Date'!F:F,E120,
'YearB-AppDetails Current Date'!E:E,--F120,
'YearB-AppDetails Current Date'!I:I,"WINTER")), "")</f>
        <v/>
      </c>
      <c r="J120" s="74" t="str" cm="1">
        <f t="array" ref="J120">IFERROR(1/(1/SUM(COUNTIFS(
'YearB-AppDetails Current Date'!A:A,D120,
'YearB-AppDetails Current Date'!F:F,E120,
'YearB-AppDetails Current Date'!E:E,--F120,
'YearB-AppDetails Current Date'!O:O,{"ACLN","ACPT","COND"},
'YearB-AppDetails Current Date'!S:S,"&lt;&gt;ACLN",
'YearB-AppDetails Current Date'!S:S,"&lt;&gt;ACPT",
'YearB-AppDetails Current Date'!S:S,"&lt;&gt;COND",
'YearB-AppDetails Current Date'!I:I,"WINTER"))), "")</f>
        <v/>
      </c>
      <c r="K120" s="73" t="str">
        <f>IFERROR(1/(1/SUM(COUNTIFS(
'YearB-AppDetails Current Date'!A:A,D120,
'YearB-AppDetails Current Date'!F:F,E120,
'YearB-AppDetails Current Date'!E:E,--F120,
'YearB-AppDetails Current Date'!R:R,"&lt;&gt;"&amp;"",
'YearB-AppDetails Current Date'!I:I,"WINTER"))), "")</f>
        <v/>
      </c>
      <c r="L120" s="74" t="str" cm="1">
        <f t="array" ref="L120">IFERROR(1/(1/SUM(COUNTIFS(
'YearB-AppDetails Current Date'!A:A,D120,
'YearB-AppDetails Current Date'!F:F,E120,
'YearB-AppDetails Current Date'!E:E,--F120,
'YearB-AppDetails Current Date'!T:T,{"APEX","DENY","NTSL"},
'YearB-AppDetails Current Date'!I:I,"WINTER"))), "")</f>
        <v/>
      </c>
      <c r="M120" s="74" t="str" cm="1">
        <f t="array" ref="M120">IFERROR(1/(1/SUM(COUNTIFS(
'YearB-AppDetails Current Date'!A:A,D120,
'YearB-AppDetails Current Date'!F:F,E120,
'YearB-AppDetails Current Date'!E:E,--F120,
'YearB-AppDetails Current Date'!U:U,{"CCAN","DECL"},
'YearB-AppDetails Current Date'!I:I,"WINTER"))), "")</f>
        <v/>
      </c>
      <c r="N120" s="74" t="str" cm="1">
        <f t="array" ref="N120">IFERROR(1/(1/SUM(COUNTIFS(
'YearB-AppDetails Current Date'!A:A,D120,
'YearB-AppDetails Current Date'!F:F,E120,
'YearB-AppDetails Current Date'!E:E,--F120,
'YearB-AppDetails Current Date'!V:V,{"APRO","NODE"},
'YearB-AppDetails Current Date'!I:I,"WINTER"))), "")</f>
        <v/>
      </c>
      <c r="O120" s="74" t="str" cm="1">
        <f t="array" ref="O120">IFERROR(1/(1/SUM(COUNTIFS(
'YearB-AppDetails Current Date'!A:A,D120,
'YearB-AppDetails Current Date'!F:F,E120,
'YearB-AppDetails Current Date'!E:E,--F120,
'YearB-AppDetails Current Date'!T:T,{"CDMT","RQMT","WAIT"},
'YearB-AppDetails Current Date'!I:I,"WINTER"))), "")</f>
        <v/>
      </c>
      <c r="P120" s="74" t="str">
        <f>IFERROR(1/(1/COUNTIFS(
'YearB-AppDetails Current Date'!A:A,D120,
'YearB-AppDetails Current Date'!F:F,E120,
'YearB-AppDetails Current Date'!E:E,--F120,
'YearB-AppDetails Current Date'!Y:Y,"ENRO",
'YearB-AppDetails Current Date'!I:I,"WINTER")),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HC'!D:T,14,FALSE)),
N(VLOOKUP(D121&amp;F121,'Budgeted Projections Intl HC'!D:T,15,FALSE))
)
),"")</f>
        <v/>
      </c>
      <c r="I121" s="73" t="str">
        <f>IFERROR(1/(1/COUNTIFS(
'YearB-AppDetails Current Date'!A:A,D121,
'YearB-AppDetails Current Date'!F:F,E121,
'YearB-AppDetails Current Date'!E:E,--F121,
'YearB-AppDetails Current Date'!I:I,"WINTER")), "")</f>
        <v/>
      </c>
      <c r="J121" s="74" t="str" cm="1">
        <f t="array" ref="J121">IFERROR(1/(1/SUM(COUNTIFS(
'YearB-AppDetails Current Date'!A:A,D121,
'YearB-AppDetails Current Date'!F:F,E121,
'YearB-AppDetails Current Date'!E:E,--F121,
'YearB-AppDetails Current Date'!O:O,{"ACLN","ACPT","COND"},
'YearB-AppDetails Current Date'!S:S,"&lt;&gt;ACLN",
'YearB-AppDetails Current Date'!S:S,"&lt;&gt;ACPT",
'YearB-AppDetails Current Date'!S:S,"&lt;&gt;COND",
'YearB-AppDetails Current Date'!I:I,"WINTER"))), "")</f>
        <v/>
      </c>
      <c r="K121" s="73" t="str">
        <f>IFERROR(1/(1/SUM(COUNTIFS(
'YearB-AppDetails Current Date'!A:A,D121,
'YearB-AppDetails Current Date'!F:F,E121,
'YearB-AppDetails Current Date'!E:E,--F121,
'YearB-AppDetails Current Date'!R:R,"&lt;&gt;"&amp;"",
'YearB-AppDetails Current Date'!I:I,"WINTER"))), "")</f>
        <v/>
      </c>
      <c r="L121" s="74" t="str" cm="1">
        <f t="array" ref="L121">IFERROR(1/(1/SUM(COUNTIFS(
'YearB-AppDetails Current Date'!A:A,D121,
'YearB-AppDetails Current Date'!F:F,E121,
'YearB-AppDetails Current Date'!E:E,--F121,
'YearB-AppDetails Current Date'!T:T,{"APEX","DENY","NTSL"},
'YearB-AppDetails Current Date'!I:I,"WINTER"))), "")</f>
        <v/>
      </c>
      <c r="M121" s="74" t="str" cm="1">
        <f t="array" ref="M121">IFERROR(1/(1/SUM(COUNTIFS(
'YearB-AppDetails Current Date'!A:A,D121,
'YearB-AppDetails Current Date'!F:F,E121,
'YearB-AppDetails Current Date'!E:E,--F121,
'YearB-AppDetails Current Date'!U:U,{"CCAN","DECL"},
'YearB-AppDetails Current Date'!I:I,"WINTER"))), "")</f>
        <v/>
      </c>
      <c r="N121" s="74" t="str" cm="1">
        <f t="array" ref="N121">IFERROR(1/(1/SUM(COUNTIFS(
'YearB-AppDetails Current Date'!A:A,D121,
'YearB-AppDetails Current Date'!F:F,E121,
'YearB-AppDetails Current Date'!E:E,--F121,
'YearB-AppDetails Current Date'!V:V,{"APRO","NODE"},
'YearB-AppDetails Current Date'!I:I,"WINTER"))), "")</f>
        <v/>
      </c>
      <c r="O121" s="74" t="str" cm="1">
        <f t="array" ref="O121">IFERROR(1/(1/SUM(COUNTIFS(
'YearB-AppDetails Current Date'!A:A,D121,
'YearB-AppDetails Current Date'!F:F,E121,
'YearB-AppDetails Current Date'!E:E,--F121,
'YearB-AppDetails Current Date'!T:T,{"CDMT","RQMT","WAIT"},
'YearB-AppDetails Current Date'!I:I,"WINTER"))), "")</f>
        <v/>
      </c>
      <c r="P121" s="74" t="str">
        <f>IFERROR(1/(1/COUNTIFS(
'YearB-AppDetails Current Date'!A:A,D121,
'YearB-AppDetails Current Date'!F:F,E121,
'YearB-AppDetails Current Date'!E:E,--F121,
'YearB-AppDetails Current Date'!Y:Y,"ENRO",
'YearB-AppDetails Current Date'!I:I,"WINTER")),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HC'!D:T,14,FALSE)),
N(VLOOKUP(D122&amp;F122,'Budgeted Projections Dom HC'!D:T,15,FALSE))
)
),"")</f>
        <v/>
      </c>
      <c r="I122" s="73" t="str">
        <f>IFERROR(1/(1/COUNTIFS(
'YearB-AppDetails Current Date'!A:A,D122,
'YearB-AppDetails Current Date'!F:F,E122,
'YearB-AppDetails Current Date'!E:E,--F122,
'YearB-AppDetails Current Date'!I:I,"WINTER")), "")</f>
        <v/>
      </c>
      <c r="J122" s="74" t="str" cm="1">
        <f t="array" ref="J122">IFERROR(1/(1/SUM(COUNTIFS(
'YearB-AppDetails Current Date'!A:A,D122,
'YearB-AppDetails Current Date'!F:F,E122,
'YearB-AppDetails Current Date'!E:E,--F122,
'YearB-AppDetails Current Date'!O:O,{"ACLN","ACPT","COND"},
'YearB-AppDetails Current Date'!S:S,"&lt;&gt;ACLN",
'YearB-AppDetails Current Date'!S:S,"&lt;&gt;ACPT",
'YearB-AppDetails Current Date'!S:S,"&lt;&gt;COND",
'YearB-AppDetails Current Date'!I:I,"WINTER"))), "")</f>
        <v/>
      </c>
      <c r="K122" s="73" t="str">
        <f>IFERROR(1/(1/SUM(COUNTIFS(
'YearB-AppDetails Current Date'!A:A,D122,
'YearB-AppDetails Current Date'!F:F,E122,
'YearB-AppDetails Current Date'!E:E,--F122,
'YearB-AppDetails Current Date'!R:R,"&lt;&gt;"&amp;"",
'YearB-AppDetails Current Date'!I:I,"WINTER"))), "")</f>
        <v/>
      </c>
      <c r="L122" s="74" t="str" cm="1">
        <f t="array" ref="L122">IFERROR(1/(1/SUM(COUNTIFS(
'YearB-AppDetails Current Date'!A:A,D122,
'YearB-AppDetails Current Date'!F:F,E122,
'YearB-AppDetails Current Date'!E:E,--F122,
'YearB-AppDetails Current Date'!T:T,{"APEX","DENY","NTSL"},
'YearB-AppDetails Current Date'!I:I,"WINTER"))), "")</f>
        <v/>
      </c>
      <c r="M122" s="74" t="str" cm="1">
        <f t="array" ref="M122">IFERROR(1/(1/SUM(COUNTIFS(
'YearB-AppDetails Current Date'!A:A,D122,
'YearB-AppDetails Current Date'!F:F,E122,
'YearB-AppDetails Current Date'!E:E,--F122,
'YearB-AppDetails Current Date'!U:U,{"CCAN","DECL"},
'YearB-AppDetails Current Date'!I:I,"WINTER"))), "")</f>
        <v/>
      </c>
      <c r="N122" s="74" t="str" cm="1">
        <f t="array" ref="N122">IFERROR(1/(1/SUM(COUNTIFS(
'YearB-AppDetails Current Date'!A:A,D122,
'YearB-AppDetails Current Date'!F:F,E122,
'YearB-AppDetails Current Date'!E:E,--F122,
'YearB-AppDetails Current Date'!V:V,{"APRO","NODE"},
'YearB-AppDetails Current Date'!I:I,"WINTER"))), "")</f>
        <v/>
      </c>
      <c r="O122" s="74" t="str" cm="1">
        <f t="array" ref="O122">IFERROR(1/(1/SUM(COUNTIFS(
'YearB-AppDetails Current Date'!A:A,D122,
'YearB-AppDetails Current Date'!F:F,E122,
'YearB-AppDetails Current Date'!E:E,--F122,
'YearB-AppDetails Current Date'!T:T,{"CDMT","RQMT","WAIT"},
'YearB-AppDetails Current Date'!I:I,"WINTER"))), "")</f>
        <v/>
      </c>
      <c r="P122" s="74" t="str">
        <f>IFERROR(1/(1/COUNTIFS(
'YearB-AppDetails Current Date'!A:A,D122,
'YearB-AppDetails Current Date'!F:F,E122,
'YearB-AppDetails Current Date'!E:E,--F122,
'YearB-AppDetails Current Date'!Y:Y,"ENRO",
'YearB-AppDetails Current Date'!I:I,"WINTER")),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HC'!D:T,14,FALSE)),
N(VLOOKUP(D123&amp;F123,'Budgeted Projections Intl HC'!D:T,15,FALSE))
)
),"")</f>
        <v/>
      </c>
      <c r="I123" s="73" t="str">
        <f>IFERROR(1/(1/COUNTIFS(
'YearB-AppDetails Current Date'!A:A,D123,
'YearB-AppDetails Current Date'!F:F,E123,
'YearB-AppDetails Current Date'!E:E,--F123,
'YearB-AppDetails Current Date'!I:I,"WINTER")), "")</f>
        <v/>
      </c>
      <c r="J123" s="74" t="str" cm="1">
        <f t="array" ref="J123">IFERROR(1/(1/SUM(COUNTIFS(
'YearB-AppDetails Current Date'!A:A,D123,
'YearB-AppDetails Current Date'!F:F,E123,
'YearB-AppDetails Current Date'!E:E,--F123,
'YearB-AppDetails Current Date'!O:O,{"ACLN","ACPT","COND"},
'YearB-AppDetails Current Date'!S:S,"&lt;&gt;ACLN",
'YearB-AppDetails Current Date'!S:S,"&lt;&gt;ACPT",
'YearB-AppDetails Current Date'!S:S,"&lt;&gt;COND",
'YearB-AppDetails Current Date'!I:I,"WINTER"))), "")</f>
        <v/>
      </c>
      <c r="K123" s="73" t="str">
        <f>IFERROR(1/(1/SUM(COUNTIFS(
'YearB-AppDetails Current Date'!A:A,D123,
'YearB-AppDetails Current Date'!F:F,E123,
'YearB-AppDetails Current Date'!E:E,--F123,
'YearB-AppDetails Current Date'!R:R,"&lt;&gt;"&amp;"",
'YearB-AppDetails Current Date'!I:I,"WINTER"))), "")</f>
        <v/>
      </c>
      <c r="L123" s="74" t="str" cm="1">
        <f t="array" ref="L123">IFERROR(1/(1/SUM(COUNTIFS(
'YearB-AppDetails Current Date'!A:A,D123,
'YearB-AppDetails Current Date'!F:F,E123,
'YearB-AppDetails Current Date'!E:E,--F123,
'YearB-AppDetails Current Date'!T:T,{"APEX","DENY","NTSL"},
'YearB-AppDetails Current Date'!I:I,"WINTER"))), "")</f>
        <v/>
      </c>
      <c r="M123" s="74" t="str" cm="1">
        <f t="array" ref="M123">IFERROR(1/(1/SUM(COUNTIFS(
'YearB-AppDetails Current Date'!A:A,D123,
'YearB-AppDetails Current Date'!F:F,E123,
'YearB-AppDetails Current Date'!E:E,--F123,
'YearB-AppDetails Current Date'!U:U,{"CCAN","DECL"},
'YearB-AppDetails Current Date'!I:I,"WINTER"))), "")</f>
        <v/>
      </c>
      <c r="N123" s="74" t="str" cm="1">
        <f t="array" ref="N123">IFERROR(1/(1/SUM(COUNTIFS(
'YearB-AppDetails Current Date'!A:A,D123,
'YearB-AppDetails Current Date'!F:F,E123,
'YearB-AppDetails Current Date'!E:E,--F123,
'YearB-AppDetails Current Date'!V:V,{"APRO","NODE"},
'YearB-AppDetails Current Date'!I:I,"WINTER"))), "")</f>
        <v/>
      </c>
      <c r="O123" s="74" t="str" cm="1">
        <f t="array" ref="O123">IFERROR(1/(1/SUM(COUNTIFS(
'YearB-AppDetails Current Date'!A:A,D123,
'YearB-AppDetails Current Date'!F:F,E123,
'YearB-AppDetails Current Date'!E:E,--F123,
'YearB-AppDetails Current Date'!T:T,{"CDMT","RQMT","WAIT"},
'YearB-AppDetails Current Date'!I:I,"WINTER"))), "")</f>
        <v/>
      </c>
      <c r="P123" s="74" t="str">
        <f>IFERROR(1/(1/COUNTIFS(
'YearB-AppDetails Current Date'!A:A,D123,
'YearB-AppDetails Current Date'!F:F,E123,
'YearB-AppDetails Current Date'!E:E,--F123,
'YearB-AppDetails Current Date'!Y:Y,"ENRO",
'YearB-AppDetails Current Date'!I:I,"WINTER")),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HC'!D:T,14,FALSE)),
N(VLOOKUP(D124&amp;F124,'Budgeted Projections Dom HC'!D:T,15,FALSE))
)
),"")</f>
        <v/>
      </c>
      <c r="I124" s="73" t="str">
        <f>IFERROR(1/(1/COUNTIFS(
'YearB-AppDetails Current Date'!A:A,D124,
'YearB-AppDetails Current Date'!F:F,E124,
'YearB-AppDetails Current Date'!E:E,--F124,
'YearB-AppDetails Current Date'!I:I,"WINTER")), "")</f>
        <v/>
      </c>
      <c r="J124" s="74" t="str" cm="1">
        <f t="array" ref="J124">IFERROR(1/(1/SUM(COUNTIFS(
'YearB-AppDetails Current Date'!A:A,D124,
'YearB-AppDetails Current Date'!F:F,E124,
'YearB-AppDetails Current Date'!E:E,--F124,
'YearB-AppDetails Current Date'!O:O,{"ACLN","ACPT","COND"},
'YearB-AppDetails Current Date'!S:S,"&lt;&gt;ACLN",
'YearB-AppDetails Current Date'!S:S,"&lt;&gt;ACPT",
'YearB-AppDetails Current Date'!S:S,"&lt;&gt;COND",
'YearB-AppDetails Current Date'!I:I,"WINTER"))), "")</f>
        <v/>
      </c>
      <c r="K124" s="73" t="str">
        <f>IFERROR(1/(1/SUM(COUNTIFS(
'YearB-AppDetails Current Date'!A:A,D124,
'YearB-AppDetails Current Date'!F:F,E124,
'YearB-AppDetails Current Date'!E:E,--F124,
'YearB-AppDetails Current Date'!R:R,"&lt;&gt;"&amp;"",
'YearB-AppDetails Current Date'!I:I,"WINTER"))), "")</f>
        <v/>
      </c>
      <c r="L124" s="74" t="str" cm="1">
        <f t="array" ref="L124">IFERROR(1/(1/SUM(COUNTIFS(
'YearB-AppDetails Current Date'!A:A,D124,
'YearB-AppDetails Current Date'!F:F,E124,
'YearB-AppDetails Current Date'!E:E,--F124,
'YearB-AppDetails Current Date'!T:T,{"APEX","DENY","NTSL"},
'YearB-AppDetails Current Date'!I:I,"WINTER"))), "")</f>
        <v/>
      </c>
      <c r="M124" s="74" t="str" cm="1">
        <f t="array" ref="M124">IFERROR(1/(1/SUM(COUNTIFS(
'YearB-AppDetails Current Date'!A:A,D124,
'YearB-AppDetails Current Date'!F:F,E124,
'YearB-AppDetails Current Date'!E:E,--F124,
'YearB-AppDetails Current Date'!U:U,{"CCAN","DECL"},
'YearB-AppDetails Current Date'!I:I,"WINTER"))), "")</f>
        <v/>
      </c>
      <c r="N124" s="74" t="str" cm="1">
        <f t="array" ref="N124">IFERROR(1/(1/SUM(COUNTIFS(
'YearB-AppDetails Current Date'!A:A,D124,
'YearB-AppDetails Current Date'!F:F,E124,
'YearB-AppDetails Current Date'!E:E,--F124,
'YearB-AppDetails Current Date'!V:V,{"APRO","NODE"},
'YearB-AppDetails Current Date'!I:I,"WINTER"))), "")</f>
        <v/>
      </c>
      <c r="O124" s="74" t="str" cm="1">
        <f t="array" ref="O124">IFERROR(1/(1/SUM(COUNTIFS(
'YearB-AppDetails Current Date'!A:A,D124,
'YearB-AppDetails Current Date'!F:F,E124,
'YearB-AppDetails Current Date'!E:E,--F124,
'YearB-AppDetails Current Date'!T:T,{"CDMT","RQMT","WAIT"},
'YearB-AppDetails Current Date'!I:I,"WINTER"))), "")</f>
        <v/>
      </c>
      <c r="P124" s="74" t="str">
        <f>IFERROR(1/(1/COUNTIFS(
'YearB-AppDetails Current Date'!A:A,D124,
'YearB-AppDetails Current Date'!F:F,E124,
'YearB-AppDetails Current Date'!E:E,--F124,
'YearB-AppDetails Current Date'!Y:Y,"ENRO",
'YearB-AppDetails Current Date'!I:I,"WINTER")),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HC'!D:T,14,FALSE)),
N(VLOOKUP(D125&amp;F125,'Budgeted Projections Intl HC'!D:T,15,FALSE))
)
),"")</f>
        <v/>
      </c>
      <c r="I125" s="73" t="str">
        <f>IFERROR(1/(1/COUNTIFS(
'YearB-AppDetails Current Date'!A:A,D125,
'YearB-AppDetails Current Date'!F:F,E125,
'YearB-AppDetails Current Date'!E:E,--F125,
'YearB-AppDetails Current Date'!I:I,"WINTER")), "")</f>
        <v/>
      </c>
      <c r="J125" s="74" t="str" cm="1">
        <f t="array" ref="J125">IFERROR(1/(1/SUM(COUNTIFS(
'YearB-AppDetails Current Date'!A:A,D125,
'YearB-AppDetails Current Date'!F:F,E125,
'YearB-AppDetails Current Date'!E:E,--F125,
'YearB-AppDetails Current Date'!O:O,{"ACLN","ACPT","COND"},
'YearB-AppDetails Current Date'!S:S,"&lt;&gt;ACLN",
'YearB-AppDetails Current Date'!S:S,"&lt;&gt;ACPT",
'YearB-AppDetails Current Date'!S:S,"&lt;&gt;COND",
'YearB-AppDetails Current Date'!I:I,"WINTER"))), "")</f>
        <v/>
      </c>
      <c r="K125" s="73" t="str">
        <f>IFERROR(1/(1/SUM(COUNTIFS(
'YearB-AppDetails Current Date'!A:A,D125,
'YearB-AppDetails Current Date'!F:F,E125,
'YearB-AppDetails Current Date'!E:E,--F125,
'YearB-AppDetails Current Date'!R:R,"&lt;&gt;"&amp;"",
'YearB-AppDetails Current Date'!I:I,"WINTER"))), "")</f>
        <v/>
      </c>
      <c r="L125" s="74" t="str" cm="1">
        <f t="array" ref="L125">IFERROR(1/(1/SUM(COUNTIFS(
'YearB-AppDetails Current Date'!A:A,D125,
'YearB-AppDetails Current Date'!F:F,E125,
'YearB-AppDetails Current Date'!E:E,--F125,
'YearB-AppDetails Current Date'!T:T,{"APEX","DENY","NTSL"},
'YearB-AppDetails Current Date'!I:I,"WINTER"))), "")</f>
        <v/>
      </c>
      <c r="M125" s="74" t="str" cm="1">
        <f t="array" ref="M125">IFERROR(1/(1/SUM(COUNTIFS(
'YearB-AppDetails Current Date'!A:A,D125,
'YearB-AppDetails Current Date'!F:F,E125,
'YearB-AppDetails Current Date'!E:E,--F125,
'YearB-AppDetails Current Date'!U:U,{"CCAN","DECL"},
'YearB-AppDetails Current Date'!I:I,"WINTER"))), "")</f>
        <v/>
      </c>
      <c r="N125" s="74" t="str" cm="1">
        <f t="array" ref="N125">IFERROR(1/(1/SUM(COUNTIFS(
'YearB-AppDetails Current Date'!A:A,D125,
'YearB-AppDetails Current Date'!F:F,E125,
'YearB-AppDetails Current Date'!E:E,--F125,
'YearB-AppDetails Current Date'!V:V,{"APRO","NODE"},
'YearB-AppDetails Current Date'!I:I,"WINTER"))), "")</f>
        <v/>
      </c>
      <c r="O125" s="74" t="str" cm="1">
        <f t="array" ref="O125">IFERROR(1/(1/SUM(COUNTIFS(
'YearB-AppDetails Current Date'!A:A,D125,
'YearB-AppDetails Current Date'!F:F,E125,
'YearB-AppDetails Current Date'!E:E,--F125,
'YearB-AppDetails Current Date'!T:T,{"CDMT","RQMT","WAIT"},
'YearB-AppDetails Current Date'!I:I,"WINTER"))), "")</f>
        <v/>
      </c>
      <c r="P125" s="74" t="str">
        <f>IFERROR(1/(1/COUNTIFS(
'YearB-AppDetails Current Date'!A:A,D125,
'YearB-AppDetails Current Date'!F:F,E125,
'YearB-AppDetails Current Date'!E:E,--F125,
'YearB-AppDetails Current Date'!Y:Y,"ENRO",
'YearB-AppDetails Current Date'!I:I,"WINTER")),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HC'!D:T,14,FALSE)),
N(VLOOKUP(D126&amp;F126,'Budgeted Projections Dom HC'!D:T,15,FALSE))
)
),"")</f>
        <v/>
      </c>
      <c r="I126" s="73" t="str">
        <f>IFERROR(1/(1/COUNTIFS(
'YearB-AppDetails Current Date'!A:A,D126,
'YearB-AppDetails Current Date'!F:F,E126,
'YearB-AppDetails Current Date'!E:E,--F126,
'YearB-AppDetails Current Date'!I:I,"WINTER")), "")</f>
        <v/>
      </c>
      <c r="J126" s="74" t="str" cm="1">
        <f t="array" ref="J126">IFERROR(1/(1/SUM(COUNTIFS(
'YearB-AppDetails Current Date'!A:A,D126,
'YearB-AppDetails Current Date'!F:F,E126,
'YearB-AppDetails Current Date'!E:E,--F126,
'YearB-AppDetails Current Date'!O:O,{"ACLN","ACPT","COND"},
'YearB-AppDetails Current Date'!S:S,"&lt;&gt;ACLN",
'YearB-AppDetails Current Date'!S:S,"&lt;&gt;ACPT",
'YearB-AppDetails Current Date'!S:S,"&lt;&gt;COND",
'YearB-AppDetails Current Date'!I:I,"WINTER"))), "")</f>
        <v/>
      </c>
      <c r="K126" s="73" t="str">
        <f>IFERROR(1/(1/SUM(COUNTIFS(
'YearB-AppDetails Current Date'!A:A,D126,
'YearB-AppDetails Current Date'!F:F,E126,
'YearB-AppDetails Current Date'!E:E,--F126,
'YearB-AppDetails Current Date'!R:R,"&lt;&gt;"&amp;"",
'YearB-AppDetails Current Date'!I:I,"WINTER"))), "")</f>
        <v/>
      </c>
      <c r="L126" s="74" t="str" cm="1">
        <f t="array" ref="L126">IFERROR(1/(1/SUM(COUNTIFS(
'YearB-AppDetails Current Date'!A:A,D126,
'YearB-AppDetails Current Date'!F:F,E126,
'YearB-AppDetails Current Date'!E:E,--F126,
'YearB-AppDetails Current Date'!T:T,{"APEX","DENY","NTSL"},
'YearB-AppDetails Current Date'!I:I,"WINTER"))), "")</f>
        <v/>
      </c>
      <c r="M126" s="74" t="str" cm="1">
        <f t="array" ref="M126">IFERROR(1/(1/SUM(COUNTIFS(
'YearB-AppDetails Current Date'!A:A,D126,
'YearB-AppDetails Current Date'!F:F,E126,
'YearB-AppDetails Current Date'!E:E,--F126,
'YearB-AppDetails Current Date'!U:U,{"CCAN","DECL"},
'YearB-AppDetails Current Date'!I:I,"WINTER"))), "")</f>
        <v/>
      </c>
      <c r="N126" s="74" t="str" cm="1">
        <f t="array" ref="N126">IFERROR(1/(1/SUM(COUNTIFS(
'YearB-AppDetails Current Date'!A:A,D126,
'YearB-AppDetails Current Date'!F:F,E126,
'YearB-AppDetails Current Date'!E:E,--F126,
'YearB-AppDetails Current Date'!V:V,{"APRO","NODE"},
'YearB-AppDetails Current Date'!I:I,"WINTER"))), "")</f>
        <v/>
      </c>
      <c r="O126" s="74" t="str" cm="1">
        <f t="array" ref="O126">IFERROR(1/(1/SUM(COUNTIFS(
'YearB-AppDetails Current Date'!A:A,D126,
'YearB-AppDetails Current Date'!F:F,E126,
'YearB-AppDetails Current Date'!E:E,--F126,
'YearB-AppDetails Current Date'!T:T,{"CDMT","RQMT","WAIT"},
'YearB-AppDetails Current Date'!I:I,"WINTER"))), "")</f>
        <v/>
      </c>
      <c r="P126" s="74" t="str">
        <f>IFERROR(1/(1/COUNTIFS(
'YearB-AppDetails Current Date'!A:A,D126,
'YearB-AppDetails Current Date'!F:F,E126,
'YearB-AppDetails Current Date'!E:E,--F126,
'YearB-AppDetails Current Date'!Y:Y,"ENRO",
'YearB-AppDetails Current Date'!I:I,"WINTER")),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HC'!D:T,14,FALSE)),
N(VLOOKUP(D127&amp;F127,'Budgeted Projections Intl HC'!D:T,15,FALSE))
)
),"")</f>
        <v/>
      </c>
      <c r="I127" s="73" t="str">
        <f>IFERROR(1/(1/COUNTIFS(
'YearB-AppDetails Current Date'!A:A,D127,
'YearB-AppDetails Current Date'!F:F,E127,
'YearB-AppDetails Current Date'!E:E,--F127,
'YearB-AppDetails Current Date'!I:I,"WINTER")), "")</f>
        <v/>
      </c>
      <c r="J127" s="74" t="str" cm="1">
        <f t="array" ref="J127">IFERROR(1/(1/SUM(COUNTIFS(
'YearB-AppDetails Current Date'!A:A,D127,
'YearB-AppDetails Current Date'!F:F,E127,
'YearB-AppDetails Current Date'!E:E,--F127,
'YearB-AppDetails Current Date'!O:O,{"ACLN","ACPT","COND"},
'YearB-AppDetails Current Date'!S:S,"&lt;&gt;ACLN",
'YearB-AppDetails Current Date'!S:S,"&lt;&gt;ACPT",
'YearB-AppDetails Current Date'!S:S,"&lt;&gt;COND",
'YearB-AppDetails Current Date'!I:I,"WINTER"))), "")</f>
        <v/>
      </c>
      <c r="K127" s="73" t="str">
        <f>IFERROR(1/(1/SUM(COUNTIFS(
'YearB-AppDetails Current Date'!A:A,D127,
'YearB-AppDetails Current Date'!F:F,E127,
'YearB-AppDetails Current Date'!E:E,--F127,
'YearB-AppDetails Current Date'!R:R,"&lt;&gt;"&amp;"",
'YearB-AppDetails Current Date'!I:I,"WINTER"))), "")</f>
        <v/>
      </c>
      <c r="L127" s="74" t="str" cm="1">
        <f t="array" ref="L127">IFERROR(1/(1/SUM(COUNTIFS(
'YearB-AppDetails Current Date'!A:A,D127,
'YearB-AppDetails Current Date'!F:F,E127,
'YearB-AppDetails Current Date'!E:E,--F127,
'YearB-AppDetails Current Date'!T:T,{"APEX","DENY","NTSL"},
'YearB-AppDetails Current Date'!I:I,"WINTER"))), "")</f>
        <v/>
      </c>
      <c r="M127" s="74" t="str" cm="1">
        <f t="array" ref="M127">IFERROR(1/(1/SUM(COUNTIFS(
'YearB-AppDetails Current Date'!A:A,D127,
'YearB-AppDetails Current Date'!F:F,E127,
'YearB-AppDetails Current Date'!E:E,--F127,
'YearB-AppDetails Current Date'!U:U,{"CCAN","DECL"},
'YearB-AppDetails Current Date'!I:I,"WINTER"))), "")</f>
        <v/>
      </c>
      <c r="N127" s="74" t="str" cm="1">
        <f t="array" ref="N127">IFERROR(1/(1/SUM(COUNTIFS(
'YearB-AppDetails Current Date'!A:A,D127,
'YearB-AppDetails Current Date'!F:F,E127,
'YearB-AppDetails Current Date'!E:E,--F127,
'YearB-AppDetails Current Date'!V:V,{"APRO","NODE"},
'YearB-AppDetails Current Date'!I:I,"WINTER"))), "")</f>
        <v/>
      </c>
      <c r="O127" s="74" t="str" cm="1">
        <f t="array" ref="O127">IFERROR(1/(1/SUM(COUNTIFS(
'YearB-AppDetails Current Date'!A:A,D127,
'YearB-AppDetails Current Date'!F:F,E127,
'YearB-AppDetails Current Date'!E:E,--F127,
'YearB-AppDetails Current Date'!T:T,{"CDMT","RQMT","WAIT"},
'YearB-AppDetails Current Date'!I:I,"WINTER"))), "")</f>
        <v/>
      </c>
      <c r="P127" s="74" t="str">
        <f>IFERROR(1/(1/COUNTIFS(
'YearB-AppDetails Current Date'!A:A,D127,
'YearB-AppDetails Current Date'!F:F,E127,
'YearB-AppDetails Current Date'!E:E,--F127,
'YearB-AppDetails Current Date'!Y:Y,"ENRO",
'YearB-AppDetails Current Date'!I:I,"WINTER")),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HC'!D:T,14,FALSE)),
N(VLOOKUP(D129&amp;F129,'Budgeted Projections Dom HC'!D:T,15,FALSE))
)
),"")</f>
        <v/>
      </c>
      <c r="I129" s="73" t="str">
        <f>IFERROR(1/(1/COUNTIFS(
'YearB-AppDetails Current Date'!A:A,D129,
'YearB-AppDetails Current Date'!F:F,E129,
'YearB-AppDetails Current Date'!E:E,--F129,
'YearB-AppDetails Current Date'!I:I,"WINTER")), "")</f>
        <v/>
      </c>
      <c r="J129" s="74" t="str" cm="1">
        <f t="array" ref="J129">IFERROR(1/(1/SUM(COUNTIFS(
'YearB-AppDetails Current Date'!A:A,D129,
'YearB-AppDetails Current Date'!F:F,E129,
'YearB-AppDetails Current Date'!E:E,--F129,
'YearB-AppDetails Current Date'!O:O,{"ACLN","ACPT","COND"},
'YearB-AppDetails Current Date'!S:S,"&lt;&gt;ACLN",
'YearB-AppDetails Current Date'!S:S,"&lt;&gt;ACPT",
'YearB-AppDetails Current Date'!S:S,"&lt;&gt;COND",
'YearB-AppDetails Current Date'!I:I,"WINTER"))), "")</f>
        <v/>
      </c>
      <c r="K129" s="73" t="str">
        <f>IFERROR(1/(1/SUM(COUNTIFS(
'YearB-AppDetails Current Date'!A:A,D129,
'YearB-AppDetails Current Date'!F:F,E129,
'YearB-AppDetails Current Date'!E:E,--F129,
'YearB-AppDetails Current Date'!R:R,"&lt;&gt;"&amp;"",
'YearB-AppDetails Current Date'!I:I,"WINTER"))), "")</f>
        <v/>
      </c>
      <c r="L129" s="74" t="str" cm="1">
        <f t="array" ref="L129">IFERROR(1/(1/SUM(COUNTIFS(
'YearB-AppDetails Current Date'!A:A,D129,
'YearB-AppDetails Current Date'!F:F,E129,
'YearB-AppDetails Current Date'!E:E,--F129,
'YearB-AppDetails Current Date'!T:T,{"APEX","DENY","NTSL"},
'YearB-AppDetails Current Date'!I:I,"WINTER"))), "")</f>
        <v/>
      </c>
      <c r="M129" s="74" t="str" cm="1">
        <f t="array" ref="M129">IFERROR(1/(1/SUM(COUNTIFS(
'YearB-AppDetails Current Date'!A:A,D129,
'YearB-AppDetails Current Date'!F:F,E129,
'YearB-AppDetails Current Date'!E:E,--F129,
'YearB-AppDetails Current Date'!U:U,{"CCAN","DECL"},
'YearB-AppDetails Current Date'!I:I,"WINTER"))), "")</f>
        <v/>
      </c>
      <c r="N129" s="74" t="str" cm="1">
        <f t="array" ref="N129">IFERROR(1/(1/SUM(COUNTIFS(
'YearB-AppDetails Current Date'!A:A,D129,
'YearB-AppDetails Current Date'!F:F,E129,
'YearB-AppDetails Current Date'!E:E,--F129,
'YearB-AppDetails Current Date'!V:V,{"APRO","NODE"},
'YearB-AppDetails Current Date'!I:I,"WINTER"))), "")</f>
        <v/>
      </c>
      <c r="O129" s="74" t="str" cm="1">
        <f t="array" ref="O129">IFERROR(1/(1/SUM(COUNTIFS(
'YearB-AppDetails Current Date'!A:A,D129,
'YearB-AppDetails Current Date'!F:F,E129,
'YearB-AppDetails Current Date'!E:E,--F129,
'YearB-AppDetails Current Date'!T:T,{"CDMT","RQMT","WAIT"},
'YearB-AppDetails Current Date'!I:I,"WINTER"))), "")</f>
        <v/>
      </c>
      <c r="P129" s="74" t="str">
        <f>IFERROR(1/(1/COUNTIFS(
'YearB-AppDetails Current Date'!A:A,D129,
'YearB-AppDetails Current Date'!F:F,E129,
'YearB-AppDetails Current Date'!E:E,--F129,
'YearB-AppDetails Current Date'!Y:Y,"ENRO",
'YearB-AppDetails Current Date'!I:I,"WINTER")),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HC'!D:T,14,FALSE)),
N(VLOOKUP(D130&amp;F130,'Budgeted Projections Intl HC'!D:T,15,FALSE))
)
),"")</f>
        <v/>
      </c>
      <c r="I130" s="73" t="str">
        <f>IFERROR(1/(1/COUNTIFS(
'YearB-AppDetails Current Date'!A:A,D130,
'YearB-AppDetails Current Date'!F:F,E130,
'YearB-AppDetails Current Date'!E:E,--F130,
'YearB-AppDetails Current Date'!I:I,"WINTER")), "")</f>
        <v/>
      </c>
      <c r="J130" s="74" t="str" cm="1">
        <f t="array" ref="J130">IFERROR(1/(1/SUM(COUNTIFS(
'YearB-AppDetails Current Date'!A:A,D130,
'YearB-AppDetails Current Date'!F:F,E130,
'YearB-AppDetails Current Date'!E:E,--F130,
'YearB-AppDetails Current Date'!O:O,{"ACLN","ACPT","COND"},
'YearB-AppDetails Current Date'!S:S,"&lt;&gt;ACLN",
'YearB-AppDetails Current Date'!S:S,"&lt;&gt;ACPT",
'YearB-AppDetails Current Date'!S:S,"&lt;&gt;COND",
'YearB-AppDetails Current Date'!I:I,"WINTER"))), "")</f>
        <v/>
      </c>
      <c r="K130" s="73" t="str">
        <f>IFERROR(1/(1/SUM(COUNTIFS(
'YearB-AppDetails Current Date'!A:A,D130,
'YearB-AppDetails Current Date'!F:F,E130,
'YearB-AppDetails Current Date'!E:E,--F130,
'YearB-AppDetails Current Date'!R:R,"&lt;&gt;"&amp;"",
'YearB-AppDetails Current Date'!I:I,"WINTER"))), "")</f>
        <v/>
      </c>
      <c r="L130" s="74" t="str" cm="1">
        <f t="array" ref="L130">IFERROR(1/(1/SUM(COUNTIFS(
'YearB-AppDetails Current Date'!A:A,D130,
'YearB-AppDetails Current Date'!F:F,E130,
'YearB-AppDetails Current Date'!E:E,--F130,
'YearB-AppDetails Current Date'!T:T,{"APEX","DENY","NTSL"},
'YearB-AppDetails Current Date'!I:I,"WINTER"))), "")</f>
        <v/>
      </c>
      <c r="M130" s="74" t="str" cm="1">
        <f t="array" ref="M130">IFERROR(1/(1/SUM(COUNTIFS(
'YearB-AppDetails Current Date'!A:A,D130,
'YearB-AppDetails Current Date'!F:F,E130,
'YearB-AppDetails Current Date'!E:E,--F130,
'YearB-AppDetails Current Date'!U:U,{"CCAN","DECL"},
'YearB-AppDetails Current Date'!I:I,"WINTER"))), "")</f>
        <v/>
      </c>
      <c r="N130" s="74" t="str" cm="1">
        <f t="array" ref="N130">IFERROR(1/(1/SUM(COUNTIFS(
'YearB-AppDetails Current Date'!A:A,D130,
'YearB-AppDetails Current Date'!F:F,E130,
'YearB-AppDetails Current Date'!E:E,--F130,
'YearB-AppDetails Current Date'!V:V,{"APRO","NODE"},
'YearB-AppDetails Current Date'!I:I,"WINTER"))), "")</f>
        <v/>
      </c>
      <c r="O130" s="74" t="str" cm="1">
        <f t="array" ref="O130">IFERROR(1/(1/SUM(COUNTIFS(
'YearB-AppDetails Current Date'!A:A,D130,
'YearB-AppDetails Current Date'!F:F,E130,
'YearB-AppDetails Current Date'!E:E,--F130,
'YearB-AppDetails Current Date'!T:T,{"CDMT","RQMT","WAIT"},
'YearB-AppDetails Current Date'!I:I,"WINTER"))), "")</f>
        <v/>
      </c>
      <c r="P130" s="74" t="str">
        <f>IFERROR(1/(1/COUNTIFS(
'YearB-AppDetails Current Date'!A:A,D130,
'YearB-AppDetails Current Date'!F:F,E130,
'YearB-AppDetails Current Date'!E:E,--F130,
'YearB-AppDetails Current Date'!Y:Y,"ENRO",
'YearB-AppDetails Current Date'!I:I,"WINTER")),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HC'!D:T,14,FALSE)),
N(VLOOKUP(D131&amp;F131,'Budgeted Projections Dom HC'!D:T,15,FALSE))
)
),"")</f>
        <v/>
      </c>
      <c r="I131" s="73" t="str">
        <f>IFERROR(1/(1/COUNTIFS(
'YearB-AppDetails Current Date'!A:A,D131,
'YearB-AppDetails Current Date'!F:F,E131,
'YearB-AppDetails Current Date'!E:E,--F131,
'YearB-AppDetails Current Date'!I:I,"WINTER")), "")</f>
        <v/>
      </c>
      <c r="J131" s="74" t="str" cm="1">
        <f t="array" ref="J131">IFERROR(1/(1/SUM(COUNTIFS(
'YearB-AppDetails Current Date'!A:A,D131,
'YearB-AppDetails Current Date'!F:F,E131,
'YearB-AppDetails Current Date'!E:E,--F131,
'YearB-AppDetails Current Date'!O:O,{"ACLN","ACPT","COND"},
'YearB-AppDetails Current Date'!S:S,"&lt;&gt;ACLN",
'YearB-AppDetails Current Date'!S:S,"&lt;&gt;ACPT",
'YearB-AppDetails Current Date'!S:S,"&lt;&gt;COND",
'YearB-AppDetails Current Date'!I:I,"WINTER"))), "")</f>
        <v/>
      </c>
      <c r="K131" s="73" t="str">
        <f>IFERROR(1/(1/SUM(COUNTIFS(
'YearB-AppDetails Current Date'!A:A,D131,
'YearB-AppDetails Current Date'!F:F,E131,
'YearB-AppDetails Current Date'!E:E,--F131,
'YearB-AppDetails Current Date'!R:R,"&lt;&gt;"&amp;"",
'YearB-AppDetails Current Date'!I:I,"WINTER"))), "")</f>
        <v/>
      </c>
      <c r="L131" s="74" t="str" cm="1">
        <f t="array" ref="L131">IFERROR(1/(1/SUM(COUNTIFS(
'YearB-AppDetails Current Date'!A:A,D131,
'YearB-AppDetails Current Date'!F:F,E131,
'YearB-AppDetails Current Date'!E:E,--F131,
'YearB-AppDetails Current Date'!T:T,{"APEX","DENY","NTSL"},
'YearB-AppDetails Current Date'!I:I,"WINTER"))), "")</f>
        <v/>
      </c>
      <c r="M131" s="74" t="str" cm="1">
        <f t="array" ref="M131">IFERROR(1/(1/SUM(COUNTIFS(
'YearB-AppDetails Current Date'!A:A,D131,
'YearB-AppDetails Current Date'!F:F,E131,
'YearB-AppDetails Current Date'!E:E,--F131,
'YearB-AppDetails Current Date'!U:U,{"CCAN","DECL"},
'YearB-AppDetails Current Date'!I:I,"WINTER"))), "")</f>
        <v/>
      </c>
      <c r="N131" s="74" t="str" cm="1">
        <f t="array" ref="N131">IFERROR(1/(1/SUM(COUNTIFS(
'YearB-AppDetails Current Date'!A:A,D131,
'YearB-AppDetails Current Date'!F:F,E131,
'YearB-AppDetails Current Date'!E:E,--F131,
'YearB-AppDetails Current Date'!V:V,{"APRO","NODE"},
'YearB-AppDetails Current Date'!I:I,"WINTER"))), "")</f>
        <v/>
      </c>
      <c r="O131" s="74" t="str" cm="1">
        <f t="array" ref="O131">IFERROR(1/(1/SUM(COUNTIFS(
'YearB-AppDetails Current Date'!A:A,D131,
'YearB-AppDetails Current Date'!F:F,E131,
'YearB-AppDetails Current Date'!E:E,--F131,
'YearB-AppDetails Current Date'!T:T,{"CDMT","RQMT","WAIT"},
'YearB-AppDetails Current Date'!I:I,"WINTER"))), "")</f>
        <v/>
      </c>
      <c r="P131" s="74" t="str">
        <f>IFERROR(1/(1/COUNTIFS(
'YearB-AppDetails Current Date'!A:A,D131,
'YearB-AppDetails Current Date'!F:F,E131,
'YearB-AppDetails Current Date'!E:E,--F131,
'YearB-AppDetails Current Date'!Y:Y,"ENRO",
'YearB-AppDetails Current Date'!I:I,"WINTER")),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HC'!D:T,14,FALSE)),
N(VLOOKUP(D132&amp;F132,'Budgeted Projections Intl HC'!D:T,15,FALSE))
)
),"")</f>
        <v/>
      </c>
      <c r="I132" s="73" t="str">
        <f>IFERROR(1/(1/COUNTIFS(
'YearB-AppDetails Current Date'!A:A,D132,
'YearB-AppDetails Current Date'!F:F,E132,
'YearB-AppDetails Current Date'!E:E,--F132,
'YearB-AppDetails Current Date'!I:I,"WINTER")), "")</f>
        <v/>
      </c>
      <c r="J132" s="74" t="str" cm="1">
        <f t="array" ref="J132">IFERROR(1/(1/SUM(COUNTIFS(
'YearB-AppDetails Current Date'!A:A,D132,
'YearB-AppDetails Current Date'!F:F,E132,
'YearB-AppDetails Current Date'!E:E,--F132,
'YearB-AppDetails Current Date'!O:O,{"ACLN","ACPT","COND"},
'YearB-AppDetails Current Date'!S:S,"&lt;&gt;ACLN",
'YearB-AppDetails Current Date'!S:S,"&lt;&gt;ACPT",
'YearB-AppDetails Current Date'!S:S,"&lt;&gt;COND",
'YearB-AppDetails Current Date'!I:I,"WINTER"))), "")</f>
        <v/>
      </c>
      <c r="K132" s="73" t="str">
        <f>IFERROR(1/(1/SUM(COUNTIFS(
'YearB-AppDetails Current Date'!A:A,D132,
'YearB-AppDetails Current Date'!F:F,E132,
'YearB-AppDetails Current Date'!E:E,--F132,
'YearB-AppDetails Current Date'!R:R,"&lt;&gt;"&amp;"",
'YearB-AppDetails Current Date'!I:I,"WINTER"))), "")</f>
        <v/>
      </c>
      <c r="L132" s="74" t="str" cm="1">
        <f t="array" ref="L132">IFERROR(1/(1/SUM(COUNTIFS(
'YearB-AppDetails Current Date'!A:A,D132,
'YearB-AppDetails Current Date'!F:F,E132,
'YearB-AppDetails Current Date'!E:E,--F132,
'YearB-AppDetails Current Date'!T:T,{"APEX","DENY","NTSL"},
'YearB-AppDetails Current Date'!I:I,"WINTER"))), "")</f>
        <v/>
      </c>
      <c r="M132" s="74" t="str" cm="1">
        <f t="array" ref="M132">IFERROR(1/(1/SUM(COUNTIFS(
'YearB-AppDetails Current Date'!A:A,D132,
'YearB-AppDetails Current Date'!F:F,E132,
'YearB-AppDetails Current Date'!E:E,--F132,
'YearB-AppDetails Current Date'!U:U,{"CCAN","DECL"},
'YearB-AppDetails Current Date'!I:I,"WINTER"))), "")</f>
        <v/>
      </c>
      <c r="N132" s="74" t="str" cm="1">
        <f t="array" ref="N132">IFERROR(1/(1/SUM(COUNTIFS(
'YearB-AppDetails Current Date'!A:A,D132,
'YearB-AppDetails Current Date'!F:F,E132,
'YearB-AppDetails Current Date'!E:E,--F132,
'YearB-AppDetails Current Date'!V:V,{"APRO","NODE"},
'YearB-AppDetails Current Date'!I:I,"WINTER"))), "")</f>
        <v/>
      </c>
      <c r="O132" s="74" t="str" cm="1">
        <f t="array" ref="O132">IFERROR(1/(1/SUM(COUNTIFS(
'YearB-AppDetails Current Date'!A:A,D132,
'YearB-AppDetails Current Date'!F:F,E132,
'YearB-AppDetails Current Date'!E:E,--F132,
'YearB-AppDetails Current Date'!T:T,{"CDMT","RQMT","WAIT"},
'YearB-AppDetails Current Date'!I:I,"WINTER"))), "")</f>
        <v/>
      </c>
      <c r="P132" s="74" t="str">
        <f>IFERROR(1/(1/COUNTIFS(
'YearB-AppDetails Current Date'!A:A,D132,
'YearB-AppDetails Current Date'!F:F,E132,
'YearB-AppDetails Current Date'!E:E,--F132,
'YearB-AppDetails Current Date'!Y:Y,"ENRO",
'YearB-AppDetails Current Date'!I:I,"WINTER")),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HC'!D:T,14,FALSE)),
N(VLOOKUP(D133&amp;F133,'Budgeted Projections Dom HC'!D:T,15,FALSE))
)
),"")</f>
        <v/>
      </c>
      <c r="I133" s="73" t="str">
        <f>IFERROR(1/(1/COUNTIFS(
'YearB-AppDetails Current Date'!A:A,D133,
'YearB-AppDetails Current Date'!F:F,E133,
'YearB-AppDetails Current Date'!E:E,--F133,
'YearB-AppDetails Current Date'!I:I,"WINTER")), "")</f>
        <v/>
      </c>
      <c r="J133" s="74" t="str" cm="1">
        <f t="array" ref="J133">IFERROR(1/(1/SUM(COUNTIFS(
'YearB-AppDetails Current Date'!A:A,D133,
'YearB-AppDetails Current Date'!F:F,E133,
'YearB-AppDetails Current Date'!E:E,--F133,
'YearB-AppDetails Current Date'!O:O,{"ACLN","ACPT","COND"},
'YearB-AppDetails Current Date'!S:S,"&lt;&gt;ACLN",
'YearB-AppDetails Current Date'!S:S,"&lt;&gt;ACPT",
'YearB-AppDetails Current Date'!S:S,"&lt;&gt;COND",
'YearB-AppDetails Current Date'!I:I,"WINTER"))), "")</f>
        <v/>
      </c>
      <c r="K133" s="73" t="str">
        <f>IFERROR(1/(1/SUM(COUNTIFS(
'YearB-AppDetails Current Date'!A:A,D133,
'YearB-AppDetails Current Date'!F:F,E133,
'YearB-AppDetails Current Date'!E:E,--F133,
'YearB-AppDetails Current Date'!R:R,"&lt;&gt;"&amp;"",
'YearB-AppDetails Current Date'!I:I,"WINTER"))), "")</f>
        <v/>
      </c>
      <c r="L133" s="74" t="str" cm="1">
        <f t="array" ref="L133">IFERROR(1/(1/SUM(COUNTIFS(
'YearB-AppDetails Current Date'!A:A,D133,
'YearB-AppDetails Current Date'!F:F,E133,
'YearB-AppDetails Current Date'!E:E,--F133,
'YearB-AppDetails Current Date'!T:T,{"APEX","DENY","NTSL"},
'YearB-AppDetails Current Date'!I:I,"WINTER"))), "")</f>
        <v/>
      </c>
      <c r="M133" s="74" t="str" cm="1">
        <f t="array" ref="M133">IFERROR(1/(1/SUM(COUNTIFS(
'YearB-AppDetails Current Date'!A:A,D133,
'YearB-AppDetails Current Date'!F:F,E133,
'YearB-AppDetails Current Date'!E:E,--F133,
'YearB-AppDetails Current Date'!U:U,{"CCAN","DECL"},
'YearB-AppDetails Current Date'!I:I,"WINTER"))), "")</f>
        <v/>
      </c>
      <c r="N133" s="74" t="str" cm="1">
        <f t="array" ref="N133">IFERROR(1/(1/SUM(COUNTIFS(
'YearB-AppDetails Current Date'!A:A,D133,
'YearB-AppDetails Current Date'!F:F,E133,
'YearB-AppDetails Current Date'!E:E,--F133,
'YearB-AppDetails Current Date'!V:V,{"APRO","NODE"},
'YearB-AppDetails Current Date'!I:I,"WINTER"))), "")</f>
        <v/>
      </c>
      <c r="O133" s="74" t="str" cm="1">
        <f t="array" ref="O133">IFERROR(1/(1/SUM(COUNTIFS(
'YearB-AppDetails Current Date'!A:A,D133,
'YearB-AppDetails Current Date'!F:F,E133,
'YearB-AppDetails Current Date'!E:E,--F133,
'YearB-AppDetails Current Date'!T:T,{"CDMT","RQMT","WAIT"},
'YearB-AppDetails Current Date'!I:I,"WINTER"))), "")</f>
        <v/>
      </c>
      <c r="P133" s="74" t="str">
        <f>IFERROR(1/(1/COUNTIFS(
'YearB-AppDetails Current Date'!A:A,D133,
'YearB-AppDetails Current Date'!F:F,E133,
'YearB-AppDetails Current Date'!E:E,--F133,
'YearB-AppDetails Current Date'!Y:Y,"ENRO",
'YearB-AppDetails Current Date'!I:I,"WINTER")),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HC'!D:T,14,FALSE)),
N(VLOOKUP(D134&amp;F134,'Budgeted Projections Intl HC'!D:T,15,FALSE))
)
),"")</f>
        <v/>
      </c>
      <c r="I134" s="73" t="str">
        <f>IFERROR(1/(1/COUNTIFS(
'YearB-AppDetails Current Date'!A:A,D134,
'YearB-AppDetails Current Date'!F:F,E134,
'YearB-AppDetails Current Date'!E:E,--F134,
'YearB-AppDetails Current Date'!I:I,"WINTER")), "")</f>
        <v/>
      </c>
      <c r="J134" s="74" t="str" cm="1">
        <f t="array" ref="J134">IFERROR(1/(1/SUM(COUNTIFS(
'YearB-AppDetails Current Date'!A:A,D134,
'YearB-AppDetails Current Date'!F:F,E134,
'YearB-AppDetails Current Date'!E:E,--F134,
'YearB-AppDetails Current Date'!O:O,{"ACLN","ACPT","COND"},
'YearB-AppDetails Current Date'!S:S,"&lt;&gt;ACLN",
'YearB-AppDetails Current Date'!S:S,"&lt;&gt;ACPT",
'YearB-AppDetails Current Date'!S:S,"&lt;&gt;COND",
'YearB-AppDetails Current Date'!I:I,"WINTER"))), "")</f>
        <v/>
      </c>
      <c r="K134" s="73" t="str">
        <f>IFERROR(1/(1/SUM(COUNTIFS(
'YearB-AppDetails Current Date'!A:A,D134,
'YearB-AppDetails Current Date'!F:F,E134,
'YearB-AppDetails Current Date'!E:E,--F134,
'YearB-AppDetails Current Date'!R:R,"&lt;&gt;"&amp;"",
'YearB-AppDetails Current Date'!I:I,"WINTER"))), "")</f>
        <v/>
      </c>
      <c r="L134" s="74" t="str" cm="1">
        <f t="array" ref="L134">IFERROR(1/(1/SUM(COUNTIFS(
'YearB-AppDetails Current Date'!A:A,D134,
'YearB-AppDetails Current Date'!F:F,E134,
'YearB-AppDetails Current Date'!E:E,--F134,
'YearB-AppDetails Current Date'!T:T,{"APEX","DENY","NTSL"},
'YearB-AppDetails Current Date'!I:I,"WINTER"))), "")</f>
        <v/>
      </c>
      <c r="M134" s="74" t="str" cm="1">
        <f t="array" ref="M134">IFERROR(1/(1/SUM(COUNTIFS(
'YearB-AppDetails Current Date'!A:A,D134,
'YearB-AppDetails Current Date'!F:F,E134,
'YearB-AppDetails Current Date'!E:E,--F134,
'YearB-AppDetails Current Date'!U:U,{"CCAN","DECL"},
'YearB-AppDetails Current Date'!I:I,"WINTER"))), "")</f>
        <v/>
      </c>
      <c r="N134" s="74" t="str" cm="1">
        <f t="array" ref="N134">IFERROR(1/(1/SUM(COUNTIFS(
'YearB-AppDetails Current Date'!A:A,D134,
'YearB-AppDetails Current Date'!F:F,E134,
'YearB-AppDetails Current Date'!E:E,--F134,
'YearB-AppDetails Current Date'!V:V,{"APRO","NODE"},
'YearB-AppDetails Current Date'!I:I,"WINTER"))), "")</f>
        <v/>
      </c>
      <c r="O134" s="74" t="str" cm="1">
        <f t="array" ref="O134">IFERROR(1/(1/SUM(COUNTIFS(
'YearB-AppDetails Current Date'!A:A,D134,
'YearB-AppDetails Current Date'!F:F,E134,
'YearB-AppDetails Current Date'!E:E,--F134,
'YearB-AppDetails Current Date'!T:T,{"CDMT","RQMT","WAIT"},
'YearB-AppDetails Current Date'!I:I,"WINTER"))), "")</f>
        <v/>
      </c>
      <c r="P134" s="74" t="str">
        <f>IFERROR(1/(1/COUNTIFS(
'YearB-AppDetails Current Date'!A:A,D134,
'YearB-AppDetails Current Date'!F:F,E134,
'YearB-AppDetails Current Date'!E:E,--F134,
'YearB-AppDetails Current Date'!Y:Y,"ENRO",
'YearB-AppDetails Current Date'!I:I,"WINTER")),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HC'!D:T,14,FALSE)),
N(VLOOKUP(D135&amp;F135,'Budgeted Projections Dom HC'!D:T,15,FALSE))
)
),"")</f>
        <v/>
      </c>
      <c r="I135" s="73" t="str">
        <f>IFERROR(1/(1/COUNTIFS(
'YearB-AppDetails Current Date'!A:A,D135,
'YearB-AppDetails Current Date'!F:F,E135,
'YearB-AppDetails Current Date'!E:E,--F135,
'YearB-AppDetails Current Date'!I:I,"WINTER")), "")</f>
        <v/>
      </c>
      <c r="J135" s="74" t="str" cm="1">
        <f t="array" ref="J135">IFERROR(1/(1/SUM(COUNTIFS(
'YearB-AppDetails Current Date'!A:A,D135,
'YearB-AppDetails Current Date'!F:F,E135,
'YearB-AppDetails Current Date'!E:E,--F135,
'YearB-AppDetails Current Date'!O:O,{"ACLN","ACPT","COND"},
'YearB-AppDetails Current Date'!S:S,"&lt;&gt;ACLN",
'YearB-AppDetails Current Date'!S:S,"&lt;&gt;ACPT",
'YearB-AppDetails Current Date'!S:S,"&lt;&gt;COND",
'YearB-AppDetails Current Date'!I:I,"WINTER"))), "")</f>
        <v/>
      </c>
      <c r="K135" s="73" t="str">
        <f>IFERROR(1/(1/SUM(COUNTIFS(
'YearB-AppDetails Current Date'!A:A,D135,
'YearB-AppDetails Current Date'!F:F,E135,
'YearB-AppDetails Current Date'!E:E,--F135,
'YearB-AppDetails Current Date'!R:R,"&lt;&gt;"&amp;"",
'YearB-AppDetails Current Date'!I:I,"WINTER"))), "")</f>
        <v/>
      </c>
      <c r="L135" s="74" t="str" cm="1">
        <f t="array" ref="L135">IFERROR(1/(1/SUM(COUNTIFS(
'YearB-AppDetails Current Date'!A:A,D135,
'YearB-AppDetails Current Date'!F:F,E135,
'YearB-AppDetails Current Date'!E:E,--F135,
'YearB-AppDetails Current Date'!T:T,{"APEX","DENY","NTSL"},
'YearB-AppDetails Current Date'!I:I,"WINTER"))), "")</f>
        <v/>
      </c>
      <c r="M135" s="74" t="str" cm="1">
        <f t="array" ref="M135">IFERROR(1/(1/SUM(COUNTIFS(
'YearB-AppDetails Current Date'!A:A,D135,
'YearB-AppDetails Current Date'!F:F,E135,
'YearB-AppDetails Current Date'!E:E,--F135,
'YearB-AppDetails Current Date'!U:U,{"CCAN","DECL"},
'YearB-AppDetails Current Date'!I:I,"WINTER"))), "")</f>
        <v/>
      </c>
      <c r="N135" s="74" t="str" cm="1">
        <f t="array" ref="N135">IFERROR(1/(1/SUM(COUNTIFS(
'YearB-AppDetails Current Date'!A:A,D135,
'YearB-AppDetails Current Date'!F:F,E135,
'YearB-AppDetails Current Date'!E:E,--F135,
'YearB-AppDetails Current Date'!V:V,{"APRO","NODE"},
'YearB-AppDetails Current Date'!I:I,"WINTER"))), "")</f>
        <v/>
      </c>
      <c r="O135" s="74" t="str" cm="1">
        <f t="array" ref="O135">IFERROR(1/(1/SUM(COUNTIFS(
'YearB-AppDetails Current Date'!A:A,D135,
'YearB-AppDetails Current Date'!F:F,E135,
'YearB-AppDetails Current Date'!E:E,--F135,
'YearB-AppDetails Current Date'!T:T,{"CDMT","RQMT","WAIT"},
'YearB-AppDetails Current Date'!I:I,"WINTER"))), "")</f>
        <v/>
      </c>
      <c r="P135" s="74" t="str">
        <f>IFERROR(1/(1/COUNTIFS(
'YearB-AppDetails Current Date'!A:A,D135,
'YearB-AppDetails Current Date'!F:F,E135,
'YearB-AppDetails Current Date'!E:E,--F135,
'YearB-AppDetails Current Date'!Y:Y,"ENRO",
'YearB-AppDetails Current Date'!I:I,"WINTER")),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HC'!D:T,14,FALSE)),
N(VLOOKUP(D136&amp;F136,'Budgeted Projections Intl HC'!D:T,15,FALSE))
)
),"")</f>
        <v/>
      </c>
      <c r="I136" s="73" t="str">
        <f>IFERROR(1/(1/COUNTIFS(
'YearB-AppDetails Current Date'!A:A,D136,
'YearB-AppDetails Current Date'!F:F,E136,
'YearB-AppDetails Current Date'!E:E,--F136,
'YearB-AppDetails Current Date'!I:I,"WINTER")), "")</f>
        <v/>
      </c>
      <c r="J136" s="74" t="str" cm="1">
        <f t="array" ref="J136">IFERROR(1/(1/SUM(COUNTIFS(
'YearB-AppDetails Current Date'!A:A,D136,
'YearB-AppDetails Current Date'!F:F,E136,
'YearB-AppDetails Current Date'!E:E,--F136,
'YearB-AppDetails Current Date'!O:O,{"ACLN","ACPT","COND"},
'YearB-AppDetails Current Date'!S:S,"&lt;&gt;ACLN",
'YearB-AppDetails Current Date'!S:S,"&lt;&gt;ACPT",
'YearB-AppDetails Current Date'!S:S,"&lt;&gt;COND",
'YearB-AppDetails Current Date'!I:I,"WINTER"))), "")</f>
        <v/>
      </c>
      <c r="K136" s="73" t="str">
        <f>IFERROR(1/(1/SUM(COUNTIFS(
'YearB-AppDetails Current Date'!A:A,D136,
'YearB-AppDetails Current Date'!F:F,E136,
'YearB-AppDetails Current Date'!E:E,--F136,
'YearB-AppDetails Current Date'!R:R,"&lt;&gt;"&amp;"",
'YearB-AppDetails Current Date'!I:I,"WINTER"))), "")</f>
        <v/>
      </c>
      <c r="L136" s="74" t="str" cm="1">
        <f t="array" ref="L136">IFERROR(1/(1/SUM(COUNTIFS(
'YearB-AppDetails Current Date'!A:A,D136,
'YearB-AppDetails Current Date'!F:F,E136,
'YearB-AppDetails Current Date'!E:E,--F136,
'YearB-AppDetails Current Date'!T:T,{"APEX","DENY","NTSL"},
'YearB-AppDetails Current Date'!I:I,"WINTER"))), "")</f>
        <v/>
      </c>
      <c r="M136" s="74" t="str" cm="1">
        <f t="array" ref="M136">IFERROR(1/(1/SUM(COUNTIFS(
'YearB-AppDetails Current Date'!A:A,D136,
'YearB-AppDetails Current Date'!F:F,E136,
'YearB-AppDetails Current Date'!E:E,--F136,
'YearB-AppDetails Current Date'!U:U,{"CCAN","DECL"},
'YearB-AppDetails Current Date'!I:I,"WINTER"))), "")</f>
        <v/>
      </c>
      <c r="N136" s="74" t="str" cm="1">
        <f t="array" ref="N136">IFERROR(1/(1/SUM(COUNTIFS(
'YearB-AppDetails Current Date'!A:A,D136,
'YearB-AppDetails Current Date'!F:F,E136,
'YearB-AppDetails Current Date'!E:E,--F136,
'YearB-AppDetails Current Date'!V:V,{"APRO","NODE"},
'YearB-AppDetails Current Date'!I:I,"WINTER"))), "")</f>
        <v/>
      </c>
      <c r="O136" s="74" t="str" cm="1">
        <f t="array" ref="O136">IFERROR(1/(1/SUM(COUNTIFS(
'YearB-AppDetails Current Date'!A:A,D136,
'YearB-AppDetails Current Date'!F:F,E136,
'YearB-AppDetails Current Date'!E:E,--F136,
'YearB-AppDetails Current Date'!T:T,{"CDMT","RQMT","WAIT"},
'YearB-AppDetails Current Date'!I:I,"WINTER"))), "")</f>
        <v/>
      </c>
      <c r="P136" s="74" t="str">
        <f>IFERROR(1/(1/COUNTIFS(
'YearB-AppDetails Current Date'!A:A,D136,
'YearB-AppDetails Current Date'!F:F,E136,
'YearB-AppDetails Current Date'!E:E,--F136,
'YearB-AppDetails Current Date'!Y:Y,"ENRO",
'YearB-AppDetails Current Date'!I:I,"WINTER")),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HC'!D:T,14,FALSE)),
N(VLOOKUP(D137&amp;F137,'Budgeted Projections Dom HC'!D:T,15,FALSE))
)
),"")</f>
        <v/>
      </c>
      <c r="I137" s="73" t="str">
        <f>IFERROR(1/(1/COUNTIFS(
'YearB-AppDetails Current Date'!A:A,D137,
'YearB-AppDetails Current Date'!F:F,E137,
'YearB-AppDetails Current Date'!E:E,--F137,
'YearB-AppDetails Current Date'!I:I,"WINTER")), "")</f>
        <v/>
      </c>
      <c r="J137" s="74" t="str" cm="1">
        <f t="array" ref="J137">IFERROR(1/(1/SUM(COUNTIFS(
'YearB-AppDetails Current Date'!A:A,D137,
'YearB-AppDetails Current Date'!F:F,E137,
'YearB-AppDetails Current Date'!E:E,--F137,
'YearB-AppDetails Current Date'!O:O,{"ACLN","ACPT","COND"},
'YearB-AppDetails Current Date'!S:S,"&lt;&gt;ACLN",
'YearB-AppDetails Current Date'!S:S,"&lt;&gt;ACPT",
'YearB-AppDetails Current Date'!S:S,"&lt;&gt;COND",
'YearB-AppDetails Current Date'!I:I,"WINTER"))), "")</f>
        <v/>
      </c>
      <c r="K137" s="73" t="str">
        <f>IFERROR(1/(1/SUM(COUNTIFS(
'YearB-AppDetails Current Date'!A:A,D137,
'YearB-AppDetails Current Date'!F:F,E137,
'YearB-AppDetails Current Date'!E:E,--F137,
'YearB-AppDetails Current Date'!R:R,"&lt;&gt;"&amp;"",
'YearB-AppDetails Current Date'!I:I,"WINTER"))), "")</f>
        <v/>
      </c>
      <c r="L137" s="74" t="str" cm="1">
        <f t="array" ref="L137">IFERROR(1/(1/SUM(COUNTIFS(
'YearB-AppDetails Current Date'!A:A,D137,
'YearB-AppDetails Current Date'!F:F,E137,
'YearB-AppDetails Current Date'!E:E,--F137,
'YearB-AppDetails Current Date'!T:T,{"APEX","DENY","NTSL"},
'YearB-AppDetails Current Date'!I:I,"WINTER"))), "")</f>
        <v/>
      </c>
      <c r="M137" s="74" t="str" cm="1">
        <f t="array" ref="M137">IFERROR(1/(1/SUM(COUNTIFS(
'YearB-AppDetails Current Date'!A:A,D137,
'YearB-AppDetails Current Date'!F:F,E137,
'YearB-AppDetails Current Date'!E:E,--F137,
'YearB-AppDetails Current Date'!U:U,{"CCAN","DECL"},
'YearB-AppDetails Current Date'!I:I,"WINTER"))), "")</f>
        <v/>
      </c>
      <c r="N137" s="74" t="str" cm="1">
        <f t="array" ref="N137">IFERROR(1/(1/SUM(COUNTIFS(
'YearB-AppDetails Current Date'!A:A,D137,
'YearB-AppDetails Current Date'!F:F,E137,
'YearB-AppDetails Current Date'!E:E,--F137,
'YearB-AppDetails Current Date'!V:V,{"APRO","NODE"},
'YearB-AppDetails Current Date'!I:I,"WINTER"))), "")</f>
        <v/>
      </c>
      <c r="O137" s="74" t="str" cm="1">
        <f t="array" ref="O137">IFERROR(1/(1/SUM(COUNTIFS(
'YearB-AppDetails Current Date'!A:A,D137,
'YearB-AppDetails Current Date'!F:F,E137,
'YearB-AppDetails Current Date'!E:E,--F137,
'YearB-AppDetails Current Date'!T:T,{"CDMT","RQMT","WAIT"},
'YearB-AppDetails Current Date'!I:I,"WINTER"))), "")</f>
        <v/>
      </c>
      <c r="P137" s="74" t="str">
        <f>IFERROR(1/(1/COUNTIFS(
'YearB-AppDetails Current Date'!A:A,D137,
'YearB-AppDetails Current Date'!F:F,E137,
'YearB-AppDetails Current Date'!E:E,--F137,
'YearB-AppDetails Current Date'!Y:Y,"ENRO",
'YearB-AppDetails Current Date'!I:I,"WINTER")),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HC'!D:T,14,FALSE)),
N(VLOOKUP(D138&amp;F138,'Budgeted Projections Intl HC'!D:T,15,FALSE))
)
),"")</f>
        <v/>
      </c>
      <c r="I138" s="73" t="str">
        <f>IFERROR(1/(1/COUNTIFS(
'YearB-AppDetails Current Date'!A:A,D138,
'YearB-AppDetails Current Date'!F:F,E138,
'YearB-AppDetails Current Date'!E:E,--F138,
'YearB-AppDetails Current Date'!I:I,"WINTER")), "")</f>
        <v/>
      </c>
      <c r="J138" s="74" t="str" cm="1">
        <f t="array" ref="J138">IFERROR(1/(1/SUM(COUNTIFS(
'YearB-AppDetails Current Date'!A:A,D138,
'YearB-AppDetails Current Date'!F:F,E138,
'YearB-AppDetails Current Date'!E:E,--F138,
'YearB-AppDetails Current Date'!O:O,{"ACLN","ACPT","COND"},
'YearB-AppDetails Current Date'!S:S,"&lt;&gt;ACLN",
'YearB-AppDetails Current Date'!S:S,"&lt;&gt;ACPT",
'YearB-AppDetails Current Date'!S:S,"&lt;&gt;COND",
'YearB-AppDetails Current Date'!I:I,"WINTER"))), "")</f>
        <v/>
      </c>
      <c r="K138" s="73" t="str">
        <f>IFERROR(1/(1/SUM(COUNTIFS(
'YearB-AppDetails Current Date'!A:A,D138,
'YearB-AppDetails Current Date'!F:F,E138,
'YearB-AppDetails Current Date'!E:E,--F138,
'YearB-AppDetails Current Date'!R:R,"&lt;&gt;"&amp;"",
'YearB-AppDetails Current Date'!I:I,"WINTER"))), "")</f>
        <v/>
      </c>
      <c r="L138" s="74" t="str" cm="1">
        <f t="array" ref="L138">IFERROR(1/(1/SUM(COUNTIFS(
'YearB-AppDetails Current Date'!A:A,D138,
'YearB-AppDetails Current Date'!F:F,E138,
'YearB-AppDetails Current Date'!E:E,--F138,
'YearB-AppDetails Current Date'!T:T,{"APEX","DENY","NTSL"},
'YearB-AppDetails Current Date'!I:I,"WINTER"))), "")</f>
        <v/>
      </c>
      <c r="M138" s="74" t="str" cm="1">
        <f t="array" ref="M138">IFERROR(1/(1/SUM(COUNTIFS(
'YearB-AppDetails Current Date'!A:A,D138,
'YearB-AppDetails Current Date'!F:F,E138,
'YearB-AppDetails Current Date'!E:E,--F138,
'YearB-AppDetails Current Date'!U:U,{"CCAN","DECL"},
'YearB-AppDetails Current Date'!I:I,"WINTER"))), "")</f>
        <v/>
      </c>
      <c r="N138" s="74" t="str" cm="1">
        <f t="array" ref="N138">IFERROR(1/(1/SUM(COUNTIFS(
'YearB-AppDetails Current Date'!A:A,D138,
'YearB-AppDetails Current Date'!F:F,E138,
'YearB-AppDetails Current Date'!E:E,--F138,
'YearB-AppDetails Current Date'!V:V,{"APRO","NODE"},
'YearB-AppDetails Current Date'!I:I,"WINTER"))), "")</f>
        <v/>
      </c>
      <c r="O138" s="74" t="str" cm="1">
        <f t="array" ref="O138">IFERROR(1/(1/SUM(COUNTIFS(
'YearB-AppDetails Current Date'!A:A,D138,
'YearB-AppDetails Current Date'!F:F,E138,
'YearB-AppDetails Current Date'!E:E,--F138,
'YearB-AppDetails Current Date'!T:T,{"CDMT","RQMT","WAIT"},
'YearB-AppDetails Current Date'!I:I,"WINTER"))), "")</f>
        <v/>
      </c>
      <c r="P138" s="74" t="str">
        <f>IFERROR(1/(1/COUNTIFS(
'YearB-AppDetails Current Date'!A:A,D138,
'YearB-AppDetails Current Date'!F:F,E138,
'YearB-AppDetails Current Date'!E:E,--F138,
'YearB-AppDetails Current Date'!Y:Y,"ENRO",
'YearB-AppDetails Current Date'!I:I,"WINTER")),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HC'!D:T,14,FALSE)),
N(VLOOKUP(D140&amp;F140,'Budgeted Projections Dom HC'!D:T,15,FALSE))
)
),"")</f>
        <v/>
      </c>
      <c r="I140" s="73" t="str">
        <f>IFERROR(1/(1/COUNTIFS(
'YearB-AppDetails Current Date'!A:A,D140,
'YearB-AppDetails Current Date'!F:F,E140,
'YearB-AppDetails Current Date'!E:E,--F140,
'YearB-AppDetails Current Date'!I:I,"WINTER")), "")</f>
        <v/>
      </c>
      <c r="J140" s="74" t="str" cm="1">
        <f t="array" ref="J140">IFERROR(1/(1/SUM(COUNTIFS(
'YearB-AppDetails Current Date'!A:A,D140,
'YearB-AppDetails Current Date'!F:F,E140,
'YearB-AppDetails Current Date'!E:E,--F140,
'YearB-AppDetails Current Date'!O:O,{"ACLN","ACPT","COND"},
'YearB-AppDetails Current Date'!S:S,"&lt;&gt;ACLN",
'YearB-AppDetails Current Date'!S:S,"&lt;&gt;ACPT",
'YearB-AppDetails Current Date'!S:S,"&lt;&gt;COND",
'YearB-AppDetails Current Date'!I:I,"WINTER"))), "")</f>
        <v/>
      </c>
      <c r="K140" s="73" t="str">
        <f>IFERROR(1/(1/SUM(COUNTIFS(
'YearB-AppDetails Current Date'!A:A,D140,
'YearB-AppDetails Current Date'!F:F,E140,
'YearB-AppDetails Current Date'!E:E,--F140,
'YearB-AppDetails Current Date'!R:R,"&lt;&gt;"&amp;"",
'YearB-AppDetails Current Date'!I:I,"WINTER"))), "")</f>
        <v/>
      </c>
      <c r="L140" s="74" t="str" cm="1">
        <f t="array" ref="L140">IFERROR(1/(1/SUM(COUNTIFS(
'YearB-AppDetails Current Date'!A:A,D140,
'YearB-AppDetails Current Date'!F:F,E140,
'YearB-AppDetails Current Date'!E:E,--F140,
'YearB-AppDetails Current Date'!T:T,{"APEX","DENY","NTSL"},
'YearB-AppDetails Current Date'!I:I,"WINTER"))), "")</f>
        <v/>
      </c>
      <c r="M140" s="74" t="str" cm="1">
        <f t="array" ref="M140">IFERROR(1/(1/SUM(COUNTIFS(
'YearB-AppDetails Current Date'!A:A,D140,
'YearB-AppDetails Current Date'!F:F,E140,
'YearB-AppDetails Current Date'!E:E,--F140,
'YearB-AppDetails Current Date'!U:U,{"CCAN","DECL"},
'YearB-AppDetails Current Date'!I:I,"WINTER"))), "")</f>
        <v/>
      </c>
      <c r="N140" s="74" t="str" cm="1">
        <f t="array" ref="N140">IFERROR(1/(1/SUM(COUNTIFS(
'YearB-AppDetails Current Date'!A:A,D140,
'YearB-AppDetails Current Date'!F:F,E140,
'YearB-AppDetails Current Date'!E:E,--F140,
'YearB-AppDetails Current Date'!V:V,{"APRO","NODE"},
'YearB-AppDetails Current Date'!I:I,"WINTER"))), "")</f>
        <v/>
      </c>
      <c r="O140" s="74" t="str" cm="1">
        <f t="array" ref="O140">IFERROR(1/(1/SUM(COUNTIFS(
'YearB-AppDetails Current Date'!A:A,D140,
'YearB-AppDetails Current Date'!F:F,E140,
'YearB-AppDetails Current Date'!E:E,--F140,
'YearB-AppDetails Current Date'!T:T,{"CDMT","RQMT","WAIT"},
'YearB-AppDetails Current Date'!I:I,"WINTER"))), "")</f>
        <v/>
      </c>
      <c r="P140" s="74" t="str">
        <f>IFERROR(1/(1/COUNTIFS(
'YearB-AppDetails Current Date'!A:A,D140,
'YearB-AppDetails Current Date'!F:F,E140,
'YearB-AppDetails Current Date'!E:E,--F140,
'YearB-AppDetails Current Date'!Y:Y,"ENRO",
'YearB-AppDetails Current Date'!I:I,"WINTER")),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HC'!D:T,14,FALSE)),
N(VLOOKUP(D141&amp;F141,'Budgeted Projections Intl HC'!D:T,15,FALSE))
)
),"")</f>
        <v/>
      </c>
      <c r="I141" s="73" t="str">
        <f>IFERROR(1/(1/COUNTIFS(
'YearB-AppDetails Current Date'!A:A,D141,
'YearB-AppDetails Current Date'!F:F,E141,
'YearB-AppDetails Current Date'!E:E,--F141,
'YearB-AppDetails Current Date'!I:I,"WINTER")), "")</f>
        <v/>
      </c>
      <c r="J141" s="74" t="str" cm="1">
        <f t="array" ref="J141">IFERROR(1/(1/SUM(COUNTIFS(
'YearB-AppDetails Current Date'!A:A,D141,
'YearB-AppDetails Current Date'!F:F,E141,
'YearB-AppDetails Current Date'!E:E,--F141,
'YearB-AppDetails Current Date'!O:O,{"ACLN","ACPT","COND"},
'YearB-AppDetails Current Date'!S:S,"&lt;&gt;ACLN",
'YearB-AppDetails Current Date'!S:S,"&lt;&gt;ACPT",
'YearB-AppDetails Current Date'!S:S,"&lt;&gt;COND",
'YearB-AppDetails Current Date'!I:I,"WINTER"))), "")</f>
        <v/>
      </c>
      <c r="K141" s="73" t="str">
        <f>IFERROR(1/(1/SUM(COUNTIFS(
'YearB-AppDetails Current Date'!A:A,D141,
'YearB-AppDetails Current Date'!F:F,E141,
'YearB-AppDetails Current Date'!E:E,--F141,
'YearB-AppDetails Current Date'!R:R,"&lt;&gt;"&amp;"",
'YearB-AppDetails Current Date'!I:I,"WINTER"))), "")</f>
        <v/>
      </c>
      <c r="L141" s="74" t="str" cm="1">
        <f t="array" ref="L141">IFERROR(1/(1/SUM(COUNTIFS(
'YearB-AppDetails Current Date'!A:A,D141,
'YearB-AppDetails Current Date'!F:F,E141,
'YearB-AppDetails Current Date'!E:E,--F141,
'YearB-AppDetails Current Date'!T:T,{"APEX","DENY","NTSL"},
'YearB-AppDetails Current Date'!I:I,"WINTER"))), "")</f>
        <v/>
      </c>
      <c r="M141" s="74" t="str" cm="1">
        <f t="array" ref="M141">IFERROR(1/(1/SUM(COUNTIFS(
'YearB-AppDetails Current Date'!A:A,D141,
'YearB-AppDetails Current Date'!F:F,E141,
'YearB-AppDetails Current Date'!E:E,--F141,
'YearB-AppDetails Current Date'!U:U,{"CCAN","DECL"},
'YearB-AppDetails Current Date'!I:I,"WINTER"))), "")</f>
        <v/>
      </c>
      <c r="N141" s="74" t="str" cm="1">
        <f t="array" ref="N141">IFERROR(1/(1/SUM(COUNTIFS(
'YearB-AppDetails Current Date'!A:A,D141,
'YearB-AppDetails Current Date'!F:F,E141,
'YearB-AppDetails Current Date'!E:E,--F141,
'YearB-AppDetails Current Date'!V:V,{"APRO","NODE"},
'YearB-AppDetails Current Date'!I:I,"WINTER"))), "")</f>
        <v/>
      </c>
      <c r="O141" s="74" t="str" cm="1">
        <f t="array" ref="O141">IFERROR(1/(1/SUM(COUNTIFS(
'YearB-AppDetails Current Date'!A:A,D141,
'YearB-AppDetails Current Date'!F:F,E141,
'YearB-AppDetails Current Date'!E:E,--F141,
'YearB-AppDetails Current Date'!T:T,{"CDMT","RQMT","WAIT"},
'YearB-AppDetails Current Date'!I:I,"WINTER"))), "")</f>
        <v/>
      </c>
      <c r="P141" s="74" t="str">
        <f>IFERROR(1/(1/COUNTIFS(
'YearB-AppDetails Current Date'!A:A,D141,
'YearB-AppDetails Current Date'!F:F,E141,
'YearB-AppDetails Current Date'!E:E,--F141,
'YearB-AppDetails Current Date'!Y:Y,"ENRO",
'YearB-AppDetails Current Date'!I:I,"WINTER")),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HC'!D:T,14,FALSE)),
N(VLOOKUP(D142&amp;F142,'Budgeted Projections Dom HC'!D:T,15,FALSE))
)
),"")</f>
        <v/>
      </c>
      <c r="I142" s="73" t="str">
        <f>IFERROR(1/(1/COUNTIFS(
'YearB-AppDetails Current Date'!A:A,D142,
'YearB-AppDetails Current Date'!F:F,E142,
'YearB-AppDetails Current Date'!E:E,--F142,
'YearB-AppDetails Current Date'!I:I,"WINTER")), "")</f>
        <v/>
      </c>
      <c r="J142" s="74" t="str" cm="1">
        <f t="array" ref="J142">IFERROR(1/(1/SUM(COUNTIFS(
'YearB-AppDetails Current Date'!A:A,D142,
'YearB-AppDetails Current Date'!F:F,E142,
'YearB-AppDetails Current Date'!E:E,--F142,
'YearB-AppDetails Current Date'!O:O,{"ACLN","ACPT","COND"},
'YearB-AppDetails Current Date'!S:S,"&lt;&gt;ACLN",
'YearB-AppDetails Current Date'!S:S,"&lt;&gt;ACPT",
'YearB-AppDetails Current Date'!S:S,"&lt;&gt;COND",
'YearB-AppDetails Current Date'!I:I,"WINTER"))), "")</f>
        <v/>
      </c>
      <c r="K142" s="73" t="str">
        <f>IFERROR(1/(1/SUM(COUNTIFS(
'YearB-AppDetails Current Date'!A:A,D142,
'YearB-AppDetails Current Date'!F:F,E142,
'YearB-AppDetails Current Date'!E:E,--F142,
'YearB-AppDetails Current Date'!R:R,"&lt;&gt;"&amp;"",
'YearB-AppDetails Current Date'!I:I,"WINTER"))), "")</f>
        <v/>
      </c>
      <c r="L142" s="74" t="str" cm="1">
        <f t="array" ref="L142">IFERROR(1/(1/SUM(COUNTIFS(
'YearB-AppDetails Current Date'!A:A,D142,
'YearB-AppDetails Current Date'!F:F,E142,
'YearB-AppDetails Current Date'!E:E,--F142,
'YearB-AppDetails Current Date'!T:T,{"APEX","DENY","NTSL"},
'YearB-AppDetails Current Date'!I:I,"WINTER"))), "")</f>
        <v/>
      </c>
      <c r="M142" s="74" t="str" cm="1">
        <f t="array" ref="M142">IFERROR(1/(1/SUM(COUNTIFS(
'YearB-AppDetails Current Date'!A:A,D142,
'YearB-AppDetails Current Date'!F:F,E142,
'YearB-AppDetails Current Date'!E:E,--F142,
'YearB-AppDetails Current Date'!U:U,{"CCAN","DECL"},
'YearB-AppDetails Current Date'!I:I,"WINTER"))), "")</f>
        <v/>
      </c>
      <c r="N142" s="74" t="str" cm="1">
        <f t="array" ref="N142">IFERROR(1/(1/SUM(COUNTIFS(
'YearB-AppDetails Current Date'!A:A,D142,
'YearB-AppDetails Current Date'!F:F,E142,
'YearB-AppDetails Current Date'!E:E,--F142,
'YearB-AppDetails Current Date'!V:V,{"APRO","NODE"},
'YearB-AppDetails Current Date'!I:I,"WINTER"))), "")</f>
        <v/>
      </c>
      <c r="O142" s="74" t="str" cm="1">
        <f t="array" ref="O142">IFERROR(1/(1/SUM(COUNTIFS(
'YearB-AppDetails Current Date'!A:A,D142,
'YearB-AppDetails Current Date'!F:F,E142,
'YearB-AppDetails Current Date'!E:E,--F142,
'YearB-AppDetails Current Date'!T:T,{"CDMT","RQMT","WAIT"},
'YearB-AppDetails Current Date'!I:I,"WINTER"))), "")</f>
        <v/>
      </c>
      <c r="P142" s="74" t="str">
        <f>IFERROR(1/(1/COUNTIFS(
'YearB-AppDetails Current Date'!A:A,D142,
'YearB-AppDetails Current Date'!F:F,E142,
'YearB-AppDetails Current Date'!E:E,--F142,
'YearB-AppDetails Current Date'!Y:Y,"ENRO",
'YearB-AppDetails Current Date'!I:I,"WINTER")),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HC'!D:T,14,FALSE)),
N(VLOOKUP(D143&amp;F143,'Budgeted Projections Intl HC'!D:T,15,FALSE))
)
),"")</f>
        <v/>
      </c>
      <c r="I143" s="73" t="str">
        <f>IFERROR(1/(1/COUNTIFS(
'YearB-AppDetails Current Date'!A:A,D143,
'YearB-AppDetails Current Date'!F:F,E143,
'YearB-AppDetails Current Date'!E:E,--F143,
'YearB-AppDetails Current Date'!I:I,"WINTER")), "")</f>
        <v/>
      </c>
      <c r="J143" s="74" t="str" cm="1">
        <f t="array" ref="J143">IFERROR(1/(1/SUM(COUNTIFS(
'YearB-AppDetails Current Date'!A:A,D143,
'YearB-AppDetails Current Date'!F:F,E143,
'YearB-AppDetails Current Date'!E:E,--F143,
'YearB-AppDetails Current Date'!O:O,{"ACLN","ACPT","COND"},
'YearB-AppDetails Current Date'!S:S,"&lt;&gt;ACLN",
'YearB-AppDetails Current Date'!S:S,"&lt;&gt;ACPT",
'YearB-AppDetails Current Date'!S:S,"&lt;&gt;COND",
'YearB-AppDetails Current Date'!I:I,"WINTER"))), "")</f>
        <v/>
      </c>
      <c r="K143" s="73" t="str">
        <f>IFERROR(1/(1/SUM(COUNTIFS(
'YearB-AppDetails Current Date'!A:A,D143,
'YearB-AppDetails Current Date'!F:F,E143,
'YearB-AppDetails Current Date'!E:E,--F143,
'YearB-AppDetails Current Date'!R:R,"&lt;&gt;"&amp;"",
'YearB-AppDetails Current Date'!I:I,"WINTER"))), "")</f>
        <v/>
      </c>
      <c r="L143" s="74" t="str" cm="1">
        <f t="array" ref="L143">IFERROR(1/(1/SUM(COUNTIFS(
'YearB-AppDetails Current Date'!A:A,D143,
'YearB-AppDetails Current Date'!F:F,E143,
'YearB-AppDetails Current Date'!E:E,--F143,
'YearB-AppDetails Current Date'!T:T,{"APEX","DENY","NTSL"},
'YearB-AppDetails Current Date'!I:I,"WINTER"))), "")</f>
        <v/>
      </c>
      <c r="M143" s="74" t="str" cm="1">
        <f t="array" ref="M143">IFERROR(1/(1/SUM(COUNTIFS(
'YearB-AppDetails Current Date'!A:A,D143,
'YearB-AppDetails Current Date'!F:F,E143,
'YearB-AppDetails Current Date'!E:E,--F143,
'YearB-AppDetails Current Date'!U:U,{"CCAN","DECL"},
'YearB-AppDetails Current Date'!I:I,"WINTER"))), "")</f>
        <v/>
      </c>
      <c r="N143" s="74" t="str" cm="1">
        <f t="array" ref="N143">IFERROR(1/(1/SUM(COUNTIFS(
'YearB-AppDetails Current Date'!A:A,D143,
'YearB-AppDetails Current Date'!F:F,E143,
'YearB-AppDetails Current Date'!E:E,--F143,
'YearB-AppDetails Current Date'!V:V,{"APRO","NODE"},
'YearB-AppDetails Current Date'!I:I,"WINTER"))), "")</f>
        <v/>
      </c>
      <c r="O143" s="74" t="str" cm="1">
        <f t="array" ref="O143">IFERROR(1/(1/SUM(COUNTIFS(
'YearB-AppDetails Current Date'!A:A,D143,
'YearB-AppDetails Current Date'!F:F,E143,
'YearB-AppDetails Current Date'!E:E,--F143,
'YearB-AppDetails Current Date'!T:T,{"CDMT","RQMT","WAIT"},
'YearB-AppDetails Current Date'!I:I,"WINTER"))), "")</f>
        <v/>
      </c>
      <c r="P143" s="74" t="str">
        <f>IFERROR(1/(1/COUNTIFS(
'YearB-AppDetails Current Date'!A:A,D143,
'YearB-AppDetails Current Date'!F:F,E143,
'YearB-AppDetails Current Date'!E:E,--F143,
'YearB-AppDetails Current Date'!Y:Y,"ENRO",
'YearB-AppDetails Current Date'!I:I,"WINTER")),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HC'!D:T,14,FALSE)),
N(VLOOKUP(D144&amp;F144,'Budgeted Projections Dom HC'!D:T,15,FALSE))
)
),"")</f>
        <v/>
      </c>
      <c r="I144" s="73" t="str">
        <f>IFERROR(1/(1/COUNTIFS(
'YearB-AppDetails Current Date'!A:A,D144,
'YearB-AppDetails Current Date'!F:F,E144,
'YearB-AppDetails Current Date'!E:E,--F144,
'YearB-AppDetails Current Date'!I:I,"WINTER")), "")</f>
        <v/>
      </c>
      <c r="J144" s="74" t="str" cm="1">
        <f t="array" ref="J144">IFERROR(1/(1/SUM(COUNTIFS(
'YearB-AppDetails Current Date'!A:A,D144,
'YearB-AppDetails Current Date'!F:F,E144,
'YearB-AppDetails Current Date'!E:E,--F144,
'YearB-AppDetails Current Date'!O:O,{"ACLN","ACPT","COND"},
'YearB-AppDetails Current Date'!S:S,"&lt;&gt;ACLN",
'YearB-AppDetails Current Date'!S:S,"&lt;&gt;ACPT",
'YearB-AppDetails Current Date'!S:S,"&lt;&gt;COND",
'YearB-AppDetails Current Date'!I:I,"WINTER"))), "")</f>
        <v/>
      </c>
      <c r="K144" s="73" t="str">
        <f>IFERROR(1/(1/SUM(COUNTIFS(
'YearB-AppDetails Current Date'!A:A,D144,
'YearB-AppDetails Current Date'!F:F,E144,
'YearB-AppDetails Current Date'!E:E,--F144,
'YearB-AppDetails Current Date'!R:R,"&lt;&gt;"&amp;"",
'YearB-AppDetails Current Date'!I:I,"WINTER"))), "")</f>
        <v/>
      </c>
      <c r="L144" s="74" t="str" cm="1">
        <f t="array" ref="L144">IFERROR(1/(1/SUM(COUNTIFS(
'YearB-AppDetails Current Date'!A:A,D144,
'YearB-AppDetails Current Date'!F:F,E144,
'YearB-AppDetails Current Date'!E:E,--F144,
'YearB-AppDetails Current Date'!T:T,{"APEX","DENY","NTSL"},
'YearB-AppDetails Current Date'!I:I,"WINTER"))), "")</f>
        <v/>
      </c>
      <c r="M144" s="74" t="str" cm="1">
        <f t="array" ref="M144">IFERROR(1/(1/SUM(COUNTIFS(
'YearB-AppDetails Current Date'!A:A,D144,
'YearB-AppDetails Current Date'!F:F,E144,
'YearB-AppDetails Current Date'!E:E,--F144,
'YearB-AppDetails Current Date'!U:U,{"CCAN","DECL"},
'YearB-AppDetails Current Date'!I:I,"WINTER"))), "")</f>
        <v/>
      </c>
      <c r="N144" s="74" t="str" cm="1">
        <f t="array" ref="N144">IFERROR(1/(1/SUM(COUNTIFS(
'YearB-AppDetails Current Date'!A:A,D144,
'YearB-AppDetails Current Date'!F:F,E144,
'YearB-AppDetails Current Date'!E:E,--F144,
'YearB-AppDetails Current Date'!V:V,{"APRO","NODE"},
'YearB-AppDetails Current Date'!I:I,"WINTER"))), "")</f>
        <v/>
      </c>
      <c r="O144" s="74" t="str" cm="1">
        <f t="array" ref="O144">IFERROR(1/(1/SUM(COUNTIFS(
'YearB-AppDetails Current Date'!A:A,D144,
'YearB-AppDetails Current Date'!F:F,E144,
'YearB-AppDetails Current Date'!E:E,--F144,
'YearB-AppDetails Current Date'!T:T,{"CDMT","RQMT","WAIT"},
'YearB-AppDetails Current Date'!I:I,"WINTER"))), "")</f>
        <v/>
      </c>
      <c r="P144" s="74" t="str">
        <f>IFERROR(1/(1/COUNTIFS(
'YearB-AppDetails Current Date'!A:A,D144,
'YearB-AppDetails Current Date'!F:F,E144,
'YearB-AppDetails Current Date'!E:E,--F144,
'YearB-AppDetails Current Date'!Y:Y,"ENRO",
'YearB-AppDetails Current Date'!I:I,"WINTER")),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HC'!D:T,14,FALSE)),
N(VLOOKUP(D145&amp;F145,'Budgeted Projections Intl HC'!D:T,15,FALSE))
)
),"")</f>
        <v/>
      </c>
      <c r="I145" s="73" t="str">
        <f>IFERROR(1/(1/COUNTIFS(
'YearB-AppDetails Current Date'!A:A,D145,
'YearB-AppDetails Current Date'!F:F,E145,
'YearB-AppDetails Current Date'!E:E,--F145,
'YearB-AppDetails Current Date'!I:I,"WINTER")), "")</f>
        <v/>
      </c>
      <c r="J145" s="74" t="str" cm="1">
        <f t="array" ref="J145">IFERROR(1/(1/SUM(COUNTIFS(
'YearB-AppDetails Current Date'!A:A,D145,
'YearB-AppDetails Current Date'!F:F,E145,
'YearB-AppDetails Current Date'!E:E,--F145,
'YearB-AppDetails Current Date'!O:O,{"ACLN","ACPT","COND"},
'YearB-AppDetails Current Date'!S:S,"&lt;&gt;ACLN",
'YearB-AppDetails Current Date'!S:S,"&lt;&gt;ACPT",
'YearB-AppDetails Current Date'!S:S,"&lt;&gt;COND",
'YearB-AppDetails Current Date'!I:I,"WINTER"))), "")</f>
        <v/>
      </c>
      <c r="K145" s="73" t="str">
        <f>IFERROR(1/(1/SUM(COUNTIFS(
'YearB-AppDetails Current Date'!A:A,D145,
'YearB-AppDetails Current Date'!F:F,E145,
'YearB-AppDetails Current Date'!E:E,--F145,
'YearB-AppDetails Current Date'!R:R,"&lt;&gt;"&amp;"",
'YearB-AppDetails Current Date'!I:I,"WINTER"))), "")</f>
        <v/>
      </c>
      <c r="L145" s="74" t="str" cm="1">
        <f t="array" ref="L145">IFERROR(1/(1/SUM(COUNTIFS(
'YearB-AppDetails Current Date'!A:A,D145,
'YearB-AppDetails Current Date'!F:F,E145,
'YearB-AppDetails Current Date'!E:E,--F145,
'YearB-AppDetails Current Date'!T:T,{"APEX","DENY","NTSL"},
'YearB-AppDetails Current Date'!I:I,"WINTER"))), "")</f>
        <v/>
      </c>
      <c r="M145" s="74" t="str" cm="1">
        <f t="array" ref="M145">IFERROR(1/(1/SUM(COUNTIFS(
'YearB-AppDetails Current Date'!A:A,D145,
'YearB-AppDetails Current Date'!F:F,E145,
'YearB-AppDetails Current Date'!E:E,--F145,
'YearB-AppDetails Current Date'!U:U,{"CCAN","DECL"},
'YearB-AppDetails Current Date'!I:I,"WINTER"))), "")</f>
        <v/>
      </c>
      <c r="N145" s="74" t="str" cm="1">
        <f t="array" ref="N145">IFERROR(1/(1/SUM(COUNTIFS(
'YearB-AppDetails Current Date'!A:A,D145,
'YearB-AppDetails Current Date'!F:F,E145,
'YearB-AppDetails Current Date'!E:E,--F145,
'YearB-AppDetails Current Date'!V:V,{"APRO","NODE"},
'YearB-AppDetails Current Date'!I:I,"WINTER"))), "")</f>
        <v/>
      </c>
      <c r="O145" s="74" t="str" cm="1">
        <f t="array" ref="O145">IFERROR(1/(1/SUM(COUNTIFS(
'YearB-AppDetails Current Date'!A:A,D145,
'YearB-AppDetails Current Date'!F:F,E145,
'YearB-AppDetails Current Date'!E:E,--F145,
'YearB-AppDetails Current Date'!T:T,{"CDMT","RQMT","WAIT"},
'YearB-AppDetails Current Date'!I:I,"WINTER"))), "")</f>
        <v/>
      </c>
      <c r="P145" s="74" t="str">
        <f>IFERROR(1/(1/COUNTIFS(
'YearB-AppDetails Current Date'!A:A,D145,
'YearB-AppDetails Current Date'!F:F,E145,
'YearB-AppDetails Current Date'!E:E,--F145,
'YearB-AppDetails Current Date'!Y:Y,"ENRO",
'YearB-AppDetails Current Date'!I:I,"WINTER")),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HC'!D:T,14,FALSE)),
N(VLOOKUP(D146&amp;F146,'Budgeted Projections Dom HC'!D:T,15,FALSE))
)
),"")</f>
        <v/>
      </c>
      <c r="I146" s="73" t="str">
        <f>IFERROR(1/(1/COUNTIFS(
'YearB-AppDetails Current Date'!A:A,D146,
'YearB-AppDetails Current Date'!F:F,E146,
'YearB-AppDetails Current Date'!E:E,--F146,
'YearB-AppDetails Current Date'!I:I,"WINTER")), "")</f>
        <v/>
      </c>
      <c r="J146" s="74" t="str" cm="1">
        <f t="array" ref="J146">IFERROR(1/(1/SUM(COUNTIFS(
'YearB-AppDetails Current Date'!A:A,D146,
'YearB-AppDetails Current Date'!F:F,E146,
'YearB-AppDetails Current Date'!E:E,--F146,
'YearB-AppDetails Current Date'!O:O,{"ACLN","ACPT","COND"},
'YearB-AppDetails Current Date'!S:S,"&lt;&gt;ACLN",
'YearB-AppDetails Current Date'!S:S,"&lt;&gt;ACPT",
'YearB-AppDetails Current Date'!S:S,"&lt;&gt;COND",
'YearB-AppDetails Current Date'!I:I,"WINTER"))), "")</f>
        <v/>
      </c>
      <c r="K146" s="73" t="str">
        <f>IFERROR(1/(1/SUM(COUNTIFS(
'YearB-AppDetails Current Date'!A:A,D146,
'YearB-AppDetails Current Date'!F:F,E146,
'YearB-AppDetails Current Date'!E:E,--F146,
'YearB-AppDetails Current Date'!R:R,"&lt;&gt;"&amp;"",
'YearB-AppDetails Current Date'!I:I,"WINTER"))), "")</f>
        <v/>
      </c>
      <c r="L146" s="74" t="str" cm="1">
        <f t="array" ref="L146">IFERROR(1/(1/SUM(COUNTIFS(
'YearB-AppDetails Current Date'!A:A,D146,
'YearB-AppDetails Current Date'!F:F,E146,
'YearB-AppDetails Current Date'!E:E,--F146,
'YearB-AppDetails Current Date'!T:T,{"APEX","DENY","NTSL"},
'YearB-AppDetails Current Date'!I:I,"WINTER"))), "")</f>
        <v/>
      </c>
      <c r="M146" s="74" t="str" cm="1">
        <f t="array" ref="M146">IFERROR(1/(1/SUM(COUNTIFS(
'YearB-AppDetails Current Date'!A:A,D146,
'YearB-AppDetails Current Date'!F:F,E146,
'YearB-AppDetails Current Date'!E:E,--F146,
'YearB-AppDetails Current Date'!U:U,{"CCAN","DECL"},
'YearB-AppDetails Current Date'!I:I,"WINTER"))), "")</f>
        <v/>
      </c>
      <c r="N146" s="74" t="str" cm="1">
        <f t="array" ref="N146">IFERROR(1/(1/SUM(COUNTIFS(
'YearB-AppDetails Current Date'!A:A,D146,
'YearB-AppDetails Current Date'!F:F,E146,
'YearB-AppDetails Current Date'!E:E,--F146,
'YearB-AppDetails Current Date'!V:V,{"APRO","NODE"},
'YearB-AppDetails Current Date'!I:I,"WINTER"))), "")</f>
        <v/>
      </c>
      <c r="O146" s="74" t="str" cm="1">
        <f t="array" ref="O146">IFERROR(1/(1/SUM(COUNTIFS(
'YearB-AppDetails Current Date'!A:A,D146,
'YearB-AppDetails Current Date'!F:F,E146,
'YearB-AppDetails Current Date'!E:E,--F146,
'YearB-AppDetails Current Date'!T:T,{"CDMT","RQMT","WAIT"},
'YearB-AppDetails Current Date'!I:I,"WINTER"))), "")</f>
        <v/>
      </c>
      <c r="P146" s="74" t="str">
        <f>IFERROR(1/(1/COUNTIFS(
'YearB-AppDetails Current Date'!A:A,D146,
'YearB-AppDetails Current Date'!F:F,E146,
'YearB-AppDetails Current Date'!E:E,--F146,
'YearB-AppDetails Current Date'!Y:Y,"ENRO",
'YearB-AppDetails Current Date'!I:I,"WINTER")),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HC'!D:T,14,FALSE)),
N(VLOOKUP(D147&amp;F147,'Budgeted Projections Intl HC'!D:T,15,FALSE))
)
),"")</f>
        <v/>
      </c>
      <c r="I147" s="73" t="str">
        <f>IFERROR(1/(1/COUNTIFS(
'YearB-AppDetails Current Date'!A:A,D147,
'YearB-AppDetails Current Date'!F:F,E147,
'YearB-AppDetails Current Date'!E:E,--F147,
'YearB-AppDetails Current Date'!I:I,"WINTER")), "")</f>
        <v/>
      </c>
      <c r="J147" s="74" t="str" cm="1">
        <f t="array" ref="J147">IFERROR(1/(1/SUM(COUNTIFS(
'YearB-AppDetails Current Date'!A:A,D147,
'YearB-AppDetails Current Date'!F:F,E147,
'YearB-AppDetails Current Date'!E:E,--F147,
'YearB-AppDetails Current Date'!O:O,{"ACLN","ACPT","COND"},
'YearB-AppDetails Current Date'!S:S,"&lt;&gt;ACLN",
'YearB-AppDetails Current Date'!S:S,"&lt;&gt;ACPT",
'YearB-AppDetails Current Date'!S:S,"&lt;&gt;COND",
'YearB-AppDetails Current Date'!I:I,"WINTER"))), "")</f>
        <v/>
      </c>
      <c r="K147" s="73" t="str">
        <f>IFERROR(1/(1/SUM(COUNTIFS(
'YearB-AppDetails Current Date'!A:A,D147,
'YearB-AppDetails Current Date'!F:F,E147,
'YearB-AppDetails Current Date'!E:E,--F147,
'YearB-AppDetails Current Date'!R:R,"&lt;&gt;"&amp;"",
'YearB-AppDetails Current Date'!I:I,"WINTER"))), "")</f>
        <v/>
      </c>
      <c r="L147" s="74" t="str" cm="1">
        <f t="array" ref="L147">IFERROR(1/(1/SUM(COUNTIFS(
'YearB-AppDetails Current Date'!A:A,D147,
'YearB-AppDetails Current Date'!F:F,E147,
'YearB-AppDetails Current Date'!E:E,--F147,
'YearB-AppDetails Current Date'!T:T,{"APEX","DENY","NTSL"},
'YearB-AppDetails Current Date'!I:I,"WINTER"))), "")</f>
        <v/>
      </c>
      <c r="M147" s="74" t="str" cm="1">
        <f t="array" ref="M147">IFERROR(1/(1/SUM(COUNTIFS(
'YearB-AppDetails Current Date'!A:A,D147,
'YearB-AppDetails Current Date'!F:F,E147,
'YearB-AppDetails Current Date'!E:E,--F147,
'YearB-AppDetails Current Date'!U:U,{"CCAN","DECL"},
'YearB-AppDetails Current Date'!I:I,"WINTER"))), "")</f>
        <v/>
      </c>
      <c r="N147" s="74" t="str" cm="1">
        <f t="array" ref="N147">IFERROR(1/(1/SUM(COUNTIFS(
'YearB-AppDetails Current Date'!A:A,D147,
'YearB-AppDetails Current Date'!F:F,E147,
'YearB-AppDetails Current Date'!E:E,--F147,
'YearB-AppDetails Current Date'!V:V,{"APRO","NODE"},
'YearB-AppDetails Current Date'!I:I,"WINTER"))), "")</f>
        <v/>
      </c>
      <c r="O147" s="74" t="str" cm="1">
        <f t="array" ref="O147">IFERROR(1/(1/SUM(COUNTIFS(
'YearB-AppDetails Current Date'!A:A,D147,
'YearB-AppDetails Current Date'!F:F,E147,
'YearB-AppDetails Current Date'!E:E,--F147,
'YearB-AppDetails Current Date'!T:T,{"CDMT","RQMT","WAIT"},
'YearB-AppDetails Current Date'!I:I,"WINTER"))), "")</f>
        <v/>
      </c>
      <c r="P147" s="74" t="str">
        <f>IFERROR(1/(1/COUNTIFS(
'YearB-AppDetails Current Date'!A:A,D147,
'YearB-AppDetails Current Date'!F:F,E147,
'YearB-AppDetails Current Date'!E:E,--F147,
'YearB-AppDetails Current Date'!Y:Y,"ENRO",
'YearB-AppDetails Current Date'!I:I,"WINTER")),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HC'!D:T,14,FALSE)),
N(VLOOKUP(D149&amp;F149,'Budgeted Projections Dom HC'!D:T,15,FALSE))
)
),"")</f>
        <v/>
      </c>
      <c r="I149" s="73" t="str">
        <f>IFERROR(1/(1/COUNTIFS(
'YearB-AppDetails Current Date'!A:A,D149,
'YearB-AppDetails Current Date'!F:F,E149,
'YearB-AppDetails Current Date'!E:E,--F149,
'YearB-AppDetails Current Date'!I:I,"WINTER")), "")</f>
        <v/>
      </c>
      <c r="J149" s="74" t="str" cm="1">
        <f t="array" ref="J149">IFERROR(1/(1/SUM(COUNTIFS(
'YearB-AppDetails Current Date'!A:A,D149,
'YearB-AppDetails Current Date'!F:F,E149,
'YearB-AppDetails Current Date'!E:E,--F149,
'YearB-AppDetails Current Date'!O:O,{"ACLN","ACPT","COND"},
'YearB-AppDetails Current Date'!S:S,"&lt;&gt;ACLN",
'YearB-AppDetails Current Date'!S:S,"&lt;&gt;ACPT",
'YearB-AppDetails Current Date'!S:S,"&lt;&gt;COND",
'YearB-AppDetails Current Date'!I:I,"WINTER"))), "")</f>
        <v/>
      </c>
      <c r="K149" s="73" t="str">
        <f>IFERROR(1/(1/SUM(COUNTIFS(
'YearB-AppDetails Current Date'!A:A,D149,
'YearB-AppDetails Current Date'!F:F,E149,
'YearB-AppDetails Current Date'!E:E,--F149,
'YearB-AppDetails Current Date'!R:R,"&lt;&gt;"&amp;"",
'YearB-AppDetails Current Date'!I:I,"WINTER"))), "")</f>
        <v/>
      </c>
      <c r="L149" s="74" t="str" cm="1">
        <f t="array" ref="L149">IFERROR(1/(1/SUM(COUNTIFS(
'YearB-AppDetails Current Date'!A:A,D149,
'YearB-AppDetails Current Date'!F:F,E149,
'YearB-AppDetails Current Date'!E:E,--F149,
'YearB-AppDetails Current Date'!T:T,{"APEX","DENY","NTSL"},
'YearB-AppDetails Current Date'!I:I,"WINTER"))), "")</f>
        <v/>
      </c>
      <c r="M149" s="74" t="str" cm="1">
        <f t="array" ref="M149">IFERROR(1/(1/SUM(COUNTIFS(
'YearB-AppDetails Current Date'!A:A,D149,
'YearB-AppDetails Current Date'!F:F,E149,
'YearB-AppDetails Current Date'!E:E,--F149,
'YearB-AppDetails Current Date'!U:U,{"CCAN","DECL"},
'YearB-AppDetails Current Date'!I:I,"WINTER"))), "")</f>
        <v/>
      </c>
      <c r="N149" s="74" t="str" cm="1">
        <f t="array" ref="N149">IFERROR(1/(1/SUM(COUNTIFS(
'YearB-AppDetails Current Date'!A:A,D149,
'YearB-AppDetails Current Date'!F:F,E149,
'YearB-AppDetails Current Date'!E:E,--F149,
'YearB-AppDetails Current Date'!V:V,{"APRO","NODE"},
'YearB-AppDetails Current Date'!I:I,"WINTER"))), "")</f>
        <v/>
      </c>
      <c r="O149" s="74" t="str" cm="1">
        <f t="array" ref="O149">IFERROR(1/(1/SUM(COUNTIFS(
'YearB-AppDetails Current Date'!A:A,D149,
'YearB-AppDetails Current Date'!F:F,E149,
'YearB-AppDetails Current Date'!E:E,--F149,
'YearB-AppDetails Current Date'!T:T,{"CDMT","RQMT","WAIT"},
'YearB-AppDetails Current Date'!I:I,"WINTER"))), "")</f>
        <v/>
      </c>
      <c r="P149" s="74" t="str">
        <f>IFERROR(1/(1/COUNTIFS(
'YearB-AppDetails Current Date'!A:A,D149,
'YearB-AppDetails Current Date'!F:F,E149,
'YearB-AppDetails Current Date'!E:E,--F149,
'YearB-AppDetails Current Date'!Y:Y,"ENRO",
'YearB-AppDetails Current Date'!I:I,"WINTER")),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HC'!D:T,14,FALSE)),
N(VLOOKUP(D150&amp;F150,'Budgeted Projections Intl HC'!D:T,15,FALSE))
)
),"")</f>
        <v/>
      </c>
      <c r="I150" s="73" t="str">
        <f>IFERROR(1/(1/COUNTIFS(
'YearB-AppDetails Current Date'!A:A,D150,
'YearB-AppDetails Current Date'!F:F,E150,
'YearB-AppDetails Current Date'!E:E,--F150,
'YearB-AppDetails Current Date'!I:I,"WINTER")), "")</f>
        <v/>
      </c>
      <c r="J150" s="74" t="str" cm="1">
        <f t="array" ref="J150">IFERROR(1/(1/SUM(COUNTIFS(
'YearB-AppDetails Current Date'!A:A,D150,
'YearB-AppDetails Current Date'!F:F,E150,
'YearB-AppDetails Current Date'!E:E,--F150,
'YearB-AppDetails Current Date'!O:O,{"ACLN","ACPT","COND"},
'YearB-AppDetails Current Date'!S:S,"&lt;&gt;ACLN",
'YearB-AppDetails Current Date'!S:S,"&lt;&gt;ACPT",
'YearB-AppDetails Current Date'!S:S,"&lt;&gt;COND",
'YearB-AppDetails Current Date'!I:I,"WINTER"))), "")</f>
        <v/>
      </c>
      <c r="K150" s="73" t="str">
        <f>IFERROR(1/(1/SUM(COUNTIFS(
'YearB-AppDetails Current Date'!A:A,D150,
'YearB-AppDetails Current Date'!F:F,E150,
'YearB-AppDetails Current Date'!E:E,--F150,
'YearB-AppDetails Current Date'!R:R,"&lt;&gt;"&amp;"",
'YearB-AppDetails Current Date'!I:I,"WINTER"))), "")</f>
        <v/>
      </c>
      <c r="L150" s="74" t="str" cm="1">
        <f t="array" ref="L150">IFERROR(1/(1/SUM(COUNTIFS(
'YearB-AppDetails Current Date'!A:A,D150,
'YearB-AppDetails Current Date'!F:F,E150,
'YearB-AppDetails Current Date'!E:E,--F150,
'YearB-AppDetails Current Date'!T:T,{"APEX","DENY","NTSL"},
'YearB-AppDetails Current Date'!I:I,"WINTER"))), "")</f>
        <v/>
      </c>
      <c r="M150" s="74" t="str" cm="1">
        <f t="array" ref="M150">IFERROR(1/(1/SUM(COUNTIFS(
'YearB-AppDetails Current Date'!A:A,D150,
'YearB-AppDetails Current Date'!F:F,E150,
'YearB-AppDetails Current Date'!E:E,--F150,
'YearB-AppDetails Current Date'!U:U,{"CCAN","DECL"},
'YearB-AppDetails Current Date'!I:I,"WINTER"))), "")</f>
        <v/>
      </c>
      <c r="N150" s="74" t="str" cm="1">
        <f t="array" ref="N150">IFERROR(1/(1/SUM(COUNTIFS(
'YearB-AppDetails Current Date'!A:A,D150,
'YearB-AppDetails Current Date'!F:F,E150,
'YearB-AppDetails Current Date'!E:E,--F150,
'YearB-AppDetails Current Date'!V:V,{"APRO","NODE"},
'YearB-AppDetails Current Date'!I:I,"WINTER"))), "")</f>
        <v/>
      </c>
      <c r="O150" s="74" t="str" cm="1">
        <f t="array" ref="O150">IFERROR(1/(1/SUM(COUNTIFS(
'YearB-AppDetails Current Date'!A:A,D150,
'YearB-AppDetails Current Date'!F:F,E150,
'YearB-AppDetails Current Date'!E:E,--F150,
'YearB-AppDetails Current Date'!T:T,{"CDMT","RQMT","WAIT"},
'YearB-AppDetails Current Date'!I:I,"WINTER"))), "")</f>
        <v/>
      </c>
      <c r="P150" s="74" t="str">
        <f>IFERROR(1/(1/COUNTIFS(
'YearB-AppDetails Current Date'!A:A,D150,
'YearB-AppDetails Current Date'!F:F,E150,
'YearB-AppDetails Current Date'!E:E,--F150,
'YearB-AppDetails Current Date'!Y:Y,"ENRO",
'YearB-AppDetails Current Date'!I:I,"WINTER")),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HC'!D:T,14,FALSE)),
N(VLOOKUP(D151&amp;F151,'Budgeted Projections Dom HC'!D:T,15,FALSE))
)
),"")</f>
        <v/>
      </c>
      <c r="I151" s="73" t="str">
        <f>IFERROR(1/(1/COUNTIFS(
'YearB-AppDetails Current Date'!A:A,D151,
'YearB-AppDetails Current Date'!F:F,E151,
'YearB-AppDetails Current Date'!E:E,--F151,
'YearB-AppDetails Current Date'!I:I,"WINTER")), "")</f>
        <v/>
      </c>
      <c r="J151" s="74" t="str" cm="1">
        <f t="array" ref="J151">IFERROR(1/(1/SUM(COUNTIFS(
'YearB-AppDetails Current Date'!A:A,D151,
'YearB-AppDetails Current Date'!F:F,E151,
'YearB-AppDetails Current Date'!E:E,--F151,
'YearB-AppDetails Current Date'!O:O,{"ACLN","ACPT","COND"},
'YearB-AppDetails Current Date'!S:S,"&lt;&gt;ACLN",
'YearB-AppDetails Current Date'!S:S,"&lt;&gt;ACPT",
'YearB-AppDetails Current Date'!S:S,"&lt;&gt;COND",
'YearB-AppDetails Current Date'!I:I,"WINTER"))), "")</f>
        <v/>
      </c>
      <c r="K151" s="73" t="str">
        <f>IFERROR(1/(1/SUM(COUNTIFS(
'YearB-AppDetails Current Date'!A:A,D151,
'YearB-AppDetails Current Date'!F:F,E151,
'YearB-AppDetails Current Date'!E:E,--F151,
'YearB-AppDetails Current Date'!R:R,"&lt;&gt;"&amp;"",
'YearB-AppDetails Current Date'!I:I,"WINTER"))), "")</f>
        <v/>
      </c>
      <c r="L151" s="74" t="str" cm="1">
        <f t="array" ref="L151">IFERROR(1/(1/SUM(COUNTIFS(
'YearB-AppDetails Current Date'!A:A,D151,
'YearB-AppDetails Current Date'!F:F,E151,
'YearB-AppDetails Current Date'!E:E,--F151,
'YearB-AppDetails Current Date'!T:T,{"APEX","DENY","NTSL"},
'YearB-AppDetails Current Date'!I:I,"WINTER"))), "")</f>
        <v/>
      </c>
      <c r="M151" s="74" t="str" cm="1">
        <f t="array" ref="M151">IFERROR(1/(1/SUM(COUNTIFS(
'YearB-AppDetails Current Date'!A:A,D151,
'YearB-AppDetails Current Date'!F:F,E151,
'YearB-AppDetails Current Date'!E:E,--F151,
'YearB-AppDetails Current Date'!U:U,{"CCAN","DECL"},
'YearB-AppDetails Current Date'!I:I,"WINTER"))), "")</f>
        <v/>
      </c>
      <c r="N151" s="74" t="str" cm="1">
        <f t="array" ref="N151">IFERROR(1/(1/SUM(COUNTIFS(
'YearB-AppDetails Current Date'!A:A,D151,
'YearB-AppDetails Current Date'!F:F,E151,
'YearB-AppDetails Current Date'!E:E,--F151,
'YearB-AppDetails Current Date'!V:V,{"APRO","NODE"},
'YearB-AppDetails Current Date'!I:I,"WINTER"))), "")</f>
        <v/>
      </c>
      <c r="O151" s="74" t="str" cm="1">
        <f t="array" ref="O151">IFERROR(1/(1/SUM(COUNTIFS(
'YearB-AppDetails Current Date'!A:A,D151,
'YearB-AppDetails Current Date'!F:F,E151,
'YearB-AppDetails Current Date'!E:E,--F151,
'YearB-AppDetails Current Date'!T:T,{"CDMT","RQMT","WAIT"},
'YearB-AppDetails Current Date'!I:I,"WINTER"))), "")</f>
        <v/>
      </c>
      <c r="P151" s="74" t="str">
        <f>IFERROR(1/(1/COUNTIFS(
'YearB-AppDetails Current Date'!A:A,D151,
'YearB-AppDetails Current Date'!F:F,E151,
'YearB-AppDetails Current Date'!E:E,--F151,
'YearB-AppDetails Current Date'!Y:Y,"ENRO",
'YearB-AppDetails Current Date'!I:I,"WINTER")),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HC'!D:T,14,FALSE)),
N(VLOOKUP(D152&amp;F152,'Budgeted Projections Intl HC'!D:T,15,FALSE))
)
),"")</f>
        <v/>
      </c>
      <c r="I152" s="73" t="str">
        <f>IFERROR(1/(1/COUNTIFS(
'YearB-AppDetails Current Date'!A:A,D152,
'YearB-AppDetails Current Date'!F:F,E152,
'YearB-AppDetails Current Date'!E:E,--F152,
'YearB-AppDetails Current Date'!I:I,"WINTER")), "")</f>
        <v/>
      </c>
      <c r="J152" s="74" t="str" cm="1">
        <f t="array" ref="J152">IFERROR(1/(1/SUM(COUNTIFS(
'YearB-AppDetails Current Date'!A:A,D152,
'YearB-AppDetails Current Date'!F:F,E152,
'YearB-AppDetails Current Date'!E:E,--F152,
'YearB-AppDetails Current Date'!O:O,{"ACLN","ACPT","COND"},
'YearB-AppDetails Current Date'!S:S,"&lt;&gt;ACLN",
'YearB-AppDetails Current Date'!S:S,"&lt;&gt;ACPT",
'YearB-AppDetails Current Date'!S:S,"&lt;&gt;COND",
'YearB-AppDetails Current Date'!I:I,"WINTER"))), "")</f>
        <v/>
      </c>
      <c r="K152" s="73" t="str">
        <f>IFERROR(1/(1/SUM(COUNTIFS(
'YearB-AppDetails Current Date'!A:A,D152,
'YearB-AppDetails Current Date'!F:F,E152,
'YearB-AppDetails Current Date'!E:E,--F152,
'YearB-AppDetails Current Date'!R:R,"&lt;&gt;"&amp;"",
'YearB-AppDetails Current Date'!I:I,"WINTER"))), "")</f>
        <v/>
      </c>
      <c r="L152" s="74" t="str" cm="1">
        <f t="array" ref="L152">IFERROR(1/(1/SUM(COUNTIFS(
'YearB-AppDetails Current Date'!A:A,D152,
'YearB-AppDetails Current Date'!F:F,E152,
'YearB-AppDetails Current Date'!E:E,--F152,
'YearB-AppDetails Current Date'!T:T,{"APEX","DENY","NTSL"},
'YearB-AppDetails Current Date'!I:I,"WINTER"))), "")</f>
        <v/>
      </c>
      <c r="M152" s="74" t="str" cm="1">
        <f t="array" ref="M152">IFERROR(1/(1/SUM(COUNTIFS(
'YearB-AppDetails Current Date'!A:A,D152,
'YearB-AppDetails Current Date'!F:F,E152,
'YearB-AppDetails Current Date'!E:E,--F152,
'YearB-AppDetails Current Date'!U:U,{"CCAN","DECL"},
'YearB-AppDetails Current Date'!I:I,"WINTER"))), "")</f>
        <v/>
      </c>
      <c r="N152" s="74" t="str" cm="1">
        <f t="array" ref="N152">IFERROR(1/(1/SUM(COUNTIFS(
'YearB-AppDetails Current Date'!A:A,D152,
'YearB-AppDetails Current Date'!F:F,E152,
'YearB-AppDetails Current Date'!E:E,--F152,
'YearB-AppDetails Current Date'!V:V,{"APRO","NODE"},
'YearB-AppDetails Current Date'!I:I,"WINTER"))), "")</f>
        <v/>
      </c>
      <c r="O152" s="74" t="str" cm="1">
        <f t="array" ref="O152">IFERROR(1/(1/SUM(COUNTIFS(
'YearB-AppDetails Current Date'!A:A,D152,
'YearB-AppDetails Current Date'!F:F,E152,
'YearB-AppDetails Current Date'!E:E,--F152,
'YearB-AppDetails Current Date'!T:T,{"CDMT","RQMT","WAIT"},
'YearB-AppDetails Current Date'!I:I,"WINTER"))), "")</f>
        <v/>
      </c>
      <c r="P152" s="74" t="str">
        <f>IFERROR(1/(1/COUNTIFS(
'YearB-AppDetails Current Date'!A:A,D152,
'YearB-AppDetails Current Date'!F:F,E152,
'YearB-AppDetails Current Date'!E:E,--F152,
'YearB-AppDetails Current Date'!Y:Y,"ENRO",
'YearB-AppDetails Current Date'!I:I,"WINTER")),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HC'!D:T,14,FALSE)),
N(VLOOKUP(D153&amp;F153,'Budgeted Projections Dom HC'!D:T,15,FALSE))
)
),"")</f>
        <v/>
      </c>
      <c r="I153" s="73" t="str">
        <f>IFERROR(1/(1/COUNTIFS(
'YearB-AppDetails Current Date'!A:A,D153,
'YearB-AppDetails Current Date'!F:F,E153,
'YearB-AppDetails Current Date'!E:E,--F153,
'YearB-AppDetails Current Date'!I:I,"WINTER")), "")</f>
        <v/>
      </c>
      <c r="J153" s="74" t="str" cm="1">
        <f t="array" ref="J153">IFERROR(1/(1/SUM(COUNTIFS(
'YearB-AppDetails Current Date'!A:A,D153,
'YearB-AppDetails Current Date'!F:F,E153,
'YearB-AppDetails Current Date'!E:E,--F153,
'YearB-AppDetails Current Date'!O:O,{"ACLN","ACPT","COND"},
'YearB-AppDetails Current Date'!S:S,"&lt;&gt;ACLN",
'YearB-AppDetails Current Date'!S:S,"&lt;&gt;ACPT",
'YearB-AppDetails Current Date'!S:S,"&lt;&gt;COND",
'YearB-AppDetails Current Date'!I:I,"WINTER"))), "")</f>
        <v/>
      </c>
      <c r="K153" s="73" t="str">
        <f>IFERROR(1/(1/SUM(COUNTIFS(
'YearB-AppDetails Current Date'!A:A,D153,
'YearB-AppDetails Current Date'!F:F,E153,
'YearB-AppDetails Current Date'!E:E,--F153,
'YearB-AppDetails Current Date'!R:R,"&lt;&gt;"&amp;"",
'YearB-AppDetails Current Date'!I:I,"WINTER"))), "")</f>
        <v/>
      </c>
      <c r="L153" s="74" t="str" cm="1">
        <f t="array" ref="L153">IFERROR(1/(1/SUM(COUNTIFS(
'YearB-AppDetails Current Date'!A:A,D153,
'YearB-AppDetails Current Date'!F:F,E153,
'YearB-AppDetails Current Date'!E:E,--F153,
'YearB-AppDetails Current Date'!T:T,{"APEX","DENY","NTSL"},
'YearB-AppDetails Current Date'!I:I,"WINTER"))), "")</f>
        <v/>
      </c>
      <c r="M153" s="74" t="str" cm="1">
        <f t="array" ref="M153">IFERROR(1/(1/SUM(COUNTIFS(
'YearB-AppDetails Current Date'!A:A,D153,
'YearB-AppDetails Current Date'!F:F,E153,
'YearB-AppDetails Current Date'!E:E,--F153,
'YearB-AppDetails Current Date'!U:U,{"CCAN","DECL"},
'YearB-AppDetails Current Date'!I:I,"WINTER"))), "")</f>
        <v/>
      </c>
      <c r="N153" s="74" t="str" cm="1">
        <f t="array" ref="N153">IFERROR(1/(1/SUM(COUNTIFS(
'YearB-AppDetails Current Date'!A:A,D153,
'YearB-AppDetails Current Date'!F:F,E153,
'YearB-AppDetails Current Date'!E:E,--F153,
'YearB-AppDetails Current Date'!V:V,{"APRO","NODE"},
'YearB-AppDetails Current Date'!I:I,"WINTER"))), "")</f>
        <v/>
      </c>
      <c r="O153" s="74" t="str" cm="1">
        <f t="array" ref="O153">IFERROR(1/(1/SUM(COUNTIFS(
'YearB-AppDetails Current Date'!A:A,D153,
'YearB-AppDetails Current Date'!F:F,E153,
'YearB-AppDetails Current Date'!E:E,--F153,
'YearB-AppDetails Current Date'!T:T,{"CDMT","RQMT","WAIT"},
'YearB-AppDetails Current Date'!I:I,"WINTER"))), "")</f>
        <v/>
      </c>
      <c r="P153" s="74" t="str">
        <f>IFERROR(1/(1/COUNTIFS(
'YearB-AppDetails Current Date'!A:A,D153,
'YearB-AppDetails Current Date'!F:F,E153,
'YearB-AppDetails Current Date'!E:E,--F153,
'YearB-AppDetails Current Date'!Y:Y,"ENRO",
'YearB-AppDetails Current Date'!I:I,"WINTER")),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HC'!D:T,14,FALSE)),
N(VLOOKUP(D154&amp;F154,'Budgeted Projections Intl HC'!D:T,15,FALSE))
)
),"")</f>
        <v/>
      </c>
      <c r="I154" s="73" t="str">
        <f>IFERROR(1/(1/COUNTIFS(
'YearB-AppDetails Current Date'!A:A,D154,
'YearB-AppDetails Current Date'!F:F,E154,
'YearB-AppDetails Current Date'!E:E,--F154,
'YearB-AppDetails Current Date'!I:I,"WINTER")), "")</f>
        <v/>
      </c>
      <c r="J154" s="74" t="str" cm="1">
        <f t="array" ref="J154">IFERROR(1/(1/SUM(COUNTIFS(
'YearB-AppDetails Current Date'!A:A,D154,
'YearB-AppDetails Current Date'!F:F,E154,
'YearB-AppDetails Current Date'!E:E,--F154,
'YearB-AppDetails Current Date'!O:O,{"ACLN","ACPT","COND"},
'YearB-AppDetails Current Date'!S:S,"&lt;&gt;ACLN",
'YearB-AppDetails Current Date'!S:S,"&lt;&gt;ACPT",
'YearB-AppDetails Current Date'!S:S,"&lt;&gt;COND",
'YearB-AppDetails Current Date'!I:I,"WINTER"))), "")</f>
        <v/>
      </c>
      <c r="K154" s="73" t="str">
        <f>IFERROR(1/(1/SUM(COUNTIFS(
'YearB-AppDetails Current Date'!A:A,D154,
'YearB-AppDetails Current Date'!F:F,E154,
'YearB-AppDetails Current Date'!E:E,--F154,
'YearB-AppDetails Current Date'!R:R,"&lt;&gt;"&amp;"",
'YearB-AppDetails Current Date'!I:I,"WINTER"))), "")</f>
        <v/>
      </c>
      <c r="L154" s="74" t="str" cm="1">
        <f t="array" ref="L154">IFERROR(1/(1/SUM(COUNTIFS(
'YearB-AppDetails Current Date'!A:A,D154,
'YearB-AppDetails Current Date'!F:F,E154,
'YearB-AppDetails Current Date'!E:E,--F154,
'YearB-AppDetails Current Date'!T:T,{"APEX","DENY","NTSL"},
'YearB-AppDetails Current Date'!I:I,"WINTER"))), "")</f>
        <v/>
      </c>
      <c r="M154" s="74" t="str" cm="1">
        <f t="array" ref="M154">IFERROR(1/(1/SUM(COUNTIFS(
'YearB-AppDetails Current Date'!A:A,D154,
'YearB-AppDetails Current Date'!F:F,E154,
'YearB-AppDetails Current Date'!E:E,--F154,
'YearB-AppDetails Current Date'!U:U,{"CCAN","DECL"},
'YearB-AppDetails Current Date'!I:I,"WINTER"))), "")</f>
        <v/>
      </c>
      <c r="N154" s="74" t="str" cm="1">
        <f t="array" ref="N154">IFERROR(1/(1/SUM(COUNTIFS(
'YearB-AppDetails Current Date'!A:A,D154,
'YearB-AppDetails Current Date'!F:F,E154,
'YearB-AppDetails Current Date'!E:E,--F154,
'YearB-AppDetails Current Date'!V:V,{"APRO","NODE"},
'YearB-AppDetails Current Date'!I:I,"WINTER"))), "")</f>
        <v/>
      </c>
      <c r="O154" s="74" t="str" cm="1">
        <f t="array" ref="O154">IFERROR(1/(1/SUM(COUNTIFS(
'YearB-AppDetails Current Date'!A:A,D154,
'YearB-AppDetails Current Date'!F:F,E154,
'YearB-AppDetails Current Date'!E:E,--F154,
'YearB-AppDetails Current Date'!T:T,{"CDMT","RQMT","WAIT"},
'YearB-AppDetails Current Date'!I:I,"WINTER"))), "")</f>
        <v/>
      </c>
      <c r="P154" s="74" t="str">
        <f>IFERROR(1/(1/COUNTIFS(
'YearB-AppDetails Current Date'!A:A,D154,
'YearB-AppDetails Current Date'!F:F,E154,
'YearB-AppDetails Current Date'!E:E,--F154,
'YearB-AppDetails Current Date'!Y:Y,"ENRO",
'YearB-AppDetails Current Date'!I:I,"WINTER")),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HC'!D:T,14,FALSE)),
N(VLOOKUP(D155&amp;F155,'Budgeted Projections Dom HC'!D:T,15,FALSE))
)
),"")</f>
        <v/>
      </c>
      <c r="I155" s="73" t="str">
        <f>IFERROR(1/(1/COUNTIFS(
'YearB-AppDetails Current Date'!A:A,D155,
'YearB-AppDetails Current Date'!F:F,E155,
'YearB-AppDetails Current Date'!E:E,--F155,
'YearB-AppDetails Current Date'!I:I,"WINTER")), "")</f>
        <v/>
      </c>
      <c r="J155" s="74" t="str" cm="1">
        <f t="array" ref="J155">IFERROR(1/(1/SUM(COUNTIFS(
'YearB-AppDetails Current Date'!A:A,D155,
'YearB-AppDetails Current Date'!F:F,E155,
'YearB-AppDetails Current Date'!E:E,--F155,
'YearB-AppDetails Current Date'!O:O,{"ACLN","ACPT","COND"},
'YearB-AppDetails Current Date'!S:S,"&lt;&gt;ACLN",
'YearB-AppDetails Current Date'!S:S,"&lt;&gt;ACPT",
'YearB-AppDetails Current Date'!S:S,"&lt;&gt;COND",
'YearB-AppDetails Current Date'!I:I,"WINTER"))), "")</f>
        <v/>
      </c>
      <c r="K155" s="73" t="str">
        <f>IFERROR(1/(1/SUM(COUNTIFS(
'YearB-AppDetails Current Date'!A:A,D155,
'YearB-AppDetails Current Date'!F:F,E155,
'YearB-AppDetails Current Date'!E:E,--F155,
'YearB-AppDetails Current Date'!R:R,"&lt;&gt;"&amp;"",
'YearB-AppDetails Current Date'!I:I,"WINTER"))), "")</f>
        <v/>
      </c>
      <c r="L155" s="74" t="str" cm="1">
        <f t="array" ref="L155">IFERROR(1/(1/SUM(COUNTIFS(
'YearB-AppDetails Current Date'!A:A,D155,
'YearB-AppDetails Current Date'!F:F,E155,
'YearB-AppDetails Current Date'!E:E,--F155,
'YearB-AppDetails Current Date'!T:T,{"APEX","DENY","NTSL"},
'YearB-AppDetails Current Date'!I:I,"WINTER"))), "")</f>
        <v/>
      </c>
      <c r="M155" s="74" t="str" cm="1">
        <f t="array" ref="M155">IFERROR(1/(1/SUM(COUNTIFS(
'YearB-AppDetails Current Date'!A:A,D155,
'YearB-AppDetails Current Date'!F:F,E155,
'YearB-AppDetails Current Date'!E:E,--F155,
'YearB-AppDetails Current Date'!U:U,{"CCAN","DECL"},
'YearB-AppDetails Current Date'!I:I,"WINTER"))), "")</f>
        <v/>
      </c>
      <c r="N155" s="74" t="str" cm="1">
        <f t="array" ref="N155">IFERROR(1/(1/SUM(COUNTIFS(
'YearB-AppDetails Current Date'!A:A,D155,
'YearB-AppDetails Current Date'!F:F,E155,
'YearB-AppDetails Current Date'!E:E,--F155,
'YearB-AppDetails Current Date'!V:V,{"APRO","NODE"},
'YearB-AppDetails Current Date'!I:I,"WINTER"))), "")</f>
        <v/>
      </c>
      <c r="O155" s="74" t="str" cm="1">
        <f t="array" ref="O155">IFERROR(1/(1/SUM(COUNTIFS(
'YearB-AppDetails Current Date'!A:A,D155,
'YearB-AppDetails Current Date'!F:F,E155,
'YearB-AppDetails Current Date'!E:E,--F155,
'YearB-AppDetails Current Date'!T:T,{"CDMT","RQMT","WAIT"},
'YearB-AppDetails Current Date'!I:I,"WINTER"))), "")</f>
        <v/>
      </c>
      <c r="P155" s="74" t="str">
        <f>IFERROR(1/(1/COUNTIFS(
'YearB-AppDetails Current Date'!A:A,D155,
'YearB-AppDetails Current Date'!F:F,E155,
'YearB-AppDetails Current Date'!E:E,--F155,
'YearB-AppDetails Current Date'!Y:Y,"ENRO",
'YearB-AppDetails Current Date'!I:I,"WINTER")),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HC'!D:T,14,FALSE)),
N(VLOOKUP(D156&amp;F156,'Budgeted Projections Intl HC'!D:T,15,FALSE))
)
),"")</f>
        <v/>
      </c>
      <c r="I156" s="73" t="str">
        <f>IFERROR(1/(1/COUNTIFS(
'YearB-AppDetails Current Date'!A:A,D156,
'YearB-AppDetails Current Date'!F:F,E156,
'YearB-AppDetails Current Date'!E:E,--F156,
'YearB-AppDetails Current Date'!I:I,"WINTER")), "")</f>
        <v/>
      </c>
      <c r="J156" s="74" t="str" cm="1">
        <f t="array" ref="J156">IFERROR(1/(1/SUM(COUNTIFS(
'YearB-AppDetails Current Date'!A:A,D156,
'YearB-AppDetails Current Date'!F:F,E156,
'YearB-AppDetails Current Date'!E:E,--F156,
'YearB-AppDetails Current Date'!O:O,{"ACLN","ACPT","COND"},
'YearB-AppDetails Current Date'!S:S,"&lt;&gt;ACLN",
'YearB-AppDetails Current Date'!S:S,"&lt;&gt;ACPT",
'YearB-AppDetails Current Date'!S:S,"&lt;&gt;COND",
'YearB-AppDetails Current Date'!I:I,"WINTER"))), "")</f>
        <v/>
      </c>
      <c r="K156" s="73" t="str">
        <f>IFERROR(1/(1/SUM(COUNTIFS(
'YearB-AppDetails Current Date'!A:A,D156,
'YearB-AppDetails Current Date'!F:F,E156,
'YearB-AppDetails Current Date'!E:E,--F156,
'YearB-AppDetails Current Date'!R:R,"&lt;&gt;"&amp;"",
'YearB-AppDetails Current Date'!I:I,"WINTER"))), "")</f>
        <v/>
      </c>
      <c r="L156" s="74" t="str" cm="1">
        <f t="array" ref="L156">IFERROR(1/(1/SUM(COUNTIFS(
'YearB-AppDetails Current Date'!A:A,D156,
'YearB-AppDetails Current Date'!F:F,E156,
'YearB-AppDetails Current Date'!E:E,--F156,
'YearB-AppDetails Current Date'!T:T,{"APEX","DENY","NTSL"},
'YearB-AppDetails Current Date'!I:I,"WINTER"))), "")</f>
        <v/>
      </c>
      <c r="M156" s="74" t="str" cm="1">
        <f t="array" ref="M156">IFERROR(1/(1/SUM(COUNTIFS(
'YearB-AppDetails Current Date'!A:A,D156,
'YearB-AppDetails Current Date'!F:F,E156,
'YearB-AppDetails Current Date'!E:E,--F156,
'YearB-AppDetails Current Date'!U:U,{"CCAN","DECL"},
'YearB-AppDetails Current Date'!I:I,"WINTER"))), "")</f>
        <v/>
      </c>
      <c r="N156" s="74" t="str" cm="1">
        <f t="array" ref="N156">IFERROR(1/(1/SUM(COUNTIFS(
'YearB-AppDetails Current Date'!A:A,D156,
'YearB-AppDetails Current Date'!F:F,E156,
'YearB-AppDetails Current Date'!E:E,--F156,
'YearB-AppDetails Current Date'!V:V,{"APRO","NODE"},
'YearB-AppDetails Current Date'!I:I,"WINTER"))), "")</f>
        <v/>
      </c>
      <c r="O156" s="74" t="str" cm="1">
        <f t="array" ref="O156">IFERROR(1/(1/SUM(COUNTIFS(
'YearB-AppDetails Current Date'!A:A,D156,
'YearB-AppDetails Current Date'!F:F,E156,
'YearB-AppDetails Current Date'!E:E,--F156,
'YearB-AppDetails Current Date'!T:T,{"CDMT","RQMT","WAIT"},
'YearB-AppDetails Current Date'!I:I,"WINTER"))), "")</f>
        <v/>
      </c>
      <c r="P156" s="74" t="str">
        <f>IFERROR(1/(1/COUNTIFS(
'YearB-AppDetails Current Date'!A:A,D156,
'YearB-AppDetails Current Date'!F:F,E156,
'YearB-AppDetails Current Date'!E:E,--F156,
'YearB-AppDetails Current Date'!Y:Y,"ENRO",
'YearB-AppDetails Current Date'!I:I,"WINTER")),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HC'!D:T,14,FALSE)),
N(VLOOKUP(D158&amp;F158,'Budgeted Projections Dom HC'!D:T,15,FALSE))
)
),"")</f>
        <v/>
      </c>
      <c r="I158" s="73" t="str">
        <f>IFERROR(1/(1/COUNTIFS(
'YearB-AppDetails Current Date'!A:A,D158,
'YearB-AppDetails Current Date'!F:F,E158,
'YearB-AppDetails Current Date'!E:E,--F158,
'YearB-AppDetails Current Date'!I:I,"WINTER")), "")</f>
        <v/>
      </c>
      <c r="J158" s="74" t="str" cm="1">
        <f t="array" ref="J158">IFERROR(1/(1/SUM(COUNTIFS(
'YearB-AppDetails Current Date'!A:A,D158,
'YearB-AppDetails Current Date'!F:F,E158,
'YearB-AppDetails Current Date'!E:E,--F158,
'YearB-AppDetails Current Date'!O:O,{"ACLN","ACPT","COND"},
'YearB-AppDetails Current Date'!S:S,"&lt;&gt;ACLN",
'YearB-AppDetails Current Date'!S:S,"&lt;&gt;ACPT",
'YearB-AppDetails Current Date'!S:S,"&lt;&gt;COND",
'YearB-AppDetails Current Date'!I:I,"WINTER"))), "")</f>
        <v/>
      </c>
      <c r="K158" s="73" t="str">
        <f>IFERROR(1/(1/SUM(COUNTIFS(
'YearB-AppDetails Current Date'!A:A,D158,
'YearB-AppDetails Current Date'!F:F,E158,
'YearB-AppDetails Current Date'!E:E,--F158,
'YearB-AppDetails Current Date'!R:R,"&lt;&gt;"&amp;"",
'YearB-AppDetails Current Date'!I:I,"WINTER"))), "")</f>
        <v/>
      </c>
      <c r="L158" s="74" t="str" cm="1">
        <f t="array" ref="L158">IFERROR(1/(1/SUM(COUNTIFS(
'YearB-AppDetails Current Date'!A:A,D158,
'YearB-AppDetails Current Date'!F:F,E158,
'YearB-AppDetails Current Date'!E:E,--F158,
'YearB-AppDetails Current Date'!T:T,{"APEX","DENY","NTSL"},
'YearB-AppDetails Current Date'!I:I,"WINTER"))), "")</f>
        <v/>
      </c>
      <c r="M158" s="74" t="str" cm="1">
        <f t="array" ref="M158">IFERROR(1/(1/SUM(COUNTIFS(
'YearB-AppDetails Current Date'!A:A,D158,
'YearB-AppDetails Current Date'!F:F,E158,
'YearB-AppDetails Current Date'!E:E,--F158,
'YearB-AppDetails Current Date'!U:U,{"CCAN","DECL"},
'YearB-AppDetails Current Date'!I:I,"WINTER"))), "")</f>
        <v/>
      </c>
      <c r="N158" s="74" t="str" cm="1">
        <f t="array" ref="N158">IFERROR(1/(1/SUM(COUNTIFS(
'YearB-AppDetails Current Date'!A:A,D158,
'YearB-AppDetails Current Date'!F:F,E158,
'YearB-AppDetails Current Date'!E:E,--F158,
'YearB-AppDetails Current Date'!V:V,{"APRO","NODE"},
'YearB-AppDetails Current Date'!I:I,"WINTER"))), "")</f>
        <v/>
      </c>
      <c r="O158" s="74" t="str" cm="1">
        <f t="array" ref="O158">IFERROR(1/(1/SUM(COUNTIFS(
'YearB-AppDetails Current Date'!A:A,D158,
'YearB-AppDetails Current Date'!F:F,E158,
'YearB-AppDetails Current Date'!E:E,--F158,
'YearB-AppDetails Current Date'!T:T,{"CDMT","RQMT","WAIT"},
'YearB-AppDetails Current Date'!I:I,"WINTER"))), "")</f>
        <v/>
      </c>
      <c r="P158" s="74" t="str">
        <f>IFERROR(1/(1/COUNTIFS(
'YearB-AppDetails Current Date'!A:A,D158,
'YearB-AppDetails Current Date'!F:F,E158,
'YearB-AppDetails Current Date'!E:E,--F158,
'YearB-AppDetails Current Date'!Y:Y,"ENRO",
'YearB-AppDetails Current Date'!I:I,"WINTER")),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HC'!D:T,14,FALSE)),
N(VLOOKUP(D159&amp;F159,'Budgeted Projections Intl HC'!D:T,15,FALSE))
)
),"")</f>
        <v/>
      </c>
      <c r="I159" s="73" t="str">
        <f>IFERROR(1/(1/COUNTIFS(
'YearB-AppDetails Current Date'!A:A,D159,
'YearB-AppDetails Current Date'!F:F,E159,
'YearB-AppDetails Current Date'!E:E,--F159,
'YearB-AppDetails Current Date'!I:I,"WINTER")), "")</f>
        <v/>
      </c>
      <c r="J159" s="74" t="str" cm="1">
        <f t="array" ref="J159">IFERROR(1/(1/SUM(COUNTIFS(
'YearB-AppDetails Current Date'!A:A,D159,
'YearB-AppDetails Current Date'!F:F,E159,
'YearB-AppDetails Current Date'!E:E,--F159,
'YearB-AppDetails Current Date'!O:O,{"ACLN","ACPT","COND"},
'YearB-AppDetails Current Date'!S:S,"&lt;&gt;ACLN",
'YearB-AppDetails Current Date'!S:S,"&lt;&gt;ACPT",
'YearB-AppDetails Current Date'!S:S,"&lt;&gt;COND",
'YearB-AppDetails Current Date'!I:I,"WINTER"))), "")</f>
        <v/>
      </c>
      <c r="K159" s="73" t="str">
        <f>IFERROR(1/(1/SUM(COUNTIFS(
'YearB-AppDetails Current Date'!A:A,D159,
'YearB-AppDetails Current Date'!F:F,E159,
'YearB-AppDetails Current Date'!E:E,--F159,
'YearB-AppDetails Current Date'!R:R,"&lt;&gt;"&amp;"",
'YearB-AppDetails Current Date'!I:I,"WINTER"))), "")</f>
        <v/>
      </c>
      <c r="L159" s="74" t="str" cm="1">
        <f t="array" ref="L159">IFERROR(1/(1/SUM(COUNTIFS(
'YearB-AppDetails Current Date'!A:A,D159,
'YearB-AppDetails Current Date'!F:F,E159,
'YearB-AppDetails Current Date'!E:E,--F159,
'YearB-AppDetails Current Date'!T:T,{"APEX","DENY","NTSL"},
'YearB-AppDetails Current Date'!I:I,"WINTER"))), "")</f>
        <v/>
      </c>
      <c r="M159" s="74" t="str" cm="1">
        <f t="array" ref="M159">IFERROR(1/(1/SUM(COUNTIFS(
'YearB-AppDetails Current Date'!A:A,D159,
'YearB-AppDetails Current Date'!F:F,E159,
'YearB-AppDetails Current Date'!E:E,--F159,
'YearB-AppDetails Current Date'!U:U,{"CCAN","DECL"},
'YearB-AppDetails Current Date'!I:I,"WINTER"))), "")</f>
        <v/>
      </c>
      <c r="N159" s="74" t="str" cm="1">
        <f t="array" ref="N159">IFERROR(1/(1/SUM(COUNTIFS(
'YearB-AppDetails Current Date'!A:A,D159,
'YearB-AppDetails Current Date'!F:F,E159,
'YearB-AppDetails Current Date'!E:E,--F159,
'YearB-AppDetails Current Date'!V:V,{"APRO","NODE"},
'YearB-AppDetails Current Date'!I:I,"WINTER"))), "")</f>
        <v/>
      </c>
      <c r="O159" s="74" t="str" cm="1">
        <f t="array" ref="O159">IFERROR(1/(1/SUM(COUNTIFS(
'YearB-AppDetails Current Date'!A:A,D159,
'YearB-AppDetails Current Date'!F:F,E159,
'YearB-AppDetails Current Date'!E:E,--F159,
'YearB-AppDetails Current Date'!T:T,{"CDMT","RQMT","WAIT"},
'YearB-AppDetails Current Date'!I:I,"WINTER"))), "")</f>
        <v/>
      </c>
      <c r="P159" s="74" t="str">
        <f>IFERROR(1/(1/COUNTIFS(
'YearB-AppDetails Current Date'!A:A,D159,
'YearB-AppDetails Current Date'!F:F,E159,
'YearB-AppDetails Current Date'!E:E,--F159,
'YearB-AppDetails Current Date'!Y:Y,"ENRO",
'YearB-AppDetails Current Date'!I:I,"WINTER")),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HC'!D:T,14,FALSE)),
N(VLOOKUP(D160&amp;F160,'Budgeted Projections Dom HC'!D:T,15,FALSE))
)
),"")</f>
        <v/>
      </c>
      <c r="I160" s="73" t="str">
        <f>IFERROR(1/(1/COUNTIFS(
'YearB-AppDetails Current Date'!A:A,D160,
'YearB-AppDetails Current Date'!F:F,E160,
'YearB-AppDetails Current Date'!E:E,--F160,
'YearB-AppDetails Current Date'!I:I,"WINTER")), "")</f>
        <v/>
      </c>
      <c r="J160" s="74" t="str" cm="1">
        <f t="array" ref="J160">IFERROR(1/(1/SUM(COUNTIFS(
'YearB-AppDetails Current Date'!A:A,D160,
'YearB-AppDetails Current Date'!F:F,E160,
'YearB-AppDetails Current Date'!E:E,--F160,
'YearB-AppDetails Current Date'!O:O,{"ACLN","ACPT","COND"},
'YearB-AppDetails Current Date'!S:S,"&lt;&gt;ACLN",
'YearB-AppDetails Current Date'!S:S,"&lt;&gt;ACPT",
'YearB-AppDetails Current Date'!S:S,"&lt;&gt;COND",
'YearB-AppDetails Current Date'!I:I,"WINTER"))), "")</f>
        <v/>
      </c>
      <c r="K160" s="73" t="str">
        <f>IFERROR(1/(1/SUM(COUNTIFS(
'YearB-AppDetails Current Date'!A:A,D160,
'YearB-AppDetails Current Date'!F:F,E160,
'YearB-AppDetails Current Date'!E:E,--F160,
'YearB-AppDetails Current Date'!R:R,"&lt;&gt;"&amp;"",
'YearB-AppDetails Current Date'!I:I,"WINTER"))), "")</f>
        <v/>
      </c>
      <c r="L160" s="74" t="str" cm="1">
        <f t="array" ref="L160">IFERROR(1/(1/SUM(COUNTIFS(
'YearB-AppDetails Current Date'!A:A,D160,
'YearB-AppDetails Current Date'!F:F,E160,
'YearB-AppDetails Current Date'!E:E,--F160,
'YearB-AppDetails Current Date'!T:T,{"APEX","DENY","NTSL"},
'YearB-AppDetails Current Date'!I:I,"WINTER"))), "")</f>
        <v/>
      </c>
      <c r="M160" s="74" t="str" cm="1">
        <f t="array" ref="M160">IFERROR(1/(1/SUM(COUNTIFS(
'YearB-AppDetails Current Date'!A:A,D160,
'YearB-AppDetails Current Date'!F:F,E160,
'YearB-AppDetails Current Date'!E:E,--F160,
'YearB-AppDetails Current Date'!U:U,{"CCAN","DECL"},
'YearB-AppDetails Current Date'!I:I,"WINTER"))), "")</f>
        <v/>
      </c>
      <c r="N160" s="74" t="str" cm="1">
        <f t="array" ref="N160">IFERROR(1/(1/SUM(COUNTIFS(
'YearB-AppDetails Current Date'!A:A,D160,
'YearB-AppDetails Current Date'!F:F,E160,
'YearB-AppDetails Current Date'!E:E,--F160,
'YearB-AppDetails Current Date'!V:V,{"APRO","NODE"},
'YearB-AppDetails Current Date'!I:I,"WINTER"))), "")</f>
        <v/>
      </c>
      <c r="O160" s="74" t="str" cm="1">
        <f t="array" ref="O160">IFERROR(1/(1/SUM(COUNTIFS(
'YearB-AppDetails Current Date'!A:A,D160,
'YearB-AppDetails Current Date'!F:F,E160,
'YearB-AppDetails Current Date'!E:E,--F160,
'YearB-AppDetails Current Date'!T:T,{"CDMT","RQMT","WAIT"},
'YearB-AppDetails Current Date'!I:I,"WINTER"))), "")</f>
        <v/>
      </c>
      <c r="P160" s="74" t="str">
        <f>IFERROR(1/(1/COUNTIFS(
'YearB-AppDetails Current Date'!A:A,D160,
'YearB-AppDetails Current Date'!F:F,E160,
'YearB-AppDetails Current Date'!E:E,--F160,
'YearB-AppDetails Current Date'!Y:Y,"ENRO",
'YearB-AppDetails Current Date'!I:I,"WINTER")),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HC'!D:T,14,FALSE)),
N(VLOOKUP(D161&amp;F161,'Budgeted Projections Intl HC'!D:T,15,FALSE))
)
),"")</f>
        <v/>
      </c>
      <c r="I161" s="73" t="str">
        <f>IFERROR(1/(1/COUNTIFS(
'YearB-AppDetails Current Date'!A:A,D161,
'YearB-AppDetails Current Date'!F:F,E161,
'YearB-AppDetails Current Date'!E:E,--F161,
'YearB-AppDetails Current Date'!I:I,"WINTER")), "")</f>
        <v/>
      </c>
      <c r="J161" s="74" t="str" cm="1">
        <f t="array" ref="J161">IFERROR(1/(1/SUM(COUNTIFS(
'YearB-AppDetails Current Date'!A:A,D161,
'YearB-AppDetails Current Date'!F:F,E161,
'YearB-AppDetails Current Date'!E:E,--F161,
'YearB-AppDetails Current Date'!O:O,{"ACLN","ACPT","COND"},
'YearB-AppDetails Current Date'!S:S,"&lt;&gt;ACLN",
'YearB-AppDetails Current Date'!S:S,"&lt;&gt;ACPT",
'YearB-AppDetails Current Date'!S:S,"&lt;&gt;COND",
'YearB-AppDetails Current Date'!I:I,"WINTER"))), "")</f>
        <v/>
      </c>
      <c r="K161" s="73" t="str">
        <f>IFERROR(1/(1/SUM(COUNTIFS(
'YearB-AppDetails Current Date'!A:A,D161,
'YearB-AppDetails Current Date'!F:F,E161,
'YearB-AppDetails Current Date'!E:E,--F161,
'YearB-AppDetails Current Date'!R:R,"&lt;&gt;"&amp;"",
'YearB-AppDetails Current Date'!I:I,"WINTER"))), "")</f>
        <v/>
      </c>
      <c r="L161" s="74" t="str" cm="1">
        <f t="array" ref="L161">IFERROR(1/(1/SUM(COUNTIFS(
'YearB-AppDetails Current Date'!A:A,D161,
'YearB-AppDetails Current Date'!F:F,E161,
'YearB-AppDetails Current Date'!E:E,--F161,
'YearB-AppDetails Current Date'!T:T,{"APEX","DENY","NTSL"},
'YearB-AppDetails Current Date'!I:I,"WINTER"))), "")</f>
        <v/>
      </c>
      <c r="M161" s="74" t="str" cm="1">
        <f t="array" ref="M161">IFERROR(1/(1/SUM(COUNTIFS(
'YearB-AppDetails Current Date'!A:A,D161,
'YearB-AppDetails Current Date'!F:F,E161,
'YearB-AppDetails Current Date'!E:E,--F161,
'YearB-AppDetails Current Date'!U:U,{"CCAN","DECL"},
'YearB-AppDetails Current Date'!I:I,"WINTER"))), "")</f>
        <v/>
      </c>
      <c r="N161" s="74" t="str" cm="1">
        <f t="array" ref="N161">IFERROR(1/(1/SUM(COUNTIFS(
'YearB-AppDetails Current Date'!A:A,D161,
'YearB-AppDetails Current Date'!F:F,E161,
'YearB-AppDetails Current Date'!E:E,--F161,
'YearB-AppDetails Current Date'!V:V,{"APRO","NODE"},
'YearB-AppDetails Current Date'!I:I,"WINTER"))), "")</f>
        <v/>
      </c>
      <c r="O161" s="74" t="str" cm="1">
        <f t="array" ref="O161">IFERROR(1/(1/SUM(COUNTIFS(
'YearB-AppDetails Current Date'!A:A,D161,
'YearB-AppDetails Current Date'!F:F,E161,
'YearB-AppDetails Current Date'!E:E,--F161,
'YearB-AppDetails Current Date'!T:T,{"CDMT","RQMT","WAIT"},
'YearB-AppDetails Current Date'!I:I,"WINTER"))), "")</f>
        <v/>
      </c>
      <c r="P161" s="74" t="str">
        <f>IFERROR(1/(1/COUNTIFS(
'YearB-AppDetails Current Date'!A:A,D161,
'YearB-AppDetails Current Date'!F:F,E161,
'YearB-AppDetails Current Date'!E:E,--F161,
'YearB-AppDetails Current Date'!Y:Y,"ENRO",
'YearB-AppDetails Current Date'!I:I,"WINTER")),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HC'!D:T,14,FALSE)),
N(VLOOKUP(D162&amp;F162,'Budgeted Projections Dom HC'!D:T,15,FALSE))
)
),"")</f>
        <v/>
      </c>
      <c r="I162" s="73" t="str">
        <f>IFERROR(1/(1/COUNTIFS(
'YearB-AppDetails Current Date'!A:A,D162,
'YearB-AppDetails Current Date'!F:F,E162,
'YearB-AppDetails Current Date'!E:E,--F162,
'YearB-AppDetails Current Date'!I:I,"WINTER")), "")</f>
        <v/>
      </c>
      <c r="J162" s="74" t="str" cm="1">
        <f t="array" ref="J162">IFERROR(1/(1/SUM(COUNTIFS(
'YearB-AppDetails Current Date'!A:A,D162,
'YearB-AppDetails Current Date'!F:F,E162,
'YearB-AppDetails Current Date'!E:E,--F162,
'YearB-AppDetails Current Date'!O:O,{"ACLN","ACPT","COND"},
'YearB-AppDetails Current Date'!S:S,"&lt;&gt;ACLN",
'YearB-AppDetails Current Date'!S:S,"&lt;&gt;ACPT",
'YearB-AppDetails Current Date'!S:S,"&lt;&gt;COND",
'YearB-AppDetails Current Date'!I:I,"WINTER"))), "")</f>
        <v/>
      </c>
      <c r="K162" s="73" t="str">
        <f>IFERROR(1/(1/SUM(COUNTIFS(
'YearB-AppDetails Current Date'!A:A,D162,
'YearB-AppDetails Current Date'!F:F,E162,
'YearB-AppDetails Current Date'!E:E,--F162,
'YearB-AppDetails Current Date'!R:R,"&lt;&gt;"&amp;"",
'YearB-AppDetails Current Date'!I:I,"WINTER"))), "")</f>
        <v/>
      </c>
      <c r="L162" s="74" t="str" cm="1">
        <f t="array" ref="L162">IFERROR(1/(1/SUM(COUNTIFS(
'YearB-AppDetails Current Date'!A:A,D162,
'YearB-AppDetails Current Date'!F:F,E162,
'YearB-AppDetails Current Date'!E:E,--F162,
'YearB-AppDetails Current Date'!T:T,{"APEX","DENY","NTSL"},
'YearB-AppDetails Current Date'!I:I,"WINTER"))), "")</f>
        <v/>
      </c>
      <c r="M162" s="74" t="str" cm="1">
        <f t="array" ref="M162">IFERROR(1/(1/SUM(COUNTIFS(
'YearB-AppDetails Current Date'!A:A,D162,
'YearB-AppDetails Current Date'!F:F,E162,
'YearB-AppDetails Current Date'!E:E,--F162,
'YearB-AppDetails Current Date'!U:U,{"CCAN","DECL"},
'YearB-AppDetails Current Date'!I:I,"WINTER"))), "")</f>
        <v/>
      </c>
      <c r="N162" s="74" t="str" cm="1">
        <f t="array" ref="N162">IFERROR(1/(1/SUM(COUNTIFS(
'YearB-AppDetails Current Date'!A:A,D162,
'YearB-AppDetails Current Date'!F:F,E162,
'YearB-AppDetails Current Date'!E:E,--F162,
'YearB-AppDetails Current Date'!V:V,{"APRO","NODE"},
'YearB-AppDetails Current Date'!I:I,"WINTER"))), "")</f>
        <v/>
      </c>
      <c r="O162" s="74" t="str" cm="1">
        <f t="array" ref="O162">IFERROR(1/(1/SUM(COUNTIFS(
'YearB-AppDetails Current Date'!A:A,D162,
'YearB-AppDetails Current Date'!F:F,E162,
'YearB-AppDetails Current Date'!E:E,--F162,
'YearB-AppDetails Current Date'!T:T,{"CDMT","RQMT","WAIT"},
'YearB-AppDetails Current Date'!I:I,"WINTER"))), "")</f>
        <v/>
      </c>
      <c r="P162" s="74" t="str">
        <f>IFERROR(1/(1/COUNTIFS(
'YearB-AppDetails Current Date'!A:A,D162,
'YearB-AppDetails Current Date'!F:F,E162,
'YearB-AppDetails Current Date'!E:E,--F162,
'YearB-AppDetails Current Date'!Y:Y,"ENRO",
'YearB-AppDetails Current Date'!I:I,"WINTER")),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HC'!D:T,14,FALSE)),
N(VLOOKUP(D163&amp;F163,'Budgeted Projections Intl HC'!D:T,15,FALSE))
)
),"")</f>
        <v/>
      </c>
      <c r="I163" s="73" t="str">
        <f>IFERROR(1/(1/COUNTIFS(
'YearB-AppDetails Current Date'!A:A,D163,
'YearB-AppDetails Current Date'!F:F,E163,
'YearB-AppDetails Current Date'!E:E,--F163,
'YearB-AppDetails Current Date'!I:I,"WINTER")), "")</f>
        <v/>
      </c>
      <c r="J163" s="74" t="str" cm="1">
        <f t="array" ref="J163">IFERROR(1/(1/SUM(COUNTIFS(
'YearB-AppDetails Current Date'!A:A,D163,
'YearB-AppDetails Current Date'!F:F,E163,
'YearB-AppDetails Current Date'!E:E,--F163,
'YearB-AppDetails Current Date'!O:O,{"ACLN","ACPT","COND"},
'YearB-AppDetails Current Date'!S:S,"&lt;&gt;ACLN",
'YearB-AppDetails Current Date'!S:S,"&lt;&gt;ACPT",
'YearB-AppDetails Current Date'!S:S,"&lt;&gt;COND",
'YearB-AppDetails Current Date'!I:I,"WINTER"))), "")</f>
        <v/>
      </c>
      <c r="K163" s="73" t="str">
        <f>IFERROR(1/(1/SUM(COUNTIFS(
'YearB-AppDetails Current Date'!A:A,D163,
'YearB-AppDetails Current Date'!F:F,E163,
'YearB-AppDetails Current Date'!E:E,--F163,
'YearB-AppDetails Current Date'!R:R,"&lt;&gt;"&amp;"",
'YearB-AppDetails Current Date'!I:I,"WINTER"))), "")</f>
        <v/>
      </c>
      <c r="L163" s="74" t="str" cm="1">
        <f t="array" ref="L163">IFERROR(1/(1/SUM(COUNTIFS(
'YearB-AppDetails Current Date'!A:A,D163,
'YearB-AppDetails Current Date'!F:F,E163,
'YearB-AppDetails Current Date'!E:E,--F163,
'YearB-AppDetails Current Date'!T:T,{"APEX","DENY","NTSL"},
'YearB-AppDetails Current Date'!I:I,"WINTER"))), "")</f>
        <v/>
      </c>
      <c r="M163" s="74" t="str" cm="1">
        <f t="array" ref="M163">IFERROR(1/(1/SUM(COUNTIFS(
'YearB-AppDetails Current Date'!A:A,D163,
'YearB-AppDetails Current Date'!F:F,E163,
'YearB-AppDetails Current Date'!E:E,--F163,
'YearB-AppDetails Current Date'!U:U,{"CCAN","DECL"},
'YearB-AppDetails Current Date'!I:I,"WINTER"))), "")</f>
        <v/>
      </c>
      <c r="N163" s="74" t="str" cm="1">
        <f t="array" ref="N163">IFERROR(1/(1/SUM(COUNTIFS(
'YearB-AppDetails Current Date'!A:A,D163,
'YearB-AppDetails Current Date'!F:F,E163,
'YearB-AppDetails Current Date'!E:E,--F163,
'YearB-AppDetails Current Date'!V:V,{"APRO","NODE"},
'YearB-AppDetails Current Date'!I:I,"WINTER"))), "")</f>
        <v/>
      </c>
      <c r="O163" s="74" t="str" cm="1">
        <f t="array" ref="O163">IFERROR(1/(1/SUM(COUNTIFS(
'YearB-AppDetails Current Date'!A:A,D163,
'YearB-AppDetails Current Date'!F:F,E163,
'YearB-AppDetails Current Date'!E:E,--F163,
'YearB-AppDetails Current Date'!T:T,{"CDMT","RQMT","WAIT"},
'YearB-AppDetails Current Date'!I:I,"WINTER"))), "")</f>
        <v/>
      </c>
      <c r="P163" s="74" t="str">
        <f>IFERROR(1/(1/COUNTIFS(
'YearB-AppDetails Current Date'!A:A,D163,
'YearB-AppDetails Current Date'!F:F,E163,
'YearB-AppDetails Current Date'!E:E,--F163,
'YearB-AppDetails Current Date'!Y:Y,"ENRO",
'YearB-AppDetails Current Date'!I:I,"WINTER")),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HC'!D:T,14,FALSE)),
N(VLOOKUP(D164&amp;F164,'Budgeted Projections Dom HC'!D:T,15,FALSE))
)
),"")</f>
        <v/>
      </c>
      <c r="I164" s="73" t="str">
        <f>IFERROR(1/(1/COUNTIFS(
'YearB-AppDetails Current Date'!A:A,D164,
'YearB-AppDetails Current Date'!F:F,E164,
'YearB-AppDetails Current Date'!E:E,--F164,
'YearB-AppDetails Current Date'!I:I,"WINTER")), "")</f>
        <v/>
      </c>
      <c r="J164" s="74" t="str" cm="1">
        <f t="array" ref="J164">IFERROR(1/(1/SUM(COUNTIFS(
'YearB-AppDetails Current Date'!A:A,D164,
'YearB-AppDetails Current Date'!F:F,E164,
'YearB-AppDetails Current Date'!E:E,--F164,
'YearB-AppDetails Current Date'!O:O,{"ACLN","ACPT","COND"},
'YearB-AppDetails Current Date'!S:S,"&lt;&gt;ACLN",
'YearB-AppDetails Current Date'!S:S,"&lt;&gt;ACPT",
'YearB-AppDetails Current Date'!S:S,"&lt;&gt;COND",
'YearB-AppDetails Current Date'!I:I,"WINTER"))), "")</f>
        <v/>
      </c>
      <c r="K164" s="73" t="str">
        <f>IFERROR(1/(1/SUM(COUNTIFS(
'YearB-AppDetails Current Date'!A:A,D164,
'YearB-AppDetails Current Date'!F:F,E164,
'YearB-AppDetails Current Date'!E:E,--F164,
'YearB-AppDetails Current Date'!R:R,"&lt;&gt;"&amp;"",
'YearB-AppDetails Current Date'!I:I,"WINTER"))), "")</f>
        <v/>
      </c>
      <c r="L164" s="74" t="str" cm="1">
        <f t="array" ref="L164">IFERROR(1/(1/SUM(COUNTIFS(
'YearB-AppDetails Current Date'!A:A,D164,
'YearB-AppDetails Current Date'!F:F,E164,
'YearB-AppDetails Current Date'!E:E,--F164,
'YearB-AppDetails Current Date'!T:T,{"APEX","DENY","NTSL"},
'YearB-AppDetails Current Date'!I:I,"WINTER"))), "")</f>
        <v/>
      </c>
      <c r="M164" s="74" t="str" cm="1">
        <f t="array" ref="M164">IFERROR(1/(1/SUM(COUNTIFS(
'YearB-AppDetails Current Date'!A:A,D164,
'YearB-AppDetails Current Date'!F:F,E164,
'YearB-AppDetails Current Date'!E:E,--F164,
'YearB-AppDetails Current Date'!U:U,{"CCAN","DECL"},
'YearB-AppDetails Current Date'!I:I,"WINTER"))), "")</f>
        <v/>
      </c>
      <c r="N164" s="74" t="str" cm="1">
        <f t="array" ref="N164">IFERROR(1/(1/SUM(COUNTIFS(
'YearB-AppDetails Current Date'!A:A,D164,
'YearB-AppDetails Current Date'!F:F,E164,
'YearB-AppDetails Current Date'!E:E,--F164,
'YearB-AppDetails Current Date'!V:V,{"APRO","NODE"},
'YearB-AppDetails Current Date'!I:I,"WINTER"))), "")</f>
        <v/>
      </c>
      <c r="O164" s="74" t="str" cm="1">
        <f t="array" ref="O164">IFERROR(1/(1/SUM(COUNTIFS(
'YearB-AppDetails Current Date'!A:A,D164,
'YearB-AppDetails Current Date'!F:F,E164,
'YearB-AppDetails Current Date'!E:E,--F164,
'YearB-AppDetails Current Date'!T:T,{"CDMT","RQMT","WAIT"},
'YearB-AppDetails Current Date'!I:I,"WINTER"))), "")</f>
        <v/>
      </c>
      <c r="P164" s="74" t="str">
        <f>IFERROR(1/(1/COUNTIFS(
'YearB-AppDetails Current Date'!A:A,D164,
'YearB-AppDetails Current Date'!F:F,E164,
'YearB-AppDetails Current Date'!E:E,--F164,
'YearB-AppDetails Current Date'!Y:Y,"ENRO",
'YearB-AppDetails Current Date'!I:I,"WINTER")),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HC'!D:T,14,FALSE)),
N(VLOOKUP(D165&amp;F165,'Budgeted Projections Intl HC'!D:T,15,FALSE))
)
),"")</f>
        <v/>
      </c>
      <c r="I165" s="73" t="str">
        <f>IFERROR(1/(1/COUNTIFS(
'YearB-AppDetails Current Date'!A:A,D165,
'YearB-AppDetails Current Date'!F:F,E165,
'YearB-AppDetails Current Date'!E:E,--F165,
'YearB-AppDetails Current Date'!I:I,"WINTER")), "")</f>
        <v/>
      </c>
      <c r="J165" s="74" t="str" cm="1">
        <f t="array" ref="J165">IFERROR(1/(1/SUM(COUNTIFS(
'YearB-AppDetails Current Date'!A:A,D165,
'YearB-AppDetails Current Date'!F:F,E165,
'YearB-AppDetails Current Date'!E:E,--F165,
'YearB-AppDetails Current Date'!O:O,{"ACLN","ACPT","COND"},
'YearB-AppDetails Current Date'!S:S,"&lt;&gt;ACLN",
'YearB-AppDetails Current Date'!S:S,"&lt;&gt;ACPT",
'YearB-AppDetails Current Date'!S:S,"&lt;&gt;COND",
'YearB-AppDetails Current Date'!I:I,"WINTER"))), "")</f>
        <v/>
      </c>
      <c r="K165" s="73" t="str">
        <f>IFERROR(1/(1/SUM(COUNTIFS(
'YearB-AppDetails Current Date'!A:A,D165,
'YearB-AppDetails Current Date'!F:F,E165,
'YearB-AppDetails Current Date'!E:E,--F165,
'YearB-AppDetails Current Date'!R:R,"&lt;&gt;"&amp;"",
'YearB-AppDetails Current Date'!I:I,"WINTER"))), "")</f>
        <v/>
      </c>
      <c r="L165" s="74" t="str" cm="1">
        <f t="array" ref="L165">IFERROR(1/(1/SUM(COUNTIFS(
'YearB-AppDetails Current Date'!A:A,D165,
'YearB-AppDetails Current Date'!F:F,E165,
'YearB-AppDetails Current Date'!E:E,--F165,
'YearB-AppDetails Current Date'!T:T,{"APEX","DENY","NTSL"},
'YearB-AppDetails Current Date'!I:I,"WINTER"))), "")</f>
        <v/>
      </c>
      <c r="M165" s="74" t="str" cm="1">
        <f t="array" ref="M165">IFERROR(1/(1/SUM(COUNTIFS(
'YearB-AppDetails Current Date'!A:A,D165,
'YearB-AppDetails Current Date'!F:F,E165,
'YearB-AppDetails Current Date'!E:E,--F165,
'YearB-AppDetails Current Date'!U:U,{"CCAN","DECL"},
'YearB-AppDetails Current Date'!I:I,"WINTER"))), "")</f>
        <v/>
      </c>
      <c r="N165" s="74" t="str" cm="1">
        <f t="array" ref="N165">IFERROR(1/(1/SUM(COUNTIFS(
'YearB-AppDetails Current Date'!A:A,D165,
'YearB-AppDetails Current Date'!F:F,E165,
'YearB-AppDetails Current Date'!E:E,--F165,
'YearB-AppDetails Current Date'!V:V,{"APRO","NODE"},
'YearB-AppDetails Current Date'!I:I,"WINTER"))), "")</f>
        <v/>
      </c>
      <c r="O165" s="74" t="str" cm="1">
        <f t="array" ref="O165">IFERROR(1/(1/SUM(COUNTIFS(
'YearB-AppDetails Current Date'!A:A,D165,
'YearB-AppDetails Current Date'!F:F,E165,
'YearB-AppDetails Current Date'!E:E,--F165,
'YearB-AppDetails Current Date'!T:T,{"CDMT","RQMT","WAIT"},
'YearB-AppDetails Current Date'!I:I,"WINTER"))), "")</f>
        <v/>
      </c>
      <c r="P165" s="74" t="str">
        <f>IFERROR(1/(1/COUNTIFS(
'YearB-AppDetails Current Date'!A:A,D165,
'YearB-AppDetails Current Date'!F:F,E165,
'YearB-AppDetails Current Date'!E:E,--F165,
'YearB-AppDetails Current Date'!Y:Y,"ENRO",
'YearB-AppDetails Current Date'!I:I,"WINTER")),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HC'!D:T,14,FALSE)),
N(VLOOKUP(D166&amp;F166,'Budgeted Projections Dom HC'!D:T,15,FALSE))
)
),"")</f>
        <v/>
      </c>
      <c r="I166" s="73" t="str">
        <f>IFERROR(1/(1/COUNTIFS(
'YearB-AppDetails Current Date'!A:A,D166,
'YearB-AppDetails Current Date'!F:F,E166,
'YearB-AppDetails Current Date'!E:E,--F166,
'YearB-AppDetails Current Date'!I:I,"WINTER")), "")</f>
        <v/>
      </c>
      <c r="J166" s="74" t="str" cm="1">
        <f t="array" ref="J166">IFERROR(1/(1/SUM(COUNTIFS(
'YearB-AppDetails Current Date'!A:A,D166,
'YearB-AppDetails Current Date'!F:F,E166,
'YearB-AppDetails Current Date'!E:E,--F166,
'YearB-AppDetails Current Date'!O:O,{"ACLN","ACPT","COND"},
'YearB-AppDetails Current Date'!S:S,"&lt;&gt;ACLN",
'YearB-AppDetails Current Date'!S:S,"&lt;&gt;ACPT",
'YearB-AppDetails Current Date'!S:S,"&lt;&gt;COND",
'YearB-AppDetails Current Date'!I:I,"WINTER"))), "")</f>
        <v/>
      </c>
      <c r="K166" s="73" t="str">
        <f>IFERROR(1/(1/SUM(COUNTIFS(
'YearB-AppDetails Current Date'!A:A,D166,
'YearB-AppDetails Current Date'!F:F,E166,
'YearB-AppDetails Current Date'!E:E,--F166,
'YearB-AppDetails Current Date'!R:R,"&lt;&gt;"&amp;"",
'YearB-AppDetails Current Date'!I:I,"WINTER"))), "")</f>
        <v/>
      </c>
      <c r="L166" s="74" t="str" cm="1">
        <f t="array" ref="L166">IFERROR(1/(1/SUM(COUNTIFS(
'YearB-AppDetails Current Date'!A:A,D166,
'YearB-AppDetails Current Date'!F:F,E166,
'YearB-AppDetails Current Date'!E:E,--F166,
'YearB-AppDetails Current Date'!T:T,{"APEX","DENY","NTSL"},
'YearB-AppDetails Current Date'!I:I,"WINTER"))), "")</f>
        <v/>
      </c>
      <c r="M166" s="74" t="str" cm="1">
        <f t="array" ref="M166">IFERROR(1/(1/SUM(COUNTIFS(
'YearB-AppDetails Current Date'!A:A,D166,
'YearB-AppDetails Current Date'!F:F,E166,
'YearB-AppDetails Current Date'!E:E,--F166,
'YearB-AppDetails Current Date'!U:U,{"CCAN","DECL"},
'YearB-AppDetails Current Date'!I:I,"WINTER"))), "")</f>
        <v/>
      </c>
      <c r="N166" s="74" t="str" cm="1">
        <f t="array" ref="N166">IFERROR(1/(1/SUM(COUNTIFS(
'YearB-AppDetails Current Date'!A:A,D166,
'YearB-AppDetails Current Date'!F:F,E166,
'YearB-AppDetails Current Date'!E:E,--F166,
'YearB-AppDetails Current Date'!V:V,{"APRO","NODE"},
'YearB-AppDetails Current Date'!I:I,"WINTER"))), "")</f>
        <v/>
      </c>
      <c r="O166" s="74" t="str" cm="1">
        <f t="array" ref="O166">IFERROR(1/(1/SUM(COUNTIFS(
'YearB-AppDetails Current Date'!A:A,D166,
'YearB-AppDetails Current Date'!F:F,E166,
'YearB-AppDetails Current Date'!E:E,--F166,
'YearB-AppDetails Current Date'!T:T,{"CDMT","RQMT","WAIT"},
'YearB-AppDetails Current Date'!I:I,"WINTER"))), "")</f>
        <v/>
      </c>
      <c r="P166" s="74" t="str">
        <f>IFERROR(1/(1/COUNTIFS(
'YearB-AppDetails Current Date'!A:A,D166,
'YearB-AppDetails Current Date'!F:F,E166,
'YearB-AppDetails Current Date'!E:E,--F166,
'YearB-AppDetails Current Date'!Y:Y,"ENRO",
'YearB-AppDetails Current Date'!I:I,"WINTER")),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HC'!D:T,14,FALSE)),
N(VLOOKUP(D167&amp;F167,'Budgeted Projections Intl HC'!D:T,15,FALSE))
)
),"")</f>
        <v/>
      </c>
      <c r="I167" s="73" t="str">
        <f>IFERROR(1/(1/COUNTIFS(
'YearB-AppDetails Current Date'!A:A,D167,
'YearB-AppDetails Current Date'!F:F,E167,
'YearB-AppDetails Current Date'!E:E,--F167,
'YearB-AppDetails Current Date'!I:I,"WINTER")), "")</f>
        <v/>
      </c>
      <c r="J167" s="74" t="str" cm="1">
        <f t="array" ref="J167">IFERROR(1/(1/SUM(COUNTIFS(
'YearB-AppDetails Current Date'!A:A,D167,
'YearB-AppDetails Current Date'!F:F,E167,
'YearB-AppDetails Current Date'!E:E,--F167,
'YearB-AppDetails Current Date'!O:O,{"ACLN","ACPT","COND"},
'YearB-AppDetails Current Date'!S:S,"&lt;&gt;ACLN",
'YearB-AppDetails Current Date'!S:S,"&lt;&gt;ACPT",
'YearB-AppDetails Current Date'!S:S,"&lt;&gt;COND",
'YearB-AppDetails Current Date'!I:I,"WINTER"))), "")</f>
        <v/>
      </c>
      <c r="K167" s="73" t="str">
        <f>IFERROR(1/(1/SUM(COUNTIFS(
'YearB-AppDetails Current Date'!A:A,D167,
'YearB-AppDetails Current Date'!F:F,E167,
'YearB-AppDetails Current Date'!E:E,--F167,
'YearB-AppDetails Current Date'!R:R,"&lt;&gt;"&amp;"",
'YearB-AppDetails Current Date'!I:I,"WINTER"))), "")</f>
        <v/>
      </c>
      <c r="L167" s="74" t="str" cm="1">
        <f t="array" ref="L167">IFERROR(1/(1/SUM(COUNTIFS(
'YearB-AppDetails Current Date'!A:A,D167,
'YearB-AppDetails Current Date'!F:F,E167,
'YearB-AppDetails Current Date'!E:E,--F167,
'YearB-AppDetails Current Date'!T:T,{"APEX","DENY","NTSL"},
'YearB-AppDetails Current Date'!I:I,"WINTER"))), "")</f>
        <v/>
      </c>
      <c r="M167" s="74" t="str" cm="1">
        <f t="array" ref="M167">IFERROR(1/(1/SUM(COUNTIFS(
'YearB-AppDetails Current Date'!A:A,D167,
'YearB-AppDetails Current Date'!F:F,E167,
'YearB-AppDetails Current Date'!E:E,--F167,
'YearB-AppDetails Current Date'!U:U,{"CCAN","DECL"},
'YearB-AppDetails Current Date'!I:I,"WINTER"))), "")</f>
        <v/>
      </c>
      <c r="N167" s="74" t="str" cm="1">
        <f t="array" ref="N167">IFERROR(1/(1/SUM(COUNTIFS(
'YearB-AppDetails Current Date'!A:A,D167,
'YearB-AppDetails Current Date'!F:F,E167,
'YearB-AppDetails Current Date'!E:E,--F167,
'YearB-AppDetails Current Date'!V:V,{"APRO","NODE"},
'YearB-AppDetails Current Date'!I:I,"WINTER"))), "")</f>
        <v/>
      </c>
      <c r="O167" s="74" t="str" cm="1">
        <f t="array" ref="O167">IFERROR(1/(1/SUM(COUNTIFS(
'YearB-AppDetails Current Date'!A:A,D167,
'YearB-AppDetails Current Date'!F:F,E167,
'YearB-AppDetails Current Date'!E:E,--F167,
'YearB-AppDetails Current Date'!T:T,{"CDMT","RQMT","WAIT"},
'YearB-AppDetails Current Date'!I:I,"WINTER"))), "")</f>
        <v/>
      </c>
      <c r="P167" s="74" t="str">
        <f>IFERROR(1/(1/COUNTIFS(
'YearB-AppDetails Current Date'!A:A,D167,
'YearB-AppDetails Current Date'!F:F,E167,
'YearB-AppDetails Current Date'!E:E,--F167,
'YearB-AppDetails Current Date'!Y:Y,"ENRO",
'YearB-AppDetails Current Date'!I:I,"WINTER")),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HC'!D:T,14,FALSE)),
N(VLOOKUP(D168&amp;F168,'Budgeted Projections Dom HC'!D:T,15,FALSE))
)
),"")</f>
        <v/>
      </c>
      <c r="I168" s="73" t="str">
        <f>IFERROR(1/(1/COUNTIFS(
'YearB-AppDetails Current Date'!A:A,D168,
'YearB-AppDetails Current Date'!F:F,E168,
'YearB-AppDetails Current Date'!E:E,--F168,
'YearB-AppDetails Current Date'!I:I,"WINTER")), "")</f>
        <v/>
      </c>
      <c r="J168" s="74" t="str" cm="1">
        <f t="array" ref="J168">IFERROR(1/(1/SUM(COUNTIFS(
'YearB-AppDetails Current Date'!A:A,D168,
'YearB-AppDetails Current Date'!F:F,E168,
'YearB-AppDetails Current Date'!E:E,--F168,
'YearB-AppDetails Current Date'!O:O,{"ACLN","ACPT","COND"},
'YearB-AppDetails Current Date'!S:S,"&lt;&gt;ACLN",
'YearB-AppDetails Current Date'!S:S,"&lt;&gt;ACPT",
'YearB-AppDetails Current Date'!S:S,"&lt;&gt;COND",
'YearB-AppDetails Current Date'!I:I,"WINTER"))), "")</f>
        <v/>
      </c>
      <c r="K168" s="73" t="str">
        <f>IFERROR(1/(1/SUM(COUNTIFS(
'YearB-AppDetails Current Date'!A:A,D168,
'YearB-AppDetails Current Date'!F:F,E168,
'YearB-AppDetails Current Date'!E:E,--F168,
'YearB-AppDetails Current Date'!R:R,"&lt;&gt;"&amp;"",
'YearB-AppDetails Current Date'!I:I,"WINTER"))), "")</f>
        <v/>
      </c>
      <c r="L168" s="74" t="str" cm="1">
        <f t="array" ref="L168">IFERROR(1/(1/SUM(COUNTIFS(
'YearB-AppDetails Current Date'!A:A,D168,
'YearB-AppDetails Current Date'!F:F,E168,
'YearB-AppDetails Current Date'!E:E,--F168,
'YearB-AppDetails Current Date'!T:T,{"APEX","DENY","NTSL"},
'YearB-AppDetails Current Date'!I:I,"WINTER"))), "")</f>
        <v/>
      </c>
      <c r="M168" s="74" t="str" cm="1">
        <f t="array" ref="M168">IFERROR(1/(1/SUM(COUNTIFS(
'YearB-AppDetails Current Date'!A:A,D168,
'YearB-AppDetails Current Date'!F:F,E168,
'YearB-AppDetails Current Date'!E:E,--F168,
'YearB-AppDetails Current Date'!U:U,{"CCAN","DECL"},
'YearB-AppDetails Current Date'!I:I,"WINTER"))), "")</f>
        <v/>
      </c>
      <c r="N168" s="74" t="str" cm="1">
        <f t="array" ref="N168">IFERROR(1/(1/SUM(COUNTIFS(
'YearB-AppDetails Current Date'!A:A,D168,
'YearB-AppDetails Current Date'!F:F,E168,
'YearB-AppDetails Current Date'!E:E,--F168,
'YearB-AppDetails Current Date'!V:V,{"APRO","NODE"},
'YearB-AppDetails Current Date'!I:I,"WINTER"))), "")</f>
        <v/>
      </c>
      <c r="O168" s="74" t="str" cm="1">
        <f t="array" ref="O168">IFERROR(1/(1/SUM(COUNTIFS(
'YearB-AppDetails Current Date'!A:A,D168,
'YearB-AppDetails Current Date'!F:F,E168,
'YearB-AppDetails Current Date'!E:E,--F168,
'YearB-AppDetails Current Date'!T:T,{"CDMT","RQMT","WAIT"},
'YearB-AppDetails Current Date'!I:I,"WINTER"))), "")</f>
        <v/>
      </c>
      <c r="P168" s="74" t="str">
        <f>IFERROR(1/(1/COUNTIFS(
'YearB-AppDetails Current Date'!A:A,D168,
'YearB-AppDetails Current Date'!F:F,E168,
'YearB-AppDetails Current Date'!E:E,--F168,
'YearB-AppDetails Current Date'!Y:Y,"ENRO",
'YearB-AppDetails Current Date'!I:I,"WINTER")),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HC'!D:T,14,FALSE)),
N(VLOOKUP(D169&amp;F169,'Budgeted Projections Intl HC'!D:T,15,FALSE))
)
),"")</f>
        <v/>
      </c>
      <c r="I169" s="73" t="str">
        <f>IFERROR(1/(1/COUNTIFS(
'YearB-AppDetails Current Date'!A:A,D169,
'YearB-AppDetails Current Date'!F:F,E169,
'YearB-AppDetails Current Date'!E:E,--F169,
'YearB-AppDetails Current Date'!I:I,"WINTER")), "")</f>
        <v/>
      </c>
      <c r="J169" s="74" t="str" cm="1">
        <f t="array" ref="J169">IFERROR(1/(1/SUM(COUNTIFS(
'YearB-AppDetails Current Date'!A:A,D169,
'YearB-AppDetails Current Date'!F:F,E169,
'YearB-AppDetails Current Date'!E:E,--F169,
'YearB-AppDetails Current Date'!O:O,{"ACLN","ACPT","COND"},
'YearB-AppDetails Current Date'!S:S,"&lt;&gt;ACLN",
'YearB-AppDetails Current Date'!S:S,"&lt;&gt;ACPT",
'YearB-AppDetails Current Date'!S:S,"&lt;&gt;COND",
'YearB-AppDetails Current Date'!I:I,"WINTER"))), "")</f>
        <v/>
      </c>
      <c r="K169" s="73" t="str">
        <f>IFERROR(1/(1/SUM(COUNTIFS(
'YearB-AppDetails Current Date'!A:A,D169,
'YearB-AppDetails Current Date'!F:F,E169,
'YearB-AppDetails Current Date'!E:E,--F169,
'YearB-AppDetails Current Date'!R:R,"&lt;&gt;"&amp;"",
'YearB-AppDetails Current Date'!I:I,"WINTER"))), "")</f>
        <v/>
      </c>
      <c r="L169" s="74" t="str" cm="1">
        <f t="array" ref="L169">IFERROR(1/(1/SUM(COUNTIFS(
'YearB-AppDetails Current Date'!A:A,D169,
'YearB-AppDetails Current Date'!F:F,E169,
'YearB-AppDetails Current Date'!E:E,--F169,
'YearB-AppDetails Current Date'!T:T,{"APEX","DENY","NTSL"},
'YearB-AppDetails Current Date'!I:I,"WINTER"))), "")</f>
        <v/>
      </c>
      <c r="M169" s="74" t="str" cm="1">
        <f t="array" ref="M169">IFERROR(1/(1/SUM(COUNTIFS(
'YearB-AppDetails Current Date'!A:A,D169,
'YearB-AppDetails Current Date'!F:F,E169,
'YearB-AppDetails Current Date'!E:E,--F169,
'YearB-AppDetails Current Date'!U:U,{"CCAN","DECL"},
'YearB-AppDetails Current Date'!I:I,"WINTER"))), "")</f>
        <v/>
      </c>
      <c r="N169" s="74" t="str" cm="1">
        <f t="array" ref="N169">IFERROR(1/(1/SUM(COUNTIFS(
'YearB-AppDetails Current Date'!A:A,D169,
'YearB-AppDetails Current Date'!F:F,E169,
'YearB-AppDetails Current Date'!E:E,--F169,
'YearB-AppDetails Current Date'!V:V,{"APRO","NODE"},
'YearB-AppDetails Current Date'!I:I,"WINTER"))), "")</f>
        <v/>
      </c>
      <c r="O169" s="74" t="str" cm="1">
        <f t="array" ref="O169">IFERROR(1/(1/SUM(COUNTIFS(
'YearB-AppDetails Current Date'!A:A,D169,
'YearB-AppDetails Current Date'!F:F,E169,
'YearB-AppDetails Current Date'!E:E,--F169,
'YearB-AppDetails Current Date'!T:T,{"CDMT","RQMT","WAIT"},
'YearB-AppDetails Current Date'!I:I,"WINTER"))), "")</f>
        <v/>
      </c>
      <c r="P169" s="74" t="str">
        <f>IFERROR(1/(1/COUNTIFS(
'YearB-AppDetails Current Date'!A:A,D169,
'YearB-AppDetails Current Date'!F:F,E169,
'YearB-AppDetails Current Date'!E:E,--F169,
'YearB-AppDetails Current Date'!Y:Y,"ENRO",
'YearB-AppDetails Current Date'!I:I,"WINTER")),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HC'!D:T,14,FALSE)),
N(VLOOKUP(D170&amp;F170,'Budgeted Projections Dom HC'!D:T,15,FALSE))
)
),"")</f>
        <v/>
      </c>
      <c r="I170" s="73" t="str">
        <f>IFERROR(1/(1/COUNTIFS(
'YearB-AppDetails Current Date'!A:A,D170,
'YearB-AppDetails Current Date'!F:F,E170,
'YearB-AppDetails Current Date'!E:E,--F170,
'YearB-AppDetails Current Date'!I:I,"WINTER")), "")</f>
        <v/>
      </c>
      <c r="J170" s="74" t="str" cm="1">
        <f t="array" ref="J170">IFERROR(1/(1/SUM(COUNTIFS(
'YearB-AppDetails Current Date'!A:A,D170,
'YearB-AppDetails Current Date'!F:F,E170,
'YearB-AppDetails Current Date'!E:E,--F170,
'YearB-AppDetails Current Date'!O:O,{"ACLN","ACPT","COND"},
'YearB-AppDetails Current Date'!S:S,"&lt;&gt;ACLN",
'YearB-AppDetails Current Date'!S:S,"&lt;&gt;ACPT",
'YearB-AppDetails Current Date'!S:S,"&lt;&gt;COND",
'YearB-AppDetails Current Date'!I:I,"WINTER"))), "")</f>
        <v/>
      </c>
      <c r="K170" s="73" t="str">
        <f>IFERROR(1/(1/SUM(COUNTIFS(
'YearB-AppDetails Current Date'!A:A,D170,
'YearB-AppDetails Current Date'!F:F,E170,
'YearB-AppDetails Current Date'!E:E,--F170,
'YearB-AppDetails Current Date'!R:R,"&lt;&gt;"&amp;"",
'YearB-AppDetails Current Date'!I:I,"WINTER"))), "")</f>
        <v/>
      </c>
      <c r="L170" s="74" t="str" cm="1">
        <f t="array" ref="L170">IFERROR(1/(1/SUM(COUNTIFS(
'YearB-AppDetails Current Date'!A:A,D170,
'YearB-AppDetails Current Date'!F:F,E170,
'YearB-AppDetails Current Date'!E:E,--F170,
'YearB-AppDetails Current Date'!T:T,{"APEX","DENY","NTSL"},
'YearB-AppDetails Current Date'!I:I,"WINTER"))), "")</f>
        <v/>
      </c>
      <c r="M170" s="74" t="str" cm="1">
        <f t="array" ref="M170">IFERROR(1/(1/SUM(COUNTIFS(
'YearB-AppDetails Current Date'!A:A,D170,
'YearB-AppDetails Current Date'!F:F,E170,
'YearB-AppDetails Current Date'!E:E,--F170,
'YearB-AppDetails Current Date'!U:U,{"CCAN","DECL"},
'YearB-AppDetails Current Date'!I:I,"WINTER"))), "")</f>
        <v/>
      </c>
      <c r="N170" s="74" t="str" cm="1">
        <f t="array" ref="N170">IFERROR(1/(1/SUM(COUNTIFS(
'YearB-AppDetails Current Date'!A:A,D170,
'YearB-AppDetails Current Date'!F:F,E170,
'YearB-AppDetails Current Date'!E:E,--F170,
'YearB-AppDetails Current Date'!V:V,{"APRO","NODE"},
'YearB-AppDetails Current Date'!I:I,"WINTER"))), "")</f>
        <v/>
      </c>
      <c r="O170" s="74" t="str" cm="1">
        <f t="array" ref="O170">IFERROR(1/(1/SUM(COUNTIFS(
'YearB-AppDetails Current Date'!A:A,D170,
'YearB-AppDetails Current Date'!F:F,E170,
'YearB-AppDetails Current Date'!E:E,--F170,
'YearB-AppDetails Current Date'!T:T,{"CDMT","RQMT","WAIT"},
'YearB-AppDetails Current Date'!I:I,"WINTER"))), "")</f>
        <v/>
      </c>
      <c r="P170" s="74" t="str">
        <f>IFERROR(1/(1/COUNTIFS(
'YearB-AppDetails Current Date'!A:A,D170,
'YearB-AppDetails Current Date'!F:F,E170,
'YearB-AppDetails Current Date'!E:E,--F170,
'YearB-AppDetails Current Date'!Y:Y,"ENRO",
'YearB-AppDetails Current Date'!I:I,"WINTER")),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HC'!D:T,14,FALSE)),
N(VLOOKUP(D171&amp;F171,'Budgeted Projections Intl HC'!D:T,15,FALSE))
)
),"")</f>
        <v/>
      </c>
      <c r="I171" s="73" t="str">
        <f>IFERROR(1/(1/COUNTIFS(
'YearB-AppDetails Current Date'!A:A,D171,
'YearB-AppDetails Current Date'!F:F,E171,
'YearB-AppDetails Current Date'!E:E,--F171,
'YearB-AppDetails Current Date'!I:I,"WINTER")), "")</f>
        <v/>
      </c>
      <c r="J171" s="74" t="str" cm="1">
        <f t="array" ref="J171">IFERROR(1/(1/SUM(COUNTIFS(
'YearB-AppDetails Current Date'!A:A,D171,
'YearB-AppDetails Current Date'!F:F,E171,
'YearB-AppDetails Current Date'!E:E,--F171,
'YearB-AppDetails Current Date'!O:O,{"ACLN","ACPT","COND"},
'YearB-AppDetails Current Date'!S:S,"&lt;&gt;ACLN",
'YearB-AppDetails Current Date'!S:S,"&lt;&gt;ACPT",
'YearB-AppDetails Current Date'!S:S,"&lt;&gt;COND",
'YearB-AppDetails Current Date'!I:I,"WINTER"))), "")</f>
        <v/>
      </c>
      <c r="K171" s="73" t="str">
        <f>IFERROR(1/(1/SUM(COUNTIFS(
'YearB-AppDetails Current Date'!A:A,D171,
'YearB-AppDetails Current Date'!F:F,E171,
'YearB-AppDetails Current Date'!E:E,--F171,
'YearB-AppDetails Current Date'!R:R,"&lt;&gt;"&amp;"",
'YearB-AppDetails Current Date'!I:I,"WINTER"))), "")</f>
        <v/>
      </c>
      <c r="L171" s="74" t="str" cm="1">
        <f t="array" ref="L171">IFERROR(1/(1/SUM(COUNTIFS(
'YearB-AppDetails Current Date'!A:A,D171,
'YearB-AppDetails Current Date'!F:F,E171,
'YearB-AppDetails Current Date'!E:E,--F171,
'YearB-AppDetails Current Date'!T:T,{"APEX","DENY","NTSL"},
'YearB-AppDetails Current Date'!I:I,"WINTER"))), "")</f>
        <v/>
      </c>
      <c r="M171" s="74" t="str" cm="1">
        <f t="array" ref="M171">IFERROR(1/(1/SUM(COUNTIFS(
'YearB-AppDetails Current Date'!A:A,D171,
'YearB-AppDetails Current Date'!F:F,E171,
'YearB-AppDetails Current Date'!E:E,--F171,
'YearB-AppDetails Current Date'!U:U,{"CCAN","DECL"},
'YearB-AppDetails Current Date'!I:I,"WINTER"))), "")</f>
        <v/>
      </c>
      <c r="N171" s="74" t="str" cm="1">
        <f t="array" ref="N171">IFERROR(1/(1/SUM(COUNTIFS(
'YearB-AppDetails Current Date'!A:A,D171,
'YearB-AppDetails Current Date'!F:F,E171,
'YearB-AppDetails Current Date'!E:E,--F171,
'YearB-AppDetails Current Date'!V:V,{"APRO","NODE"},
'YearB-AppDetails Current Date'!I:I,"WINTER"))), "")</f>
        <v/>
      </c>
      <c r="O171" s="74" t="str" cm="1">
        <f t="array" ref="O171">IFERROR(1/(1/SUM(COUNTIFS(
'YearB-AppDetails Current Date'!A:A,D171,
'YearB-AppDetails Current Date'!F:F,E171,
'YearB-AppDetails Current Date'!E:E,--F171,
'YearB-AppDetails Current Date'!T:T,{"CDMT","RQMT","WAIT"},
'YearB-AppDetails Current Date'!I:I,"WINTER"))), "")</f>
        <v/>
      </c>
      <c r="P171" s="74" t="str">
        <f>IFERROR(1/(1/COUNTIFS(
'YearB-AppDetails Current Date'!A:A,D171,
'YearB-AppDetails Current Date'!F:F,E171,
'YearB-AppDetails Current Date'!E:E,--F171,
'YearB-AppDetails Current Date'!Y:Y,"ENRO",
'YearB-AppDetails Current Date'!I:I,"WINTER")),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HC'!D:T,14,FALSE)),
N(VLOOKUP(D172&amp;F172,'Budgeted Projections Dom HC'!D:T,15,FALSE))
)
),"")</f>
        <v/>
      </c>
      <c r="I172" s="73" t="str">
        <f>IFERROR(1/(1/COUNTIFS(
'YearB-AppDetails Current Date'!A:A,D172,
'YearB-AppDetails Current Date'!F:F,E172,
'YearB-AppDetails Current Date'!E:E,--F172,
'YearB-AppDetails Current Date'!I:I,"WINTER")), "")</f>
        <v/>
      </c>
      <c r="J172" s="74" t="str" cm="1">
        <f t="array" ref="J172">IFERROR(1/(1/SUM(COUNTIFS(
'YearB-AppDetails Current Date'!A:A,D172,
'YearB-AppDetails Current Date'!F:F,E172,
'YearB-AppDetails Current Date'!E:E,--F172,
'YearB-AppDetails Current Date'!O:O,{"ACLN","ACPT","COND"},
'YearB-AppDetails Current Date'!S:S,"&lt;&gt;ACLN",
'YearB-AppDetails Current Date'!S:S,"&lt;&gt;ACPT",
'YearB-AppDetails Current Date'!S:S,"&lt;&gt;COND",
'YearB-AppDetails Current Date'!I:I,"WINTER"))), "")</f>
        <v/>
      </c>
      <c r="K172" s="73" t="str">
        <f>IFERROR(1/(1/SUM(COUNTIFS(
'YearB-AppDetails Current Date'!A:A,D172,
'YearB-AppDetails Current Date'!F:F,E172,
'YearB-AppDetails Current Date'!E:E,--F172,
'YearB-AppDetails Current Date'!R:R,"&lt;&gt;"&amp;"",
'YearB-AppDetails Current Date'!I:I,"WINTER"))), "")</f>
        <v/>
      </c>
      <c r="L172" s="74" t="str" cm="1">
        <f t="array" ref="L172">IFERROR(1/(1/SUM(COUNTIFS(
'YearB-AppDetails Current Date'!A:A,D172,
'YearB-AppDetails Current Date'!F:F,E172,
'YearB-AppDetails Current Date'!E:E,--F172,
'YearB-AppDetails Current Date'!T:T,{"APEX","DENY","NTSL"},
'YearB-AppDetails Current Date'!I:I,"WINTER"))), "")</f>
        <v/>
      </c>
      <c r="M172" s="74" t="str" cm="1">
        <f t="array" ref="M172">IFERROR(1/(1/SUM(COUNTIFS(
'YearB-AppDetails Current Date'!A:A,D172,
'YearB-AppDetails Current Date'!F:F,E172,
'YearB-AppDetails Current Date'!E:E,--F172,
'YearB-AppDetails Current Date'!U:U,{"CCAN","DECL"},
'YearB-AppDetails Current Date'!I:I,"WINTER"))), "")</f>
        <v/>
      </c>
      <c r="N172" s="74" t="str" cm="1">
        <f t="array" ref="N172">IFERROR(1/(1/SUM(COUNTIFS(
'YearB-AppDetails Current Date'!A:A,D172,
'YearB-AppDetails Current Date'!F:F,E172,
'YearB-AppDetails Current Date'!E:E,--F172,
'YearB-AppDetails Current Date'!V:V,{"APRO","NODE"},
'YearB-AppDetails Current Date'!I:I,"WINTER"))), "")</f>
        <v/>
      </c>
      <c r="O172" s="74" t="str" cm="1">
        <f t="array" ref="O172">IFERROR(1/(1/SUM(COUNTIFS(
'YearB-AppDetails Current Date'!A:A,D172,
'YearB-AppDetails Current Date'!F:F,E172,
'YearB-AppDetails Current Date'!E:E,--F172,
'YearB-AppDetails Current Date'!T:T,{"CDMT","RQMT","WAIT"},
'YearB-AppDetails Current Date'!I:I,"WINTER"))), "")</f>
        <v/>
      </c>
      <c r="P172" s="74" t="str">
        <f>IFERROR(1/(1/COUNTIFS(
'YearB-AppDetails Current Date'!A:A,D172,
'YearB-AppDetails Current Date'!F:F,E172,
'YearB-AppDetails Current Date'!E:E,--F172,
'YearB-AppDetails Current Date'!Y:Y,"ENRO",
'YearB-AppDetails Current Date'!I:I,"WINTER")),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HC'!D:T,14,FALSE)),
N(VLOOKUP(D173&amp;F173,'Budgeted Projections Intl HC'!D:T,15,FALSE))
)
),"")</f>
        <v/>
      </c>
      <c r="I173" s="73" t="str">
        <f>IFERROR(1/(1/COUNTIFS(
'YearB-AppDetails Current Date'!A:A,D173,
'YearB-AppDetails Current Date'!F:F,E173,
'YearB-AppDetails Current Date'!E:E,--F173,
'YearB-AppDetails Current Date'!I:I,"WINTER")), "")</f>
        <v/>
      </c>
      <c r="J173" s="74" t="str" cm="1">
        <f t="array" ref="J173">IFERROR(1/(1/SUM(COUNTIFS(
'YearB-AppDetails Current Date'!A:A,D173,
'YearB-AppDetails Current Date'!F:F,E173,
'YearB-AppDetails Current Date'!E:E,--F173,
'YearB-AppDetails Current Date'!O:O,{"ACLN","ACPT","COND"},
'YearB-AppDetails Current Date'!S:S,"&lt;&gt;ACLN",
'YearB-AppDetails Current Date'!S:S,"&lt;&gt;ACPT",
'YearB-AppDetails Current Date'!S:S,"&lt;&gt;COND",
'YearB-AppDetails Current Date'!I:I,"WINTER"))), "")</f>
        <v/>
      </c>
      <c r="K173" s="73" t="str">
        <f>IFERROR(1/(1/SUM(COUNTIFS(
'YearB-AppDetails Current Date'!A:A,D173,
'YearB-AppDetails Current Date'!F:F,E173,
'YearB-AppDetails Current Date'!E:E,--F173,
'YearB-AppDetails Current Date'!R:R,"&lt;&gt;"&amp;"",
'YearB-AppDetails Current Date'!I:I,"WINTER"))), "")</f>
        <v/>
      </c>
      <c r="L173" s="74" t="str" cm="1">
        <f t="array" ref="L173">IFERROR(1/(1/SUM(COUNTIFS(
'YearB-AppDetails Current Date'!A:A,D173,
'YearB-AppDetails Current Date'!F:F,E173,
'YearB-AppDetails Current Date'!E:E,--F173,
'YearB-AppDetails Current Date'!T:T,{"APEX","DENY","NTSL"},
'YearB-AppDetails Current Date'!I:I,"WINTER"))), "")</f>
        <v/>
      </c>
      <c r="M173" s="74" t="str" cm="1">
        <f t="array" ref="M173">IFERROR(1/(1/SUM(COUNTIFS(
'YearB-AppDetails Current Date'!A:A,D173,
'YearB-AppDetails Current Date'!F:F,E173,
'YearB-AppDetails Current Date'!E:E,--F173,
'YearB-AppDetails Current Date'!U:U,{"CCAN","DECL"},
'YearB-AppDetails Current Date'!I:I,"WINTER"))), "")</f>
        <v/>
      </c>
      <c r="N173" s="74" t="str" cm="1">
        <f t="array" ref="N173">IFERROR(1/(1/SUM(COUNTIFS(
'YearB-AppDetails Current Date'!A:A,D173,
'YearB-AppDetails Current Date'!F:F,E173,
'YearB-AppDetails Current Date'!E:E,--F173,
'YearB-AppDetails Current Date'!V:V,{"APRO","NODE"},
'YearB-AppDetails Current Date'!I:I,"WINTER"))), "")</f>
        <v/>
      </c>
      <c r="O173" s="74" t="str" cm="1">
        <f t="array" ref="O173">IFERROR(1/(1/SUM(COUNTIFS(
'YearB-AppDetails Current Date'!A:A,D173,
'YearB-AppDetails Current Date'!F:F,E173,
'YearB-AppDetails Current Date'!E:E,--F173,
'YearB-AppDetails Current Date'!T:T,{"CDMT","RQMT","WAIT"},
'YearB-AppDetails Current Date'!I:I,"WINTER"))), "")</f>
        <v/>
      </c>
      <c r="P173" s="74" t="str">
        <f>IFERROR(1/(1/COUNTIFS(
'YearB-AppDetails Current Date'!A:A,D173,
'YearB-AppDetails Current Date'!F:F,E173,
'YearB-AppDetails Current Date'!E:E,--F173,
'YearB-AppDetails Current Date'!Y:Y,"ENRO",
'YearB-AppDetails Current Date'!I:I,"WINTER")),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HC'!D:T,14,FALSE)),
N(VLOOKUP(D174&amp;F174,'Budgeted Projections Dom HC'!D:T,15,FALSE))
)
),"")</f>
        <v/>
      </c>
      <c r="I174" s="73" t="str">
        <f>IFERROR(1/(1/COUNTIFS(
'YearB-AppDetails Current Date'!A:A,D174,
'YearB-AppDetails Current Date'!F:F,E174,
'YearB-AppDetails Current Date'!E:E,--F174,
'YearB-AppDetails Current Date'!I:I,"WINTER")), "")</f>
        <v/>
      </c>
      <c r="J174" s="74" t="str" cm="1">
        <f t="array" ref="J174">IFERROR(1/(1/SUM(COUNTIFS(
'YearB-AppDetails Current Date'!A:A,D174,
'YearB-AppDetails Current Date'!F:F,E174,
'YearB-AppDetails Current Date'!E:E,--F174,
'YearB-AppDetails Current Date'!O:O,{"ACLN","ACPT","COND"},
'YearB-AppDetails Current Date'!S:S,"&lt;&gt;ACLN",
'YearB-AppDetails Current Date'!S:S,"&lt;&gt;ACPT",
'YearB-AppDetails Current Date'!S:S,"&lt;&gt;COND",
'YearB-AppDetails Current Date'!I:I,"WINTER"))), "")</f>
        <v/>
      </c>
      <c r="K174" s="73" t="str">
        <f>IFERROR(1/(1/SUM(COUNTIFS(
'YearB-AppDetails Current Date'!A:A,D174,
'YearB-AppDetails Current Date'!F:F,E174,
'YearB-AppDetails Current Date'!E:E,--F174,
'YearB-AppDetails Current Date'!R:R,"&lt;&gt;"&amp;"",
'YearB-AppDetails Current Date'!I:I,"WINTER"))), "")</f>
        <v/>
      </c>
      <c r="L174" s="74" t="str" cm="1">
        <f t="array" ref="L174">IFERROR(1/(1/SUM(COUNTIFS(
'YearB-AppDetails Current Date'!A:A,D174,
'YearB-AppDetails Current Date'!F:F,E174,
'YearB-AppDetails Current Date'!E:E,--F174,
'YearB-AppDetails Current Date'!T:T,{"APEX","DENY","NTSL"},
'YearB-AppDetails Current Date'!I:I,"WINTER"))), "")</f>
        <v/>
      </c>
      <c r="M174" s="74" t="str" cm="1">
        <f t="array" ref="M174">IFERROR(1/(1/SUM(COUNTIFS(
'YearB-AppDetails Current Date'!A:A,D174,
'YearB-AppDetails Current Date'!F:F,E174,
'YearB-AppDetails Current Date'!E:E,--F174,
'YearB-AppDetails Current Date'!U:U,{"CCAN","DECL"},
'YearB-AppDetails Current Date'!I:I,"WINTER"))), "")</f>
        <v/>
      </c>
      <c r="N174" s="74" t="str" cm="1">
        <f t="array" ref="N174">IFERROR(1/(1/SUM(COUNTIFS(
'YearB-AppDetails Current Date'!A:A,D174,
'YearB-AppDetails Current Date'!F:F,E174,
'YearB-AppDetails Current Date'!E:E,--F174,
'YearB-AppDetails Current Date'!V:V,{"APRO","NODE"},
'YearB-AppDetails Current Date'!I:I,"WINTER"))), "")</f>
        <v/>
      </c>
      <c r="O174" s="74" t="str" cm="1">
        <f t="array" ref="O174">IFERROR(1/(1/SUM(COUNTIFS(
'YearB-AppDetails Current Date'!A:A,D174,
'YearB-AppDetails Current Date'!F:F,E174,
'YearB-AppDetails Current Date'!E:E,--F174,
'YearB-AppDetails Current Date'!T:T,{"CDMT","RQMT","WAIT"},
'YearB-AppDetails Current Date'!I:I,"WINTER"))), "")</f>
        <v/>
      </c>
      <c r="P174" s="74" t="str">
        <f>IFERROR(1/(1/COUNTIFS(
'YearB-AppDetails Current Date'!A:A,D174,
'YearB-AppDetails Current Date'!F:F,E174,
'YearB-AppDetails Current Date'!E:E,--F174,
'YearB-AppDetails Current Date'!Y:Y,"ENRO",
'YearB-AppDetails Current Date'!I:I,"WINTER")),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HC'!D:T,14,FALSE)),
N(VLOOKUP(D175&amp;F175,'Budgeted Projections Intl HC'!D:T,15,FALSE))
)
),"")</f>
        <v/>
      </c>
      <c r="I175" s="73" t="str">
        <f>IFERROR(1/(1/COUNTIFS(
'YearB-AppDetails Current Date'!A:A,D175,
'YearB-AppDetails Current Date'!F:F,E175,
'YearB-AppDetails Current Date'!E:E,--F175,
'YearB-AppDetails Current Date'!I:I,"WINTER")), "")</f>
        <v/>
      </c>
      <c r="J175" s="74" t="str" cm="1">
        <f t="array" ref="J175">IFERROR(1/(1/SUM(COUNTIFS(
'YearB-AppDetails Current Date'!A:A,D175,
'YearB-AppDetails Current Date'!F:F,E175,
'YearB-AppDetails Current Date'!E:E,--F175,
'YearB-AppDetails Current Date'!O:O,{"ACLN","ACPT","COND"},
'YearB-AppDetails Current Date'!S:S,"&lt;&gt;ACLN",
'YearB-AppDetails Current Date'!S:S,"&lt;&gt;ACPT",
'YearB-AppDetails Current Date'!S:S,"&lt;&gt;COND",
'YearB-AppDetails Current Date'!I:I,"WINTER"))), "")</f>
        <v/>
      </c>
      <c r="K175" s="73" t="str">
        <f>IFERROR(1/(1/SUM(COUNTIFS(
'YearB-AppDetails Current Date'!A:A,D175,
'YearB-AppDetails Current Date'!F:F,E175,
'YearB-AppDetails Current Date'!E:E,--F175,
'YearB-AppDetails Current Date'!R:R,"&lt;&gt;"&amp;"",
'YearB-AppDetails Current Date'!I:I,"WINTER"))), "")</f>
        <v/>
      </c>
      <c r="L175" s="74" t="str" cm="1">
        <f t="array" ref="L175">IFERROR(1/(1/SUM(COUNTIFS(
'YearB-AppDetails Current Date'!A:A,D175,
'YearB-AppDetails Current Date'!F:F,E175,
'YearB-AppDetails Current Date'!E:E,--F175,
'YearB-AppDetails Current Date'!T:T,{"APEX","DENY","NTSL"},
'YearB-AppDetails Current Date'!I:I,"WINTER"))), "")</f>
        <v/>
      </c>
      <c r="M175" s="74" t="str" cm="1">
        <f t="array" ref="M175">IFERROR(1/(1/SUM(COUNTIFS(
'YearB-AppDetails Current Date'!A:A,D175,
'YearB-AppDetails Current Date'!F:F,E175,
'YearB-AppDetails Current Date'!E:E,--F175,
'YearB-AppDetails Current Date'!U:U,{"CCAN","DECL"},
'YearB-AppDetails Current Date'!I:I,"WINTER"))), "")</f>
        <v/>
      </c>
      <c r="N175" s="74" t="str" cm="1">
        <f t="array" ref="N175">IFERROR(1/(1/SUM(COUNTIFS(
'YearB-AppDetails Current Date'!A:A,D175,
'YearB-AppDetails Current Date'!F:F,E175,
'YearB-AppDetails Current Date'!E:E,--F175,
'YearB-AppDetails Current Date'!V:V,{"APRO","NODE"},
'YearB-AppDetails Current Date'!I:I,"WINTER"))), "")</f>
        <v/>
      </c>
      <c r="O175" s="74" t="str" cm="1">
        <f t="array" ref="O175">IFERROR(1/(1/SUM(COUNTIFS(
'YearB-AppDetails Current Date'!A:A,D175,
'YearB-AppDetails Current Date'!F:F,E175,
'YearB-AppDetails Current Date'!E:E,--F175,
'YearB-AppDetails Current Date'!T:T,{"CDMT","RQMT","WAIT"},
'YearB-AppDetails Current Date'!I:I,"WINTER"))), "")</f>
        <v/>
      </c>
      <c r="P175" s="74" t="str">
        <f>IFERROR(1/(1/COUNTIFS(
'YearB-AppDetails Current Date'!A:A,D175,
'YearB-AppDetails Current Date'!F:F,E175,
'YearB-AppDetails Current Date'!E:E,--F175,
'YearB-AppDetails Current Date'!Y:Y,"ENRO",
'YearB-AppDetails Current Date'!I:I,"WINTER")),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HC'!D:T,14,FALSE)),
N(VLOOKUP(D176&amp;F176,'Budgeted Projections Dom HC'!D:T,15,FALSE))
)
),"")</f>
        <v/>
      </c>
      <c r="I176" s="73" t="str">
        <f>IFERROR(1/(1/COUNTIFS(
'YearB-AppDetails Current Date'!A:A,D176,
'YearB-AppDetails Current Date'!F:F,E176,
'YearB-AppDetails Current Date'!E:E,--F176,
'YearB-AppDetails Current Date'!I:I,"WINTER")), "")</f>
        <v/>
      </c>
      <c r="J176" s="74" t="str" cm="1">
        <f t="array" ref="J176">IFERROR(1/(1/SUM(COUNTIFS(
'YearB-AppDetails Current Date'!A:A,D176,
'YearB-AppDetails Current Date'!F:F,E176,
'YearB-AppDetails Current Date'!E:E,--F176,
'YearB-AppDetails Current Date'!O:O,{"ACLN","ACPT","COND"},
'YearB-AppDetails Current Date'!S:S,"&lt;&gt;ACLN",
'YearB-AppDetails Current Date'!S:S,"&lt;&gt;ACPT",
'YearB-AppDetails Current Date'!S:S,"&lt;&gt;COND",
'YearB-AppDetails Current Date'!I:I,"WINTER"))), "")</f>
        <v/>
      </c>
      <c r="K176" s="73" t="str">
        <f>IFERROR(1/(1/SUM(COUNTIFS(
'YearB-AppDetails Current Date'!A:A,D176,
'YearB-AppDetails Current Date'!F:F,E176,
'YearB-AppDetails Current Date'!E:E,--F176,
'YearB-AppDetails Current Date'!R:R,"&lt;&gt;"&amp;"",
'YearB-AppDetails Current Date'!I:I,"WINTER"))), "")</f>
        <v/>
      </c>
      <c r="L176" s="74" t="str" cm="1">
        <f t="array" ref="L176">IFERROR(1/(1/SUM(COUNTIFS(
'YearB-AppDetails Current Date'!A:A,D176,
'YearB-AppDetails Current Date'!F:F,E176,
'YearB-AppDetails Current Date'!E:E,--F176,
'YearB-AppDetails Current Date'!T:T,{"APEX","DENY","NTSL"},
'YearB-AppDetails Current Date'!I:I,"WINTER"))), "")</f>
        <v/>
      </c>
      <c r="M176" s="74" t="str" cm="1">
        <f t="array" ref="M176">IFERROR(1/(1/SUM(COUNTIFS(
'YearB-AppDetails Current Date'!A:A,D176,
'YearB-AppDetails Current Date'!F:F,E176,
'YearB-AppDetails Current Date'!E:E,--F176,
'YearB-AppDetails Current Date'!U:U,{"CCAN","DECL"},
'YearB-AppDetails Current Date'!I:I,"WINTER"))), "")</f>
        <v/>
      </c>
      <c r="N176" s="74" t="str" cm="1">
        <f t="array" ref="N176">IFERROR(1/(1/SUM(COUNTIFS(
'YearB-AppDetails Current Date'!A:A,D176,
'YearB-AppDetails Current Date'!F:F,E176,
'YearB-AppDetails Current Date'!E:E,--F176,
'YearB-AppDetails Current Date'!V:V,{"APRO","NODE"},
'YearB-AppDetails Current Date'!I:I,"WINTER"))), "")</f>
        <v/>
      </c>
      <c r="O176" s="74" t="str" cm="1">
        <f t="array" ref="O176">IFERROR(1/(1/SUM(COUNTIFS(
'YearB-AppDetails Current Date'!A:A,D176,
'YearB-AppDetails Current Date'!F:F,E176,
'YearB-AppDetails Current Date'!E:E,--F176,
'YearB-AppDetails Current Date'!T:T,{"CDMT","RQMT","WAIT"},
'YearB-AppDetails Current Date'!I:I,"WINTER"))), "")</f>
        <v/>
      </c>
      <c r="P176" s="74" t="str">
        <f>IFERROR(1/(1/COUNTIFS(
'YearB-AppDetails Current Date'!A:A,D176,
'YearB-AppDetails Current Date'!F:F,E176,
'YearB-AppDetails Current Date'!E:E,--F176,
'YearB-AppDetails Current Date'!Y:Y,"ENRO",
'YearB-AppDetails Current Date'!I:I,"WINTER")),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HC'!D:T,14,FALSE)),
N(VLOOKUP(D177&amp;F177,'Budgeted Projections Intl HC'!D:T,15,FALSE))
)
),"")</f>
        <v/>
      </c>
      <c r="I177" s="73" t="str">
        <f>IFERROR(1/(1/COUNTIFS(
'YearB-AppDetails Current Date'!A:A,D177,
'YearB-AppDetails Current Date'!F:F,E177,
'YearB-AppDetails Current Date'!E:E,--F177,
'YearB-AppDetails Current Date'!I:I,"WINTER")), "")</f>
        <v/>
      </c>
      <c r="J177" s="74" t="str" cm="1">
        <f t="array" ref="J177">IFERROR(1/(1/SUM(COUNTIFS(
'YearB-AppDetails Current Date'!A:A,D177,
'YearB-AppDetails Current Date'!F:F,E177,
'YearB-AppDetails Current Date'!E:E,--F177,
'YearB-AppDetails Current Date'!O:O,{"ACLN","ACPT","COND"},
'YearB-AppDetails Current Date'!S:S,"&lt;&gt;ACLN",
'YearB-AppDetails Current Date'!S:S,"&lt;&gt;ACPT",
'YearB-AppDetails Current Date'!S:S,"&lt;&gt;COND",
'YearB-AppDetails Current Date'!I:I,"WINTER"))), "")</f>
        <v/>
      </c>
      <c r="K177" s="73" t="str">
        <f>IFERROR(1/(1/SUM(COUNTIFS(
'YearB-AppDetails Current Date'!A:A,D177,
'YearB-AppDetails Current Date'!F:F,E177,
'YearB-AppDetails Current Date'!E:E,--F177,
'YearB-AppDetails Current Date'!R:R,"&lt;&gt;"&amp;"",
'YearB-AppDetails Current Date'!I:I,"WINTER"))), "")</f>
        <v/>
      </c>
      <c r="L177" s="74" t="str" cm="1">
        <f t="array" ref="L177">IFERROR(1/(1/SUM(COUNTIFS(
'YearB-AppDetails Current Date'!A:A,D177,
'YearB-AppDetails Current Date'!F:F,E177,
'YearB-AppDetails Current Date'!E:E,--F177,
'YearB-AppDetails Current Date'!T:T,{"APEX","DENY","NTSL"},
'YearB-AppDetails Current Date'!I:I,"WINTER"))), "")</f>
        <v/>
      </c>
      <c r="M177" s="74" t="str" cm="1">
        <f t="array" ref="M177">IFERROR(1/(1/SUM(COUNTIFS(
'YearB-AppDetails Current Date'!A:A,D177,
'YearB-AppDetails Current Date'!F:F,E177,
'YearB-AppDetails Current Date'!E:E,--F177,
'YearB-AppDetails Current Date'!U:U,{"CCAN","DECL"},
'YearB-AppDetails Current Date'!I:I,"WINTER"))), "")</f>
        <v/>
      </c>
      <c r="N177" s="74" t="str" cm="1">
        <f t="array" ref="N177">IFERROR(1/(1/SUM(COUNTIFS(
'YearB-AppDetails Current Date'!A:A,D177,
'YearB-AppDetails Current Date'!F:F,E177,
'YearB-AppDetails Current Date'!E:E,--F177,
'YearB-AppDetails Current Date'!V:V,{"APRO","NODE"},
'YearB-AppDetails Current Date'!I:I,"WINTER"))), "")</f>
        <v/>
      </c>
      <c r="O177" s="74" t="str" cm="1">
        <f t="array" ref="O177">IFERROR(1/(1/SUM(COUNTIFS(
'YearB-AppDetails Current Date'!A:A,D177,
'YearB-AppDetails Current Date'!F:F,E177,
'YearB-AppDetails Current Date'!E:E,--F177,
'YearB-AppDetails Current Date'!T:T,{"CDMT","RQMT","WAIT"},
'YearB-AppDetails Current Date'!I:I,"WINTER"))), "")</f>
        <v/>
      </c>
      <c r="P177" s="74" t="str">
        <f>IFERROR(1/(1/COUNTIFS(
'YearB-AppDetails Current Date'!A:A,D177,
'YearB-AppDetails Current Date'!F:F,E177,
'YearB-AppDetails Current Date'!E:E,--F177,
'YearB-AppDetails Current Date'!Y:Y,"ENRO",
'YearB-AppDetails Current Date'!I:I,"WINTER")),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HC'!D:T,14,FALSE)),
N(VLOOKUP(D178&amp;F178,'Budgeted Projections Dom HC'!D:T,15,FALSE))
)
),"")</f>
        <v/>
      </c>
      <c r="I178" s="73" t="str">
        <f>IFERROR(1/(1/COUNTIFS(
'YearB-AppDetails Current Date'!A:A,D178,
'YearB-AppDetails Current Date'!F:F,E178,
'YearB-AppDetails Current Date'!E:E,--F178,
'YearB-AppDetails Current Date'!I:I,"WINTER")), "")</f>
        <v/>
      </c>
      <c r="J178" s="74" t="str" cm="1">
        <f t="array" ref="J178">IFERROR(1/(1/SUM(COUNTIFS(
'YearB-AppDetails Current Date'!A:A,D178,
'YearB-AppDetails Current Date'!F:F,E178,
'YearB-AppDetails Current Date'!E:E,--F178,
'YearB-AppDetails Current Date'!O:O,{"ACLN","ACPT","COND"},
'YearB-AppDetails Current Date'!S:S,"&lt;&gt;ACLN",
'YearB-AppDetails Current Date'!S:S,"&lt;&gt;ACPT",
'YearB-AppDetails Current Date'!S:S,"&lt;&gt;COND",
'YearB-AppDetails Current Date'!I:I,"WINTER"))), "")</f>
        <v/>
      </c>
      <c r="K178" s="73" t="str">
        <f>IFERROR(1/(1/SUM(COUNTIFS(
'YearB-AppDetails Current Date'!A:A,D178,
'YearB-AppDetails Current Date'!F:F,E178,
'YearB-AppDetails Current Date'!E:E,--F178,
'YearB-AppDetails Current Date'!R:R,"&lt;&gt;"&amp;"",
'YearB-AppDetails Current Date'!I:I,"WINTER"))), "")</f>
        <v/>
      </c>
      <c r="L178" s="74" t="str" cm="1">
        <f t="array" ref="L178">IFERROR(1/(1/SUM(COUNTIFS(
'YearB-AppDetails Current Date'!A:A,D178,
'YearB-AppDetails Current Date'!F:F,E178,
'YearB-AppDetails Current Date'!E:E,--F178,
'YearB-AppDetails Current Date'!T:T,{"APEX","DENY","NTSL"},
'YearB-AppDetails Current Date'!I:I,"WINTER"))), "")</f>
        <v/>
      </c>
      <c r="M178" s="74" t="str" cm="1">
        <f t="array" ref="M178">IFERROR(1/(1/SUM(COUNTIFS(
'YearB-AppDetails Current Date'!A:A,D178,
'YearB-AppDetails Current Date'!F:F,E178,
'YearB-AppDetails Current Date'!E:E,--F178,
'YearB-AppDetails Current Date'!U:U,{"CCAN","DECL"},
'YearB-AppDetails Current Date'!I:I,"WINTER"))), "")</f>
        <v/>
      </c>
      <c r="N178" s="74" t="str" cm="1">
        <f t="array" ref="N178">IFERROR(1/(1/SUM(COUNTIFS(
'YearB-AppDetails Current Date'!A:A,D178,
'YearB-AppDetails Current Date'!F:F,E178,
'YearB-AppDetails Current Date'!E:E,--F178,
'YearB-AppDetails Current Date'!V:V,{"APRO","NODE"},
'YearB-AppDetails Current Date'!I:I,"WINTER"))), "")</f>
        <v/>
      </c>
      <c r="O178" s="74" t="str" cm="1">
        <f t="array" ref="O178">IFERROR(1/(1/SUM(COUNTIFS(
'YearB-AppDetails Current Date'!A:A,D178,
'YearB-AppDetails Current Date'!F:F,E178,
'YearB-AppDetails Current Date'!E:E,--F178,
'YearB-AppDetails Current Date'!T:T,{"CDMT","RQMT","WAIT"},
'YearB-AppDetails Current Date'!I:I,"WINTER"))), "")</f>
        <v/>
      </c>
      <c r="P178" s="74" t="str">
        <f>IFERROR(1/(1/COUNTIFS(
'YearB-AppDetails Current Date'!A:A,D178,
'YearB-AppDetails Current Date'!F:F,E178,
'YearB-AppDetails Current Date'!E:E,--F178,
'YearB-AppDetails Current Date'!Y:Y,"ENRO",
'YearB-AppDetails Current Date'!I:I,"WINTER")),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HC'!D:T,14,FALSE)),
N(VLOOKUP(D179&amp;F179,'Budgeted Projections Intl HC'!D:T,15,FALSE))
)
),"")</f>
        <v/>
      </c>
      <c r="I179" s="73" t="str">
        <f>IFERROR(1/(1/COUNTIFS(
'YearB-AppDetails Current Date'!A:A,D179,
'YearB-AppDetails Current Date'!F:F,E179,
'YearB-AppDetails Current Date'!E:E,--F179,
'YearB-AppDetails Current Date'!I:I,"WINTER")), "")</f>
        <v/>
      </c>
      <c r="J179" s="74" t="str" cm="1">
        <f t="array" ref="J179">IFERROR(1/(1/SUM(COUNTIFS(
'YearB-AppDetails Current Date'!A:A,D179,
'YearB-AppDetails Current Date'!F:F,E179,
'YearB-AppDetails Current Date'!E:E,--F179,
'YearB-AppDetails Current Date'!O:O,{"ACLN","ACPT","COND"},
'YearB-AppDetails Current Date'!S:S,"&lt;&gt;ACLN",
'YearB-AppDetails Current Date'!S:S,"&lt;&gt;ACPT",
'YearB-AppDetails Current Date'!S:S,"&lt;&gt;COND",
'YearB-AppDetails Current Date'!I:I,"WINTER"))), "")</f>
        <v/>
      </c>
      <c r="K179" s="73" t="str">
        <f>IFERROR(1/(1/SUM(COUNTIFS(
'YearB-AppDetails Current Date'!A:A,D179,
'YearB-AppDetails Current Date'!F:F,E179,
'YearB-AppDetails Current Date'!E:E,--F179,
'YearB-AppDetails Current Date'!R:R,"&lt;&gt;"&amp;"",
'YearB-AppDetails Current Date'!I:I,"WINTER"))), "")</f>
        <v/>
      </c>
      <c r="L179" s="74" t="str" cm="1">
        <f t="array" ref="L179">IFERROR(1/(1/SUM(COUNTIFS(
'YearB-AppDetails Current Date'!A:A,D179,
'YearB-AppDetails Current Date'!F:F,E179,
'YearB-AppDetails Current Date'!E:E,--F179,
'YearB-AppDetails Current Date'!T:T,{"APEX","DENY","NTSL"},
'YearB-AppDetails Current Date'!I:I,"WINTER"))), "")</f>
        <v/>
      </c>
      <c r="M179" s="74" t="str" cm="1">
        <f t="array" ref="M179">IFERROR(1/(1/SUM(COUNTIFS(
'YearB-AppDetails Current Date'!A:A,D179,
'YearB-AppDetails Current Date'!F:F,E179,
'YearB-AppDetails Current Date'!E:E,--F179,
'YearB-AppDetails Current Date'!U:U,{"CCAN","DECL"},
'YearB-AppDetails Current Date'!I:I,"WINTER"))), "")</f>
        <v/>
      </c>
      <c r="N179" s="74" t="str" cm="1">
        <f t="array" ref="N179">IFERROR(1/(1/SUM(COUNTIFS(
'YearB-AppDetails Current Date'!A:A,D179,
'YearB-AppDetails Current Date'!F:F,E179,
'YearB-AppDetails Current Date'!E:E,--F179,
'YearB-AppDetails Current Date'!V:V,{"APRO","NODE"},
'YearB-AppDetails Current Date'!I:I,"WINTER"))), "")</f>
        <v/>
      </c>
      <c r="O179" s="74" t="str" cm="1">
        <f t="array" ref="O179">IFERROR(1/(1/SUM(COUNTIFS(
'YearB-AppDetails Current Date'!A:A,D179,
'YearB-AppDetails Current Date'!F:F,E179,
'YearB-AppDetails Current Date'!E:E,--F179,
'YearB-AppDetails Current Date'!T:T,{"CDMT","RQMT","WAIT"},
'YearB-AppDetails Current Date'!I:I,"WINTER"))), "")</f>
        <v/>
      </c>
      <c r="P179" s="74" t="str">
        <f>IFERROR(1/(1/COUNTIFS(
'YearB-AppDetails Current Date'!A:A,D179,
'YearB-AppDetails Current Date'!F:F,E179,
'YearB-AppDetails Current Date'!E:E,--F179,
'YearB-AppDetails Current Date'!Y:Y,"ENRO",
'YearB-AppDetails Current Date'!I:I,"WINTER")),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HC'!D:T,14,FALSE)),
N(VLOOKUP(D180&amp;F180,'Budgeted Projections Dom HC'!D:T,15,FALSE))
)
),"")</f>
        <v/>
      </c>
      <c r="I180" s="73" t="str">
        <f>IFERROR(1/(1/COUNTIFS(
'YearB-AppDetails Current Date'!A:A,D180,
'YearB-AppDetails Current Date'!F:F,E180,
'YearB-AppDetails Current Date'!E:E,--F180,
'YearB-AppDetails Current Date'!I:I,"WINTER")), "")</f>
        <v/>
      </c>
      <c r="J180" s="74" t="str" cm="1">
        <f t="array" ref="J180">IFERROR(1/(1/SUM(COUNTIFS(
'YearB-AppDetails Current Date'!A:A,D180,
'YearB-AppDetails Current Date'!F:F,E180,
'YearB-AppDetails Current Date'!E:E,--F180,
'YearB-AppDetails Current Date'!O:O,{"ACLN","ACPT","COND"},
'YearB-AppDetails Current Date'!S:S,"&lt;&gt;ACLN",
'YearB-AppDetails Current Date'!S:S,"&lt;&gt;ACPT",
'YearB-AppDetails Current Date'!S:S,"&lt;&gt;COND",
'YearB-AppDetails Current Date'!I:I,"WINTER"))), "")</f>
        <v/>
      </c>
      <c r="K180" s="73" t="str">
        <f>IFERROR(1/(1/SUM(COUNTIFS(
'YearB-AppDetails Current Date'!A:A,D180,
'YearB-AppDetails Current Date'!F:F,E180,
'YearB-AppDetails Current Date'!E:E,--F180,
'YearB-AppDetails Current Date'!R:R,"&lt;&gt;"&amp;"",
'YearB-AppDetails Current Date'!I:I,"WINTER"))), "")</f>
        <v/>
      </c>
      <c r="L180" s="74" t="str" cm="1">
        <f t="array" ref="L180">IFERROR(1/(1/SUM(COUNTIFS(
'YearB-AppDetails Current Date'!A:A,D180,
'YearB-AppDetails Current Date'!F:F,E180,
'YearB-AppDetails Current Date'!E:E,--F180,
'YearB-AppDetails Current Date'!T:T,{"APEX","DENY","NTSL"},
'YearB-AppDetails Current Date'!I:I,"WINTER"))), "")</f>
        <v/>
      </c>
      <c r="M180" s="74" t="str" cm="1">
        <f t="array" ref="M180">IFERROR(1/(1/SUM(COUNTIFS(
'YearB-AppDetails Current Date'!A:A,D180,
'YearB-AppDetails Current Date'!F:F,E180,
'YearB-AppDetails Current Date'!E:E,--F180,
'YearB-AppDetails Current Date'!U:U,{"CCAN","DECL"},
'YearB-AppDetails Current Date'!I:I,"WINTER"))), "")</f>
        <v/>
      </c>
      <c r="N180" s="74" t="str" cm="1">
        <f t="array" ref="N180">IFERROR(1/(1/SUM(COUNTIFS(
'YearB-AppDetails Current Date'!A:A,D180,
'YearB-AppDetails Current Date'!F:F,E180,
'YearB-AppDetails Current Date'!E:E,--F180,
'YearB-AppDetails Current Date'!V:V,{"APRO","NODE"},
'YearB-AppDetails Current Date'!I:I,"WINTER"))), "")</f>
        <v/>
      </c>
      <c r="O180" s="74" t="str" cm="1">
        <f t="array" ref="O180">IFERROR(1/(1/SUM(COUNTIFS(
'YearB-AppDetails Current Date'!A:A,D180,
'YearB-AppDetails Current Date'!F:F,E180,
'YearB-AppDetails Current Date'!E:E,--F180,
'YearB-AppDetails Current Date'!T:T,{"CDMT","RQMT","WAIT"},
'YearB-AppDetails Current Date'!I:I,"WINTER"))), "")</f>
        <v/>
      </c>
      <c r="P180" s="74" t="str">
        <f>IFERROR(1/(1/COUNTIFS(
'YearB-AppDetails Current Date'!A:A,D180,
'YearB-AppDetails Current Date'!F:F,E180,
'YearB-AppDetails Current Date'!E:E,--F180,
'YearB-AppDetails Current Date'!Y:Y,"ENRO",
'YearB-AppDetails Current Date'!I:I,"WINTER")),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HC'!D:T,14,FALSE)),
N(VLOOKUP(D181&amp;F181,'Budgeted Projections Intl HC'!D:T,15,FALSE))
)
),"")</f>
        <v/>
      </c>
      <c r="I181" s="73" t="str">
        <f>IFERROR(1/(1/COUNTIFS(
'YearB-AppDetails Current Date'!A:A,D181,
'YearB-AppDetails Current Date'!F:F,E181,
'YearB-AppDetails Current Date'!E:E,--F181,
'YearB-AppDetails Current Date'!I:I,"WINTER")), "")</f>
        <v/>
      </c>
      <c r="J181" s="74" t="str" cm="1">
        <f t="array" ref="J181">IFERROR(1/(1/SUM(COUNTIFS(
'YearB-AppDetails Current Date'!A:A,D181,
'YearB-AppDetails Current Date'!F:F,E181,
'YearB-AppDetails Current Date'!E:E,--F181,
'YearB-AppDetails Current Date'!O:O,{"ACLN","ACPT","COND"},
'YearB-AppDetails Current Date'!S:S,"&lt;&gt;ACLN",
'YearB-AppDetails Current Date'!S:S,"&lt;&gt;ACPT",
'YearB-AppDetails Current Date'!S:S,"&lt;&gt;COND",
'YearB-AppDetails Current Date'!I:I,"WINTER"))), "")</f>
        <v/>
      </c>
      <c r="K181" s="73" t="str">
        <f>IFERROR(1/(1/SUM(COUNTIFS(
'YearB-AppDetails Current Date'!A:A,D181,
'YearB-AppDetails Current Date'!F:F,E181,
'YearB-AppDetails Current Date'!E:E,--F181,
'YearB-AppDetails Current Date'!R:R,"&lt;&gt;"&amp;"",
'YearB-AppDetails Current Date'!I:I,"WINTER"))), "")</f>
        <v/>
      </c>
      <c r="L181" s="74" t="str" cm="1">
        <f t="array" ref="L181">IFERROR(1/(1/SUM(COUNTIFS(
'YearB-AppDetails Current Date'!A:A,D181,
'YearB-AppDetails Current Date'!F:F,E181,
'YearB-AppDetails Current Date'!E:E,--F181,
'YearB-AppDetails Current Date'!T:T,{"APEX","DENY","NTSL"},
'YearB-AppDetails Current Date'!I:I,"WINTER"))), "")</f>
        <v/>
      </c>
      <c r="M181" s="74" t="str" cm="1">
        <f t="array" ref="M181">IFERROR(1/(1/SUM(COUNTIFS(
'YearB-AppDetails Current Date'!A:A,D181,
'YearB-AppDetails Current Date'!F:F,E181,
'YearB-AppDetails Current Date'!E:E,--F181,
'YearB-AppDetails Current Date'!U:U,{"CCAN","DECL"},
'YearB-AppDetails Current Date'!I:I,"WINTER"))), "")</f>
        <v/>
      </c>
      <c r="N181" s="74" t="str" cm="1">
        <f t="array" ref="N181">IFERROR(1/(1/SUM(COUNTIFS(
'YearB-AppDetails Current Date'!A:A,D181,
'YearB-AppDetails Current Date'!F:F,E181,
'YearB-AppDetails Current Date'!E:E,--F181,
'YearB-AppDetails Current Date'!V:V,{"APRO","NODE"},
'YearB-AppDetails Current Date'!I:I,"WINTER"))), "")</f>
        <v/>
      </c>
      <c r="O181" s="74" t="str" cm="1">
        <f t="array" ref="O181">IFERROR(1/(1/SUM(COUNTIFS(
'YearB-AppDetails Current Date'!A:A,D181,
'YearB-AppDetails Current Date'!F:F,E181,
'YearB-AppDetails Current Date'!E:E,--F181,
'YearB-AppDetails Current Date'!T:T,{"CDMT","RQMT","WAIT"},
'YearB-AppDetails Current Date'!I:I,"WINTER"))), "")</f>
        <v/>
      </c>
      <c r="P181" s="74" t="str">
        <f>IFERROR(1/(1/COUNTIFS(
'YearB-AppDetails Current Date'!A:A,D181,
'YearB-AppDetails Current Date'!F:F,E181,
'YearB-AppDetails Current Date'!E:E,--F181,
'YearB-AppDetails Current Date'!Y:Y,"ENRO",
'YearB-AppDetails Current Date'!I:I,"WINTER")),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HC'!D:T,14,FALSE)),
N(VLOOKUP(D182&amp;F182,'Budgeted Projections Dom HC'!D:T,15,FALSE))
)
),"")</f>
        <v/>
      </c>
      <c r="I182" s="73" t="str">
        <f>IFERROR(1/(1/COUNTIFS(
'YearB-AppDetails Current Date'!A:A,D182,
'YearB-AppDetails Current Date'!F:F,E182,
'YearB-AppDetails Current Date'!E:E,--F182,
'YearB-AppDetails Current Date'!I:I,"WINTER")), "")</f>
        <v/>
      </c>
      <c r="J182" s="74" t="str" cm="1">
        <f t="array" ref="J182">IFERROR(1/(1/SUM(COUNTIFS(
'YearB-AppDetails Current Date'!A:A,D182,
'YearB-AppDetails Current Date'!F:F,E182,
'YearB-AppDetails Current Date'!E:E,--F182,
'YearB-AppDetails Current Date'!O:O,{"ACLN","ACPT","COND"},
'YearB-AppDetails Current Date'!S:S,"&lt;&gt;ACLN",
'YearB-AppDetails Current Date'!S:S,"&lt;&gt;ACPT",
'YearB-AppDetails Current Date'!S:S,"&lt;&gt;COND",
'YearB-AppDetails Current Date'!I:I,"WINTER"))), "")</f>
        <v/>
      </c>
      <c r="K182" s="73" t="str">
        <f>IFERROR(1/(1/SUM(COUNTIFS(
'YearB-AppDetails Current Date'!A:A,D182,
'YearB-AppDetails Current Date'!F:F,E182,
'YearB-AppDetails Current Date'!E:E,--F182,
'YearB-AppDetails Current Date'!R:R,"&lt;&gt;"&amp;"",
'YearB-AppDetails Current Date'!I:I,"WINTER"))), "")</f>
        <v/>
      </c>
      <c r="L182" s="74" t="str" cm="1">
        <f t="array" ref="L182">IFERROR(1/(1/SUM(COUNTIFS(
'YearB-AppDetails Current Date'!A:A,D182,
'YearB-AppDetails Current Date'!F:F,E182,
'YearB-AppDetails Current Date'!E:E,--F182,
'YearB-AppDetails Current Date'!T:T,{"APEX","DENY","NTSL"},
'YearB-AppDetails Current Date'!I:I,"WINTER"))), "")</f>
        <v/>
      </c>
      <c r="M182" s="74" t="str" cm="1">
        <f t="array" ref="M182">IFERROR(1/(1/SUM(COUNTIFS(
'YearB-AppDetails Current Date'!A:A,D182,
'YearB-AppDetails Current Date'!F:F,E182,
'YearB-AppDetails Current Date'!E:E,--F182,
'YearB-AppDetails Current Date'!U:U,{"CCAN","DECL"},
'YearB-AppDetails Current Date'!I:I,"WINTER"))), "")</f>
        <v/>
      </c>
      <c r="N182" s="74" t="str" cm="1">
        <f t="array" ref="N182">IFERROR(1/(1/SUM(COUNTIFS(
'YearB-AppDetails Current Date'!A:A,D182,
'YearB-AppDetails Current Date'!F:F,E182,
'YearB-AppDetails Current Date'!E:E,--F182,
'YearB-AppDetails Current Date'!V:V,{"APRO","NODE"},
'YearB-AppDetails Current Date'!I:I,"WINTER"))), "")</f>
        <v/>
      </c>
      <c r="O182" s="74" t="str" cm="1">
        <f t="array" ref="O182">IFERROR(1/(1/SUM(COUNTIFS(
'YearB-AppDetails Current Date'!A:A,D182,
'YearB-AppDetails Current Date'!F:F,E182,
'YearB-AppDetails Current Date'!E:E,--F182,
'YearB-AppDetails Current Date'!T:T,{"CDMT","RQMT","WAIT"},
'YearB-AppDetails Current Date'!I:I,"WINTER"))), "")</f>
        <v/>
      </c>
      <c r="P182" s="74" t="str">
        <f>IFERROR(1/(1/COUNTIFS(
'YearB-AppDetails Current Date'!A:A,D182,
'YearB-AppDetails Current Date'!F:F,E182,
'YearB-AppDetails Current Date'!E:E,--F182,
'YearB-AppDetails Current Date'!Y:Y,"ENRO",
'YearB-AppDetails Current Date'!I:I,"WINTER")),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HC'!D:T,14,FALSE)),
N(VLOOKUP(D183&amp;F183,'Budgeted Projections Intl HC'!D:T,15,FALSE))
)
),"")</f>
        <v/>
      </c>
      <c r="I183" s="73" t="str">
        <f>IFERROR(1/(1/COUNTIFS(
'YearB-AppDetails Current Date'!A:A,D183,
'YearB-AppDetails Current Date'!F:F,E183,
'YearB-AppDetails Current Date'!E:E,--F183,
'YearB-AppDetails Current Date'!I:I,"WINTER")), "")</f>
        <v/>
      </c>
      <c r="J183" s="74" t="str" cm="1">
        <f t="array" ref="J183">IFERROR(1/(1/SUM(COUNTIFS(
'YearB-AppDetails Current Date'!A:A,D183,
'YearB-AppDetails Current Date'!F:F,E183,
'YearB-AppDetails Current Date'!E:E,--F183,
'YearB-AppDetails Current Date'!O:O,{"ACLN","ACPT","COND"},
'YearB-AppDetails Current Date'!S:S,"&lt;&gt;ACLN",
'YearB-AppDetails Current Date'!S:S,"&lt;&gt;ACPT",
'YearB-AppDetails Current Date'!S:S,"&lt;&gt;COND",
'YearB-AppDetails Current Date'!I:I,"WINTER"))), "")</f>
        <v/>
      </c>
      <c r="K183" s="73" t="str">
        <f>IFERROR(1/(1/SUM(COUNTIFS(
'YearB-AppDetails Current Date'!A:A,D183,
'YearB-AppDetails Current Date'!F:F,E183,
'YearB-AppDetails Current Date'!E:E,--F183,
'YearB-AppDetails Current Date'!R:R,"&lt;&gt;"&amp;"",
'YearB-AppDetails Current Date'!I:I,"WINTER"))), "")</f>
        <v/>
      </c>
      <c r="L183" s="74" t="str" cm="1">
        <f t="array" ref="L183">IFERROR(1/(1/SUM(COUNTIFS(
'YearB-AppDetails Current Date'!A:A,D183,
'YearB-AppDetails Current Date'!F:F,E183,
'YearB-AppDetails Current Date'!E:E,--F183,
'YearB-AppDetails Current Date'!T:T,{"APEX","DENY","NTSL"},
'YearB-AppDetails Current Date'!I:I,"WINTER"))), "")</f>
        <v/>
      </c>
      <c r="M183" s="74" t="str" cm="1">
        <f t="array" ref="M183">IFERROR(1/(1/SUM(COUNTIFS(
'YearB-AppDetails Current Date'!A:A,D183,
'YearB-AppDetails Current Date'!F:F,E183,
'YearB-AppDetails Current Date'!E:E,--F183,
'YearB-AppDetails Current Date'!U:U,{"CCAN","DECL"},
'YearB-AppDetails Current Date'!I:I,"WINTER"))), "")</f>
        <v/>
      </c>
      <c r="N183" s="74" t="str" cm="1">
        <f t="array" ref="N183">IFERROR(1/(1/SUM(COUNTIFS(
'YearB-AppDetails Current Date'!A:A,D183,
'YearB-AppDetails Current Date'!F:F,E183,
'YearB-AppDetails Current Date'!E:E,--F183,
'YearB-AppDetails Current Date'!V:V,{"APRO","NODE"},
'YearB-AppDetails Current Date'!I:I,"WINTER"))), "")</f>
        <v/>
      </c>
      <c r="O183" s="74" t="str" cm="1">
        <f t="array" ref="O183">IFERROR(1/(1/SUM(COUNTIFS(
'YearB-AppDetails Current Date'!A:A,D183,
'YearB-AppDetails Current Date'!F:F,E183,
'YearB-AppDetails Current Date'!E:E,--F183,
'YearB-AppDetails Current Date'!T:T,{"CDMT","RQMT","WAIT"},
'YearB-AppDetails Current Date'!I:I,"WINTER"))), "")</f>
        <v/>
      </c>
      <c r="P183" s="74" t="str">
        <f>IFERROR(1/(1/COUNTIFS(
'YearB-AppDetails Current Date'!A:A,D183,
'YearB-AppDetails Current Date'!F:F,E183,
'YearB-AppDetails Current Date'!E:E,--F183,
'YearB-AppDetails Current Date'!Y:Y,"ENRO",
'YearB-AppDetails Current Date'!I:I,"WINTER")),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HC'!D:T,14,FALSE)),
N(VLOOKUP(D184&amp;F184,'Budgeted Projections Dom HC'!D:T,15,FALSE))
)
),"")</f>
        <v/>
      </c>
      <c r="I184" s="73" t="str">
        <f>IFERROR(1/(1/COUNTIFS(
'YearB-AppDetails Current Date'!A:A,D184,
'YearB-AppDetails Current Date'!F:F,E184,
'YearB-AppDetails Current Date'!E:E,--F184,
'YearB-AppDetails Current Date'!I:I,"WINTER")), "")</f>
        <v/>
      </c>
      <c r="J184" s="74" t="str" cm="1">
        <f t="array" ref="J184">IFERROR(1/(1/SUM(COUNTIFS(
'YearB-AppDetails Current Date'!A:A,D184,
'YearB-AppDetails Current Date'!F:F,E184,
'YearB-AppDetails Current Date'!E:E,--F184,
'YearB-AppDetails Current Date'!O:O,{"ACLN","ACPT","COND"},
'YearB-AppDetails Current Date'!S:S,"&lt;&gt;ACLN",
'YearB-AppDetails Current Date'!S:S,"&lt;&gt;ACPT",
'YearB-AppDetails Current Date'!S:S,"&lt;&gt;COND",
'YearB-AppDetails Current Date'!I:I,"WINTER"))), "")</f>
        <v/>
      </c>
      <c r="K184" s="73" t="str">
        <f>IFERROR(1/(1/SUM(COUNTIFS(
'YearB-AppDetails Current Date'!A:A,D184,
'YearB-AppDetails Current Date'!F:F,E184,
'YearB-AppDetails Current Date'!E:E,--F184,
'YearB-AppDetails Current Date'!R:R,"&lt;&gt;"&amp;"",
'YearB-AppDetails Current Date'!I:I,"WINTER"))), "")</f>
        <v/>
      </c>
      <c r="L184" s="74" t="str" cm="1">
        <f t="array" ref="L184">IFERROR(1/(1/SUM(COUNTIFS(
'YearB-AppDetails Current Date'!A:A,D184,
'YearB-AppDetails Current Date'!F:F,E184,
'YearB-AppDetails Current Date'!E:E,--F184,
'YearB-AppDetails Current Date'!T:T,{"APEX","DENY","NTSL"},
'YearB-AppDetails Current Date'!I:I,"WINTER"))), "")</f>
        <v/>
      </c>
      <c r="M184" s="74" t="str" cm="1">
        <f t="array" ref="M184">IFERROR(1/(1/SUM(COUNTIFS(
'YearB-AppDetails Current Date'!A:A,D184,
'YearB-AppDetails Current Date'!F:F,E184,
'YearB-AppDetails Current Date'!E:E,--F184,
'YearB-AppDetails Current Date'!U:U,{"CCAN","DECL"},
'YearB-AppDetails Current Date'!I:I,"WINTER"))), "")</f>
        <v/>
      </c>
      <c r="N184" s="74" t="str" cm="1">
        <f t="array" ref="N184">IFERROR(1/(1/SUM(COUNTIFS(
'YearB-AppDetails Current Date'!A:A,D184,
'YearB-AppDetails Current Date'!F:F,E184,
'YearB-AppDetails Current Date'!E:E,--F184,
'YearB-AppDetails Current Date'!V:V,{"APRO","NODE"},
'YearB-AppDetails Current Date'!I:I,"WINTER"))), "")</f>
        <v/>
      </c>
      <c r="O184" s="74" t="str" cm="1">
        <f t="array" ref="O184">IFERROR(1/(1/SUM(COUNTIFS(
'YearB-AppDetails Current Date'!A:A,D184,
'YearB-AppDetails Current Date'!F:F,E184,
'YearB-AppDetails Current Date'!E:E,--F184,
'YearB-AppDetails Current Date'!T:T,{"CDMT","RQMT","WAIT"},
'YearB-AppDetails Current Date'!I:I,"WINTER"))), "")</f>
        <v/>
      </c>
      <c r="P184" s="74" t="str">
        <f>IFERROR(1/(1/COUNTIFS(
'YearB-AppDetails Current Date'!A:A,D184,
'YearB-AppDetails Current Date'!F:F,E184,
'YearB-AppDetails Current Date'!E:E,--F184,
'YearB-AppDetails Current Date'!Y:Y,"ENRO",
'YearB-AppDetails Current Date'!I:I,"WINTER")),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HC'!D:T,14,FALSE)),
N(VLOOKUP(D185&amp;F185,'Budgeted Projections Intl HC'!D:T,15,FALSE))
)
),"")</f>
        <v/>
      </c>
      <c r="I185" s="73" t="str">
        <f>IFERROR(1/(1/COUNTIFS(
'YearB-AppDetails Current Date'!A:A,D185,
'YearB-AppDetails Current Date'!F:F,E185,
'YearB-AppDetails Current Date'!E:E,--F185,
'YearB-AppDetails Current Date'!I:I,"WINTER")), "")</f>
        <v/>
      </c>
      <c r="J185" s="74" t="str" cm="1">
        <f t="array" ref="J185">IFERROR(1/(1/SUM(COUNTIFS(
'YearB-AppDetails Current Date'!A:A,D185,
'YearB-AppDetails Current Date'!F:F,E185,
'YearB-AppDetails Current Date'!E:E,--F185,
'YearB-AppDetails Current Date'!O:O,{"ACLN","ACPT","COND"},
'YearB-AppDetails Current Date'!S:S,"&lt;&gt;ACLN",
'YearB-AppDetails Current Date'!S:S,"&lt;&gt;ACPT",
'YearB-AppDetails Current Date'!S:S,"&lt;&gt;COND",
'YearB-AppDetails Current Date'!I:I,"WINTER"))), "")</f>
        <v/>
      </c>
      <c r="K185" s="73" t="str">
        <f>IFERROR(1/(1/SUM(COUNTIFS(
'YearB-AppDetails Current Date'!A:A,D185,
'YearB-AppDetails Current Date'!F:F,E185,
'YearB-AppDetails Current Date'!E:E,--F185,
'YearB-AppDetails Current Date'!R:R,"&lt;&gt;"&amp;"",
'YearB-AppDetails Current Date'!I:I,"WINTER"))), "")</f>
        <v/>
      </c>
      <c r="L185" s="74" t="str" cm="1">
        <f t="array" ref="L185">IFERROR(1/(1/SUM(COUNTIFS(
'YearB-AppDetails Current Date'!A:A,D185,
'YearB-AppDetails Current Date'!F:F,E185,
'YearB-AppDetails Current Date'!E:E,--F185,
'YearB-AppDetails Current Date'!T:T,{"APEX","DENY","NTSL"},
'YearB-AppDetails Current Date'!I:I,"WINTER"))), "")</f>
        <v/>
      </c>
      <c r="M185" s="74" t="str" cm="1">
        <f t="array" ref="M185">IFERROR(1/(1/SUM(COUNTIFS(
'YearB-AppDetails Current Date'!A:A,D185,
'YearB-AppDetails Current Date'!F:F,E185,
'YearB-AppDetails Current Date'!E:E,--F185,
'YearB-AppDetails Current Date'!U:U,{"CCAN","DECL"},
'YearB-AppDetails Current Date'!I:I,"WINTER"))), "")</f>
        <v/>
      </c>
      <c r="N185" s="74" t="str" cm="1">
        <f t="array" ref="N185">IFERROR(1/(1/SUM(COUNTIFS(
'YearB-AppDetails Current Date'!A:A,D185,
'YearB-AppDetails Current Date'!F:F,E185,
'YearB-AppDetails Current Date'!E:E,--F185,
'YearB-AppDetails Current Date'!V:V,{"APRO","NODE"},
'YearB-AppDetails Current Date'!I:I,"WINTER"))), "")</f>
        <v/>
      </c>
      <c r="O185" s="74" t="str" cm="1">
        <f t="array" ref="O185">IFERROR(1/(1/SUM(COUNTIFS(
'YearB-AppDetails Current Date'!A:A,D185,
'YearB-AppDetails Current Date'!F:F,E185,
'YearB-AppDetails Current Date'!E:E,--F185,
'YearB-AppDetails Current Date'!T:T,{"CDMT","RQMT","WAIT"},
'YearB-AppDetails Current Date'!I:I,"WINTER"))), "")</f>
        <v/>
      </c>
      <c r="P185" s="74" t="str">
        <f>IFERROR(1/(1/COUNTIFS(
'YearB-AppDetails Current Date'!A:A,D185,
'YearB-AppDetails Current Date'!F:F,E185,
'YearB-AppDetails Current Date'!E:E,--F185,
'YearB-AppDetails Current Date'!Y:Y,"ENRO",
'YearB-AppDetails Current Date'!I:I,"WINTER")),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HC'!D:T,14,FALSE)),
N(VLOOKUP(D186&amp;F186,'Budgeted Projections Dom HC'!D:T,15,FALSE))
)
),"")</f>
        <v/>
      </c>
      <c r="I186" s="73" t="str">
        <f>IFERROR(1/(1/COUNTIFS(
'YearB-AppDetails Current Date'!A:A,D186,
'YearB-AppDetails Current Date'!F:F,E186,
'YearB-AppDetails Current Date'!E:E,--F186,
'YearB-AppDetails Current Date'!I:I,"WINTER")), "")</f>
        <v/>
      </c>
      <c r="J186" s="74" t="str" cm="1">
        <f t="array" ref="J186">IFERROR(1/(1/SUM(COUNTIFS(
'YearB-AppDetails Current Date'!A:A,D186,
'YearB-AppDetails Current Date'!F:F,E186,
'YearB-AppDetails Current Date'!E:E,--F186,
'YearB-AppDetails Current Date'!O:O,{"ACLN","ACPT","COND"},
'YearB-AppDetails Current Date'!S:S,"&lt;&gt;ACLN",
'YearB-AppDetails Current Date'!S:S,"&lt;&gt;ACPT",
'YearB-AppDetails Current Date'!S:S,"&lt;&gt;COND",
'YearB-AppDetails Current Date'!I:I,"WINTER"))), "")</f>
        <v/>
      </c>
      <c r="K186" s="73" t="str">
        <f>IFERROR(1/(1/SUM(COUNTIFS(
'YearB-AppDetails Current Date'!A:A,D186,
'YearB-AppDetails Current Date'!F:F,E186,
'YearB-AppDetails Current Date'!E:E,--F186,
'YearB-AppDetails Current Date'!R:R,"&lt;&gt;"&amp;"",
'YearB-AppDetails Current Date'!I:I,"WINTER"))), "")</f>
        <v/>
      </c>
      <c r="L186" s="74" t="str" cm="1">
        <f t="array" ref="L186">IFERROR(1/(1/SUM(COUNTIFS(
'YearB-AppDetails Current Date'!A:A,D186,
'YearB-AppDetails Current Date'!F:F,E186,
'YearB-AppDetails Current Date'!E:E,--F186,
'YearB-AppDetails Current Date'!T:T,{"APEX","DENY","NTSL"},
'YearB-AppDetails Current Date'!I:I,"WINTER"))), "")</f>
        <v/>
      </c>
      <c r="M186" s="74" t="str" cm="1">
        <f t="array" ref="M186">IFERROR(1/(1/SUM(COUNTIFS(
'YearB-AppDetails Current Date'!A:A,D186,
'YearB-AppDetails Current Date'!F:F,E186,
'YearB-AppDetails Current Date'!E:E,--F186,
'YearB-AppDetails Current Date'!U:U,{"CCAN","DECL"},
'YearB-AppDetails Current Date'!I:I,"WINTER"))), "")</f>
        <v/>
      </c>
      <c r="N186" s="74" t="str" cm="1">
        <f t="array" ref="N186">IFERROR(1/(1/SUM(COUNTIFS(
'YearB-AppDetails Current Date'!A:A,D186,
'YearB-AppDetails Current Date'!F:F,E186,
'YearB-AppDetails Current Date'!E:E,--F186,
'YearB-AppDetails Current Date'!V:V,{"APRO","NODE"},
'YearB-AppDetails Current Date'!I:I,"WINTER"))), "")</f>
        <v/>
      </c>
      <c r="O186" s="74" t="str" cm="1">
        <f t="array" ref="O186">IFERROR(1/(1/SUM(COUNTIFS(
'YearB-AppDetails Current Date'!A:A,D186,
'YearB-AppDetails Current Date'!F:F,E186,
'YearB-AppDetails Current Date'!E:E,--F186,
'YearB-AppDetails Current Date'!T:T,{"CDMT","RQMT","WAIT"},
'YearB-AppDetails Current Date'!I:I,"WINTER"))), "")</f>
        <v/>
      </c>
      <c r="P186" s="74" t="str">
        <f>IFERROR(1/(1/COUNTIFS(
'YearB-AppDetails Current Date'!A:A,D186,
'YearB-AppDetails Current Date'!F:F,E186,
'YearB-AppDetails Current Date'!E:E,--F186,
'YearB-AppDetails Current Date'!Y:Y,"ENRO",
'YearB-AppDetails Current Date'!I:I,"WINTER")),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HC'!D:T,14,FALSE)),
N(VLOOKUP(D187&amp;F187,'Budgeted Projections Intl HC'!D:T,15,FALSE))
)
),"")</f>
        <v/>
      </c>
      <c r="I187" s="73" t="str">
        <f>IFERROR(1/(1/COUNTIFS(
'YearB-AppDetails Current Date'!A:A,D187,
'YearB-AppDetails Current Date'!F:F,E187,
'YearB-AppDetails Current Date'!E:E,--F187,
'YearB-AppDetails Current Date'!I:I,"WINTER")), "")</f>
        <v/>
      </c>
      <c r="J187" s="74" t="str" cm="1">
        <f t="array" ref="J187">IFERROR(1/(1/SUM(COUNTIFS(
'YearB-AppDetails Current Date'!A:A,D187,
'YearB-AppDetails Current Date'!F:F,E187,
'YearB-AppDetails Current Date'!E:E,--F187,
'YearB-AppDetails Current Date'!O:O,{"ACLN","ACPT","COND"},
'YearB-AppDetails Current Date'!S:S,"&lt;&gt;ACLN",
'YearB-AppDetails Current Date'!S:S,"&lt;&gt;ACPT",
'YearB-AppDetails Current Date'!S:S,"&lt;&gt;COND",
'YearB-AppDetails Current Date'!I:I,"WINTER"))), "")</f>
        <v/>
      </c>
      <c r="K187" s="73" t="str">
        <f>IFERROR(1/(1/SUM(COUNTIFS(
'YearB-AppDetails Current Date'!A:A,D187,
'YearB-AppDetails Current Date'!F:F,E187,
'YearB-AppDetails Current Date'!E:E,--F187,
'YearB-AppDetails Current Date'!R:R,"&lt;&gt;"&amp;"",
'YearB-AppDetails Current Date'!I:I,"WINTER"))), "")</f>
        <v/>
      </c>
      <c r="L187" s="74" t="str" cm="1">
        <f t="array" ref="L187">IFERROR(1/(1/SUM(COUNTIFS(
'YearB-AppDetails Current Date'!A:A,D187,
'YearB-AppDetails Current Date'!F:F,E187,
'YearB-AppDetails Current Date'!E:E,--F187,
'YearB-AppDetails Current Date'!T:T,{"APEX","DENY","NTSL"},
'YearB-AppDetails Current Date'!I:I,"WINTER"))), "")</f>
        <v/>
      </c>
      <c r="M187" s="74" t="str" cm="1">
        <f t="array" ref="M187">IFERROR(1/(1/SUM(COUNTIFS(
'YearB-AppDetails Current Date'!A:A,D187,
'YearB-AppDetails Current Date'!F:F,E187,
'YearB-AppDetails Current Date'!E:E,--F187,
'YearB-AppDetails Current Date'!U:U,{"CCAN","DECL"},
'YearB-AppDetails Current Date'!I:I,"WINTER"))), "")</f>
        <v/>
      </c>
      <c r="N187" s="74" t="str" cm="1">
        <f t="array" ref="N187">IFERROR(1/(1/SUM(COUNTIFS(
'YearB-AppDetails Current Date'!A:A,D187,
'YearB-AppDetails Current Date'!F:F,E187,
'YearB-AppDetails Current Date'!E:E,--F187,
'YearB-AppDetails Current Date'!V:V,{"APRO","NODE"},
'YearB-AppDetails Current Date'!I:I,"WINTER"))), "")</f>
        <v/>
      </c>
      <c r="O187" s="74" t="str" cm="1">
        <f t="array" ref="O187">IFERROR(1/(1/SUM(COUNTIFS(
'YearB-AppDetails Current Date'!A:A,D187,
'YearB-AppDetails Current Date'!F:F,E187,
'YearB-AppDetails Current Date'!E:E,--F187,
'YearB-AppDetails Current Date'!T:T,{"CDMT","RQMT","WAIT"},
'YearB-AppDetails Current Date'!I:I,"WINTER"))), "")</f>
        <v/>
      </c>
      <c r="P187" s="74" t="str">
        <f>IFERROR(1/(1/COUNTIFS(
'YearB-AppDetails Current Date'!A:A,D187,
'YearB-AppDetails Current Date'!F:F,E187,
'YearB-AppDetails Current Date'!E:E,--F187,
'YearB-AppDetails Current Date'!Y:Y,"ENRO",
'YearB-AppDetails Current Date'!I:I,"WINTER")),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HC'!D:T,14,FALSE)),
N(VLOOKUP(D188&amp;F188,'Budgeted Projections Dom HC'!D:T,15,FALSE))
)
),"")</f>
        <v/>
      </c>
      <c r="I188" s="73" t="str">
        <f>IFERROR(1/(1/COUNTIFS(
'YearB-AppDetails Current Date'!A:A,D188,
'YearB-AppDetails Current Date'!F:F,E188,
'YearB-AppDetails Current Date'!E:E,--F188,
'YearB-AppDetails Current Date'!I:I,"WINTER")), "")</f>
        <v/>
      </c>
      <c r="J188" s="74" t="str" cm="1">
        <f t="array" ref="J188">IFERROR(1/(1/SUM(COUNTIFS(
'YearB-AppDetails Current Date'!A:A,D188,
'YearB-AppDetails Current Date'!F:F,E188,
'YearB-AppDetails Current Date'!E:E,--F188,
'YearB-AppDetails Current Date'!O:O,{"ACLN","ACPT","COND"},
'YearB-AppDetails Current Date'!S:S,"&lt;&gt;ACLN",
'YearB-AppDetails Current Date'!S:S,"&lt;&gt;ACPT",
'YearB-AppDetails Current Date'!S:S,"&lt;&gt;COND",
'YearB-AppDetails Current Date'!I:I,"WINTER"))), "")</f>
        <v/>
      </c>
      <c r="K188" s="73" t="str">
        <f>IFERROR(1/(1/SUM(COUNTIFS(
'YearB-AppDetails Current Date'!A:A,D188,
'YearB-AppDetails Current Date'!F:F,E188,
'YearB-AppDetails Current Date'!E:E,--F188,
'YearB-AppDetails Current Date'!R:R,"&lt;&gt;"&amp;"",
'YearB-AppDetails Current Date'!I:I,"WINTER"))), "")</f>
        <v/>
      </c>
      <c r="L188" s="74" t="str" cm="1">
        <f t="array" ref="L188">IFERROR(1/(1/SUM(COUNTIFS(
'YearB-AppDetails Current Date'!A:A,D188,
'YearB-AppDetails Current Date'!F:F,E188,
'YearB-AppDetails Current Date'!E:E,--F188,
'YearB-AppDetails Current Date'!T:T,{"APEX","DENY","NTSL"},
'YearB-AppDetails Current Date'!I:I,"WINTER"))), "")</f>
        <v/>
      </c>
      <c r="M188" s="74" t="str" cm="1">
        <f t="array" ref="M188">IFERROR(1/(1/SUM(COUNTIFS(
'YearB-AppDetails Current Date'!A:A,D188,
'YearB-AppDetails Current Date'!F:F,E188,
'YearB-AppDetails Current Date'!E:E,--F188,
'YearB-AppDetails Current Date'!U:U,{"CCAN","DECL"},
'YearB-AppDetails Current Date'!I:I,"WINTER"))), "")</f>
        <v/>
      </c>
      <c r="N188" s="74" t="str" cm="1">
        <f t="array" ref="N188">IFERROR(1/(1/SUM(COUNTIFS(
'YearB-AppDetails Current Date'!A:A,D188,
'YearB-AppDetails Current Date'!F:F,E188,
'YearB-AppDetails Current Date'!E:E,--F188,
'YearB-AppDetails Current Date'!V:V,{"APRO","NODE"},
'YearB-AppDetails Current Date'!I:I,"WINTER"))), "")</f>
        <v/>
      </c>
      <c r="O188" s="74" t="str" cm="1">
        <f t="array" ref="O188">IFERROR(1/(1/SUM(COUNTIFS(
'YearB-AppDetails Current Date'!A:A,D188,
'YearB-AppDetails Current Date'!F:F,E188,
'YearB-AppDetails Current Date'!E:E,--F188,
'YearB-AppDetails Current Date'!T:T,{"CDMT","RQMT","WAIT"},
'YearB-AppDetails Current Date'!I:I,"WINTER"))), "")</f>
        <v/>
      </c>
      <c r="P188" s="74" t="str">
        <f>IFERROR(1/(1/COUNTIFS(
'YearB-AppDetails Current Date'!A:A,D188,
'YearB-AppDetails Current Date'!F:F,E188,
'YearB-AppDetails Current Date'!E:E,--F188,
'YearB-AppDetails Current Date'!Y:Y,"ENRO",
'YearB-AppDetails Current Date'!I:I,"WINTER")),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HC'!D:T,14,FALSE)),
N(VLOOKUP(D189&amp;F189,'Budgeted Projections Intl HC'!D:T,15,FALSE))
)
),"")</f>
        <v/>
      </c>
      <c r="I189" s="73" t="str">
        <f>IFERROR(1/(1/COUNTIFS(
'YearB-AppDetails Current Date'!A:A,D189,
'YearB-AppDetails Current Date'!F:F,E189,
'YearB-AppDetails Current Date'!E:E,--F189,
'YearB-AppDetails Current Date'!I:I,"WINTER")), "")</f>
        <v/>
      </c>
      <c r="J189" s="74" t="str" cm="1">
        <f t="array" ref="J189">IFERROR(1/(1/SUM(COUNTIFS(
'YearB-AppDetails Current Date'!A:A,D189,
'YearB-AppDetails Current Date'!F:F,E189,
'YearB-AppDetails Current Date'!E:E,--F189,
'YearB-AppDetails Current Date'!O:O,{"ACLN","ACPT","COND"},
'YearB-AppDetails Current Date'!S:S,"&lt;&gt;ACLN",
'YearB-AppDetails Current Date'!S:S,"&lt;&gt;ACPT",
'YearB-AppDetails Current Date'!S:S,"&lt;&gt;COND",
'YearB-AppDetails Current Date'!I:I,"WINTER"))), "")</f>
        <v/>
      </c>
      <c r="K189" s="73" t="str">
        <f>IFERROR(1/(1/SUM(COUNTIFS(
'YearB-AppDetails Current Date'!A:A,D189,
'YearB-AppDetails Current Date'!F:F,E189,
'YearB-AppDetails Current Date'!E:E,--F189,
'YearB-AppDetails Current Date'!R:R,"&lt;&gt;"&amp;"",
'YearB-AppDetails Current Date'!I:I,"WINTER"))), "")</f>
        <v/>
      </c>
      <c r="L189" s="74" t="str" cm="1">
        <f t="array" ref="L189">IFERROR(1/(1/SUM(COUNTIFS(
'YearB-AppDetails Current Date'!A:A,D189,
'YearB-AppDetails Current Date'!F:F,E189,
'YearB-AppDetails Current Date'!E:E,--F189,
'YearB-AppDetails Current Date'!T:T,{"APEX","DENY","NTSL"},
'YearB-AppDetails Current Date'!I:I,"WINTER"))), "")</f>
        <v/>
      </c>
      <c r="M189" s="74" t="str" cm="1">
        <f t="array" ref="M189">IFERROR(1/(1/SUM(COUNTIFS(
'YearB-AppDetails Current Date'!A:A,D189,
'YearB-AppDetails Current Date'!F:F,E189,
'YearB-AppDetails Current Date'!E:E,--F189,
'YearB-AppDetails Current Date'!U:U,{"CCAN","DECL"},
'YearB-AppDetails Current Date'!I:I,"WINTER"))), "")</f>
        <v/>
      </c>
      <c r="N189" s="74" t="str" cm="1">
        <f t="array" ref="N189">IFERROR(1/(1/SUM(COUNTIFS(
'YearB-AppDetails Current Date'!A:A,D189,
'YearB-AppDetails Current Date'!F:F,E189,
'YearB-AppDetails Current Date'!E:E,--F189,
'YearB-AppDetails Current Date'!V:V,{"APRO","NODE"},
'YearB-AppDetails Current Date'!I:I,"WINTER"))), "")</f>
        <v/>
      </c>
      <c r="O189" s="74" t="str" cm="1">
        <f t="array" ref="O189">IFERROR(1/(1/SUM(COUNTIFS(
'YearB-AppDetails Current Date'!A:A,D189,
'YearB-AppDetails Current Date'!F:F,E189,
'YearB-AppDetails Current Date'!E:E,--F189,
'YearB-AppDetails Current Date'!T:T,{"CDMT","RQMT","WAIT"},
'YearB-AppDetails Current Date'!I:I,"WINTER"))), "")</f>
        <v/>
      </c>
      <c r="P189" s="74" t="str">
        <f>IFERROR(1/(1/COUNTIFS(
'YearB-AppDetails Current Date'!A:A,D189,
'YearB-AppDetails Current Date'!F:F,E189,
'YearB-AppDetails Current Date'!E:E,--F189,
'YearB-AppDetails Current Date'!Y:Y,"ENRO",
'YearB-AppDetails Current Date'!I:I,"WINTER")),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HC'!D:T,14,FALSE)),
N(VLOOKUP(D190&amp;F190,'Budgeted Projections Dom HC'!D:T,15,FALSE))
)
),"")</f>
        <v/>
      </c>
      <c r="I190" s="73" t="str">
        <f>IFERROR(1/(1/COUNTIFS(
'YearB-AppDetails Current Date'!A:A,D190,
'YearB-AppDetails Current Date'!F:F,E190,
'YearB-AppDetails Current Date'!E:E,--F190,
'YearB-AppDetails Current Date'!I:I,"WINTER")), "")</f>
        <v/>
      </c>
      <c r="J190" s="74" t="str" cm="1">
        <f t="array" ref="J190">IFERROR(1/(1/SUM(COUNTIFS(
'YearB-AppDetails Current Date'!A:A,D190,
'YearB-AppDetails Current Date'!F:F,E190,
'YearB-AppDetails Current Date'!E:E,--F190,
'YearB-AppDetails Current Date'!O:O,{"ACLN","ACPT","COND"},
'YearB-AppDetails Current Date'!S:S,"&lt;&gt;ACLN",
'YearB-AppDetails Current Date'!S:S,"&lt;&gt;ACPT",
'YearB-AppDetails Current Date'!S:S,"&lt;&gt;COND",
'YearB-AppDetails Current Date'!I:I,"WINTER"))), "")</f>
        <v/>
      </c>
      <c r="K190" s="73" t="str">
        <f>IFERROR(1/(1/SUM(COUNTIFS(
'YearB-AppDetails Current Date'!A:A,D190,
'YearB-AppDetails Current Date'!F:F,E190,
'YearB-AppDetails Current Date'!E:E,--F190,
'YearB-AppDetails Current Date'!R:R,"&lt;&gt;"&amp;"",
'YearB-AppDetails Current Date'!I:I,"WINTER"))), "")</f>
        <v/>
      </c>
      <c r="L190" s="74" t="str" cm="1">
        <f t="array" ref="L190">IFERROR(1/(1/SUM(COUNTIFS(
'YearB-AppDetails Current Date'!A:A,D190,
'YearB-AppDetails Current Date'!F:F,E190,
'YearB-AppDetails Current Date'!E:E,--F190,
'YearB-AppDetails Current Date'!T:T,{"APEX","DENY","NTSL"},
'YearB-AppDetails Current Date'!I:I,"WINTER"))), "")</f>
        <v/>
      </c>
      <c r="M190" s="74" t="str" cm="1">
        <f t="array" ref="M190">IFERROR(1/(1/SUM(COUNTIFS(
'YearB-AppDetails Current Date'!A:A,D190,
'YearB-AppDetails Current Date'!F:F,E190,
'YearB-AppDetails Current Date'!E:E,--F190,
'YearB-AppDetails Current Date'!U:U,{"CCAN","DECL"},
'YearB-AppDetails Current Date'!I:I,"WINTER"))), "")</f>
        <v/>
      </c>
      <c r="N190" s="74" t="str" cm="1">
        <f t="array" ref="N190">IFERROR(1/(1/SUM(COUNTIFS(
'YearB-AppDetails Current Date'!A:A,D190,
'YearB-AppDetails Current Date'!F:F,E190,
'YearB-AppDetails Current Date'!E:E,--F190,
'YearB-AppDetails Current Date'!V:V,{"APRO","NODE"},
'YearB-AppDetails Current Date'!I:I,"WINTER"))), "")</f>
        <v/>
      </c>
      <c r="O190" s="74" t="str" cm="1">
        <f t="array" ref="O190">IFERROR(1/(1/SUM(COUNTIFS(
'YearB-AppDetails Current Date'!A:A,D190,
'YearB-AppDetails Current Date'!F:F,E190,
'YearB-AppDetails Current Date'!E:E,--F190,
'YearB-AppDetails Current Date'!T:T,{"CDMT","RQMT","WAIT"},
'YearB-AppDetails Current Date'!I:I,"WINTER"))), "")</f>
        <v/>
      </c>
      <c r="P190" s="74" t="str">
        <f>IFERROR(1/(1/COUNTIFS(
'YearB-AppDetails Current Date'!A:A,D190,
'YearB-AppDetails Current Date'!F:F,E190,
'YearB-AppDetails Current Date'!E:E,--F190,
'YearB-AppDetails Current Date'!Y:Y,"ENRO",
'YearB-AppDetails Current Date'!I:I,"WINTER")),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HC'!D:T,14,FALSE)),
N(VLOOKUP(D191&amp;F191,'Budgeted Projections Intl HC'!D:T,15,FALSE))
)
),"")</f>
        <v/>
      </c>
      <c r="I191" s="73" t="str">
        <f>IFERROR(1/(1/COUNTIFS(
'YearB-AppDetails Current Date'!A:A,D191,
'YearB-AppDetails Current Date'!F:F,E191,
'YearB-AppDetails Current Date'!E:E,--F191,
'YearB-AppDetails Current Date'!I:I,"WINTER")), "")</f>
        <v/>
      </c>
      <c r="J191" s="74" t="str" cm="1">
        <f t="array" ref="J191">IFERROR(1/(1/SUM(COUNTIFS(
'YearB-AppDetails Current Date'!A:A,D191,
'YearB-AppDetails Current Date'!F:F,E191,
'YearB-AppDetails Current Date'!E:E,--F191,
'YearB-AppDetails Current Date'!O:O,{"ACLN","ACPT","COND"},
'YearB-AppDetails Current Date'!S:S,"&lt;&gt;ACLN",
'YearB-AppDetails Current Date'!S:S,"&lt;&gt;ACPT",
'YearB-AppDetails Current Date'!S:S,"&lt;&gt;COND",
'YearB-AppDetails Current Date'!I:I,"WINTER"))), "")</f>
        <v/>
      </c>
      <c r="K191" s="73" t="str">
        <f>IFERROR(1/(1/SUM(COUNTIFS(
'YearB-AppDetails Current Date'!A:A,D191,
'YearB-AppDetails Current Date'!F:F,E191,
'YearB-AppDetails Current Date'!E:E,--F191,
'YearB-AppDetails Current Date'!R:R,"&lt;&gt;"&amp;"",
'YearB-AppDetails Current Date'!I:I,"WINTER"))), "")</f>
        <v/>
      </c>
      <c r="L191" s="74" t="str" cm="1">
        <f t="array" ref="L191">IFERROR(1/(1/SUM(COUNTIFS(
'YearB-AppDetails Current Date'!A:A,D191,
'YearB-AppDetails Current Date'!F:F,E191,
'YearB-AppDetails Current Date'!E:E,--F191,
'YearB-AppDetails Current Date'!T:T,{"APEX","DENY","NTSL"},
'YearB-AppDetails Current Date'!I:I,"WINTER"))), "")</f>
        <v/>
      </c>
      <c r="M191" s="74" t="str" cm="1">
        <f t="array" ref="M191">IFERROR(1/(1/SUM(COUNTIFS(
'YearB-AppDetails Current Date'!A:A,D191,
'YearB-AppDetails Current Date'!F:F,E191,
'YearB-AppDetails Current Date'!E:E,--F191,
'YearB-AppDetails Current Date'!U:U,{"CCAN","DECL"},
'YearB-AppDetails Current Date'!I:I,"WINTER"))), "")</f>
        <v/>
      </c>
      <c r="N191" s="74" t="str" cm="1">
        <f t="array" ref="N191">IFERROR(1/(1/SUM(COUNTIFS(
'YearB-AppDetails Current Date'!A:A,D191,
'YearB-AppDetails Current Date'!F:F,E191,
'YearB-AppDetails Current Date'!E:E,--F191,
'YearB-AppDetails Current Date'!V:V,{"APRO","NODE"},
'YearB-AppDetails Current Date'!I:I,"WINTER"))), "")</f>
        <v/>
      </c>
      <c r="O191" s="74" t="str" cm="1">
        <f t="array" ref="O191">IFERROR(1/(1/SUM(COUNTIFS(
'YearB-AppDetails Current Date'!A:A,D191,
'YearB-AppDetails Current Date'!F:F,E191,
'YearB-AppDetails Current Date'!E:E,--F191,
'YearB-AppDetails Current Date'!T:T,{"CDMT","RQMT","WAIT"},
'YearB-AppDetails Current Date'!I:I,"WINTER"))), "")</f>
        <v/>
      </c>
      <c r="P191" s="74" t="str">
        <f>IFERROR(1/(1/COUNTIFS(
'YearB-AppDetails Current Date'!A:A,D191,
'YearB-AppDetails Current Date'!F:F,E191,
'YearB-AppDetails Current Date'!E:E,--F191,
'YearB-AppDetails Current Date'!Y:Y,"ENRO",
'YearB-AppDetails Current Date'!I:I,"WINTER")),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HC'!D:T,14,FALSE)),
N(VLOOKUP(D192&amp;F192,'Budgeted Projections Dom HC'!D:T,15,FALSE))
)
),"")</f>
        <v/>
      </c>
      <c r="I192" s="73" t="str">
        <f>IFERROR(1/(1/COUNTIFS(
'YearB-AppDetails Current Date'!A:A,D192,
'YearB-AppDetails Current Date'!F:F,E192,
'YearB-AppDetails Current Date'!E:E,--F192,
'YearB-AppDetails Current Date'!I:I,"WINTER")), "")</f>
        <v/>
      </c>
      <c r="J192" s="74" t="str" cm="1">
        <f t="array" ref="J192">IFERROR(1/(1/SUM(COUNTIFS(
'YearB-AppDetails Current Date'!A:A,D192,
'YearB-AppDetails Current Date'!F:F,E192,
'YearB-AppDetails Current Date'!E:E,--F192,
'YearB-AppDetails Current Date'!O:O,{"ACLN","ACPT","COND"},
'YearB-AppDetails Current Date'!S:S,"&lt;&gt;ACLN",
'YearB-AppDetails Current Date'!S:S,"&lt;&gt;ACPT",
'YearB-AppDetails Current Date'!S:S,"&lt;&gt;COND",
'YearB-AppDetails Current Date'!I:I,"WINTER"))), "")</f>
        <v/>
      </c>
      <c r="K192" s="73" t="str">
        <f>IFERROR(1/(1/SUM(COUNTIFS(
'YearB-AppDetails Current Date'!A:A,D192,
'YearB-AppDetails Current Date'!F:F,E192,
'YearB-AppDetails Current Date'!E:E,--F192,
'YearB-AppDetails Current Date'!R:R,"&lt;&gt;"&amp;"",
'YearB-AppDetails Current Date'!I:I,"WINTER"))), "")</f>
        <v/>
      </c>
      <c r="L192" s="74" t="str" cm="1">
        <f t="array" ref="L192">IFERROR(1/(1/SUM(COUNTIFS(
'YearB-AppDetails Current Date'!A:A,D192,
'YearB-AppDetails Current Date'!F:F,E192,
'YearB-AppDetails Current Date'!E:E,--F192,
'YearB-AppDetails Current Date'!T:T,{"APEX","DENY","NTSL"},
'YearB-AppDetails Current Date'!I:I,"WINTER"))), "")</f>
        <v/>
      </c>
      <c r="M192" s="74" t="str" cm="1">
        <f t="array" ref="M192">IFERROR(1/(1/SUM(COUNTIFS(
'YearB-AppDetails Current Date'!A:A,D192,
'YearB-AppDetails Current Date'!F:F,E192,
'YearB-AppDetails Current Date'!E:E,--F192,
'YearB-AppDetails Current Date'!U:U,{"CCAN","DECL"},
'YearB-AppDetails Current Date'!I:I,"WINTER"))), "")</f>
        <v/>
      </c>
      <c r="N192" s="74" t="str" cm="1">
        <f t="array" ref="N192">IFERROR(1/(1/SUM(COUNTIFS(
'YearB-AppDetails Current Date'!A:A,D192,
'YearB-AppDetails Current Date'!F:F,E192,
'YearB-AppDetails Current Date'!E:E,--F192,
'YearB-AppDetails Current Date'!V:V,{"APRO","NODE"},
'YearB-AppDetails Current Date'!I:I,"WINTER"))), "")</f>
        <v/>
      </c>
      <c r="O192" s="74" t="str" cm="1">
        <f t="array" ref="O192">IFERROR(1/(1/SUM(COUNTIFS(
'YearB-AppDetails Current Date'!A:A,D192,
'YearB-AppDetails Current Date'!F:F,E192,
'YearB-AppDetails Current Date'!E:E,--F192,
'YearB-AppDetails Current Date'!T:T,{"CDMT","RQMT","WAIT"},
'YearB-AppDetails Current Date'!I:I,"WINTER"))), "")</f>
        <v/>
      </c>
      <c r="P192" s="74" t="str">
        <f>IFERROR(1/(1/COUNTIFS(
'YearB-AppDetails Current Date'!A:A,D192,
'YearB-AppDetails Current Date'!F:F,E192,
'YearB-AppDetails Current Date'!E:E,--F192,
'YearB-AppDetails Current Date'!Y:Y,"ENRO",
'YearB-AppDetails Current Date'!I:I,"WINTER")),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HC'!D:T,14,FALSE)),
N(VLOOKUP(D193&amp;F193,'Budgeted Projections Intl HC'!D:T,15,FALSE))
)
),"")</f>
        <v/>
      </c>
      <c r="I193" s="73" t="str">
        <f>IFERROR(1/(1/COUNTIFS(
'YearB-AppDetails Current Date'!A:A,D193,
'YearB-AppDetails Current Date'!F:F,E193,
'YearB-AppDetails Current Date'!E:E,--F193,
'YearB-AppDetails Current Date'!I:I,"WINTER")), "")</f>
        <v/>
      </c>
      <c r="J193" s="74" t="str" cm="1">
        <f t="array" ref="J193">IFERROR(1/(1/SUM(COUNTIFS(
'YearB-AppDetails Current Date'!A:A,D193,
'YearB-AppDetails Current Date'!F:F,E193,
'YearB-AppDetails Current Date'!E:E,--F193,
'YearB-AppDetails Current Date'!O:O,{"ACLN","ACPT","COND"},
'YearB-AppDetails Current Date'!S:S,"&lt;&gt;ACLN",
'YearB-AppDetails Current Date'!S:S,"&lt;&gt;ACPT",
'YearB-AppDetails Current Date'!S:S,"&lt;&gt;COND",
'YearB-AppDetails Current Date'!I:I,"WINTER"))), "")</f>
        <v/>
      </c>
      <c r="K193" s="73" t="str">
        <f>IFERROR(1/(1/SUM(COUNTIFS(
'YearB-AppDetails Current Date'!A:A,D193,
'YearB-AppDetails Current Date'!F:F,E193,
'YearB-AppDetails Current Date'!E:E,--F193,
'YearB-AppDetails Current Date'!R:R,"&lt;&gt;"&amp;"",
'YearB-AppDetails Current Date'!I:I,"WINTER"))), "")</f>
        <v/>
      </c>
      <c r="L193" s="74" t="str" cm="1">
        <f t="array" ref="L193">IFERROR(1/(1/SUM(COUNTIFS(
'YearB-AppDetails Current Date'!A:A,D193,
'YearB-AppDetails Current Date'!F:F,E193,
'YearB-AppDetails Current Date'!E:E,--F193,
'YearB-AppDetails Current Date'!T:T,{"APEX","DENY","NTSL"},
'YearB-AppDetails Current Date'!I:I,"WINTER"))), "")</f>
        <v/>
      </c>
      <c r="M193" s="74" t="str" cm="1">
        <f t="array" ref="M193">IFERROR(1/(1/SUM(COUNTIFS(
'YearB-AppDetails Current Date'!A:A,D193,
'YearB-AppDetails Current Date'!F:F,E193,
'YearB-AppDetails Current Date'!E:E,--F193,
'YearB-AppDetails Current Date'!U:U,{"CCAN","DECL"},
'YearB-AppDetails Current Date'!I:I,"WINTER"))), "")</f>
        <v/>
      </c>
      <c r="N193" s="74" t="str" cm="1">
        <f t="array" ref="N193">IFERROR(1/(1/SUM(COUNTIFS(
'YearB-AppDetails Current Date'!A:A,D193,
'YearB-AppDetails Current Date'!F:F,E193,
'YearB-AppDetails Current Date'!E:E,--F193,
'YearB-AppDetails Current Date'!V:V,{"APRO","NODE"},
'YearB-AppDetails Current Date'!I:I,"WINTER"))), "")</f>
        <v/>
      </c>
      <c r="O193" s="74" t="str" cm="1">
        <f t="array" ref="O193">IFERROR(1/(1/SUM(COUNTIFS(
'YearB-AppDetails Current Date'!A:A,D193,
'YearB-AppDetails Current Date'!F:F,E193,
'YearB-AppDetails Current Date'!E:E,--F193,
'YearB-AppDetails Current Date'!T:T,{"CDMT","RQMT","WAIT"},
'YearB-AppDetails Current Date'!I:I,"WINTER"))), "")</f>
        <v/>
      </c>
      <c r="P193" s="74" t="str">
        <f>IFERROR(1/(1/COUNTIFS(
'YearB-AppDetails Current Date'!A:A,D193,
'YearB-AppDetails Current Date'!F:F,E193,
'YearB-AppDetails Current Date'!E:E,--F193,
'YearB-AppDetails Current Date'!Y:Y,"ENRO",
'YearB-AppDetails Current Date'!I:I,"WINTER")),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HC'!D:T,14,FALSE)),
N(VLOOKUP(D195&amp;F195,'Budgeted Projections Dom HC'!D:T,15,FALSE))
)
),"")</f>
        <v/>
      </c>
      <c r="I195" s="73" t="str">
        <f>IFERROR(1/(1/COUNTIFS(
'YearB-AppDetails Current Date'!A:A,D195,
'YearB-AppDetails Current Date'!F:F,E195,
'YearB-AppDetails Current Date'!E:E,--F195,
'YearB-AppDetails Current Date'!I:I,"WINTER")), "")</f>
        <v/>
      </c>
      <c r="J195" s="74" t="str" cm="1">
        <f t="array" ref="J195">IFERROR(1/(1/SUM(COUNTIFS(
'YearB-AppDetails Current Date'!A:A,D195,
'YearB-AppDetails Current Date'!F:F,E195,
'YearB-AppDetails Current Date'!E:E,--F195,
'YearB-AppDetails Current Date'!O:O,{"ACLN","ACPT","COND"},
'YearB-AppDetails Current Date'!S:S,"&lt;&gt;ACLN",
'YearB-AppDetails Current Date'!S:S,"&lt;&gt;ACPT",
'YearB-AppDetails Current Date'!S:S,"&lt;&gt;COND",
'YearB-AppDetails Current Date'!I:I,"WINTER"))), "")</f>
        <v/>
      </c>
      <c r="K195" s="73" t="str">
        <f>IFERROR(1/(1/SUM(COUNTIFS(
'YearB-AppDetails Current Date'!A:A,D195,
'YearB-AppDetails Current Date'!F:F,E195,
'YearB-AppDetails Current Date'!E:E,--F195,
'YearB-AppDetails Current Date'!R:R,"&lt;&gt;"&amp;"",
'YearB-AppDetails Current Date'!I:I,"WINTER"))), "")</f>
        <v/>
      </c>
      <c r="L195" s="74" t="str" cm="1">
        <f t="array" ref="L195">IFERROR(1/(1/SUM(COUNTIFS(
'YearB-AppDetails Current Date'!A:A,D195,
'YearB-AppDetails Current Date'!F:F,E195,
'YearB-AppDetails Current Date'!E:E,--F195,
'YearB-AppDetails Current Date'!T:T,{"APEX","DENY","NTSL"},
'YearB-AppDetails Current Date'!I:I,"WINTER"))), "")</f>
        <v/>
      </c>
      <c r="M195" s="74" t="str" cm="1">
        <f t="array" ref="M195">IFERROR(1/(1/SUM(COUNTIFS(
'YearB-AppDetails Current Date'!A:A,D195,
'YearB-AppDetails Current Date'!F:F,E195,
'YearB-AppDetails Current Date'!E:E,--F195,
'YearB-AppDetails Current Date'!U:U,{"CCAN","DECL"},
'YearB-AppDetails Current Date'!I:I,"WINTER"))), "")</f>
        <v/>
      </c>
      <c r="N195" s="74" t="str" cm="1">
        <f t="array" ref="N195">IFERROR(1/(1/SUM(COUNTIFS(
'YearB-AppDetails Current Date'!A:A,D195,
'YearB-AppDetails Current Date'!F:F,E195,
'YearB-AppDetails Current Date'!E:E,--F195,
'YearB-AppDetails Current Date'!V:V,{"APRO","NODE"},
'YearB-AppDetails Current Date'!I:I,"WINTER"))), "")</f>
        <v/>
      </c>
      <c r="O195" s="74" t="str" cm="1">
        <f t="array" ref="O195">IFERROR(1/(1/SUM(COUNTIFS(
'YearB-AppDetails Current Date'!A:A,D195,
'YearB-AppDetails Current Date'!F:F,E195,
'YearB-AppDetails Current Date'!E:E,--F195,
'YearB-AppDetails Current Date'!T:T,{"CDMT","RQMT","WAIT"},
'YearB-AppDetails Current Date'!I:I,"WINTER"))), "")</f>
        <v/>
      </c>
      <c r="P195" s="74" t="str">
        <f>IFERROR(1/(1/COUNTIFS(
'YearB-AppDetails Current Date'!A:A,D195,
'YearB-AppDetails Current Date'!F:F,E195,
'YearB-AppDetails Current Date'!E:E,--F195,
'YearB-AppDetails Current Date'!Y:Y,"ENRO",
'YearB-AppDetails Current Date'!I:I,"WINTER")),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HC'!D:T,14,FALSE)),
N(VLOOKUP(D196&amp;F196,'Budgeted Projections Intl HC'!D:T,15,FALSE))
)
),"")</f>
        <v/>
      </c>
      <c r="I196" s="73" t="str">
        <f>IFERROR(1/(1/COUNTIFS(
'YearB-AppDetails Current Date'!A:A,D196,
'YearB-AppDetails Current Date'!F:F,E196,
'YearB-AppDetails Current Date'!E:E,--F196,
'YearB-AppDetails Current Date'!I:I,"WINTER")), "")</f>
        <v/>
      </c>
      <c r="J196" s="74" t="str" cm="1">
        <f t="array" ref="J196">IFERROR(1/(1/SUM(COUNTIFS(
'YearB-AppDetails Current Date'!A:A,D196,
'YearB-AppDetails Current Date'!F:F,E196,
'YearB-AppDetails Current Date'!E:E,--F196,
'YearB-AppDetails Current Date'!O:O,{"ACLN","ACPT","COND"},
'YearB-AppDetails Current Date'!S:S,"&lt;&gt;ACLN",
'YearB-AppDetails Current Date'!S:S,"&lt;&gt;ACPT",
'YearB-AppDetails Current Date'!S:S,"&lt;&gt;COND",
'YearB-AppDetails Current Date'!I:I,"WINTER"))), "")</f>
        <v/>
      </c>
      <c r="K196" s="73" t="str">
        <f>IFERROR(1/(1/SUM(COUNTIFS(
'YearB-AppDetails Current Date'!A:A,D196,
'YearB-AppDetails Current Date'!F:F,E196,
'YearB-AppDetails Current Date'!E:E,--F196,
'YearB-AppDetails Current Date'!R:R,"&lt;&gt;"&amp;"",
'YearB-AppDetails Current Date'!I:I,"WINTER"))), "")</f>
        <v/>
      </c>
      <c r="L196" s="74" t="str" cm="1">
        <f t="array" ref="L196">IFERROR(1/(1/SUM(COUNTIFS(
'YearB-AppDetails Current Date'!A:A,D196,
'YearB-AppDetails Current Date'!F:F,E196,
'YearB-AppDetails Current Date'!E:E,--F196,
'YearB-AppDetails Current Date'!T:T,{"APEX","DENY","NTSL"},
'YearB-AppDetails Current Date'!I:I,"WINTER"))), "")</f>
        <v/>
      </c>
      <c r="M196" s="74" t="str" cm="1">
        <f t="array" ref="M196">IFERROR(1/(1/SUM(COUNTIFS(
'YearB-AppDetails Current Date'!A:A,D196,
'YearB-AppDetails Current Date'!F:F,E196,
'YearB-AppDetails Current Date'!E:E,--F196,
'YearB-AppDetails Current Date'!U:U,{"CCAN","DECL"},
'YearB-AppDetails Current Date'!I:I,"WINTER"))), "")</f>
        <v/>
      </c>
      <c r="N196" s="74" t="str" cm="1">
        <f t="array" ref="N196">IFERROR(1/(1/SUM(COUNTIFS(
'YearB-AppDetails Current Date'!A:A,D196,
'YearB-AppDetails Current Date'!F:F,E196,
'YearB-AppDetails Current Date'!E:E,--F196,
'YearB-AppDetails Current Date'!V:V,{"APRO","NODE"},
'YearB-AppDetails Current Date'!I:I,"WINTER"))), "")</f>
        <v/>
      </c>
      <c r="O196" s="74" t="str" cm="1">
        <f t="array" ref="O196">IFERROR(1/(1/SUM(COUNTIFS(
'YearB-AppDetails Current Date'!A:A,D196,
'YearB-AppDetails Current Date'!F:F,E196,
'YearB-AppDetails Current Date'!E:E,--F196,
'YearB-AppDetails Current Date'!T:T,{"CDMT","RQMT","WAIT"},
'YearB-AppDetails Current Date'!I:I,"WINTER"))), "")</f>
        <v/>
      </c>
      <c r="P196" s="74" t="str">
        <f>IFERROR(1/(1/COUNTIFS(
'YearB-AppDetails Current Date'!A:A,D196,
'YearB-AppDetails Current Date'!F:F,E196,
'YearB-AppDetails Current Date'!E:E,--F196,
'YearB-AppDetails Current Date'!Y:Y,"ENRO",
'YearB-AppDetails Current Date'!I:I,"WINTER")),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HC'!D:T,10,FALSE)),
N(VLOOKUP(D199&amp;F199,'Budgeted Projections Dom HC'!D:T,11,FALSE))
)/4)
),"")</f>
        <v/>
      </c>
      <c r="I199" s="73" t="str">
        <f>IFERROR(1/(1/COUNTIFS(
'YearB-AppDetails Current Date'!A:A,D199,
'YearB-AppDetails Current Date'!F:F,E199,
'YearB-AppDetails Current Date'!E:E,--F199,
'YearB-AppDetails Current Date'!I:I,"WINTER")), "")</f>
        <v/>
      </c>
      <c r="J199" s="74" t="str" cm="1">
        <f t="array" ref="J199">IFERROR(1/(1/SUM(COUNTIFS(
'YearB-AppDetails Current Date'!A:A,D199,
'YearB-AppDetails Current Date'!F:F,E199,
'YearB-AppDetails Current Date'!E:E,--F199,
'YearB-AppDetails Current Date'!O:O,{"ACLN","ACPT","COND"},
'YearB-AppDetails Current Date'!S:S,"&lt;&gt;ACLN",
'YearB-AppDetails Current Date'!S:S,"&lt;&gt;ACPT",
'YearB-AppDetails Current Date'!S:S,"&lt;&gt;COND",
'YearB-AppDetails Current Date'!I:I,"WINTER"))), "")</f>
        <v/>
      </c>
      <c r="K199" s="73" t="str">
        <f>IFERROR(1/(1/SUM(COUNTIFS(
'YearB-AppDetails Current Date'!A:A,D199,
'YearB-AppDetails Current Date'!F:F,E199,
'YearB-AppDetails Current Date'!E:E,--F199,
'YearB-AppDetails Current Date'!R:R,"&lt;&gt;"&amp;"",
'YearB-AppDetails Current Date'!I:I,"WINTER"))), "")</f>
        <v/>
      </c>
      <c r="L199" s="74" t="str" cm="1">
        <f t="array" ref="L199">IFERROR(1/(1/SUM(COUNTIFS(
'YearB-AppDetails Current Date'!A:A,D199,
'YearB-AppDetails Current Date'!F:F,E199,
'YearB-AppDetails Current Date'!E:E,--F199,
'YearB-AppDetails Current Date'!T:T,{"APEX","DENY","NTSL"},
'YearB-AppDetails Current Date'!I:I,"WINTER"))), "")</f>
        <v/>
      </c>
      <c r="M199" s="74" t="str" cm="1">
        <f t="array" ref="M199">IFERROR(1/(1/SUM(COUNTIFS(
'YearB-AppDetails Current Date'!A:A,D199,
'YearB-AppDetails Current Date'!F:F,E199,
'YearB-AppDetails Current Date'!E:E,--F199,
'YearB-AppDetails Current Date'!U:U,{"CCAN","DECL"},
'YearB-AppDetails Current Date'!I:I,"WINTER"))), "")</f>
        <v/>
      </c>
      <c r="N199" s="74" t="str" cm="1">
        <f t="array" ref="N199">IFERROR(1/(1/SUM(COUNTIFS(
'YearB-AppDetails Current Date'!A:A,D199,
'YearB-AppDetails Current Date'!F:F,E199,
'YearB-AppDetails Current Date'!E:E,--F199,
'YearB-AppDetails Current Date'!V:V,{"APRO","NODE"},
'YearB-AppDetails Current Date'!I:I,"WINTER"))), "")</f>
        <v/>
      </c>
      <c r="O199" s="74" t="str" cm="1">
        <f t="array" ref="O199">IFERROR(1/(1/SUM(COUNTIFS(
'YearB-AppDetails Current Date'!A:A,D199,
'YearB-AppDetails Current Date'!F:F,E199,
'YearB-AppDetails Current Date'!E:E,--F199,
'YearB-AppDetails Current Date'!T:T,{"CDMT","RQMT","WAIT"},
'YearB-AppDetails Current Date'!I:I,"WINTER"))), "")</f>
        <v/>
      </c>
      <c r="P199" s="74" t="str">
        <f>IFERROR(1/(1/COUNTIFS(
'YearB-AppDetails Current Date'!A:A,D199,
'YearB-AppDetails Current Date'!F:F,E199,
'YearB-AppDetails Current Date'!E:E,--F199,
'YearB-AppDetails Current Date'!Y:Y,"ENRO",
'YearB-AppDetails Current Date'!I:I,"WINTER")),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HC'!D:T,10,FALSE)),
N(VLOOKUP(D200&amp;F200,'Budgeted Projections Intl HC'!D:T,11,FALSE))
)/4)
),"")</f>
        <v/>
      </c>
      <c r="I200" s="73" t="str">
        <f>IFERROR(1/(1/COUNTIFS(
'YearB-AppDetails Current Date'!A:A,D200,
'YearB-AppDetails Current Date'!F:F,E200,
'YearB-AppDetails Current Date'!E:E,--F200,
'YearB-AppDetails Current Date'!I:I,"WINTER")), "")</f>
        <v/>
      </c>
      <c r="J200" s="74" t="str" cm="1">
        <f t="array" ref="J200">IFERROR(1/(1/SUM(COUNTIFS(
'YearB-AppDetails Current Date'!A:A,D200,
'YearB-AppDetails Current Date'!F:F,E200,
'YearB-AppDetails Current Date'!E:E,--F200,
'YearB-AppDetails Current Date'!O:O,{"ACLN","ACPT","COND"},
'YearB-AppDetails Current Date'!S:S,"&lt;&gt;ACLN",
'YearB-AppDetails Current Date'!S:S,"&lt;&gt;ACPT",
'YearB-AppDetails Current Date'!S:S,"&lt;&gt;COND",
'YearB-AppDetails Current Date'!I:I,"WINTER"))), "")</f>
        <v/>
      </c>
      <c r="K200" s="73" t="str">
        <f>IFERROR(1/(1/SUM(COUNTIFS(
'YearB-AppDetails Current Date'!A:A,D200,
'YearB-AppDetails Current Date'!F:F,E200,
'YearB-AppDetails Current Date'!E:E,--F200,
'YearB-AppDetails Current Date'!R:R,"&lt;&gt;"&amp;"",
'YearB-AppDetails Current Date'!I:I,"WINTER"))), "")</f>
        <v/>
      </c>
      <c r="L200" s="74" t="str" cm="1">
        <f t="array" ref="L200">IFERROR(1/(1/SUM(COUNTIFS(
'YearB-AppDetails Current Date'!A:A,D200,
'YearB-AppDetails Current Date'!F:F,E200,
'YearB-AppDetails Current Date'!E:E,--F200,
'YearB-AppDetails Current Date'!T:T,{"APEX","DENY","NTSL"},
'YearB-AppDetails Current Date'!I:I,"WINTER"))), "")</f>
        <v/>
      </c>
      <c r="M200" s="74" t="str" cm="1">
        <f t="array" ref="M200">IFERROR(1/(1/SUM(COUNTIFS(
'YearB-AppDetails Current Date'!A:A,D200,
'YearB-AppDetails Current Date'!F:F,E200,
'YearB-AppDetails Current Date'!E:E,--F200,
'YearB-AppDetails Current Date'!U:U,{"CCAN","DECL"},
'YearB-AppDetails Current Date'!I:I,"WINTER"))), "")</f>
        <v/>
      </c>
      <c r="N200" s="74" t="str" cm="1">
        <f t="array" ref="N200">IFERROR(1/(1/SUM(COUNTIFS(
'YearB-AppDetails Current Date'!A:A,D200,
'YearB-AppDetails Current Date'!F:F,E200,
'YearB-AppDetails Current Date'!E:E,--F200,
'YearB-AppDetails Current Date'!V:V,{"APRO","NODE"},
'YearB-AppDetails Current Date'!I:I,"WINTER"))), "")</f>
        <v/>
      </c>
      <c r="O200" s="74" t="str" cm="1">
        <f t="array" ref="O200">IFERROR(1/(1/SUM(COUNTIFS(
'YearB-AppDetails Current Date'!A:A,D200,
'YearB-AppDetails Current Date'!F:F,E200,
'YearB-AppDetails Current Date'!E:E,--F200,
'YearB-AppDetails Current Date'!T:T,{"CDMT","RQMT","WAIT"},
'YearB-AppDetails Current Date'!I:I,"WINTER"))), "")</f>
        <v/>
      </c>
      <c r="P200" s="74" t="str">
        <f>IFERROR(1/(1/COUNTIFS(
'YearB-AppDetails Current Date'!A:A,D200,
'YearB-AppDetails Current Date'!F:F,E200,
'YearB-AppDetails Current Date'!E:E,--F200,
'YearB-AppDetails Current Date'!Y:Y,"ENRO",
'YearB-AppDetails Current Date'!I:I,"WINTER")),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A3:A33"/>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B18:B28"/>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11" priority="5" operator="between">
      <formula>10</formula>
      <formula>100000000</formula>
    </cfRule>
    <cfRule type="cellIs" dxfId="10" priority="6" operator="between">
      <formula>1</formula>
      <formula>9</formula>
    </cfRule>
    <cfRule type="expression" dxfId="9" priority="7">
      <formula>AND(J3=0, J3&lt;&gt;"")</formula>
    </cfRule>
  </conditionalFormatting>
  <conditionalFormatting sqref="J29:J32">
    <cfRule type="cellIs" dxfId="8" priority="1" operator="between">
      <formula>10</formula>
      <formula>100000000</formula>
    </cfRule>
    <cfRule type="cellIs" dxfId="7" priority="2" operator="between">
      <formula>1</formula>
      <formula>9</formula>
    </cfRule>
    <cfRule type="expression" dxfId="6"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ECBBA-CA84-4434-AFA3-51903E4CE59A}">
  <sheetPr codeName="Sheet11">
    <tabColor rgb="FF0070C0"/>
  </sheetPr>
  <dimension ref="A1:Q206"/>
  <sheetViews>
    <sheetView zoomScale="80" zoomScaleNormal="80" workbookViewId="0">
      <pane ySplit="2" topLeftCell="A3" activePane="bottomLeft" state="frozen"/>
      <selection activeCell="I6" sqref="I6"/>
      <selection pane="bottomLeft" activeCell="D1" sqref="D1:D1048576"/>
    </sheetView>
  </sheetViews>
  <sheetFormatPr defaultRowHeight="15" x14ac:dyDescent="0.25"/>
  <cols>
    <col min="1" max="1" width="60.7109375" customWidth="1"/>
    <col min="2" max="2" width="38.7109375" customWidth="1"/>
    <col min="3" max="3" width="76.28515625" bestFit="1" customWidth="1"/>
    <col min="4" max="4" width="31.140625" hidden="1" customWidth="1"/>
    <col min="5" max="5" width="20.7109375" customWidth="1"/>
    <col min="6" max="6" width="18.7109375" customWidth="1"/>
    <col min="7" max="7" width="25.7109375" customWidth="1"/>
    <col min="8" max="8" width="29.5703125" bestFit="1" customWidth="1"/>
    <col min="9" max="16" width="18.7109375" customWidth="1"/>
    <col min="17" max="17" width="21.7109375" customWidth="1"/>
  </cols>
  <sheetData>
    <row r="1" spans="1:17" ht="18" customHeight="1" x14ac:dyDescent="0.25">
      <c r="A1" s="164" t="s">
        <v>29</v>
      </c>
      <c r="B1" s="164" t="s">
        <v>30</v>
      </c>
      <c r="C1" s="166" t="s">
        <v>31</v>
      </c>
      <c r="D1" s="168" t="s">
        <v>174</v>
      </c>
      <c r="E1" s="168" t="s">
        <v>34</v>
      </c>
      <c r="F1" s="155" t="s">
        <v>32</v>
      </c>
      <c r="G1" s="155" t="s">
        <v>33</v>
      </c>
      <c r="H1" s="156" t="s">
        <v>322</v>
      </c>
      <c r="I1" s="162" t="str">
        <f>"Spring "&amp;'YearB-AppDetails Current Date'!$J$2+1</f>
        <v>Spring 1</v>
      </c>
      <c r="J1" s="163"/>
      <c r="K1" s="163"/>
      <c r="L1" s="163"/>
      <c r="M1" s="163"/>
      <c r="N1" s="163"/>
      <c r="O1" s="163"/>
      <c r="P1" s="163"/>
      <c r="Q1" s="163"/>
    </row>
    <row r="2" spans="1:17" s="12" customFormat="1" ht="38.1" customHeight="1" x14ac:dyDescent="0.25">
      <c r="A2" s="165"/>
      <c r="B2" s="165"/>
      <c r="C2" s="167"/>
      <c r="D2" s="169"/>
      <c r="E2" s="169"/>
      <c r="F2" s="157"/>
      <c r="G2" s="157"/>
      <c r="H2" s="157"/>
      <c r="I2" s="1" t="s">
        <v>35</v>
      </c>
      <c r="J2" s="1" t="s">
        <v>36</v>
      </c>
      <c r="K2" s="1" t="s">
        <v>20</v>
      </c>
      <c r="L2" s="1" t="s">
        <v>13</v>
      </c>
      <c r="M2" s="1" t="s">
        <v>11</v>
      </c>
      <c r="N2" s="1" t="s">
        <v>22</v>
      </c>
      <c r="O2" s="1" t="s">
        <v>24</v>
      </c>
      <c r="P2" s="1" t="s">
        <v>37</v>
      </c>
      <c r="Q2" s="1" t="s">
        <v>38</v>
      </c>
    </row>
    <row r="3" spans="1:17" ht="15.75" customHeight="1" x14ac:dyDescent="0.25">
      <c r="A3" s="164" t="s">
        <v>270</v>
      </c>
      <c r="B3" s="121" t="s">
        <v>39</v>
      </c>
      <c r="C3" s="124" t="s">
        <v>46</v>
      </c>
      <c r="D3" s="2" t="s">
        <v>47</v>
      </c>
      <c r="E3" s="2" t="s">
        <v>42</v>
      </c>
      <c r="F3" s="42">
        <v>1</v>
      </c>
      <c r="G3" s="139" t="s">
        <v>48</v>
      </c>
      <c r="H3" s="73" t="str">
        <f>IFERROR(1/(1/(
SUM(
N(VLOOKUP(D3&amp;F3,'Budgeted Projections Dom HC'!D:T,10,FALSE)),
N(VLOOKUP(D3&amp;F3,'Budgeted Projections Dom HC'!D:T,11,FALSE))
)/4)
),"")</f>
        <v/>
      </c>
      <c r="I3" s="73" t="str">
        <f>IFERROR(1/(1/COUNTIFS(
'YearB-AppDetails Current Date'!A:A,D3,
'YearB-AppDetails Current Date'!F:F,E3,
'YearB-AppDetails Current Date'!E:E,--F3,
'YearB-AppDetails Current Date'!I:I,"SPRING")), "")</f>
        <v/>
      </c>
      <c r="J3" s="74" t="str" cm="1">
        <f t="array" ref="J3">IFERROR(1/(1/SUM(COUNTIFS(
'YearB-AppDetails Current Date'!A:A,D3,
'YearB-AppDetails Current Date'!F:F,E3,
'YearB-AppDetails Current Date'!E:E,--F3,
'YearB-AppDetails Current Date'!O:O,{"ACLN","ACPT","COND"},
'YearB-AppDetails Current Date'!S:S,"&lt;&gt;ACLN",
'YearB-AppDetails Current Date'!S:S,"&lt;&gt;ACPT",
'YearB-AppDetails Current Date'!S:S,"&lt;&gt;COND",
'YearB-AppDetails Current Date'!I:I,"SPRING"))), "")</f>
        <v/>
      </c>
      <c r="K3" s="73" t="str">
        <f>IFERROR(1/(1/SUM(COUNTIFS(
'YearB-AppDetails Current Date'!A:A,D3,
'YearB-AppDetails Current Date'!F:F,E3,
'YearB-AppDetails Current Date'!E:E,--F3,
'YearB-AppDetails Current Date'!R:R,"&lt;&gt;"&amp;"",
'YearB-AppDetails Current Date'!I:I,"SPRING"))), "")</f>
        <v/>
      </c>
      <c r="L3" s="74" t="str" cm="1">
        <f t="array" ref="L3">IFERROR(1/(1/SUM(COUNTIFS(
'YearB-AppDetails Current Date'!A:A,D3,
'YearB-AppDetails Current Date'!F:F,E3,
'YearB-AppDetails Current Date'!E:E,--F3,
'YearB-AppDetails Current Date'!T:T,{"APEX","DENY","NTSL"},
'YearB-AppDetails Current Date'!I:I,"SPRING"))), "")</f>
        <v/>
      </c>
      <c r="M3" s="74" t="str" cm="1">
        <f t="array" ref="M3">IFERROR(1/(1/SUM(COUNTIFS(
'YearB-AppDetails Current Date'!A:A,D3,
'YearB-AppDetails Current Date'!F:F,E3,
'YearB-AppDetails Current Date'!E:E,--F3,
'YearB-AppDetails Current Date'!U:U,{"CCAN","DECL"},
'YearB-AppDetails Current Date'!I:I,"SPRING"))), "")</f>
        <v/>
      </c>
      <c r="N3" s="74" t="str" cm="1">
        <f t="array" ref="N3">IFERROR(1/(1/SUM(COUNTIFS(
'YearB-AppDetails Current Date'!A:A,D3,
'YearB-AppDetails Current Date'!F:F,E3,
'YearB-AppDetails Current Date'!E:E,--F3,
'YearB-AppDetails Current Date'!V:V,{"APRO","NODE"},
'YearB-AppDetails Current Date'!I:I,"SPRING"))), "")</f>
        <v/>
      </c>
      <c r="O3" s="74" t="str" cm="1">
        <f t="array" ref="O3">IFERROR(1/(1/SUM(COUNTIFS(
'YearB-AppDetails Current Date'!A:A,D3,
'YearB-AppDetails Current Date'!F:F,E3,
'YearB-AppDetails Current Date'!E:E,--F3,
'YearB-AppDetails Current Date'!T:T,{"CDMT","RQMT","WAIT"},
'YearB-AppDetails Current Date'!I:I,"SPRING"))), "")</f>
        <v/>
      </c>
      <c r="P3" s="74" t="str">
        <f>IFERROR(1/(1/COUNTIFS(
'YearB-AppDetails Current Date'!A:A,D3,
'YearB-AppDetails Current Date'!F:F,E3,
'YearB-AppDetails Current Date'!E:E,--F3,
'YearB-AppDetails Current Date'!Y:Y,"ENRO",
'YearB-AppDetails Current Date'!I:I,"SPRING")), "")</f>
        <v/>
      </c>
      <c r="Q3" s="3" t="str">
        <f>IFERROR(P3/J3,"")</f>
        <v/>
      </c>
    </row>
    <row r="4" spans="1:17" ht="15.75" customHeight="1" x14ac:dyDescent="0.25">
      <c r="A4" s="170"/>
      <c r="B4" s="122"/>
      <c r="C4" s="125"/>
      <c r="D4" s="2" t="s">
        <v>47</v>
      </c>
      <c r="E4" s="2" t="s">
        <v>43</v>
      </c>
      <c r="F4" s="31">
        <v>1</v>
      </c>
      <c r="G4" s="140"/>
      <c r="H4" s="73" t="str">
        <f>IFERROR(1/(1/(
SUM(
N(VLOOKUP(D4&amp;F4,'Budgeted Projections Intl HC'!D:T,10,FALSE)),
N(VLOOKUP(D4&amp;F4,'Budgeted Projections Intl HC'!D:T,11,FALSE))
)/4)
),"")</f>
        <v/>
      </c>
      <c r="I4" s="73" t="str">
        <f>IFERROR(1/(1/COUNTIFS(
'YearB-AppDetails Current Date'!A:A,D4,
'YearB-AppDetails Current Date'!F:F,E4,
'YearB-AppDetails Current Date'!E:E,--F4,
'YearB-AppDetails Current Date'!I:I,"SPRING")), "")</f>
        <v/>
      </c>
      <c r="J4" s="74" t="str" cm="1">
        <f t="array" ref="J4">IFERROR(1/(1/SUM(COUNTIFS(
'YearB-AppDetails Current Date'!A:A,D4,
'YearB-AppDetails Current Date'!F:F,E4,
'YearB-AppDetails Current Date'!E:E,--F4,
'YearB-AppDetails Current Date'!O:O,{"ACLN","ACPT","COND"},
'YearB-AppDetails Current Date'!S:S,"&lt;&gt;ACLN",
'YearB-AppDetails Current Date'!S:S,"&lt;&gt;ACPT",
'YearB-AppDetails Current Date'!S:S,"&lt;&gt;COND",
'YearB-AppDetails Current Date'!I:I,"SPRING"))), "")</f>
        <v/>
      </c>
      <c r="K4" s="73" t="str">
        <f>IFERROR(1/(1/SUM(COUNTIFS(
'YearB-AppDetails Current Date'!A:A,D4,
'YearB-AppDetails Current Date'!F:F,E4,
'YearB-AppDetails Current Date'!E:E,--F4,
'YearB-AppDetails Current Date'!R:R,"&lt;&gt;"&amp;"",
'YearB-AppDetails Current Date'!I:I,"SPRING"))), "")</f>
        <v/>
      </c>
      <c r="L4" s="74" t="str" cm="1">
        <f t="array" ref="L4">IFERROR(1/(1/SUM(COUNTIFS(
'YearB-AppDetails Current Date'!A:A,D4,
'YearB-AppDetails Current Date'!F:F,E4,
'YearB-AppDetails Current Date'!E:E,--F4,
'YearB-AppDetails Current Date'!T:T,{"APEX","DENY","NTSL"},
'YearB-AppDetails Current Date'!I:I,"SPRING"))), "")</f>
        <v/>
      </c>
      <c r="M4" s="74" t="str" cm="1">
        <f t="array" ref="M4">IFERROR(1/(1/SUM(COUNTIFS(
'YearB-AppDetails Current Date'!A:A,D4,
'YearB-AppDetails Current Date'!F:F,E4,
'YearB-AppDetails Current Date'!E:E,--F4,
'YearB-AppDetails Current Date'!U:U,{"CCAN","DECL"},
'YearB-AppDetails Current Date'!I:I,"SPRING"))), "")</f>
        <v/>
      </c>
      <c r="N4" s="74" t="str" cm="1">
        <f t="array" ref="N4">IFERROR(1/(1/SUM(COUNTIFS(
'YearB-AppDetails Current Date'!A:A,D4,
'YearB-AppDetails Current Date'!F:F,E4,
'YearB-AppDetails Current Date'!E:E,--F4,
'YearB-AppDetails Current Date'!V:V,{"APRO","NODE"},
'YearB-AppDetails Current Date'!I:I,"SPRING"))), "")</f>
        <v/>
      </c>
      <c r="O4" s="74" t="str" cm="1">
        <f t="array" ref="O4">IFERROR(1/(1/SUM(COUNTIFS(
'YearB-AppDetails Current Date'!A:A,D4,
'YearB-AppDetails Current Date'!F:F,E4,
'YearB-AppDetails Current Date'!E:E,--F4,
'YearB-AppDetails Current Date'!T:T,{"CDMT","RQMT","WAIT"},
'YearB-AppDetails Current Date'!I:I,"SPRING"))), "")</f>
        <v/>
      </c>
      <c r="P4" s="74" t="str">
        <f>IFERROR(1/(1/COUNTIFS(
'YearB-AppDetails Current Date'!A:A,D4,
'YearB-AppDetails Current Date'!F:F,E4,
'YearB-AppDetails Current Date'!E:E,--F4,
'YearB-AppDetails Current Date'!Y:Y,"ENRO",
'YearB-AppDetails Current Date'!I:I,"SPRING")), "")</f>
        <v/>
      </c>
      <c r="Q4" s="3" t="str">
        <f t="shared" ref="Q4:Q72" si="0">IFERROR(P4/J4,"")</f>
        <v/>
      </c>
    </row>
    <row r="5" spans="1:17" ht="15.75" customHeight="1" x14ac:dyDescent="0.25">
      <c r="A5" s="170"/>
      <c r="B5" s="122"/>
      <c r="C5" s="124" t="s">
        <v>49</v>
      </c>
      <c r="D5" s="2" t="s">
        <v>50</v>
      </c>
      <c r="E5" s="2" t="s">
        <v>42</v>
      </c>
      <c r="F5" s="42">
        <v>1</v>
      </c>
      <c r="G5" s="139" t="s">
        <v>48</v>
      </c>
      <c r="H5" s="73" t="str">
        <f>IFERROR(1/(1/(
SUM(
N(VLOOKUP(D5&amp;F5,'Budgeted Projections Dom HC'!D:T,10,FALSE)),
N(VLOOKUP(D5&amp;F5,'Budgeted Projections Dom HC'!D:T,11,FALSE))
)/4)
),"")</f>
        <v/>
      </c>
      <c r="I5" s="73" t="str">
        <f>IFERROR(1/(1/COUNTIFS(
'YearB-AppDetails Current Date'!A:A,D5,
'YearB-AppDetails Current Date'!F:F,E5,
'YearB-AppDetails Current Date'!E:E,--F5,
'YearB-AppDetails Current Date'!I:I,"SPRING")), "")</f>
        <v/>
      </c>
      <c r="J5" s="74" t="str" cm="1">
        <f t="array" ref="J5">IFERROR(1/(1/SUM(COUNTIFS(
'YearB-AppDetails Current Date'!A:A,D5,
'YearB-AppDetails Current Date'!F:F,E5,
'YearB-AppDetails Current Date'!E:E,--F5,
'YearB-AppDetails Current Date'!O:O,{"ACLN","ACPT","COND"},
'YearB-AppDetails Current Date'!S:S,"&lt;&gt;ACLN",
'YearB-AppDetails Current Date'!S:S,"&lt;&gt;ACPT",
'YearB-AppDetails Current Date'!S:S,"&lt;&gt;COND",
'YearB-AppDetails Current Date'!I:I,"SPRING"))), "")</f>
        <v/>
      </c>
      <c r="K5" s="73" t="str">
        <f>IFERROR(1/(1/SUM(COUNTIFS(
'YearB-AppDetails Current Date'!A:A,D5,
'YearB-AppDetails Current Date'!F:F,E5,
'YearB-AppDetails Current Date'!E:E,--F5,
'YearB-AppDetails Current Date'!R:R,"&lt;&gt;"&amp;"",
'YearB-AppDetails Current Date'!I:I,"SPRING"))), "")</f>
        <v/>
      </c>
      <c r="L5" s="74" t="str" cm="1">
        <f t="array" ref="L5">IFERROR(1/(1/SUM(COUNTIFS(
'YearB-AppDetails Current Date'!A:A,D5,
'YearB-AppDetails Current Date'!F:F,E5,
'YearB-AppDetails Current Date'!E:E,--F5,
'YearB-AppDetails Current Date'!T:T,{"APEX","DENY","NTSL"},
'YearB-AppDetails Current Date'!I:I,"SPRING"))), "")</f>
        <v/>
      </c>
      <c r="M5" s="74" t="str" cm="1">
        <f t="array" ref="M5">IFERROR(1/(1/SUM(COUNTIFS(
'YearB-AppDetails Current Date'!A:A,D5,
'YearB-AppDetails Current Date'!F:F,E5,
'YearB-AppDetails Current Date'!E:E,--F5,
'YearB-AppDetails Current Date'!U:U,{"CCAN","DECL"},
'YearB-AppDetails Current Date'!I:I,"SPRING"))), "")</f>
        <v/>
      </c>
      <c r="N5" s="74" t="str" cm="1">
        <f t="array" ref="N5">IFERROR(1/(1/SUM(COUNTIFS(
'YearB-AppDetails Current Date'!A:A,D5,
'YearB-AppDetails Current Date'!F:F,E5,
'YearB-AppDetails Current Date'!E:E,--F5,
'YearB-AppDetails Current Date'!V:V,{"APRO","NODE"},
'YearB-AppDetails Current Date'!I:I,"SPRING"))), "")</f>
        <v/>
      </c>
      <c r="O5" s="74" t="str" cm="1">
        <f t="array" ref="O5">IFERROR(1/(1/SUM(COUNTIFS(
'YearB-AppDetails Current Date'!A:A,D5,
'YearB-AppDetails Current Date'!F:F,E5,
'YearB-AppDetails Current Date'!E:E,--F5,
'YearB-AppDetails Current Date'!T:T,{"CDMT","RQMT","WAIT"},
'YearB-AppDetails Current Date'!I:I,"SPRING"))), "")</f>
        <v/>
      </c>
      <c r="P5" s="74" t="str">
        <f>IFERROR(1/(1/COUNTIFS(
'YearB-AppDetails Current Date'!A:A,D5,
'YearB-AppDetails Current Date'!F:F,E5,
'YearB-AppDetails Current Date'!E:E,--F5,
'YearB-AppDetails Current Date'!Y:Y,"ENRO",
'YearB-AppDetails Current Date'!I:I,"SPRING")), "")</f>
        <v/>
      </c>
      <c r="Q5" s="3" t="str">
        <f t="shared" si="0"/>
        <v/>
      </c>
    </row>
    <row r="6" spans="1:17" ht="15.75" customHeight="1" x14ac:dyDescent="0.25">
      <c r="A6" s="170"/>
      <c r="B6" s="122"/>
      <c r="C6" s="125"/>
      <c r="D6" s="2" t="s">
        <v>50</v>
      </c>
      <c r="E6" s="2" t="s">
        <v>43</v>
      </c>
      <c r="F6" s="31">
        <v>1</v>
      </c>
      <c r="G6" s="140"/>
      <c r="H6" s="73" t="str">
        <f>IFERROR(1/(1/(
SUM(
N(VLOOKUP(D6&amp;F6,'Budgeted Projections Intl HC'!D:T,10,FALSE)),
N(VLOOKUP(D6&amp;F6,'Budgeted Projections Intl HC'!D:T,11,FALSE))
)/4)
),"")</f>
        <v/>
      </c>
      <c r="I6" s="73" t="str">
        <f>IFERROR(1/(1/COUNTIFS(
'YearB-AppDetails Current Date'!A:A,D6,
'YearB-AppDetails Current Date'!F:F,E6,
'YearB-AppDetails Current Date'!E:E,--F6,
'YearB-AppDetails Current Date'!I:I,"SPRING")), "")</f>
        <v/>
      </c>
      <c r="J6" s="74" t="str" cm="1">
        <f t="array" ref="J6">IFERROR(1/(1/SUM(COUNTIFS(
'YearB-AppDetails Current Date'!A:A,D6,
'YearB-AppDetails Current Date'!F:F,E6,
'YearB-AppDetails Current Date'!E:E,--F6,
'YearB-AppDetails Current Date'!O:O,{"ACLN","ACPT","COND"},
'YearB-AppDetails Current Date'!S:S,"&lt;&gt;ACLN",
'YearB-AppDetails Current Date'!S:S,"&lt;&gt;ACPT",
'YearB-AppDetails Current Date'!S:S,"&lt;&gt;COND",
'YearB-AppDetails Current Date'!I:I,"SPRING"))), "")</f>
        <v/>
      </c>
      <c r="K6" s="73" t="str">
        <f>IFERROR(1/(1/SUM(COUNTIFS(
'YearB-AppDetails Current Date'!A:A,D6,
'YearB-AppDetails Current Date'!F:F,E6,
'YearB-AppDetails Current Date'!E:E,--F6,
'YearB-AppDetails Current Date'!R:R,"&lt;&gt;"&amp;"",
'YearB-AppDetails Current Date'!I:I,"SPRING"))), "")</f>
        <v/>
      </c>
      <c r="L6" s="74" t="str" cm="1">
        <f t="array" ref="L6">IFERROR(1/(1/SUM(COUNTIFS(
'YearB-AppDetails Current Date'!A:A,D6,
'YearB-AppDetails Current Date'!F:F,E6,
'YearB-AppDetails Current Date'!E:E,--F6,
'YearB-AppDetails Current Date'!T:T,{"APEX","DENY","NTSL"},
'YearB-AppDetails Current Date'!I:I,"SPRING"))), "")</f>
        <v/>
      </c>
      <c r="M6" s="74" t="str" cm="1">
        <f t="array" ref="M6">IFERROR(1/(1/SUM(COUNTIFS(
'YearB-AppDetails Current Date'!A:A,D6,
'YearB-AppDetails Current Date'!F:F,E6,
'YearB-AppDetails Current Date'!E:E,--F6,
'YearB-AppDetails Current Date'!U:U,{"CCAN","DECL"},
'YearB-AppDetails Current Date'!I:I,"SPRING"))), "")</f>
        <v/>
      </c>
      <c r="N6" s="74" t="str" cm="1">
        <f t="array" ref="N6">IFERROR(1/(1/SUM(COUNTIFS(
'YearB-AppDetails Current Date'!A:A,D6,
'YearB-AppDetails Current Date'!F:F,E6,
'YearB-AppDetails Current Date'!E:E,--F6,
'YearB-AppDetails Current Date'!V:V,{"APRO","NODE"},
'YearB-AppDetails Current Date'!I:I,"SPRING"))), "")</f>
        <v/>
      </c>
      <c r="O6" s="74" t="str" cm="1">
        <f t="array" ref="O6">IFERROR(1/(1/SUM(COUNTIFS(
'YearB-AppDetails Current Date'!A:A,D6,
'YearB-AppDetails Current Date'!F:F,E6,
'YearB-AppDetails Current Date'!E:E,--F6,
'YearB-AppDetails Current Date'!T:T,{"CDMT","RQMT","WAIT"},
'YearB-AppDetails Current Date'!I:I,"SPRING"))), "")</f>
        <v/>
      </c>
      <c r="P6" s="74" t="str">
        <f>IFERROR(1/(1/COUNTIFS(
'YearB-AppDetails Current Date'!A:A,D6,
'YearB-AppDetails Current Date'!F:F,E6,
'YearB-AppDetails Current Date'!E:E,--F6,
'YearB-AppDetails Current Date'!Y:Y,"ENRO",
'YearB-AppDetails Current Date'!I:I,"SPRING")), "")</f>
        <v/>
      </c>
      <c r="Q6" s="3" t="str">
        <f t="shared" si="0"/>
        <v/>
      </c>
    </row>
    <row r="7" spans="1:17" ht="15.75" customHeight="1" x14ac:dyDescent="0.25">
      <c r="A7" s="170"/>
      <c r="B7" s="122"/>
      <c r="C7" s="124" t="s">
        <v>40</v>
      </c>
      <c r="D7" s="23" t="s">
        <v>41</v>
      </c>
      <c r="E7" s="2" t="s">
        <v>42</v>
      </c>
      <c r="F7" s="42">
        <v>1</v>
      </c>
      <c r="G7" s="139">
        <v>45</v>
      </c>
      <c r="H7" s="73" t="str">
        <f>IFERROR(1/(1/
SUM(
N(VLOOKUP(D7&amp;F7,'Budgeted Projections Dom HC'!D:T,16,FALSE)),
N(VLOOKUP(D7&amp;F7,'Budgeted Projections Dom HC'!D:T,17,FALSE))
)
),"")</f>
        <v/>
      </c>
      <c r="I7" s="73" t="str">
        <f>IFERROR(1/(1/COUNTIFS(
'YearB-AppDetails Current Date'!A:A,D7,
'YearB-AppDetails Current Date'!F:F,E7,
'YearB-AppDetails Current Date'!E:E,--F7,
'YearB-AppDetails Current Date'!I:I,"SPRING")), "")</f>
        <v/>
      </c>
      <c r="J7" s="74" t="str" cm="1">
        <f t="array" ref="J7">IFERROR(1/(1/SUM(COUNTIFS(
'YearB-AppDetails Current Date'!A:A,D7,
'YearB-AppDetails Current Date'!F:F,E7,
'YearB-AppDetails Current Date'!E:E,--F7,
'YearB-AppDetails Current Date'!O:O,{"ACLN","ACPT","COND"},
'YearB-AppDetails Current Date'!S:S,"&lt;&gt;ACLN",
'YearB-AppDetails Current Date'!S:S,"&lt;&gt;ACPT",
'YearB-AppDetails Current Date'!S:S,"&lt;&gt;COND",
'YearB-AppDetails Current Date'!I:I,"SPRING"))), "")</f>
        <v/>
      </c>
      <c r="K7" s="73" t="str">
        <f>IFERROR(1/(1/SUM(COUNTIFS(
'YearB-AppDetails Current Date'!A:A,D7,
'YearB-AppDetails Current Date'!F:F,E7,
'YearB-AppDetails Current Date'!E:E,--F7,
'YearB-AppDetails Current Date'!R:R,"&lt;&gt;"&amp;"",
'YearB-AppDetails Current Date'!I:I,"SPRING"))), "")</f>
        <v/>
      </c>
      <c r="L7" s="74" t="str" cm="1">
        <f t="array" ref="L7">IFERROR(1/(1/SUM(COUNTIFS(
'YearB-AppDetails Current Date'!A:A,D7,
'YearB-AppDetails Current Date'!F:F,E7,
'YearB-AppDetails Current Date'!E:E,--F7,
'YearB-AppDetails Current Date'!T:T,{"APEX","DENY","NTSL"},
'YearB-AppDetails Current Date'!I:I,"SPRING"))), "")</f>
        <v/>
      </c>
      <c r="M7" s="74" t="str" cm="1">
        <f t="array" ref="M7">IFERROR(1/(1/SUM(COUNTIFS(
'YearB-AppDetails Current Date'!A:A,D7,
'YearB-AppDetails Current Date'!F:F,E7,
'YearB-AppDetails Current Date'!E:E,--F7,
'YearB-AppDetails Current Date'!U:U,{"CCAN","DECL"},
'YearB-AppDetails Current Date'!I:I,"SPRING"))), "")</f>
        <v/>
      </c>
      <c r="N7" s="74" t="str" cm="1">
        <f t="array" ref="N7">IFERROR(1/(1/SUM(COUNTIFS(
'YearB-AppDetails Current Date'!A:A,D7,
'YearB-AppDetails Current Date'!F:F,E7,
'YearB-AppDetails Current Date'!E:E,--F7,
'YearB-AppDetails Current Date'!V:V,{"APRO","NODE"},
'YearB-AppDetails Current Date'!I:I,"SPRING"))), "")</f>
        <v/>
      </c>
      <c r="O7" s="74" t="str" cm="1">
        <f t="array" ref="O7">IFERROR(1/(1/SUM(COUNTIFS(
'YearB-AppDetails Current Date'!A:A,D7,
'YearB-AppDetails Current Date'!F:F,E7,
'YearB-AppDetails Current Date'!E:E,--F7,
'YearB-AppDetails Current Date'!T:T,{"CDMT","RQMT","WAIT"},
'YearB-AppDetails Current Date'!I:I,"SPRING"))), "")</f>
        <v/>
      </c>
      <c r="P7" s="74" t="str">
        <f>IFERROR(1/(1/COUNTIFS(
'YearB-AppDetails Current Date'!A:A,D7,
'YearB-AppDetails Current Date'!F:F,E7,
'YearB-AppDetails Current Date'!E:E,--F7,
'YearB-AppDetails Current Date'!Y:Y,"ENRO",
'YearB-AppDetails Current Date'!I:I,"SPRING")), "")</f>
        <v/>
      </c>
      <c r="Q7" s="3" t="str">
        <f t="shared" si="0"/>
        <v/>
      </c>
    </row>
    <row r="8" spans="1:17" ht="15.75" customHeight="1" x14ac:dyDescent="0.25">
      <c r="A8" s="170"/>
      <c r="B8" s="122"/>
      <c r="C8" s="125"/>
      <c r="D8" s="23" t="s">
        <v>41</v>
      </c>
      <c r="E8" s="2" t="s">
        <v>43</v>
      </c>
      <c r="F8" s="31">
        <v>1</v>
      </c>
      <c r="G8" s="140"/>
      <c r="H8" s="73" t="str">
        <f>IFERROR(1/(1/
SUM(
N(VLOOKUP(D8&amp;F8,'Budgeted Projections Intl HC'!D:T,16,FALSE)),
N(VLOOKUP(D8&amp;F8,'Budgeted Projections Intl HC'!D:T,17,FALSE))
)
),"")</f>
        <v/>
      </c>
      <c r="I8" s="73" t="str">
        <f>IFERROR(1/(1/COUNTIFS(
'YearB-AppDetails Current Date'!A:A,D8,
'YearB-AppDetails Current Date'!F:F,E8,
'YearB-AppDetails Current Date'!E:E,--F8,
'YearB-AppDetails Current Date'!I:I,"SPRING")), "")</f>
        <v/>
      </c>
      <c r="J8" s="74" t="str" cm="1">
        <f t="array" ref="J8">IFERROR(1/(1/SUM(COUNTIFS(
'YearB-AppDetails Current Date'!A:A,D8,
'YearB-AppDetails Current Date'!F:F,E8,
'YearB-AppDetails Current Date'!E:E,--F8,
'YearB-AppDetails Current Date'!O:O,{"ACLN","ACPT","COND"},
'YearB-AppDetails Current Date'!S:S,"&lt;&gt;ACLN",
'YearB-AppDetails Current Date'!S:S,"&lt;&gt;ACPT",
'YearB-AppDetails Current Date'!S:S,"&lt;&gt;COND",
'YearB-AppDetails Current Date'!I:I,"SPRING"))), "")</f>
        <v/>
      </c>
      <c r="K8" s="73" t="str">
        <f>IFERROR(1/(1/SUM(COUNTIFS(
'YearB-AppDetails Current Date'!A:A,D8,
'YearB-AppDetails Current Date'!F:F,E8,
'YearB-AppDetails Current Date'!E:E,--F8,
'YearB-AppDetails Current Date'!R:R,"&lt;&gt;"&amp;"",
'YearB-AppDetails Current Date'!I:I,"SPRING"))), "")</f>
        <v/>
      </c>
      <c r="L8" s="74" t="str" cm="1">
        <f t="array" ref="L8">IFERROR(1/(1/SUM(COUNTIFS(
'YearB-AppDetails Current Date'!A:A,D8,
'YearB-AppDetails Current Date'!F:F,E8,
'YearB-AppDetails Current Date'!E:E,--F8,
'YearB-AppDetails Current Date'!T:T,{"APEX","DENY","NTSL"},
'YearB-AppDetails Current Date'!I:I,"SPRING"))), "")</f>
        <v/>
      </c>
      <c r="M8" s="74" t="str" cm="1">
        <f t="array" ref="M8">IFERROR(1/(1/SUM(COUNTIFS(
'YearB-AppDetails Current Date'!A:A,D8,
'YearB-AppDetails Current Date'!F:F,E8,
'YearB-AppDetails Current Date'!E:E,--F8,
'YearB-AppDetails Current Date'!U:U,{"CCAN","DECL"},
'YearB-AppDetails Current Date'!I:I,"SPRING"))), "")</f>
        <v/>
      </c>
      <c r="N8" s="74" t="str" cm="1">
        <f t="array" ref="N8">IFERROR(1/(1/SUM(COUNTIFS(
'YearB-AppDetails Current Date'!A:A,D8,
'YearB-AppDetails Current Date'!F:F,E8,
'YearB-AppDetails Current Date'!E:E,--F8,
'YearB-AppDetails Current Date'!V:V,{"APRO","NODE"},
'YearB-AppDetails Current Date'!I:I,"SPRING"))), "")</f>
        <v/>
      </c>
      <c r="O8" s="74" t="str" cm="1">
        <f t="array" ref="O8">IFERROR(1/(1/SUM(COUNTIFS(
'YearB-AppDetails Current Date'!A:A,D8,
'YearB-AppDetails Current Date'!F:F,E8,
'YearB-AppDetails Current Date'!E:E,--F8,
'YearB-AppDetails Current Date'!T:T,{"CDMT","RQMT","WAIT"},
'YearB-AppDetails Current Date'!I:I,"SPRING"))), "")</f>
        <v/>
      </c>
      <c r="P8" s="74" t="str">
        <f>IFERROR(1/(1/COUNTIFS(
'YearB-AppDetails Current Date'!A:A,D8,
'YearB-AppDetails Current Date'!F:F,E8,
'YearB-AppDetails Current Date'!E:E,--F8,
'YearB-AppDetails Current Date'!Y:Y,"ENRO",
'YearB-AppDetails Current Date'!I:I,"SPRING")), "")</f>
        <v/>
      </c>
      <c r="Q8" s="3" t="str">
        <f t="shared" si="0"/>
        <v/>
      </c>
    </row>
    <row r="9" spans="1:17" ht="15.75" customHeight="1" x14ac:dyDescent="0.25">
      <c r="A9" s="170"/>
      <c r="B9" s="122"/>
      <c r="C9" s="124" t="s">
        <v>168</v>
      </c>
      <c r="D9" s="23" t="s">
        <v>169</v>
      </c>
      <c r="E9" s="2" t="s">
        <v>42</v>
      </c>
      <c r="F9" s="42">
        <v>1</v>
      </c>
      <c r="G9" s="139"/>
      <c r="H9" s="73" t="str">
        <f>IFERROR(1/(1/
SUM(
N(VLOOKUP(D9&amp;F9,'Budgeted Projections Dom HC'!D:T,16,FALSE)),
N(VLOOKUP(D9&amp;F9,'Budgeted Projections Dom HC'!D:T,17,FALSE))
)
),"")</f>
        <v/>
      </c>
      <c r="I9" s="73" t="str">
        <f>IFERROR(1/(1/COUNTIFS(
'YearB-AppDetails Current Date'!A:A,D9,
'YearB-AppDetails Current Date'!F:F,E9,
'YearB-AppDetails Current Date'!E:E,--F9,
'YearB-AppDetails Current Date'!I:I,"SPRING")), "")</f>
        <v/>
      </c>
      <c r="J9" s="74" t="str" cm="1">
        <f t="array" ref="J9">IFERROR(1/(1/SUM(COUNTIFS(
'YearB-AppDetails Current Date'!A:A,D9,
'YearB-AppDetails Current Date'!F:F,E9,
'YearB-AppDetails Current Date'!E:E,--F9,
'YearB-AppDetails Current Date'!O:O,{"ACLN","ACPT","COND"},
'YearB-AppDetails Current Date'!S:S,"&lt;&gt;ACLN",
'YearB-AppDetails Current Date'!S:S,"&lt;&gt;ACPT",
'YearB-AppDetails Current Date'!S:S,"&lt;&gt;COND",
'YearB-AppDetails Current Date'!I:I,"SPRING"))), "")</f>
        <v/>
      </c>
      <c r="K9" s="73" t="str">
        <f>IFERROR(1/(1/SUM(COUNTIFS(
'YearB-AppDetails Current Date'!A:A,D9,
'YearB-AppDetails Current Date'!F:F,E9,
'YearB-AppDetails Current Date'!E:E,--F9,
'YearB-AppDetails Current Date'!R:R,"&lt;&gt;"&amp;"",
'YearB-AppDetails Current Date'!I:I,"SPRING"))), "")</f>
        <v/>
      </c>
      <c r="L9" s="74" t="str" cm="1">
        <f t="array" ref="L9">IFERROR(1/(1/SUM(COUNTIFS(
'YearB-AppDetails Current Date'!A:A,D9,
'YearB-AppDetails Current Date'!F:F,E9,
'YearB-AppDetails Current Date'!E:E,--F9,
'YearB-AppDetails Current Date'!T:T,{"APEX","DENY","NTSL"},
'YearB-AppDetails Current Date'!I:I,"SPRING"))), "")</f>
        <v/>
      </c>
      <c r="M9" s="74" t="str" cm="1">
        <f t="array" ref="M9">IFERROR(1/(1/SUM(COUNTIFS(
'YearB-AppDetails Current Date'!A:A,D9,
'YearB-AppDetails Current Date'!F:F,E9,
'YearB-AppDetails Current Date'!E:E,--F9,
'YearB-AppDetails Current Date'!U:U,{"CCAN","DECL"},
'YearB-AppDetails Current Date'!I:I,"SPRING"))), "")</f>
        <v/>
      </c>
      <c r="N9" s="74" t="str" cm="1">
        <f t="array" ref="N9">IFERROR(1/(1/SUM(COUNTIFS(
'YearB-AppDetails Current Date'!A:A,D9,
'YearB-AppDetails Current Date'!F:F,E9,
'YearB-AppDetails Current Date'!E:E,--F9,
'YearB-AppDetails Current Date'!V:V,{"APRO","NODE"},
'YearB-AppDetails Current Date'!I:I,"SPRING"))), "")</f>
        <v/>
      </c>
      <c r="O9" s="74" t="str" cm="1">
        <f t="array" ref="O9">IFERROR(1/(1/SUM(COUNTIFS(
'YearB-AppDetails Current Date'!A:A,D9,
'YearB-AppDetails Current Date'!F:F,E9,
'YearB-AppDetails Current Date'!E:E,--F9,
'YearB-AppDetails Current Date'!T:T,{"CDMT","RQMT","WAIT"},
'YearB-AppDetails Current Date'!I:I,"SPRING"))), "")</f>
        <v/>
      </c>
      <c r="P9" s="74" t="str">
        <f>IFERROR(1/(1/COUNTIFS(
'YearB-AppDetails Current Date'!A:A,D9,
'YearB-AppDetails Current Date'!F:F,E9,
'YearB-AppDetails Current Date'!E:E,--F9,
'YearB-AppDetails Current Date'!Y:Y,"ENRO",
'YearB-AppDetails Current Date'!I:I,"SPRING")), "")</f>
        <v/>
      </c>
      <c r="Q9" s="3" t="str">
        <f t="shared" si="0"/>
        <v/>
      </c>
    </row>
    <row r="10" spans="1:17" ht="15.75" customHeight="1" x14ac:dyDescent="0.25">
      <c r="A10" s="170"/>
      <c r="B10" s="122"/>
      <c r="C10" s="125"/>
      <c r="D10" s="23" t="s">
        <v>169</v>
      </c>
      <c r="E10" s="2" t="s">
        <v>43</v>
      </c>
      <c r="F10" s="31">
        <v>1</v>
      </c>
      <c r="G10" s="140"/>
      <c r="H10" s="73" t="str">
        <f>IFERROR(1/(1/
SUM(
N(VLOOKUP(D10&amp;F10,'Budgeted Projections Intl HC'!D:T,16,FALSE)),
N(VLOOKUP(D10&amp;F10,'Budgeted Projections Intl HC'!D:T,17,FALSE))
)
),"")</f>
        <v/>
      </c>
      <c r="I10" s="73" t="str">
        <f>IFERROR(1/(1/COUNTIFS(
'YearB-AppDetails Current Date'!A:A,D10,
'YearB-AppDetails Current Date'!F:F,E10,
'YearB-AppDetails Current Date'!E:E,--F10,
'YearB-AppDetails Current Date'!I:I,"SPRING")), "")</f>
        <v/>
      </c>
      <c r="J10" s="74" t="str" cm="1">
        <f t="array" ref="J10">IFERROR(1/(1/SUM(COUNTIFS(
'YearB-AppDetails Current Date'!A:A,D10,
'YearB-AppDetails Current Date'!F:F,E10,
'YearB-AppDetails Current Date'!E:E,--F10,
'YearB-AppDetails Current Date'!O:O,{"ACLN","ACPT","COND"},
'YearB-AppDetails Current Date'!S:S,"&lt;&gt;ACLN",
'YearB-AppDetails Current Date'!S:S,"&lt;&gt;ACPT",
'YearB-AppDetails Current Date'!S:S,"&lt;&gt;COND",
'YearB-AppDetails Current Date'!I:I,"SPRING"))), "")</f>
        <v/>
      </c>
      <c r="K10" s="73" t="str">
        <f>IFERROR(1/(1/SUM(COUNTIFS(
'YearB-AppDetails Current Date'!A:A,D10,
'YearB-AppDetails Current Date'!F:F,E10,
'YearB-AppDetails Current Date'!E:E,--F10,
'YearB-AppDetails Current Date'!R:R,"&lt;&gt;"&amp;"",
'YearB-AppDetails Current Date'!I:I,"SPRING"))), "")</f>
        <v/>
      </c>
      <c r="L10" s="74" t="str" cm="1">
        <f t="array" ref="L10">IFERROR(1/(1/SUM(COUNTIFS(
'YearB-AppDetails Current Date'!A:A,D10,
'YearB-AppDetails Current Date'!F:F,E10,
'YearB-AppDetails Current Date'!E:E,--F10,
'YearB-AppDetails Current Date'!T:T,{"APEX","DENY","NTSL"},
'YearB-AppDetails Current Date'!I:I,"SPRING"))), "")</f>
        <v/>
      </c>
      <c r="M10" s="74" t="str" cm="1">
        <f t="array" ref="M10">IFERROR(1/(1/SUM(COUNTIFS(
'YearB-AppDetails Current Date'!A:A,D10,
'YearB-AppDetails Current Date'!F:F,E10,
'YearB-AppDetails Current Date'!E:E,--F10,
'YearB-AppDetails Current Date'!U:U,{"CCAN","DECL"},
'YearB-AppDetails Current Date'!I:I,"SPRING"))), "")</f>
        <v/>
      </c>
      <c r="N10" s="74" t="str" cm="1">
        <f t="array" ref="N10">IFERROR(1/(1/SUM(COUNTIFS(
'YearB-AppDetails Current Date'!A:A,D10,
'YearB-AppDetails Current Date'!F:F,E10,
'YearB-AppDetails Current Date'!E:E,--F10,
'YearB-AppDetails Current Date'!V:V,{"APRO","NODE"},
'YearB-AppDetails Current Date'!I:I,"SPRING"))), "")</f>
        <v/>
      </c>
      <c r="O10" s="74" t="str" cm="1">
        <f t="array" ref="O10">IFERROR(1/(1/SUM(COUNTIFS(
'YearB-AppDetails Current Date'!A:A,D10,
'YearB-AppDetails Current Date'!F:F,E10,
'YearB-AppDetails Current Date'!E:E,--F10,
'YearB-AppDetails Current Date'!T:T,{"CDMT","RQMT","WAIT"},
'YearB-AppDetails Current Date'!I:I,"SPRING"))), "")</f>
        <v/>
      </c>
      <c r="P10" s="74" t="str">
        <f>IFERROR(1/(1/COUNTIFS(
'YearB-AppDetails Current Date'!A:A,D10,
'YearB-AppDetails Current Date'!F:F,E10,
'YearB-AppDetails Current Date'!E:E,--F10,
'YearB-AppDetails Current Date'!Y:Y,"ENRO",
'YearB-AppDetails Current Date'!I:I,"SPRING")), "")</f>
        <v/>
      </c>
      <c r="Q10" s="3" t="str">
        <f t="shared" si="0"/>
        <v/>
      </c>
    </row>
    <row r="11" spans="1:17" ht="15.75" customHeight="1" x14ac:dyDescent="0.25">
      <c r="A11" s="170"/>
      <c r="B11" s="122"/>
      <c r="C11" s="124" t="s">
        <v>44</v>
      </c>
      <c r="D11" s="23" t="s">
        <v>45</v>
      </c>
      <c r="E11" s="2" t="s">
        <v>42</v>
      </c>
      <c r="F11" s="42">
        <v>1</v>
      </c>
      <c r="G11" s="139">
        <v>45</v>
      </c>
      <c r="H11" s="73" t="str">
        <f>IFERROR(1/(1/
SUM(
N(VLOOKUP(D11&amp;F11,'Budgeted Projections Dom HC'!D:T,16,FALSE)),
N(VLOOKUP(D11&amp;F11,'Budgeted Projections Dom HC'!D:T,17,FALSE))
)
),"")</f>
        <v/>
      </c>
      <c r="I11" s="73" t="str">
        <f>IFERROR(1/(1/COUNTIFS(
'YearB-AppDetails Current Date'!A:A,D11,
'YearB-AppDetails Current Date'!F:F,E11,
'YearB-AppDetails Current Date'!E:E,--F11,
'YearB-AppDetails Current Date'!I:I,"SPRING")), "")</f>
        <v/>
      </c>
      <c r="J11" s="74" t="str" cm="1">
        <f t="array" ref="J11">IFERROR(1/(1/SUM(COUNTIFS(
'YearB-AppDetails Current Date'!A:A,D11,
'YearB-AppDetails Current Date'!F:F,E11,
'YearB-AppDetails Current Date'!E:E,--F11,
'YearB-AppDetails Current Date'!O:O,{"ACLN","ACPT","COND"},
'YearB-AppDetails Current Date'!S:S,"&lt;&gt;ACLN",
'YearB-AppDetails Current Date'!S:S,"&lt;&gt;ACPT",
'YearB-AppDetails Current Date'!S:S,"&lt;&gt;COND",
'YearB-AppDetails Current Date'!I:I,"SPRING"))), "")</f>
        <v/>
      </c>
      <c r="K11" s="73" t="str">
        <f>IFERROR(1/(1/SUM(COUNTIFS(
'YearB-AppDetails Current Date'!A:A,D11,
'YearB-AppDetails Current Date'!F:F,E11,
'YearB-AppDetails Current Date'!E:E,--F11,
'YearB-AppDetails Current Date'!R:R,"&lt;&gt;"&amp;"",
'YearB-AppDetails Current Date'!I:I,"SPRING"))), "")</f>
        <v/>
      </c>
      <c r="L11" s="74" t="str" cm="1">
        <f t="array" ref="L11">IFERROR(1/(1/SUM(COUNTIFS(
'YearB-AppDetails Current Date'!A:A,D11,
'YearB-AppDetails Current Date'!F:F,E11,
'YearB-AppDetails Current Date'!E:E,--F11,
'YearB-AppDetails Current Date'!T:T,{"APEX","DENY","NTSL"},
'YearB-AppDetails Current Date'!I:I,"SPRING"))), "")</f>
        <v/>
      </c>
      <c r="M11" s="74" t="str" cm="1">
        <f t="array" ref="M11">IFERROR(1/(1/SUM(COUNTIFS(
'YearB-AppDetails Current Date'!A:A,D11,
'YearB-AppDetails Current Date'!F:F,E11,
'YearB-AppDetails Current Date'!E:E,--F11,
'YearB-AppDetails Current Date'!U:U,{"CCAN","DECL"},
'YearB-AppDetails Current Date'!I:I,"SPRING"))), "")</f>
        <v/>
      </c>
      <c r="N11" s="74" t="str" cm="1">
        <f t="array" ref="N11">IFERROR(1/(1/SUM(COUNTIFS(
'YearB-AppDetails Current Date'!A:A,D11,
'YearB-AppDetails Current Date'!F:F,E11,
'YearB-AppDetails Current Date'!E:E,--F11,
'YearB-AppDetails Current Date'!V:V,{"APRO","NODE"},
'YearB-AppDetails Current Date'!I:I,"SPRING"))), "")</f>
        <v/>
      </c>
      <c r="O11" s="74" t="str" cm="1">
        <f t="array" ref="O11">IFERROR(1/(1/SUM(COUNTIFS(
'YearB-AppDetails Current Date'!A:A,D11,
'YearB-AppDetails Current Date'!F:F,E11,
'YearB-AppDetails Current Date'!E:E,--F11,
'YearB-AppDetails Current Date'!T:T,{"CDMT","RQMT","WAIT"},
'YearB-AppDetails Current Date'!I:I,"SPRING"))), "")</f>
        <v/>
      </c>
      <c r="P11" s="74" t="str">
        <f>IFERROR(1/(1/COUNTIFS(
'YearB-AppDetails Current Date'!A:A,D11,
'YearB-AppDetails Current Date'!F:F,E11,
'YearB-AppDetails Current Date'!E:E,--F11,
'YearB-AppDetails Current Date'!Y:Y,"ENRO",
'YearB-AppDetails Current Date'!I:I,"SPRING")), "")</f>
        <v/>
      </c>
      <c r="Q11" s="3" t="str">
        <f t="shared" si="0"/>
        <v/>
      </c>
    </row>
    <row r="12" spans="1:17" ht="15.75" customHeight="1" x14ac:dyDescent="0.25">
      <c r="A12" s="170"/>
      <c r="B12" s="122"/>
      <c r="C12" s="125"/>
      <c r="D12" s="23" t="s">
        <v>45</v>
      </c>
      <c r="E12" s="2" t="s">
        <v>43</v>
      </c>
      <c r="F12" s="31">
        <v>1</v>
      </c>
      <c r="G12" s="140"/>
      <c r="H12" s="73" t="str">
        <f>IFERROR(1/(1/
SUM(
N(VLOOKUP(D12&amp;F12,'Budgeted Projections Intl HC'!D:T,16,FALSE)),
N(VLOOKUP(D12&amp;F12,'Budgeted Projections Intl HC'!D:T,17,FALSE))
)
),"")</f>
        <v/>
      </c>
      <c r="I12" s="73" t="str">
        <f>IFERROR(1/(1/COUNTIFS(
'YearB-AppDetails Current Date'!A:A,D12,
'YearB-AppDetails Current Date'!F:F,E12,
'YearB-AppDetails Current Date'!E:E,--F12,
'YearB-AppDetails Current Date'!I:I,"SPRING")), "")</f>
        <v/>
      </c>
      <c r="J12" s="74" t="str" cm="1">
        <f t="array" ref="J12">IFERROR(1/(1/SUM(COUNTIFS(
'YearB-AppDetails Current Date'!A:A,D12,
'YearB-AppDetails Current Date'!F:F,E12,
'YearB-AppDetails Current Date'!E:E,--F12,
'YearB-AppDetails Current Date'!O:O,{"ACLN","ACPT","COND"},
'YearB-AppDetails Current Date'!S:S,"&lt;&gt;ACLN",
'YearB-AppDetails Current Date'!S:S,"&lt;&gt;ACPT",
'YearB-AppDetails Current Date'!S:S,"&lt;&gt;COND",
'YearB-AppDetails Current Date'!I:I,"SPRING"))), "")</f>
        <v/>
      </c>
      <c r="K12" s="73" t="str">
        <f>IFERROR(1/(1/SUM(COUNTIFS(
'YearB-AppDetails Current Date'!A:A,D12,
'YearB-AppDetails Current Date'!F:F,E12,
'YearB-AppDetails Current Date'!E:E,--F12,
'YearB-AppDetails Current Date'!R:R,"&lt;&gt;"&amp;"",
'YearB-AppDetails Current Date'!I:I,"SPRING"))), "")</f>
        <v/>
      </c>
      <c r="L12" s="74" t="str" cm="1">
        <f t="array" ref="L12">IFERROR(1/(1/SUM(COUNTIFS(
'YearB-AppDetails Current Date'!A:A,D12,
'YearB-AppDetails Current Date'!F:F,E12,
'YearB-AppDetails Current Date'!E:E,--F12,
'YearB-AppDetails Current Date'!T:T,{"APEX","DENY","NTSL"},
'YearB-AppDetails Current Date'!I:I,"SPRING"))), "")</f>
        <v/>
      </c>
      <c r="M12" s="74" t="str" cm="1">
        <f t="array" ref="M12">IFERROR(1/(1/SUM(COUNTIFS(
'YearB-AppDetails Current Date'!A:A,D12,
'YearB-AppDetails Current Date'!F:F,E12,
'YearB-AppDetails Current Date'!E:E,--F12,
'YearB-AppDetails Current Date'!U:U,{"CCAN","DECL"},
'YearB-AppDetails Current Date'!I:I,"SPRING"))), "")</f>
        <v/>
      </c>
      <c r="N12" s="74" t="str" cm="1">
        <f t="array" ref="N12">IFERROR(1/(1/SUM(COUNTIFS(
'YearB-AppDetails Current Date'!A:A,D12,
'YearB-AppDetails Current Date'!F:F,E12,
'YearB-AppDetails Current Date'!E:E,--F12,
'YearB-AppDetails Current Date'!V:V,{"APRO","NODE"},
'YearB-AppDetails Current Date'!I:I,"SPRING"))), "")</f>
        <v/>
      </c>
      <c r="O12" s="74" t="str" cm="1">
        <f t="array" ref="O12">IFERROR(1/(1/SUM(COUNTIFS(
'YearB-AppDetails Current Date'!A:A,D12,
'YearB-AppDetails Current Date'!F:F,E12,
'YearB-AppDetails Current Date'!E:E,--F12,
'YearB-AppDetails Current Date'!T:T,{"CDMT","RQMT","WAIT"},
'YearB-AppDetails Current Date'!I:I,"SPRING"))), "")</f>
        <v/>
      </c>
      <c r="P12" s="74" t="str">
        <f>IFERROR(1/(1/COUNTIFS(
'YearB-AppDetails Current Date'!A:A,D12,
'YearB-AppDetails Current Date'!F:F,E12,
'YearB-AppDetails Current Date'!E:E,--F12,
'YearB-AppDetails Current Date'!Y:Y,"ENRO",
'YearB-AppDetails Current Date'!I:I,"SPRING")), "")</f>
        <v/>
      </c>
      <c r="Q12" s="3" t="str">
        <f t="shared" si="0"/>
        <v/>
      </c>
    </row>
    <row r="13" spans="1:17" ht="15.75" customHeight="1" x14ac:dyDescent="0.25">
      <c r="A13" s="170"/>
      <c r="B13" s="122"/>
      <c r="C13" s="124" t="s">
        <v>142</v>
      </c>
      <c r="D13" s="2" t="s">
        <v>143</v>
      </c>
      <c r="E13" s="2" t="s">
        <v>42</v>
      </c>
      <c r="F13" s="31">
        <v>1</v>
      </c>
      <c r="G13" s="139">
        <v>20</v>
      </c>
      <c r="H13" s="73" t="str">
        <f>IFERROR(1/(1/
SUM(
N(VLOOKUP(D13&amp;F13,'Budgeted Projections Dom HC'!D:T,16,FALSE)),
N(VLOOKUP(D13&amp;F13,'Budgeted Projections Dom HC'!D:T,17,FALSE))
)
),"")</f>
        <v/>
      </c>
      <c r="I13" s="73" t="str">
        <f>IFERROR(1/(1/COUNTIFS(
'YearB-AppDetails Current Date'!A:A,D13,
'YearB-AppDetails Current Date'!F:F,E13,
'YearB-AppDetails Current Date'!E:E,--F13,
'YearB-AppDetails Current Date'!I:I,"SPRING")), "")</f>
        <v/>
      </c>
      <c r="J13" s="74" t="str" cm="1">
        <f t="array" ref="J13">IFERROR(1/(1/SUM(COUNTIFS(
'YearB-AppDetails Current Date'!A:A,D13,
'YearB-AppDetails Current Date'!F:F,E13,
'YearB-AppDetails Current Date'!E:E,--F13,
'YearB-AppDetails Current Date'!O:O,{"ACLN","ACPT","COND"},
'YearB-AppDetails Current Date'!S:S,"&lt;&gt;ACLN",
'YearB-AppDetails Current Date'!S:S,"&lt;&gt;ACPT",
'YearB-AppDetails Current Date'!S:S,"&lt;&gt;COND",
'YearB-AppDetails Current Date'!I:I,"SPRING"))), "")</f>
        <v/>
      </c>
      <c r="K13" s="73" t="str">
        <f>IFERROR(1/(1/SUM(COUNTIFS(
'YearB-AppDetails Current Date'!A:A,D13,
'YearB-AppDetails Current Date'!F:F,E13,
'YearB-AppDetails Current Date'!E:E,--F13,
'YearB-AppDetails Current Date'!R:R,"&lt;&gt;"&amp;"",
'YearB-AppDetails Current Date'!I:I,"SPRING"))), "")</f>
        <v/>
      </c>
      <c r="L13" s="74" t="str" cm="1">
        <f t="array" ref="L13">IFERROR(1/(1/SUM(COUNTIFS(
'YearB-AppDetails Current Date'!A:A,D13,
'YearB-AppDetails Current Date'!F:F,E13,
'YearB-AppDetails Current Date'!E:E,--F13,
'YearB-AppDetails Current Date'!T:T,{"APEX","DENY","NTSL"},
'YearB-AppDetails Current Date'!I:I,"SPRING"))), "")</f>
        <v/>
      </c>
      <c r="M13" s="74" t="str" cm="1">
        <f t="array" ref="M13">IFERROR(1/(1/SUM(COUNTIFS(
'YearB-AppDetails Current Date'!A:A,D13,
'YearB-AppDetails Current Date'!F:F,E13,
'YearB-AppDetails Current Date'!E:E,--F13,
'YearB-AppDetails Current Date'!U:U,{"CCAN","DECL"},
'YearB-AppDetails Current Date'!I:I,"SPRING"))), "")</f>
        <v/>
      </c>
      <c r="N13" s="74" t="str" cm="1">
        <f t="array" ref="N13">IFERROR(1/(1/SUM(COUNTIFS(
'YearB-AppDetails Current Date'!A:A,D13,
'YearB-AppDetails Current Date'!F:F,E13,
'YearB-AppDetails Current Date'!E:E,--F13,
'YearB-AppDetails Current Date'!V:V,{"APRO","NODE"},
'YearB-AppDetails Current Date'!I:I,"SPRING"))), "")</f>
        <v/>
      </c>
      <c r="O13" s="74" t="str" cm="1">
        <f t="array" ref="O13">IFERROR(1/(1/SUM(COUNTIFS(
'YearB-AppDetails Current Date'!A:A,D13,
'YearB-AppDetails Current Date'!F:F,E13,
'YearB-AppDetails Current Date'!E:E,--F13,
'YearB-AppDetails Current Date'!T:T,{"CDMT","RQMT","WAIT"},
'YearB-AppDetails Current Date'!I:I,"SPRING"))), "")</f>
        <v/>
      </c>
      <c r="P13" s="74" t="str">
        <f>IFERROR(1/(1/COUNTIFS(
'YearB-AppDetails Current Date'!A:A,D13,
'YearB-AppDetails Current Date'!F:F,E13,
'YearB-AppDetails Current Date'!E:E,--F13,
'YearB-AppDetails Current Date'!Y:Y,"ENRO",
'YearB-AppDetails Current Date'!I:I,"SPRING")), "")</f>
        <v/>
      </c>
      <c r="Q13" s="3" t="str">
        <f t="shared" si="0"/>
        <v/>
      </c>
    </row>
    <row r="14" spans="1:17" ht="15.75" customHeight="1" x14ac:dyDescent="0.25">
      <c r="A14" s="170"/>
      <c r="B14" s="122"/>
      <c r="C14" s="138"/>
      <c r="D14" s="2" t="s">
        <v>143</v>
      </c>
      <c r="E14" s="2" t="s">
        <v>43</v>
      </c>
      <c r="F14" s="31">
        <v>1</v>
      </c>
      <c r="G14" s="141"/>
      <c r="H14" s="73" t="str">
        <f>IFERROR(1/(1/
SUM(
N(VLOOKUP(D14&amp;F14,'Budgeted Projections Intl HC'!D:T,16,FALSE)),
N(VLOOKUP(D14&amp;F14,'Budgeted Projections Intl HC'!D:T,17,FALSE))
)
),"")</f>
        <v/>
      </c>
      <c r="I14" s="73" t="str">
        <f>IFERROR(1/(1/COUNTIFS(
'YearB-AppDetails Current Date'!A:A,D14,
'YearB-AppDetails Current Date'!F:F,E14,
'YearB-AppDetails Current Date'!E:E,--F14,
'YearB-AppDetails Current Date'!I:I,"SPRING")), "")</f>
        <v/>
      </c>
      <c r="J14" s="74" t="str" cm="1">
        <f t="array" ref="J14">IFERROR(1/(1/SUM(COUNTIFS(
'YearB-AppDetails Current Date'!A:A,D14,
'YearB-AppDetails Current Date'!F:F,E14,
'YearB-AppDetails Current Date'!E:E,--F14,
'YearB-AppDetails Current Date'!O:O,{"ACLN","ACPT","COND"},
'YearB-AppDetails Current Date'!S:S,"&lt;&gt;ACLN",
'YearB-AppDetails Current Date'!S:S,"&lt;&gt;ACPT",
'YearB-AppDetails Current Date'!S:S,"&lt;&gt;COND",
'YearB-AppDetails Current Date'!I:I,"SPRING"))), "")</f>
        <v/>
      </c>
      <c r="K14" s="73" t="str">
        <f>IFERROR(1/(1/SUM(COUNTIFS(
'YearB-AppDetails Current Date'!A:A,D14,
'YearB-AppDetails Current Date'!F:F,E14,
'YearB-AppDetails Current Date'!E:E,--F14,
'YearB-AppDetails Current Date'!R:R,"&lt;&gt;"&amp;"",
'YearB-AppDetails Current Date'!I:I,"SPRING"))), "")</f>
        <v/>
      </c>
      <c r="L14" s="74" t="str" cm="1">
        <f t="array" ref="L14">IFERROR(1/(1/SUM(COUNTIFS(
'YearB-AppDetails Current Date'!A:A,D14,
'YearB-AppDetails Current Date'!F:F,E14,
'YearB-AppDetails Current Date'!E:E,--F14,
'YearB-AppDetails Current Date'!T:T,{"APEX","DENY","NTSL"},
'YearB-AppDetails Current Date'!I:I,"SPRING"))), "")</f>
        <v/>
      </c>
      <c r="M14" s="74" t="str" cm="1">
        <f t="array" ref="M14">IFERROR(1/(1/SUM(COUNTIFS(
'YearB-AppDetails Current Date'!A:A,D14,
'YearB-AppDetails Current Date'!F:F,E14,
'YearB-AppDetails Current Date'!E:E,--F14,
'YearB-AppDetails Current Date'!U:U,{"CCAN","DECL"},
'YearB-AppDetails Current Date'!I:I,"SPRING"))), "")</f>
        <v/>
      </c>
      <c r="N14" s="74" t="str" cm="1">
        <f t="array" ref="N14">IFERROR(1/(1/SUM(COUNTIFS(
'YearB-AppDetails Current Date'!A:A,D14,
'YearB-AppDetails Current Date'!F:F,E14,
'YearB-AppDetails Current Date'!E:E,--F14,
'YearB-AppDetails Current Date'!V:V,{"APRO","NODE"},
'YearB-AppDetails Current Date'!I:I,"SPRING"))), "")</f>
        <v/>
      </c>
      <c r="O14" s="74" t="str" cm="1">
        <f t="array" ref="O14">IFERROR(1/(1/SUM(COUNTIFS(
'YearB-AppDetails Current Date'!A:A,D14,
'YearB-AppDetails Current Date'!F:F,E14,
'YearB-AppDetails Current Date'!E:E,--F14,
'YearB-AppDetails Current Date'!T:T,{"CDMT","RQMT","WAIT"},
'YearB-AppDetails Current Date'!I:I,"SPRING"))), "")</f>
        <v/>
      </c>
      <c r="P14" s="74" t="str">
        <f>IFERROR(1/(1/COUNTIFS(
'YearB-AppDetails Current Date'!A:A,D14,
'YearB-AppDetails Current Date'!F:F,E14,
'YearB-AppDetails Current Date'!E:E,--F14,
'YearB-AppDetails Current Date'!Y:Y,"ENRO",
'YearB-AppDetails Current Date'!I:I,"SPRING")), "")</f>
        <v/>
      </c>
      <c r="Q14" s="3" t="str">
        <f t="shared" si="0"/>
        <v/>
      </c>
    </row>
    <row r="15" spans="1:17" ht="15.75" customHeight="1" x14ac:dyDescent="0.25">
      <c r="A15" s="170"/>
      <c r="B15" s="122"/>
      <c r="C15" s="138"/>
      <c r="D15" s="2" t="s">
        <v>143</v>
      </c>
      <c r="E15" s="2" t="s">
        <v>42</v>
      </c>
      <c r="F15" s="31">
        <v>2</v>
      </c>
      <c r="G15" s="139">
        <v>20</v>
      </c>
      <c r="H15" s="73" t="str">
        <f>IFERROR(1/(1/
SUM(
N(VLOOKUP(D15&amp;F15,'Budgeted Projections Dom HC'!D:T,16,FALSE)),
N(VLOOKUP(D15&amp;F15,'Budgeted Projections Dom HC'!D:T,17,FALSE))
)
),"")</f>
        <v/>
      </c>
      <c r="I15" s="73" t="str">
        <f>IFERROR(1/(1/COUNTIFS(
'YearB-AppDetails Current Date'!A:A,D15,
'YearB-AppDetails Current Date'!F:F,E15,
'YearB-AppDetails Current Date'!E:E,--F15,
'YearB-AppDetails Current Date'!I:I,"SPRING")), "")</f>
        <v/>
      </c>
      <c r="J15" s="74" t="str" cm="1">
        <f t="array" ref="J15">IFERROR(1/(1/SUM(COUNTIFS(
'YearB-AppDetails Current Date'!A:A,D15,
'YearB-AppDetails Current Date'!F:F,E15,
'YearB-AppDetails Current Date'!E:E,--F15,
'YearB-AppDetails Current Date'!O:O,{"ACLN","ACPT","COND"},
'YearB-AppDetails Current Date'!S:S,"&lt;&gt;ACLN",
'YearB-AppDetails Current Date'!S:S,"&lt;&gt;ACPT",
'YearB-AppDetails Current Date'!S:S,"&lt;&gt;COND",
'YearB-AppDetails Current Date'!I:I,"SPRING"))), "")</f>
        <v/>
      </c>
      <c r="K15" s="73" t="str">
        <f>IFERROR(1/(1/SUM(COUNTIFS(
'YearB-AppDetails Current Date'!A:A,D15,
'YearB-AppDetails Current Date'!F:F,E15,
'YearB-AppDetails Current Date'!E:E,--F15,
'YearB-AppDetails Current Date'!R:R,"&lt;&gt;"&amp;"",
'YearB-AppDetails Current Date'!I:I,"SPRING"))), "")</f>
        <v/>
      </c>
      <c r="L15" s="74" t="str" cm="1">
        <f t="array" ref="L15">IFERROR(1/(1/SUM(COUNTIFS(
'YearB-AppDetails Current Date'!A:A,D15,
'YearB-AppDetails Current Date'!F:F,E15,
'YearB-AppDetails Current Date'!E:E,--F15,
'YearB-AppDetails Current Date'!T:T,{"APEX","DENY","NTSL"},
'YearB-AppDetails Current Date'!I:I,"SPRING"))), "")</f>
        <v/>
      </c>
      <c r="M15" s="74" t="str" cm="1">
        <f t="array" ref="M15">IFERROR(1/(1/SUM(COUNTIFS(
'YearB-AppDetails Current Date'!A:A,D15,
'YearB-AppDetails Current Date'!F:F,E15,
'YearB-AppDetails Current Date'!E:E,--F15,
'YearB-AppDetails Current Date'!U:U,{"CCAN","DECL"},
'YearB-AppDetails Current Date'!I:I,"SPRING"))), "")</f>
        <v/>
      </c>
      <c r="N15" s="74" t="str" cm="1">
        <f t="array" ref="N15">IFERROR(1/(1/SUM(COUNTIFS(
'YearB-AppDetails Current Date'!A:A,D15,
'YearB-AppDetails Current Date'!F:F,E15,
'YearB-AppDetails Current Date'!E:E,--F15,
'YearB-AppDetails Current Date'!V:V,{"APRO","NODE"},
'YearB-AppDetails Current Date'!I:I,"SPRING"))), "")</f>
        <v/>
      </c>
      <c r="O15" s="74" t="str" cm="1">
        <f t="array" ref="O15">IFERROR(1/(1/SUM(COUNTIFS(
'YearB-AppDetails Current Date'!A:A,D15,
'YearB-AppDetails Current Date'!F:F,E15,
'YearB-AppDetails Current Date'!E:E,--F15,
'YearB-AppDetails Current Date'!T:T,{"CDMT","RQMT","WAIT"},
'YearB-AppDetails Current Date'!I:I,"SPRING"))), "")</f>
        <v/>
      </c>
      <c r="P15" s="74" t="str">
        <f>IFERROR(1/(1/COUNTIFS(
'YearB-AppDetails Current Date'!A:A,D15,
'YearB-AppDetails Current Date'!F:F,E15,
'YearB-AppDetails Current Date'!E:E,--F15,
'YearB-AppDetails Current Date'!Y:Y,"ENRO",
'YearB-AppDetails Current Date'!I:I,"SPRING")), "")</f>
        <v/>
      </c>
      <c r="Q15" s="3" t="str">
        <f t="shared" si="0"/>
        <v/>
      </c>
    </row>
    <row r="16" spans="1:17" ht="15.75" customHeight="1" x14ac:dyDescent="0.25">
      <c r="A16" s="170"/>
      <c r="B16" s="122"/>
      <c r="C16" s="125"/>
      <c r="D16" s="2" t="s">
        <v>143</v>
      </c>
      <c r="E16" s="2" t="s">
        <v>43</v>
      </c>
      <c r="F16" s="31">
        <v>2</v>
      </c>
      <c r="G16" s="140"/>
      <c r="H16" s="73" t="str">
        <f>IFERROR(1/(1/
SUM(
N(VLOOKUP(D16&amp;F16,'Budgeted Projections Intl HC'!D:T,16,FALSE)),
N(VLOOKUP(D16&amp;F16,'Budgeted Projections Intl HC'!D:T,17,FALSE))
)
),"")</f>
        <v/>
      </c>
      <c r="I16" s="73" t="str">
        <f>IFERROR(1/(1/COUNTIFS(
'YearB-AppDetails Current Date'!A:A,D16,
'YearB-AppDetails Current Date'!F:F,E16,
'YearB-AppDetails Current Date'!E:E,--F16,
'YearB-AppDetails Current Date'!I:I,"SPRING")), "")</f>
        <v/>
      </c>
      <c r="J16" s="74" t="str" cm="1">
        <f t="array" ref="J16">IFERROR(1/(1/SUM(COUNTIFS(
'YearB-AppDetails Current Date'!A:A,D16,
'YearB-AppDetails Current Date'!F:F,E16,
'YearB-AppDetails Current Date'!E:E,--F16,
'YearB-AppDetails Current Date'!O:O,{"ACLN","ACPT","COND"},
'YearB-AppDetails Current Date'!S:S,"&lt;&gt;ACLN",
'YearB-AppDetails Current Date'!S:S,"&lt;&gt;ACPT",
'YearB-AppDetails Current Date'!S:S,"&lt;&gt;COND",
'YearB-AppDetails Current Date'!I:I,"SPRING"))), "")</f>
        <v/>
      </c>
      <c r="K16" s="73" t="str">
        <f>IFERROR(1/(1/SUM(COUNTIFS(
'YearB-AppDetails Current Date'!A:A,D16,
'YearB-AppDetails Current Date'!F:F,E16,
'YearB-AppDetails Current Date'!E:E,--F16,
'YearB-AppDetails Current Date'!R:R,"&lt;&gt;"&amp;"",
'YearB-AppDetails Current Date'!I:I,"SPRING"))), "")</f>
        <v/>
      </c>
      <c r="L16" s="74" t="str" cm="1">
        <f t="array" ref="L16">IFERROR(1/(1/SUM(COUNTIFS(
'YearB-AppDetails Current Date'!A:A,D16,
'YearB-AppDetails Current Date'!F:F,E16,
'YearB-AppDetails Current Date'!E:E,--F16,
'YearB-AppDetails Current Date'!T:T,{"APEX","DENY","NTSL"},
'YearB-AppDetails Current Date'!I:I,"SPRING"))), "")</f>
        <v/>
      </c>
      <c r="M16" s="74" t="str" cm="1">
        <f t="array" ref="M16">IFERROR(1/(1/SUM(COUNTIFS(
'YearB-AppDetails Current Date'!A:A,D16,
'YearB-AppDetails Current Date'!F:F,E16,
'YearB-AppDetails Current Date'!E:E,--F16,
'YearB-AppDetails Current Date'!U:U,{"CCAN","DECL"},
'YearB-AppDetails Current Date'!I:I,"SPRING"))), "")</f>
        <v/>
      </c>
      <c r="N16" s="74" t="str" cm="1">
        <f t="array" ref="N16">IFERROR(1/(1/SUM(COUNTIFS(
'YearB-AppDetails Current Date'!A:A,D16,
'YearB-AppDetails Current Date'!F:F,E16,
'YearB-AppDetails Current Date'!E:E,--F16,
'YearB-AppDetails Current Date'!V:V,{"APRO","NODE"},
'YearB-AppDetails Current Date'!I:I,"SPRING"))), "")</f>
        <v/>
      </c>
      <c r="O16" s="74" t="str" cm="1">
        <f t="array" ref="O16">IFERROR(1/(1/SUM(COUNTIFS(
'YearB-AppDetails Current Date'!A:A,D16,
'YearB-AppDetails Current Date'!F:F,E16,
'YearB-AppDetails Current Date'!E:E,--F16,
'YearB-AppDetails Current Date'!T:T,{"CDMT","RQMT","WAIT"},
'YearB-AppDetails Current Date'!I:I,"SPRING"))), "")</f>
        <v/>
      </c>
      <c r="P16" s="74" t="str">
        <f>IFERROR(1/(1/COUNTIFS(
'YearB-AppDetails Current Date'!A:A,D16,
'YearB-AppDetails Current Date'!F:F,E16,
'YearB-AppDetails Current Date'!E:E,--F16,
'YearB-AppDetails Current Date'!Y:Y,"ENRO",
'YearB-AppDetails Current Date'!I:I,"SPRING")), "")</f>
        <v/>
      </c>
      <c r="Q16" s="3" t="str">
        <f t="shared" si="0"/>
        <v/>
      </c>
    </row>
    <row r="17" spans="1:17" ht="15.75" customHeight="1" x14ac:dyDescent="0.25">
      <c r="A17" s="170"/>
      <c r="B17" s="123"/>
      <c r="C17" s="142" t="s">
        <v>172</v>
      </c>
      <c r="D17" s="143"/>
      <c r="E17" s="143"/>
      <c r="F17" s="144"/>
      <c r="G17" s="7"/>
      <c r="H17" s="4">
        <f>SUM(H3:H16)</f>
        <v>0</v>
      </c>
      <c r="I17" s="4">
        <f t="shared" ref="I17:P17" si="1">SUM(I3:I16)</f>
        <v>0</v>
      </c>
      <c r="J17" s="4">
        <f t="shared" si="1"/>
        <v>0</v>
      </c>
      <c r="K17" s="4">
        <f t="shared" si="1"/>
        <v>0</v>
      </c>
      <c r="L17" s="4">
        <f t="shared" si="1"/>
        <v>0</v>
      </c>
      <c r="M17" s="4">
        <f t="shared" si="1"/>
        <v>0</v>
      </c>
      <c r="N17" s="4">
        <f t="shared" si="1"/>
        <v>0</v>
      </c>
      <c r="O17" s="4">
        <f t="shared" si="1"/>
        <v>0</v>
      </c>
      <c r="P17" s="4">
        <f t="shared" si="1"/>
        <v>0</v>
      </c>
      <c r="Q17" s="35" t="str">
        <f t="shared" si="0"/>
        <v/>
      </c>
    </row>
    <row r="18" spans="1:17" ht="15.75" customHeight="1" x14ac:dyDescent="0.25">
      <c r="A18" s="170"/>
      <c r="B18" s="121" t="s">
        <v>271</v>
      </c>
      <c r="C18" s="124" t="s">
        <v>245</v>
      </c>
      <c r="D18" s="23" t="s">
        <v>246</v>
      </c>
      <c r="E18" s="2" t="s">
        <v>42</v>
      </c>
      <c r="F18" s="42">
        <v>1</v>
      </c>
      <c r="G18" s="139"/>
      <c r="H18" s="73" t="str">
        <f>IFERROR(1/(1/
SUM(
N(VLOOKUP(D18&amp;F18,'Budgeted Projections Dom HC'!D:T,16,FALSE)),
N(VLOOKUP(D18&amp;F18,'Budgeted Projections Dom HC'!D:T,17,FALSE))
)
),"")</f>
        <v/>
      </c>
      <c r="I18" s="73" t="str">
        <f>IFERROR(1/(1/COUNTIFS(
'YearB-AppDetails Current Date'!A:A,D18,
'YearB-AppDetails Current Date'!F:F,E18,
'YearB-AppDetails Current Date'!E:E,--F18,
'YearB-AppDetails Current Date'!I:I,"SPRING")), "")</f>
        <v/>
      </c>
      <c r="J18" s="74" t="str" cm="1">
        <f t="array" ref="J18">IFERROR(1/(1/SUM(COUNTIFS(
'YearB-AppDetails Current Date'!A:A,D18,
'YearB-AppDetails Current Date'!F:F,E18,
'YearB-AppDetails Current Date'!E:E,--F18,
'YearB-AppDetails Current Date'!O:O,{"ACLN","ACPT","COND"},
'YearB-AppDetails Current Date'!S:S,"&lt;&gt;ACLN",
'YearB-AppDetails Current Date'!S:S,"&lt;&gt;ACPT",
'YearB-AppDetails Current Date'!S:S,"&lt;&gt;COND",
'YearB-AppDetails Current Date'!I:I,"SPRING"))), "")</f>
        <v/>
      </c>
      <c r="K18" s="73" t="str">
        <f>IFERROR(1/(1/SUM(COUNTIFS(
'YearB-AppDetails Current Date'!A:A,D18,
'YearB-AppDetails Current Date'!F:F,E18,
'YearB-AppDetails Current Date'!E:E,--F18,
'YearB-AppDetails Current Date'!R:R,"&lt;&gt;"&amp;"",
'YearB-AppDetails Current Date'!I:I,"SPRING"))), "")</f>
        <v/>
      </c>
      <c r="L18" s="74" t="str" cm="1">
        <f t="array" ref="L18">IFERROR(1/(1/SUM(COUNTIFS(
'YearB-AppDetails Current Date'!A:A,D18,
'YearB-AppDetails Current Date'!F:F,E18,
'YearB-AppDetails Current Date'!E:E,--F18,
'YearB-AppDetails Current Date'!T:T,{"APEX","DENY","NTSL"},
'YearB-AppDetails Current Date'!I:I,"SPRING"))), "")</f>
        <v/>
      </c>
      <c r="M18" s="74" t="str" cm="1">
        <f t="array" ref="M18">IFERROR(1/(1/SUM(COUNTIFS(
'YearB-AppDetails Current Date'!A:A,D18,
'YearB-AppDetails Current Date'!F:F,E18,
'YearB-AppDetails Current Date'!E:E,--F18,
'YearB-AppDetails Current Date'!U:U,{"CCAN","DECL"},
'YearB-AppDetails Current Date'!I:I,"SPRING"))), "")</f>
        <v/>
      </c>
      <c r="N18" s="74" t="str" cm="1">
        <f t="array" ref="N18">IFERROR(1/(1/SUM(COUNTIFS(
'YearB-AppDetails Current Date'!A:A,D18,
'YearB-AppDetails Current Date'!F:F,E18,
'YearB-AppDetails Current Date'!E:E,--F18,
'YearB-AppDetails Current Date'!V:V,{"APRO","NODE"},
'YearB-AppDetails Current Date'!I:I,"SPRING"))), "")</f>
        <v/>
      </c>
      <c r="O18" s="74" t="str" cm="1">
        <f t="array" ref="O18">IFERROR(1/(1/SUM(COUNTIFS(
'YearB-AppDetails Current Date'!A:A,D18,
'YearB-AppDetails Current Date'!F:F,E18,
'YearB-AppDetails Current Date'!E:E,--F18,
'YearB-AppDetails Current Date'!T:T,{"CDMT","RQMT","WAIT"},
'YearB-AppDetails Current Date'!I:I,"SPRING"))), "")</f>
        <v/>
      </c>
      <c r="P18" s="74" t="str">
        <f>IFERROR(1/(1/COUNTIFS(
'YearB-AppDetails Current Date'!A:A,D18,
'YearB-AppDetails Current Date'!F:F,E18,
'YearB-AppDetails Current Date'!E:E,--F18,
'YearB-AppDetails Current Date'!Y:Y,"ENRO",
'YearB-AppDetails Current Date'!I:I,"SPRING")), "")</f>
        <v/>
      </c>
      <c r="Q18" s="3" t="str">
        <f t="shared" si="0"/>
        <v/>
      </c>
    </row>
    <row r="19" spans="1:17" ht="15.75" customHeight="1" x14ac:dyDescent="0.25">
      <c r="A19" s="170"/>
      <c r="B19" s="122"/>
      <c r="C19" s="125"/>
      <c r="D19" s="23" t="s">
        <v>246</v>
      </c>
      <c r="E19" s="2" t="s">
        <v>43</v>
      </c>
      <c r="F19" s="31">
        <v>1</v>
      </c>
      <c r="G19" s="140"/>
      <c r="H19" s="73" t="str">
        <f>IFERROR(1/(1/
SUM(
N(VLOOKUP(D19&amp;F19,'Budgeted Projections Intl HC'!D:T,16,FALSE)),
N(VLOOKUP(D19&amp;F19,'Budgeted Projections Intl HC'!D:T,17,FALSE))
)
),"")</f>
        <v/>
      </c>
      <c r="I19" s="73" t="str">
        <f>IFERROR(1/(1/COUNTIFS(
'YearB-AppDetails Current Date'!A:A,D19,
'YearB-AppDetails Current Date'!F:F,E19,
'YearB-AppDetails Current Date'!E:E,--F19,
'YearB-AppDetails Current Date'!I:I,"SPRING")), "")</f>
        <v/>
      </c>
      <c r="J19" s="74" t="str" cm="1">
        <f t="array" ref="J19">IFERROR(1/(1/SUM(COUNTIFS(
'YearB-AppDetails Current Date'!A:A,D19,
'YearB-AppDetails Current Date'!F:F,E19,
'YearB-AppDetails Current Date'!E:E,--F19,
'YearB-AppDetails Current Date'!O:O,{"ACLN","ACPT","COND"},
'YearB-AppDetails Current Date'!S:S,"&lt;&gt;ACLN",
'YearB-AppDetails Current Date'!S:S,"&lt;&gt;ACPT",
'YearB-AppDetails Current Date'!S:S,"&lt;&gt;COND",
'YearB-AppDetails Current Date'!I:I,"SPRING"))), "")</f>
        <v/>
      </c>
      <c r="K19" s="73" t="str">
        <f>IFERROR(1/(1/SUM(COUNTIFS(
'YearB-AppDetails Current Date'!A:A,D19,
'YearB-AppDetails Current Date'!F:F,E19,
'YearB-AppDetails Current Date'!E:E,--F19,
'YearB-AppDetails Current Date'!R:R,"&lt;&gt;"&amp;"",
'YearB-AppDetails Current Date'!I:I,"SPRING"))), "")</f>
        <v/>
      </c>
      <c r="L19" s="74" t="str" cm="1">
        <f t="array" ref="L19">IFERROR(1/(1/SUM(COUNTIFS(
'YearB-AppDetails Current Date'!A:A,D19,
'YearB-AppDetails Current Date'!F:F,E19,
'YearB-AppDetails Current Date'!E:E,--F19,
'YearB-AppDetails Current Date'!T:T,{"APEX","DENY","NTSL"},
'YearB-AppDetails Current Date'!I:I,"SPRING"))), "")</f>
        <v/>
      </c>
      <c r="M19" s="74" t="str" cm="1">
        <f t="array" ref="M19">IFERROR(1/(1/SUM(COUNTIFS(
'YearB-AppDetails Current Date'!A:A,D19,
'YearB-AppDetails Current Date'!F:F,E19,
'YearB-AppDetails Current Date'!E:E,--F19,
'YearB-AppDetails Current Date'!U:U,{"CCAN","DECL"},
'YearB-AppDetails Current Date'!I:I,"SPRING"))), "")</f>
        <v/>
      </c>
      <c r="N19" s="74" t="str" cm="1">
        <f t="array" ref="N19">IFERROR(1/(1/SUM(COUNTIFS(
'YearB-AppDetails Current Date'!A:A,D19,
'YearB-AppDetails Current Date'!F:F,E19,
'YearB-AppDetails Current Date'!E:E,--F19,
'YearB-AppDetails Current Date'!V:V,{"APRO","NODE"},
'YearB-AppDetails Current Date'!I:I,"SPRING"))), "")</f>
        <v/>
      </c>
      <c r="O19" s="74" t="str" cm="1">
        <f t="array" ref="O19">IFERROR(1/(1/SUM(COUNTIFS(
'YearB-AppDetails Current Date'!A:A,D19,
'YearB-AppDetails Current Date'!F:F,E19,
'YearB-AppDetails Current Date'!E:E,--F19,
'YearB-AppDetails Current Date'!T:T,{"CDMT","RQMT","WAIT"},
'YearB-AppDetails Current Date'!I:I,"SPRING"))), "")</f>
        <v/>
      </c>
      <c r="P19" s="74" t="str">
        <f>IFERROR(1/(1/COUNTIFS(
'YearB-AppDetails Current Date'!A:A,D19,
'YearB-AppDetails Current Date'!F:F,E19,
'YearB-AppDetails Current Date'!E:E,--F19,
'YearB-AppDetails Current Date'!Y:Y,"ENRO",
'YearB-AppDetails Current Date'!I:I,"SPRING")), "")</f>
        <v/>
      </c>
      <c r="Q19" s="3" t="str">
        <f t="shared" si="0"/>
        <v/>
      </c>
    </row>
    <row r="20" spans="1:17" ht="15.75" customHeight="1" x14ac:dyDescent="0.25">
      <c r="A20" s="170"/>
      <c r="B20" s="122"/>
      <c r="C20" s="124" t="s">
        <v>162</v>
      </c>
      <c r="D20" s="23" t="s">
        <v>51</v>
      </c>
      <c r="E20" s="2" t="s">
        <v>42</v>
      </c>
      <c r="F20" s="42">
        <v>1</v>
      </c>
      <c r="G20" s="139">
        <v>12</v>
      </c>
      <c r="H20" s="73" t="str">
        <f>IFERROR(1/(1/
SUM(
N(VLOOKUP(D20&amp;F20,'Budgeted Projections Dom HC'!D:T,16,FALSE)),
N(VLOOKUP(D20&amp;F20,'Budgeted Projections Dom HC'!D:T,17,FALSE))
)
),"")</f>
        <v/>
      </c>
      <c r="I20" s="73" t="str">
        <f>IFERROR(1/(1/COUNTIFS(
'YearB-AppDetails Current Date'!A:A,D20,
'YearB-AppDetails Current Date'!F:F,E20,
'YearB-AppDetails Current Date'!E:E,--F20,
'YearB-AppDetails Current Date'!I:I,"SPRING")), "")</f>
        <v/>
      </c>
      <c r="J20" s="74" t="str" cm="1">
        <f t="array" ref="J20">IFERROR(1/(1/SUM(COUNTIFS(
'YearB-AppDetails Current Date'!A:A,D20,
'YearB-AppDetails Current Date'!F:F,E20,
'YearB-AppDetails Current Date'!E:E,--F20,
'YearB-AppDetails Current Date'!O:O,{"ACLN","ACPT","COND"},
'YearB-AppDetails Current Date'!S:S,"&lt;&gt;ACLN",
'YearB-AppDetails Current Date'!S:S,"&lt;&gt;ACPT",
'YearB-AppDetails Current Date'!S:S,"&lt;&gt;COND",
'YearB-AppDetails Current Date'!I:I,"SPRING"))), "")</f>
        <v/>
      </c>
      <c r="K20" s="73" t="str">
        <f>IFERROR(1/(1/SUM(COUNTIFS(
'YearB-AppDetails Current Date'!A:A,D20,
'YearB-AppDetails Current Date'!F:F,E20,
'YearB-AppDetails Current Date'!E:E,--F20,
'YearB-AppDetails Current Date'!R:R,"&lt;&gt;"&amp;"",
'YearB-AppDetails Current Date'!I:I,"SPRING"))), "")</f>
        <v/>
      </c>
      <c r="L20" s="74" t="str" cm="1">
        <f t="array" ref="L20">IFERROR(1/(1/SUM(COUNTIFS(
'YearB-AppDetails Current Date'!A:A,D20,
'YearB-AppDetails Current Date'!F:F,E20,
'YearB-AppDetails Current Date'!E:E,--F20,
'YearB-AppDetails Current Date'!T:T,{"APEX","DENY","NTSL"},
'YearB-AppDetails Current Date'!I:I,"SPRING"))), "")</f>
        <v/>
      </c>
      <c r="M20" s="74" t="str" cm="1">
        <f t="array" ref="M20">IFERROR(1/(1/SUM(COUNTIFS(
'YearB-AppDetails Current Date'!A:A,D20,
'YearB-AppDetails Current Date'!F:F,E20,
'YearB-AppDetails Current Date'!E:E,--F20,
'YearB-AppDetails Current Date'!U:U,{"CCAN","DECL"},
'YearB-AppDetails Current Date'!I:I,"SPRING"))), "")</f>
        <v/>
      </c>
      <c r="N20" s="74" t="str" cm="1">
        <f t="array" ref="N20">IFERROR(1/(1/SUM(COUNTIFS(
'YearB-AppDetails Current Date'!A:A,D20,
'YearB-AppDetails Current Date'!F:F,E20,
'YearB-AppDetails Current Date'!E:E,--F20,
'YearB-AppDetails Current Date'!V:V,{"APRO","NODE"},
'YearB-AppDetails Current Date'!I:I,"SPRING"))), "")</f>
        <v/>
      </c>
      <c r="O20" s="74" t="str" cm="1">
        <f t="array" ref="O20">IFERROR(1/(1/SUM(COUNTIFS(
'YearB-AppDetails Current Date'!A:A,D20,
'YearB-AppDetails Current Date'!F:F,E20,
'YearB-AppDetails Current Date'!E:E,--F20,
'YearB-AppDetails Current Date'!T:T,{"CDMT","RQMT","WAIT"},
'YearB-AppDetails Current Date'!I:I,"SPRING"))), "")</f>
        <v/>
      </c>
      <c r="P20" s="74" t="str">
        <f>IFERROR(1/(1/COUNTIFS(
'YearB-AppDetails Current Date'!A:A,D20,
'YearB-AppDetails Current Date'!F:F,E20,
'YearB-AppDetails Current Date'!E:E,--F20,
'YearB-AppDetails Current Date'!Y:Y,"ENRO",
'YearB-AppDetails Current Date'!I:I,"SPRING")), "")</f>
        <v/>
      </c>
      <c r="Q20" s="3" t="str">
        <f t="shared" si="0"/>
        <v/>
      </c>
    </row>
    <row r="21" spans="1:17" ht="15.75" customHeight="1" x14ac:dyDescent="0.25">
      <c r="A21" s="170"/>
      <c r="B21" s="122"/>
      <c r="C21" s="125"/>
      <c r="D21" s="23" t="s">
        <v>51</v>
      </c>
      <c r="E21" s="2" t="s">
        <v>43</v>
      </c>
      <c r="F21" s="31">
        <v>1</v>
      </c>
      <c r="G21" s="140"/>
      <c r="H21" s="73" t="str">
        <f>IFERROR(1/(1/
SUM(
N(VLOOKUP(D21&amp;F21,'Budgeted Projections Intl HC'!D:T,16,FALSE)),
N(VLOOKUP(D21&amp;F21,'Budgeted Projections Intl HC'!D:T,17,FALSE))
)
),"")</f>
        <v/>
      </c>
      <c r="I21" s="73" t="str">
        <f>IFERROR(1/(1/COUNTIFS(
'YearB-AppDetails Current Date'!A:A,D21,
'YearB-AppDetails Current Date'!F:F,E21,
'YearB-AppDetails Current Date'!E:E,--F21,
'YearB-AppDetails Current Date'!I:I,"SPRING")), "")</f>
        <v/>
      </c>
      <c r="J21" s="74" t="str" cm="1">
        <f t="array" ref="J21">IFERROR(1/(1/SUM(COUNTIFS(
'YearB-AppDetails Current Date'!A:A,D21,
'YearB-AppDetails Current Date'!F:F,E21,
'YearB-AppDetails Current Date'!E:E,--F21,
'YearB-AppDetails Current Date'!O:O,{"ACLN","ACPT","COND"},
'YearB-AppDetails Current Date'!S:S,"&lt;&gt;ACLN",
'YearB-AppDetails Current Date'!S:S,"&lt;&gt;ACPT",
'YearB-AppDetails Current Date'!S:S,"&lt;&gt;COND",
'YearB-AppDetails Current Date'!I:I,"SPRING"))), "")</f>
        <v/>
      </c>
      <c r="K21" s="73" t="str">
        <f>IFERROR(1/(1/SUM(COUNTIFS(
'YearB-AppDetails Current Date'!A:A,D21,
'YearB-AppDetails Current Date'!F:F,E21,
'YearB-AppDetails Current Date'!E:E,--F21,
'YearB-AppDetails Current Date'!R:R,"&lt;&gt;"&amp;"",
'YearB-AppDetails Current Date'!I:I,"SPRING"))), "")</f>
        <v/>
      </c>
      <c r="L21" s="74" t="str" cm="1">
        <f t="array" ref="L21">IFERROR(1/(1/SUM(COUNTIFS(
'YearB-AppDetails Current Date'!A:A,D21,
'YearB-AppDetails Current Date'!F:F,E21,
'YearB-AppDetails Current Date'!E:E,--F21,
'YearB-AppDetails Current Date'!T:T,{"APEX","DENY","NTSL"},
'YearB-AppDetails Current Date'!I:I,"SPRING"))), "")</f>
        <v/>
      </c>
      <c r="M21" s="74" t="str" cm="1">
        <f t="array" ref="M21">IFERROR(1/(1/SUM(COUNTIFS(
'YearB-AppDetails Current Date'!A:A,D21,
'YearB-AppDetails Current Date'!F:F,E21,
'YearB-AppDetails Current Date'!E:E,--F21,
'YearB-AppDetails Current Date'!U:U,{"CCAN","DECL"},
'YearB-AppDetails Current Date'!I:I,"SPRING"))), "")</f>
        <v/>
      </c>
      <c r="N21" s="74" t="str" cm="1">
        <f t="array" ref="N21">IFERROR(1/(1/SUM(COUNTIFS(
'YearB-AppDetails Current Date'!A:A,D21,
'YearB-AppDetails Current Date'!F:F,E21,
'YearB-AppDetails Current Date'!E:E,--F21,
'YearB-AppDetails Current Date'!V:V,{"APRO","NODE"},
'YearB-AppDetails Current Date'!I:I,"SPRING"))), "")</f>
        <v/>
      </c>
      <c r="O21" s="74" t="str" cm="1">
        <f t="array" ref="O21">IFERROR(1/(1/SUM(COUNTIFS(
'YearB-AppDetails Current Date'!A:A,D21,
'YearB-AppDetails Current Date'!F:F,E21,
'YearB-AppDetails Current Date'!E:E,--F21,
'YearB-AppDetails Current Date'!T:T,{"CDMT","RQMT","WAIT"},
'YearB-AppDetails Current Date'!I:I,"SPRING"))), "")</f>
        <v/>
      </c>
      <c r="P21" s="74" t="str">
        <f>IFERROR(1/(1/COUNTIFS(
'YearB-AppDetails Current Date'!A:A,D21,
'YearB-AppDetails Current Date'!F:F,E21,
'YearB-AppDetails Current Date'!E:E,--F21,
'YearB-AppDetails Current Date'!Y:Y,"ENRO",
'YearB-AppDetails Current Date'!I:I,"SPRING")), "")</f>
        <v/>
      </c>
      <c r="Q21" s="3" t="str">
        <f t="shared" si="0"/>
        <v/>
      </c>
    </row>
    <row r="22" spans="1:17" ht="15.75" customHeight="1" x14ac:dyDescent="0.25">
      <c r="A22" s="170"/>
      <c r="B22" s="122"/>
      <c r="C22" s="124" t="s">
        <v>165</v>
      </c>
      <c r="D22" s="23" t="s">
        <v>52</v>
      </c>
      <c r="E22" s="2" t="s">
        <v>42</v>
      </c>
      <c r="F22" s="42">
        <v>1</v>
      </c>
      <c r="G22" s="139">
        <v>12</v>
      </c>
      <c r="H22" s="73" t="str">
        <f>IFERROR(1/(1/
SUM(
N(VLOOKUP(D22&amp;F22,'Budgeted Projections Dom HC'!D:T,16,FALSE)),
N(VLOOKUP(D22&amp;F22,'Budgeted Projections Dom HC'!D:T,17,FALSE))
)
),"")</f>
        <v/>
      </c>
      <c r="I22" s="73" t="str">
        <f>IFERROR(1/(1/COUNTIFS(
'YearB-AppDetails Current Date'!A:A,D22,
'YearB-AppDetails Current Date'!F:F,E22,
'YearB-AppDetails Current Date'!E:E,--F22,
'YearB-AppDetails Current Date'!I:I,"SPRING")), "")</f>
        <v/>
      </c>
      <c r="J22" s="74" t="str" cm="1">
        <f t="array" ref="J22">IFERROR(1/(1/SUM(COUNTIFS(
'YearB-AppDetails Current Date'!A:A,D22,
'YearB-AppDetails Current Date'!F:F,E22,
'YearB-AppDetails Current Date'!E:E,--F22,
'YearB-AppDetails Current Date'!O:O,{"ACLN","ACPT","COND"},
'YearB-AppDetails Current Date'!S:S,"&lt;&gt;ACLN",
'YearB-AppDetails Current Date'!S:S,"&lt;&gt;ACPT",
'YearB-AppDetails Current Date'!S:S,"&lt;&gt;COND",
'YearB-AppDetails Current Date'!I:I,"SPRING"))), "")</f>
        <v/>
      </c>
      <c r="K22" s="73" t="str">
        <f>IFERROR(1/(1/SUM(COUNTIFS(
'YearB-AppDetails Current Date'!A:A,D22,
'YearB-AppDetails Current Date'!F:F,E22,
'YearB-AppDetails Current Date'!E:E,--F22,
'YearB-AppDetails Current Date'!R:R,"&lt;&gt;"&amp;"",
'YearB-AppDetails Current Date'!I:I,"SPRING"))), "")</f>
        <v/>
      </c>
      <c r="L22" s="74" t="str" cm="1">
        <f t="array" ref="L22">IFERROR(1/(1/SUM(COUNTIFS(
'YearB-AppDetails Current Date'!A:A,D22,
'YearB-AppDetails Current Date'!F:F,E22,
'YearB-AppDetails Current Date'!E:E,--F22,
'YearB-AppDetails Current Date'!T:T,{"APEX","DENY","NTSL"},
'YearB-AppDetails Current Date'!I:I,"SPRING"))), "")</f>
        <v/>
      </c>
      <c r="M22" s="74" t="str" cm="1">
        <f t="array" ref="M22">IFERROR(1/(1/SUM(COUNTIFS(
'YearB-AppDetails Current Date'!A:A,D22,
'YearB-AppDetails Current Date'!F:F,E22,
'YearB-AppDetails Current Date'!E:E,--F22,
'YearB-AppDetails Current Date'!U:U,{"CCAN","DECL"},
'YearB-AppDetails Current Date'!I:I,"SPRING"))), "")</f>
        <v/>
      </c>
      <c r="N22" s="74" t="str" cm="1">
        <f t="array" ref="N22">IFERROR(1/(1/SUM(COUNTIFS(
'YearB-AppDetails Current Date'!A:A,D22,
'YearB-AppDetails Current Date'!F:F,E22,
'YearB-AppDetails Current Date'!E:E,--F22,
'YearB-AppDetails Current Date'!V:V,{"APRO","NODE"},
'YearB-AppDetails Current Date'!I:I,"SPRING"))), "")</f>
        <v/>
      </c>
      <c r="O22" s="74" t="str" cm="1">
        <f t="array" ref="O22">IFERROR(1/(1/SUM(COUNTIFS(
'YearB-AppDetails Current Date'!A:A,D22,
'YearB-AppDetails Current Date'!F:F,E22,
'YearB-AppDetails Current Date'!E:E,--F22,
'YearB-AppDetails Current Date'!T:T,{"CDMT","RQMT","WAIT"},
'YearB-AppDetails Current Date'!I:I,"SPRING"))), "")</f>
        <v/>
      </c>
      <c r="P22" s="74" t="str">
        <f>IFERROR(1/(1/COUNTIFS(
'YearB-AppDetails Current Date'!A:A,D22,
'YearB-AppDetails Current Date'!F:F,E22,
'YearB-AppDetails Current Date'!E:E,--F22,
'YearB-AppDetails Current Date'!Y:Y,"ENRO",
'YearB-AppDetails Current Date'!I:I,"SPRING")), "")</f>
        <v/>
      </c>
      <c r="Q22" s="3" t="str">
        <f t="shared" si="0"/>
        <v/>
      </c>
    </row>
    <row r="23" spans="1:17" ht="15.75" customHeight="1" x14ac:dyDescent="0.25">
      <c r="A23" s="170"/>
      <c r="B23" s="122"/>
      <c r="C23" s="125"/>
      <c r="D23" s="23" t="s">
        <v>52</v>
      </c>
      <c r="E23" s="2" t="s">
        <v>43</v>
      </c>
      <c r="F23" s="31">
        <v>1</v>
      </c>
      <c r="G23" s="140"/>
      <c r="H23" s="73" t="str">
        <f>IFERROR(1/(1/
SUM(
N(VLOOKUP(D23&amp;F23,'Budgeted Projections Intl HC'!D:T,16,FALSE)),
N(VLOOKUP(D23&amp;F23,'Budgeted Projections Intl HC'!D:T,17,FALSE))
)
),"")</f>
        <v/>
      </c>
      <c r="I23" s="73" t="str">
        <f>IFERROR(1/(1/COUNTIFS(
'YearB-AppDetails Current Date'!A:A,D23,
'YearB-AppDetails Current Date'!F:F,E23,
'YearB-AppDetails Current Date'!E:E,--F23,
'YearB-AppDetails Current Date'!I:I,"SPRING")), "")</f>
        <v/>
      </c>
      <c r="J23" s="74" t="str" cm="1">
        <f t="array" ref="J23">IFERROR(1/(1/SUM(COUNTIFS(
'YearB-AppDetails Current Date'!A:A,D23,
'YearB-AppDetails Current Date'!F:F,E23,
'YearB-AppDetails Current Date'!E:E,--F23,
'YearB-AppDetails Current Date'!O:O,{"ACLN","ACPT","COND"},
'YearB-AppDetails Current Date'!S:S,"&lt;&gt;ACLN",
'YearB-AppDetails Current Date'!S:S,"&lt;&gt;ACPT",
'YearB-AppDetails Current Date'!S:S,"&lt;&gt;COND",
'YearB-AppDetails Current Date'!I:I,"SPRING"))), "")</f>
        <v/>
      </c>
      <c r="K23" s="73" t="str">
        <f>IFERROR(1/(1/SUM(COUNTIFS(
'YearB-AppDetails Current Date'!A:A,D23,
'YearB-AppDetails Current Date'!F:F,E23,
'YearB-AppDetails Current Date'!E:E,--F23,
'YearB-AppDetails Current Date'!R:R,"&lt;&gt;"&amp;"",
'YearB-AppDetails Current Date'!I:I,"SPRING"))), "")</f>
        <v/>
      </c>
      <c r="L23" s="74" t="str" cm="1">
        <f t="array" ref="L23">IFERROR(1/(1/SUM(COUNTIFS(
'YearB-AppDetails Current Date'!A:A,D23,
'YearB-AppDetails Current Date'!F:F,E23,
'YearB-AppDetails Current Date'!E:E,--F23,
'YearB-AppDetails Current Date'!T:T,{"APEX","DENY","NTSL"},
'YearB-AppDetails Current Date'!I:I,"SPRING"))), "")</f>
        <v/>
      </c>
      <c r="M23" s="74" t="str" cm="1">
        <f t="array" ref="M23">IFERROR(1/(1/SUM(COUNTIFS(
'YearB-AppDetails Current Date'!A:A,D23,
'YearB-AppDetails Current Date'!F:F,E23,
'YearB-AppDetails Current Date'!E:E,--F23,
'YearB-AppDetails Current Date'!U:U,{"CCAN","DECL"},
'YearB-AppDetails Current Date'!I:I,"SPRING"))), "")</f>
        <v/>
      </c>
      <c r="N23" s="74" t="str" cm="1">
        <f t="array" ref="N23">IFERROR(1/(1/SUM(COUNTIFS(
'YearB-AppDetails Current Date'!A:A,D23,
'YearB-AppDetails Current Date'!F:F,E23,
'YearB-AppDetails Current Date'!E:E,--F23,
'YearB-AppDetails Current Date'!V:V,{"APRO","NODE"},
'YearB-AppDetails Current Date'!I:I,"SPRING"))), "")</f>
        <v/>
      </c>
      <c r="O23" s="74" t="str" cm="1">
        <f t="array" ref="O23">IFERROR(1/(1/SUM(COUNTIFS(
'YearB-AppDetails Current Date'!A:A,D23,
'YearB-AppDetails Current Date'!F:F,E23,
'YearB-AppDetails Current Date'!E:E,--F23,
'YearB-AppDetails Current Date'!T:T,{"CDMT","RQMT","WAIT"},
'YearB-AppDetails Current Date'!I:I,"SPRING"))), "")</f>
        <v/>
      </c>
      <c r="P23" s="74" t="str">
        <f>IFERROR(1/(1/COUNTIFS(
'YearB-AppDetails Current Date'!A:A,D23,
'YearB-AppDetails Current Date'!F:F,E23,
'YearB-AppDetails Current Date'!E:E,--F23,
'YearB-AppDetails Current Date'!Y:Y,"ENRO",
'YearB-AppDetails Current Date'!I:I,"SPRING")), "")</f>
        <v/>
      </c>
      <c r="Q23" s="3" t="str">
        <f t="shared" si="0"/>
        <v/>
      </c>
    </row>
    <row r="24" spans="1:17" ht="15.75" customHeight="1" x14ac:dyDescent="0.25">
      <c r="A24" s="170"/>
      <c r="B24" s="122"/>
      <c r="C24" s="124" t="s">
        <v>272</v>
      </c>
      <c r="D24" s="23" t="s">
        <v>167</v>
      </c>
      <c r="E24" s="2" t="s">
        <v>42</v>
      </c>
      <c r="F24" s="42">
        <v>1</v>
      </c>
      <c r="G24" s="139"/>
      <c r="H24" s="73" t="str">
        <f>IFERROR(1/(1/
SUM(
N(VLOOKUP(D24&amp;F24,'Budgeted Projections Dom HC'!D:T,16,FALSE)),
N(VLOOKUP(D24&amp;F24,'Budgeted Projections Dom HC'!D:T,17,FALSE))
)
),"")</f>
        <v/>
      </c>
      <c r="I24" s="73" t="str">
        <f>IFERROR(1/(1/COUNTIFS(
'YearB-AppDetails Current Date'!A:A,D24,
'YearB-AppDetails Current Date'!F:F,E24,
'YearB-AppDetails Current Date'!E:E,--F24,
'YearB-AppDetails Current Date'!I:I,"SPRING")), "")</f>
        <v/>
      </c>
      <c r="J24" s="74" t="str" cm="1">
        <f t="array" ref="J24">IFERROR(1/(1/SUM(COUNTIFS(
'YearB-AppDetails Current Date'!A:A,D24,
'YearB-AppDetails Current Date'!F:F,E24,
'YearB-AppDetails Current Date'!E:E,--F24,
'YearB-AppDetails Current Date'!O:O,{"ACLN","ACPT","COND"},
'YearB-AppDetails Current Date'!S:S,"&lt;&gt;ACLN",
'YearB-AppDetails Current Date'!S:S,"&lt;&gt;ACPT",
'YearB-AppDetails Current Date'!S:S,"&lt;&gt;COND",
'YearB-AppDetails Current Date'!I:I,"SPRING"))), "")</f>
        <v/>
      </c>
      <c r="K24" s="73" t="str">
        <f>IFERROR(1/(1/SUM(COUNTIFS(
'YearB-AppDetails Current Date'!A:A,D24,
'YearB-AppDetails Current Date'!F:F,E24,
'YearB-AppDetails Current Date'!E:E,--F24,
'YearB-AppDetails Current Date'!R:R,"&lt;&gt;"&amp;"",
'YearB-AppDetails Current Date'!I:I,"SPRING"))), "")</f>
        <v/>
      </c>
      <c r="L24" s="74" t="str" cm="1">
        <f t="array" ref="L24">IFERROR(1/(1/SUM(COUNTIFS(
'YearB-AppDetails Current Date'!A:A,D24,
'YearB-AppDetails Current Date'!F:F,E24,
'YearB-AppDetails Current Date'!E:E,--F24,
'YearB-AppDetails Current Date'!T:T,{"APEX","DENY","NTSL"},
'YearB-AppDetails Current Date'!I:I,"SPRING"))), "")</f>
        <v/>
      </c>
      <c r="M24" s="74" t="str" cm="1">
        <f t="array" ref="M24">IFERROR(1/(1/SUM(COUNTIFS(
'YearB-AppDetails Current Date'!A:A,D24,
'YearB-AppDetails Current Date'!F:F,E24,
'YearB-AppDetails Current Date'!E:E,--F24,
'YearB-AppDetails Current Date'!U:U,{"CCAN","DECL"},
'YearB-AppDetails Current Date'!I:I,"SPRING"))), "")</f>
        <v/>
      </c>
      <c r="N24" s="74" t="str" cm="1">
        <f t="array" ref="N24">IFERROR(1/(1/SUM(COUNTIFS(
'YearB-AppDetails Current Date'!A:A,D24,
'YearB-AppDetails Current Date'!F:F,E24,
'YearB-AppDetails Current Date'!E:E,--F24,
'YearB-AppDetails Current Date'!V:V,{"APRO","NODE"},
'YearB-AppDetails Current Date'!I:I,"SPRING"))), "")</f>
        <v/>
      </c>
      <c r="O24" s="74" t="str" cm="1">
        <f t="array" ref="O24">IFERROR(1/(1/SUM(COUNTIFS(
'YearB-AppDetails Current Date'!A:A,D24,
'YearB-AppDetails Current Date'!F:F,E24,
'YearB-AppDetails Current Date'!E:E,--F24,
'YearB-AppDetails Current Date'!T:T,{"CDMT","RQMT","WAIT"},
'YearB-AppDetails Current Date'!I:I,"SPRING"))), "")</f>
        <v/>
      </c>
      <c r="P24" s="74" t="str">
        <f>IFERROR(1/(1/COUNTIFS(
'YearB-AppDetails Current Date'!A:A,D24,
'YearB-AppDetails Current Date'!F:F,E24,
'YearB-AppDetails Current Date'!E:E,--F24,
'YearB-AppDetails Current Date'!Y:Y,"ENRO",
'YearB-AppDetails Current Date'!I:I,"SPRING")), "")</f>
        <v/>
      </c>
      <c r="Q24" s="3" t="str">
        <f t="shared" si="0"/>
        <v/>
      </c>
    </row>
    <row r="25" spans="1:17" ht="15.75" customHeight="1" x14ac:dyDescent="0.25">
      <c r="A25" s="170"/>
      <c r="B25" s="122"/>
      <c r="C25" s="125"/>
      <c r="D25" s="23" t="s">
        <v>167</v>
      </c>
      <c r="E25" s="2" t="s">
        <v>43</v>
      </c>
      <c r="F25" s="31">
        <v>1</v>
      </c>
      <c r="G25" s="140"/>
      <c r="H25" s="73" t="str">
        <f>IFERROR(1/(1/
SUM(
N(VLOOKUP(D25&amp;F25,'Budgeted Projections Intl HC'!D:T,16,FALSE)),
N(VLOOKUP(D25&amp;F25,'Budgeted Projections Intl HC'!D:T,17,FALSE))
)
),"")</f>
        <v/>
      </c>
      <c r="I25" s="73" t="str">
        <f>IFERROR(1/(1/COUNTIFS(
'YearB-AppDetails Current Date'!A:A,D25,
'YearB-AppDetails Current Date'!F:F,E25,
'YearB-AppDetails Current Date'!E:E,--F25,
'YearB-AppDetails Current Date'!I:I,"SPRING")), "")</f>
        <v/>
      </c>
      <c r="J25" s="74" t="str" cm="1">
        <f t="array" ref="J25">IFERROR(1/(1/SUM(COUNTIFS(
'YearB-AppDetails Current Date'!A:A,D25,
'YearB-AppDetails Current Date'!F:F,E25,
'YearB-AppDetails Current Date'!E:E,--F25,
'YearB-AppDetails Current Date'!O:O,{"ACLN","ACPT","COND"},
'YearB-AppDetails Current Date'!S:S,"&lt;&gt;ACLN",
'YearB-AppDetails Current Date'!S:S,"&lt;&gt;ACPT",
'YearB-AppDetails Current Date'!S:S,"&lt;&gt;COND",
'YearB-AppDetails Current Date'!I:I,"SPRING"))), "")</f>
        <v/>
      </c>
      <c r="K25" s="73" t="str">
        <f>IFERROR(1/(1/SUM(COUNTIFS(
'YearB-AppDetails Current Date'!A:A,D25,
'YearB-AppDetails Current Date'!F:F,E25,
'YearB-AppDetails Current Date'!E:E,--F25,
'YearB-AppDetails Current Date'!R:R,"&lt;&gt;"&amp;"",
'YearB-AppDetails Current Date'!I:I,"SPRING"))), "")</f>
        <v/>
      </c>
      <c r="L25" s="74" t="str" cm="1">
        <f t="array" ref="L25">IFERROR(1/(1/SUM(COUNTIFS(
'YearB-AppDetails Current Date'!A:A,D25,
'YearB-AppDetails Current Date'!F:F,E25,
'YearB-AppDetails Current Date'!E:E,--F25,
'YearB-AppDetails Current Date'!T:T,{"APEX","DENY","NTSL"},
'YearB-AppDetails Current Date'!I:I,"SPRING"))), "")</f>
        <v/>
      </c>
      <c r="M25" s="74" t="str" cm="1">
        <f t="array" ref="M25">IFERROR(1/(1/SUM(COUNTIFS(
'YearB-AppDetails Current Date'!A:A,D25,
'YearB-AppDetails Current Date'!F:F,E25,
'YearB-AppDetails Current Date'!E:E,--F25,
'YearB-AppDetails Current Date'!U:U,{"CCAN","DECL"},
'YearB-AppDetails Current Date'!I:I,"SPRING"))), "")</f>
        <v/>
      </c>
      <c r="N25" s="74" t="str" cm="1">
        <f t="array" ref="N25">IFERROR(1/(1/SUM(COUNTIFS(
'YearB-AppDetails Current Date'!A:A,D25,
'YearB-AppDetails Current Date'!F:F,E25,
'YearB-AppDetails Current Date'!E:E,--F25,
'YearB-AppDetails Current Date'!V:V,{"APRO","NODE"},
'YearB-AppDetails Current Date'!I:I,"SPRING"))), "")</f>
        <v/>
      </c>
      <c r="O25" s="74" t="str" cm="1">
        <f t="array" ref="O25">IFERROR(1/(1/SUM(COUNTIFS(
'YearB-AppDetails Current Date'!A:A,D25,
'YearB-AppDetails Current Date'!F:F,E25,
'YearB-AppDetails Current Date'!E:E,--F25,
'YearB-AppDetails Current Date'!T:T,{"CDMT","RQMT","WAIT"},
'YearB-AppDetails Current Date'!I:I,"SPRING"))), "")</f>
        <v/>
      </c>
      <c r="P25" s="74" t="str">
        <f>IFERROR(1/(1/COUNTIFS(
'YearB-AppDetails Current Date'!A:A,D25,
'YearB-AppDetails Current Date'!F:F,E25,
'YearB-AppDetails Current Date'!E:E,--F25,
'YearB-AppDetails Current Date'!Y:Y,"ENRO",
'YearB-AppDetails Current Date'!I:I,"SPRING")), "")</f>
        <v/>
      </c>
      <c r="Q25" s="3" t="str">
        <f t="shared" si="0"/>
        <v/>
      </c>
    </row>
    <row r="26" spans="1:17" ht="15.75" customHeight="1" x14ac:dyDescent="0.25">
      <c r="A26" s="170"/>
      <c r="B26" s="122"/>
      <c r="C26" s="124" t="s">
        <v>163</v>
      </c>
      <c r="D26" s="23" t="s">
        <v>164</v>
      </c>
      <c r="E26" s="2" t="s">
        <v>42</v>
      </c>
      <c r="F26" s="42">
        <v>1</v>
      </c>
      <c r="G26" s="139"/>
      <c r="H26" s="73" t="str">
        <f>IFERROR(1/(1/
SUM(
N(VLOOKUP(D26&amp;F26,'Budgeted Projections Dom HC'!D:T,16,FALSE)),
N(VLOOKUP(D26&amp;F26,'Budgeted Projections Dom HC'!D:T,17,FALSE))
)
),"")</f>
        <v/>
      </c>
      <c r="I26" s="73" t="str">
        <f>IFERROR(1/(1/COUNTIFS(
'YearB-AppDetails Current Date'!A:A,D26,
'YearB-AppDetails Current Date'!F:F,E26,
'YearB-AppDetails Current Date'!E:E,--F26,
'YearB-AppDetails Current Date'!I:I,"SPRING")), "")</f>
        <v/>
      </c>
      <c r="J26" s="74" t="str" cm="1">
        <f t="array" ref="J26">IFERROR(1/(1/SUM(COUNTIFS(
'YearB-AppDetails Current Date'!A:A,D26,
'YearB-AppDetails Current Date'!F:F,E26,
'YearB-AppDetails Current Date'!E:E,--F26,
'YearB-AppDetails Current Date'!O:O,{"ACLN","ACPT","COND"},
'YearB-AppDetails Current Date'!S:S,"&lt;&gt;ACLN",
'YearB-AppDetails Current Date'!S:S,"&lt;&gt;ACPT",
'YearB-AppDetails Current Date'!S:S,"&lt;&gt;COND",
'YearB-AppDetails Current Date'!I:I,"SPRING"))), "")</f>
        <v/>
      </c>
      <c r="K26" s="73" t="str">
        <f>IFERROR(1/(1/SUM(COUNTIFS(
'YearB-AppDetails Current Date'!A:A,D26,
'YearB-AppDetails Current Date'!F:F,E26,
'YearB-AppDetails Current Date'!E:E,--F26,
'YearB-AppDetails Current Date'!R:R,"&lt;&gt;"&amp;"",
'YearB-AppDetails Current Date'!I:I,"SPRING"))), "")</f>
        <v/>
      </c>
      <c r="L26" s="74" t="str" cm="1">
        <f t="array" ref="L26">IFERROR(1/(1/SUM(COUNTIFS(
'YearB-AppDetails Current Date'!A:A,D26,
'YearB-AppDetails Current Date'!F:F,E26,
'YearB-AppDetails Current Date'!E:E,--F26,
'YearB-AppDetails Current Date'!T:T,{"APEX","DENY","NTSL"},
'YearB-AppDetails Current Date'!I:I,"SPRING"))), "")</f>
        <v/>
      </c>
      <c r="M26" s="74" t="str" cm="1">
        <f t="array" ref="M26">IFERROR(1/(1/SUM(COUNTIFS(
'YearB-AppDetails Current Date'!A:A,D26,
'YearB-AppDetails Current Date'!F:F,E26,
'YearB-AppDetails Current Date'!E:E,--F26,
'YearB-AppDetails Current Date'!U:U,{"CCAN","DECL"},
'YearB-AppDetails Current Date'!I:I,"SPRING"))), "")</f>
        <v/>
      </c>
      <c r="N26" s="74" t="str" cm="1">
        <f t="array" ref="N26">IFERROR(1/(1/SUM(COUNTIFS(
'YearB-AppDetails Current Date'!A:A,D26,
'YearB-AppDetails Current Date'!F:F,E26,
'YearB-AppDetails Current Date'!E:E,--F26,
'YearB-AppDetails Current Date'!V:V,{"APRO","NODE"},
'YearB-AppDetails Current Date'!I:I,"SPRING"))), "")</f>
        <v/>
      </c>
      <c r="O26" s="74" t="str" cm="1">
        <f t="array" ref="O26">IFERROR(1/(1/SUM(COUNTIFS(
'YearB-AppDetails Current Date'!A:A,D26,
'YearB-AppDetails Current Date'!F:F,E26,
'YearB-AppDetails Current Date'!E:E,--F26,
'YearB-AppDetails Current Date'!T:T,{"CDMT","RQMT","WAIT"},
'YearB-AppDetails Current Date'!I:I,"SPRING"))), "")</f>
        <v/>
      </c>
      <c r="P26" s="74" t="str">
        <f>IFERROR(1/(1/COUNTIFS(
'YearB-AppDetails Current Date'!A:A,D26,
'YearB-AppDetails Current Date'!F:F,E26,
'YearB-AppDetails Current Date'!E:E,--F26,
'YearB-AppDetails Current Date'!Y:Y,"ENRO",
'YearB-AppDetails Current Date'!I:I,"SPRING")), "")</f>
        <v/>
      </c>
      <c r="Q26" s="3" t="str">
        <f t="shared" si="0"/>
        <v/>
      </c>
    </row>
    <row r="27" spans="1:17" ht="15.75" customHeight="1" x14ac:dyDescent="0.25">
      <c r="A27" s="170"/>
      <c r="B27" s="122"/>
      <c r="C27" s="125"/>
      <c r="D27" s="23" t="s">
        <v>164</v>
      </c>
      <c r="E27" s="2" t="s">
        <v>43</v>
      </c>
      <c r="F27" s="31">
        <v>1</v>
      </c>
      <c r="G27" s="140"/>
      <c r="H27" s="73" t="str">
        <f>IFERROR(1/(1/
SUM(
N(VLOOKUP(D27&amp;F27,'Budgeted Projections Intl HC'!D:T,16,FALSE)),
N(VLOOKUP(D27&amp;F27,'Budgeted Projections Intl HC'!D:T,17,FALSE))
)
),"")</f>
        <v/>
      </c>
      <c r="I27" s="73" t="str">
        <f>IFERROR(1/(1/COUNTIFS(
'YearB-AppDetails Current Date'!A:A,D27,
'YearB-AppDetails Current Date'!F:F,E27,
'YearB-AppDetails Current Date'!E:E,--F27,
'YearB-AppDetails Current Date'!I:I,"SPRING")), "")</f>
        <v/>
      </c>
      <c r="J27" s="74" t="str" cm="1">
        <f t="array" ref="J27">IFERROR(1/(1/SUM(COUNTIFS(
'YearB-AppDetails Current Date'!A:A,D27,
'YearB-AppDetails Current Date'!F:F,E27,
'YearB-AppDetails Current Date'!E:E,--F27,
'YearB-AppDetails Current Date'!O:O,{"ACLN","ACPT","COND"},
'YearB-AppDetails Current Date'!S:S,"&lt;&gt;ACLN",
'YearB-AppDetails Current Date'!S:S,"&lt;&gt;ACPT",
'YearB-AppDetails Current Date'!S:S,"&lt;&gt;COND",
'YearB-AppDetails Current Date'!I:I,"SPRING"))), "")</f>
        <v/>
      </c>
      <c r="K27" s="73" t="str">
        <f>IFERROR(1/(1/SUM(COUNTIFS(
'YearB-AppDetails Current Date'!A:A,D27,
'YearB-AppDetails Current Date'!F:F,E27,
'YearB-AppDetails Current Date'!E:E,--F27,
'YearB-AppDetails Current Date'!R:R,"&lt;&gt;"&amp;"",
'YearB-AppDetails Current Date'!I:I,"SPRING"))), "")</f>
        <v/>
      </c>
      <c r="L27" s="74" t="str" cm="1">
        <f t="array" ref="L27">IFERROR(1/(1/SUM(COUNTIFS(
'YearB-AppDetails Current Date'!A:A,D27,
'YearB-AppDetails Current Date'!F:F,E27,
'YearB-AppDetails Current Date'!E:E,--F27,
'YearB-AppDetails Current Date'!T:T,{"APEX","DENY","NTSL"},
'YearB-AppDetails Current Date'!I:I,"SPRING"))), "")</f>
        <v/>
      </c>
      <c r="M27" s="74" t="str" cm="1">
        <f t="array" ref="M27">IFERROR(1/(1/SUM(COUNTIFS(
'YearB-AppDetails Current Date'!A:A,D27,
'YearB-AppDetails Current Date'!F:F,E27,
'YearB-AppDetails Current Date'!E:E,--F27,
'YearB-AppDetails Current Date'!U:U,{"CCAN","DECL"},
'YearB-AppDetails Current Date'!I:I,"SPRING"))), "")</f>
        <v/>
      </c>
      <c r="N27" s="74" t="str" cm="1">
        <f t="array" ref="N27">IFERROR(1/(1/SUM(COUNTIFS(
'YearB-AppDetails Current Date'!A:A,D27,
'YearB-AppDetails Current Date'!F:F,E27,
'YearB-AppDetails Current Date'!E:E,--F27,
'YearB-AppDetails Current Date'!V:V,{"APRO","NODE"},
'YearB-AppDetails Current Date'!I:I,"SPRING"))), "")</f>
        <v/>
      </c>
      <c r="O27" s="74" t="str" cm="1">
        <f t="array" ref="O27">IFERROR(1/(1/SUM(COUNTIFS(
'YearB-AppDetails Current Date'!A:A,D27,
'YearB-AppDetails Current Date'!F:F,E27,
'YearB-AppDetails Current Date'!E:E,--F27,
'YearB-AppDetails Current Date'!T:T,{"CDMT","RQMT","WAIT"},
'YearB-AppDetails Current Date'!I:I,"SPRING"))), "")</f>
        <v/>
      </c>
      <c r="P27" s="74" t="str">
        <f>IFERROR(1/(1/COUNTIFS(
'YearB-AppDetails Current Date'!A:A,D27,
'YearB-AppDetails Current Date'!F:F,E27,
'YearB-AppDetails Current Date'!E:E,--F27,
'YearB-AppDetails Current Date'!Y:Y,"ENRO",
'YearB-AppDetails Current Date'!I:I,"SPRING")), "")</f>
        <v/>
      </c>
      <c r="Q27" s="3" t="str">
        <f t="shared" si="0"/>
        <v/>
      </c>
    </row>
    <row r="28" spans="1:17" ht="15.75" customHeight="1" x14ac:dyDescent="0.25">
      <c r="A28" s="170"/>
      <c r="B28" s="123"/>
      <c r="C28" s="142" t="s">
        <v>278</v>
      </c>
      <c r="D28" s="143"/>
      <c r="E28" s="143"/>
      <c r="F28" s="144"/>
      <c r="G28" s="7"/>
      <c r="H28" s="4">
        <f>SUM(H18:H27)</f>
        <v>0</v>
      </c>
      <c r="I28" s="4">
        <f t="shared" ref="I28:P28" si="2">SUM(I18:I27)</f>
        <v>0</v>
      </c>
      <c r="J28" s="4">
        <f t="shared" si="2"/>
        <v>0</v>
      </c>
      <c r="K28" s="4">
        <f t="shared" si="2"/>
        <v>0</v>
      </c>
      <c r="L28" s="4">
        <f t="shared" si="2"/>
        <v>0</v>
      </c>
      <c r="M28" s="4">
        <f t="shared" si="2"/>
        <v>0</v>
      </c>
      <c r="N28" s="4">
        <f t="shared" si="2"/>
        <v>0</v>
      </c>
      <c r="O28" s="4">
        <f t="shared" si="2"/>
        <v>0</v>
      </c>
      <c r="P28" s="4">
        <f t="shared" si="2"/>
        <v>0</v>
      </c>
      <c r="Q28" s="35" t="str">
        <f t="shared" si="0"/>
        <v/>
      </c>
    </row>
    <row r="29" spans="1:17" ht="15.75" customHeight="1" x14ac:dyDescent="0.25">
      <c r="A29" s="170"/>
      <c r="B29" s="121" t="s">
        <v>331</v>
      </c>
      <c r="C29" s="124" t="s">
        <v>332</v>
      </c>
      <c r="D29" s="2" t="s">
        <v>330</v>
      </c>
      <c r="E29" s="2" t="s">
        <v>42</v>
      </c>
      <c r="F29" s="31">
        <v>1</v>
      </c>
      <c r="G29" s="139"/>
      <c r="H29" s="73" t="str">
        <f>IFERROR(1/(1/
SUM(
N(VLOOKUP(D29&amp;F29,'Budgeted Projections Dom HC'!D:T,16,FALSE)),
N(VLOOKUP(D29&amp;F29,'Budgeted Projections Dom HC'!D:T,17,FALSE))
)
),"")</f>
        <v/>
      </c>
      <c r="I29" s="73" t="str">
        <f>IFERROR(1/(1/COUNTIFS(
'YearB-AppDetails Current Date'!A:A,D29,
'YearB-AppDetails Current Date'!F:F,E29,
'YearB-AppDetails Current Date'!E:E,--F29,
'YearB-AppDetails Current Date'!I:I,"SPRING")), "")</f>
        <v/>
      </c>
      <c r="J29" s="74" t="str" cm="1">
        <f t="array" ref="J29">IFERROR(1/(1/SUM(COUNTIFS(
'YearB-AppDetails Current Date'!A:A,D29,
'YearB-AppDetails Current Date'!F:F,E29,
'YearB-AppDetails Current Date'!E:E,--F29,
'YearB-AppDetails Current Date'!O:O,{"ACLN","ACPT","COND"},
'YearB-AppDetails Current Date'!S:S,"&lt;&gt;ACLN",
'YearB-AppDetails Current Date'!S:S,"&lt;&gt;ACPT",
'YearB-AppDetails Current Date'!S:S,"&lt;&gt;COND",
'YearB-AppDetails Current Date'!I:I,"SPRING"))), "")</f>
        <v/>
      </c>
      <c r="K29" s="73" t="str">
        <f>IFERROR(1/(1/SUM(COUNTIFS(
'YearB-AppDetails Current Date'!A:A,D29,
'YearB-AppDetails Current Date'!F:F,E29,
'YearB-AppDetails Current Date'!E:E,--F29,
'YearB-AppDetails Current Date'!R:R,"&lt;&gt;"&amp;"",
'YearB-AppDetails Current Date'!I:I,"SPRING"))), "")</f>
        <v/>
      </c>
      <c r="L29" s="74" t="str" cm="1">
        <f t="array" ref="L29">IFERROR(1/(1/SUM(COUNTIFS(
'YearB-AppDetails Current Date'!A:A,D29,
'YearB-AppDetails Current Date'!F:F,E29,
'YearB-AppDetails Current Date'!E:E,--F29,
'YearB-AppDetails Current Date'!T:T,{"APEX","DENY","NTSL"},
'YearB-AppDetails Current Date'!I:I,"SPRING"))), "")</f>
        <v/>
      </c>
      <c r="M29" s="74" t="str" cm="1">
        <f t="array" ref="M29">IFERROR(1/(1/SUM(COUNTIFS(
'YearB-AppDetails Current Date'!A:A,D29,
'YearB-AppDetails Current Date'!F:F,E29,
'YearB-AppDetails Current Date'!E:E,--F29,
'YearB-AppDetails Current Date'!U:U,{"CCAN","DECL"},
'YearB-AppDetails Current Date'!I:I,"SPRING"))), "")</f>
        <v/>
      </c>
      <c r="N29" s="74" t="str" cm="1">
        <f t="array" ref="N29">IFERROR(1/(1/SUM(COUNTIFS(
'YearB-AppDetails Current Date'!A:A,D29,
'YearB-AppDetails Current Date'!F:F,E29,
'YearB-AppDetails Current Date'!E:E,--F29,
'YearB-AppDetails Current Date'!V:V,{"APRO","NODE"},
'YearB-AppDetails Current Date'!I:I,"SPRING"))), "")</f>
        <v/>
      </c>
      <c r="O29" s="74" t="str" cm="1">
        <f t="array" ref="O29">IFERROR(1/(1/SUM(COUNTIFS(
'YearB-AppDetails Current Date'!A:A,D29,
'YearB-AppDetails Current Date'!F:F,E29,
'YearB-AppDetails Current Date'!E:E,--F29,
'YearB-AppDetails Current Date'!T:T,{"CDMT","RQMT","WAIT"},
'YearB-AppDetails Current Date'!I:I,"SPRING"))), "")</f>
        <v/>
      </c>
      <c r="P29" s="74" t="str">
        <f>IFERROR(1/(1/COUNTIFS(
'YearB-AppDetails Current Date'!A:A,D29,
'YearB-AppDetails Current Date'!F:F,E29,
'YearB-AppDetails Current Date'!E:E,--F29,
'YearB-AppDetails Current Date'!Y:Y,"ENRO",
'YearB-AppDetails Current Date'!I:I,"SPRING")), "")</f>
        <v/>
      </c>
      <c r="Q29" s="3" t="str">
        <f t="shared" si="0"/>
        <v/>
      </c>
    </row>
    <row r="30" spans="1:17" ht="15.75" customHeight="1" x14ac:dyDescent="0.25">
      <c r="A30" s="170"/>
      <c r="B30" s="122"/>
      <c r="C30" s="138"/>
      <c r="D30" s="2" t="s">
        <v>330</v>
      </c>
      <c r="E30" s="2" t="s">
        <v>43</v>
      </c>
      <c r="F30" s="31">
        <v>1</v>
      </c>
      <c r="G30" s="141"/>
      <c r="H30" s="73" t="str">
        <f>IFERROR(1/(1/
SUM(
N(VLOOKUP(D30&amp;F30,'Budgeted Projections Intl HC'!D:T,16,FALSE)),
N(VLOOKUP(D30&amp;F30,'Budgeted Projections Intl HC'!D:T,17,FALSE))
)
),"")</f>
        <v/>
      </c>
      <c r="I30" s="73" t="str">
        <f>IFERROR(1/(1/COUNTIFS(
'YearB-AppDetails Current Date'!A:A,D30,
'YearB-AppDetails Current Date'!F:F,E30,
'YearB-AppDetails Current Date'!E:E,--F30,
'YearB-AppDetails Current Date'!I:I,"SPRING")), "")</f>
        <v/>
      </c>
      <c r="J30" s="74" t="str" cm="1">
        <f t="array" ref="J30">IFERROR(1/(1/SUM(COUNTIFS(
'YearB-AppDetails Current Date'!A:A,D30,
'YearB-AppDetails Current Date'!F:F,E30,
'YearB-AppDetails Current Date'!E:E,--F30,
'YearB-AppDetails Current Date'!O:O,{"ACLN","ACPT","COND"},
'YearB-AppDetails Current Date'!S:S,"&lt;&gt;ACLN",
'YearB-AppDetails Current Date'!S:S,"&lt;&gt;ACPT",
'YearB-AppDetails Current Date'!S:S,"&lt;&gt;COND",
'YearB-AppDetails Current Date'!I:I,"SPRING"))), "")</f>
        <v/>
      </c>
      <c r="K30" s="73" t="str">
        <f>IFERROR(1/(1/SUM(COUNTIFS(
'YearB-AppDetails Current Date'!A:A,D30,
'YearB-AppDetails Current Date'!F:F,E30,
'YearB-AppDetails Current Date'!E:E,--F30,
'YearB-AppDetails Current Date'!R:R,"&lt;&gt;"&amp;"",
'YearB-AppDetails Current Date'!I:I,"SPRING"))), "")</f>
        <v/>
      </c>
      <c r="L30" s="74" t="str" cm="1">
        <f t="array" ref="L30">IFERROR(1/(1/SUM(COUNTIFS(
'YearB-AppDetails Current Date'!A:A,D30,
'YearB-AppDetails Current Date'!F:F,E30,
'YearB-AppDetails Current Date'!E:E,--F30,
'YearB-AppDetails Current Date'!T:T,{"APEX","DENY","NTSL"},
'YearB-AppDetails Current Date'!I:I,"SPRING"))), "")</f>
        <v/>
      </c>
      <c r="M30" s="74" t="str" cm="1">
        <f t="array" ref="M30">IFERROR(1/(1/SUM(COUNTIFS(
'YearB-AppDetails Current Date'!A:A,D30,
'YearB-AppDetails Current Date'!F:F,E30,
'YearB-AppDetails Current Date'!E:E,--F30,
'YearB-AppDetails Current Date'!U:U,{"CCAN","DECL"},
'YearB-AppDetails Current Date'!I:I,"SPRING"))), "")</f>
        <v/>
      </c>
      <c r="N30" s="74" t="str" cm="1">
        <f t="array" ref="N30">IFERROR(1/(1/SUM(COUNTIFS(
'YearB-AppDetails Current Date'!A:A,D30,
'YearB-AppDetails Current Date'!F:F,E30,
'YearB-AppDetails Current Date'!E:E,--F30,
'YearB-AppDetails Current Date'!V:V,{"APRO","NODE"},
'YearB-AppDetails Current Date'!I:I,"SPRING"))), "")</f>
        <v/>
      </c>
      <c r="O30" s="74" t="str" cm="1">
        <f t="array" ref="O30">IFERROR(1/(1/SUM(COUNTIFS(
'YearB-AppDetails Current Date'!A:A,D30,
'YearB-AppDetails Current Date'!F:F,E30,
'YearB-AppDetails Current Date'!E:E,--F30,
'YearB-AppDetails Current Date'!T:T,{"CDMT","RQMT","WAIT"},
'YearB-AppDetails Current Date'!I:I,"SPRING"))), "")</f>
        <v/>
      </c>
      <c r="P30" s="74" t="str">
        <f>IFERROR(1/(1/COUNTIFS(
'YearB-AppDetails Current Date'!A:A,D30,
'YearB-AppDetails Current Date'!F:F,E30,
'YearB-AppDetails Current Date'!E:E,--F30,
'YearB-AppDetails Current Date'!Y:Y,"ENRO",
'YearB-AppDetails Current Date'!I:I,"SPRING")), "")</f>
        <v/>
      </c>
      <c r="Q30" s="3" t="str">
        <f t="shared" si="0"/>
        <v/>
      </c>
    </row>
    <row r="31" spans="1:17" ht="15.75" customHeight="1" x14ac:dyDescent="0.25">
      <c r="A31" s="170"/>
      <c r="B31" s="122"/>
      <c r="C31" s="138"/>
      <c r="D31" s="2" t="s">
        <v>330</v>
      </c>
      <c r="E31" s="2" t="s">
        <v>42</v>
      </c>
      <c r="F31" s="31">
        <v>2</v>
      </c>
      <c r="G31" s="139"/>
      <c r="H31" s="73" t="str">
        <f>IFERROR(1/(1/
SUM(
N(VLOOKUP(D31&amp;F31,'Budgeted Projections Dom HC'!D:T,16,FALSE)),
N(VLOOKUP(D31&amp;F31,'Budgeted Projections Dom HC'!D:T,17,FALSE))
)
),"")</f>
        <v/>
      </c>
      <c r="I31" s="73" t="str">
        <f>IFERROR(1/(1/COUNTIFS(
'YearB-AppDetails Current Date'!A:A,D31,
'YearB-AppDetails Current Date'!F:F,E31,
'YearB-AppDetails Current Date'!E:E,--F31,
'YearB-AppDetails Current Date'!I:I,"SPRING")), "")</f>
        <v/>
      </c>
      <c r="J31" s="74" t="str" cm="1">
        <f t="array" ref="J31">IFERROR(1/(1/SUM(COUNTIFS(
'YearB-AppDetails Current Date'!A:A,D31,
'YearB-AppDetails Current Date'!F:F,E31,
'YearB-AppDetails Current Date'!E:E,--F31,
'YearB-AppDetails Current Date'!O:O,{"ACLN","ACPT","COND"},
'YearB-AppDetails Current Date'!S:S,"&lt;&gt;ACLN",
'YearB-AppDetails Current Date'!S:S,"&lt;&gt;ACPT",
'YearB-AppDetails Current Date'!S:S,"&lt;&gt;COND",
'YearB-AppDetails Current Date'!I:I,"SPRING"))), "")</f>
        <v/>
      </c>
      <c r="K31" s="73" t="str">
        <f>IFERROR(1/(1/SUM(COUNTIFS(
'YearB-AppDetails Current Date'!A:A,D31,
'YearB-AppDetails Current Date'!F:F,E31,
'YearB-AppDetails Current Date'!E:E,--F31,
'YearB-AppDetails Current Date'!R:R,"&lt;&gt;"&amp;"",
'YearB-AppDetails Current Date'!I:I,"SPRING"))), "")</f>
        <v/>
      </c>
      <c r="L31" s="74" t="str" cm="1">
        <f t="array" ref="L31">IFERROR(1/(1/SUM(COUNTIFS(
'YearB-AppDetails Current Date'!A:A,D31,
'YearB-AppDetails Current Date'!F:F,E31,
'YearB-AppDetails Current Date'!E:E,--F31,
'YearB-AppDetails Current Date'!T:T,{"APEX","DENY","NTSL"},
'YearB-AppDetails Current Date'!I:I,"SPRING"))), "")</f>
        <v/>
      </c>
      <c r="M31" s="74" t="str" cm="1">
        <f t="array" ref="M31">IFERROR(1/(1/SUM(COUNTIFS(
'YearB-AppDetails Current Date'!A:A,D31,
'YearB-AppDetails Current Date'!F:F,E31,
'YearB-AppDetails Current Date'!E:E,--F31,
'YearB-AppDetails Current Date'!U:U,{"CCAN","DECL"},
'YearB-AppDetails Current Date'!I:I,"SPRING"))), "")</f>
        <v/>
      </c>
      <c r="N31" s="74" t="str" cm="1">
        <f t="array" ref="N31">IFERROR(1/(1/SUM(COUNTIFS(
'YearB-AppDetails Current Date'!A:A,D31,
'YearB-AppDetails Current Date'!F:F,E31,
'YearB-AppDetails Current Date'!E:E,--F31,
'YearB-AppDetails Current Date'!V:V,{"APRO","NODE"},
'YearB-AppDetails Current Date'!I:I,"SPRING"))), "")</f>
        <v/>
      </c>
      <c r="O31" s="74" t="str" cm="1">
        <f t="array" ref="O31">IFERROR(1/(1/SUM(COUNTIFS(
'YearB-AppDetails Current Date'!A:A,D31,
'YearB-AppDetails Current Date'!F:F,E31,
'YearB-AppDetails Current Date'!E:E,--F31,
'YearB-AppDetails Current Date'!T:T,{"CDMT","RQMT","WAIT"},
'YearB-AppDetails Current Date'!I:I,"SPRING"))), "")</f>
        <v/>
      </c>
      <c r="P31" s="74" t="str">
        <f>IFERROR(1/(1/COUNTIFS(
'YearB-AppDetails Current Date'!A:A,D31,
'YearB-AppDetails Current Date'!F:F,E31,
'YearB-AppDetails Current Date'!E:E,--F31,
'YearB-AppDetails Current Date'!Y:Y,"ENRO",
'YearB-AppDetails Current Date'!I:I,"SPRING")), "")</f>
        <v/>
      </c>
      <c r="Q31" s="3" t="str">
        <f t="shared" si="0"/>
        <v/>
      </c>
    </row>
    <row r="32" spans="1:17" ht="15.75" customHeight="1" x14ac:dyDescent="0.25">
      <c r="A32" s="170"/>
      <c r="B32" s="122"/>
      <c r="C32" s="125"/>
      <c r="D32" s="2" t="s">
        <v>330</v>
      </c>
      <c r="E32" s="2" t="s">
        <v>43</v>
      </c>
      <c r="F32" s="31">
        <v>2</v>
      </c>
      <c r="G32" s="140"/>
      <c r="H32" s="73" t="str">
        <f>IFERROR(1/(1/
SUM(
N(VLOOKUP(D32&amp;F32,'Budgeted Projections Intl HC'!D:T,16,FALSE)),
N(VLOOKUP(D32&amp;F32,'Budgeted Projections Intl HC'!D:T,17,FALSE))
)
),"")</f>
        <v/>
      </c>
      <c r="I32" s="73" t="str">
        <f>IFERROR(1/(1/COUNTIFS(
'YearB-AppDetails Current Date'!A:A,D32,
'YearB-AppDetails Current Date'!F:F,E32,
'YearB-AppDetails Current Date'!E:E,--F32,
'YearB-AppDetails Current Date'!I:I,"SPRING")), "")</f>
        <v/>
      </c>
      <c r="J32" s="74" t="str" cm="1">
        <f t="array" ref="J32">IFERROR(1/(1/SUM(COUNTIFS(
'YearB-AppDetails Current Date'!A:A,D32,
'YearB-AppDetails Current Date'!F:F,E32,
'YearB-AppDetails Current Date'!E:E,--F32,
'YearB-AppDetails Current Date'!O:O,{"ACLN","ACPT","COND"},
'YearB-AppDetails Current Date'!S:S,"&lt;&gt;ACLN",
'YearB-AppDetails Current Date'!S:S,"&lt;&gt;ACPT",
'YearB-AppDetails Current Date'!S:S,"&lt;&gt;COND",
'YearB-AppDetails Current Date'!I:I,"SPRING"))), "")</f>
        <v/>
      </c>
      <c r="K32" s="73" t="str">
        <f>IFERROR(1/(1/SUM(COUNTIFS(
'YearB-AppDetails Current Date'!A:A,D32,
'YearB-AppDetails Current Date'!F:F,E32,
'YearB-AppDetails Current Date'!E:E,--F32,
'YearB-AppDetails Current Date'!R:R,"&lt;&gt;"&amp;"",
'YearB-AppDetails Current Date'!I:I,"SPRING"))), "")</f>
        <v/>
      </c>
      <c r="L32" s="74" t="str" cm="1">
        <f t="array" ref="L32">IFERROR(1/(1/SUM(COUNTIFS(
'YearB-AppDetails Current Date'!A:A,D32,
'YearB-AppDetails Current Date'!F:F,E32,
'YearB-AppDetails Current Date'!E:E,--F32,
'YearB-AppDetails Current Date'!T:T,{"APEX","DENY","NTSL"},
'YearB-AppDetails Current Date'!I:I,"SPRING"))), "")</f>
        <v/>
      </c>
      <c r="M32" s="74" t="str" cm="1">
        <f t="array" ref="M32">IFERROR(1/(1/SUM(COUNTIFS(
'YearB-AppDetails Current Date'!A:A,D32,
'YearB-AppDetails Current Date'!F:F,E32,
'YearB-AppDetails Current Date'!E:E,--F32,
'YearB-AppDetails Current Date'!U:U,{"CCAN","DECL"},
'YearB-AppDetails Current Date'!I:I,"SPRING"))), "")</f>
        <v/>
      </c>
      <c r="N32" s="74" t="str" cm="1">
        <f t="array" ref="N32">IFERROR(1/(1/SUM(COUNTIFS(
'YearB-AppDetails Current Date'!A:A,D32,
'YearB-AppDetails Current Date'!F:F,E32,
'YearB-AppDetails Current Date'!E:E,--F32,
'YearB-AppDetails Current Date'!V:V,{"APRO","NODE"},
'YearB-AppDetails Current Date'!I:I,"SPRING"))), "")</f>
        <v/>
      </c>
      <c r="O32" s="74" t="str" cm="1">
        <f t="array" ref="O32">IFERROR(1/(1/SUM(COUNTIFS(
'YearB-AppDetails Current Date'!A:A,D32,
'YearB-AppDetails Current Date'!F:F,E32,
'YearB-AppDetails Current Date'!E:E,--F32,
'YearB-AppDetails Current Date'!T:T,{"CDMT","RQMT","WAIT"},
'YearB-AppDetails Current Date'!I:I,"SPRING"))), "")</f>
        <v/>
      </c>
      <c r="P32" s="74" t="str">
        <f>IFERROR(1/(1/COUNTIFS(
'YearB-AppDetails Current Date'!A:A,D32,
'YearB-AppDetails Current Date'!F:F,E32,
'YearB-AppDetails Current Date'!E:E,--F32,
'YearB-AppDetails Current Date'!Y:Y,"ENRO",
'YearB-AppDetails Current Date'!I:I,"SPRING")), "")</f>
        <v/>
      </c>
      <c r="Q32" s="3" t="str">
        <f t="shared" si="0"/>
        <v/>
      </c>
    </row>
    <row r="33" spans="1:17" ht="15.75" customHeight="1" x14ac:dyDescent="0.25">
      <c r="A33" s="165"/>
      <c r="B33" s="122"/>
      <c r="C33" s="142" t="s">
        <v>333</v>
      </c>
      <c r="D33" s="143"/>
      <c r="E33" s="143"/>
      <c r="F33" s="144"/>
      <c r="G33" s="7"/>
      <c r="H33" s="4">
        <f t="shared" ref="H33:P33" si="3">SUM(H29:H32)</f>
        <v>0</v>
      </c>
      <c r="I33" s="4">
        <f t="shared" si="3"/>
        <v>0</v>
      </c>
      <c r="J33" s="4">
        <f t="shared" si="3"/>
        <v>0</v>
      </c>
      <c r="K33" s="4">
        <f t="shared" si="3"/>
        <v>0</v>
      </c>
      <c r="L33" s="4">
        <f t="shared" si="3"/>
        <v>0</v>
      </c>
      <c r="M33" s="4">
        <f t="shared" si="3"/>
        <v>0</v>
      </c>
      <c r="N33" s="4">
        <f t="shared" si="3"/>
        <v>0</v>
      </c>
      <c r="O33" s="4">
        <f t="shared" si="3"/>
        <v>0</v>
      </c>
      <c r="P33" s="4">
        <f t="shared" si="3"/>
        <v>0</v>
      </c>
      <c r="Q33" s="35" t="str">
        <f t="shared" si="0"/>
        <v/>
      </c>
    </row>
    <row r="34" spans="1:17" ht="15.75" customHeight="1" x14ac:dyDescent="0.25">
      <c r="A34" s="151" t="s">
        <v>53</v>
      </c>
      <c r="B34" s="136"/>
      <c r="C34" s="136"/>
      <c r="D34" s="136"/>
      <c r="E34" s="136"/>
      <c r="F34" s="137"/>
      <c r="G34" s="34"/>
      <c r="H34" s="5">
        <f>SUM(H17,H28,H33)</f>
        <v>0</v>
      </c>
      <c r="I34" s="5">
        <f t="shared" ref="I34:P34" si="4">SUM(I17,I28,I33)</f>
        <v>0</v>
      </c>
      <c r="J34" s="5">
        <f t="shared" si="4"/>
        <v>0</v>
      </c>
      <c r="K34" s="5">
        <f t="shared" si="4"/>
        <v>0</v>
      </c>
      <c r="L34" s="5">
        <f t="shared" si="4"/>
        <v>0</v>
      </c>
      <c r="M34" s="5">
        <f t="shared" si="4"/>
        <v>0</v>
      </c>
      <c r="N34" s="5">
        <f t="shared" si="4"/>
        <v>0</v>
      </c>
      <c r="O34" s="5">
        <f t="shared" si="4"/>
        <v>0</v>
      </c>
      <c r="P34" s="5">
        <f t="shared" si="4"/>
        <v>0</v>
      </c>
      <c r="Q34" s="36" t="str">
        <f t="shared" si="0"/>
        <v/>
      </c>
    </row>
    <row r="35" spans="1:17" ht="15.75" customHeight="1" x14ac:dyDescent="0.25">
      <c r="A35" s="155" t="s">
        <v>137</v>
      </c>
      <c r="B35" s="121" t="s">
        <v>273</v>
      </c>
      <c r="C35" s="132" t="s">
        <v>133</v>
      </c>
      <c r="D35" s="30" t="s">
        <v>134</v>
      </c>
      <c r="E35" s="2" t="s">
        <v>42</v>
      </c>
      <c r="F35" s="32">
        <v>1</v>
      </c>
      <c r="G35" s="126"/>
      <c r="H35" s="73" t="str">
        <f>IFERROR(1/(1/
SUM(
N(VLOOKUP(D35&amp;F35,'Budgeted Projections Dom HC'!D:T,16,FALSE)),
N(VLOOKUP(D35&amp;F35,'Budgeted Projections Dom HC'!D:T,17,FALSE))
)
),"")</f>
        <v/>
      </c>
      <c r="I35" s="73" t="str">
        <f>IFERROR(1/(1/COUNTIFS(
'YearB-AppDetails Current Date'!A:A,D35,
'YearB-AppDetails Current Date'!F:F,E35,
'YearB-AppDetails Current Date'!E:E,--F35,
'YearB-AppDetails Current Date'!I:I,"SPRING")), "")</f>
        <v/>
      </c>
      <c r="J35" s="74" t="str" cm="1">
        <f t="array" ref="J35">IFERROR(1/(1/SUM(COUNTIFS(
'YearB-AppDetails Current Date'!A:A,D35,
'YearB-AppDetails Current Date'!F:F,E35,
'YearB-AppDetails Current Date'!E:E,--F35,
'YearB-AppDetails Current Date'!O:O,{"ACLN","ACPT","COND"},
'YearB-AppDetails Current Date'!S:S,"&lt;&gt;ACLN",
'YearB-AppDetails Current Date'!S:S,"&lt;&gt;ACPT",
'YearB-AppDetails Current Date'!S:S,"&lt;&gt;COND",
'YearB-AppDetails Current Date'!I:I,"SPRING"))), "")</f>
        <v/>
      </c>
      <c r="K35" s="73" t="str">
        <f>IFERROR(1/(1/SUM(COUNTIFS(
'YearB-AppDetails Current Date'!A:A,D35,
'YearB-AppDetails Current Date'!F:F,E35,
'YearB-AppDetails Current Date'!E:E,--F35,
'YearB-AppDetails Current Date'!R:R,"&lt;&gt;"&amp;"",
'YearB-AppDetails Current Date'!I:I,"SPRING"))), "")</f>
        <v/>
      </c>
      <c r="L35" s="74" t="str" cm="1">
        <f t="array" ref="L35">IFERROR(1/(1/SUM(COUNTIFS(
'YearB-AppDetails Current Date'!A:A,D35,
'YearB-AppDetails Current Date'!F:F,E35,
'YearB-AppDetails Current Date'!E:E,--F35,
'YearB-AppDetails Current Date'!T:T,{"APEX","DENY","NTSL"},
'YearB-AppDetails Current Date'!I:I,"SPRING"))), "")</f>
        <v/>
      </c>
      <c r="M35" s="74" t="str" cm="1">
        <f t="array" ref="M35">IFERROR(1/(1/SUM(COUNTIFS(
'YearB-AppDetails Current Date'!A:A,D35,
'YearB-AppDetails Current Date'!F:F,E35,
'YearB-AppDetails Current Date'!E:E,--F35,
'YearB-AppDetails Current Date'!U:U,{"CCAN","DECL"},
'YearB-AppDetails Current Date'!I:I,"SPRING"))), "")</f>
        <v/>
      </c>
      <c r="N35" s="74" t="str" cm="1">
        <f t="array" ref="N35">IFERROR(1/(1/SUM(COUNTIFS(
'YearB-AppDetails Current Date'!A:A,D35,
'YearB-AppDetails Current Date'!F:F,E35,
'YearB-AppDetails Current Date'!E:E,--F35,
'YearB-AppDetails Current Date'!V:V,{"APRO","NODE"},
'YearB-AppDetails Current Date'!I:I,"SPRING"))), "")</f>
        <v/>
      </c>
      <c r="O35" s="74" t="str" cm="1">
        <f t="array" ref="O35">IFERROR(1/(1/SUM(COUNTIFS(
'YearB-AppDetails Current Date'!A:A,D35,
'YearB-AppDetails Current Date'!F:F,E35,
'YearB-AppDetails Current Date'!E:E,--F35,
'YearB-AppDetails Current Date'!T:T,{"CDMT","RQMT","WAIT"},
'YearB-AppDetails Current Date'!I:I,"SPRING"))), "")</f>
        <v/>
      </c>
      <c r="P35" s="74" t="str">
        <f>IFERROR(1/(1/COUNTIFS(
'YearB-AppDetails Current Date'!A:A,D35,
'YearB-AppDetails Current Date'!F:F,E35,
'YearB-AppDetails Current Date'!E:E,--F35,
'YearB-AppDetails Current Date'!Y:Y,"ENRO",
'YearB-AppDetails Current Date'!I:I,"SPRING")), "")</f>
        <v/>
      </c>
      <c r="Q35" s="3" t="str">
        <f t="shared" si="0"/>
        <v/>
      </c>
    </row>
    <row r="36" spans="1:17" ht="15.75" customHeight="1" x14ac:dyDescent="0.25">
      <c r="A36" s="156"/>
      <c r="B36" s="122"/>
      <c r="C36" s="133"/>
      <c r="D36" s="30" t="s">
        <v>134</v>
      </c>
      <c r="E36" s="2" t="s">
        <v>43</v>
      </c>
      <c r="F36" s="32">
        <v>1</v>
      </c>
      <c r="G36" s="127"/>
      <c r="H36" s="73" t="str">
        <f>IFERROR(1/(1/
SUM(
N(VLOOKUP(D36&amp;F36,'Budgeted Projections Intl HC'!D:T,16,FALSE)),
N(VLOOKUP(D36&amp;F36,'Budgeted Projections Intl HC'!D:T,17,FALSE))
)
),"")</f>
        <v/>
      </c>
      <c r="I36" s="73" t="str">
        <f>IFERROR(1/(1/COUNTIFS(
'YearB-AppDetails Current Date'!A:A,D36,
'YearB-AppDetails Current Date'!F:F,E36,
'YearB-AppDetails Current Date'!E:E,--F36,
'YearB-AppDetails Current Date'!I:I,"SPRING")), "")</f>
        <v/>
      </c>
      <c r="J36" s="74" t="str" cm="1">
        <f t="array" ref="J36">IFERROR(1/(1/SUM(COUNTIFS(
'YearB-AppDetails Current Date'!A:A,D36,
'YearB-AppDetails Current Date'!F:F,E36,
'YearB-AppDetails Current Date'!E:E,--F36,
'YearB-AppDetails Current Date'!O:O,{"ACLN","ACPT","COND"},
'YearB-AppDetails Current Date'!S:S,"&lt;&gt;ACLN",
'YearB-AppDetails Current Date'!S:S,"&lt;&gt;ACPT",
'YearB-AppDetails Current Date'!S:S,"&lt;&gt;COND",
'YearB-AppDetails Current Date'!I:I,"SPRING"))), "")</f>
        <v/>
      </c>
      <c r="K36" s="73" t="str">
        <f>IFERROR(1/(1/SUM(COUNTIFS(
'YearB-AppDetails Current Date'!A:A,D36,
'YearB-AppDetails Current Date'!F:F,E36,
'YearB-AppDetails Current Date'!E:E,--F36,
'YearB-AppDetails Current Date'!R:R,"&lt;&gt;"&amp;"",
'YearB-AppDetails Current Date'!I:I,"SPRING"))), "")</f>
        <v/>
      </c>
      <c r="L36" s="74" t="str" cm="1">
        <f t="array" ref="L36">IFERROR(1/(1/SUM(COUNTIFS(
'YearB-AppDetails Current Date'!A:A,D36,
'YearB-AppDetails Current Date'!F:F,E36,
'YearB-AppDetails Current Date'!E:E,--F36,
'YearB-AppDetails Current Date'!T:T,{"APEX","DENY","NTSL"},
'YearB-AppDetails Current Date'!I:I,"SPRING"))), "")</f>
        <v/>
      </c>
      <c r="M36" s="74" t="str" cm="1">
        <f t="array" ref="M36">IFERROR(1/(1/SUM(COUNTIFS(
'YearB-AppDetails Current Date'!A:A,D36,
'YearB-AppDetails Current Date'!F:F,E36,
'YearB-AppDetails Current Date'!E:E,--F36,
'YearB-AppDetails Current Date'!U:U,{"CCAN","DECL"},
'YearB-AppDetails Current Date'!I:I,"SPRING"))), "")</f>
        <v/>
      </c>
      <c r="N36" s="74" t="str" cm="1">
        <f t="array" ref="N36">IFERROR(1/(1/SUM(COUNTIFS(
'YearB-AppDetails Current Date'!A:A,D36,
'YearB-AppDetails Current Date'!F:F,E36,
'YearB-AppDetails Current Date'!E:E,--F36,
'YearB-AppDetails Current Date'!V:V,{"APRO","NODE"},
'YearB-AppDetails Current Date'!I:I,"SPRING"))), "")</f>
        <v/>
      </c>
      <c r="O36" s="74" t="str" cm="1">
        <f t="array" ref="O36">IFERROR(1/(1/SUM(COUNTIFS(
'YearB-AppDetails Current Date'!A:A,D36,
'YearB-AppDetails Current Date'!F:F,E36,
'YearB-AppDetails Current Date'!E:E,--F36,
'YearB-AppDetails Current Date'!T:T,{"CDMT","RQMT","WAIT"},
'YearB-AppDetails Current Date'!I:I,"SPRING"))), "")</f>
        <v/>
      </c>
      <c r="P36" s="74" t="str">
        <f>IFERROR(1/(1/COUNTIFS(
'YearB-AppDetails Current Date'!A:A,D36,
'YearB-AppDetails Current Date'!F:F,E36,
'YearB-AppDetails Current Date'!E:E,--F36,
'YearB-AppDetails Current Date'!Y:Y,"ENRO",
'YearB-AppDetails Current Date'!I:I,"SPRING")), "")</f>
        <v/>
      </c>
      <c r="Q36" s="3" t="str">
        <f t="shared" si="0"/>
        <v/>
      </c>
    </row>
    <row r="37" spans="1:17" ht="15.75" customHeight="1" x14ac:dyDescent="0.25">
      <c r="A37" s="156"/>
      <c r="B37" s="122"/>
      <c r="C37" s="124" t="s">
        <v>55</v>
      </c>
      <c r="D37" s="23" t="s">
        <v>56</v>
      </c>
      <c r="E37" s="2" t="s">
        <v>42</v>
      </c>
      <c r="F37" s="24">
        <v>1</v>
      </c>
      <c r="G37" s="158">
        <v>25</v>
      </c>
      <c r="H37" s="73" t="str">
        <f>IFERROR(1/(1/
SUM(
N(VLOOKUP(D37&amp;F37,'Budgeted Projections Dom HC'!D:T,16,FALSE)),
N(VLOOKUP(D37&amp;F37,'Budgeted Projections Dom HC'!D:T,17,FALSE))
)
),"")</f>
        <v/>
      </c>
      <c r="I37" s="73" t="str">
        <f>IFERROR(1/(1/COUNTIFS(
'YearB-AppDetails Current Date'!A:A,D37,
'YearB-AppDetails Current Date'!F:F,E37,
'YearB-AppDetails Current Date'!E:E,--F37,
'YearB-AppDetails Current Date'!I:I,"SPRING")), "")</f>
        <v/>
      </c>
      <c r="J37" s="74" t="str" cm="1">
        <f t="array" ref="J37">IFERROR(1/(1/SUM(COUNTIFS(
'YearB-AppDetails Current Date'!A:A,D37,
'YearB-AppDetails Current Date'!F:F,E37,
'YearB-AppDetails Current Date'!E:E,--F37,
'YearB-AppDetails Current Date'!O:O,{"ACLN","ACPT","COND"},
'YearB-AppDetails Current Date'!S:S,"&lt;&gt;ACLN",
'YearB-AppDetails Current Date'!S:S,"&lt;&gt;ACPT",
'YearB-AppDetails Current Date'!S:S,"&lt;&gt;COND",
'YearB-AppDetails Current Date'!I:I,"SPRING"))), "")</f>
        <v/>
      </c>
      <c r="K37" s="73" t="str">
        <f>IFERROR(1/(1/SUM(COUNTIFS(
'YearB-AppDetails Current Date'!A:A,D37,
'YearB-AppDetails Current Date'!F:F,E37,
'YearB-AppDetails Current Date'!E:E,--F37,
'YearB-AppDetails Current Date'!R:R,"&lt;&gt;"&amp;"",
'YearB-AppDetails Current Date'!I:I,"SPRING"))), "")</f>
        <v/>
      </c>
      <c r="L37" s="74" t="str" cm="1">
        <f t="array" ref="L37">IFERROR(1/(1/SUM(COUNTIFS(
'YearB-AppDetails Current Date'!A:A,D37,
'YearB-AppDetails Current Date'!F:F,E37,
'YearB-AppDetails Current Date'!E:E,--F37,
'YearB-AppDetails Current Date'!T:T,{"APEX","DENY","NTSL"},
'YearB-AppDetails Current Date'!I:I,"SPRING"))), "")</f>
        <v/>
      </c>
      <c r="M37" s="74" t="str" cm="1">
        <f t="array" ref="M37">IFERROR(1/(1/SUM(COUNTIFS(
'YearB-AppDetails Current Date'!A:A,D37,
'YearB-AppDetails Current Date'!F:F,E37,
'YearB-AppDetails Current Date'!E:E,--F37,
'YearB-AppDetails Current Date'!U:U,{"CCAN","DECL"},
'YearB-AppDetails Current Date'!I:I,"SPRING"))), "")</f>
        <v/>
      </c>
      <c r="N37" s="74" t="str" cm="1">
        <f t="array" ref="N37">IFERROR(1/(1/SUM(COUNTIFS(
'YearB-AppDetails Current Date'!A:A,D37,
'YearB-AppDetails Current Date'!F:F,E37,
'YearB-AppDetails Current Date'!E:E,--F37,
'YearB-AppDetails Current Date'!V:V,{"APRO","NODE"},
'YearB-AppDetails Current Date'!I:I,"SPRING"))), "")</f>
        <v/>
      </c>
      <c r="O37" s="74" t="str" cm="1">
        <f t="array" ref="O37">IFERROR(1/(1/SUM(COUNTIFS(
'YearB-AppDetails Current Date'!A:A,D37,
'YearB-AppDetails Current Date'!F:F,E37,
'YearB-AppDetails Current Date'!E:E,--F37,
'YearB-AppDetails Current Date'!T:T,{"CDMT","RQMT","WAIT"},
'YearB-AppDetails Current Date'!I:I,"SPRING"))), "")</f>
        <v/>
      </c>
      <c r="P37" s="74" t="str">
        <f>IFERROR(1/(1/COUNTIFS(
'YearB-AppDetails Current Date'!A:A,D37,
'YearB-AppDetails Current Date'!F:F,E37,
'YearB-AppDetails Current Date'!E:E,--F37,
'YearB-AppDetails Current Date'!Y:Y,"ENRO",
'YearB-AppDetails Current Date'!I:I,"SPRING")), "")</f>
        <v/>
      </c>
      <c r="Q37" s="3" t="str">
        <f t="shared" si="0"/>
        <v/>
      </c>
    </row>
    <row r="38" spans="1:17" ht="15.75" customHeight="1" x14ac:dyDescent="0.25">
      <c r="A38" s="156"/>
      <c r="B38" s="122"/>
      <c r="C38" s="125"/>
      <c r="D38" s="23" t="s">
        <v>56</v>
      </c>
      <c r="E38" s="2" t="s">
        <v>43</v>
      </c>
      <c r="F38" s="31">
        <v>1</v>
      </c>
      <c r="G38" s="150"/>
      <c r="H38" s="73" t="str">
        <f>IFERROR(1/(1/
SUM(
N(VLOOKUP(D38&amp;F38,'Budgeted Projections Intl HC'!D:T,16,FALSE)),
N(VLOOKUP(D38&amp;F38,'Budgeted Projections Intl HC'!D:T,17,FALSE))
)
),"")</f>
        <v/>
      </c>
      <c r="I38" s="73" t="str">
        <f>IFERROR(1/(1/COUNTIFS(
'YearB-AppDetails Current Date'!A:A,D38,
'YearB-AppDetails Current Date'!F:F,E38,
'YearB-AppDetails Current Date'!E:E,--F38,
'YearB-AppDetails Current Date'!I:I,"SPRING")), "")</f>
        <v/>
      </c>
      <c r="J38" s="74" t="str" cm="1">
        <f t="array" ref="J38">IFERROR(1/(1/SUM(COUNTIFS(
'YearB-AppDetails Current Date'!A:A,D38,
'YearB-AppDetails Current Date'!F:F,E38,
'YearB-AppDetails Current Date'!E:E,--F38,
'YearB-AppDetails Current Date'!O:O,{"ACLN","ACPT","COND"},
'YearB-AppDetails Current Date'!S:S,"&lt;&gt;ACLN",
'YearB-AppDetails Current Date'!S:S,"&lt;&gt;ACPT",
'YearB-AppDetails Current Date'!S:S,"&lt;&gt;COND",
'YearB-AppDetails Current Date'!I:I,"SPRING"))), "")</f>
        <v/>
      </c>
      <c r="K38" s="73" t="str">
        <f>IFERROR(1/(1/SUM(COUNTIFS(
'YearB-AppDetails Current Date'!A:A,D38,
'YearB-AppDetails Current Date'!F:F,E38,
'YearB-AppDetails Current Date'!E:E,--F38,
'YearB-AppDetails Current Date'!R:R,"&lt;&gt;"&amp;"",
'YearB-AppDetails Current Date'!I:I,"SPRING"))), "")</f>
        <v/>
      </c>
      <c r="L38" s="74" t="str" cm="1">
        <f t="array" ref="L38">IFERROR(1/(1/SUM(COUNTIFS(
'YearB-AppDetails Current Date'!A:A,D38,
'YearB-AppDetails Current Date'!F:F,E38,
'YearB-AppDetails Current Date'!E:E,--F38,
'YearB-AppDetails Current Date'!T:T,{"APEX","DENY","NTSL"},
'YearB-AppDetails Current Date'!I:I,"SPRING"))), "")</f>
        <v/>
      </c>
      <c r="M38" s="74" t="str" cm="1">
        <f t="array" ref="M38">IFERROR(1/(1/SUM(COUNTIFS(
'YearB-AppDetails Current Date'!A:A,D38,
'YearB-AppDetails Current Date'!F:F,E38,
'YearB-AppDetails Current Date'!E:E,--F38,
'YearB-AppDetails Current Date'!U:U,{"CCAN","DECL"},
'YearB-AppDetails Current Date'!I:I,"SPRING"))), "")</f>
        <v/>
      </c>
      <c r="N38" s="74" t="str" cm="1">
        <f t="array" ref="N38">IFERROR(1/(1/SUM(COUNTIFS(
'YearB-AppDetails Current Date'!A:A,D38,
'YearB-AppDetails Current Date'!F:F,E38,
'YearB-AppDetails Current Date'!E:E,--F38,
'YearB-AppDetails Current Date'!V:V,{"APRO","NODE"},
'YearB-AppDetails Current Date'!I:I,"SPRING"))), "")</f>
        <v/>
      </c>
      <c r="O38" s="74" t="str" cm="1">
        <f t="array" ref="O38">IFERROR(1/(1/SUM(COUNTIFS(
'YearB-AppDetails Current Date'!A:A,D38,
'YearB-AppDetails Current Date'!F:F,E38,
'YearB-AppDetails Current Date'!E:E,--F38,
'YearB-AppDetails Current Date'!T:T,{"CDMT","RQMT","WAIT"},
'YearB-AppDetails Current Date'!I:I,"SPRING"))), "")</f>
        <v/>
      </c>
      <c r="P38" s="74" t="str">
        <f>IFERROR(1/(1/COUNTIFS(
'YearB-AppDetails Current Date'!A:A,D38,
'YearB-AppDetails Current Date'!F:F,E38,
'YearB-AppDetails Current Date'!E:E,--F38,
'YearB-AppDetails Current Date'!Y:Y,"ENRO",
'YearB-AppDetails Current Date'!I:I,"SPRING")), "")</f>
        <v/>
      </c>
      <c r="Q38" s="3" t="str">
        <f t="shared" si="0"/>
        <v/>
      </c>
    </row>
    <row r="39" spans="1:17" ht="15.75" customHeight="1" x14ac:dyDescent="0.25">
      <c r="A39" s="156"/>
      <c r="B39" s="122"/>
      <c r="C39" s="124" t="s">
        <v>57</v>
      </c>
      <c r="D39" s="23" t="s">
        <v>58</v>
      </c>
      <c r="E39" s="2" t="s">
        <v>42</v>
      </c>
      <c r="F39" s="24">
        <v>1</v>
      </c>
      <c r="G39" s="149">
        <v>25</v>
      </c>
      <c r="H39" s="73" t="str">
        <f>IFERROR(1/(1/
SUM(
N(VLOOKUP(D39&amp;F39,'Budgeted Projections Dom HC'!D:T,16,FALSE)),
N(VLOOKUP(D39&amp;F39,'Budgeted Projections Dom HC'!D:T,17,FALSE))
)
),"")</f>
        <v/>
      </c>
      <c r="I39" s="73" t="str">
        <f>IFERROR(1/(1/COUNTIFS(
'YearB-AppDetails Current Date'!A:A,D39,
'YearB-AppDetails Current Date'!F:F,E39,
'YearB-AppDetails Current Date'!E:E,--F39,
'YearB-AppDetails Current Date'!I:I,"SPRING")), "")</f>
        <v/>
      </c>
      <c r="J39" s="74" t="str" cm="1">
        <f t="array" ref="J39">IFERROR(1/(1/SUM(COUNTIFS(
'YearB-AppDetails Current Date'!A:A,D39,
'YearB-AppDetails Current Date'!F:F,E39,
'YearB-AppDetails Current Date'!E:E,--F39,
'YearB-AppDetails Current Date'!O:O,{"ACLN","ACPT","COND"},
'YearB-AppDetails Current Date'!S:S,"&lt;&gt;ACLN",
'YearB-AppDetails Current Date'!S:S,"&lt;&gt;ACPT",
'YearB-AppDetails Current Date'!S:S,"&lt;&gt;COND",
'YearB-AppDetails Current Date'!I:I,"SPRING"))), "")</f>
        <v/>
      </c>
      <c r="K39" s="73" t="str">
        <f>IFERROR(1/(1/SUM(COUNTIFS(
'YearB-AppDetails Current Date'!A:A,D39,
'YearB-AppDetails Current Date'!F:F,E39,
'YearB-AppDetails Current Date'!E:E,--F39,
'YearB-AppDetails Current Date'!R:R,"&lt;&gt;"&amp;"",
'YearB-AppDetails Current Date'!I:I,"SPRING"))), "")</f>
        <v/>
      </c>
      <c r="L39" s="74" t="str" cm="1">
        <f t="array" ref="L39">IFERROR(1/(1/SUM(COUNTIFS(
'YearB-AppDetails Current Date'!A:A,D39,
'YearB-AppDetails Current Date'!F:F,E39,
'YearB-AppDetails Current Date'!E:E,--F39,
'YearB-AppDetails Current Date'!T:T,{"APEX","DENY","NTSL"},
'YearB-AppDetails Current Date'!I:I,"SPRING"))), "")</f>
        <v/>
      </c>
      <c r="M39" s="74" t="str" cm="1">
        <f t="array" ref="M39">IFERROR(1/(1/SUM(COUNTIFS(
'YearB-AppDetails Current Date'!A:A,D39,
'YearB-AppDetails Current Date'!F:F,E39,
'YearB-AppDetails Current Date'!E:E,--F39,
'YearB-AppDetails Current Date'!U:U,{"CCAN","DECL"},
'YearB-AppDetails Current Date'!I:I,"SPRING"))), "")</f>
        <v/>
      </c>
      <c r="N39" s="74" t="str" cm="1">
        <f t="array" ref="N39">IFERROR(1/(1/SUM(COUNTIFS(
'YearB-AppDetails Current Date'!A:A,D39,
'YearB-AppDetails Current Date'!F:F,E39,
'YearB-AppDetails Current Date'!E:E,--F39,
'YearB-AppDetails Current Date'!V:V,{"APRO","NODE"},
'YearB-AppDetails Current Date'!I:I,"SPRING"))), "")</f>
        <v/>
      </c>
      <c r="O39" s="74" t="str" cm="1">
        <f t="array" ref="O39">IFERROR(1/(1/SUM(COUNTIFS(
'YearB-AppDetails Current Date'!A:A,D39,
'YearB-AppDetails Current Date'!F:F,E39,
'YearB-AppDetails Current Date'!E:E,--F39,
'YearB-AppDetails Current Date'!T:T,{"CDMT","RQMT","WAIT"},
'YearB-AppDetails Current Date'!I:I,"SPRING"))), "")</f>
        <v/>
      </c>
      <c r="P39" s="74" t="str">
        <f>IFERROR(1/(1/COUNTIFS(
'YearB-AppDetails Current Date'!A:A,D39,
'YearB-AppDetails Current Date'!F:F,E39,
'YearB-AppDetails Current Date'!E:E,--F39,
'YearB-AppDetails Current Date'!Y:Y,"ENRO",
'YearB-AppDetails Current Date'!I:I,"SPRING")), "")</f>
        <v/>
      </c>
      <c r="Q39" s="3" t="str">
        <f t="shared" si="0"/>
        <v/>
      </c>
    </row>
    <row r="40" spans="1:17" ht="15.75" customHeight="1" x14ac:dyDescent="0.25">
      <c r="A40" s="156"/>
      <c r="B40" s="122"/>
      <c r="C40" s="138"/>
      <c r="D40" s="23" t="s">
        <v>58</v>
      </c>
      <c r="E40" s="2" t="s">
        <v>43</v>
      </c>
      <c r="F40" s="31">
        <v>1</v>
      </c>
      <c r="G40" s="147"/>
      <c r="H40" s="73" t="str">
        <f>IFERROR(1/(1/
SUM(
N(VLOOKUP(D40&amp;F40,'Budgeted Projections Intl HC'!D:T,16,FALSE)),
N(VLOOKUP(D40&amp;F40,'Budgeted Projections Intl HC'!D:T,17,FALSE))
)
),"")</f>
        <v/>
      </c>
      <c r="I40" s="73" t="str">
        <f>IFERROR(1/(1/COUNTIFS(
'YearB-AppDetails Current Date'!A:A,D40,
'YearB-AppDetails Current Date'!F:F,E40,
'YearB-AppDetails Current Date'!E:E,--F40,
'YearB-AppDetails Current Date'!I:I,"SPRING")), "")</f>
        <v/>
      </c>
      <c r="J40" s="74" t="str" cm="1">
        <f t="array" ref="J40">IFERROR(1/(1/SUM(COUNTIFS(
'YearB-AppDetails Current Date'!A:A,D40,
'YearB-AppDetails Current Date'!F:F,E40,
'YearB-AppDetails Current Date'!E:E,--F40,
'YearB-AppDetails Current Date'!O:O,{"ACLN","ACPT","COND"},
'YearB-AppDetails Current Date'!S:S,"&lt;&gt;ACLN",
'YearB-AppDetails Current Date'!S:S,"&lt;&gt;ACPT",
'YearB-AppDetails Current Date'!S:S,"&lt;&gt;COND",
'YearB-AppDetails Current Date'!I:I,"SPRING"))), "")</f>
        <v/>
      </c>
      <c r="K40" s="73" t="str">
        <f>IFERROR(1/(1/SUM(COUNTIFS(
'YearB-AppDetails Current Date'!A:A,D40,
'YearB-AppDetails Current Date'!F:F,E40,
'YearB-AppDetails Current Date'!E:E,--F40,
'YearB-AppDetails Current Date'!R:R,"&lt;&gt;"&amp;"",
'YearB-AppDetails Current Date'!I:I,"SPRING"))), "")</f>
        <v/>
      </c>
      <c r="L40" s="74" t="str" cm="1">
        <f t="array" ref="L40">IFERROR(1/(1/SUM(COUNTIFS(
'YearB-AppDetails Current Date'!A:A,D40,
'YearB-AppDetails Current Date'!F:F,E40,
'YearB-AppDetails Current Date'!E:E,--F40,
'YearB-AppDetails Current Date'!T:T,{"APEX","DENY","NTSL"},
'YearB-AppDetails Current Date'!I:I,"SPRING"))), "")</f>
        <v/>
      </c>
      <c r="M40" s="74" t="str" cm="1">
        <f t="array" ref="M40">IFERROR(1/(1/SUM(COUNTIFS(
'YearB-AppDetails Current Date'!A:A,D40,
'YearB-AppDetails Current Date'!F:F,E40,
'YearB-AppDetails Current Date'!E:E,--F40,
'YearB-AppDetails Current Date'!U:U,{"CCAN","DECL"},
'YearB-AppDetails Current Date'!I:I,"SPRING"))), "")</f>
        <v/>
      </c>
      <c r="N40" s="74" t="str" cm="1">
        <f t="array" ref="N40">IFERROR(1/(1/SUM(COUNTIFS(
'YearB-AppDetails Current Date'!A:A,D40,
'YearB-AppDetails Current Date'!F:F,E40,
'YearB-AppDetails Current Date'!E:E,--F40,
'YearB-AppDetails Current Date'!V:V,{"APRO","NODE"},
'YearB-AppDetails Current Date'!I:I,"SPRING"))), "")</f>
        <v/>
      </c>
      <c r="O40" s="74" t="str" cm="1">
        <f t="array" ref="O40">IFERROR(1/(1/SUM(COUNTIFS(
'YearB-AppDetails Current Date'!A:A,D40,
'YearB-AppDetails Current Date'!F:F,E40,
'YearB-AppDetails Current Date'!E:E,--F40,
'YearB-AppDetails Current Date'!T:T,{"CDMT","RQMT","WAIT"},
'YearB-AppDetails Current Date'!I:I,"SPRING"))), "")</f>
        <v/>
      </c>
      <c r="P40" s="74" t="str">
        <f>IFERROR(1/(1/COUNTIFS(
'YearB-AppDetails Current Date'!A:A,D40,
'YearB-AppDetails Current Date'!F:F,E40,
'YearB-AppDetails Current Date'!E:E,--F40,
'YearB-AppDetails Current Date'!Y:Y,"ENRO",
'YearB-AppDetails Current Date'!I:I,"SPRING")), "")</f>
        <v/>
      </c>
      <c r="Q40" s="3" t="str">
        <f t="shared" si="0"/>
        <v/>
      </c>
    </row>
    <row r="41" spans="1:17" ht="15.75" customHeight="1" x14ac:dyDescent="0.25">
      <c r="A41" s="156"/>
      <c r="B41" s="122"/>
      <c r="C41" s="138"/>
      <c r="D41" s="23" t="s">
        <v>58</v>
      </c>
      <c r="E41" s="2" t="s">
        <v>42</v>
      </c>
      <c r="F41" s="24">
        <v>2</v>
      </c>
      <c r="G41" s="149">
        <v>25</v>
      </c>
      <c r="H41" s="73" t="str">
        <f>IFERROR(1/(1/
SUM(
N(VLOOKUP(D41&amp;F41,'Budgeted Projections Dom HC'!D:T,16,FALSE)),
N(VLOOKUP(D41&amp;F41,'Budgeted Projections Dom HC'!D:T,17,FALSE))
)
),"")</f>
        <v/>
      </c>
      <c r="I41" s="73" t="str">
        <f>IFERROR(1/(1/COUNTIFS(
'YearB-AppDetails Current Date'!A:A,D41,
'YearB-AppDetails Current Date'!F:F,E41,
'YearB-AppDetails Current Date'!E:E,--F41,
'YearB-AppDetails Current Date'!I:I,"SPRING")), "")</f>
        <v/>
      </c>
      <c r="J41" s="74" t="str" cm="1">
        <f t="array" ref="J41">IFERROR(1/(1/SUM(COUNTIFS(
'YearB-AppDetails Current Date'!A:A,D41,
'YearB-AppDetails Current Date'!F:F,E41,
'YearB-AppDetails Current Date'!E:E,--F41,
'YearB-AppDetails Current Date'!O:O,{"ACLN","ACPT","COND"},
'YearB-AppDetails Current Date'!S:S,"&lt;&gt;ACLN",
'YearB-AppDetails Current Date'!S:S,"&lt;&gt;ACPT",
'YearB-AppDetails Current Date'!S:S,"&lt;&gt;COND",
'YearB-AppDetails Current Date'!I:I,"SPRING"))), "")</f>
        <v/>
      </c>
      <c r="K41" s="73" t="str">
        <f>IFERROR(1/(1/SUM(COUNTIFS(
'YearB-AppDetails Current Date'!A:A,D41,
'YearB-AppDetails Current Date'!F:F,E41,
'YearB-AppDetails Current Date'!E:E,--F41,
'YearB-AppDetails Current Date'!R:R,"&lt;&gt;"&amp;"",
'YearB-AppDetails Current Date'!I:I,"SPRING"))), "")</f>
        <v/>
      </c>
      <c r="L41" s="74" t="str" cm="1">
        <f t="array" ref="L41">IFERROR(1/(1/SUM(COUNTIFS(
'YearB-AppDetails Current Date'!A:A,D41,
'YearB-AppDetails Current Date'!F:F,E41,
'YearB-AppDetails Current Date'!E:E,--F41,
'YearB-AppDetails Current Date'!T:T,{"APEX","DENY","NTSL"},
'YearB-AppDetails Current Date'!I:I,"SPRING"))), "")</f>
        <v/>
      </c>
      <c r="M41" s="74" t="str" cm="1">
        <f t="array" ref="M41">IFERROR(1/(1/SUM(COUNTIFS(
'YearB-AppDetails Current Date'!A:A,D41,
'YearB-AppDetails Current Date'!F:F,E41,
'YearB-AppDetails Current Date'!E:E,--F41,
'YearB-AppDetails Current Date'!U:U,{"CCAN","DECL"},
'YearB-AppDetails Current Date'!I:I,"SPRING"))), "")</f>
        <v/>
      </c>
      <c r="N41" s="74" t="str" cm="1">
        <f t="array" ref="N41">IFERROR(1/(1/SUM(COUNTIFS(
'YearB-AppDetails Current Date'!A:A,D41,
'YearB-AppDetails Current Date'!F:F,E41,
'YearB-AppDetails Current Date'!E:E,--F41,
'YearB-AppDetails Current Date'!V:V,{"APRO","NODE"},
'YearB-AppDetails Current Date'!I:I,"SPRING"))), "")</f>
        <v/>
      </c>
      <c r="O41" s="74" t="str" cm="1">
        <f t="array" ref="O41">IFERROR(1/(1/SUM(COUNTIFS(
'YearB-AppDetails Current Date'!A:A,D41,
'YearB-AppDetails Current Date'!F:F,E41,
'YearB-AppDetails Current Date'!E:E,--F41,
'YearB-AppDetails Current Date'!T:T,{"CDMT","RQMT","WAIT"},
'YearB-AppDetails Current Date'!I:I,"SPRING"))), "")</f>
        <v/>
      </c>
      <c r="P41" s="74" t="str">
        <f>IFERROR(1/(1/COUNTIFS(
'YearB-AppDetails Current Date'!A:A,D41,
'YearB-AppDetails Current Date'!F:F,E41,
'YearB-AppDetails Current Date'!E:E,--F41,
'YearB-AppDetails Current Date'!Y:Y,"ENRO",
'YearB-AppDetails Current Date'!I:I,"SPRING")), "")</f>
        <v/>
      </c>
      <c r="Q41" s="3" t="str">
        <f t="shared" si="0"/>
        <v/>
      </c>
    </row>
    <row r="42" spans="1:17" ht="15.75" customHeight="1" x14ac:dyDescent="0.25">
      <c r="A42" s="156"/>
      <c r="B42" s="122"/>
      <c r="C42" s="125"/>
      <c r="D42" s="23" t="s">
        <v>58</v>
      </c>
      <c r="E42" s="2" t="s">
        <v>43</v>
      </c>
      <c r="F42" s="31">
        <v>2</v>
      </c>
      <c r="G42" s="147"/>
      <c r="H42" s="73" t="str">
        <f>IFERROR(1/(1/
SUM(
N(VLOOKUP(D42&amp;F42,'Budgeted Projections Intl HC'!D:T,16,FALSE)),
N(VLOOKUP(D42&amp;F42,'Budgeted Projections Intl HC'!D:T,17,FALSE))
)
),"")</f>
        <v/>
      </c>
      <c r="I42" s="73" t="str">
        <f>IFERROR(1/(1/COUNTIFS(
'YearB-AppDetails Current Date'!A:A,D42,
'YearB-AppDetails Current Date'!F:F,E42,
'YearB-AppDetails Current Date'!E:E,--F42,
'YearB-AppDetails Current Date'!I:I,"SPRING")), "")</f>
        <v/>
      </c>
      <c r="J42" s="74" t="str" cm="1">
        <f t="array" ref="J42">IFERROR(1/(1/SUM(COUNTIFS(
'YearB-AppDetails Current Date'!A:A,D42,
'YearB-AppDetails Current Date'!F:F,E42,
'YearB-AppDetails Current Date'!E:E,--F42,
'YearB-AppDetails Current Date'!O:O,{"ACLN","ACPT","COND"},
'YearB-AppDetails Current Date'!S:S,"&lt;&gt;ACLN",
'YearB-AppDetails Current Date'!S:S,"&lt;&gt;ACPT",
'YearB-AppDetails Current Date'!S:S,"&lt;&gt;COND",
'YearB-AppDetails Current Date'!I:I,"SPRING"))), "")</f>
        <v/>
      </c>
      <c r="K42" s="73" t="str">
        <f>IFERROR(1/(1/SUM(COUNTIFS(
'YearB-AppDetails Current Date'!A:A,D42,
'YearB-AppDetails Current Date'!F:F,E42,
'YearB-AppDetails Current Date'!E:E,--F42,
'YearB-AppDetails Current Date'!R:R,"&lt;&gt;"&amp;"",
'YearB-AppDetails Current Date'!I:I,"SPRING"))), "")</f>
        <v/>
      </c>
      <c r="L42" s="74" t="str" cm="1">
        <f t="array" ref="L42">IFERROR(1/(1/SUM(COUNTIFS(
'YearB-AppDetails Current Date'!A:A,D42,
'YearB-AppDetails Current Date'!F:F,E42,
'YearB-AppDetails Current Date'!E:E,--F42,
'YearB-AppDetails Current Date'!T:T,{"APEX","DENY","NTSL"},
'YearB-AppDetails Current Date'!I:I,"SPRING"))), "")</f>
        <v/>
      </c>
      <c r="M42" s="74" t="str" cm="1">
        <f t="array" ref="M42">IFERROR(1/(1/SUM(COUNTIFS(
'YearB-AppDetails Current Date'!A:A,D42,
'YearB-AppDetails Current Date'!F:F,E42,
'YearB-AppDetails Current Date'!E:E,--F42,
'YearB-AppDetails Current Date'!U:U,{"CCAN","DECL"},
'YearB-AppDetails Current Date'!I:I,"SPRING"))), "")</f>
        <v/>
      </c>
      <c r="N42" s="74" t="str" cm="1">
        <f t="array" ref="N42">IFERROR(1/(1/SUM(COUNTIFS(
'YearB-AppDetails Current Date'!A:A,D42,
'YearB-AppDetails Current Date'!F:F,E42,
'YearB-AppDetails Current Date'!E:E,--F42,
'YearB-AppDetails Current Date'!V:V,{"APRO","NODE"},
'YearB-AppDetails Current Date'!I:I,"SPRING"))), "")</f>
        <v/>
      </c>
      <c r="O42" s="74" t="str" cm="1">
        <f t="array" ref="O42">IFERROR(1/(1/SUM(COUNTIFS(
'YearB-AppDetails Current Date'!A:A,D42,
'YearB-AppDetails Current Date'!F:F,E42,
'YearB-AppDetails Current Date'!E:E,--F42,
'YearB-AppDetails Current Date'!T:T,{"CDMT","RQMT","WAIT"},
'YearB-AppDetails Current Date'!I:I,"SPRING"))), "")</f>
        <v/>
      </c>
      <c r="P42" s="74" t="str">
        <f>IFERROR(1/(1/COUNTIFS(
'YearB-AppDetails Current Date'!A:A,D42,
'YearB-AppDetails Current Date'!F:F,E42,
'YearB-AppDetails Current Date'!E:E,--F42,
'YearB-AppDetails Current Date'!Y:Y,"ENRO",
'YearB-AppDetails Current Date'!I:I,"SPRING")), "")</f>
        <v/>
      </c>
      <c r="Q42" s="3" t="str">
        <f t="shared" si="0"/>
        <v/>
      </c>
    </row>
    <row r="43" spans="1:17" ht="15.75" customHeight="1" x14ac:dyDescent="0.25">
      <c r="A43" s="156"/>
      <c r="B43" s="122"/>
      <c r="C43" s="132" t="s">
        <v>144</v>
      </c>
      <c r="D43" s="30" t="s">
        <v>145</v>
      </c>
      <c r="E43" s="2" t="s">
        <v>42</v>
      </c>
      <c r="F43" s="32">
        <v>1</v>
      </c>
      <c r="G43" s="126"/>
      <c r="H43" s="73" t="str">
        <f>IFERROR(1/(1/
SUM(
N(VLOOKUP(D43&amp;F43,'Budgeted Projections Dom HC'!D:T,16,FALSE)),
N(VLOOKUP(D43&amp;F43,'Budgeted Projections Dom HC'!D:T,17,FALSE))
)
),"")</f>
        <v/>
      </c>
      <c r="I43" s="73" t="str">
        <f>IFERROR(1/(1/COUNTIFS(
'YearB-AppDetails Current Date'!A:A,D43,
'YearB-AppDetails Current Date'!F:F,E43,
'YearB-AppDetails Current Date'!E:E,--F43,
'YearB-AppDetails Current Date'!I:I,"SPRING")), "")</f>
        <v/>
      </c>
      <c r="J43" s="74" t="str" cm="1">
        <f t="array" ref="J43">IFERROR(1/(1/SUM(COUNTIFS(
'YearB-AppDetails Current Date'!A:A,D43,
'YearB-AppDetails Current Date'!F:F,E43,
'YearB-AppDetails Current Date'!E:E,--F43,
'YearB-AppDetails Current Date'!O:O,{"ACLN","ACPT","COND"},
'YearB-AppDetails Current Date'!S:S,"&lt;&gt;ACLN",
'YearB-AppDetails Current Date'!S:S,"&lt;&gt;ACPT",
'YearB-AppDetails Current Date'!S:S,"&lt;&gt;COND",
'YearB-AppDetails Current Date'!I:I,"SPRING"))), "")</f>
        <v/>
      </c>
      <c r="K43" s="73" t="str">
        <f>IFERROR(1/(1/SUM(COUNTIFS(
'YearB-AppDetails Current Date'!A:A,D43,
'YearB-AppDetails Current Date'!F:F,E43,
'YearB-AppDetails Current Date'!E:E,--F43,
'YearB-AppDetails Current Date'!R:R,"&lt;&gt;"&amp;"",
'YearB-AppDetails Current Date'!I:I,"SPRING"))), "")</f>
        <v/>
      </c>
      <c r="L43" s="74" t="str" cm="1">
        <f t="array" ref="L43">IFERROR(1/(1/SUM(COUNTIFS(
'YearB-AppDetails Current Date'!A:A,D43,
'YearB-AppDetails Current Date'!F:F,E43,
'YearB-AppDetails Current Date'!E:E,--F43,
'YearB-AppDetails Current Date'!T:T,{"APEX","DENY","NTSL"},
'YearB-AppDetails Current Date'!I:I,"SPRING"))), "")</f>
        <v/>
      </c>
      <c r="M43" s="74" t="str" cm="1">
        <f t="array" ref="M43">IFERROR(1/(1/SUM(COUNTIFS(
'YearB-AppDetails Current Date'!A:A,D43,
'YearB-AppDetails Current Date'!F:F,E43,
'YearB-AppDetails Current Date'!E:E,--F43,
'YearB-AppDetails Current Date'!U:U,{"CCAN","DECL"},
'YearB-AppDetails Current Date'!I:I,"SPRING"))), "")</f>
        <v/>
      </c>
      <c r="N43" s="74" t="str" cm="1">
        <f t="array" ref="N43">IFERROR(1/(1/SUM(COUNTIFS(
'YearB-AppDetails Current Date'!A:A,D43,
'YearB-AppDetails Current Date'!F:F,E43,
'YearB-AppDetails Current Date'!E:E,--F43,
'YearB-AppDetails Current Date'!V:V,{"APRO","NODE"},
'YearB-AppDetails Current Date'!I:I,"SPRING"))), "")</f>
        <v/>
      </c>
      <c r="O43" s="74" t="str" cm="1">
        <f t="array" ref="O43">IFERROR(1/(1/SUM(COUNTIFS(
'YearB-AppDetails Current Date'!A:A,D43,
'YearB-AppDetails Current Date'!F:F,E43,
'YearB-AppDetails Current Date'!E:E,--F43,
'YearB-AppDetails Current Date'!T:T,{"CDMT","RQMT","WAIT"},
'YearB-AppDetails Current Date'!I:I,"SPRING"))), "")</f>
        <v/>
      </c>
      <c r="P43" s="74" t="str">
        <f>IFERROR(1/(1/COUNTIFS(
'YearB-AppDetails Current Date'!A:A,D43,
'YearB-AppDetails Current Date'!F:F,E43,
'YearB-AppDetails Current Date'!E:E,--F43,
'YearB-AppDetails Current Date'!Y:Y,"ENRO",
'YearB-AppDetails Current Date'!I:I,"SPRING")), "")</f>
        <v/>
      </c>
      <c r="Q43" s="3" t="str">
        <f t="shared" si="0"/>
        <v/>
      </c>
    </row>
    <row r="44" spans="1:17" ht="15.75" customHeight="1" x14ac:dyDescent="0.25">
      <c r="A44" s="156"/>
      <c r="B44" s="122"/>
      <c r="C44" s="145"/>
      <c r="D44" s="30" t="s">
        <v>145</v>
      </c>
      <c r="E44" s="2" t="s">
        <v>43</v>
      </c>
      <c r="F44" s="32">
        <v>1</v>
      </c>
      <c r="G44" s="127"/>
      <c r="H44" s="73" t="str">
        <f>IFERROR(1/(1/
SUM(
N(VLOOKUP(D44&amp;F44,'Budgeted Projections Intl HC'!D:T,16,FALSE)),
N(VLOOKUP(D44&amp;F44,'Budgeted Projections Intl HC'!D:T,17,FALSE))
)
),"")</f>
        <v/>
      </c>
      <c r="I44" s="73" t="str">
        <f>IFERROR(1/(1/COUNTIFS(
'YearB-AppDetails Current Date'!A:A,D44,
'YearB-AppDetails Current Date'!F:F,E44,
'YearB-AppDetails Current Date'!E:E,--F44,
'YearB-AppDetails Current Date'!I:I,"SPRING")), "")</f>
        <v/>
      </c>
      <c r="J44" s="74" t="str" cm="1">
        <f t="array" ref="J44">IFERROR(1/(1/SUM(COUNTIFS(
'YearB-AppDetails Current Date'!A:A,D44,
'YearB-AppDetails Current Date'!F:F,E44,
'YearB-AppDetails Current Date'!E:E,--F44,
'YearB-AppDetails Current Date'!O:O,{"ACLN","ACPT","COND"},
'YearB-AppDetails Current Date'!S:S,"&lt;&gt;ACLN",
'YearB-AppDetails Current Date'!S:S,"&lt;&gt;ACPT",
'YearB-AppDetails Current Date'!S:S,"&lt;&gt;COND",
'YearB-AppDetails Current Date'!I:I,"SPRING"))), "")</f>
        <v/>
      </c>
      <c r="K44" s="73" t="str">
        <f>IFERROR(1/(1/SUM(COUNTIFS(
'YearB-AppDetails Current Date'!A:A,D44,
'YearB-AppDetails Current Date'!F:F,E44,
'YearB-AppDetails Current Date'!E:E,--F44,
'YearB-AppDetails Current Date'!R:R,"&lt;&gt;"&amp;"",
'YearB-AppDetails Current Date'!I:I,"SPRING"))), "")</f>
        <v/>
      </c>
      <c r="L44" s="74" t="str" cm="1">
        <f t="array" ref="L44">IFERROR(1/(1/SUM(COUNTIFS(
'YearB-AppDetails Current Date'!A:A,D44,
'YearB-AppDetails Current Date'!F:F,E44,
'YearB-AppDetails Current Date'!E:E,--F44,
'YearB-AppDetails Current Date'!T:T,{"APEX","DENY","NTSL"},
'YearB-AppDetails Current Date'!I:I,"SPRING"))), "")</f>
        <v/>
      </c>
      <c r="M44" s="74" t="str" cm="1">
        <f t="array" ref="M44">IFERROR(1/(1/SUM(COUNTIFS(
'YearB-AppDetails Current Date'!A:A,D44,
'YearB-AppDetails Current Date'!F:F,E44,
'YearB-AppDetails Current Date'!E:E,--F44,
'YearB-AppDetails Current Date'!U:U,{"CCAN","DECL"},
'YearB-AppDetails Current Date'!I:I,"SPRING"))), "")</f>
        <v/>
      </c>
      <c r="N44" s="74" t="str" cm="1">
        <f t="array" ref="N44">IFERROR(1/(1/SUM(COUNTIFS(
'YearB-AppDetails Current Date'!A:A,D44,
'YearB-AppDetails Current Date'!F:F,E44,
'YearB-AppDetails Current Date'!E:E,--F44,
'YearB-AppDetails Current Date'!V:V,{"APRO","NODE"},
'YearB-AppDetails Current Date'!I:I,"SPRING"))), "")</f>
        <v/>
      </c>
      <c r="O44" s="74" t="str" cm="1">
        <f t="array" ref="O44">IFERROR(1/(1/SUM(COUNTIFS(
'YearB-AppDetails Current Date'!A:A,D44,
'YearB-AppDetails Current Date'!F:F,E44,
'YearB-AppDetails Current Date'!E:E,--F44,
'YearB-AppDetails Current Date'!T:T,{"CDMT","RQMT","WAIT"},
'YearB-AppDetails Current Date'!I:I,"SPRING"))), "")</f>
        <v/>
      </c>
      <c r="P44" s="74" t="str">
        <f>IFERROR(1/(1/COUNTIFS(
'YearB-AppDetails Current Date'!A:A,D44,
'YearB-AppDetails Current Date'!F:F,E44,
'YearB-AppDetails Current Date'!E:E,--F44,
'YearB-AppDetails Current Date'!Y:Y,"ENRO",
'YearB-AppDetails Current Date'!I:I,"SPRING")), "")</f>
        <v/>
      </c>
      <c r="Q44" s="3" t="str">
        <f t="shared" si="0"/>
        <v/>
      </c>
    </row>
    <row r="45" spans="1:17" ht="15.75" customHeight="1" x14ac:dyDescent="0.25">
      <c r="A45" s="156"/>
      <c r="B45" s="122"/>
      <c r="C45" s="145"/>
      <c r="D45" s="30" t="s">
        <v>145</v>
      </c>
      <c r="E45" s="2" t="s">
        <v>42</v>
      </c>
      <c r="F45" s="32">
        <v>2</v>
      </c>
      <c r="G45" s="126"/>
      <c r="H45" s="73" t="str">
        <f>IFERROR(1/(1/
SUM(
N(VLOOKUP(D45&amp;F45,'Budgeted Projections Dom HC'!D:T,16,FALSE)),
N(VLOOKUP(D45&amp;F45,'Budgeted Projections Dom HC'!D:T,17,FALSE))
)
),"")</f>
        <v/>
      </c>
      <c r="I45" s="73" t="str">
        <f>IFERROR(1/(1/COUNTIFS(
'YearB-AppDetails Current Date'!A:A,D45,
'YearB-AppDetails Current Date'!F:F,E45,
'YearB-AppDetails Current Date'!E:E,--F45,
'YearB-AppDetails Current Date'!I:I,"SPRING")), "")</f>
        <v/>
      </c>
      <c r="J45" s="74" t="str" cm="1">
        <f t="array" ref="J45">IFERROR(1/(1/SUM(COUNTIFS(
'YearB-AppDetails Current Date'!A:A,D45,
'YearB-AppDetails Current Date'!F:F,E45,
'YearB-AppDetails Current Date'!E:E,--F45,
'YearB-AppDetails Current Date'!O:O,{"ACLN","ACPT","COND"},
'YearB-AppDetails Current Date'!S:S,"&lt;&gt;ACLN",
'YearB-AppDetails Current Date'!S:S,"&lt;&gt;ACPT",
'YearB-AppDetails Current Date'!S:S,"&lt;&gt;COND",
'YearB-AppDetails Current Date'!I:I,"SPRING"))), "")</f>
        <v/>
      </c>
      <c r="K45" s="73" t="str">
        <f>IFERROR(1/(1/SUM(COUNTIFS(
'YearB-AppDetails Current Date'!A:A,D45,
'YearB-AppDetails Current Date'!F:F,E45,
'YearB-AppDetails Current Date'!E:E,--F45,
'YearB-AppDetails Current Date'!R:R,"&lt;&gt;"&amp;"",
'YearB-AppDetails Current Date'!I:I,"SPRING"))), "")</f>
        <v/>
      </c>
      <c r="L45" s="74" t="str" cm="1">
        <f t="array" ref="L45">IFERROR(1/(1/SUM(COUNTIFS(
'YearB-AppDetails Current Date'!A:A,D45,
'YearB-AppDetails Current Date'!F:F,E45,
'YearB-AppDetails Current Date'!E:E,--F45,
'YearB-AppDetails Current Date'!T:T,{"APEX","DENY","NTSL"},
'YearB-AppDetails Current Date'!I:I,"SPRING"))), "")</f>
        <v/>
      </c>
      <c r="M45" s="74" t="str" cm="1">
        <f t="array" ref="M45">IFERROR(1/(1/SUM(COUNTIFS(
'YearB-AppDetails Current Date'!A:A,D45,
'YearB-AppDetails Current Date'!F:F,E45,
'YearB-AppDetails Current Date'!E:E,--F45,
'YearB-AppDetails Current Date'!U:U,{"CCAN","DECL"},
'YearB-AppDetails Current Date'!I:I,"SPRING"))), "")</f>
        <v/>
      </c>
      <c r="N45" s="74" t="str" cm="1">
        <f t="array" ref="N45">IFERROR(1/(1/SUM(COUNTIFS(
'YearB-AppDetails Current Date'!A:A,D45,
'YearB-AppDetails Current Date'!F:F,E45,
'YearB-AppDetails Current Date'!E:E,--F45,
'YearB-AppDetails Current Date'!V:V,{"APRO","NODE"},
'YearB-AppDetails Current Date'!I:I,"SPRING"))), "")</f>
        <v/>
      </c>
      <c r="O45" s="74" t="str" cm="1">
        <f t="array" ref="O45">IFERROR(1/(1/SUM(COUNTIFS(
'YearB-AppDetails Current Date'!A:A,D45,
'YearB-AppDetails Current Date'!F:F,E45,
'YearB-AppDetails Current Date'!E:E,--F45,
'YearB-AppDetails Current Date'!T:T,{"CDMT","RQMT","WAIT"},
'YearB-AppDetails Current Date'!I:I,"SPRING"))), "")</f>
        <v/>
      </c>
      <c r="P45" s="74" t="str">
        <f>IFERROR(1/(1/COUNTIFS(
'YearB-AppDetails Current Date'!A:A,D45,
'YearB-AppDetails Current Date'!F:F,E45,
'YearB-AppDetails Current Date'!E:E,--F45,
'YearB-AppDetails Current Date'!Y:Y,"ENRO",
'YearB-AppDetails Current Date'!I:I,"SPRING")), "")</f>
        <v/>
      </c>
      <c r="Q45" s="3" t="str">
        <f t="shared" si="0"/>
        <v/>
      </c>
    </row>
    <row r="46" spans="1:17" ht="15.75" customHeight="1" x14ac:dyDescent="0.25">
      <c r="A46" s="156"/>
      <c r="B46" s="122"/>
      <c r="C46" s="133"/>
      <c r="D46" s="30" t="s">
        <v>145</v>
      </c>
      <c r="E46" s="2" t="s">
        <v>43</v>
      </c>
      <c r="F46" s="32">
        <v>2</v>
      </c>
      <c r="G46" s="127"/>
      <c r="H46" s="73" t="str">
        <f>IFERROR(1/(1/
SUM(
N(VLOOKUP(D46&amp;F46,'Budgeted Projections Intl HC'!D:T,16,FALSE)),
N(VLOOKUP(D46&amp;F46,'Budgeted Projections Intl HC'!D:T,17,FALSE))
)
),"")</f>
        <v/>
      </c>
      <c r="I46" s="73" t="str">
        <f>IFERROR(1/(1/COUNTIFS(
'YearB-AppDetails Current Date'!A:A,D46,
'YearB-AppDetails Current Date'!F:F,E46,
'YearB-AppDetails Current Date'!E:E,--F46,
'YearB-AppDetails Current Date'!I:I,"SPRING")), "")</f>
        <v/>
      </c>
      <c r="J46" s="74" t="str" cm="1">
        <f t="array" ref="J46">IFERROR(1/(1/SUM(COUNTIFS(
'YearB-AppDetails Current Date'!A:A,D46,
'YearB-AppDetails Current Date'!F:F,E46,
'YearB-AppDetails Current Date'!E:E,--F46,
'YearB-AppDetails Current Date'!O:O,{"ACLN","ACPT","COND"},
'YearB-AppDetails Current Date'!S:S,"&lt;&gt;ACLN",
'YearB-AppDetails Current Date'!S:S,"&lt;&gt;ACPT",
'YearB-AppDetails Current Date'!S:S,"&lt;&gt;COND",
'YearB-AppDetails Current Date'!I:I,"SPRING"))), "")</f>
        <v/>
      </c>
      <c r="K46" s="73" t="str">
        <f>IFERROR(1/(1/SUM(COUNTIFS(
'YearB-AppDetails Current Date'!A:A,D46,
'YearB-AppDetails Current Date'!F:F,E46,
'YearB-AppDetails Current Date'!E:E,--F46,
'YearB-AppDetails Current Date'!R:R,"&lt;&gt;"&amp;"",
'YearB-AppDetails Current Date'!I:I,"SPRING"))), "")</f>
        <v/>
      </c>
      <c r="L46" s="74" t="str" cm="1">
        <f t="array" ref="L46">IFERROR(1/(1/SUM(COUNTIFS(
'YearB-AppDetails Current Date'!A:A,D46,
'YearB-AppDetails Current Date'!F:F,E46,
'YearB-AppDetails Current Date'!E:E,--F46,
'YearB-AppDetails Current Date'!T:T,{"APEX","DENY","NTSL"},
'YearB-AppDetails Current Date'!I:I,"SPRING"))), "")</f>
        <v/>
      </c>
      <c r="M46" s="74" t="str" cm="1">
        <f t="array" ref="M46">IFERROR(1/(1/SUM(COUNTIFS(
'YearB-AppDetails Current Date'!A:A,D46,
'YearB-AppDetails Current Date'!F:F,E46,
'YearB-AppDetails Current Date'!E:E,--F46,
'YearB-AppDetails Current Date'!U:U,{"CCAN","DECL"},
'YearB-AppDetails Current Date'!I:I,"SPRING"))), "")</f>
        <v/>
      </c>
      <c r="N46" s="74" t="str" cm="1">
        <f t="array" ref="N46">IFERROR(1/(1/SUM(COUNTIFS(
'YearB-AppDetails Current Date'!A:A,D46,
'YearB-AppDetails Current Date'!F:F,E46,
'YearB-AppDetails Current Date'!E:E,--F46,
'YearB-AppDetails Current Date'!V:V,{"APRO","NODE"},
'YearB-AppDetails Current Date'!I:I,"SPRING"))), "")</f>
        <v/>
      </c>
      <c r="O46" s="74" t="str" cm="1">
        <f t="array" ref="O46">IFERROR(1/(1/SUM(COUNTIFS(
'YearB-AppDetails Current Date'!A:A,D46,
'YearB-AppDetails Current Date'!F:F,E46,
'YearB-AppDetails Current Date'!E:E,--F46,
'YearB-AppDetails Current Date'!T:T,{"CDMT","RQMT","WAIT"},
'YearB-AppDetails Current Date'!I:I,"SPRING"))), "")</f>
        <v/>
      </c>
      <c r="P46" s="74" t="str">
        <f>IFERROR(1/(1/COUNTIFS(
'YearB-AppDetails Current Date'!A:A,D46,
'YearB-AppDetails Current Date'!F:F,E46,
'YearB-AppDetails Current Date'!E:E,--F46,
'YearB-AppDetails Current Date'!Y:Y,"ENRO",
'YearB-AppDetails Current Date'!I:I,"SPRING")), "")</f>
        <v/>
      </c>
      <c r="Q46" s="3" t="str">
        <f t="shared" si="0"/>
        <v/>
      </c>
    </row>
    <row r="47" spans="1:17" ht="15.75" customHeight="1" x14ac:dyDescent="0.25">
      <c r="A47" s="156"/>
      <c r="B47" s="122"/>
      <c r="C47" s="124" t="s">
        <v>59</v>
      </c>
      <c r="D47" s="23" t="s">
        <v>60</v>
      </c>
      <c r="E47" s="2" t="s">
        <v>42</v>
      </c>
      <c r="F47" s="42">
        <v>1</v>
      </c>
      <c r="G47" s="139"/>
      <c r="H47" s="73" t="str">
        <f>IFERROR(1/(1/
SUM(
N(VLOOKUP(D47&amp;F47,'Budgeted Projections Dom HC'!D:T,16,FALSE)),
N(VLOOKUP(D47&amp;F47,'Budgeted Projections Dom HC'!D:T,17,FALSE))
)
),"")</f>
        <v/>
      </c>
      <c r="I47" s="73" t="str">
        <f>IFERROR(1/(1/COUNTIFS(
'YearB-AppDetails Current Date'!A:A,D47,
'YearB-AppDetails Current Date'!F:F,E47,
'YearB-AppDetails Current Date'!E:E,--F47,
'YearB-AppDetails Current Date'!I:I,"SPRING")), "")</f>
        <v/>
      </c>
      <c r="J47" s="74" t="str" cm="1">
        <f t="array" ref="J47">IFERROR(1/(1/SUM(COUNTIFS(
'YearB-AppDetails Current Date'!A:A,D47,
'YearB-AppDetails Current Date'!F:F,E47,
'YearB-AppDetails Current Date'!E:E,--F47,
'YearB-AppDetails Current Date'!O:O,{"ACLN","ACPT","COND"},
'YearB-AppDetails Current Date'!S:S,"&lt;&gt;ACLN",
'YearB-AppDetails Current Date'!S:S,"&lt;&gt;ACPT",
'YearB-AppDetails Current Date'!S:S,"&lt;&gt;COND",
'YearB-AppDetails Current Date'!I:I,"SPRING"))), "")</f>
        <v/>
      </c>
      <c r="K47" s="73" t="str">
        <f>IFERROR(1/(1/SUM(COUNTIFS(
'YearB-AppDetails Current Date'!A:A,D47,
'YearB-AppDetails Current Date'!F:F,E47,
'YearB-AppDetails Current Date'!E:E,--F47,
'YearB-AppDetails Current Date'!R:R,"&lt;&gt;"&amp;"",
'YearB-AppDetails Current Date'!I:I,"SPRING"))), "")</f>
        <v/>
      </c>
      <c r="L47" s="74" t="str" cm="1">
        <f t="array" ref="L47">IFERROR(1/(1/SUM(COUNTIFS(
'YearB-AppDetails Current Date'!A:A,D47,
'YearB-AppDetails Current Date'!F:F,E47,
'YearB-AppDetails Current Date'!E:E,--F47,
'YearB-AppDetails Current Date'!T:T,{"APEX","DENY","NTSL"},
'YearB-AppDetails Current Date'!I:I,"SPRING"))), "")</f>
        <v/>
      </c>
      <c r="M47" s="74" t="str" cm="1">
        <f t="array" ref="M47">IFERROR(1/(1/SUM(COUNTIFS(
'YearB-AppDetails Current Date'!A:A,D47,
'YearB-AppDetails Current Date'!F:F,E47,
'YearB-AppDetails Current Date'!E:E,--F47,
'YearB-AppDetails Current Date'!U:U,{"CCAN","DECL"},
'YearB-AppDetails Current Date'!I:I,"SPRING"))), "")</f>
        <v/>
      </c>
      <c r="N47" s="74" t="str" cm="1">
        <f t="array" ref="N47">IFERROR(1/(1/SUM(COUNTIFS(
'YearB-AppDetails Current Date'!A:A,D47,
'YearB-AppDetails Current Date'!F:F,E47,
'YearB-AppDetails Current Date'!E:E,--F47,
'YearB-AppDetails Current Date'!V:V,{"APRO","NODE"},
'YearB-AppDetails Current Date'!I:I,"SPRING"))), "")</f>
        <v/>
      </c>
      <c r="O47" s="74" t="str" cm="1">
        <f t="array" ref="O47">IFERROR(1/(1/SUM(COUNTIFS(
'YearB-AppDetails Current Date'!A:A,D47,
'YearB-AppDetails Current Date'!F:F,E47,
'YearB-AppDetails Current Date'!E:E,--F47,
'YearB-AppDetails Current Date'!T:T,{"CDMT","RQMT","WAIT"},
'YearB-AppDetails Current Date'!I:I,"SPRING"))), "")</f>
        <v/>
      </c>
      <c r="P47" s="74" t="str">
        <f>IFERROR(1/(1/COUNTIFS(
'YearB-AppDetails Current Date'!A:A,D47,
'YearB-AppDetails Current Date'!F:F,E47,
'YearB-AppDetails Current Date'!E:E,--F47,
'YearB-AppDetails Current Date'!Y:Y,"ENRO",
'YearB-AppDetails Current Date'!I:I,"SPRING")), "")</f>
        <v/>
      </c>
      <c r="Q47" s="3" t="str">
        <f t="shared" si="0"/>
        <v/>
      </c>
    </row>
    <row r="48" spans="1:17" ht="15.75" customHeight="1" x14ac:dyDescent="0.25">
      <c r="A48" s="156"/>
      <c r="B48" s="122"/>
      <c r="C48" s="125"/>
      <c r="D48" s="23" t="s">
        <v>60</v>
      </c>
      <c r="E48" s="2" t="s">
        <v>43</v>
      </c>
      <c r="F48" s="31">
        <v>1</v>
      </c>
      <c r="G48" s="140"/>
      <c r="H48" s="73" t="str">
        <f>IFERROR(1/(1/
SUM(
N(VLOOKUP(D48&amp;F48,'Budgeted Projections Intl HC'!D:T,16,FALSE)),
N(VLOOKUP(D48&amp;F48,'Budgeted Projections Intl HC'!D:T,17,FALSE))
)
),"")</f>
        <v/>
      </c>
      <c r="I48" s="73" t="str">
        <f>IFERROR(1/(1/COUNTIFS(
'YearB-AppDetails Current Date'!A:A,D48,
'YearB-AppDetails Current Date'!F:F,E48,
'YearB-AppDetails Current Date'!E:E,--F48,
'YearB-AppDetails Current Date'!I:I,"SPRING")), "")</f>
        <v/>
      </c>
      <c r="J48" s="74" t="str" cm="1">
        <f t="array" ref="J48">IFERROR(1/(1/SUM(COUNTIFS(
'YearB-AppDetails Current Date'!A:A,D48,
'YearB-AppDetails Current Date'!F:F,E48,
'YearB-AppDetails Current Date'!E:E,--F48,
'YearB-AppDetails Current Date'!O:O,{"ACLN","ACPT","COND"},
'YearB-AppDetails Current Date'!S:S,"&lt;&gt;ACLN",
'YearB-AppDetails Current Date'!S:S,"&lt;&gt;ACPT",
'YearB-AppDetails Current Date'!S:S,"&lt;&gt;COND",
'YearB-AppDetails Current Date'!I:I,"SPRING"))), "")</f>
        <v/>
      </c>
      <c r="K48" s="73" t="str">
        <f>IFERROR(1/(1/SUM(COUNTIFS(
'YearB-AppDetails Current Date'!A:A,D48,
'YearB-AppDetails Current Date'!F:F,E48,
'YearB-AppDetails Current Date'!E:E,--F48,
'YearB-AppDetails Current Date'!R:R,"&lt;&gt;"&amp;"",
'YearB-AppDetails Current Date'!I:I,"SPRING"))), "")</f>
        <v/>
      </c>
      <c r="L48" s="74" t="str" cm="1">
        <f t="array" ref="L48">IFERROR(1/(1/SUM(COUNTIFS(
'YearB-AppDetails Current Date'!A:A,D48,
'YearB-AppDetails Current Date'!F:F,E48,
'YearB-AppDetails Current Date'!E:E,--F48,
'YearB-AppDetails Current Date'!T:T,{"APEX","DENY","NTSL"},
'YearB-AppDetails Current Date'!I:I,"SPRING"))), "")</f>
        <v/>
      </c>
      <c r="M48" s="74" t="str" cm="1">
        <f t="array" ref="M48">IFERROR(1/(1/SUM(COUNTIFS(
'YearB-AppDetails Current Date'!A:A,D48,
'YearB-AppDetails Current Date'!F:F,E48,
'YearB-AppDetails Current Date'!E:E,--F48,
'YearB-AppDetails Current Date'!U:U,{"CCAN","DECL"},
'YearB-AppDetails Current Date'!I:I,"SPRING"))), "")</f>
        <v/>
      </c>
      <c r="N48" s="74" t="str" cm="1">
        <f t="array" ref="N48">IFERROR(1/(1/SUM(COUNTIFS(
'YearB-AppDetails Current Date'!A:A,D48,
'YearB-AppDetails Current Date'!F:F,E48,
'YearB-AppDetails Current Date'!E:E,--F48,
'YearB-AppDetails Current Date'!V:V,{"APRO","NODE"},
'YearB-AppDetails Current Date'!I:I,"SPRING"))), "")</f>
        <v/>
      </c>
      <c r="O48" s="74" t="str" cm="1">
        <f t="array" ref="O48">IFERROR(1/(1/SUM(COUNTIFS(
'YearB-AppDetails Current Date'!A:A,D48,
'YearB-AppDetails Current Date'!F:F,E48,
'YearB-AppDetails Current Date'!E:E,--F48,
'YearB-AppDetails Current Date'!T:T,{"CDMT","RQMT","WAIT"},
'YearB-AppDetails Current Date'!I:I,"SPRING"))), "")</f>
        <v/>
      </c>
      <c r="P48" s="74" t="str">
        <f>IFERROR(1/(1/COUNTIFS(
'YearB-AppDetails Current Date'!A:A,D48,
'YearB-AppDetails Current Date'!F:F,E48,
'YearB-AppDetails Current Date'!E:E,--F48,
'YearB-AppDetails Current Date'!Y:Y,"ENRO",
'YearB-AppDetails Current Date'!I:I,"SPRING")), "")</f>
        <v/>
      </c>
      <c r="Q48" s="3" t="str">
        <f t="shared" si="0"/>
        <v/>
      </c>
    </row>
    <row r="49" spans="1:17" ht="15.75" customHeight="1" x14ac:dyDescent="0.25">
      <c r="A49" s="156"/>
      <c r="B49" s="41"/>
      <c r="C49" s="152" t="s">
        <v>276</v>
      </c>
      <c r="D49" s="153"/>
      <c r="E49" s="153"/>
      <c r="F49" s="154"/>
      <c r="G49" s="6"/>
      <c r="H49" s="7">
        <f>SUM(H35:H48)</f>
        <v>0</v>
      </c>
      <c r="I49" s="7">
        <f t="shared" ref="I49:P49" si="5">SUM(I35:I48)</f>
        <v>0</v>
      </c>
      <c r="J49" s="7">
        <f t="shared" si="5"/>
        <v>0</v>
      </c>
      <c r="K49" s="7">
        <f t="shared" si="5"/>
        <v>0</v>
      </c>
      <c r="L49" s="7">
        <f t="shared" si="5"/>
        <v>0</v>
      </c>
      <c r="M49" s="7">
        <f t="shared" si="5"/>
        <v>0</v>
      </c>
      <c r="N49" s="7">
        <f t="shared" si="5"/>
        <v>0</v>
      </c>
      <c r="O49" s="7">
        <f t="shared" si="5"/>
        <v>0</v>
      </c>
      <c r="P49" s="7">
        <f t="shared" si="5"/>
        <v>0</v>
      </c>
      <c r="Q49" s="35" t="str">
        <f t="shared" si="0"/>
        <v/>
      </c>
    </row>
    <row r="50" spans="1:17" ht="15.75" customHeight="1" x14ac:dyDescent="0.25">
      <c r="A50" s="156"/>
      <c r="B50" s="121" t="s">
        <v>54</v>
      </c>
      <c r="C50" s="124" t="s">
        <v>61</v>
      </c>
      <c r="D50" s="23" t="s">
        <v>62</v>
      </c>
      <c r="E50" s="2" t="s">
        <v>42</v>
      </c>
      <c r="F50" s="24">
        <v>1</v>
      </c>
      <c r="G50" s="149" t="s">
        <v>63</v>
      </c>
      <c r="H50" s="73" t="str">
        <f>IFERROR(1/(1/
SUM(
N(VLOOKUP(D50&amp;F50,'Budgeted Projections Dom HC'!D:T,16,FALSE)),
N(VLOOKUP(D50&amp;F50,'Budgeted Projections Dom HC'!D:T,17,FALSE))
)
),"")</f>
        <v/>
      </c>
      <c r="I50" s="73" t="str">
        <f>IFERROR(1/(1/COUNTIFS(
'YearB-AppDetails Current Date'!A:A,D50,
'YearB-AppDetails Current Date'!F:F,E50,
'YearB-AppDetails Current Date'!E:E,--F50,
'YearB-AppDetails Current Date'!I:I,"SPRING")), "")</f>
        <v/>
      </c>
      <c r="J50" s="74" t="str" cm="1">
        <f t="array" ref="J50">IFERROR(1/(1/SUM(COUNTIFS(
'YearB-AppDetails Current Date'!A:A,D50,
'YearB-AppDetails Current Date'!F:F,E50,
'YearB-AppDetails Current Date'!E:E,--F50,
'YearB-AppDetails Current Date'!O:O,{"ACLN","ACPT","COND"},
'YearB-AppDetails Current Date'!S:S,"&lt;&gt;ACLN",
'YearB-AppDetails Current Date'!S:S,"&lt;&gt;ACPT",
'YearB-AppDetails Current Date'!S:S,"&lt;&gt;COND",
'YearB-AppDetails Current Date'!I:I,"SPRING"))), "")</f>
        <v/>
      </c>
      <c r="K50" s="73" t="str">
        <f>IFERROR(1/(1/SUM(COUNTIFS(
'YearB-AppDetails Current Date'!A:A,D50,
'YearB-AppDetails Current Date'!F:F,E50,
'YearB-AppDetails Current Date'!E:E,--F50,
'YearB-AppDetails Current Date'!R:R,"&lt;&gt;"&amp;"",
'YearB-AppDetails Current Date'!I:I,"SPRING"))), "")</f>
        <v/>
      </c>
      <c r="L50" s="74" t="str" cm="1">
        <f t="array" ref="L50">IFERROR(1/(1/SUM(COUNTIFS(
'YearB-AppDetails Current Date'!A:A,D50,
'YearB-AppDetails Current Date'!F:F,E50,
'YearB-AppDetails Current Date'!E:E,--F50,
'YearB-AppDetails Current Date'!T:T,{"APEX","DENY","NTSL"},
'YearB-AppDetails Current Date'!I:I,"SPRING"))), "")</f>
        <v/>
      </c>
      <c r="M50" s="74" t="str" cm="1">
        <f t="array" ref="M50">IFERROR(1/(1/SUM(COUNTIFS(
'YearB-AppDetails Current Date'!A:A,D50,
'YearB-AppDetails Current Date'!F:F,E50,
'YearB-AppDetails Current Date'!E:E,--F50,
'YearB-AppDetails Current Date'!U:U,{"CCAN","DECL"},
'YearB-AppDetails Current Date'!I:I,"SPRING"))), "")</f>
        <v/>
      </c>
      <c r="N50" s="74" t="str" cm="1">
        <f t="array" ref="N50">IFERROR(1/(1/SUM(COUNTIFS(
'YearB-AppDetails Current Date'!A:A,D50,
'YearB-AppDetails Current Date'!F:F,E50,
'YearB-AppDetails Current Date'!E:E,--F50,
'YearB-AppDetails Current Date'!V:V,{"APRO","NODE"},
'YearB-AppDetails Current Date'!I:I,"SPRING"))), "")</f>
        <v/>
      </c>
      <c r="O50" s="74" t="str" cm="1">
        <f t="array" ref="O50">IFERROR(1/(1/SUM(COUNTIFS(
'YearB-AppDetails Current Date'!A:A,D50,
'YearB-AppDetails Current Date'!F:F,E50,
'YearB-AppDetails Current Date'!E:E,--F50,
'YearB-AppDetails Current Date'!T:T,{"CDMT","RQMT","WAIT"},
'YearB-AppDetails Current Date'!I:I,"SPRING"))), "")</f>
        <v/>
      </c>
      <c r="P50" s="74" t="str">
        <f>IFERROR(1/(1/COUNTIFS(
'YearB-AppDetails Current Date'!A:A,D50,
'YearB-AppDetails Current Date'!F:F,E50,
'YearB-AppDetails Current Date'!E:E,--F50,
'YearB-AppDetails Current Date'!Y:Y,"ENRO",
'YearB-AppDetails Current Date'!I:I,"SPRING")), "")</f>
        <v/>
      </c>
      <c r="Q50" s="3" t="str">
        <f t="shared" si="0"/>
        <v/>
      </c>
    </row>
    <row r="51" spans="1:17" ht="15.75" customHeight="1" x14ac:dyDescent="0.25">
      <c r="A51" s="156"/>
      <c r="B51" s="122"/>
      <c r="C51" s="138"/>
      <c r="D51" s="23" t="s">
        <v>62</v>
      </c>
      <c r="E51" s="2" t="s">
        <v>43</v>
      </c>
      <c r="F51" s="31">
        <v>1</v>
      </c>
      <c r="G51" s="147"/>
      <c r="H51" s="73" t="str">
        <f>IFERROR(1/(1/
SUM(
N(VLOOKUP(D51&amp;F51,'Budgeted Projections Intl HC'!D:T,16,FALSE)),
N(VLOOKUP(D51&amp;F51,'Budgeted Projections Intl HC'!D:T,17,FALSE))
)
),"")</f>
        <v/>
      </c>
      <c r="I51" s="73" t="str">
        <f>IFERROR(1/(1/COUNTIFS(
'YearB-AppDetails Current Date'!A:A,D51,
'YearB-AppDetails Current Date'!F:F,E51,
'YearB-AppDetails Current Date'!E:E,--F51,
'YearB-AppDetails Current Date'!I:I,"SPRING")), "")</f>
        <v/>
      </c>
      <c r="J51" s="74" t="str" cm="1">
        <f t="array" ref="J51">IFERROR(1/(1/SUM(COUNTIFS(
'YearB-AppDetails Current Date'!A:A,D51,
'YearB-AppDetails Current Date'!F:F,E51,
'YearB-AppDetails Current Date'!E:E,--F51,
'YearB-AppDetails Current Date'!O:O,{"ACLN","ACPT","COND"},
'YearB-AppDetails Current Date'!S:S,"&lt;&gt;ACLN",
'YearB-AppDetails Current Date'!S:S,"&lt;&gt;ACPT",
'YearB-AppDetails Current Date'!S:S,"&lt;&gt;COND",
'YearB-AppDetails Current Date'!I:I,"SPRING"))), "")</f>
        <v/>
      </c>
      <c r="K51" s="73" t="str">
        <f>IFERROR(1/(1/SUM(COUNTIFS(
'YearB-AppDetails Current Date'!A:A,D51,
'YearB-AppDetails Current Date'!F:F,E51,
'YearB-AppDetails Current Date'!E:E,--F51,
'YearB-AppDetails Current Date'!R:R,"&lt;&gt;"&amp;"",
'YearB-AppDetails Current Date'!I:I,"SPRING"))), "")</f>
        <v/>
      </c>
      <c r="L51" s="74" t="str" cm="1">
        <f t="array" ref="L51">IFERROR(1/(1/SUM(COUNTIFS(
'YearB-AppDetails Current Date'!A:A,D51,
'YearB-AppDetails Current Date'!F:F,E51,
'YearB-AppDetails Current Date'!E:E,--F51,
'YearB-AppDetails Current Date'!T:T,{"APEX","DENY","NTSL"},
'YearB-AppDetails Current Date'!I:I,"SPRING"))), "")</f>
        <v/>
      </c>
      <c r="M51" s="74" t="str" cm="1">
        <f t="array" ref="M51">IFERROR(1/(1/SUM(COUNTIFS(
'YearB-AppDetails Current Date'!A:A,D51,
'YearB-AppDetails Current Date'!F:F,E51,
'YearB-AppDetails Current Date'!E:E,--F51,
'YearB-AppDetails Current Date'!U:U,{"CCAN","DECL"},
'YearB-AppDetails Current Date'!I:I,"SPRING"))), "")</f>
        <v/>
      </c>
      <c r="N51" s="74" t="str" cm="1">
        <f t="array" ref="N51">IFERROR(1/(1/SUM(COUNTIFS(
'YearB-AppDetails Current Date'!A:A,D51,
'YearB-AppDetails Current Date'!F:F,E51,
'YearB-AppDetails Current Date'!E:E,--F51,
'YearB-AppDetails Current Date'!V:V,{"APRO","NODE"},
'YearB-AppDetails Current Date'!I:I,"SPRING"))), "")</f>
        <v/>
      </c>
      <c r="O51" s="74" t="str" cm="1">
        <f t="array" ref="O51">IFERROR(1/(1/SUM(COUNTIFS(
'YearB-AppDetails Current Date'!A:A,D51,
'YearB-AppDetails Current Date'!F:F,E51,
'YearB-AppDetails Current Date'!E:E,--F51,
'YearB-AppDetails Current Date'!T:T,{"CDMT","RQMT","WAIT"},
'YearB-AppDetails Current Date'!I:I,"SPRING"))), "")</f>
        <v/>
      </c>
      <c r="P51" s="74" t="str">
        <f>IFERROR(1/(1/COUNTIFS(
'YearB-AppDetails Current Date'!A:A,D51,
'YearB-AppDetails Current Date'!F:F,E51,
'YearB-AppDetails Current Date'!E:E,--F51,
'YearB-AppDetails Current Date'!Y:Y,"ENRO",
'YearB-AppDetails Current Date'!I:I,"SPRING")), "")</f>
        <v/>
      </c>
      <c r="Q51" s="3" t="str">
        <f t="shared" si="0"/>
        <v/>
      </c>
    </row>
    <row r="52" spans="1:17" ht="15.75" customHeight="1" x14ac:dyDescent="0.25">
      <c r="A52" s="156"/>
      <c r="B52" s="122"/>
      <c r="C52" s="138"/>
      <c r="D52" s="23" t="s">
        <v>62</v>
      </c>
      <c r="E52" s="2" t="s">
        <v>42</v>
      </c>
      <c r="F52" s="24">
        <v>2</v>
      </c>
      <c r="G52" s="149" t="s">
        <v>63</v>
      </c>
      <c r="H52" s="73" t="str">
        <f>IFERROR(1/(1/
SUM(
N(VLOOKUP(D52&amp;F52,'Budgeted Projections Dom HC'!D:T,16,FALSE)),
N(VLOOKUP(D52&amp;F52,'Budgeted Projections Dom HC'!D:T,17,FALSE))
)
),"")</f>
        <v/>
      </c>
      <c r="I52" s="73" t="str">
        <f>IFERROR(1/(1/COUNTIFS(
'YearB-AppDetails Current Date'!A:A,D52,
'YearB-AppDetails Current Date'!F:F,E52,
'YearB-AppDetails Current Date'!E:E,--F52,
'YearB-AppDetails Current Date'!I:I,"SPRING")), "")</f>
        <v/>
      </c>
      <c r="J52" s="74" t="str" cm="1">
        <f t="array" ref="J52">IFERROR(1/(1/SUM(COUNTIFS(
'YearB-AppDetails Current Date'!A:A,D52,
'YearB-AppDetails Current Date'!F:F,E52,
'YearB-AppDetails Current Date'!E:E,--F52,
'YearB-AppDetails Current Date'!O:O,{"ACLN","ACPT","COND"},
'YearB-AppDetails Current Date'!S:S,"&lt;&gt;ACLN",
'YearB-AppDetails Current Date'!S:S,"&lt;&gt;ACPT",
'YearB-AppDetails Current Date'!S:S,"&lt;&gt;COND",
'YearB-AppDetails Current Date'!I:I,"SPRING"))), "")</f>
        <v/>
      </c>
      <c r="K52" s="73" t="str">
        <f>IFERROR(1/(1/SUM(COUNTIFS(
'YearB-AppDetails Current Date'!A:A,D52,
'YearB-AppDetails Current Date'!F:F,E52,
'YearB-AppDetails Current Date'!E:E,--F52,
'YearB-AppDetails Current Date'!R:R,"&lt;&gt;"&amp;"",
'YearB-AppDetails Current Date'!I:I,"SPRING"))), "")</f>
        <v/>
      </c>
      <c r="L52" s="74" t="str" cm="1">
        <f t="array" ref="L52">IFERROR(1/(1/SUM(COUNTIFS(
'YearB-AppDetails Current Date'!A:A,D52,
'YearB-AppDetails Current Date'!F:F,E52,
'YearB-AppDetails Current Date'!E:E,--F52,
'YearB-AppDetails Current Date'!T:T,{"APEX","DENY","NTSL"},
'YearB-AppDetails Current Date'!I:I,"SPRING"))), "")</f>
        <v/>
      </c>
      <c r="M52" s="74" t="str" cm="1">
        <f t="array" ref="M52">IFERROR(1/(1/SUM(COUNTIFS(
'YearB-AppDetails Current Date'!A:A,D52,
'YearB-AppDetails Current Date'!F:F,E52,
'YearB-AppDetails Current Date'!E:E,--F52,
'YearB-AppDetails Current Date'!U:U,{"CCAN","DECL"},
'YearB-AppDetails Current Date'!I:I,"SPRING"))), "")</f>
        <v/>
      </c>
      <c r="N52" s="74" t="str" cm="1">
        <f t="array" ref="N52">IFERROR(1/(1/SUM(COUNTIFS(
'YearB-AppDetails Current Date'!A:A,D52,
'YearB-AppDetails Current Date'!F:F,E52,
'YearB-AppDetails Current Date'!E:E,--F52,
'YearB-AppDetails Current Date'!V:V,{"APRO","NODE"},
'YearB-AppDetails Current Date'!I:I,"SPRING"))), "")</f>
        <v/>
      </c>
      <c r="O52" s="74" t="str" cm="1">
        <f t="array" ref="O52">IFERROR(1/(1/SUM(COUNTIFS(
'YearB-AppDetails Current Date'!A:A,D52,
'YearB-AppDetails Current Date'!F:F,E52,
'YearB-AppDetails Current Date'!E:E,--F52,
'YearB-AppDetails Current Date'!T:T,{"CDMT","RQMT","WAIT"},
'YearB-AppDetails Current Date'!I:I,"SPRING"))), "")</f>
        <v/>
      </c>
      <c r="P52" s="74" t="str">
        <f>IFERROR(1/(1/COUNTIFS(
'YearB-AppDetails Current Date'!A:A,D52,
'YearB-AppDetails Current Date'!F:F,E52,
'YearB-AppDetails Current Date'!E:E,--F52,
'YearB-AppDetails Current Date'!Y:Y,"ENRO",
'YearB-AppDetails Current Date'!I:I,"SPRING")), "")</f>
        <v/>
      </c>
      <c r="Q52" s="3" t="str">
        <f t="shared" si="0"/>
        <v/>
      </c>
    </row>
    <row r="53" spans="1:17" ht="15.75" customHeight="1" x14ac:dyDescent="0.25">
      <c r="A53" s="156"/>
      <c r="B53" s="122"/>
      <c r="C53" s="125"/>
      <c r="D53" s="23" t="s">
        <v>62</v>
      </c>
      <c r="E53" s="2" t="s">
        <v>43</v>
      </c>
      <c r="F53" s="31">
        <v>2</v>
      </c>
      <c r="G53" s="147"/>
      <c r="H53" s="73" t="str">
        <f>IFERROR(1/(1/
SUM(
N(VLOOKUP(D53&amp;F53,'Budgeted Projections Intl HC'!D:T,16,FALSE)),
N(VLOOKUP(D53&amp;F53,'Budgeted Projections Intl HC'!D:T,17,FALSE))
)
),"")</f>
        <v/>
      </c>
      <c r="I53" s="73" t="str">
        <f>IFERROR(1/(1/COUNTIFS(
'YearB-AppDetails Current Date'!A:A,D53,
'YearB-AppDetails Current Date'!F:F,E53,
'YearB-AppDetails Current Date'!E:E,--F53,
'YearB-AppDetails Current Date'!I:I,"SPRING")), "")</f>
        <v/>
      </c>
      <c r="J53" s="74" t="str" cm="1">
        <f t="array" ref="J53">IFERROR(1/(1/SUM(COUNTIFS(
'YearB-AppDetails Current Date'!A:A,D53,
'YearB-AppDetails Current Date'!F:F,E53,
'YearB-AppDetails Current Date'!E:E,--F53,
'YearB-AppDetails Current Date'!O:O,{"ACLN","ACPT","COND"},
'YearB-AppDetails Current Date'!S:S,"&lt;&gt;ACLN",
'YearB-AppDetails Current Date'!S:S,"&lt;&gt;ACPT",
'YearB-AppDetails Current Date'!S:S,"&lt;&gt;COND",
'YearB-AppDetails Current Date'!I:I,"SPRING"))), "")</f>
        <v/>
      </c>
      <c r="K53" s="73" t="str">
        <f>IFERROR(1/(1/SUM(COUNTIFS(
'YearB-AppDetails Current Date'!A:A,D53,
'YearB-AppDetails Current Date'!F:F,E53,
'YearB-AppDetails Current Date'!E:E,--F53,
'YearB-AppDetails Current Date'!R:R,"&lt;&gt;"&amp;"",
'YearB-AppDetails Current Date'!I:I,"SPRING"))), "")</f>
        <v/>
      </c>
      <c r="L53" s="74" t="str" cm="1">
        <f t="array" ref="L53">IFERROR(1/(1/SUM(COUNTIFS(
'YearB-AppDetails Current Date'!A:A,D53,
'YearB-AppDetails Current Date'!F:F,E53,
'YearB-AppDetails Current Date'!E:E,--F53,
'YearB-AppDetails Current Date'!T:T,{"APEX","DENY","NTSL"},
'YearB-AppDetails Current Date'!I:I,"SPRING"))), "")</f>
        <v/>
      </c>
      <c r="M53" s="74" t="str" cm="1">
        <f t="array" ref="M53">IFERROR(1/(1/SUM(COUNTIFS(
'YearB-AppDetails Current Date'!A:A,D53,
'YearB-AppDetails Current Date'!F:F,E53,
'YearB-AppDetails Current Date'!E:E,--F53,
'YearB-AppDetails Current Date'!U:U,{"CCAN","DECL"},
'YearB-AppDetails Current Date'!I:I,"SPRING"))), "")</f>
        <v/>
      </c>
      <c r="N53" s="74" t="str" cm="1">
        <f t="array" ref="N53">IFERROR(1/(1/SUM(COUNTIFS(
'YearB-AppDetails Current Date'!A:A,D53,
'YearB-AppDetails Current Date'!F:F,E53,
'YearB-AppDetails Current Date'!E:E,--F53,
'YearB-AppDetails Current Date'!V:V,{"APRO","NODE"},
'YearB-AppDetails Current Date'!I:I,"SPRING"))), "")</f>
        <v/>
      </c>
      <c r="O53" s="74" t="str" cm="1">
        <f t="array" ref="O53">IFERROR(1/(1/SUM(COUNTIFS(
'YearB-AppDetails Current Date'!A:A,D53,
'YearB-AppDetails Current Date'!F:F,E53,
'YearB-AppDetails Current Date'!E:E,--F53,
'YearB-AppDetails Current Date'!T:T,{"CDMT","RQMT","WAIT"},
'YearB-AppDetails Current Date'!I:I,"SPRING"))), "")</f>
        <v/>
      </c>
      <c r="P53" s="74" t="str">
        <f>IFERROR(1/(1/COUNTIFS(
'YearB-AppDetails Current Date'!A:A,D53,
'YearB-AppDetails Current Date'!F:F,E53,
'YearB-AppDetails Current Date'!E:E,--F53,
'YearB-AppDetails Current Date'!Y:Y,"ENRO",
'YearB-AppDetails Current Date'!I:I,"SPRING")), "")</f>
        <v/>
      </c>
      <c r="Q53" s="3" t="str">
        <f t="shared" si="0"/>
        <v/>
      </c>
    </row>
    <row r="54" spans="1:17" ht="15.75" customHeight="1" x14ac:dyDescent="0.25">
      <c r="A54" s="156"/>
      <c r="B54" s="123"/>
      <c r="C54" s="152" t="s">
        <v>277</v>
      </c>
      <c r="D54" s="153"/>
      <c r="E54" s="153"/>
      <c r="F54" s="154"/>
      <c r="G54" s="6"/>
      <c r="H54" s="7">
        <f>SUM(H50:H53)</f>
        <v>0</v>
      </c>
      <c r="I54" s="7">
        <f t="shared" ref="I54:P54" si="6">SUM(I50:I53)</f>
        <v>0</v>
      </c>
      <c r="J54" s="7">
        <f t="shared" si="6"/>
        <v>0</v>
      </c>
      <c r="K54" s="7">
        <f t="shared" si="6"/>
        <v>0</v>
      </c>
      <c r="L54" s="7">
        <f t="shared" si="6"/>
        <v>0</v>
      </c>
      <c r="M54" s="7">
        <f t="shared" si="6"/>
        <v>0</v>
      </c>
      <c r="N54" s="7">
        <f t="shared" si="6"/>
        <v>0</v>
      </c>
      <c r="O54" s="7">
        <f t="shared" si="6"/>
        <v>0</v>
      </c>
      <c r="P54" s="7">
        <f t="shared" si="6"/>
        <v>0</v>
      </c>
      <c r="Q54" s="35" t="str">
        <f t="shared" si="0"/>
        <v/>
      </c>
    </row>
    <row r="55" spans="1:17" ht="15.75" customHeight="1" x14ac:dyDescent="0.25">
      <c r="A55" s="156"/>
      <c r="B55" s="121" t="s">
        <v>274</v>
      </c>
      <c r="C55" s="124" t="s">
        <v>68</v>
      </c>
      <c r="D55" s="23" t="s">
        <v>69</v>
      </c>
      <c r="E55" s="2" t="s">
        <v>42</v>
      </c>
      <c r="F55" s="42">
        <v>1</v>
      </c>
      <c r="G55" s="148">
        <v>18</v>
      </c>
      <c r="H55" s="73" t="str">
        <f>IFERROR(1/(1/
SUM(
N(VLOOKUP(D55&amp;F55,'Budgeted Projections Dom HC'!D:T,16,FALSE)),
N(VLOOKUP(D55&amp;F55,'Budgeted Projections Dom HC'!D:T,17,FALSE))
)
),"")</f>
        <v/>
      </c>
      <c r="I55" s="73" t="str">
        <f>IFERROR(1/(1/COUNTIFS(
'YearB-AppDetails Current Date'!A:A,D55,
'YearB-AppDetails Current Date'!F:F,E55,
'YearB-AppDetails Current Date'!E:E,--F55,
'YearB-AppDetails Current Date'!I:I,"SPRING")), "")</f>
        <v/>
      </c>
      <c r="J55" s="74" t="str" cm="1">
        <f t="array" ref="J55">IFERROR(1/(1/SUM(COUNTIFS(
'YearB-AppDetails Current Date'!A:A,D55,
'YearB-AppDetails Current Date'!F:F,E55,
'YearB-AppDetails Current Date'!E:E,--F55,
'YearB-AppDetails Current Date'!O:O,{"ACLN","ACPT","COND"},
'YearB-AppDetails Current Date'!S:S,"&lt;&gt;ACLN",
'YearB-AppDetails Current Date'!S:S,"&lt;&gt;ACPT",
'YearB-AppDetails Current Date'!S:S,"&lt;&gt;COND",
'YearB-AppDetails Current Date'!I:I,"SPRING"))), "")</f>
        <v/>
      </c>
      <c r="K55" s="73" t="str">
        <f>IFERROR(1/(1/SUM(COUNTIFS(
'YearB-AppDetails Current Date'!A:A,D55,
'YearB-AppDetails Current Date'!F:F,E55,
'YearB-AppDetails Current Date'!E:E,--F55,
'YearB-AppDetails Current Date'!R:R,"&lt;&gt;"&amp;"",
'YearB-AppDetails Current Date'!I:I,"SPRING"))), "")</f>
        <v/>
      </c>
      <c r="L55" s="74" t="str" cm="1">
        <f t="array" ref="L55">IFERROR(1/(1/SUM(COUNTIFS(
'YearB-AppDetails Current Date'!A:A,D55,
'YearB-AppDetails Current Date'!F:F,E55,
'YearB-AppDetails Current Date'!E:E,--F55,
'YearB-AppDetails Current Date'!T:T,{"APEX","DENY","NTSL"},
'YearB-AppDetails Current Date'!I:I,"SPRING"))), "")</f>
        <v/>
      </c>
      <c r="M55" s="74" t="str" cm="1">
        <f t="array" ref="M55">IFERROR(1/(1/SUM(COUNTIFS(
'YearB-AppDetails Current Date'!A:A,D55,
'YearB-AppDetails Current Date'!F:F,E55,
'YearB-AppDetails Current Date'!E:E,--F55,
'YearB-AppDetails Current Date'!U:U,{"CCAN","DECL"},
'YearB-AppDetails Current Date'!I:I,"SPRING"))), "")</f>
        <v/>
      </c>
      <c r="N55" s="74" t="str" cm="1">
        <f t="array" ref="N55">IFERROR(1/(1/SUM(COUNTIFS(
'YearB-AppDetails Current Date'!A:A,D55,
'YearB-AppDetails Current Date'!F:F,E55,
'YearB-AppDetails Current Date'!E:E,--F55,
'YearB-AppDetails Current Date'!V:V,{"APRO","NODE"},
'YearB-AppDetails Current Date'!I:I,"SPRING"))), "")</f>
        <v/>
      </c>
      <c r="O55" s="74" t="str" cm="1">
        <f t="array" ref="O55">IFERROR(1/(1/SUM(COUNTIFS(
'YearB-AppDetails Current Date'!A:A,D55,
'YearB-AppDetails Current Date'!F:F,E55,
'YearB-AppDetails Current Date'!E:E,--F55,
'YearB-AppDetails Current Date'!T:T,{"CDMT","RQMT","WAIT"},
'YearB-AppDetails Current Date'!I:I,"SPRING"))), "")</f>
        <v/>
      </c>
      <c r="P55" s="74" t="str">
        <f>IFERROR(1/(1/COUNTIFS(
'YearB-AppDetails Current Date'!A:A,D55,
'YearB-AppDetails Current Date'!F:F,E55,
'YearB-AppDetails Current Date'!E:E,--F55,
'YearB-AppDetails Current Date'!Y:Y,"ENRO",
'YearB-AppDetails Current Date'!I:I,"SPRING")), "")</f>
        <v/>
      </c>
      <c r="Q55" s="3" t="str">
        <f t="shared" si="0"/>
        <v/>
      </c>
    </row>
    <row r="56" spans="1:17" ht="15.75" customHeight="1" x14ac:dyDescent="0.25">
      <c r="A56" s="156"/>
      <c r="B56" s="122"/>
      <c r="C56" s="125"/>
      <c r="D56" s="23" t="s">
        <v>69</v>
      </c>
      <c r="E56" s="2" t="s">
        <v>43</v>
      </c>
      <c r="F56" s="31">
        <v>1</v>
      </c>
      <c r="G56" s="146"/>
      <c r="H56" s="73" t="str">
        <f>IFERROR(1/(1/
SUM(
N(VLOOKUP(D56&amp;F56,'Budgeted Projections Intl HC'!D:T,16,FALSE)),
N(VLOOKUP(D56&amp;F56,'Budgeted Projections Intl HC'!D:T,17,FALSE))
)
),"")</f>
        <v/>
      </c>
      <c r="I56" s="73" t="str">
        <f>IFERROR(1/(1/COUNTIFS(
'YearB-AppDetails Current Date'!A:A,D56,
'YearB-AppDetails Current Date'!F:F,E56,
'YearB-AppDetails Current Date'!E:E,--F56,
'YearB-AppDetails Current Date'!I:I,"SPRING")), "")</f>
        <v/>
      </c>
      <c r="J56" s="74" t="str" cm="1">
        <f t="array" ref="J56">IFERROR(1/(1/SUM(COUNTIFS(
'YearB-AppDetails Current Date'!A:A,D56,
'YearB-AppDetails Current Date'!F:F,E56,
'YearB-AppDetails Current Date'!E:E,--F56,
'YearB-AppDetails Current Date'!O:O,{"ACLN","ACPT","COND"},
'YearB-AppDetails Current Date'!S:S,"&lt;&gt;ACLN",
'YearB-AppDetails Current Date'!S:S,"&lt;&gt;ACPT",
'YearB-AppDetails Current Date'!S:S,"&lt;&gt;COND",
'YearB-AppDetails Current Date'!I:I,"SPRING"))), "")</f>
        <v/>
      </c>
      <c r="K56" s="73" t="str">
        <f>IFERROR(1/(1/SUM(COUNTIFS(
'YearB-AppDetails Current Date'!A:A,D56,
'YearB-AppDetails Current Date'!F:F,E56,
'YearB-AppDetails Current Date'!E:E,--F56,
'YearB-AppDetails Current Date'!R:R,"&lt;&gt;"&amp;"",
'YearB-AppDetails Current Date'!I:I,"SPRING"))), "")</f>
        <v/>
      </c>
      <c r="L56" s="74" t="str" cm="1">
        <f t="array" ref="L56">IFERROR(1/(1/SUM(COUNTIFS(
'YearB-AppDetails Current Date'!A:A,D56,
'YearB-AppDetails Current Date'!F:F,E56,
'YearB-AppDetails Current Date'!E:E,--F56,
'YearB-AppDetails Current Date'!T:T,{"APEX","DENY","NTSL"},
'YearB-AppDetails Current Date'!I:I,"SPRING"))), "")</f>
        <v/>
      </c>
      <c r="M56" s="74" t="str" cm="1">
        <f t="array" ref="M56">IFERROR(1/(1/SUM(COUNTIFS(
'YearB-AppDetails Current Date'!A:A,D56,
'YearB-AppDetails Current Date'!F:F,E56,
'YearB-AppDetails Current Date'!E:E,--F56,
'YearB-AppDetails Current Date'!U:U,{"CCAN","DECL"},
'YearB-AppDetails Current Date'!I:I,"SPRING"))), "")</f>
        <v/>
      </c>
      <c r="N56" s="74" t="str" cm="1">
        <f t="array" ref="N56">IFERROR(1/(1/SUM(COUNTIFS(
'YearB-AppDetails Current Date'!A:A,D56,
'YearB-AppDetails Current Date'!F:F,E56,
'YearB-AppDetails Current Date'!E:E,--F56,
'YearB-AppDetails Current Date'!V:V,{"APRO","NODE"},
'YearB-AppDetails Current Date'!I:I,"SPRING"))), "")</f>
        <v/>
      </c>
      <c r="O56" s="74" t="str" cm="1">
        <f t="array" ref="O56">IFERROR(1/(1/SUM(COUNTIFS(
'YearB-AppDetails Current Date'!A:A,D56,
'YearB-AppDetails Current Date'!F:F,E56,
'YearB-AppDetails Current Date'!E:E,--F56,
'YearB-AppDetails Current Date'!T:T,{"CDMT","RQMT","WAIT"},
'YearB-AppDetails Current Date'!I:I,"SPRING"))), "")</f>
        <v/>
      </c>
      <c r="P56" s="74" t="str">
        <f>IFERROR(1/(1/COUNTIFS(
'YearB-AppDetails Current Date'!A:A,D56,
'YearB-AppDetails Current Date'!F:F,E56,
'YearB-AppDetails Current Date'!E:E,--F56,
'YearB-AppDetails Current Date'!Y:Y,"ENRO",
'YearB-AppDetails Current Date'!I:I,"SPRING")), "")</f>
        <v/>
      </c>
      <c r="Q56" s="3" t="str">
        <f t="shared" si="0"/>
        <v/>
      </c>
    </row>
    <row r="57" spans="1:17" ht="15.75" customHeight="1" x14ac:dyDescent="0.25">
      <c r="A57" s="156"/>
      <c r="B57" s="122"/>
      <c r="C57" s="124" t="s">
        <v>66</v>
      </c>
      <c r="D57" s="23" t="s">
        <v>67</v>
      </c>
      <c r="E57" s="2" t="s">
        <v>42</v>
      </c>
      <c r="F57" s="42">
        <v>1</v>
      </c>
      <c r="G57" s="139">
        <v>16</v>
      </c>
      <c r="H57" s="73" t="str">
        <f>IFERROR(1/(1/
SUM(
N(VLOOKUP(D57&amp;F57,'Budgeted Projections Dom HC'!D:T,16,FALSE)),
N(VLOOKUP(D57&amp;F57,'Budgeted Projections Dom HC'!D:T,17,FALSE))
)
),"")</f>
        <v/>
      </c>
      <c r="I57" s="73" t="str">
        <f>IFERROR(1/(1/COUNTIFS(
'YearB-AppDetails Current Date'!A:A,D57,
'YearB-AppDetails Current Date'!F:F,E57,
'YearB-AppDetails Current Date'!E:E,--F57,
'YearB-AppDetails Current Date'!I:I,"SPRING")), "")</f>
        <v/>
      </c>
      <c r="J57" s="74" t="str" cm="1">
        <f t="array" ref="J57">IFERROR(1/(1/SUM(COUNTIFS(
'YearB-AppDetails Current Date'!A:A,D57,
'YearB-AppDetails Current Date'!F:F,E57,
'YearB-AppDetails Current Date'!E:E,--F57,
'YearB-AppDetails Current Date'!O:O,{"ACLN","ACPT","COND"},
'YearB-AppDetails Current Date'!S:S,"&lt;&gt;ACLN",
'YearB-AppDetails Current Date'!S:S,"&lt;&gt;ACPT",
'YearB-AppDetails Current Date'!S:S,"&lt;&gt;COND",
'YearB-AppDetails Current Date'!I:I,"SPRING"))), "")</f>
        <v/>
      </c>
      <c r="K57" s="73" t="str">
        <f>IFERROR(1/(1/SUM(COUNTIFS(
'YearB-AppDetails Current Date'!A:A,D57,
'YearB-AppDetails Current Date'!F:F,E57,
'YearB-AppDetails Current Date'!E:E,--F57,
'YearB-AppDetails Current Date'!R:R,"&lt;&gt;"&amp;"",
'YearB-AppDetails Current Date'!I:I,"SPRING"))), "")</f>
        <v/>
      </c>
      <c r="L57" s="74" t="str" cm="1">
        <f t="array" ref="L57">IFERROR(1/(1/SUM(COUNTIFS(
'YearB-AppDetails Current Date'!A:A,D57,
'YearB-AppDetails Current Date'!F:F,E57,
'YearB-AppDetails Current Date'!E:E,--F57,
'YearB-AppDetails Current Date'!T:T,{"APEX","DENY","NTSL"},
'YearB-AppDetails Current Date'!I:I,"SPRING"))), "")</f>
        <v/>
      </c>
      <c r="M57" s="74" t="str" cm="1">
        <f t="array" ref="M57">IFERROR(1/(1/SUM(COUNTIFS(
'YearB-AppDetails Current Date'!A:A,D57,
'YearB-AppDetails Current Date'!F:F,E57,
'YearB-AppDetails Current Date'!E:E,--F57,
'YearB-AppDetails Current Date'!U:U,{"CCAN","DECL"},
'YearB-AppDetails Current Date'!I:I,"SPRING"))), "")</f>
        <v/>
      </c>
      <c r="N57" s="74" t="str" cm="1">
        <f t="array" ref="N57">IFERROR(1/(1/SUM(COUNTIFS(
'YearB-AppDetails Current Date'!A:A,D57,
'YearB-AppDetails Current Date'!F:F,E57,
'YearB-AppDetails Current Date'!E:E,--F57,
'YearB-AppDetails Current Date'!V:V,{"APRO","NODE"},
'YearB-AppDetails Current Date'!I:I,"SPRING"))), "")</f>
        <v/>
      </c>
      <c r="O57" s="74" t="str" cm="1">
        <f t="array" ref="O57">IFERROR(1/(1/SUM(COUNTIFS(
'YearB-AppDetails Current Date'!A:A,D57,
'YearB-AppDetails Current Date'!F:F,E57,
'YearB-AppDetails Current Date'!E:E,--F57,
'YearB-AppDetails Current Date'!T:T,{"CDMT","RQMT","WAIT"},
'YearB-AppDetails Current Date'!I:I,"SPRING"))), "")</f>
        <v/>
      </c>
      <c r="P57" s="74" t="str">
        <f>IFERROR(1/(1/COUNTIFS(
'YearB-AppDetails Current Date'!A:A,D57,
'YearB-AppDetails Current Date'!F:F,E57,
'YearB-AppDetails Current Date'!E:E,--F57,
'YearB-AppDetails Current Date'!Y:Y,"ENRO",
'YearB-AppDetails Current Date'!I:I,"SPRING")), "")</f>
        <v/>
      </c>
      <c r="Q57" s="3" t="str">
        <f t="shared" si="0"/>
        <v/>
      </c>
    </row>
    <row r="58" spans="1:17" ht="15.75" customHeight="1" x14ac:dyDescent="0.25">
      <c r="A58" s="156"/>
      <c r="B58" s="122"/>
      <c r="C58" s="138"/>
      <c r="D58" s="23" t="s">
        <v>67</v>
      </c>
      <c r="E58" s="2" t="s">
        <v>43</v>
      </c>
      <c r="F58" s="31">
        <v>1</v>
      </c>
      <c r="G58" s="146"/>
      <c r="H58" s="73" t="str">
        <f>IFERROR(1/(1/
SUM(
N(VLOOKUP(D58&amp;F58,'Budgeted Projections Intl HC'!D:T,16,FALSE)),
N(VLOOKUP(D58&amp;F58,'Budgeted Projections Intl HC'!D:T,17,FALSE))
)
),"")</f>
        <v/>
      </c>
      <c r="I58" s="73" t="str">
        <f>IFERROR(1/(1/COUNTIFS(
'YearB-AppDetails Current Date'!A:A,D58,
'YearB-AppDetails Current Date'!F:F,E58,
'YearB-AppDetails Current Date'!E:E,--F58,
'YearB-AppDetails Current Date'!I:I,"SPRING")), "")</f>
        <v/>
      </c>
      <c r="J58" s="74" t="str" cm="1">
        <f t="array" ref="J58">IFERROR(1/(1/SUM(COUNTIFS(
'YearB-AppDetails Current Date'!A:A,D58,
'YearB-AppDetails Current Date'!F:F,E58,
'YearB-AppDetails Current Date'!E:E,--F58,
'YearB-AppDetails Current Date'!O:O,{"ACLN","ACPT","COND"},
'YearB-AppDetails Current Date'!S:S,"&lt;&gt;ACLN",
'YearB-AppDetails Current Date'!S:S,"&lt;&gt;ACPT",
'YearB-AppDetails Current Date'!S:S,"&lt;&gt;COND",
'YearB-AppDetails Current Date'!I:I,"SPRING"))), "")</f>
        <v/>
      </c>
      <c r="K58" s="73" t="str">
        <f>IFERROR(1/(1/SUM(COUNTIFS(
'YearB-AppDetails Current Date'!A:A,D58,
'YearB-AppDetails Current Date'!F:F,E58,
'YearB-AppDetails Current Date'!E:E,--F58,
'YearB-AppDetails Current Date'!R:R,"&lt;&gt;"&amp;"",
'YearB-AppDetails Current Date'!I:I,"SPRING"))), "")</f>
        <v/>
      </c>
      <c r="L58" s="74" t="str" cm="1">
        <f t="array" ref="L58">IFERROR(1/(1/SUM(COUNTIFS(
'YearB-AppDetails Current Date'!A:A,D58,
'YearB-AppDetails Current Date'!F:F,E58,
'YearB-AppDetails Current Date'!E:E,--F58,
'YearB-AppDetails Current Date'!T:T,{"APEX","DENY","NTSL"},
'YearB-AppDetails Current Date'!I:I,"SPRING"))), "")</f>
        <v/>
      </c>
      <c r="M58" s="74" t="str" cm="1">
        <f t="array" ref="M58">IFERROR(1/(1/SUM(COUNTIFS(
'YearB-AppDetails Current Date'!A:A,D58,
'YearB-AppDetails Current Date'!F:F,E58,
'YearB-AppDetails Current Date'!E:E,--F58,
'YearB-AppDetails Current Date'!U:U,{"CCAN","DECL"},
'YearB-AppDetails Current Date'!I:I,"SPRING"))), "")</f>
        <v/>
      </c>
      <c r="N58" s="74" t="str" cm="1">
        <f t="array" ref="N58">IFERROR(1/(1/SUM(COUNTIFS(
'YearB-AppDetails Current Date'!A:A,D58,
'YearB-AppDetails Current Date'!F:F,E58,
'YearB-AppDetails Current Date'!E:E,--F58,
'YearB-AppDetails Current Date'!V:V,{"APRO","NODE"},
'YearB-AppDetails Current Date'!I:I,"SPRING"))), "")</f>
        <v/>
      </c>
      <c r="O58" s="74" t="str" cm="1">
        <f t="array" ref="O58">IFERROR(1/(1/SUM(COUNTIFS(
'YearB-AppDetails Current Date'!A:A,D58,
'YearB-AppDetails Current Date'!F:F,E58,
'YearB-AppDetails Current Date'!E:E,--F58,
'YearB-AppDetails Current Date'!T:T,{"CDMT","RQMT","WAIT"},
'YearB-AppDetails Current Date'!I:I,"SPRING"))), "")</f>
        <v/>
      </c>
      <c r="P58" s="74" t="str">
        <f>IFERROR(1/(1/COUNTIFS(
'YearB-AppDetails Current Date'!A:A,D58,
'YearB-AppDetails Current Date'!F:F,E58,
'YearB-AppDetails Current Date'!E:E,--F58,
'YearB-AppDetails Current Date'!Y:Y,"ENRO",
'YearB-AppDetails Current Date'!I:I,"SPRING")), "")</f>
        <v/>
      </c>
      <c r="Q58" s="3" t="str">
        <f t="shared" si="0"/>
        <v/>
      </c>
    </row>
    <row r="59" spans="1:17" ht="15.75" customHeight="1" x14ac:dyDescent="0.25">
      <c r="A59" s="156"/>
      <c r="B59" s="122"/>
      <c r="C59" s="138"/>
      <c r="D59" s="23" t="s">
        <v>67</v>
      </c>
      <c r="E59" s="2" t="s">
        <v>42</v>
      </c>
      <c r="F59" s="24">
        <v>2</v>
      </c>
      <c r="G59" s="149">
        <v>16</v>
      </c>
      <c r="H59" s="73" t="str">
        <f>IFERROR(1/(1/
SUM(
N(VLOOKUP(D59&amp;F59,'Budgeted Projections Dom HC'!D:T,16,FALSE)),
N(VLOOKUP(D59&amp;F59,'Budgeted Projections Dom HC'!D:T,17,FALSE))
)
),"")</f>
        <v/>
      </c>
      <c r="I59" s="73" t="str">
        <f>IFERROR(1/(1/COUNTIFS(
'YearB-AppDetails Current Date'!A:A,D59,
'YearB-AppDetails Current Date'!F:F,E59,
'YearB-AppDetails Current Date'!E:E,--F59,
'YearB-AppDetails Current Date'!I:I,"SPRING")), "")</f>
        <v/>
      </c>
      <c r="J59" s="74" t="str" cm="1">
        <f t="array" ref="J59">IFERROR(1/(1/SUM(COUNTIFS(
'YearB-AppDetails Current Date'!A:A,D59,
'YearB-AppDetails Current Date'!F:F,E59,
'YearB-AppDetails Current Date'!E:E,--F59,
'YearB-AppDetails Current Date'!O:O,{"ACLN","ACPT","COND"},
'YearB-AppDetails Current Date'!S:S,"&lt;&gt;ACLN",
'YearB-AppDetails Current Date'!S:S,"&lt;&gt;ACPT",
'YearB-AppDetails Current Date'!S:S,"&lt;&gt;COND",
'YearB-AppDetails Current Date'!I:I,"SPRING"))), "")</f>
        <v/>
      </c>
      <c r="K59" s="73" t="str">
        <f>IFERROR(1/(1/SUM(COUNTIFS(
'YearB-AppDetails Current Date'!A:A,D59,
'YearB-AppDetails Current Date'!F:F,E59,
'YearB-AppDetails Current Date'!E:E,--F59,
'YearB-AppDetails Current Date'!R:R,"&lt;&gt;"&amp;"",
'YearB-AppDetails Current Date'!I:I,"SPRING"))), "")</f>
        <v/>
      </c>
      <c r="L59" s="74" t="str" cm="1">
        <f t="array" ref="L59">IFERROR(1/(1/SUM(COUNTIFS(
'YearB-AppDetails Current Date'!A:A,D59,
'YearB-AppDetails Current Date'!F:F,E59,
'YearB-AppDetails Current Date'!E:E,--F59,
'YearB-AppDetails Current Date'!T:T,{"APEX","DENY","NTSL"},
'YearB-AppDetails Current Date'!I:I,"SPRING"))), "")</f>
        <v/>
      </c>
      <c r="M59" s="74" t="str" cm="1">
        <f t="array" ref="M59">IFERROR(1/(1/SUM(COUNTIFS(
'YearB-AppDetails Current Date'!A:A,D59,
'YearB-AppDetails Current Date'!F:F,E59,
'YearB-AppDetails Current Date'!E:E,--F59,
'YearB-AppDetails Current Date'!U:U,{"CCAN","DECL"},
'YearB-AppDetails Current Date'!I:I,"SPRING"))), "")</f>
        <v/>
      </c>
      <c r="N59" s="74" t="str" cm="1">
        <f t="array" ref="N59">IFERROR(1/(1/SUM(COUNTIFS(
'YearB-AppDetails Current Date'!A:A,D59,
'YearB-AppDetails Current Date'!F:F,E59,
'YearB-AppDetails Current Date'!E:E,--F59,
'YearB-AppDetails Current Date'!V:V,{"APRO","NODE"},
'YearB-AppDetails Current Date'!I:I,"SPRING"))), "")</f>
        <v/>
      </c>
      <c r="O59" s="74" t="str" cm="1">
        <f t="array" ref="O59">IFERROR(1/(1/SUM(COUNTIFS(
'YearB-AppDetails Current Date'!A:A,D59,
'YearB-AppDetails Current Date'!F:F,E59,
'YearB-AppDetails Current Date'!E:E,--F59,
'YearB-AppDetails Current Date'!T:T,{"CDMT","RQMT","WAIT"},
'YearB-AppDetails Current Date'!I:I,"SPRING"))), "")</f>
        <v/>
      </c>
      <c r="P59" s="74" t="str">
        <f>IFERROR(1/(1/COUNTIFS(
'YearB-AppDetails Current Date'!A:A,D59,
'YearB-AppDetails Current Date'!F:F,E59,
'YearB-AppDetails Current Date'!E:E,--F59,
'YearB-AppDetails Current Date'!Y:Y,"ENRO",
'YearB-AppDetails Current Date'!I:I,"SPRING")), "")</f>
        <v/>
      </c>
      <c r="Q59" s="3" t="str">
        <f t="shared" si="0"/>
        <v/>
      </c>
    </row>
    <row r="60" spans="1:17" ht="15.75" customHeight="1" x14ac:dyDescent="0.25">
      <c r="A60" s="156"/>
      <c r="B60" s="122"/>
      <c r="C60" s="125"/>
      <c r="D60" s="23" t="s">
        <v>67</v>
      </c>
      <c r="E60" s="2" t="s">
        <v>43</v>
      </c>
      <c r="F60" s="31">
        <v>2</v>
      </c>
      <c r="G60" s="150"/>
      <c r="H60" s="73" t="str">
        <f>IFERROR(1/(1/
SUM(
N(VLOOKUP(D60&amp;F60,'Budgeted Projections Intl HC'!D:T,16,FALSE)),
N(VLOOKUP(D60&amp;F60,'Budgeted Projections Intl HC'!D:T,17,FALSE))
)
),"")</f>
        <v/>
      </c>
      <c r="I60" s="73" t="str">
        <f>IFERROR(1/(1/COUNTIFS(
'YearB-AppDetails Current Date'!A:A,D60,
'YearB-AppDetails Current Date'!F:F,E60,
'YearB-AppDetails Current Date'!E:E,--F60,
'YearB-AppDetails Current Date'!I:I,"SPRING")), "")</f>
        <v/>
      </c>
      <c r="J60" s="74" t="str" cm="1">
        <f t="array" ref="J60">IFERROR(1/(1/SUM(COUNTIFS(
'YearB-AppDetails Current Date'!A:A,D60,
'YearB-AppDetails Current Date'!F:F,E60,
'YearB-AppDetails Current Date'!E:E,--F60,
'YearB-AppDetails Current Date'!O:O,{"ACLN","ACPT","COND"},
'YearB-AppDetails Current Date'!S:S,"&lt;&gt;ACLN",
'YearB-AppDetails Current Date'!S:S,"&lt;&gt;ACPT",
'YearB-AppDetails Current Date'!S:S,"&lt;&gt;COND",
'YearB-AppDetails Current Date'!I:I,"SPRING"))), "")</f>
        <v/>
      </c>
      <c r="K60" s="73" t="str">
        <f>IFERROR(1/(1/SUM(COUNTIFS(
'YearB-AppDetails Current Date'!A:A,D60,
'YearB-AppDetails Current Date'!F:F,E60,
'YearB-AppDetails Current Date'!E:E,--F60,
'YearB-AppDetails Current Date'!R:R,"&lt;&gt;"&amp;"",
'YearB-AppDetails Current Date'!I:I,"SPRING"))), "")</f>
        <v/>
      </c>
      <c r="L60" s="74" t="str" cm="1">
        <f t="array" ref="L60">IFERROR(1/(1/SUM(COUNTIFS(
'YearB-AppDetails Current Date'!A:A,D60,
'YearB-AppDetails Current Date'!F:F,E60,
'YearB-AppDetails Current Date'!E:E,--F60,
'YearB-AppDetails Current Date'!T:T,{"APEX","DENY","NTSL"},
'YearB-AppDetails Current Date'!I:I,"SPRING"))), "")</f>
        <v/>
      </c>
      <c r="M60" s="74" t="str" cm="1">
        <f t="array" ref="M60">IFERROR(1/(1/SUM(COUNTIFS(
'YearB-AppDetails Current Date'!A:A,D60,
'YearB-AppDetails Current Date'!F:F,E60,
'YearB-AppDetails Current Date'!E:E,--F60,
'YearB-AppDetails Current Date'!U:U,{"CCAN","DECL"},
'YearB-AppDetails Current Date'!I:I,"SPRING"))), "")</f>
        <v/>
      </c>
      <c r="N60" s="74" t="str" cm="1">
        <f t="array" ref="N60">IFERROR(1/(1/SUM(COUNTIFS(
'YearB-AppDetails Current Date'!A:A,D60,
'YearB-AppDetails Current Date'!F:F,E60,
'YearB-AppDetails Current Date'!E:E,--F60,
'YearB-AppDetails Current Date'!V:V,{"APRO","NODE"},
'YearB-AppDetails Current Date'!I:I,"SPRING"))), "")</f>
        <v/>
      </c>
      <c r="O60" s="74" t="str" cm="1">
        <f t="array" ref="O60">IFERROR(1/(1/SUM(COUNTIFS(
'YearB-AppDetails Current Date'!A:A,D60,
'YearB-AppDetails Current Date'!F:F,E60,
'YearB-AppDetails Current Date'!E:E,--F60,
'YearB-AppDetails Current Date'!T:T,{"CDMT","RQMT","WAIT"},
'YearB-AppDetails Current Date'!I:I,"SPRING"))), "")</f>
        <v/>
      </c>
      <c r="P60" s="74" t="str">
        <f>IFERROR(1/(1/COUNTIFS(
'YearB-AppDetails Current Date'!A:A,D60,
'YearB-AppDetails Current Date'!F:F,E60,
'YearB-AppDetails Current Date'!E:E,--F60,
'YearB-AppDetails Current Date'!Y:Y,"ENRO",
'YearB-AppDetails Current Date'!I:I,"SPRING")), "")</f>
        <v/>
      </c>
      <c r="Q60" s="3" t="str">
        <f t="shared" si="0"/>
        <v/>
      </c>
    </row>
    <row r="61" spans="1:17" ht="15.75" customHeight="1" x14ac:dyDescent="0.25">
      <c r="A61" s="156"/>
      <c r="B61" s="122"/>
      <c r="C61" s="124" t="s">
        <v>64</v>
      </c>
      <c r="D61" s="27" t="s">
        <v>65</v>
      </c>
      <c r="E61" s="2" t="s">
        <v>42</v>
      </c>
      <c r="F61" s="42">
        <v>1</v>
      </c>
      <c r="G61" s="139">
        <v>16</v>
      </c>
      <c r="H61" s="73" t="str">
        <f>IFERROR(1/(1/
SUM(
N(VLOOKUP(D61&amp;F61,'Budgeted Projections Dom HC'!D:T,16,FALSE)),
N(VLOOKUP(D61&amp;F61,'Budgeted Projections Dom HC'!D:T,17,FALSE))
)
),"")</f>
        <v/>
      </c>
      <c r="I61" s="73" t="str">
        <f>IFERROR(1/(1/COUNTIFS(
'YearB-AppDetails Current Date'!A:A,D61,
'YearB-AppDetails Current Date'!F:F,E61,
'YearB-AppDetails Current Date'!E:E,--F61,
'YearB-AppDetails Current Date'!I:I,"SPRING")), "")</f>
        <v/>
      </c>
      <c r="J61" s="74" t="str" cm="1">
        <f t="array" ref="J61">IFERROR(1/(1/SUM(COUNTIFS(
'YearB-AppDetails Current Date'!A:A,D61,
'YearB-AppDetails Current Date'!F:F,E61,
'YearB-AppDetails Current Date'!E:E,--F61,
'YearB-AppDetails Current Date'!O:O,{"ACLN","ACPT","COND"},
'YearB-AppDetails Current Date'!S:S,"&lt;&gt;ACLN",
'YearB-AppDetails Current Date'!S:S,"&lt;&gt;ACPT",
'YearB-AppDetails Current Date'!S:S,"&lt;&gt;COND",
'YearB-AppDetails Current Date'!I:I,"SPRING"))), "")</f>
        <v/>
      </c>
      <c r="K61" s="73" t="str">
        <f>IFERROR(1/(1/SUM(COUNTIFS(
'YearB-AppDetails Current Date'!A:A,D61,
'YearB-AppDetails Current Date'!F:F,E61,
'YearB-AppDetails Current Date'!E:E,--F61,
'YearB-AppDetails Current Date'!R:R,"&lt;&gt;"&amp;"",
'YearB-AppDetails Current Date'!I:I,"SPRING"))), "")</f>
        <v/>
      </c>
      <c r="L61" s="74" t="str" cm="1">
        <f t="array" ref="L61">IFERROR(1/(1/SUM(COUNTIFS(
'YearB-AppDetails Current Date'!A:A,D61,
'YearB-AppDetails Current Date'!F:F,E61,
'YearB-AppDetails Current Date'!E:E,--F61,
'YearB-AppDetails Current Date'!T:T,{"APEX","DENY","NTSL"},
'YearB-AppDetails Current Date'!I:I,"SPRING"))), "")</f>
        <v/>
      </c>
      <c r="M61" s="74" t="str" cm="1">
        <f t="array" ref="M61">IFERROR(1/(1/SUM(COUNTIFS(
'YearB-AppDetails Current Date'!A:A,D61,
'YearB-AppDetails Current Date'!F:F,E61,
'YearB-AppDetails Current Date'!E:E,--F61,
'YearB-AppDetails Current Date'!U:U,{"CCAN","DECL"},
'YearB-AppDetails Current Date'!I:I,"SPRING"))), "")</f>
        <v/>
      </c>
      <c r="N61" s="74" t="str" cm="1">
        <f t="array" ref="N61">IFERROR(1/(1/SUM(COUNTIFS(
'YearB-AppDetails Current Date'!A:A,D61,
'YearB-AppDetails Current Date'!F:F,E61,
'YearB-AppDetails Current Date'!E:E,--F61,
'YearB-AppDetails Current Date'!V:V,{"APRO","NODE"},
'YearB-AppDetails Current Date'!I:I,"SPRING"))), "")</f>
        <v/>
      </c>
      <c r="O61" s="74" t="str" cm="1">
        <f t="array" ref="O61">IFERROR(1/(1/SUM(COUNTIFS(
'YearB-AppDetails Current Date'!A:A,D61,
'YearB-AppDetails Current Date'!F:F,E61,
'YearB-AppDetails Current Date'!E:E,--F61,
'YearB-AppDetails Current Date'!T:T,{"CDMT","RQMT","WAIT"},
'YearB-AppDetails Current Date'!I:I,"SPRING"))), "")</f>
        <v/>
      </c>
      <c r="P61" s="74" t="str">
        <f>IFERROR(1/(1/COUNTIFS(
'YearB-AppDetails Current Date'!A:A,D61,
'YearB-AppDetails Current Date'!F:F,E61,
'YearB-AppDetails Current Date'!E:E,--F61,
'YearB-AppDetails Current Date'!Y:Y,"ENRO",
'YearB-AppDetails Current Date'!I:I,"SPRING")), "")</f>
        <v/>
      </c>
      <c r="Q61" s="3" t="str">
        <f t="shared" si="0"/>
        <v/>
      </c>
    </row>
    <row r="62" spans="1:17" ht="15.75" customHeight="1" x14ac:dyDescent="0.25">
      <c r="A62" s="156"/>
      <c r="B62" s="122"/>
      <c r="C62" s="125"/>
      <c r="D62" s="27" t="s">
        <v>65</v>
      </c>
      <c r="E62" s="2" t="s">
        <v>43</v>
      </c>
      <c r="F62" s="31">
        <v>1</v>
      </c>
      <c r="G62" s="140"/>
      <c r="H62" s="73" t="str">
        <f>IFERROR(1/(1/
SUM(
N(VLOOKUP(D62&amp;F62,'Budgeted Projections Intl HC'!D:T,16,FALSE)),
N(VLOOKUP(D62&amp;F62,'Budgeted Projections Intl HC'!D:T,17,FALSE))
)
),"")</f>
        <v/>
      </c>
      <c r="I62" s="73" t="str">
        <f>IFERROR(1/(1/COUNTIFS(
'YearB-AppDetails Current Date'!A:A,D62,
'YearB-AppDetails Current Date'!F:F,E62,
'YearB-AppDetails Current Date'!E:E,--F62,
'YearB-AppDetails Current Date'!I:I,"SPRING")), "")</f>
        <v/>
      </c>
      <c r="J62" s="74" t="str" cm="1">
        <f t="array" ref="J62">IFERROR(1/(1/SUM(COUNTIFS(
'YearB-AppDetails Current Date'!A:A,D62,
'YearB-AppDetails Current Date'!F:F,E62,
'YearB-AppDetails Current Date'!E:E,--F62,
'YearB-AppDetails Current Date'!O:O,{"ACLN","ACPT","COND"},
'YearB-AppDetails Current Date'!S:S,"&lt;&gt;ACLN",
'YearB-AppDetails Current Date'!S:S,"&lt;&gt;ACPT",
'YearB-AppDetails Current Date'!S:S,"&lt;&gt;COND",
'YearB-AppDetails Current Date'!I:I,"SPRING"))), "")</f>
        <v/>
      </c>
      <c r="K62" s="73" t="str">
        <f>IFERROR(1/(1/SUM(COUNTIFS(
'YearB-AppDetails Current Date'!A:A,D62,
'YearB-AppDetails Current Date'!F:F,E62,
'YearB-AppDetails Current Date'!E:E,--F62,
'YearB-AppDetails Current Date'!R:R,"&lt;&gt;"&amp;"",
'YearB-AppDetails Current Date'!I:I,"SPRING"))), "")</f>
        <v/>
      </c>
      <c r="L62" s="74" t="str" cm="1">
        <f t="array" ref="L62">IFERROR(1/(1/SUM(COUNTIFS(
'YearB-AppDetails Current Date'!A:A,D62,
'YearB-AppDetails Current Date'!F:F,E62,
'YearB-AppDetails Current Date'!E:E,--F62,
'YearB-AppDetails Current Date'!T:T,{"APEX","DENY","NTSL"},
'YearB-AppDetails Current Date'!I:I,"SPRING"))), "")</f>
        <v/>
      </c>
      <c r="M62" s="74" t="str" cm="1">
        <f t="array" ref="M62">IFERROR(1/(1/SUM(COUNTIFS(
'YearB-AppDetails Current Date'!A:A,D62,
'YearB-AppDetails Current Date'!F:F,E62,
'YearB-AppDetails Current Date'!E:E,--F62,
'YearB-AppDetails Current Date'!U:U,{"CCAN","DECL"},
'YearB-AppDetails Current Date'!I:I,"SPRING"))), "")</f>
        <v/>
      </c>
      <c r="N62" s="74" t="str" cm="1">
        <f t="array" ref="N62">IFERROR(1/(1/SUM(COUNTIFS(
'YearB-AppDetails Current Date'!A:A,D62,
'YearB-AppDetails Current Date'!F:F,E62,
'YearB-AppDetails Current Date'!E:E,--F62,
'YearB-AppDetails Current Date'!V:V,{"APRO","NODE"},
'YearB-AppDetails Current Date'!I:I,"SPRING"))), "")</f>
        <v/>
      </c>
      <c r="O62" s="74" t="str" cm="1">
        <f t="array" ref="O62">IFERROR(1/(1/SUM(COUNTIFS(
'YearB-AppDetails Current Date'!A:A,D62,
'YearB-AppDetails Current Date'!F:F,E62,
'YearB-AppDetails Current Date'!E:E,--F62,
'YearB-AppDetails Current Date'!T:T,{"CDMT","RQMT","WAIT"},
'YearB-AppDetails Current Date'!I:I,"SPRING"))), "")</f>
        <v/>
      </c>
      <c r="P62" s="74" t="str">
        <f>IFERROR(1/(1/COUNTIFS(
'YearB-AppDetails Current Date'!A:A,D62,
'YearB-AppDetails Current Date'!F:F,E62,
'YearB-AppDetails Current Date'!E:E,--F62,
'YearB-AppDetails Current Date'!Y:Y,"ENRO",
'YearB-AppDetails Current Date'!I:I,"SPRING")), "")</f>
        <v/>
      </c>
      <c r="Q62" s="3" t="str">
        <f t="shared" si="0"/>
        <v/>
      </c>
    </row>
    <row r="63" spans="1:17" ht="15.75" customHeight="1" x14ac:dyDescent="0.25">
      <c r="A63" s="156"/>
      <c r="B63" s="41"/>
      <c r="C63" s="152" t="s">
        <v>279</v>
      </c>
      <c r="D63" s="153"/>
      <c r="E63" s="153"/>
      <c r="F63" s="154"/>
      <c r="G63" s="6"/>
      <c r="H63" s="7">
        <f>SUM(H55:H62)</f>
        <v>0</v>
      </c>
      <c r="I63" s="7">
        <f t="shared" ref="I63:P63" si="7">SUM(I55:I62)</f>
        <v>0</v>
      </c>
      <c r="J63" s="7">
        <f t="shared" si="7"/>
        <v>0</v>
      </c>
      <c r="K63" s="7">
        <f t="shared" si="7"/>
        <v>0</v>
      </c>
      <c r="L63" s="7">
        <f t="shared" si="7"/>
        <v>0</v>
      </c>
      <c r="M63" s="7">
        <f t="shared" si="7"/>
        <v>0</v>
      </c>
      <c r="N63" s="7">
        <f t="shared" si="7"/>
        <v>0</v>
      </c>
      <c r="O63" s="7">
        <f t="shared" si="7"/>
        <v>0</v>
      </c>
      <c r="P63" s="7">
        <f t="shared" si="7"/>
        <v>0</v>
      </c>
      <c r="Q63" s="35" t="str">
        <f t="shared" si="0"/>
        <v/>
      </c>
    </row>
    <row r="64" spans="1:17" ht="15.75" customHeight="1" x14ac:dyDescent="0.25">
      <c r="A64" s="156"/>
      <c r="B64" s="121"/>
      <c r="C64" s="124" t="s">
        <v>275</v>
      </c>
      <c r="D64" s="23" t="s">
        <v>71</v>
      </c>
      <c r="E64" s="2" t="s">
        <v>42</v>
      </c>
      <c r="F64" s="24">
        <v>1</v>
      </c>
      <c r="G64" s="149">
        <v>30</v>
      </c>
      <c r="H64" s="73" t="str">
        <f>IFERROR(1/(1/
SUM(
N(VLOOKUP(D64&amp;F64,'Budgeted Projections Dom HC'!D:T,16,FALSE)),
N(VLOOKUP(D64&amp;F64,'Budgeted Projections Dom HC'!D:T,17,FALSE))
)
),"")</f>
        <v/>
      </c>
      <c r="I64" s="73" t="str">
        <f>IFERROR(1/(1/COUNTIFS(
'YearB-AppDetails Current Date'!A:A,D64,
'YearB-AppDetails Current Date'!F:F,E64,
'YearB-AppDetails Current Date'!E:E,--F64,
'YearB-AppDetails Current Date'!I:I,"SPRING")), "")</f>
        <v/>
      </c>
      <c r="J64" s="74" t="str" cm="1">
        <f t="array" ref="J64">IFERROR(1/(1/SUM(COUNTIFS(
'YearB-AppDetails Current Date'!A:A,D64,
'YearB-AppDetails Current Date'!F:F,E64,
'YearB-AppDetails Current Date'!E:E,--F64,
'YearB-AppDetails Current Date'!O:O,{"ACLN","ACPT","COND"},
'YearB-AppDetails Current Date'!S:S,"&lt;&gt;ACLN",
'YearB-AppDetails Current Date'!S:S,"&lt;&gt;ACPT",
'YearB-AppDetails Current Date'!S:S,"&lt;&gt;COND",
'YearB-AppDetails Current Date'!I:I,"SPRING"))), "")</f>
        <v/>
      </c>
      <c r="K64" s="73" t="str">
        <f>IFERROR(1/(1/SUM(COUNTIFS(
'YearB-AppDetails Current Date'!A:A,D64,
'YearB-AppDetails Current Date'!F:F,E64,
'YearB-AppDetails Current Date'!E:E,--F64,
'YearB-AppDetails Current Date'!R:R,"&lt;&gt;"&amp;"",
'YearB-AppDetails Current Date'!I:I,"SPRING"))), "")</f>
        <v/>
      </c>
      <c r="L64" s="74" t="str" cm="1">
        <f t="array" ref="L64">IFERROR(1/(1/SUM(COUNTIFS(
'YearB-AppDetails Current Date'!A:A,D64,
'YearB-AppDetails Current Date'!F:F,E64,
'YearB-AppDetails Current Date'!E:E,--F64,
'YearB-AppDetails Current Date'!T:T,{"APEX","DENY","NTSL"},
'YearB-AppDetails Current Date'!I:I,"SPRING"))), "")</f>
        <v/>
      </c>
      <c r="M64" s="74" t="str" cm="1">
        <f t="array" ref="M64">IFERROR(1/(1/SUM(COUNTIFS(
'YearB-AppDetails Current Date'!A:A,D64,
'YearB-AppDetails Current Date'!F:F,E64,
'YearB-AppDetails Current Date'!E:E,--F64,
'YearB-AppDetails Current Date'!U:U,{"CCAN","DECL"},
'YearB-AppDetails Current Date'!I:I,"SPRING"))), "")</f>
        <v/>
      </c>
      <c r="N64" s="74" t="str" cm="1">
        <f t="array" ref="N64">IFERROR(1/(1/SUM(COUNTIFS(
'YearB-AppDetails Current Date'!A:A,D64,
'YearB-AppDetails Current Date'!F:F,E64,
'YearB-AppDetails Current Date'!E:E,--F64,
'YearB-AppDetails Current Date'!V:V,{"APRO","NODE"},
'YearB-AppDetails Current Date'!I:I,"SPRING"))), "")</f>
        <v/>
      </c>
      <c r="O64" s="74" t="str" cm="1">
        <f t="array" ref="O64">IFERROR(1/(1/SUM(COUNTIFS(
'YearB-AppDetails Current Date'!A:A,D64,
'YearB-AppDetails Current Date'!F:F,E64,
'YearB-AppDetails Current Date'!E:E,--F64,
'YearB-AppDetails Current Date'!T:T,{"CDMT","RQMT","WAIT"},
'YearB-AppDetails Current Date'!I:I,"SPRING"))), "")</f>
        <v/>
      </c>
      <c r="P64" s="74" t="str">
        <f>IFERROR(1/(1/COUNTIFS(
'YearB-AppDetails Current Date'!A:A,D64,
'YearB-AppDetails Current Date'!F:F,E64,
'YearB-AppDetails Current Date'!E:E,--F64,
'YearB-AppDetails Current Date'!Y:Y,"ENRO",
'YearB-AppDetails Current Date'!I:I,"SPRING")), "")</f>
        <v/>
      </c>
      <c r="Q64" s="3" t="str">
        <f t="shared" si="0"/>
        <v/>
      </c>
    </row>
    <row r="65" spans="1:17" ht="15.75" customHeight="1" x14ac:dyDescent="0.25">
      <c r="A65" s="156"/>
      <c r="B65" s="122"/>
      <c r="C65" s="138"/>
      <c r="D65" s="23" t="s">
        <v>71</v>
      </c>
      <c r="E65" s="2" t="s">
        <v>43</v>
      </c>
      <c r="F65" s="31">
        <v>1</v>
      </c>
      <c r="G65" s="150"/>
      <c r="H65" s="73" t="str">
        <f>IFERROR(1/(1/
SUM(
N(VLOOKUP(D65&amp;F65,'Budgeted Projections Intl HC'!D:T,16,FALSE)),
N(VLOOKUP(D65&amp;F65,'Budgeted Projections Intl HC'!D:T,17,FALSE))
)
),"")</f>
        <v/>
      </c>
      <c r="I65" s="73" t="str">
        <f>IFERROR(1/(1/COUNTIFS(
'YearB-AppDetails Current Date'!A:A,D65,
'YearB-AppDetails Current Date'!F:F,E65,
'YearB-AppDetails Current Date'!E:E,--F65,
'YearB-AppDetails Current Date'!I:I,"SPRING")), "")</f>
        <v/>
      </c>
      <c r="J65" s="74" t="str" cm="1">
        <f t="array" ref="J65">IFERROR(1/(1/SUM(COUNTIFS(
'YearB-AppDetails Current Date'!A:A,D65,
'YearB-AppDetails Current Date'!F:F,E65,
'YearB-AppDetails Current Date'!E:E,--F65,
'YearB-AppDetails Current Date'!O:O,{"ACLN","ACPT","COND"},
'YearB-AppDetails Current Date'!S:S,"&lt;&gt;ACLN",
'YearB-AppDetails Current Date'!S:S,"&lt;&gt;ACPT",
'YearB-AppDetails Current Date'!S:S,"&lt;&gt;COND",
'YearB-AppDetails Current Date'!I:I,"SPRING"))), "")</f>
        <v/>
      </c>
      <c r="K65" s="73" t="str">
        <f>IFERROR(1/(1/SUM(COUNTIFS(
'YearB-AppDetails Current Date'!A:A,D65,
'YearB-AppDetails Current Date'!F:F,E65,
'YearB-AppDetails Current Date'!E:E,--F65,
'YearB-AppDetails Current Date'!R:R,"&lt;&gt;"&amp;"",
'YearB-AppDetails Current Date'!I:I,"SPRING"))), "")</f>
        <v/>
      </c>
      <c r="L65" s="74" t="str" cm="1">
        <f t="array" ref="L65">IFERROR(1/(1/SUM(COUNTIFS(
'YearB-AppDetails Current Date'!A:A,D65,
'YearB-AppDetails Current Date'!F:F,E65,
'YearB-AppDetails Current Date'!E:E,--F65,
'YearB-AppDetails Current Date'!T:T,{"APEX","DENY","NTSL"},
'YearB-AppDetails Current Date'!I:I,"SPRING"))), "")</f>
        <v/>
      </c>
      <c r="M65" s="74" t="str" cm="1">
        <f t="array" ref="M65">IFERROR(1/(1/SUM(COUNTIFS(
'YearB-AppDetails Current Date'!A:A,D65,
'YearB-AppDetails Current Date'!F:F,E65,
'YearB-AppDetails Current Date'!E:E,--F65,
'YearB-AppDetails Current Date'!U:U,{"CCAN","DECL"},
'YearB-AppDetails Current Date'!I:I,"SPRING"))), "")</f>
        <v/>
      </c>
      <c r="N65" s="74" t="str" cm="1">
        <f t="array" ref="N65">IFERROR(1/(1/SUM(COUNTIFS(
'YearB-AppDetails Current Date'!A:A,D65,
'YearB-AppDetails Current Date'!F:F,E65,
'YearB-AppDetails Current Date'!E:E,--F65,
'YearB-AppDetails Current Date'!V:V,{"APRO","NODE"},
'YearB-AppDetails Current Date'!I:I,"SPRING"))), "")</f>
        <v/>
      </c>
      <c r="O65" s="74" t="str" cm="1">
        <f t="array" ref="O65">IFERROR(1/(1/SUM(COUNTIFS(
'YearB-AppDetails Current Date'!A:A,D65,
'YearB-AppDetails Current Date'!F:F,E65,
'YearB-AppDetails Current Date'!E:E,--F65,
'YearB-AppDetails Current Date'!T:T,{"CDMT","RQMT","WAIT"},
'YearB-AppDetails Current Date'!I:I,"SPRING"))), "")</f>
        <v/>
      </c>
      <c r="P65" s="74" t="str">
        <f>IFERROR(1/(1/COUNTIFS(
'YearB-AppDetails Current Date'!A:A,D65,
'YearB-AppDetails Current Date'!F:F,E65,
'YearB-AppDetails Current Date'!E:E,--F65,
'YearB-AppDetails Current Date'!Y:Y,"ENRO",
'YearB-AppDetails Current Date'!I:I,"SPRING")), "")</f>
        <v/>
      </c>
      <c r="Q65" s="3" t="str">
        <f t="shared" si="0"/>
        <v/>
      </c>
    </row>
    <row r="66" spans="1:17" ht="15.75" customHeight="1" x14ac:dyDescent="0.25">
      <c r="A66" s="156"/>
      <c r="B66" s="122"/>
      <c r="C66" s="138"/>
      <c r="D66" s="23" t="s">
        <v>71</v>
      </c>
      <c r="E66" s="2" t="s">
        <v>42</v>
      </c>
      <c r="F66" s="42">
        <v>2</v>
      </c>
      <c r="G66" s="148" t="s">
        <v>63</v>
      </c>
      <c r="H66" s="73" t="str">
        <f>IFERROR(1/(1/
SUM(
N(VLOOKUP(D66&amp;F66,'Budgeted Projections Dom HC'!D:T,16,FALSE)),
N(VLOOKUP(D66&amp;F66,'Budgeted Projections Dom HC'!D:T,17,FALSE))
)
),"")</f>
        <v/>
      </c>
      <c r="I66" s="73" t="str">
        <f>IFERROR(1/(1/COUNTIFS(
'YearB-AppDetails Current Date'!A:A,D66,
'YearB-AppDetails Current Date'!F:F,E66,
'YearB-AppDetails Current Date'!E:E,--F66,
'YearB-AppDetails Current Date'!I:I,"SPRING")), "")</f>
        <v/>
      </c>
      <c r="J66" s="74" t="str" cm="1">
        <f t="array" ref="J66">IFERROR(1/(1/SUM(COUNTIFS(
'YearB-AppDetails Current Date'!A:A,D66,
'YearB-AppDetails Current Date'!F:F,E66,
'YearB-AppDetails Current Date'!E:E,--F66,
'YearB-AppDetails Current Date'!O:O,{"ACLN","ACPT","COND"},
'YearB-AppDetails Current Date'!S:S,"&lt;&gt;ACLN",
'YearB-AppDetails Current Date'!S:S,"&lt;&gt;ACPT",
'YearB-AppDetails Current Date'!S:S,"&lt;&gt;COND",
'YearB-AppDetails Current Date'!I:I,"SPRING"))), "")</f>
        <v/>
      </c>
      <c r="K66" s="73" t="str">
        <f>IFERROR(1/(1/SUM(COUNTIFS(
'YearB-AppDetails Current Date'!A:A,D66,
'YearB-AppDetails Current Date'!F:F,E66,
'YearB-AppDetails Current Date'!E:E,--F66,
'YearB-AppDetails Current Date'!R:R,"&lt;&gt;"&amp;"",
'YearB-AppDetails Current Date'!I:I,"SPRING"))), "")</f>
        <v/>
      </c>
      <c r="L66" s="74" t="str" cm="1">
        <f t="array" ref="L66">IFERROR(1/(1/SUM(COUNTIFS(
'YearB-AppDetails Current Date'!A:A,D66,
'YearB-AppDetails Current Date'!F:F,E66,
'YearB-AppDetails Current Date'!E:E,--F66,
'YearB-AppDetails Current Date'!T:T,{"APEX","DENY","NTSL"},
'YearB-AppDetails Current Date'!I:I,"SPRING"))), "")</f>
        <v/>
      </c>
      <c r="M66" s="74" t="str" cm="1">
        <f t="array" ref="M66">IFERROR(1/(1/SUM(COUNTIFS(
'YearB-AppDetails Current Date'!A:A,D66,
'YearB-AppDetails Current Date'!F:F,E66,
'YearB-AppDetails Current Date'!E:E,--F66,
'YearB-AppDetails Current Date'!U:U,{"CCAN","DECL"},
'YearB-AppDetails Current Date'!I:I,"SPRING"))), "")</f>
        <v/>
      </c>
      <c r="N66" s="74" t="str" cm="1">
        <f t="array" ref="N66">IFERROR(1/(1/SUM(COUNTIFS(
'YearB-AppDetails Current Date'!A:A,D66,
'YearB-AppDetails Current Date'!F:F,E66,
'YearB-AppDetails Current Date'!E:E,--F66,
'YearB-AppDetails Current Date'!V:V,{"APRO","NODE"},
'YearB-AppDetails Current Date'!I:I,"SPRING"))), "")</f>
        <v/>
      </c>
      <c r="O66" s="74" t="str" cm="1">
        <f t="array" ref="O66">IFERROR(1/(1/SUM(COUNTIFS(
'YearB-AppDetails Current Date'!A:A,D66,
'YearB-AppDetails Current Date'!F:F,E66,
'YearB-AppDetails Current Date'!E:E,--F66,
'YearB-AppDetails Current Date'!T:T,{"CDMT","RQMT","WAIT"},
'YearB-AppDetails Current Date'!I:I,"SPRING"))), "")</f>
        <v/>
      </c>
      <c r="P66" s="74" t="str">
        <f>IFERROR(1/(1/COUNTIFS(
'YearB-AppDetails Current Date'!A:A,D66,
'YearB-AppDetails Current Date'!F:F,E66,
'YearB-AppDetails Current Date'!E:E,--F66,
'YearB-AppDetails Current Date'!Y:Y,"ENRO",
'YearB-AppDetails Current Date'!I:I,"SPRING")), "")</f>
        <v/>
      </c>
      <c r="Q66" s="3" t="str">
        <f t="shared" si="0"/>
        <v/>
      </c>
    </row>
    <row r="67" spans="1:17" ht="15.75" customHeight="1" x14ac:dyDescent="0.25">
      <c r="A67" s="156"/>
      <c r="B67" s="122"/>
      <c r="C67" s="125"/>
      <c r="D67" s="23" t="s">
        <v>71</v>
      </c>
      <c r="E67" s="2" t="s">
        <v>43</v>
      </c>
      <c r="F67" s="31">
        <v>2</v>
      </c>
      <c r="G67" s="140"/>
      <c r="H67" s="73" t="str">
        <f>IFERROR(1/(1/
SUM(
N(VLOOKUP(D67&amp;F67,'Budgeted Projections Intl HC'!D:T,16,FALSE)),
N(VLOOKUP(D67&amp;F67,'Budgeted Projections Intl HC'!D:T,17,FALSE))
)
),"")</f>
        <v/>
      </c>
      <c r="I67" s="73" t="str">
        <f>IFERROR(1/(1/COUNTIFS(
'YearB-AppDetails Current Date'!A:A,D67,
'YearB-AppDetails Current Date'!F:F,E67,
'YearB-AppDetails Current Date'!E:E,--F67,
'YearB-AppDetails Current Date'!I:I,"SPRING")), "")</f>
        <v/>
      </c>
      <c r="J67" s="74" t="str" cm="1">
        <f t="array" ref="J67">IFERROR(1/(1/SUM(COUNTIFS(
'YearB-AppDetails Current Date'!A:A,D67,
'YearB-AppDetails Current Date'!F:F,E67,
'YearB-AppDetails Current Date'!E:E,--F67,
'YearB-AppDetails Current Date'!O:O,{"ACLN","ACPT","COND"},
'YearB-AppDetails Current Date'!S:S,"&lt;&gt;ACLN",
'YearB-AppDetails Current Date'!S:S,"&lt;&gt;ACPT",
'YearB-AppDetails Current Date'!S:S,"&lt;&gt;COND",
'YearB-AppDetails Current Date'!I:I,"SPRING"))), "")</f>
        <v/>
      </c>
      <c r="K67" s="73" t="str">
        <f>IFERROR(1/(1/SUM(COUNTIFS(
'YearB-AppDetails Current Date'!A:A,D67,
'YearB-AppDetails Current Date'!F:F,E67,
'YearB-AppDetails Current Date'!E:E,--F67,
'YearB-AppDetails Current Date'!R:R,"&lt;&gt;"&amp;"",
'YearB-AppDetails Current Date'!I:I,"SPRING"))), "")</f>
        <v/>
      </c>
      <c r="L67" s="74" t="str" cm="1">
        <f t="array" ref="L67">IFERROR(1/(1/SUM(COUNTIFS(
'YearB-AppDetails Current Date'!A:A,D67,
'YearB-AppDetails Current Date'!F:F,E67,
'YearB-AppDetails Current Date'!E:E,--F67,
'YearB-AppDetails Current Date'!T:T,{"APEX","DENY","NTSL"},
'YearB-AppDetails Current Date'!I:I,"SPRING"))), "")</f>
        <v/>
      </c>
      <c r="M67" s="74" t="str" cm="1">
        <f t="array" ref="M67">IFERROR(1/(1/SUM(COUNTIFS(
'YearB-AppDetails Current Date'!A:A,D67,
'YearB-AppDetails Current Date'!F:F,E67,
'YearB-AppDetails Current Date'!E:E,--F67,
'YearB-AppDetails Current Date'!U:U,{"CCAN","DECL"},
'YearB-AppDetails Current Date'!I:I,"SPRING"))), "")</f>
        <v/>
      </c>
      <c r="N67" s="74" t="str" cm="1">
        <f t="array" ref="N67">IFERROR(1/(1/SUM(COUNTIFS(
'YearB-AppDetails Current Date'!A:A,D67,
'YearB-AppDetails Current Date'!F:F,E67,
'YearB-AppDetails Current Date'!E:E,--F67,
'YearB-AppDetails Current Date'!V:V,{"APRO","NODE"},
'YearB-AppDetails Current Date'!I:I,"SPRING"))), "")</f>
        <v/>
      </c>
      <c r="O67" s="74" t="str" cm="1">
        <f t="array" ref="O67">IFERROR(1/(1/SUM(COUNTIFS(
'YearB-AppDetails Current Date'!A:A,D67,
'YearB-AppDetails Current Date'!F:F,E67,
'YearB-AppDetails Current Date'!E:E,--F67,
'YearB-AppDetails Current Date'!T:T,{"CDMT","RQMT","WAIT"},
'YearB-AppDetails Current Date'!I:I,"SPRING"))), "")</f>
        <v/>
      </c>
      <c r="P67" s="74" t="str">
        <f>IFERROR(1/(1/COUNTIFS(
'YearB-AppDetails Current Date'!A:A,D67,
'YearB-AppDetails Current Date'!F:F,E67,
'YearB-AppDetails Current Date'!E:E,--F67,
'YearB-AppDetails Current Date'!Y:Y,"ENRO",
'YearB-AppDetails Current Date'!I:I,"SPRING")), "")</f>
        <v/>
      </c>
      <c r="Q67" s="3" t="str">
        <f t="shared" si="0"/>
        <v/>
      </c>
    </row>
    <row r="68" spans="1:17" ht="15.75" customHeight="1" x14ac:dyDescent="0.25">
      <c r="A68" s="156"/>
      <c r="B68" s="122"/>
      <c r="C68" s="124" t="s">
        <v>72</v>
      </c>
      <c r="D68" s="23" t="s">
        <v>73</v>
      </c>
      <c r="E68" s="2" t="s">
        <v>42</v>
      </c>
      <c r="F68" s="42">
        <v>1</v>
      </c>
      <c r="G68" s="139">
        <v>60</v>
      </c>
      <c r="H68" s="73" t="str">
        <f>IFERROR(1/(1/
SUM(
N(VLOOKUP(D68&amp;F68,'Budgeted Projections Dom HC'!D:T,16,FALSE)),
N(VLOOKUP(D68&amp;F68,'Budgeted Projections Dom HC'!D:T,17,FALSE))
)
),"")</f>
        <v/>
      </c>
      <c r="I68" s="73" t="str">
        <f>IFERROR(1/(1/COUNTIFS(
'YearB-AppDetails Current Date'!A:A,D68,
'YearB-AppDetails Current Date'!F:F,E68,
'YearB-AppDetails Current Date'!E:E,--F68,
'YearB-AppDetails Current Date'!I:I,"SPRING")), "")</f>
        <v/>
      </c>
      <c r="J68" s="74" t="str" cm="1">
        <f t="array" ref="J68">IFERROR(1/(1/SUM(COUNTIFS(
'YearB-AppDetails Current Date'!A:A,D68,
'YearB-AppDetails Current Date'!F:F,E68,
'YearB-AppDetails Current Date'!E:E,--F68,
'YearB-AppDetails Current Date'!O:O,{"ACLN","ACPT","COND"},
'YearB-AppDetails Current Date'!S:S,"&lt;&gt;ACLN",
'YearB-AppDetails Current Date'!S:S,"&lt;&gt;ACPT",
'YearB-AppDetails Current Date'!S:S,"&lt;&gt;COND",
'YearB-AppDetails Current Date'!I:I,"SPRING"))), "")</f>
        <v/>
      </c>
      <c r="K68" s="73" t="str">
        <f>IFERROR(1/(1/SUM(COUNTIFS(
'YearB-AppDetails Current Date'!A:A,D68,
'YearB-AppDetails Current Date'!F:F,E68,
'YearB-AppDetails Current Date'!E:E,--F68,
'YearB-AppDetails Current Date'!R:R,"&lt;&gt;"&amp;"",
'YearB-AppDetails Current Date'!I:I,"SPRING"))), "")</f>
        <v/>
      </c>
      <c r="L68" s="74" t="str" cm="1">
        <f t="array" ref="L68">IFERROR(1/(1/SUM(COUNTIFS(
'YearB-AppDetails Current Date'!A:A,D68,
'YearB-AppDetails Current Date'!F:F,E68,
'YearB-AppDetails Current Date'!E:E,--F68,
'YearB-AppDetails Current Date'!T:T,{"APEX","DENY","NTSL"},
'YearB-AppDetails Current Date'!I:I,"SPRING"))), "")</f>
        <v/>
      </c>
      <c r="M68" s="74" t="str" cm="1">
        <f t="array" ref="M68">IFERROR(1/(1/SUM(COUNTIFS(
'YearB-AppDetails Current Date'!A:A,D68,
'YearB-AppDetails Current Date'!F:F,E68,
'YearB-AppDetails Current Date'!E:E,--F68,
'YearB-AppDetails Current Date'!U:U,{"CCAN","DECL"},
'YearB-AppDetails Current Date'!I:I,"SPRING"))), "")</f>
        <v/>
      </c>
      <c r="N68" s="74" t="str" cm="1">
        <f t="array" ref="N68">IFERROR(1/(1/SUM(COUNTIFS(
'YearB-AppDetails Current Date'!A:A,D68,
'YearB-AppDetails Current Date'!F:F,E68,
'YearB-AppDetails Current Date'!E:E,--F68,
'YearB-AppDetails Current Date'!V:V,{"APRO","NODE"},
'YearB-AppDetails Current Date'!I:I,"SPRING"))), "")</f>
        <v/>
      </c>
      <c r="O68" s="74" t="str" cm="1">
        <f t="array" ref="O68">IFERROR(1/(1/SUM(COUNTIFS(
'YearB-AppDetails Current Date'!A:A,D68,
'YearB-AppDetails Current Date'!F:F,E68,
'YearB-AppDetails Current Date'!E:E,--F68,
'YearB-AppDetails Current Date'!T:T,{"CDMT","RQMT","WAIT"},
'YearB-AppDetails Current Date'!I:I,"SPRING"))), "")</f>
        <v/>
      </c>
      <c r="P68" s="74" t="str">
        <f>IFERROR(1/(1/COUNTIFS(
'YearB-AppDetails Current Date'!A:A,D68,
'YearB-AppDetails Current Date'!F:F,E68,
'YearB-AppDetails Current Date'!E:E,--F68,
'YearB-AppDetails Current Date'!Y:Y,"ENRO",
'YearB-AppDetails Current Date'!I:I,"SPRING")), "")</f>
        <v/>
      </c>
      <c r="Q68" s="3" t="str">
        <f t="shared" si="0"/>
        <v/>
      </c>
    </row>
    <row r="69" spans="1:17" ht="15.75" customHeight="1" x14ac:dyDescent="0.25">
      <c r="A69" s="156"/>
      <c r="B69" s="122"/>
      <c r="C69" s="138"/>
      <c r="D69" s="23" t="s">
        <v>73</v>
      </c>
      <c r="E69" s="2" t="s">
        <v>43</v>
      </c>
      <c r="F69" s="31">
        <v>1</v>
      </c>
      <c r="G69" s="140"/>
      <c r="H69" s="73" t="str">
        <f>IFERROR(1/(1/
SUM(
N(VLOOKUP(D69&amp;F69,'Budgeted Projections Intl HC'!D:T,16,FALSE)),
N(VLOOKUP(D69&amp;F69,'Budgeted Projections Intl HC'!D:T,17,FALSE))
)
),"")</f>
        <v/>
      </c>
      <c r="I69" s="73" t="str">
        <f>IFERROR(1/(1/COUNTIFS(
'YearB-AppDetails Current Date'!A:A,D69,
'YearB-AppDetails Current Date'!F:F,E69,
'YearB-AppDetails Current Date'!E:E,--F69,
'YearB-AppDetails Current Date'!I:I,"SPRING")), "")</f>
        <v/>
      </c>
      <c r="J69" s="74" t="str" cm="1">
        <f t="array" ref="J69">IFERROR(1/(1/SUM(COUNTIFS(
'YearB-AppDetails Current Date'!A:A,D69,
'YearB-AppDetails Current Date'!F:F,E69,
'YearB-AppDetails Current Date'!E:E,--F69,
'YearB-AppDetails Current Date'!O:O,{"ACLN","ACPT","COND"},
'YearB-AppDetails Current Date'!S:S,"&lt;&gt;ACLN",
'YearB-AppDetails Current Date'!S:S,"&lt;&gt;ACPT",
'YearB-AppDetails Current Date'!S:S,"&lt;&gt;COND",
'YearB-AppDetails Current Date'!I:I,"SPRING"))), "")</f>
        <v/>
      </c>
      <c r="K69" s="73" t="str">
        <f>IFERROR(1/(1/SUM(COUNTIFS(
'YearB-AppDetails Current Date'!A:A,D69,
'YearB-AppDetails Current Date'!F:F,E69,
'YearB-AppDetails Current Date'!E:E,--F69,
'YearB-AppDetails Current Date'!R:R,"&lt;&gt;"&amp;"",
'YearB-AppDetails Current Date'!I:I,"SPRING"))), "")</f>
        <v/>
      </c>
      <c r="L69" s="74" t="str" cm="1">
        <f t="array" ref="L69">IFERROR(1/(1/SUM(COUNTIFS(
'YearB-AppDetails Current Date'!A:A,D69,
'YearB-AppDetails Current Date'!F:F,E69,
'YearB-AppDetails Current Date'!E:E,--F69,
'YearB-AppDetails Current Date'!T:T,{"APEX","DENY","NTSL"},
'YearB-AppDetails Current Date'!I:I,"SPRING"))), "")</f>
        <v/>
      </c>
      <c r="M69" s="74" t="str" cm="1">
        <f t="array" ref="M69">IFERROR(1/(1/SUM(COUNTIFS(
'YearB-AppDetails Current Date'!A:A,D69,
'YearB-AppDetails Current Date'!F:F,E69,
'YearB-AppDetails Current Date'!E:E,--F69,
'YearB-AppDetails Current Date'!U:U,{"CCAN","DECL"},
'YearB-AppDetails Current Date'!I:I,"SPRING"))), "")</f>
        <v/>
      </c>
      <c r="N69" s="74" t="str" cm="1">
        <f t="array" ref="N69">IFERROR(1/(1/SUM(COUNTIFS(
'YearB-AppDetails Current Date'!A:A,D69,
'YearB-AppDetails Current Date'!F:F,E69,
'YearB-AppDetails Current Date'!E:E,--F69,
'YearB-AppDetails Current Date'!V:V,{"APRO","NODE"},
'YearB-AppDetails Current Date'!I:I,"SPRING"))), "")</f>
        <v/>
      </c>
      <c r="O69" s="74" t="str" cm="1">
        <f t="array" ref="O69">IFERROR(1/(1/SUM(COUNTIFS(
'YearB-AppDetails Current Date'!A:A,D69,
'YearB-AppDetails Current Date'!F:F,E69,
'YearB-AppDetails Current Date'!E:E,--F69,
'YearB-AppDetails Current Date'!T:T,{"CDMT","RQMT","WAIT"},
'YearB-AppDetails Current Date'!I:I,"SPRING"))), "")</f>
        <v/>
      </c>
      <c r="P69" s="74" t="str">
        <f>IFERROR(1/(1/COUNTIFS(
'YearB-AppDetails Current Date'!A:A,D69,
'YearB-AppDetails Current Date'!F:F,E69,
'YearB-AppDetails Current Date'!E:E,--F69,
'YearB-AppDetails Current Date'!Y:Y,"ENRO",
'YearB-AppDetails Current Date'!I:I,"SPRING")), "")</f>
        <v/>
      </c>
      <c r="Q69" s="3" t="str">
        <f t="shared" si="0"/>
        <v/>
      </c>
    </row>
    <row r="70" spans="1:17" ht="15.75" customHeight="1" x14ac:dyDescent="0.25">
      <c r="A70" s="156"/>
      <c r="B70" s="122"/>
      <c r="C70" s="138"/>
      <c r="D70" s="23" t="s">
        <v>73</v>
      </c>
      <c r="E70" s="2" t="s">
        <v>42</v>
      </c>
      <c r="F70" s="42">
        <v>2</v>
      </c>
      <c r="G70" s="139" t="s">
        <v>63</v>
      </c>
      <c r="H70" s="73" t="str">
        <f>IFERROR(1/(1/
SUM(
N(VLOOKUP(D70&amp;F70,'Budgeted Projections Dom HC'!D:T,16,FALSE)),
N(VLOOKUP(D70&amp;F70,'Budgeted Projections Dom HC'!D:T,17,FALSE))
)
),"")</f>
        <v/>
      </c>
      <c r="I70" s="73" t="str">
        <f>IFERROR(1/(1/COUNTIFS(
'YearB-AppDetails Current Date'!A:A,D70,
'YearB-AppDetails Current Date'!F:F,E70,
'YearB-AppDetails Current Date'!E:E,--F70,
'YearB-AppDetails Current Date'!I:I,"SPRING")), "")</f>
        <v/>
      </c>
      <c r="J70" s="74" t="str" cm="1">
        <f t="array" ref="J70">IFERROR(1/(1/SUM(COUNTIFS(
'YearB-AppDetails Current Date'!A:A,D70,
'YearB-AppDetails Current Date'!F:F,E70,
'YearB-AppDetails Current Date'!E:E,--F70,
'YearB-AppDetails Current Date'!O:O,{"ACLN","ACPT","COND"},
'YearB-AppDetails Current Date'!S:S,"&lt;&gt;ACLN",
'YearB-AppDetails Current Date'!S:S,"&lt;&gt;ACPT",
'YearB-AppDetails Current Date'!S:S,"&lt;&gt;COND",
'YearB-AppDetails Current Date'!I:I,"SPRING"))), "")</f>
        <v/>
      </c>
      <c r="K70" s="73" t="str">
        <f>IFERROR(1/(1/SUM(COUNTIFS(
'YearB-AppDetails Current Date'!A:A,D70,
'YearB-AppDetails Current Date'!F:F,E70,
'YearB-AppDetails Current Date'!E:E,--F70,
'YearB-AppDetails Current Date'!R:R,"&lt;&gt;"&amp;"",
'YearB-AppDetails Current Date'!I:I,"SPRING"))), "")</f>
        <v/>
      </c>
      <c r="L70" s="74" t="str" cm="1">
        <f t="array" ref="L70">IFERROR(1/(1/SUM(COUNTIFS(
'YearB-AppDetails Current Date'!A:A,D70,
'YearB-AppDetails Current Date'!F:F,E70,
'YearB-AppDetails Current Date'!E:E,--F70,
'YearB-AppDetails Current Date'!T:T,{"APEX","DENY","NTSL"},
'YearB-AppDetails Current Date'!I:I,"SPRING"))), "")</f>
        <v/>
      </c>
      <c r="M70" s="74" t="str" cm="1">
        <f t="array" ref="M70">IFERROR(1/(1/SUM(COUNTIFS(
'YearB-AppDetails Current Date'!A:A,D70,
'YearB-AppDetails Current Date'!F:F,E70,
'YearB-AppDetails Current Date'!E:E,--F70,
'YearB-AppDetails Current Date'!U:U,{"CCAN","DECL"},
'YearB-AppDetails Current Date'!I:I,"SPRING"))), "")</f>
        <v/>
      </c>
      <c r="N70" s="74" t="str" cm="1">
        <f t="array" ref="N70">IFERROR(1/(1/SUM(COUNTIFS(
'YearB-AppDetails Current Date'!A:A,D70,
'YearB-AppDetails Current Date'!F:F,E70,
'YearB-AppDetails Current Date'!E:E,--F70,
'YearB-AppDetails Current Date'!V:V,{"APRO","NODE"},
'YearB-AppDetails Current Date'!I:I,"SPRING"))), "")</f>
        <v/>
      </c>
      <c r="O70" s="74" t="str" cm="1">
        <f t="array" ref="O70">IFERROR(1/(1/SUM(COUNTIFS(
'YearB-AppDetails Current Date'!A:A,D70,
'YearB-AppDetails Current Date'!F:F,E70,
'YearB-AppDetails Current Date'!E:E,--F70,
'YearB-AppDetails Current Date'!T:T,{"CDMT","RQMT","WAIT"},
'YearB-AppDetails Current Date'!I:I,"SPRING"))), "")</f>
        <v/>
      </c>
      <c r="P70" s="74" t="str">
        <f>IFERROR(1/(1/COUNTIFS(
'YearB-AppDetails Current Date'!A:A,D70,
'YearB-AppDetails Current Date'!F:F,E70,
'YearB-AppDetails Current Date'!E:E,--F70,
'YearB-AppDetails Current Date'!Y:Y,"ENRO",
'YearB-AppDetails Current Date'!I:I,"SPRING")), "")</f>
        <v/>
      </c>
      <c r="Q70" s="3" t="str">
        <f t="shared" si="0"/>
        <v/>
      </c>
    </row>
    <row r="71" spans="1:17" ht="15.75" customHeight="1" x14ac:dyDescent="0.25">
      <c r="A71" s="156"/>
      <c r="B71" s="122"/>
      <c r="C71" s="138"/>
      <c r="D71" s="23" t="s">
        <v>73</v>
      </c>
      <c r="E71" s="2" t="s">
        <v>43</v>
      </c>
      <c r="F71" s="31">
        <v>2</v>
      </c>
      <c r="G71" s="140"/>
      <c r="H71" s="73" t="str">
        <f>IFERROR(1/(1/
SUM(
N(VLOOKUP(D71&amp;F71,'Budgeted Projections Intl HC'!D:T,16,FALSE)),
N(VLOOKUP(D71&amp;F71,'Budgeted Projections Intl HC'!D:T,17,FALSE))
)
),"")</f>
        <v/>
      </c>
      <c r="I71" s="73" t="str">
        <f>IFERROR(1/(1/COUNTIFS(
'YearB-AppDetails Current Date'!A:A,D71,
'YearB-AppDetails Current Date'!F:F,E71,
'YearB-AppDetails Current Date'!E:E,--F71,
'YearB-AppDetails Current Date'!I:I,"SPRING")), "")</f>
        <v/>
      </c>
      <c r="J71" s="74" t="str" cm="1">
        <f t="array" ref="J71">IFERROR(1/(1/SUM(COUNTIFS(
'YearB-AppDetails Current Date'!A:A,D71,
'YearB-AppDetails Current Date'!F:F,E71,
'YearB-AppDetails Current Date'!E:E,--F71,
'YearB-AppDetails Current Date'!O:O,{"ACLN","ACPT","COND"},
'YearB-AppDetails Current Date'!S:S,"&lt;&gt;ACLN",
'YearB-AppDetails Current Date'!S:S,"&lt;&gt;ACPT",
'YearB-AppDetails Current Date'!S:S,"&lt;&gt;COND",
'YearB-AppDetails Current Date'!I:I,"SPRING"))), "")</f>
        <v/>
      </c>
      <c r="K71" s="73" t="str">
        <f>IFERROR(1/(1/SUM(COUNTIFS(
'YearB-AppDetails Current Date'!A:A,D71,
'YearB-AppDetails Current Date'!F:F,E71,
'YearB-AppDetails Current Date'!E:E,--F71,
'YearB-AppDetails Current Date'!R:R,"&lt;&gt;"&amp;"",
'YearB-AppDetails Current Date'!I:I,"SPRING"))), "")</f>
        <v/>
      </c>
      <c r="L71" s="74" t="str" cm="1">
        <f t="array" ref="L71">IFERROR(1/(1/SUM(COUNTIFS(
'YearB-AppDetails Current Date'!A:A,D71,
'YearB-AppDetails Current Date'!F:F,E71,
'YearB-AppDetails Current Date'!E:E,--F71,
'YearB-AppDetails Current Date'!T:T,{"APEX","DENY","NTSL"},
'YearB-AppDetails Current Date'!I:I,"SPRING"))), "")</f>
        <v/>
      </c>
      <c r="M71" s="74" t="str" cm="1">
        <f t="array" ref="M71">IFERROR(1/(1/SUM(COUNTIFS(
'YearB-AppDetails Current Date'!A:A,D71,
'YearB-AppDetails Current Date'!F:F,E71,
'YearB-AppDetails Current Date'!E:E,--F71,
'YearB-AppDetails Current Date'!U:U,{"CCAN","DECL"},
'YearB-AppDetails Current Date'!I:I,"SPRING"))), "")</f>
        <v/>
      </c>
      <c r="N71" s="74" t="str" cm="1">
        <f t="array" ref="N71">IFERROR(1/(1/SUM(COUNTIFS(
'YearB-AppDetails Current Date'!A:A,D71,
'YearB-AppDetails Current Date'!F:F,E71,
'YearB-AppDetails Current Date'!E:E,--F71,
'YearB-AppDetails Current Date'!V:V,{"APRO","NODE"},
'YearB-AppDetails Current Date'!I:I,"SPRING"))), "")</f>
        <v/>
      </c>
      <c r="O71" s="74" t="str" cm="1">
        <f t="array" ref="O71">IFERROR(1/(1/SUM(COUNTIFS(
'YearB-AppDetails Current Date'!A:A,D71,
'YearB-AppDetails Current Date'!F:F,E71,
'YearB-AppDetails Current Date'!E:E,--F71,
'YearB-AppDetails Current Date'!T:T,{"CDMT","RQMT","WAIT"},
'YearB-AppDetails Current Date'!I:I,"SPRING"))), "")</f>
        <v/>
      </c>
      <c r="P71" s="74" t="str">
        <f>IFERROR(1/(1/COUNTIFS(
'YearB-AppDetails Current Date'!A:A,D71,
'YearB-AppDetails Current Date'!F:F,E71,
'YearB-AppDetails Current Date'!E:E,--F71,
'YearB-AppDetails Current Date'!Y:Y,"ENRO",
'YearB-AppDetails Current Date'!I:I,"SPRING")), "")</f>
        <v/>
      </c>
      <c r="Q71" s="3" t="str">
        <f t="shared" si="0"/>
        <v/>
      </c>
    </row>
    <row r="72" spans="1:17" ht="15.75" customHeight="1" x14ac:dyDescent="0.25">
      <c r="A72" s="156"/>
      <c r="B72" s="122"/>
      <c r="C72" s="138"/>
      <c r="D72" s="23" t="s">
        <v>296</v>
      </c>
      <c r="E72" s="2" t="s">
        <v>42</v>
      </c>
      <c r="F72" s="42">
        <v>3</v>
      </c>
      <c r="G72" s="139" t="s">
        <v>63</v>
      </c>
      <c r="H72" s="73" t="str">
        <f>IFERROR(1/(1/
SUM(
N(VLOOKUP("BSCACN,BSCAFT,BSCAEE3",'Budgeted Projections Dom HC'!D:T,16,FALSE)),
N(VLOOKUP("BSCACN,BSCAFT,BSCAEE3",'Budgeted Projections Dom HC'!D:T,17,FALSE))
)
),"")</f>
        <v/>
      </c>
      <c r="I72" s="73" t="str" cm="1">
        <f t="array" ref="I72">IFERROR(1/(1/SUM(COUNTIFS(
'YearB-AppDetails Current Date'!A:A,TRIM(_xlfn.TEXTSPLIT(D72,{"&amp;",","})),
'YearB-AppDetails Current Date'!F:F,E72,
'YearB-AppDetails Current Date'!E:E,--F72,
'YearB-AppDetails Current Date'!I:I,"SPRING"))), "")</f>
        <v/>
      </c>
      <c r="J72" s="74" t="str" cm="1">
        <f t="array" ref="J72">IFERROR(1/(1/SUM(
COUNTIFS(
'YearB-AppDetails Current Date'!A:A,"BSCN",
'YearB-AppDetails Current Date'!F:F,E72,
'YearB-AppDetails Current Date'!E:E,--F72,
'YearB-AppDetails Current Date'!O:O,{"ACLN","ACPT","COND"},
'YearB-AppDetails Current Date'!S:S,"&lt;&gt;ACLN",
'YearB-AppDetails Current Date'!S:S,"&lt;&gt;ACPT",
'YearB-AppDetails Current Date'!S:S,"&lt;&gt;COND",
'YearB-AppDetails Current Date'!I:I,"SPRING")
+
COUNTIFS(
'YearB-AppDetails Current Date'!A:A,"BSCACN",
'YearB-AppDetails Current Date'!F:F,E72,
'YearB-AppDetails Current Date'!E:E,--F72,
'YearB-AppDetails Current Date'!O:O,{"ACLN","ACPT","COND"},
'YearB-AppDetails Current Date'!S:S,"&lt;&gt;ACLN",
'YearB-AppDetails Current Date'!S:S,"&lt;&gt;ACPT",
'YearB-AppDetails Current Date'!S:S,"&lt;&gt;COND",
'YearB-AppDetails Current Date'!I:I,"SPRING")
+
COUNTIFS(
'YearB-AppDetails Current Date'!A:A,"BSCAFT",
'YearB-AppDetails Current Date'!F:F,E72,
'YearB-AppDetails Current Date'!E:E,--F72,
'YearB-AppDetails Current Date'!O:O,{"ACLN","ACPT","COND"},
'YearB-AppDetails Current Date'!S:S,"&lt;&gt;ACLN",
'YearB-AppDetails Current Date'!S:S,"&lt;&gt;ACPT",
'YearB-AppDetails Current Date'!S:S,"&lt;&gt;COND",
'YearB-AppDetails Current Date'!I:I,"SPRING")
+
COUNTIFS(
'YearB-AppDetails Current Date'!A:A,"BSCAEE",
'YearB-AppDetails Current Date'!F:F,E72,
'YearB-AppDetails Current Date'!E:E,--F72,
'YearB-AppDetails Current Date'!O:O,{"ACLN","ACPT","COND"},
'YearB-AppDetails Current Date'!S:S,"&lt;&gt;ACLN",
'YearB-AppDetails Current Date'!S:S,"&lt;&gt;ACPT",
'YearB-AppDetails Current Date'!S:S,"&lt;&gt;COND",
'YearB-AppDetails Current Date'!I:I,"SPRING")
)), "")</f>
        <v/>
      </c>
      <c r="K72" s="73" t="str">
        <f>IFERROR(1/(1/SUM(
COUNTIFS(
'YearB-AppDetails Current Date'!A:A,"BSCN",
'YearB-AppDetails Current Date'!F:F,E72,
'YearB-AppDetails Current Date'!E:E,--F72,
'YearB-AppDetails Current Date'!R:R,"&lt;&gt;"&amp;"",
'YearB-AppDetails Current Date'!I:I,"SPRING")
+
COUNTIFS(
'YearB-AppDetails Current Date'!A:A,"BSCACN",
'YearB-AppDetails Current Date'!F:F,E72,
'YearB-AppDetails Current Date'!E:E,--F72,
'YearB-AppDetails Current Date'!R:R,"&lt;&gt;"&amp;"",
'YearB-AppDetails Current Date'!I:I,"SPRING")
+
COUNTIFS(
'YearB-AppDetails Current Date'!A:A,"BSCAFT",
'YearB-AppDetails Current Date'!F:F,E72,
'YearB-AppDetails Current Date'!E:E,--F72,
'YearB-AppDetails Current Date'!R:R,"&lt;&gt;"&amp;"",
'YearB-AppDetails Current Date'!I:I,"SPRING")
+
COUNTIFS(
'YearB-AppDetails Current Date'!A:A,"BSCAEE",
'YearB-AppDetails Current Date'!F:F,E72,
'YearB-AppDetails Current Date'!E:E,--F72,
'YearB-AppDetails Current Date'!R:R,"&lt;&gt;"&amp;"",
'YearB-AppDetails Current Date'!I:I,"SPRING")
)), "")</f>
        <v/>
      </c>
      <c r="L72" s="74" t="str" cm="1">
        <f t="array" ref="L72">IFERROR(1/(1/SUM(
COUNTIFS(
'YearB-AppDetails Current Date'!A:A,"BSCN",
'YearB-AppDetails Current Date'!F:F,E72,
'YearB-AppDetails Current Date'!E:E,--F72,
'YearB-AppDetails Current Date'!T:T,{"APEX","DENY","NTSL"},
'YearB-AppDetails Current Date'!I:I,"SPRING")
+
COUNTIFS(
'YearB-AppDetails Current Date'!A:A,"BSCACN",
'YearB-AppDetails Current Date'!F:F,E72,
'YearB-AppDetails Current Date'!E:E,--F72,
'YearB-AppDetails Current Date'!T:T,{"APEX","DENY","NTSL"},
'YearB-AppDetails Current Date'!I:I,"SPRING")
+
COUNTIFS(
'YearB-AppDetails Current Date'!A:A,"BSCAFT",
'YearB-AppDetails Current Date'!F:F,E72,
'YearB-AppDetails Current Date'!E:E,--F72,
'YearB-AppDetails Current Date'!T:T,{"APEX","DENY","NTSL"},
'YearB-AppDetails Current Date'!I:I,"SPRING")
+
COUNTIFS(
'YearB-AppDetails Current Date'!A:A,"BSCAEE",
'YearB-AppDetails Current Date'!F:F,E72,
'YearB-AppDetails Current Date'!E:E,--F72,
'YearB-AppDetails Current Date'!T:T,{"APEX","DENY","NTSL"},
'YearB-AppDetails Current Date'!I:I,"SPRING")
)), "")</f>
        <v/>
      </c>
      <c r="M72" s="74" t="str" cm="1">
        <f t="array" ref="M72">IFERROR(1/(1/SUM(
COUNTIFS(
'YearB-AppDetails Current Date'!A:A,"BSCN",
'YearB-AppDetails Current Date'!F:F,E72,
'YearB-AppDetails Current Date'!E:E,--F72,
'YearB-AppDetails Current Date'!U:U,{"CCAN","DECL"},
'YearB-AppDetails Current Date'!I:I,"SPRING")
+
COUNTIFS(
'YearB-AppDetails Current Date'!A:A,"BSCACN",
'YearB-AppDetails Current Date'!F:F,E72,
'YearB-AppDetails Current Date'!E:E,--F72,
'YearB-AppDetails Current Date'!U:U,{"CCAN","DECL"},
'YearB-AppDetails Current Date'!I:I,"SPRING")
+
COUNTIFS(
'YearB-AppDetails Current Date'!A:A,"BSCAFT",
'YearB-AppDetails Current Date'!F:F,E72,
'YearB-AppDetails Current Date'!E:E,--F72,
'YearB-AppDetails Current Date'!U:U,{"CCAN","DECL"},
'YearB-AppDetails Current Date'!I:I,"SPRING")
+
COUNTIFS(
'YearB-AppDetails Current Date'!A:A,"BSCAEE",
'YearB-AppDetails Current Date'!F:F,E72,
'YearB-AppDetails Current Date'!E:E,--F72,
'YearB-AppDetails Current Date'!U:U,{"CCAN","DECL"},
'YearB-AppDetails Current Date'!I:I,"SPRING")
)), "")</f>
        <v/>
      </c>
      <c r="N72" s="74" t="str" cm="1">
        <f t="array" ref="N72">IFERROR(1/(1/SUM(
COUNTIFS(
'YearB-AppDetails Current Date'!A:A,"BSCN",
'YearB-AppDetails Current Date'!F:F,E72,
'YearB-AppDetails Current Date'!E:E,--F72,
'YearB-AppDetails Current Date'!V:V,{"APRO","NODE"},
'YearB-AppDetails Current Date'!I:I,"SPRING")
+
COUNTIFS(
'YearB-AppDetails Current Date'!A:A,"BSCACN",
'YearB-AppDetails Current Date'!F:F,E72,
'YearB-AppDetails Current Date'!E:E,--F72,
'YearB-AppDetails Current Date'!V:V,{"APRO","NODE"},
'YearB-AppDetails Current Date'!I:I,"SPRING")
+
COUNTIFS(
'YearB-AppDetails Current Date'!A:A,"BSCAFT",
'YearB-AppDetails Current Date'!F:F,E72,
'YearB-AppDetails Current Date'!E:E,--F72,
'YearB-AppDetails Current Date'!V:V,{"APRO","NODE"},
'YearB-AppDetails Current Date'!I:I,"SPRING")
+
COUNTIFS(
'YearB-AppDetails Current Date'!A:A,"BSCAEE",
'YearB-AppDetails Current Date'!F:F,E72,
'YearB-AppDetails Current Date'!E:E,--F72,
'YearB-AppDetails Current Date'!V:V,{"APRO","NODE"},
'YearB-AppDetails Current Date'!I:I,"SPRING")
)), "")</f>
        <v/>
      </c>
      <c r="O72" s="74" t="str" cm="1">
        <f t="array" ref="O72">IFERROR(1/(1/SUM(
COUNTIFS(
'YearB-AppDetails Current Date'!A:A,"BSCN",
'YearB-AppDetails Current Date'!F:F,E72,
'YearB-AppDetails Current Date'!E:E,--F72,
'YearB-AppDetails Current Date'!T:T,{"CDMT","RQMT","WAIT"},
'YearB-AppDetails Current Date'!I:I,"SPRING")
+
COUNTIFS(
'YearB-AppDetails Current Date'!A:A,"BSCACN",
'YearB-AppDetails Current Date'!F:F,E72,
'YearB-AppDetails Current Date'!E:E,--F72,
'YearB-AppDetails Current Date'!T:T,{"CDMT","RQMT","WAIT"},
'YearB-AppDetails Current Date'!I:I,"SPRING")
+
COUNTIFS(
'YearB-AppDetails Current Date'!A:A,"BSCAFT",
'YearB-AppDetails Current Date'!F:F,E72,
'YearB-AppDetails Current Date'!E:E,--F72,
'YearB-AppDetails Current Date'!T:T,{"CDMT","RQMT","WAIT"},
'YearB-AppDetails Current Date'!I:I,"SPRING")
+
COUNTIFS(
'YearB-AppDetails Current Date'!A:A,"BSCAEE",
'YearB-AppDetails Current Date'!F:F,E72,
'YearB-AppDetails Current Date'!E:E,--F72,
'YearB-AppDetails Current Date'!T:T,{"CDMT","RQMT","WAIT"},
'YearB-AppDetails Current Date'!I:I,"SPRING")
)), "")</f>
        <v/>
      </c>
      <c r="P72" s="74" t="str" cm="1">
        <f t="array" ref="P72">IFERROR(1/(1/SUM(COUNTIFS(
'YearB-AppDetails Current Date'!A:A,TRIM(_xlfn.TEXTSPLIT(D72,{"&amp;",","})),
'YearB-AppDetails Current Date'!F:F,E72,
'YearB-AppDetails Current Date'!E:E,--F72,
'YearB-AppDetails Current Date'!Y:Y,"ENRO",
'YearB-AppDetails Current Date'!I:I,"SPRING"))), "")</f>
        <v/>
      </c>
      <c r="Q72" s="3" t="str">
        <f t="shared" si="0"/>
        <v/>
      </c>
    </row>
    <row r="73" spans="1:17" ht="15.75" customHeight="1" x14ac:dyDescent="0.25">
      <c r="A73" s="156"/>
      <c r="B73" s="122"/>
      <c r="C73" s="125"/>
      <c r="D73" s="23" t="s">
        <v>296</v>
      </c>
      <c r="E73" s="2" t="s">
        <v>43</v>
      </c>
      <c r="F73" s="31">
        <v>3</v>
      </c>
      <c r="G73" s="140"/>
      <c r="H73" s="73" t="str">
        <f>IFERROR(1/(1/
SUM(
N(VLOOKUP("BSCACN,BSCAFT,BSCAEE3",'Budgeted Projections Intl HC'!D:T,16,FALSE)),
N(VLOOKUP("BSCACN,BSCAFT,BSCAEE3",'Budgeted Projections Intl HC'!D:T,17,FALSE))
)
),"")</f>
        <v/>
      </c>
      <c r="I73" s="73" t="str" cm="1">
        <f t="array" ref="I73">IFERROR(1/(1/SUM(COUNTIFS(
'YearB-AppDetails Current Date'!A:A,TRIM(_xlfn.TEXTSPLIT(D73,{"&amp;",","})),
'YearB-AppDetails Current Date'!F:F,E73,
'YearB-AppDetails Current Date'!E:E,--F73,
'YearB-AppDetails Current Date'!I:I,"SPRING"))), "")</f>
        <v/>
      </c>
      <c r="J73" s="74" t="str" cm="1">
        <f t="array" ref="J73">IFERROR(1/(1/SUM(
COUNTIFS(
'YearB-AppDetails Current Date'!A:A,"BSCN",
'YearB-AppDetails Current Date'!F:F,E73,
'YearB-AppDetails Current Date'!E:E,--F73,
'YearB-AppDetails Current Date'!O:O,{"ACLN","ACPT","COND"},
'YearB-AppDetails Current Date'!S:S,"&lt;&gt;ACLN",
'YearB-AppDetails Current Date'!S:S,"&lt;&gt;ACPT",
'YearB-AppDetails Current Date'!S:S,"&lt;&gt;COND",
'YearB-AppDetails Current Date'!I:I,"SPRING")
+
COUNTIFS(
'YearB-AppDetails Current Date'!A:A,"BSCACN",
'YearB-AppDetails Current Date'!F:F,E73,
'YearB-AppDetails Current Date'!E:E,--F73,
'YearB-AppDetails Current Date'!O:O,{"ACLN","ACPT","COND"},
'YearB-AppDetails Current Date'!S:S,"&lt;&gt;ACLN",
'YearB-AppDetails Current Date'!S:S,"&lt;&gt;ACPT",
'YearB-AppDetails Current Date'!S:S,"&lt;&gt;COND",
'YearB-AppDetails Current Date'!I:I,"SPRING")
+
COUNTIFS(
'YearB-AppDetails Current Date'!A:A,"BSCAFT",
'YearB-AppDetails Current Date'!F:F,E73,
'YearB-AppDetails Current Date'!E:E,--F73,
'YearB-AppDetails Current Date'!O:O,{"ACLN","ACPT","COND"},
'YearB-AppDetails Current Date'!S:S,"&lt;&gt;ACLN",
'YearB-AppDetails Current Date'!S:S,"&lt;&gt;ACPT",
'YearB-AppDetails Current Date'!S:S,"&lt;&gt;COND",
'YearB-AppDetails Current Date'!I:I,"SPRING")
+
COUNTIFS(
'YearB-AppDetails Current Date'!A:A,"BSCAEE",
'YearB-AppDetails Current Date'!F:F,E73,
'YearB-AppDetails Current Date'!E:E,--F73,
'YearB-AppDetails Current Date'!O:O,{"ACLN","ACPT","COND"},
'YearB-AppDetails Current Date'!S:S,"&lt;&gt;ACLN",
'YearB-AppDetails Current Date'!S:S,"&lt;&gt;ACPT",
'YearB-AppDetails Current Date'!S:S,"&lt;&gt;COND",
'YearB-AppDetails Current Date'!I:I,"SPRING")
)), "")</f>
        <v/>
      </c>
      <c r="K73" s="73" t="str">
        <f>IFERROR(1/(1/SUM(
COUNTIFS(
'YearB-AppDetails Current Date'!A:A,"BSCN",
'YearB-AppDetails Current Date'!F:F,E73,
'YearB-AppDetails Current Date'!E:E,--F73,
'YearB-AppDetails Current Date'!R:R,"&lt;&gt;"&amp;"",
'YearB-AppDetails Current Date'!I:I,"SPRING")
+
COUNTIFS(
'YearB-AppDetails Current Date'!A:A,"BSCACN",
'YearB-AppDetails Current Date'!F:F,E73,
'YearB-AppDetails Current Date'!E:E,--F73,
'YearB-AppDetails Current Date'!R:R,"&lt;&gt;"&amp;"",
'YearB-AppDetails Current Date'!I:I,"SPRING")
+
COUNTIFS(
'YearB-AppDetails Current Date'!A:A,"BSCAFT",
'YearB-AppDetails Current Date'!F:F,E73,
'YearB-AppDetails Current Date'!E:E,--F73,
'YearB-AppDetails Current Date'!R:R,"&lt;&gt;"&amp;"",
'YearB-AppDetails Current Date'!I:I,"SPRING")
+
COUNTIFS(
'YearB-AppDetails Current Date'!A:A,"BSCAEE",
'YearB-AppDetails Current Date'!F:F,E73,
'YearB-AppDetails Current Date'!E:E,--F73,
'YearB-AppDetails Current Date'!R:R,"&lt;&gt;"&amp;"",
'YearB-AppDetails Current Date'!I:I,"SPRING")
)), "")</f>
        <v/>
      </c>
      <c r="L73" s="74" t="str" cm="1">
        <f t="array" ref="L73">IFERROR(1/(1/SUM(
COUNTIFS(
'YearB-AppDetails Current Date'!A:A,"BSCN",
'YearB-AppDetails Current Date'!F:F,E73,
'YearB-AppDetails Current Date'!E:E,--F73,
'YearB-AppDetails Current Date'!T:T,{"APEX","DENY","NTSL"},
'YearB-AppDetails Current Date'!I:I,"SPRING")
+
COUNTIFS(
'YearB-AppDetails Current Date'!A:A,"BSCACN",
'YearB-AppDetails Current Date'!F:F,E73,
'YearB-AppDetails Current Date'!E:E,--F73,
'YearB-AppDetails Current Date'!T:T,{"APEX","DENY","NTSL"},
'YearB-AppDetails Current Date'!I:I,"SPRING")
+
COUNTIFS(
'YearB-AppDetails Current Date'!A:A,"BSCAFT",
'YearB-AppDetails Current Date'!F:F,E73,
'YearB-AppDetails Current Date'!E:E,--F73,
'YearB-AppDetails Current Date'!T:T,{"APEX","DENY","NTSL"},
'YearB-AppDetails Current Date'!I:I,"SPRING")
+
COUNTIFS(
'YearB-AppDetails Current Date'!A:A,"BSCAEE",
'YearB-AppDetails Current Date'!F:F,E73,
'YearB-AppDetails Current Date'!E:E,--F73,
'YearB-AppDetails Current Date'!T:T,{"APEX","DENY","NTSL"},
'YearB-AppDetails Current Date'!I:I,"SPRING")
)), "")</f>
        <v/>
      </c>
      <c r="M73" s="74" t="str" cm="1">
        <f t="array" ref="M73">IFERROR(1/(1/SUM(
COUNTIFS(
'YearB-AppDetails Current Date'!A:A,"BSCN",
'YearB-AppDetails Current Date'!F:F,E73,
'YearB-AppDetails Current Date'!E:E,--F73,
'YearB-AppDetails Current Date'!U:U,{"CCAN","DECL"},
'YearB-AppDetails Current Date'!I:I,"SPRING")
+
COUNTIFS(
'YearB-AppDetails Current Date'!A:A,"BSCACN",
'YearB-AppDetails Current Date'!F:F,E73,
'YearB-AppDetails Current Date'!E:E,--F73,
'YearB-AppDetails Current Date'!U:U,{"CCAN","DECL"},
'YearB-AppDetails Current Date'!I:I,"SPRING")
+
COUNTIFS(
'YearB-AppDetails Current Date'!A:A,"BSCAFT",
'YearB-AppDetails Current Date'!F:F,E73,
'YearB-AppDetails Current Date'!E:E,--F73,
'YearB-AppDetails Current Date'!U:U,{"CCAN","DECL"},
'YearB-AppDetails Current Date'!I:I,"SPRING")
+
COUNTIFS(
'YearB-AppDetails Current Date'!A:A,"BSCAEE",
'YearB-AppDetails Current Date'!F:F,E73,
'YearB-AppDetails Current Date'!E:E,--F73,
'YearB-AppDetails Current Date'!U:U,{"CCAN","DECL"},
'YearB-AppDetails Current Date'!I:I,"SPRING")
)), "")</f>
        <v/>
      </c>
      <c r="N73" s="74" t="str" cm="1">
        <f t="array" ref="N73">IFERROR(1/(1/SUM(
COUNTIFS(
'YearB-AppDetails Current Date'!A:A,"BSCN",
'YearB-AppDetails Current Date'!F:F,E73,
'YearB-AppDetails Current Date'!E:E,--F73,
'YearB-AppDetails Current Date'!V:V,{"APRO","NODE"},
'YearB-AppDetails Current Date'!I:I,"SPRING")
+
COUNTIFS(
'YearB-AppDetails Current Date'!A:A,"BSCACN",
'YearB-AppDetails Current Date'!F:F,E73,
'YearB-AppDetails Current Date'!E:E,--F73,
'YearB-AppDetails Current Date'!V:V,{"APRO","NODE"},
'YearB-AppDetails Current Date'!I:I,"SPRING")
+
COUNTIFS(
'YearB-AppDetails Current Date'!A:A,"BSCAFT",
'YearB-AppDetails Current Date'!F:F,E73,
'YearB-AppDetails Current Date'!E:E,--F73,
'YearB-AppDetails Current Date'!V:V,{"APRO","NODE"},
'YearB-AppDetails Current Date'!I:I,"SPRING")
+
COUNTIFS(
'YearB-AppDetails Current Date'!A:A,"BSCAEE",
'YearB-AppDetails Current Date'!F:F,E73,
'YearB-AppDetails Current Date'!E:E,--F73,
'YearB-AppDetails Current Date'!V:V,{"APRO","NODE"},
'YearB-AppDetails Current Date'!I:I,"SPRING")
)), "")</f>
        <v/>
      </c>
      <c r="O73" s="74" t="str" cm="1">
        <f t="array" ref="O73">IFERROR(1/(1/SUM(
COUNTIFS(
'YearB-AppDetails Current Date'!A:A,"BSCN",
'YearB-AppDetails Current Date'!F:F,E73,
'YearB-AppDetails Current Date'!E:E,--F73,
'YearB-AppDetails Current Date'!T:T,{"CDMT","RQMT","WAIT"},
'YearB-AppDetails Current Date'!I:I,"SPRING")
+
COUNTIFS(
'YearB-AppDetails Current Date'!A:A,"BSCACN",
'YearB-AppDetails Current Date'!F:F,E73,
'YearB-AppDetails Current Date'!E:E,--F73,
'YearB-AppDetails Current Date'!T:T,{"CDMT","RQMT","WAIT"},
'YearB-AppDetails Current Date'!I:I,"SPRING")
+
COUNTIFS(
'YearB-AppDetails Current Date'!A:A,"BSCAFT",
'YearB-AppDetails Current Date'!F:F,E73,
'YearB-AppDetails Current Date'!E:E,--F73,
'YearB-AppDetails Current Date'!T:T,{"CDMT","RQMT","WAIT"},
'YearB-AppDetails Current Date'!I:I,"SPRING")
+
COUNTIFS(
'YearB-AppDetails Current Date'!A:A,"BSCAEE",
'YearB-AppDetails Current Date'!F:F,E73,
'YearB-AppDetails Current Date'!E:E,--F73,
'YearB-AppDetails Current Date'!T:T,{"CDMT","RQMT","WAIT"},
'YearB-AppDetails Current Date'!I:I,"SPRING")
)), "")</f>
        <v/>
      </c>
      <c r="P73" s="74" t="str" cm="1">
        <f t="array" ref="P73">IFERROR(1/(1/SUM(COUNTIFS(
'YearB-AppDetails Current Date'!A:A,TRIM(_xlfn.TEXTSPLIT(D73,{"&amp;",","})),
'YearB-AppDetails Current Date'!F:F,E73,
'YearB-AppDetails Current Date'!E:E,--F73,
'YearB-AppDetails Current Date'!Y:Y,"ENRO",
'YearB-AppDetails Current Date'!I:I,"SPRING"))), "")</f>
        <v/>
      </c>
      <c r="Q73" s="3" t="str">
        <f t="shared" ref="Q73:Q136" si="8">IFERROR(P73/J73,"")</f>
        <v/>
      </c>
    </row>
    <row r="74" spans="1:17" ht="15.75" customHeight="1" x14ac:dyDescent="0.25">
      <c r="A74" s="156"/>
      <c r="B74" s="122"/>
      <c r="C74" s="124" t="s">
        <v>227</v>
      </c>
      <c r="D74" s="23" t="s">
        <v>152</v>
      </c>
      <c r="E74" s="2" t="s">
        <v>42</v>
      </c>
      <c r="F74" s="42">
        <v>1</v>
      </c>
      <c r="G74" s="139"/>
      <c r="H74" s="73" t="str">
        <f>IFERROR(1/(1/
SUM(
N(VLOOKUP(D74&amp;F74,'Budgeted Projections Dom HC'!D:T,16,FALSE)),
N(VLOOKUP(D74&amp;F74,'Budgeted Projections Dom HC'!D:T,17,FALSE))
)
),"")</f>
        <v/>
      </c>
      <c r="I74" s="73" t="str">
        <f>IFERROR(1/(1/COUNTIFS(
'YearB-AppDetails Current Date'!A:A,D74,
'YearB-AppDetails Current Date'!F:F,E74,
'YearB-AppDetails Current Date'!E:E,--F74,
'YearB-AppDetails Current Date'!I:I,"SPRING")), "")</f>
        <v/>
      </c>
      <c r="J74" s="74" t="str" cm="1">
        <f t="array" ref="J74">IFERROR(1/(1/SUM(COUNTIFS(
'YearB-AppDetails Current Date'!A:A,D74,
'YearB-AppDetails Current Date'!F:F,E74,
'YearB-AppDetails Current Date'!E:E,--F74,
'YearB-AppDetails Current Date'!O:O,{"ACLN","ACPT","COND"},
'YearB-AppDetails Current Date'!S:S,"&lt;&gt;ACLN",
'YearB-AppDetails Current Date'!S:S,"&lt;&gt;ACPT",
'YearB-AppDetails Current Date'!S:S,"&lt;&gt;COND",
'YearB-AppDetails Current Date'!I:I,"SPRING"))), "")</f>
        <v/>
      </c>
      <c r="K74" s="73" t="str">
        <f>IFERROR(1/(1/SUM(COUNTIFS(
'YearB-AppDetails Current Date'!A:A,D74,
'YearB-AppDetails Current Date'!F:F,E74,
'YearB-AppDetails Current Date'!E:E,--F74,
'YearB-AppDetails Current Date'!R:R,"&lt;&gt;"&amp;"",
'YearB-AppDetails Current Date'!I:I,"SPRING"))), "")</f>
        <v/>
      </c>
      <c r="L74" s="74" t="str" cm="1">
        <f t="array" ref="L74">IFERROR(1/(1/SUM(COUNTIFS(
'YearB-AppDetails Current Date'!A:A,D74,
'YearB-AppDetails Current Date'!F:F,E74,
'YearB-AppDetails Current Date'!E:E,--F74,
'YearB-AppDetails Current Date'!T:T,{"APEX","DENY","NTSL"},
'YearB-AppDetails Current Date'!I:I,"SPRING"))), "")</f>
        <v/>
      </c>
      <c r="M74" s="74" t="str" cm="1">
        <f t="array" ref="M74">IFERROR(1/(1/SUM(COUNTIFS(
'YearB-AppDetails Current Date'!A:A,D74,
'YearB-AppDetails Current Date'!F:F,E74,
'YearB-AppDetails Current Date'!E:E,--F74,
'YearB-AppDetails Current Date'!U:U,{"CCAN","DECL"},
'YearB-AppDetails Current Date'!I:I,"SPRING"))), "")</f>
        <v/>
      </c>
      <c r="N74" s="74" t="str" cm="1">
        <f t="array" ref="N74">IFERROR(1/(1/SUM(COUNTIFS(
'YearB-AppDetails Current Date'!A:A,D74,
'YearB-AppDetails Current Date'!F:F,E74,
'YearB-AppDetails Current Date'!E:E,--F74,
'YearB-AppDetails Current Date'!V:V,{"APRO","NODE"},
'YearB-AppDetails Current Date'!I:I,"SPRING"))), "")</f>
        <v/>
      </c>
      <c r="O74" s="74" t="str" cm="1">
        <f t="array" ref="O74">IFERROR(1/(1/SUM(COUNTIFS(
'YearB-AppDetails Current Date'!A:A,D74,
'YearB-AppDetails Current Date'!F:F,E74,
'YearB-AppDetails Current Date'!E:E,--F74,
'YearB-AppDetails Current Date'!T:T,{"CDMT","RQMT","WAIT"},
'YearB-AppDetails Current Date'!I:I,"SPRING"))), "")</f>
        <v/>
      </c>
      <c r="P74" s="74" t="str">
        <f>IFERROR(1/(1/COUNTIFS(
'YearB-AppDetails Current Date'!A:A,D74,
'YearB-AppDetails Current Date'!F:F,E74,
'YearB-AppDetails Current Date'!E:E,--F74,
'YearB-AppDetails Current Date'!Y:Y,"ENRO",
'YearB-AppDetails Current Date'!I:I,"SPRING")), "")</f>
        <v/>
      </c>
      <c r="Q74" s="3" t="str">
        <f t="shared" si="8"/>
        <v/>
      </c>
    </row>
    <row r="75" spans="1:17" ht="15.75" customHeight="1" x14ac:dyDescent="0.25">
      <c r="A75" s="156"/>
      <c r="B75" s="122"/>
      <c r="C75" s="125"/>
      <c r="D75" s="23" t="s">
        <v>152</v>
      </c>
      <c r="E75" s="2" t="s">
        <v>43</v>
      </c>
      <c r="F75" s="42">
        <v>1</v>
      </c>
      <c r="G75" s="140"/>
      <c r="H75" s="73" t="str">
        <f>IFERROR(1/(1/
SUM(
N(VLOOKUP(D75&amp;F75,'Budgeted Projections Intl HC'!D:T,16,FALSE)),
N(VLOOKUP(D75&amp;F75,'Budgeted Projections Intl HC'!D:T,17,FALSE))
)
),"")</f>
        <v/>
      </c>
      <c r="I75" s="73" t="str">
        <f>IFERROR(1/(1/COUNTIFS(
'YearB-AppDetails Current Date'!A:A,D75,
'YearB-AppDetails Current Date'!F:F,E75,
'YearB-AppDetails Current Date'!E:E,--F75,
'YearB-AppDetails Current Date'!I:I,"SPRING")), "")</f>
        <v/>
      </c>
      <c r="J75" s="74" t="str" cm="1">
        <f t="array" ref="J75">IFERROR(1/(1/SUM(COUNTIFS(
'YearB-AppDetails Current Date'!A:A,D75,
'YearB-AppDetails Current Date'!F:F,E75,
'YearB-AppDetails Current Date'!E:E,--F75,
'YearB-AppDetails Current Date'!O:O,{"ACLN","ACPT","COND"},
'YearB-AppDetails Current Date'!S:S,"&lt;&gt;ACLN",
'YearB-AppDetails Current Date'!S:S,"&lt;&gt;ACPT",
'YearB-AppDetails Current Date'!S:S,"&lt;&gt;COND",
'YearB-AppDetails Current Date'!I:I,"SPRING"))), "")</f>
        <v/>
      </c>
      <c r="K75" s="73" t="str">
        <f>IFERROR(1/(1/SUM(COUNTIFS(
'YearB-AppDetails Current Date'!A:A,D75,
'YearB-AppDetails Current Date'!F:F,E75,
'YearB-AppDetails Current Date'!E:E,--F75,
'YearB-AppDetails Current Date'!R:R,"&lt;&gt;"&amp;"",
'YearB-AppDetails Current Date'!I:I,"SPRING"))), "")</f>
        <v/>
      </c>
      <c r="L75" s="74" t="str" cm="1">
        <f t="array" ref="L75">IFERROR(1/(1/SUM(COUNTIFS(
'YearB-AppDetails Current Date'!A:A,D75,
'YearB-AppDetails Current Date'!F:F,E75,
'YearB-AppDetails Current Date'!E:E,--F75,
'YearB-AppDetails Current Date'!T:T,{"APEX","DENY","NTSL"},
'YearB-AppDetails Current Date'!I:I,"SPRING"))), "")</f>
        <v/>
      </c>
      <c r="M75" s="74" t="str" cm="1">
        <f t="array" ref="M75">IFERROR(1/(1/SUM(COUNTIFS(
'YearB-AppDetails Current Date'!A:A,D75,
'YearB-AppDetails Current Date'!F:F,E75,
'YearB-AppDetails Current Date'!E:E,--F75,
'YearB-AppDetails Current Date'!U:U,{"CCAN","DECL"},
'YearB-AppDetails Current Date'!I:I,"SPRING"))), "")</f>
        <v/>
      </c>
      <c r="N75" s="74" t="str" cm="1">
        <f t="array" ref="N75">IFERROR(1/(1/SUM(COUNTIFS(
'YearB-AppDetails Current Date'!A:A,D75,
'YearB-AppDetails Current Date'!F:F,E75,
'YearB-AppDetails Current Date'!E:E,--F75,
'YearB-AppDetails Current Date'!V:V,{"APRO","NODE"},
'YearB-AppDetails Current Date'!I:I,"SPRING"))), "")</f>
        <v/>
      </c>
      <c r="O75" s="74" t="str" cm="1">
        <f t="array" ref="O75">IFERROR(1/(1/SUM(COUNTIFS(
'YearB-AppDetails Current Date'!A:A,D75,
'YearB-AppDetails Current Date'!F:F,E75,
'YearB-AppDetails Current Date'!E:E,--F75,
'YearB-AppDetails Current Date'!T:T,{"CDMT","RQMT","WAIT"},
'YearB-AppDetails Current Date'!I:I,"SPRING"))), "")</f>
        <v/>
      </c>
      <c r="P75" s="74" t="str">
        <f>IFERROR(1/(1/COUNTIFS(
'YearB-AppDetails Current Date'!A:A,D75,
'YearB-AppDetails Current Date'!F:F,E75,
'YearB-AppDetails Current Date'!E:E,--F75,
'YearB-AppDetails Current Date'!Y:Y,"ENRO",
'YearB-AppDetails Current Date'!I:I,"SPRING")), "")</f>
        <v/>
      </c>
      <c r="Q75" s="3" t="str">
        <f t="shared" si="8"/>
        <v/>
      </c>
    </row>
    <row r="76" spans="1:17" ht="15.75" customHeight="1" x14ac:dyDescent="0.25">
      <c r="A76" s="157"/>
      <c r="B76" s="123"/>
      <c r="C76" s="142" t="s">
        <v>280</v>
      </c>
      <c r="D76" s="143"/>
      <c r="E76" s="143"/>
      <c r="F76" s="144"/>
      <c r="G76" s="7"/>
      <c r="H76" s="7">
        <f>SUM(H64:H75)</f>
        <v>0</v>
      </c>
      <c r="I76" s="7">
        <f t="shared" ref="I76:P76" si="9">SUM(I64:I75)</f>
        <v>0</v>
      </c>
      <c r="J76" s="7">
        <f t="shared" si="9"/>
        <v>0</v>
      </c>
      <c r="K76" s="7">
        <f t="shared" si="9"/>
        <v>0</v>
      </c>
      <c r="L76" s="7">
        <f t="shared" si="9"/>
        <v>0</v>
      </c>
      <c r="M76" s="7">
        <f t="shared" si="9"/>
        <v>0</v>
      </c>
      <c r="N76" s="7">
        <f t="shared" si="9"/>
        <v>0</v>
      </c>
      <c r="O76" s="7">
        <f t="shared" si="9"/>
        <v>0</v>
      </c>
      <c r="P76" s="7">
        <f t="shared" si="9"/>
        <v>0</v>
      </c>
      <c r="Q76" s="35" t="str">
        <f t="shared" si="8"/>
        <v/>
      </c>
    </row>
    <row r="77" spans="1:17" ht="15.75" customHeight="1" x14ac:dyDescent="0.25">
      <c r="A77" s="151" t="s">
        <v>74</v>
      </c>
      <c r="B77" s="136"/>
      <c r="C77" s="136"/>
      <c r="D77" s="136"/>
      <c r="E77" s="136"/>
      <c r="F77" s="137"/>
      <c r="G77" s="5"/>
      <c r="H77" s="5">
        <f>SUM(H49,H54,H63,H76)</f>
        <v>0</v>
      </c>
      <c r="I77" s="5">
        <f t="shared" ref="I77:P77" si="10">SUM(I49,I54,I63,I76)</f>
        <v>0</v>
      </c>
      <c r="J77" s="5">
        <f t="shared" si="10"/>
        <v>0</v>
      </c>
      <c r="K77" s="5">
        <f t="shared" si="10"/>
        <v>0</v>
      </c>
      <c r="L77" s="5">
        <f t="shared" si="10"/>
        <v>0</v>
      </c>
      <c r="M77" s="5">
        <f t="shared" si="10"/>
        <v>0</v>
      </c>
      <c r="N77" s="5">
        <f t="shared" si="10"/>
        <v>0</v>
      </c>
      <c r="O77" s="5">
        <f t="shared" si="10"/>
        <v>0</v>
      </c>
      <c r="P77" s="5">
        <f t="shared" si="10"/>
        <v>0</v>
      </c>
      <c r="Q77" s="36" t="str">
        <f t="shared" si="8"/>
        <v/>
      </c>
    </row>
    <row r="78" spans="1:17" ht="15.75" customHeight="1" x14ac:dyDescent="0.25">
      <c r="A78" s="118" t="s">
        <v>138</v>
      </c>
      <c r="B78" s="121" t="s">
        <v>281</v>
      </c>
      <c r="C78" s="124" t="s">
        <v>75</v>
      </c>
      <c r="D78" s="23" t="s">
        <v>76</v>
      </c>
      <c r="E78" s="2" t="s">
        <v>42</v>
      </c>
      <c r="F78" s="42">
        <v>1</v>
      </c>
      <c r="G78" s="139" t="s">
        <v>48</v>
      </c>
      <c r="H78" s="73" t="str">
        <f>IFERROR(1/(1/
SUM(
N(VLOOKUP(D78&amp;F78,'Budgeted Projections Dom HC'!D:T,16,FALSE)),
N(VLOOKUP(D78&amp;F78,'Budgeted Projections Dom HC'!D:T,17,FALSE))
)
),"")</f>
        <v/>
      </c>
      <c r="I78" s="73" t="str">
        <f>IFERROR(1/(1/COUNTIFS(
'YearB-AppDetails Current Date'!A:A,D78,
'YearB-AppDetails Current Date'!F:F,E78,
'YearB-AppDetails Current Date'!E:E,--F78,
'YearB-AppDetails Current Date'!I:I,"SPRING")), "")</f>
        <v/>
      </c>
      <c r="J78" s="74" t="str" cm="1">
        <f t="array" ref="J78">IFERROR(1/(1/SUM(COUNTIFS(
'YearB-AppDetails Current Date'!A:A,D78,
'YearB-AppDetails Current Date'!F:F,E78,
'YearB-AppDetails Current Date'!E:E,--F78,
'YearB-AppDetails Current Date'!O:O,{"ACLN","ACPT","COND"},
'YearB-AppDetails Current Date'!S:S,"&lt;&gt;ACLN",
'YearB-AppDetails Current Date'!S:S,"&lt;&gt;ACPT",
'YearB-AppDetails Current Date'!S:S,"&lt;&gt;COND",
'YearB-AppDetails Current Date'!I:I,"SPRING"))), "")</f>
        <v/>
      </c>
      <c r="K78" s="73" t="str">
        <f>IFERROR(1/(1/SUM(COUNTIFS(
'YearB-AppDetails Current Date'!A:A,D78,
'YearB-AppDetails Current Date'!F:F,E78,
'YearB-AppDetails Current Date'!E:E,--F78,
'YearB-AppDetails Current Date'!R:R,"&lt;&gt;"&amp;"",
'YearB-AppDetails Current Date'!I:I,"SPRING"))), "")</f>
        <v/>
      </c>
      <c r="L78" s="74" t="str" cm="1">
        <f t="array" ref="L78">IFERROR(1/(1/SUM(COUNTIFS(
'YearB-AppDetails Current Date'!A:A,D78,
'YearB-AppDetails Current Date'!F:F,E78,
'YearB-AppDetails Current Date'!E:E,--F78,
'YearB-AppDetails Current Date'!T:T,{"APEX","DENY","NTSL"},
'YearB-AppDetails Current Date'!I:I,"SPRING"))), "")</f>
        <v/>
      </c>
      <c r="M78" s="74" t="str" cm="1">
        <f t="array" ref="M78">IFERROR(1/(1/SUM(COUNTIFS(
'YearB-AppDetails Current Date'!A:A,D78,
'YearB-AppDetails Current Date'!F:F,E78,
'YearB-AppDetails Current Date'!E:E,--F78,
'YearB-AppDetails Current Date'!U:U,{"CCAN","DECL"},
'YearB-AppDetails Current Date'!I:I,"SPRING"))), "")</f>
        <v/>
      </c>
      <c r="N78" s="74" t="str" cm="1">
        <f t="array" ref="N78">IFERROR(1/(1/SUM(COUNTIFS(
'YearB-AppDetails Current Date'!A:A,D78,
'YearB-AppDetails Current Date'!F:F,E78,
'YearB-AppDetails Current Date'!E:E,--F78,
'YearB-AppDetails Current Date'!V:V,{"APRO","NODE"},
'YearB-AppDetails Current Date'!I:I,"SPRING"))), "")</f>
        <v/>
      </c>
      <c r="O78" s="74" t="str" cm="1">
        <f t="array" ref="O78">IFERROR(1/(1/SUM(COUNTIFS(
'YearB-AppDetails Current Date'!A:A,D78,
'YearB-AppDetails Current Date'!F:F,E78,
'YearB-AppDetails Current Date'!E:E,--F78,
'YearB-AppDetails Current Date'!T:T,{"CDMT","RQMT","WAIT"},
'YearB-AppDetails Current Date'!I:I,"SPRING"))), "")</f>
        <v/>
      </c>
      <c r="P78" s="74" t="str">
        <f>IFERROR(1/(1/COUNTIFS(
'YearB-AppDetails Current Date'!A:A,D78,
'YearB-AppDetails Current Date'!F:F,E78,
'YearB-AppDetails Current Date'!E:E,--F78,
'YearB-AppDetails Current Date'!Y:Y,"ENRO",
'YearB-AppDetails Current Date'!I:I,"SPRING")), "")</f>
        <v/>
      </c>
      <c r="Q78" s="3" t="str">
        <f t="shared" si="8"/>
        <v/>
      </c>
    </row>
    <row r="79" spans="1:17" ht="15.75" customHeight="1" x14ac:dyDescent="0.25">
      <c r="A79" s="119"/>
      <c r="B79" s="122"/>
      <c r="C79" s="125"/>
      <c r="D79" s="23" t="s">
        <v>76</v>
      </c>
      <c r="E79" s="2" t="s">
        <v>43</v>
      </c>
      <c r="F79" s="31">
        <v>1</v>
      </c>
      <c r="G79" s="140"/>
      <c r="H79" s="73" t="str">
        <f>IFERROR(1/(1/
SUM(
N(VLOOKUP(D79&amp;F79,'Budgeted Projections Intl HC'!D:T,16,FALSE)),
N(VLOOKUP(D79&amp;F79,'Budgeted Projections Intl HC'!D:T,17,FALSE))
)
),"")</f>
        <v/>
      </c>
      <c r="I79" s="73" t="str">
        <f>IFERROR(1/(1/COUNTIFS(
'YearB-AppDetails Current Date'!A:A,D79,
'YearB-AppDetails Current Date'!F:F,E79,
'YearB-AppDetails Current Date'!E:E,--F79,
'YearB-AppDetails Current Date'!I:I,"SPRING")), "")</f>
        <v/>
      </c>
      <c r="J79" s="74" t="str" cm="1">
        <f t="array" ref="J79">IFERROR(1/(1/SUM(COUNTIFS(
'YearB-AppDetails Current Date'!A:A,D79,
'YearB-AppDetails Current Date'!F:F,E79,
'YearB-AppDetails Current Date'!E:E,--F79,
'YearB-AppDetails Current Date'!O:O,{"ACLN","ACPT","COND"},
'YearB-AppDetails Current Date'!S:S,"&lt;&gt;ACLN",
'YearB-AppDetails Current Date'!S:S,"&lt;&gt;ACPT",
'YearB-AppDetails Current Date'!S:S,"&lt;&gt;COND",
'YearB-AppDetails Current Date'!I:I,"SPRING"))), "")</f>
        <v/>
      </c>
      <c r="K79" s="73" t="str">
        <f>IFERROR(1/(1/SUM(COUNTIFS(
'YearB-AppDetails Current Date'!A:A,D79,
'YearB-AppDetails Current Date'!F:F,E79,
'YearB-AppDetails Current Date'!E:E,--F79,
'YearB-AppDetails Current Date'!R:R,"&lt;&gt;"&amp;"",
'YearB-AppDetails Current Date'!I:I,"SPRING"))), "")</f>
        <v/>
      </c>
      <c r="L79" s="74" t="str" cm="1">
        <f t="array" ref="L79">IFERROR(1/(1/SUM(COUNTIFS(
'YearB-AppDetails Current Date'!A:A,D79,
'YearB-AppDetails Current Date'!F:F,E79,
'YearB-AppDetails Current Date'!E:E,--F79,
'YearB-AppDetails Current Date'!T:T,{"APEX","DENY","NTSL"},
'YearB-AppDetails Current Date'!I:I,"SPRING"))), "")</f>
        <v/>
      </c>
      <c r="M79" s="74" t="str" cm="1">
        <f t="array" ref="M79">IFERROR(1/(1/SUM(COUNTIFS(
'YearB-AppDetails Current Date'!A:A,D79,
'YearB-AppDetails Current Date'!F:F,E79,
'YearB-AppDetails Current Date'!E:E,--F79,
'YearB-AppDetails Current Date'!U:U,{"CCAN","DECL"},
'YearB-AppDetails Current Date'!I:I,"SPRING"))), "")</f>
        <v/>
      </c>
      <c r="N79" s="74" t="str" cm="1">
        <f t="array" ref="N79">IFERROR(1/(1/SUM(COUNTIFS(
'YearB-AppDetails Current Date'!A:A,D79,
'YearB-AppDetails Current Date'!F:F,E79,
'YearB-AppDetails Current Date'!E:E,--F79,
'YearB-AppDetails Current Date'!V:V,{"APRO","NODE"},
'YearB-AppDetails Current Date'!I:I,"SPRING"))), "")</f>
        <v/>
      </c>
      <c r="O79" s="74" t="str" cm="1">
        <f t="array" ref="O79">IFERROR(1/(1/SUM(COUNTIFS(
'YearB-AppDetails Current Date'!A:A,D79,
'YearB-AppDetails Current Date'!F:F,E79,
'YearB-AppDetails Current Date'!E:E,--F79,
'YearB-AppDetails Current Date'!T:T,{"CDMT","RQMT","WAIT"},
'YearB-AppDetails Current Date'!I:I,"SPRING"))), "")</f>
        <v/>
      </c>
      <c r="P79" s="74" t="str">
        <f>IFERROR(1/(1/COUNTIFS(
'YearB-AppDetails Current Date'!A:A,D79,
'YearB-AppDetails Current Date'!F:F,E79,
'YearB-AppDetails Current Date'!E:E,--F79,
'YearB-AppDetails Current Date'!Y:Y,"ENRO",
'YearB-AppDetails Current Date'!I:I,"SPRING")), "")</f>
        <v/>
      </c>
      <c r="Q79" s="3" t="str">
        <f t="shared" si="8"/>
        <v/>
      </c>
    </row>
    <row r="80" spans="1:17" ht="15.75" customHeight="1" x14ac:dyDescent="0.25">
      <c r="A80" s="119"/>
      <c r="B80" s="122"/>
      <c r="C80" s="124" t="s">
        <v>289</v>
      </c>
      <c r="D80" s="23" t="s">
        <v>77</v>
      </c>
      <c r="E80" s="2" t="s">
        <v>42</v>
      </c>
      <c r="F80" s="42">
        <v>1</v>
      </c>
      <c r="G80" s="139" t="s">
        <v>48</v>
      </c>
      <c r="H80" s="73" t="str">
        <f>IFERROR(1/(1/
SUM(
N(VLOOKUP(D80&amp;F80,'Budgeted Projections Dom HC'!D:T,16,FALSE)),
N(VLOOKUP(D80&amp;F80,'Budgeted Projections Dom HC'!D:T,17,FALSE))
)
),"")</f>
        <v/>
      </c>
      <c r="I80" s="73" t="str">
        <f>IFERROR(1/(1/COUNTIFS(
'YearB-AppDetails Current Date'!A:A,D80,
'YearB-AppDetails Current Date'!F:F,E80,
'YearB-AppDetails Current Date'!E:E,--F80,
'YearB-AppDetails Current Date'!I:I,"SPRING")), "")</f>
        <v/>
      </c>
      <c r="J80" s="74" t="str" cm="1">
        <f t="array" ref="J80">IFERROR(1/(1/SUM(COUNTIFS(
'YearB-AppDetails Current Date'!A:A,D80,
'YearB-AppDetails Current Date'!F:F,E80,
'YearB-AppDetails Current Date'!E:E,--F80,
'YearB-AppDetails Current Date'!O:O,{"ACLN","ACPT","COND"},
'YearB-AppDetails Current Date'!S:S,"&lt;&gt;ACLN",
'YearB-AppDetails Current Date'!S:S,"&lt;&gt;ACPT",
'YearB-AppDetails Current Date'!S:S,"&lt;&gt;COND",
'YearB-AppDetails Current Date'!I:I,"SPRING"))), "")</f>
        <v/>
      </c>
      <c r="K80" s="73" t="str">
        <f>IFERROR(1/(1/SUM(COUNTIFS(
'YearB-AppDetails Current Date'!A:A,D80,
'YearB-AppDetails Current Date'!F:F,E80,
'YearB-AppDetails Current Date'!E:E,--F80,
'YearB-AppDetails Current Date'!R:R,"&lt;&gt;"&amp;"",
'YearB-AppDetails Current Date'!I:I,"SPRING"))), "")</f>
        <v/>
      </c>
      <c r="L80" s="74" t="str" cm="1">
        <f t="array" ref="L80">IFERROR(1/(1/SUM(COUNTIFS(
'YearB-AppDetails Current Date'!A:A,D80,
'YearB-AppDetails Current Date'!F:F,E80,
'YearB-AppDetails Current Date'!E:E,--F80,
'YearB-AppDetails Current Date'!T:T,{"APEX","DENY","NTSL"},
'YearB-AppDetails Current Date'!I:I,"SPRING"))), "")</f>
        <v/>
      </c>
      <c r="M80" s="74" t="str" cm="1">
        <f t="array" ref="M80">IFERROR(1/(1/SUM(COUNTIFS(
'YearB-AppDetails Current Date'!A:A,D80,
'YearB-AppDetails Current Date'!F:F,E80,
'YearB-AppDetails Current Date'!E:E,--F80,
'YearB-AppDetails Current Date'!U:U,{"CCAN","DECL"},
'YearB-AppDetails Current Date'!I:I,"SPRING"))), "")</f>
        <v/>
      </c>
      <c r="N80" s="74" t="str" cm="1">
        <f t="array" ref="N80">IFERROR(1/(1/SUM(COUNTIFS(
'YearB-AppDetails Current Date'!A:A,D80,
'YearB-AppDetails Current Date'!F:F,E80,
'YearB-AppDetails Current Date'!E:E,--F80,
'YearB-AppDetails Current Date'!V:V,{"APRO","NODE"},
'YearB-AppDetails Current Date'!I:I,"SPRING"))), "")</f>
        <v/>
      </c>
      <c r="O80" s="74" t="str" cm="1">
        <f t="array" ref="O80">IFERROR(1/(1/SUM(COUNTIFS(
'YearB-AppDetails Current Date'!A:A,D80,
'YearB-AppDetails Current Date'!F:F,E80,
'YearB-AppDetails Current Date'!E:E,--F80,
'YearB-AppDetails Current Date'!T:T,{"CDMT","RQMT","WAIT"},
'YearB-AppDetails Current Date'!I:I,"SPRING"))), "")</f>
        <v/>
      </c>
      <c r="P80" s="74" t="str">
        <f>IFERROR(1/(1/COUNTIFS(
'YearB-AppDetails Current Date'!A:A,D80,
'YearB-AppDetails Current Date'!F:F,E80,
'YearB-AppDetails Current Date'!E:E,--F80,
'YearB-AppDetails Current Date'!Y:Y,"ENRO",
'YearB-AppDetails Current Date'!I:I,"SPRING")), "")</f>
        <v/>
      </c>
      <c r="Q80" s="3" t="str">
        <f t="shared" si="8"/>
        <v/>
      </c>
    </row>
    <row r="81" spans="1:17" ht="15.75" customHeight="1" x14ac:dyDescent="0.25">
      <c r="A81" s="119"/>
      <c r="B81" s="122"/>
      <c r="C81" s="138"/>
      <c r="D81" s="23" t="s">
        <v>77</v>
      </c>
      <c r="E81" s="2" t="s">
        <v>43</v>
      </c>
      <c r="F81" s="31">
        <v>1</v>
      </c>
      <c r="G81" s="140"/>
      <c r="H81" s="73" t="str">
        <f>IFERROR(1/(1/
SUM(
N(VLOOKUP(D81&amp;F81,'Budgeted Projections Intl HC'!D:T,16,FALSE)),
N(VLOOKUP(D81&amp;F81,'Budgeted Projections Intl HC'!D:T,17,FALSE))
)
),"")</f>
        <v/>
      </c>
      <c r="I81" s="73" t="str">
        <f>IFERROR(1/(1/COUNTIFS(
'YearB-AppDetails Current Date'!A:A,D81,
'YearB-AppDetails Current Date'!F:F,E81,
'YearB-AppDetails Current Date'!E:E,--F81,
'YearB-AppDetails Current Date'!I:I,"SPRING")), "")</f>
        <v/>
      </c>
      <c r="J81" s="74" t="str" cm="1">
        <f t="array" ref="J81">IFERROR(1/(1/SUM(COUNTIFS(
'YearB-AppDetails Current Date'!A:A,D81,
'YearB-AppDetails Current Date'!F:F,E81,
'YearB-AppDetails Current Date'!E:E,--F81,
'YearB-AppDetails Current Date'!O:O,{"ACLN","ACPT","COND"},
'YearB-AppDetails Current Date'!S:S,"&lt;&gt;ACLN",
'YearB-AppDetails Current Date'!S:S,"&lt;&gt;ACPT",
'YearB-AppDetails Current Date'!S:S,"&lt;&gt;COND",
'YearB-AppDetails Current Date'!I:I,"SPRING"))), "")</f>
        <v/>
      </c>
      <c r="K81" s="73" t="str">
        <f>IFERROR(1/(1/SUM(COUNTIFS(
'YearB-AppDetails Current Date'!A:A,D81,
'YearB-AppDetails Current Date'!F:F,E81,
'YearB-AppDetails Current Date'!E:E,--F81,
'YearB-AppDetails Current Date'!R:R,"&lt;&gt;"&amp;"",
'YearB-AppDetails Current Date'!I:I,"SPRING"))), "")</f>
        <v/>
      </c>
      <c r="L81" s="74" t="str" cm="1">
        <f t="array" ref="L81">IFERROR(1/(1/SUM(COUNTIFS(
'YearB-AppDetails Current Date'!A:A,D81,
'YearB-AppDetails Current Date'!F:F,E81,
'YearB-AppDetails Current Date'!E:E,--F81,
'YearB-AppDetails Current Date'!T:T,{"APEX","DENY","NTSL"},
'YearB-AppDetails Current Date'!I:I,"SPRING"))), "")</f>
        <v/>
      </c>
      <c r="M81" s="74" t="str" cm="1">
        <f t="array" ref="M81">IFERROR(1/(1/SUM(COUNTIFS(
'YearB-AppDetails Current Date'!A:A,D81,
'YearB-AppDetails Current Date'!F:F,E81,
'YearB-AppDetails Current Date'!E:E,--F81,
'YearB-AppDetails Current Date'!U:U,{"CCAN","DECL"},
'YearB-AppDetails Current Date'!I:I,"SPRING"))), "")</f>
        <v/>
      </c>
      <c r="N81" s="74" t="str" cm="1">
        <f t="array" ref="N81">IFERROR(1/(1/SUM(COUNTIFS(
'YearB-AppDetails Current Date'!A:A,D81,
'YearB-AppDetails Current Date'!F:F,E81,
'YearB-AppDetails Current Date'!E:E,--F81,
'YearB-AppDetails Current Date'!V:V,{"APRO","NODE"},
'YearB-AppDetails Current Date'!I:I,"SPRING"))), "")</f>
        <v/>
      </c>
      <c r="O81" s="74" t="str" cm="1">
        <f t="array" ref="O81">IFERROR(1/(1/SUM(COUNTIFS(
'YearB-AppDetails Current Date'!A:A,D81,
'YearB-AppDetails Current Date'!F:F,E81,
'YearB-AppDetails Current Date'!E:E,--F81,
'YearB-AppDetails Current Date'!T:T,{"CDMT","RQMT","WAIT"},
'YearB-AppDetails Current Date'!I:I,"SPRING"))), "")</f>
        <v/>
      </c>
      <c r="P81" s="74" t="str">
        <f>IFERROR(1/(1/COUNTIFS(
'YearB-AppDetails Current Date'!A:A,D81,
'YearB-AppDetails Current Date'!F:F,E81,
'YearB-AppDetails Current Date'!E:E,--F81,
'YearB-AppDetails Current Date'!Y:Y,"ENRO",
'YearB-AppDetails Current Date'!I:I,"SPRING")), "")</f>
        <v/>
      </c>
      <c r="Q81" s="3" t="str">
        <f t="shared" si="8"/>
        <v/>
      </c>
    </row>
    <row r="82" spans="1:17" ht="15.75" customHeight="1" x14ac:dyDescent="0.25">
      <c r="A82" s="119"/>
      <c r="B82" s="122"/>
      <c r="C82" s="138"/>
      <c r="D82" s="23" t="s">
        <v>77</v>
      </c>
      <c r="E82" s="2" t="s">
        <v>42</v>
      </c>
      <c r="F82" s="42">
        <v>2</v>
      </c>
      <c r="G82" s="139" t="s">
        <v>48</v>
      </c>
      <c r="H82" s="73" t="str">
        <f>IFERROR(1/(1/
SUM(
N(VLOOKUP(D82&amp;F82,'Budgeted Projections Dom HC'!D:T,16,FALSE)),
N(VLOOKUP(D82&amp;F82,'Budgeted Projections Dom HC'!D:T,17,FALSE))
)
),"")</f>
        <v/>
      </c>
      <c r="I82" s="73" t="str">
        <f>IFERROR(1/(1/COUNTIFS(
'YearB-AppDetails Current Date'!A:A,D82,
'YearB-AppDetails Current Date'!F:F,E82,
'YearB-AppDetails Current Date'!E:E,--F82,
'YearB-AppDetails Current Date'!I:I,"SPRING")), "")</f>
        <v/>
      </c>
      <c r="J82" s="74" t="str" cm="1">
        <f t="array" ref="J82">IFERROR(1/(1/SUM(COUNTIFS(
'YearB-AppDetails Current Date'!A:A,D82,
'YearB-AppDetails Current Date'!F:F,E82,
'YearB-AppDetails Current Date'!E:E,--F82,
'YearB-AppDetails Current Date'!O:O,{"ACLN","ACPT","COND"},
'YearB-AppDetails Current Date'!S:S,"&lt;&gt;ACLN",
'YearB-AppDetails Current Date'!S:S,"&lt;&gt;ACPT",
'YearB-AppDetails Current Date'!S:S,"&lt;&gt;COND",
'YearB-AppDetails Current Date'!I:I,"SPRING"))), "")</f>
        <v/>
      </c>
      <c r="K82" s="73" t="str">
        <f>IFERROR(1/(1/SUM(COUNTIFS(
'YearB-AppDetails Current Date'!A:A,D82,
'YearB-AppDetails Current Date'!F:F,E82,
'YearB-AppDetails Current Date'!E:E,--F82,
'YearB-AppDetails Current Date'!R:R,"&lt;&gt;"&amp;"",
'YearB-AppDetails Current Date'!I:I,"SPRING"))), "")</f>
        <v/>
      </c>
      <c r="L82" s="74" t="str" cm="1">
        <f t="array" ref="L82">IFERROR(1/(1/SUM(COUNTIFS(
'YearB-AppDetails Current Date'!A:A,D82,
'YearB-AppDetails Current Date'!F:F,E82,
'YearB-AppDetails Current Date'!E:E,--F82,
'YearB-AppDetails Current Date'!T:T,{"APEX","DENY","NTSL"},
'YearB-AppDetails Current Date'!I:I,"SPRING"))), "")</f>
        <v/>
      </c>
      <c r="M82" s="74" t="str" cm="1">
        <f t="array" ref="M82">IFERROR(1/(1/SUM(COUNTIFS(
'YearB-AppDetails Current Date'!A:A,D82,
'YearB-AppDetails Current Date'!F:F,E82,
'YearB-AppDetails Current Date'!E:E,--F82,
'YearB-AppDetails Current Date'!U:U,{"CCAN","DECL"},
'YearB-AppDetails Current Date'!I:I,"SPRING"))), "")</f>
        <v/>
      </c>
      <c r="N82" s="74" t="str" cm="1">
        <f t="array" ref="N82">IFERROR(1/(1/SUM(COUNTIFS(
'YearB-AppDetails Current Date'!A:A,D82,
'YearB-AppDetails Current Date'!F:F,E82,
'YearB-AppDetails Current Date'!E:E,--F82,
'YearB-AppDetails Current Date'!V:V,{"APRO","NODE"},
'YearB-AppDetails Current Date'!I:I,"SPRING"))), "")</f>
        <v/>
      </c>
      <c r="O82" s="74" t="str" cm="1">
        <f t="array" ref="O82">IFERROR(1/(1/SUM(COUNTIFS(
'YearB-AppDetails Current Date'!A:A,D82,
'YearB-AppDetails Current Date'!F:F,E82,
'YearB-AppDetails Current Date'!E:E,--F82,
'YearB-AppDetails Current Date'!T:T,{"CDMT","RQMT","WAIT"},
'YearB-AppDetails Current Date'!I:I,"SPRING"))), "")</f>
        <v/>
      </c>
      <c r="P82" s="74" t="str">
        <f>IFERROR(1/(1/COUNTIFS(
'YearB-AppDetails Current Date'!A:A,D82,
'YearB-AppDetails Current Date'!F:F,E82,
'YearB-AppDetails Current Date'!E:E,--F82,
'YearB-AppDetails Current Date'!Y:Y,"ENRO",
'YearB-AppDetails Current Date'!I:I,"SPRING")), "")</f>
        <v/>
      </c>
      <c r="Q82" s="3" t="str">
        <f t="shared" si="8"/>
        <v/>
      </c>
    </row>
    <row r="83" spans="1:17" ht="15.75" customHeight="1" x14ac:dyDescent="0.25">
      <c r="A83" s="119"/>
      <c r="B83" s="122"/>
      <c r="C83" s="125"/>
      <c r="D83" s="23" t="s">
        <v>77</v>
      </c>
      <c r="E83" s="2" t="s">
        <v>43</v>
      </c>
      <c r="F83" s="31">
        <v>2</v>
      </c>
      <c r="G83" s="140"/>
      <c r="H83" s="73" t="str">
        <f>IFERROR(1/(1/
SUM(
N(VLOOKUP(D83&amp;F83,'Budgeted Projections Intl HC'!D:T,16,FALSE)),
N(VLOOKUP(D83&amp;F83,'Budgeted Projections Intl HC'!D:T,17,FALSE))
)
),"")</f>
        <v/>
      </c>
      <c r="I83" s="73" t="str">
        <f>IFERROR(1/(1/COUNTIFS(
'YearB-AppDetails Current Date'!A:A,D83,
'YearB-AppDetails Current Date'!F:F,E83,
'YearB-AppDetails Current Date'!E:E,--F83,
'YearB-AppDetails Current Date'!I:I,"SPRING")), "")</f>
        <v/>
      </c>
      <c r="J83" s="74" t="str" cm="1">
        <f t="array" ref="J83">IFERROR(1/(1/SUM(COUNTIFS(
'YearB-AppDetails Current Date'!A:A,D83,
'YearB-AppDetails Current Date'!F:F,E83,
'YearB-AppDetails Current Date'!E:E,--F83,
'YearB-AppDetails Current Date'!O:O,{"ACLN","ACPT","COND"},
'YearB-AppDetails Current Date'!S:S,"&lt;&gt;ACLN",
'YearB-AppDetails Current Date'!S:S,"&lt;&gt;ACPT",
'YearB-AppDetails Current Date'!S:S,"&lt;&gt;COND",
'YearB-AppDetails Current Date'!I:I,"SPRING"))), "")</f>
        <v/>
      </c>
      <c r="K83" s="73" t="str">
        <f>IFERROR(1/(1/SUM(COUNTIFS(
'YearB-AppDetails Current Date'!A:A,D83,
'YearB-AppDetails Current Date'!F:F,E83,
'YearB-AppDetails Current Date'!E:E,--F83,
'YearB-AppDetails Current Date'!R:R,"&lt;&gt;"&amp;"",
'YearB-AppDetails Current Date'!I:I,"SPRING"))), "")</f>
        <v/>
      </c>
      <c r="L83" s="74" t="str" cm="1">
        <f t="array" ref="L83">IFERROR(1/(1/SUM(COUNTIFS(
'YearB-AppDetails Current Date'!A:A,D83,
'YearB-AppDetails Current Date'!F:F,E83,
'YearB-AppDetails Current Date'!E:E,--F83,
'YearB-AppDetails Current Date'!T:T,{"APEX","DENY","NTSL"},
'YearB-AppDetails Current Date'!I:I,"SPRING"))), "")</f>
        <v/>
      </c>
      <c r="M83" s="74" t="str" cm="1">
        <f t="array" ref="M83">IFERROR(1/(1/SUM(COUNTIFS(
'YearB-AppDetails Current Date'!A:A,D83,
'YearB-AppDetails Current Date'!F:F,E83,
'YearB-AppDetails Current Date'!E:E,--F83,
'YearB-AppDetails Current Date'!U:U,{"CCAN","DECL"},
'YearB-AppDetails Current Date'!I:I,"SPRING"))), "")</f>
        <v/>
      </c>
      <c r="N83" s="74" t="str" cm="1">
        <f t="array" ref="N83">IFERROR(1/(1/SUM(COUNTIFS(
'YearB-AppDetails Current Date'!A:A,D83,
'YearB-AppDetails Current Date'!F:F,E83,
'YearB-AppDetails Current Date'!E:E,--F83,
'YearB-AppDetails Current Date'!V:V,{"APRO","NODE"},
'YearB-AppDetails Current Date'!I:I,"SPRING"))), "")</f>
        <v/>
      </c>
      <c r="O83" s="74" t="str" cm="1">
        <f t="array" ref="O83">IFERROR(1/(1/SUM(COUNTIFS(
'YearB-AppDetails Current Date'!A:A,D83,
'YearB-AppDetails Current Date'!F:F,E83,
'YearB-AppDetails Current Date'!E:E,--F83,
'YearB-AppDetails Current Date'!T:T,{"CDMT","RQMT","WAIT"},
'YearB-AppDetails Current Date'!I:I,"SPRING"))), "")</f>
        <v/>
      </c>
      <c r="P83" s="74" t="str">
        <f>IFERROR(1/(1/COUNTIFS(
'YearB-AppDetails Current Date'!A:A,D83,
'YearB-AppDetails Current Date'!F:F,E83,
'YearB-AppDetails Current Date'!E:E,--F83,
'YearB-AppDetails Current Date'!Y:Y,"ENRO",
'YearB-AppDetails Current Date'!I:I,"SPRING")), "")</f>
        <v/>
      </c>
      <c r="Q83" s="3" t="str">
        <f t="shared" si="8"/>
        <v/>
      </c>
    </row>
    <row r="84" spans="1:17" ht="15.75" customHeight="1" x14ac:dyDescent="0.25">
      <c r="A84" s="119"/>
      <c r="B84" s="122"/>
      <c r="C84" s="124" t="s">
        <v>290</v>
      </c>
      <c r="D84" s="26" t="s">
        <v>78</v>
      </c>
      <c r="E84" s="2" t="s">
        <v>42</v>
      </c>
      <c r="F84" s="42">
        <v>1</v>
      </c>
      <c r="G84" s="139" t="s">
        <v>48</v>
      </c>
      <c r="H84" s="73" t="str">
        <f>IFERROR(1/(1/
SUM(
N(VLOOKUP(D84&amp;F84,'Budgeted Projections Dom HC'!D:T,16,FALSE)),
N(VLOOKUP(D84&amp;F84,'Budgeted Projections Dom HC'!D:T,17,FALSE))
)
),"")</f>
        <v/>
      </c>
      <c r="I84" s="73" t="str">
        <f>IFERROR(1/(1/COUNTIFS(
'YearB-AppDetails Current Date'!A:A,D84,
'YearB-AppDetails Current Date'!F:F,E84,
'YearB-AppDetails Current Date'!E:E,--F84,
'YearB-AppDetails Current Date'!I:I,"SPRING")), "")</f>
        <v/>
      </c>
      <c r="J84" s="74" t="str" cm="1">
        <f t="array" ref="J84">IFERROR(1/(1/SUM(COUNTIFS(
'YearB-AppDetails Current Date'!A:A,D84,
'YearB-AppDetails Current Date'!F:F,E84,
'YearB-AppDetails Current Date'!E:E,--F84,
'YearB-AppDetails Current Date'!O:O,{"ACLN","ACPT","COND"},
'YearB-AppDetails Current Date'!S:S,"&lt;&gt;ACLN",
'YearB-AppDetails Current Date'!S:S,"&lt;&gt;ACPT",
'YearB-AppDetails Current Date'!S:S,"&lt;&gt;COND",
'YearB-AppDetails Current Date'!I:I,"SPRING"))), "")</f>
        <v/>
      </c>
      <c r="K84" s="73" t="str">
        <f>IFERROR(1/(1/SUM(COUNTIFS(
'YearB-AppDetails Current Date'!A:A,D84,
'YearB-AppDetails Current Date'!F:F,E84,
'YearB-AppDetails Current Date'!E:E,--F84,
'YearB-AppDetails Current Date'!R:R,"&lt;&gt;"&amp;"",
'YearB-AppDetails Current Date'!I:I,"SPRING"))), "")</f>
        <v/>
      </c>
      <c r="L84" s="74" t="str" cm="1">
        <f t="array" ref="L84">IFERROR(1/(1/SUM(COUNTIFS(
'YearB-AppDetails Current Date'!A:A,D84,
'YearB-AppDetails Current Date'!F:F,E84,
'YearB-AppDetails Current Date'!E:E,--F84,
'YearB-AppDetails Current Date'!T:T,{"APEX","DENY","NTSL"},
'YearB-AppDetails Current Date'!I:I,"SPRING"))), "")</f>
        <v/>
      </c>
      <c r="M84" s="74" t="str" cm="1">
        <f t="array" ref="M84">IFERROR(1/(1/SUM(COUNTIFS(
'YearB-AppDetails Current Date'!A:A,D84,
'YearB-AppDetails Current Date'!F:F,E84,
'YearB-AppDetails Current Date'!E:E,--F84,
'YearB-AppDetails Current Date'!U:U,{"CCAN","DECL"},
'YearB-AppDetails Current Date'!I:I,"SPRING"))), "")</f>
        <v/>
      </c>
      <c r="N84" s="74" t="str" cm="1">
        <f t="array" ref="N84">IFERROR(1/(1/SUM(COUNTIFS(
'YearB-AppDetails Current Date'!A:A,D84,
'YearB-AppDetails Current Date'!F:F,E84,
'YearB-AppDetails Current Date'!E:E,--F84,
'YearB-AppDetails Current Date'!V:V,{"APRO","NODE"},
'YearB-AppDetails Current Date'!I:I,"SPRING"))), "")</f>
        <v/>
      </c>
      <c r="O84" s="74" t="str" cm="1">
        <f t="array" ref="O84">IFERROR(1/(1/SUM(COUNTIFS(
'YearB-AppDetails Current Date'!A:A,D84,
'YearB-AppDetails Current Date'!F:F,E84,
'YearB-AppDetails Current Date'!E:E,--F84,
'YearB-AppDetails Current Date'!T:T,{"CDMT","RQMT","WAIT"},
'YearB-AppDetails Current Date'!I:I,"SPRING"))), "")</f>
        <v/>
      </c>
      <c r="P84" s="74" t="str">
        <f>IFERROR(1/(1/COUNTIFS(
'YearB-AppDetails Current Date'!A:A,D84,
'YearB-AppDetails Current Date'!F:F,E84,
'YearB-AppDetails Current Date'!E:E,--F84,
'YearB-AppDetails Current Date'!Y:Y,"ENRO",
'YearB-AppDetails Current Date'!I:I,"SPRING")), "")</f>
        <v/>
      </c>
      <c r="Q84" s="3" t="str">
        <f t="shared" si="8"/>
        <v/>
      </c>
    </row>
    <row r="85" spans="1:17" ht="15.75" customHeight="1" x14ac:dyDescent="0.25">
      <c r="A85" s="119"/>
      <c r="B85" s="122"/>
      <c r="C85" s="138"/>
      <c r="D85" s="26" t="s">
        <v>78</v>
      </c>
      <c r="E85" s="2" t="s">
        <v>43</v>
      </c>
      <c r="F85" s="31">
        <v>1</v>
      </c>
      <c r="G85" s="140"/>
      <c r="H85" s="73" t="str">
        <f>IFERROR(1/(1/
SUM(
N(VLOOKUP(D85&amp;F85,'Budgeted Projections Intl HC'!D:T,16,FALSE)),
N(VLOOKUP(D85&amp;F85,'Budgeted Projections Intl HC'!D:T,17,FALSE))
)
),"")</f>
        <v/>
      </c>
      <c r="I85" s="73" t="str">
        <f>IFERROR(1/(1/COUNTIFS(
'YearB-AppDetails Current Date'!A:A,D85,
'YearB-AppDetails Current Date'!F:F,E85,
'YearB-AppDetails Current Date'!E:E,--F85,
'YearB-AppDetails Current Date'!I:I,"SPRING")), "")</f>
        <v/>
      </c>
      <c r="J85" s="74" t="str" cm="1">
        <f t="array" ref="J85">IFERROR(1/(1/SUM(COUNTIFS(
'YearB-AppDetails Current Date'!A:A,D85,
'YearB-AppDetails Current Date'!F:F,E85,
'YearB-AppDetails Current Date'!E:E,--F85,
'YearB-AppDetails Current Date'!O:O,{"ACLN","ACPT","COND"},
'YearB-AppDetails Current Date'!S:S,"&lt;&gt;ACLN",
'YearB-AppDetails Current Date'!S:S,"&lt;&gt;ACPT",
'YearB-AppDetails Current Date'!S:S,"&lt;&gt;COND",
'YearB-AppDetails Current Date'!I:I,"SPRING"))), "")</f>
        <v/>
      </c>
      <c r="K85" s="73" t="str">
        <f>IFERROR(1/(1/SUM(COUNTIFS(
'YearB-AppDetails Current Date'!A:A,D85,
'YearB-AppDetails Current Date'!F:F,E85,
'YearB-AppDetails Current Date'!E:E,--F85,
'YearB-AppDetails Current Date'!R:R,"&lt;&gt;"&amp;"",
'YearB-AppDetails Current Date'!I:I,"SPRING"))), "")</f>
        <v/>
      </c>
      <c r="L85" s="74" t="str" cm="1">
        <f t="array" ref="L85">IFERROR(1/(1/SUM(COUNTIFS(
'YearB-AppDetails Current Date'!A:A,D85,
'YearB-AppDetails Current Date'!F:F,E85,
'YearB-AppDetails Current Date'!E:E,--F85,
'YearB-AppDetails Current Date'!T:T,{"APEX","DENY","NTSL"},
'YearB-AppDetails Current Date'!I:I,"SPRING"))), "")</f>
        <v/>
      </c>
      <c r="M85" s="74" t="str" cm="1">
        <f t="array" ref="M85">IFERROR(1/(1/SUM(COUNTIFS(
'YearB-AppDetails Current Date'!A:A,D85,
'YearB-AppDetails Current Date'!F:F,E85,
'YearB-AppDetails Current Date'!E:E,--F85,
'YearB-AppDetails Current Date'!U:U,{"CCAN","DECL"},
'YearB-AppDetails Current Date'!I:I,"SPRING"))), "")</f>
        <v/>
      </c>
      <c r="N85" s="74" t="str" cm="1">
        <f t="array" ref="N85">IFERROR(1/(1/SUM(COUNTIFS(
'YearB-AppDetails Current Date'!A:A,D85,
'YearB-AppDetails Current Date'!F:F,E85,
'YearB-AppDetails Current Date'!E:E,--F85,
'YearB-AppDetails Current Date'!V:V,{"APRO","NODE"},
'YearB-AppDetails Current Date'!I:I,"SPRING"))), "")</f>
        <v/>
      </c>
      <c r="O85" s="74" t="str" cm="1">
        <f t="array" ref="O85">IFERROR(1/(1/SUM(COUNTIFS(
'YearB-AppDetails Current Date'!A:A,D85,
'YearB-AppDetails Current Date'!F:F,E85,
'YearB-AppDetails Current Date'!E:E,--F85,
'YearB-AppDetails Current Date'!T:T,{"CDMT","RQMT","WAIT"},
'YearB-AppDetails Current Date'!I:I,"SPRING"))), "")</f>
        <v/>
      </c>
      <c r="P85" s="74" t="str">
        <f>IFERROR(1/(1/COUNTIFS(
'YearB-AppDetails Current Date'!A:A,D85,
'YearB-AppDetails Current Date'!F:F,E85,
'YearB-AppDetails Current Date'!E:E,--F85,
'YearB-AppDetails Current Date'!Y:Y,"ENRO",
'YearB-AppDetails Current Date'!I:I,"SPRING")), "")</f>
        <v/>
      </c>
      <c r="Q85" s="3" t="str">
        <f t="shared" si="8"/>
        <v/>
      </c>
    </row>
    <row r="86" spans="1:17" ht="15.75" customHeight="1" x14ac:dyDescent="0.25">
      <c r="A86" s="119"/>
      <c r="B86" s="122"/>
      <c r="C86" s="138"/>
      <c r="D86" s="26" t="s">
        <v>78</v>
      </c>
      <c r="E86" s="2" t="s">
        <v>42</v>
      </c>
      <c r="F86" s="42">
        <v>2</v>
      </c>
      <c r="G86" s="139" t="s">
        <v>48</v>
      </c>
      <c r="H86" s="73" t="str">
        <f>IFERROR(1/(1/
SUM(
N(VLOOKUP(D86&amp;F86,'Budgeted Projections Dom HC'!D:T,16,FALSE)),
N(VLOOKUP(D86&amp;F86,'Budgeted Projections Dom HC'!D:T,17,FALSE))
)
),"")</f>
        <v/>
      </c>
      <c r="I86" s="73" t="str">
        <f>IFERROR(1/(1/COUNTIFS(
'YearB-AppDetails Current Date'!A:A,D86,
'YearB-AppDetails Current Date'!F:F,E86,
'YearB-AppDetails Current Date'!E:E,--F86,
'YearB-AppDetails Current Date'!I:I,"SPRING")), "")</f>
        <v/>
      </c>
      <c r="J86" s="74" t="str" cm="1">
        <f t="array" ref="J86">IFERROR(1/(1/SUM(COUNTIFS(
'YearB-AppDetails Current Date'!A:A,D86,
'YearB-AppDetails Current Date'!F:F,E86,
'YearB-AppDetails Current Date'!E:E,--F86,
'YearB-AppDetails Current Date'!O:O,{"ACLN","ACPT","COND"},
'YearB-AppDetails Current Date'!S:S,"&lt;&gt;ACLN",
'YearB-AppDetails Current Date'!S:S,"&lt;&gt;ACPT",
'YearB-AppDetails Current Date'!S:S,"&lt;&gt;COND",
'YearB-AppDetails Current Date'!I:I,"SPRING"))), "")</f>
        <v/>
      </c>
      <c r="K86" s="73" t="str">
        <f>IFERROR(1/(1/SUM(COUNTIFS(
'YearB-AppDetails Current Date'!A:A,D86,
'YearB-AppDetails Current Date'!F:F,E86,
'YearB-AppDetails Current Date'!E:E,--F86,
'YearB-AppDetails Current Date'!R:R,"&lt;&gt;"&amp;"",
'YearB-AppDetails Current Date'!I:I,"SPRING"))), "")</f>
        <v/>
      </c>
      <c r="L86" s="74" t="str" cm="1">
        <f t="array" ref="L86">IFERROR(1/(1/SUM(COUNTIFS(
'YearB-AppDetails Current Date'!A:A,D86,
'YearB-AppDetails Current Date'!F:F,E86,
'YearB-AppDetails Current Date'!E:E,--F86,
'YearB-AppDetails Current Date'!T:T,{"APEX","DENY","NTSL"},
'YearB-AppDetails Current Date'!I:I,"SPRING"))), "")</f>
        <v/>
      </c>
      <c r="M86" s="74" t="str" cm="1">
        <f t="array" ref="M86">IFERROR(1/(1/SUM(COUNTIFS(
'YearB-AppDetails Current Date'!A:A,D86,
'YearB-AppDetails Current Date'!F:F,E86,
'YearB-AppDetails Current Date'!E:E,--F86,
'YearB-AppDetails Current Date'!U:U,{"CCAN","DECL"},
'YearB-AppDetails Current Date'!I:I,"SPRING"))), "")</f>
        <v/>
      </c>
      <c r="N86" s="74" t="str" cm="1">
        <f t="array" ref="N86">IFERROR(1/(1/SUM(COUNTIFS(
'YearB-AppDetails Current Date'!A:A,D86,
'YearB-AppDetails Current Date'!F:F,E86,
'YearB-AppDetails Current Date'!E:E,--F86,
'YearB-AppDetails Current Date'!V:V,{"APRO","NODE"},
'YearB-AppDetails Current Date'!I:I,"SPRING"))), "")</f>
        <v/>
      </c>
      <c r="O86" s="74" t="str" cm="1">
        <f t="array" ref="O86">IFERROR(1/(1/SUM(COUNTIFS(
'YearB-AppDetails Current Date'!A:A,D86,
'YearB-AppDetails Current Date'!F:F,E86,
'YearB-AppDetails Current Date'!E:E,--F86,
'YearB-AppDetails Current Date'!T:T,{"CDMT","RQMT","WAIT"},
'YearB-AppDetails Current Date'!I:I,"SPRING"))), "")</f>
        <v/>
      </c>
      <c r="P86" s="74" t="str">
        <f>IFERROR(1/(1/COUNTIFS(
'YearB-AppDetails Current Date'!A:A,D86,
'YearB-AppDetails Current Date'!F:F,E86,
'YearB-AppDetails Current Date'!E:E,--F86,
'YearB-AppDetails Current Date'!Y:Y,"ENRO",
'YearB-AppDetails Current Date'!I:I,"SPRING")), "")</f>
        <v/>
      </c>
      <c r="Q86" s="3" t="str">
        <f t="shared" si="8"/>
        <v/>
      </c>
    </row>
    <row r="87" spans="1:17" ht="15.75" customHeight="1" x14ac:dyDescent="0.25">
      <c r="A87" s="119"/>
      <c r="B87" s="122"/>
      <c r="C87" s="125"/>
      <c r="D87" s="26" t="s">
        <v>78</v>
      </c>
      <c r="E87" s="2" t="s">
        <v>43</v>
      </c>
      <c r="F87" s="31">
        <v>2</v>
      </c>
      <c r="G87" s="146"/>
      <c r="H87" s="73" t="str">
        <f>IFERROR(1/(1/
SUM(
N(VLOOKUP(D87&amp;F87,'Budgeted Projections Intl HC'!D:T,16,FALSE)),
N(VLOOKUP(D87&amp;F87,'Budgeted Projections Intl HC'!D:T,17,FALSE))
)
),"")</f>
        <v/>
      </c>
      <c r="I87" s="73" t="str">
        <f>IFERROR(1/(1/COUNTIFS(
'YearB-AppDetails Current Date'!A:A,D87,
'YearB-AppDetails Current Date'!F:F,E87,
'YearB-AppDetails Current Date'!E:E,--F87,
'YearB-AppDetails Current Date'!I:I,"SPRING")), "")</f>
        <v/>
      </c>
      <c r="J87" s="74" t="str" cm="1">
        <f t="array" ref="J87">IFERROR(1/(1/SUM(COUNTIFS(
'YearB-AppDetails Current Date'!A:A,D87,
'YearB-AppDetails Current Date'!F:F,E87,
'YearB-AppDetails Current Date'!E:E,--F87,
'YearB-AppDetails Current Date'!O:O,{"ACLN","ACPT","COND"},
'YearB-AppDetails Current Date'!S:S,"&lt;&gt;ACLN",
'YearB-AppDetails Current Date'!S:S,"&lt;&gt;ACPT",
'YearB-AppDetails Current Date'!S:S,"&lt;&gt;COND",
'YearB-AppDetails Current Date'!I:I,"SPRING"))), "")</f>
        <v/>
      </c>
      <c r="K87" s="73" t="str">
        <f>IFERROR(1/(1/SUM(COUNTIFS(
'YearB-AppDetails Current Date'!A:A,D87,
'YearB-AppDetails Current Date'!F:F,E87,
'YearB-AppDetails Current Date'!E:E,--F87,
'YearB-AppDetails Current Date'!R:R,"&lt;&gt;"&amp;"",
'YearB-AppDetails Current Date'!I:I,"SPRING"))), "")</f>
        <v/>
      </c>
      <c r="L87" s="74" t="str" cm="1">
        <f t="array" ref="L87">IFERROR(1/(1/SUM(COUNTIFS(
'YearB-AppDetails Current Date'!A:A,D87,
'YearB-AppDetails Current Date'!F:F,E87,
'YearB-AppDetails Current Date'!E:E,--F87,
'YearB-AppDetails Current Date'!T:T,{"APEX","DENY","NTSL"},
'YearB-AppDetails Current Date'!I:I,"SPRING"))), "")</f>
        <v/>
      </c>
      <c r="M87" s="74" t="str" cm="1">
        <f t="array" ref="M87">IFERROR(1/(1/SUM(COUNTIFS(
'YearB-AppDetails Current Date'!A:A,D87,
'YearB-AppDetails Current Date'!F:F,E87,
'YearB-AppDetails Current Date'!E:E,--F87,
'YearB-AppDetails Current Date'!U:U,{"CCAN","DECL"},
'YearB-AppDetails Current Date'!I:I,"SPRING"))), "")</f>
        <v/>
      </c>
      <c r="N87" s="74" t="str" cm="1">
        <f t="array" ref="N87">IFERROR(1/(1/SUM(COUNTIFS(
'YearB-AppDetails Current Date'!A:A,D87,
'YearB-AppDetails Current Date'!F:F,E87,
'YearB-AppDetails Current Date'!E:E,--F87,
'YearB-AppDetails Current Date'!V:V,{"APRO","NODE"},
'YearB-AppDetails Current Date'!I:I,"SPRING"))), "")</f>
        <v/>
      </c>
      <c r="O87" s="74" t="str" cm="1">
        <f t="array" ref="O87">IFERROR(1/(1/SUM(COUNTIFS(
'YearB-AppDetails Current Date'!A:A,D87,
'YearB-AppDetails Current Date'!F:F,E87,
'YearB-AppDetails Current Date'!E:E,--F87,
'YearB-AppDetails Current Date'!T:T,{"CDMT","RQMT","WAIT"},
'YearB-AppDetails Current Date'!I:I,"SPRING"))), "")</f>
        <v/>
      </c>
      <c r="P87" s="74" t="str">
        <f>IFERROR(1/(1/COUNTIFS(
'YearB-AppDetails Current Date'!A:A,D87,
'YearB-AppDetails Current Date'!F:F,E87,
'YearB-AppDetails Current Date'!E:E,--F87,
'YearB-AppDetails Current Date'!Y:Y,"ENRO",
'YearB-AppDetails Current Date'!I:I,"SPRING")), "")</f>
        <v/>
      </c>
      <c r="Q87" s="3" t="str">
        <f t="shared" si="8"/>
        <v/>
      </c>
    </row>
    <row r="88" spans="1:17" ht="15.75" customHeight="1" x14ac:dyDescent="0.25">
      <c r="A88" s="119"/>
      <c r="B88" s="122"/>
      <c r="C88" s="132" t="s">
        <v>291</v>
      </c>
      <c r="D88" s="23" t="s">
        <v>79</v>
      </c>
      <c r="E88" s="2" t="s">
        <v>42</v>
      </c>
      <c r="F88" s="24">
        <v>1</v>
      </c>
      <c r="G88" s="149" t="s">
        <v>48</v>
      </c>
      <c r="H88" s="73" t="str">
        <f>IFERROR(1/(1/
SUM(
N(VLOOKUP(D88&amp;F88,'Budgeted Projections Dom HC'!D:T,16,FALSE)),
N(VLOOKUP(D88&amp;F88,'Budgeted Projections Dom HC'!D:T,17,FALSE))
)
),"")</f>
        <v/>
      </c>
      <c r="I88" s="73" t="str">
        <f>IFERROR(1/(1/COUNTIFS(
'YearB-AppDetails Current Date'!A:A,D88,
'YearB-AppDetails Current Date'!F:F,E88,
'YearB-AppDetails Current Date'!E:E,--F88,
'YearB-AppDetails Current Date'!I:I,"SPRING")), "")</f>
        <v/>
      </c>
      <c r="J88" s="74" t="str" cm="1">
        <f t="array" ref="J88">IFERROR(1/(1/SUM(COUNTIFS(
'YearB-AppDetails Current Date'!A:A,D88,
'YearB-AppDetails Current Date'!F:F,E88,
'YearB-AppDetails Current Date'!E:E,--F88,
'YearB-AppDetails Current Date'!O:O,{"ACLN","ACPT","COND"},
'YearB-AppDetails Current Date'!S:S,"&lt;&gt;ACLN",
'YearB-AppDetails Current Date'!S:S,"&lt;&gt;ACPT",
'YearB-AppDetails Current Date'!S:S,"&lt;&gt;COND",
'YearB-AppDetails Current Date'!I:I,"SPRING"))), "")</f>
        <v/>
      </c>
      <c r="K88" s="73" t="str">
        <f>IFERROR(1/(1/SUM(COUNTIFS(
'YearB-AppDetails Current Date'!A:A,D88,
'YearB-AppDetails Current Date'!F:F,E88,
'YearB-AppDetails Current Date'!E:E,--F88,
'YearB-AppDetails Current Date'!R:R,"&lt;&gt;"&amp;"",
'YearB-AppDetails Current Date'!I:I,"SPRING"))), "")</f>
        <v/>
      </c>
      <c r="L88" s="74" t="str" cm="1">
        <f t="array" ref="L88">IFERROR(1/(1/SUM(COUNTIFS(
'YearB-AppDetails Current Date'!A:A,D88,
'YearB-AppDetails Current Date'!F:F,E88,
'YearB-AppDetails Current Date'!E:E,--F88,
'YearB-AppDetails Current Date'!T:T,{"APEX","DENY","NTSL"},
'YearB-AppDetails Current Date'!I:I,"SPRING"))), "")</f>
        <v/>
      </c>
      <c r="M88" s="74" t="str" cm="1">
        <f t="array" ref="M88">IFERROR(1/(1/SUM(COUNTIFS(
'YearB-AppDetails Current Date'!A:A,D88,
'YearB-AppDetails Current Date'!F:F,E88,
'YearB-AppDetails Current Date'!E:E,--F88,
'YearB-AppDetails Current Date'!U:U,{"CCAN","DECL"},
'YearB-AppDetails Current Date'!I:I,"SPRING"))), "")</f>
        <v/>
      </c>
      <c r="N88" s="74" t="str" cm="1">
        <f t="array" ref="N88">IFERROR(1/(1/SUM(COUNTIFS(
'YearB-AppDetails Current Date'!A:A,D88,
'YearB-AppDetails Current Date'!F:F,E88,
'YearB-AppDetails Current Date'!E:E,--F88,
'YearB-AppDetails Current Date'!V:V,{"APRO","NODE"},
'YearB-AppDetails Current Date'!I:I,"SPRING"))), "")</f>
        <v/>
      </c>
      <c r="O88" s="74" t="str" cm="1">
        <f t="array" ref="O88">IFERROR(1/(1/SUM(COUNTIFS(
'YearB-AppDetails Current Date'!A:A,D88,
'YearB-AppDetails Current Date'!F:F,E88,
'YearB-AppDetails Current Date'!E:E,--F88,
'YearB-AppDetails Current Date'!T:T,{"CDMT","RQMT","WAIT"},
'YearB-AppDetails Current Date'!I:I,"SPRING"))), "")</f>
        <v/>
      </c>
      <c r="P88" s="74" t="str">
        <f>IFERROR(1/(1/COUNTIFS(
'YearB-AppDetails Current Date'!A:A,D88,
'YearB-AppDetails Current Date'!F:F,E88,
'YearB-AppDetails Current Date'!E:E,--F88,
'YearB-AppDetails Current Date'!Y:Y,"ENRO",
'YearB-AppDetails Current Date'!I:I,"SPRING")), "")</f>
        <v/>
      </c>
      <c r="Q88" s="3" t="str">
        <f t="shared" si="8"/>
        <v/>
      </c>
    </row>
    <row r="89" spans="1:17" ht="15.75" customHeight="1" x14ac:dyDescent="0.25">
      <c r="A89" s="119"/>
      <c r="B89" s="122"/>
      <c r="C89" s="145"/>
      <c r="D89" s="23" t="s">
        <v>79</v>
      </c>
      <c r="E89" s="2" t="s">
        <v>43</v>
      </c>
      <c r="F89" s="31">
        <v>1</v>
      </c>
      <c r="G89" s="150"/>
      <c r="H89" s="73" t="str">
        <f>IFERROR(1/(1/
SUM(
N(VLOOKUP(D89&amp;F89,'Budgeted Projections Intl HC'!D:T,16,FALSE)),
N(VLOOKUP(D89&amp;F89,'Budgeted Projections Intl HC'!D:T,17,FALSE))
)
),"")</f>
        <v/>
      </c>
      <c r="I89" s="73" t="str">
        <f>IFERROR(1/(1/COUNTIFS(
'YearB-AppDetails Current Date'!A:A,D89,
'YearB-AppDetails Current Date'!F:F,E89,
'YearB-AppDetails Current Date'!E:E,--F89,
'YearB-AppDetails Current Date'!I:I,"SPRING")), "")</f>
        <v/>
      </c>
      <c r="J89" s="74" t="str" cm="1">
        <f t="array" ref="J89">IFERROR(1/(1/SUM(COUNTIFS(
'YearB-AppDetails Current Date'!A:A,D89,
'YearB-AppDetails Current Date'!F:F,E89,
'YearB-AppDetails Current Date'!E:E,--F89,
'YearB-AppDetails Current Date'!O:O,{"ACLN","ACPT","COND"},
'YearB-AppDetails Current Date'!S:S,"&lt;&gt;ACLN",
'YearB-AppDetails Current Date'!S:S,"&lt;&gt;ACPT",
'YearB-AppDetails Current Date'!S:S,"&lt;&gt;COND",
'YearB-AppDetails Current Date'!I:I,"SPRING"))), "")</f>
        <v/>
      </c>
      <c r="K89" s="73" t="str">
        <f>IFERROR(1/(1/SUM(COUNTIFS(
'YearB-AppDetails Current Date'!A:A,D89,
'YearB-AppDetails Current Date'!F:F,E89,
'YearB-AppDetails Current Date'!E:E,--F89,
'YearB-AppDetails Current Date'!R:R,"&lt;&gt;"&amp;"",
'YearB-AppDetails Current Date'!I:I,"SPRING"))), "")</f>
        <v/>
      </c>
      <c r="L89" s="74" t="str" cm="1">
        <f t="array" ref="L89">IFERROR(1/(1/SUM(COUNTIFS(
'YearB-AppDetails Current Date'!A:A,D89,
'YearB-AppDetails Current Date'!F:F,E89,
'YearB-AppDetails Current Date'!E:E,--F89,
'YearB-AppDetails Current Date'!T:T,{"APEX","DENY","NTSL"},
'YearB-AppDetails Current Date'!I:I,"SPRING"))), "")</f>
        <v/>
      </c>
      <c r="M89" s="74" t="str" cm="1">
        <f t="array" ref="M89">IFERROR(1/(1/SUM(COUNTIFS(
'YearB-AppDetails Current Date'!A:A,D89,
'YearB-AppDetails Current Date'!F:F,E89,
'YearB-AppDetails Current Date'!E:E,--F89,
'YearB-AppDetails Current Date'!U:U,{"CCAN","DECL"},
'YearB-AppDetails Current Date'!I:I,"SPRING"))), "")</f>
        <v/>
      </c>
      <c r="N89" s="74" t="str" cm="1">
        <f t="array" ref="N89">IFERROR(1/(1/SUM(COUNTIFS(
'YearB-AppDetails Current Date'!A:A,D89,
'YearB-AppDetails Current Date'!F:F,E89,
'YearB-AppDetails Current Date'!E:E,--F89,
'YearB-AppDetails Current Date'!V:V,{"APRO","NODE"},
'YearB-AppDetails Current Date'!I:I,"SPRING"))), "")</f>
        <v/>
      </c>
      <c r="O89" s="74" t="str" cm="1">
        <f t="array" ref="O89">IFERROR(1/(1/SUM(COUNTIFS(
'YearB-AppDetails Current Date'!A:A,D89,
'YearB-AppDetails Current Date'!F:F,E89,
'YearB-AppDetails Current Date'!E:E,--F89,
'YearB-AppDetails Current Date'!T:T,{"CDMT","RQMT","WAIT"},
'YearB-AppDetails Current Date'!I:I,"SPRING"))), "")</f>
        <v/>
      </c>
      <c r="P89" s="74" t="str">
        <f>IFERROR(1/(1/COUNTIFS(
'YearB-AppDetails Current Date'!A:A,D89,
'YearB-AppDetails Current Date'!F:F,E89,
'YearB-AppDetails Current Date'!E:E,--F89,
'YearB-AppDetails Current Date'!Y:Y,"ENRO",
'YearB-AppDetails Current Date'!I:I,"SPRING")), "")</f>
        <v/>
      </c>
      <c r="Q89" s="3" t="str">
        <f t="shared" si="8"/>
        <v/>
      </c>
    </row>
    <row r="90" spans="1:17" ht="15.75" customHeight="1" x14ac:dyDescent="0.25">
      <c r="A90" s="119"/>
      <c r="B90" s="122"/>
      <c r="C90" s="145"/>
      <c r="D90" s="23" t="s">
        <v>79</v>
      </c>
      <c r="E90" s="2" t="s">
        <v>42</v>
      </c>
      <c r="F90" s="24">
        <v>2</v>
      </c>
      <c r="G90" s="149" t="s">
        <v>48</v>
      </c>
      <c r="H90" s="73" t="str">
        <f>IFERROR(1/(1/
SUM(
N(VLOOKUP(D90&amp;F90,'Budgeted Projections Dom HC'!D:T,16,FALSE)),
N(VLOOKUP(D90&amp;F90,'Budgeted Projections Dom HC'!D:T,17,FALSE))
)
),"")</f>
        <v/>
      </c>
      <c r="I90" s="73" t="str">
        <f>IFERROR(1/(1/COUNTIFS(
'YearB-AppDetails Current Date'!A:A,D90,
'YearB-AppDetails Current Date'!F:F,E90,
'YearB-AppDetails Current Date'!E:E,--F90,
'YearB-AppDetails Current Date'!I:I,"SPRING")), "")</f>
        <v/>
      </c>
      <c r="J90" s="74" t="str" cm="1">
        <f t="array" ref="J90">IFERROR(1/(1/SUM(COUNTIFS(
'YearB-AppDetails Current Date'!A:A,D90,
'YearB-AppDetails Current Date'!F:F,E90,
'YearB-AppDetails Current Date'!E:E,--F90,
'YearB-AppDetails Current Date'!O:O,{"ACLN","ACPT","COND"},
'YearB-AppDetails Current Date'!S:S,"&lt;&gt;ACLN",
'YearB-AppDetails Current Date'!S:S,"&lt;&gt;ACPT",
'YearB-AppDetails Current Date'!S:S,"&lt;&gt;COND",
'YearB-AppDetails Current Date'!I:I,"SPRING"))), "")</f>
        <v/>
      </c>
      <c r="K90" s="73" t="str">
        <f>IFERROR(1/(1/SUM(COUNTIFS(
'YearB-AppDetails Current Date'!A:A,D90,
'YearB-AppDetails Current Date'!F:F,E90,
'YearB-AppDetails Current Date'!E:E,--F90,
'YearB-AppDetails Current Date'!R:R,"&lt;&gt;"&amp;"",
'YearB-AppDetails Current Date'!I:I,"SPRING"))), "")</f>
        <v/>
      </c>
      <c r="L90" s="74" t="str" cm="1">
        <f t="array" ref="L90">IFERROR(1/(1/SUM(COUNTIFS(
'YearB-AppDetails Current Date'!A:A,D90,
'YearB-AppDetails Current Date'!F:F,E90,
'YearB-AppDetails Current Date'!E:E,--F90,
'YearB-AppDetails Current Date'!T:T,{"APEX","DENY","NTSL"},
'YearB-AppDetails Current Date'!I:I,"SPRING"))), "")</f>
        <v/>
      </c>
      <c r="M90" s="74" t="str" cm="1">
        <f t="array" ref="M90">IFERROR(1/(1/SUM(COUNTIFS(
'YearB-AppDetails Current Date'!A:A,D90,
'YearB-AppDetails Current Date'!F:F,E90,
'YearB-AppDetails Current Date'!E:E,--F90,
'YearB-AppDetails Current Date'!U:U,{"CCAN","DECL"},
'YearB-AppDetails Current Date'!I:I,"SPRING"))), "")</f>
        <v/>
      </c>
      <c r="N90" s="74" t="str" cm="1">
        <f t="array" ref="N90">IFERROR(1/(1/SUM(COUNTIFS(
'YearB-AppDetails Current Date'!A:A,D90,
'YearB-AppDetails Current Date'!F:F,E90,
'YearB-AppDetails Current Date'!E:E,--F90,
'YearB-AppDetails Current Date'!V:V,{"APRO","NODE"},
'YearB-AppDetails Current Date'!I:I,"SPRING"))), "")</f>
        <v/>
      </c>
      <c r="O90" s="74" t="str" cm="1">
        <f t="array" ref="O90">IFERROR(1/(1/SUM(COUNTIFS(
'YearB-AppDetails Current Date'!A:A,D90,
'YearB-AppDetails Current Date'!F:F,E90,
'YearB-AppDetails Current Date'!E:E,--F90,
'YearB-AppDetails Current Date'!T:T,{"CDMT","RQMT","WAIT"},
'YearB-AppDetails Current Date'!I:I,"SPRING"))), "")</f>
        <v/>
      </c>
      <c r="P90" s="74" t="str">
        <f>IFERROR(1/(1/COUNTIFS(
'YearB-AppDetails Current Date'!A:A,D90,
'YearB-AppDetails Current Date'!F:F,E90,
'YearB-AppDetails Current Date'!E:E,--F90,
'YearB-AppDetails Current Date'!Y:Y,"ENRO",
'YearB-AppDetails Current Date'!I:I,"SPRING")), "")</f>
        <v/>
      </c>
      <c r="Q90" s="3" t="str">
        <f t="shared" si="8"/>
        <v/>
      </c>
    </row>
    <row r="91" spans="1:17" ht="15.75" customHeight="1" x14ac:dyDescent="0.25">
      <c r="A91" s="119"/>
      <c r="B91" s="122"/>
      <c r="C91" s="133"/>
      <c r="D91" s="23" t="s">
        <v>79</v>
      </c>
      <c r="E91" s="2" t="s">
        <v>43</v>
      </c>
      <c r="F91" s="31">
        <v>2</v>
      </c>
      <c r="G91" s="150"/>
      <c r="H91" s="73" t="str">
        <f>IFERROR(1/(1/
SUM(
N(VLOOKUP(D91&amp;F91,'Budgeted Projections Intl HC'!D:T,16,FALSE)),
N(VLOOKUP(D91&amp;F91,'Budgeted Projections Intl HC'!D:T,17,FALSE))
)
),"")</f>
        <v/>
      </c>
      <c r="I91" s="73" t="str">
        <f>IFERROR(1/(1/COUNTIFS(
'YearB-AppDetails Current Date'!A:A,D91,
'YearB-AppDetails Current Date'!F:F,E91,
'YearB-AppDetails Current Date'!E:E,--F91,
'YearB-AppDetails Current Date'!I:I,"SPRING")), "")</f>
        <v/>
      </c>
      <c r="J91" s="74" t="str" cm="1">
        <f t="array" ref="J91">IFERROR(1/(1/SUM(COUNTIFS(
'YearB-AppDetails Current Date'!A:A,D91,
'YearB-AppDetails Current Date'!F:F,E91,
'YearB-AppDetails Current Date'!E:E,--F91,
'YearB-AppDetails Current Date'!O:O,{"ACLN","ACPT","COND"},
'YearB-AppDetails Current Date'!S:S,"&lt;&gt;ACLN",
'YearB-AppDetails Current Date'!S:S,"&lt;&gt;ACPT",
'YearB-AppDetails Current Date'!S:S,"&lt;&gt;COND",
'YearB-AppDetails Current Date'!I:I,"SPRING"))), "")</f>
        <v/>
      </c>
      <c r="K91" s="73" t="str">
        <f>IFERROR(1/(1/SUM(COUNTIFS(
'YearB-AppDetails Current Date'!A:A,D91,
'YearB-AppDetails Current Date'!F:F,E91,
'YearB-AppDetails Current Date'!E:E,--F91,
'YearB-AppDetails Current Date'!R:R,"&lt;&gt;"&amp;"",
'YearB-AppDetails Current Date'!I:I,"SPRING"))), "")</f>
        <v/>
      </c>
      <c r="L91" s="74" t="str" cm="1">
        <f t="array" ref="L91">IFERROR(1/(1/SUM(COUNTIFS(
'YearB-AppDetails Current Date'!A:A,D91,
'YearB-AppDetails Current Date'!F:F,E91,
'YearB-AppDetails Current Date'!E:E,--F91,
'YearB-AppDetails Current Date'!T:T,{"APEX","DENY","NTSL"},
'YearB-AppDetails Current Date'!I:I,"SPRING"))), "")</f>
        <v/>
      </c>
      <c r="M91" s="74" t="str" cm="1">
        <f t="array" ref="M91">IFERROR(1/(1/SUM(COUNTIFS(
'YearB-AppDetails Current Date'!A:A,D91,
'YearB-AppDetails Current Date'!F:F,E91,
'YearB-AppDetails Current Date'!E:E,--F91,
'YearB-AppDetails Current Date'!U:U,{"CCAN","DECL"},
'YearB-AppDetails Current Date'!I:I,"SPRING"))), "")</f>
        <v/>
      </c>
      <c r="N91" s="74" t="str" cm="1">
        <f t="array" ref="N91">IFERROR(1/(1/SUM(COUNTIFS(
'YearB-AppDetails Current Date'!A:A,D91,
'YearB-AppDetails Current Date'!F:F,E91,
'YearB-AppDetails Current Date'!E:E,--F91,
'YearB-AppDetails Current Date'!V:V,{"APRO","NODE"},
'YearB-AppDetails Current Date'!I:I,"SPRING"))), "")</f>
        <v/>
      </c>
      <c r="O91" s="74" t="str" cm="1">
        <f t="array" ref="O91">IFERROR(1/(1/SUM(COUNTIFS(
'YearB-AppDetails Current Date'!A:A,D91,
'YearB-AppDetails Current Date'!F:F,E91,
'YearB-AppDetails Current Date'!E:E,--F91,
'YearB-AppDetails Current Date'!T:T,{"CDMT","RQMT","WAIT"},
'YearB-AppDetails Current Date'!I:I,"SPRING"))), "")</f>
        <v/>
      </c>
      <c r="P91" s="74" t="str">
        <f>IFERROR(1/(1/COUNTIFS(
'YearB-AppDetails Current Date'!A:A,D91,
'YearB-AppDetails Current Date'!F:F,E91,
'YearB-AppDetails Current Date'!E:E,--F91,
'YearB-AppDetails Current Date'!Y:Y,"ENRO",
'YearB-AppDetails Current Date'!I:I,"SPRING")), "")</f>
        <v/>
      </c>
      <c r="Q91" s="3" t="str">
        <f t="shared" si="8"/>
        <v/>
      </c>
    </row>
    <row r="92" spans="1:17" ht="15.75" customHeight="1" x14ac:dyDescent="0.25">
      <c r="A92" s="119"/>
      <c r="B92" s="122"/>
      <c r="C92" s="124" t="s">
        <v>292</v>
      </c>
      <c r="D92" s="23" t="s">
        <v>135</v>
      </c>
      <c r="E92" s="2" t="s">
        <v>42</v>
      </c>
      <c r="F92" s="42">
        <v>1</v>
      </c>
      <c r="G92" s="148" t="s">
        <v>48</v>
      </c>
      <c r="H92" s="73" t="str">
        <f>IFERROR(1/(1/
SUM(
N(VLOOKUP(D92&amp;F92,'Budgeted Projections Dom HC'!D:T,16,FALSE)),
N(VLOOKUP(D92&amp;F92,'Budgeted Projections Dom HC'!D:T,17,FALSE))
)
),"")</f>
        <v/>
      </c>
      <c r="I92" s="73" t="str">
        <f>IFERROR(1/(1/COUNTIFS(
'YearB-AppDetails Current Date'!A:A,D92,
'YearB-AppDetails Current Date'!F:F,E92,
'YearB-AppDetails Current Date'!E:E,--F92,
'YearB-AppDetails Current Date'!I:I,"SPRING")), "")</f>
        <v/>
      </c>
      <c r="J92" s="74" t="str" cm="1">
        <f t="array" ref="J92">IFERROR(1/(1/SUM(COUNTIFS(
'YearB-AppDetails Current Date'!A:A,D92,
'YearB-AppDetails Current Date'!F:F,E92,
'YearB-AppDetails Current Date'!E:E,--F92,
'YearB-AppDetails Current Date'!O:O,{"ACLN","ACPT","COND"},
'YearB-AppDetails Current Date'!S:S,"&lt;&gt;ACLN",
'YearB-AppDetails Current Date'!S:S,"&lt;&gt;ACPT",
'YearB-AppDetails Current Date'!S:S,"&lt;&gt;COND",
'YearB-AppDetails Current Date'!I:I,"SPRING"))), "")</f>
        <v/>
      </c>
      <c r="K92" s="73" t="str">
        <f>IFERROR(1/(1/SUM(COUNTIFS(
'YearB-AppDetails Current Date'!A:A,D92,
'YearB-AppDetails Current Date'!F:F,E92,
'YearB-AppDetails Current Date'!E:E,--F92,
'YearB-AppDetails Current Date'!R:R,"&lt;&gt;"&amp;"",
'YearB-AppDetails Current Date'!I:I,"SPRING"))), "")</f>
        <v/>
      </c>
      <c r="L92" s="74" t="str" cm="1">
        <f t="array" ref="L92">IFERROR(1/(1/SUM(COUNTIFS(
'YearB-AppDetails Current Date'!A:A,D92,
'YearB-AppDetails Current Date'!F:F,E92,
'YearB-AppDetails Current Date'!E:E,--F92,
'YearB-AppDetails Current Date'!T:T,{"APEX","DENY","NTSL"},
'YearB-AppDetails Current Date'!I:I,"SPRING"))), "")</f>
        <v/>
      </c>
      <c r="M92" s="74" t="str" cm="1">
        <f t="array" ref="M92">IFERROR(1/(1/SUM(COUNTIFS(
'YearB-AppDetails Current Date'!A:A,D92,
'YearB-AppDetails Current Date'!F:F,E92,
'YearB-AppDetails Current Date'!E:E,--F92,
'YearB-AppDetails Current Date'!U:U,{"CCAN","DECL"},
'YearB-AppDetails Current Date'!I:I,"SPRING"))), "")</f>
        <v/>
      </c>
      <c r="N92" s="74" t="str" cm="1">
        <f t="array" ref="N92">IFERROR(1/(1/SUM(COUNTIFS(
'YearB-AppDetails Current Date'!A:A,D92,
'YearB-AppDetails Current Date'!F:F,E92,
'YearB-AppDetails Current Date'!E:E,--F92,
'YearB-AppDetails Current Date'!V:V,{"APRO","NODE"},
'YearB-AppDetails Current Date'!I:I,"SPRING"))), "")</f>
        <v/>
      </c>
      <c r="O92" s="74" t="str" cm="1">
        <f t="array" ref="O92">IFERROR(1/(1/SUM(COUNTIFS(
'YearB-AppDetails Current Date'!A:A,D92,
'YearB-AppDetails Current Date'!F:F,E92,
'YearB-AppDetails Current Date'!E:E,--F92,
'YearB-AppDetails Current Date'!T:T,{"CDMT","RQMT","WAIT"},
'YearB-AppDetails Current Date'!I:I,"SPRING"))), "")</f>
        <v/>
      </c>
      <c r="P92" s="74" t="str">
        <f>IFERROR(1/(1/COUNTIFS(
'YearB-AppDetails Current Date'!A:A,D92,
'YearB-AppDetails Current Date'!F:F,E92,
'YearB-AppDetails Current Date'!E:E,--F92,
'YearB-AppDetails Current Date'!Y:Y,"ENRO",
'YearB-AppDetails Current Date'!I:I,"SPRING")), "")</f>
        <v/>
      </c>
      <c r="Q92" s="3" t="str">
        <f t="shared" si="8"/>
        <v/>
      </c>
    </row>
    <row r="93" spans="1:17" ht="15.75" customHeight="1" x14ac:dyDescent="0.25">
      <c r="A93" s="119"/>
      <c r="B93" s="122"/>
      <c r="C93" s="138"/>
      <c r="D93" s="23" t="s">
        <v>135</v>
      </c>
      <c r="E93" s="2" t="s">
        <v>43</v>
      </c>
      <c r="F93" s="42">
        <v>1</v>
      </c>
      <c r="G93" s="141"/>
      <c r="H93" s="73" t="str">
        <f>IFERROR(1/(1/
SUM(
N(VLOOKUP(D93&amp;F93,'Budgeted Projections Intl HC'!D:T,16,FALSE)),
N(VLOOKUP(D93&amp;F93,'Budgeted Projections Intl HC'!D:T,17,FALSE))
)
),"")</f>
        <v/>
      </c>
      <c r="I93" s="73" t="str">
        <f>IFERROR(1/(1/COUNTIFS(
'YearB-AppDetails Current Date'!A:A,D93,
'YearB-AppDetails Current Date'!F:F,E93,
'YearB-AppDetails Current Date'!E:E,--F93,
'YearB-AppDetails Current Date'!I:I,"SPRING")), "")</f>
        <v/>
      </c>
      <c r="J93" s="74" t="str" cm="1">
        <f t="array" ref="J93">IFERROR(1/(1/SUM(COUNTIFS(
'YearB-AppDetails Current Date'!A:A,D93,
'YearB-AppDetails Current Date'!F:F,E93,
'YearB-AppDetails Current Date'!E:E,--F93,
'YearB-AppDetails Current Date'!O:O,{"ACLN","ACPT","COND"},
'YearB-AppDetails Current Date'!S:S,"&lt;&gt;ACLN",
'YearB-AppDetails Current Date'!S:S,"&lt;&gt;ACPT",
'YearB-AppDetails Current Date'!S:S,"&lt;&gt;COND",
'YearB-AppDetails Current Date'!I:I,"SPRING"))), "")</f>
        <v/>
      </c>
      <c r="K93" s="73" t="str">
        <f>IFERROR(1/(1/SUM(COUNTIFS(
'YearB-AppDetails Current Date'!A:A,D93,
'YearB-AppDetails Current Date'!F:F,E93,
'YearB-AppDetails Current Date'!E:E,--F93,
'YearB-AppDetails Current Date'!R:R,"&lt;&gt;"&amp;"",
'YearB-AppDetails Current Date'!I:I,"SPRING"))), "")</f>
        <v/>
      </c>
      <c r="L93" s="74" t="str" cm="1">
        <f t="array" ref="L93">IFERROR(1/(1/SUM(COUNTIFS(
'YearB-AppDetails Current Date'!A:A,D93,
'YearB-AppDetails Current Date'!F:F,E93,
'YearB-AppDetails Current Date'!E:E,--F93,
'YearB-AppDetails Current Date'!T:T,{"APEX","DENY","NTSL"},
'YearB-AppDetails Current Date'!I:I,"SPRING"))), "")</f>
        <v/>
      </c>
      <c r="M93" s="74" t="str" cm="1">
        <f t="array" ref="M93">IFERROR(1/(1/SUM(COUNTIFS(
'YearB-AppDetails Current Date'!A:A,D93,
'YearB-AppDetails Current Date'!F:F,E93,
'YearB-AppDetails Current Date'!E:E,--F93,
'YearB-AppDetails Current Date'!U:U,{"CCAN","DECL"},
'YearB-AppDetails Current Date'!I:I,"SPRING"))), "")</f>
        <v/>
      </c>
      <c r="N93" s="74" t="str" cm="1">
        <f t="array" ref="N93">IFERROR(1/(1/SUM(COUNTIFS(
'YearB-AppDetails Current Date'!A:A,D93,
'YearB-AppDetails Current Date'!F:F,E93,
'YearB-AppDetails Current Date'!E:E,--F93,
'YearB-AppDetails Current Date'!V:V,{"APRO","NODE"},
'YearB-AppDetails Current Date'!I:I,"SPRING"))), "")</f>
        <v/>
      </c>
      <c r="O93" s="74" t="str" cm="1">
        <f t="array" ref="O93">IFERROR(1/(1/SUM(COUNTIFS(
'YearB-AppDetails Current Date'!A:A,D93,
'YearB-AppDetails Current Date'!F:F,E93,
'YearB-AppDetails Current Date'!E:E,--F93,
'YearB-AppDetails Current Date'!T:T,{"CDMT","RQMT","WAIT"},
'YearB-AppDetails Current Date'!I:I,"SPRING"))), "")</f>
        <v/>
      </c>
      <c r="P93" s="74" t="str">
        <f>IFERROR(1/(1/COUNTIFS(
'YearB-AppDetails Current Date'!A:A,D93,
'YearB-AppDetails Current Date'!F:F,E93,
'YearB-AppDetails Current Date'!E:E,--F93,
'YearB-AppDetails Current Date'!Y:Y,"ENRO",
'YearB-AppDetails Current Date'!I:I,"SPRING")), "")</f>
        <v/>
      </c>
      <c r="Q93" s="3" t="str">
        <f t="shared" si="8"/>
        <v/>
      </c>
    </row>
    <row r="94" spans="1:17" ht="15.75" customHeight="1" x14ac:dyDescent="0.25">
      <c r="A94" s="119"/>
      <c r="B94" s="122"/>
      <c r="C94" s="138"/>
      <c r="D94" s="23" t="s">
        <v>135</v>
      </c>
      <c r="E94" s="2" t="s">
        <v>42</v>
      </c>
      <c r="F94" s="42">
        <v>2</v>
      </c>
      <c r="G94" s="148" t="s">
        <v>48</v>
      </c>
      <c r="H94" s="73" t="str">
        <f>IFERROR(1/(1/
SUM(
N(VLOOKUP(D94&amp;F94,'Budgeted Projections Dom HC'!D:T,16,FALSE)),
N(VLOOKUP(D94&amp;F94,'Budgeted Projections Dom HC'!D:T,17,FALSE))
)
),"")</f>
        <v/>
      </c>
      <c r="I94" s="73" t="str">
        <f>IFERROR(1/(1/COUNTIFS(
'YearB-AppDetails Current Date'!A:A,D94,
'YearB-AppDetails Current Date'!F:F,E94,
'YearB-AppDetails Current Date'!E:E,--F94,
'YearB-AppDetails Current Date'!I:I,"SPRING")), "")</f>
        <v/>
      </c>
      <c r="J94" s="74" t="str" cm="1">
        <f t="array" ref="J94">IFERROR(1/(1/SUM(COUNTIFS(
'YearB-AppDetails Current Date'!A:A,D94,
'YearB-AppDetails Current Date'!F:F,E94,
'YearB-AppDetails Current Date'!E:E,--F94,
'YearB-AppDetails Current Date'!O:O,{"ACLN","ACPT","COND"},
'YearB-AppDetails Current Date'!S:S,"&lt;&gt;ACLN",
'YearB-AppDetails Current Date'!S:S,"&lt;&gt;ACPT",
'YearB-AppDetails Current Date'!S:S,"&lt;&gt;COND",
'YearB-AppDetails Current Date'!I:I,"SPRING"))), "")</f>
        <v/>
      </c>
      <c r="K94" s="73" t="str">
        <f>IFERROR(1/(1/SUM(COUNTIFS(
'YearB-AppDetails Current Date'!A:A,D94,
'YearB-AppDetails Current Date'!F:F,E94,
'YearB-AppDetails Current Date'!E:E,--F94,
'YearB-AppDetails Current Date'!R:R,"&lt;&gt;"&amp;"",
'YearB-AppDetails Current Date'!I:I,"SPRING"))), "")</f>
        <v/>
      </c>
      <c r="L94" s="74" t="str" cm="1">
        <f t="array" ref="L94">IFERROR(1/(1/SUM(COUNTIFS(
'YearB-AppDetails Current Date'!A:A,D94,
'YearB-AppDetails Current Date'!F:F,E94,
'YearB-AppDetails Current Date'!E:E,--F94,
'YearB-AppDetails Current Date'!T:T,{"APEX","DENY","NTSL"},
'YearB-AppDetails Current Date'!I:I,"SPRING"))), "")</f>
        <v/>
      </c>
      <c r="M94" s="74" t="str" cm="1">
        <f t="array" ref="M94">IFERROR(1/(1/SUM(COUNTIFS(
'YearB-AppDetails Current Date'!A:A,D94,
'YearB-AppDetails Current Date'!F:F,E94,
'YearB-AppDetails Current Date'!E:E,--F94,
'YearB-AppDetails Current Date'!U:U,{"CCAN","DECL"},
'YearB-AppDetails Current Date'!I:I,"SPRING"))), "")</f>
        <v/>
      </c>
      <c r="N94" s="74" t="str" cm="1">
        <f t="array" ref="N94">IFERROR(1/(1/SUM(COUNTIFS(
'YearB-AppDetails Current Date'!A:A,D94,
'YearB-AppDetails Current Date'!F:F,E94,
'YearB-AppDetails Current Date'!E:E,--F94,
'YearB-AppDetails Current Date'!V:V,{"APRO","NODE"},
'YearB-AppDetails Current Date'!I:I,"SPRING"))), "")</f>
        <v/>
      </c>
      <c r="O94" s="74" t="str" cm="1">
        <f t="array" ref="O94">IFERROR(1/(1/SUM(COUNTIFS(
'YearB-AppDetails Current Date'!A:A,D94,
'YearB-AppDetails Current Date'!F:F,E94,
'YearB-AppDetails Current Date'!E:E,--F94,
'YearB-AppDetails Current Date'!T:T,{"CDMT","RQMT","WAIT"},
'YearB-AppDetails Current Date'!I:I,"SPRING"))), "")</f>
        <v/>
      </c>
      <c r="P94" s="74" t="str">
        <f>IFERROR(1/(1/COUNTIFS(
'YearB-AppDetails Current Date'!A:A,D94,
'YearB-AppDetails Current Date'!F:F,E94,
'YearB-AppDetails Current Date'!E:E,--F94,
'YearB-AppDetails Current Date'!Y:Y,"ENRO",
'YearB-AppDetails Current Date'!I:I,"SPRING")), "")</f>
        <v/>
      </c>
      <c r="Q94" s="3" t="str">
        <f t="shared" si="8"/>
        <v/>
      </c>
    </row>
    <row r="95" spans="1:17" ht="15.75" customHeight="1" x14ac:dyDescent="0.25">
      <c r="A95" s="119"/>
      <c r="B95" s="122"/>
      <c r="C95" s="125"/>
      <c r="D95" s="23" t="s">
        <v>135</v>
      </c>
      <c r="E95" s="2" t="s">
        <v>43</v>
      </c>
      <c r="F95" s="42">
        <v>2</v>
      </c>
      <c r="G95" s="141"/>
      <c r="H95" s="73" t="str">
        <f>IFERROR(1/(1/
SUM(
N(VLOOKUP(D95&amp;F95,'Budgeted Projections Intl HC'!D:T,16,FALSE)),
N(VLOOKUP(D95&amp;F95,'Budgeted Projections Intl HC'!D:T,17,FALSE))
)
),"")</f>
        <v/>
      </c>
      <c r="I95" s="73" t="str">
        <f>IFERROR(1/(1/COUNTIFS(
'YearB-AppDetails Current Date'!A:A,D95,
'YearB-AppDetails Current Date'!F:F,E95,
'YearB-AppDetails Current Date'!E:E,--F95,
'YearB-AppDetails Current Date'!I:I,"SPRING")), "")</f>
        <v/>
      </c>
      <c r="J95" s="74" t="str" cm="1">
        <f t="array" ref="J95">IFERROR(1/(1/SUM(COUNTIFS(
'YearB-AppDetails Current Date'!A:A,D95,
'YearB-AppDetails Current Date'!F:F,E95,
'YearB-AppDetails Current Date'!E:E,--F95,
'YearB-AppDetails Current Date'!O:O,{"ACLN","ACPT","COND"},
'YearB-AppDetails Current Date'!S:S,"&lt;&gt;ACLN",
'YearB-AppDetails Current Date'!S:S,"&lt;&gt;ACPT",
'YearB-AppDetails Current Date'!S:S,"&lt;&gt;COND",
'YearB-AppDetails Current Date'!I:I,"SPRING"))), "")</f>
        <v/>
      </c>
      <c r="K95" s="73" t="str">
        <f>IFERROR(1/(1/SUM(COUNTIFS(
'YearB-AppDetails Current Date'!A:A,D95,
'YearB-AppDetails Current Date'!F:F,E95,
'YearB-AppDetails Current Date'!E:E,--F95,
'YearB-AppDetails Current Date'!R:R,"&lt;&gt;"&amp;"",
'YearB-AppDetails Current Date'!I:I,"SPRING"))), "")</f>
        <v/>
      </c>
      <c r="L95" s="74" t="str" cm="1">
        <f t="array" ref="L95">IFERROR(1/(1/SUM(COUNTIFS(
'YearB-AppDetails Current Date'!A:A,D95,
'YearB-AppDetails Current Date'!F:F,E95,
'YearB-AppDetails Current Date'!E:E,--F95,
'YearB-AppDetails Current Date'!T:T,{"APEX","DENY","NTSL"},
'YearB-AppDetails Current Date'!I:I,"SPRING"))), "")</f>
        <v/>
      </c>
      <c r="M95" s="74" t="str" cm="1">
        <f t="array" ref="M95">IFERROR(1/(1/SUM(COUNTIFS(
'YearB-AppDetails Current Date'!A:A,D95,
'YearB-AppDetails Current Date'!F:F,E95,
'YearB-AppDetails Current Date'!E:E,--F95,
'YearB-AppDetails Current Date'!U:U,{"CCAN","DECL"},
'YearB-AppDetails Current Date'!I:I,"SPRING"))), "")</f>
        <v/>
      </c>
      <c r="N95" s="74" t="str" cm="1">
        <f t="array" ref="N95">IFERROR(1/(1/SUM(COUNTIFS(
'YearB-AppDetails Current Date'!A:A,D95,
'YearB-AppDetails Current Date'!F:F,E95,
'YearB-AppDetails Current Date'!E:E,--F95,
'YearB-AppDetails Current Date'!V:V,{"APRO","NODE"},
'YearB-AppDetails Current Date'!I:I,"SPRING"))), "")</f>
        <v/>
      </c>
      <c r="O95" s="74" t="str" cm="1">
        <f t="array" ref="O95">IFERROR(1/(1/SUM(COUNTIFS(
'YearB-AppDetails Current Date'!A:A,D95,
'YearB-AppDetails Current Date'!F:F,E95,
'YearB-AppDetails Current Date'!E:E,--F95,
'YearB-AppDetails Current Date'!T:T,{"CDMT","RQMT","WAIT"},
'YearB-AppDetails Current Date'!I:I,"SPRING"))), "")</f>
        <v/>
      </c>
      <c r="P95" s="74" t="str">
        <f>IFERROR(1/(1/COUNTIFS(
'YearB-AppDetails Current Date'!A:A,D95,
'YearB-AppDetails Current Date'!F:F,E95,
'YearB-AppDetails Current Date'!E:E,--F95,
'YearB-AppDetails Current Date'!Y:Y,"ENRO",
'YearB-AppDetails Current Date'!I:I,"SPRING")), "")</f>
        <v/>
      </c>
      <c r="Q95" s="3" t="str">
        <f t="shared" si="8"/>
        <v/>
      </c>
    </row>
    <row r="96" spans="1:17" ht="15.75" customHeight="1" x14ac:dyDescent="0.25">
      <c r="A96" s="119"/>
      <c r="B96" s="122"/>
      <c r="C96" s="132" t="s">
        <v>293</v>
      </c>
      <c r="D96" s="23" t="s">
        <v>149</v>
      </c>
      <c r="E96" s="2" t="s">
        <v>42</v>
      </c>
      <c r="F96" s="42">
        <v>1</v>
      </c>
      <c r="G96" s="148" t="s">
        <v>48</v>
      </c>
      <c r="H96" s="73" t="str">
        <f>IFERROR(1/(1/
SUM(
N(VLOOKUP(D96&amp;F96,'Budgeted Projections Dom HC'!D:T,16,FALSE)),
N(VLOOKUP(D96&amp;F96,'Budgeted Projections Dom HC'!D:T,17,FALSE))
)
),"")</f>
        <v/>
      </c>
      <c r="I96" s="73" t="str">
        <f>IFERROR(1/(1/COUNTIFS(
'YearB-AppDetails Current Date'!A:A,D96,
'YearB-AppDetails Current Date'!F:F,E96,
'YearB-AppDetails Current Date'!E:E,--F96,
'YearB-AppDetails Current Date'!I:I,"SPRING")), "")</f>
        <v/>
      </c>
      <c r="J96" s="74" t="str" cm="1">
        <f t="array" ref="J96">IFERROR(1/(1/SUM(COUNTIFS(
'YearB-AppDetails Current Date'!A:A,D96,
'YearB-AppDetails Current Date'!F:F,E96,
'YearB-AppDetails Current Date'!E:E,--F96,
'YearB-AppDetails Current Date'!O:O,{"ACLN","ACPT","COND"},
'YearB-AppDetails Current Date'!S:S,"&lt;&gt;ACLN",
'YearB-AppDetails Current Date'!S:S,"&lt;&gt;ACPT",
'YearB-AppDetails Current Date'!S:S,"&lt;&gt;COND",
'YearB-AppDetails Current Date'!I:I,"SPRING"))), "")</f>
        <v/>
      </c>
      <c r="K96" s="73" t="str">
        <f>IFERROR(1/(1/SUM(COUNTIFS(
'YearB-AppDetails Current Date'!A:A,D96,
'YearB-AppDetails Current Date'!F:F,E96,
'YearB-AppDetails Current Date'!E:E,--F96,
'YearB-AppDetails Current Date'!R:R,"&lt;&gt;"&amp;"",
'YearB-AppDetails Current Date'!I:I,"SPRING"))), "")</f>
        <v/>
      </c>
      <c r="L96" s="74" t="str" cm="1">
        <f t="array" ref="L96">IFERROR(1/(1/SUM(COUNTIFS(
'YearB-AppDetails Current Date'!A:A,D96,
'YearB-AppDetails Current Date'!F:F,E96,
'YearB-AppDetails Current Date'!E:E,--F96,
'YearB-AppDetails Current Date'!T:T,{"APEX","DENY","NTSL"},
'YearB-AppDetails Current Date'!I:I,"SPRING"))), "")</f>
        <v/>
      </c>
      <c r="M96" s="74" t="str" cm="1">
        <f t="array" ref="M96">IFERROR(1/(1/SUM(COUNTIFS(
'YearB-AppDetails Current Date'!A:A,D96,
'YearB-AppDetails Current Date'!F:F,E96,
'YearB-AppDetails Current Date'!E:E,--F96,
'YearB-AppDetails Current Date'!U:U,{"CCAN","DECL"},
'YearB-AppDetails Current Date'!I:I,"SPRING"))), "")</f>
        <v/>
      </c>
      <c r="N96" s="74" t="str" cm="1">
        <f t="array" ref="N96">IFERROR(1/(1/SUM(COUNTIFS(
'YearB-AppDetails Current Date'!A:A,D96,
'YearB-AppDetails Current Date'!F:F,E96,
'YearB-AppDetails Current Date'!E:E,--F96,
'YearB-AppDetails Current Date'!V:V,{"APRO","NODE"},
'YearB-AppDetails Current Date'!I:I,"SPRING"))), "")</f>
        <v/>
      </c>
      <c r="O96" s="74" t="str" cm="1">
        <f t="array" ref="O96">IFERROR(1/(1/SUM(COUNTIFS(
'YearB-AppDetails Current Date'!A:A,D96,
'YearB-AppDetails Current Date'!F:F,E96,
'YearB-AppDetails Current Date'!E:E,--F96,
'YearB-AppDetails Current Date'!T:T,{"CDMT","RQMT","WAIT"},
'YearB-AppDetails Current Date'!I:I,"SPRING"))), "")</f>
        <v/>
      </c>
      <c r="P96" s="74" t="str">
        <f>IFERROR(1/(1/COUNTIFS(
'YearB-AppDetails Current Date'!A:A,D96,
'YearB-AppDetails Current Date'!F:F,E96,
'YearB-AppDetails Current Date'!E:E,--F96,
'YearB-AppDetails Current Date'!Y:Y,"ENRO",
'YearB-AppDetails Current Date'!I:I,"SPRING")), "")</f>
        <v/>
      </c>
      <c r="Q96" s="3" t="str">
        <f t="shared" si="8"/>
        <v/>
      </c>
    </row>
    <row r="97" spans="1:17" ht="15.75" customHeight="1" x14ac:dyDescent="0.25">
      <c r="A97" s="119"/>
      <c r="B97" s="122"/>
      <c r="C97" s="145"/>
      <c r="D97" s="23" t="s">
        <v>149</v>
      </c>
      <c r="E97" s="2" t="s">
        <v>43</v>
      </c>
      <c r="F97" s="42">
        <v>1</v>
      </c>
      <c r="G97" s="141"/>
      <c r="H97" s="73" t="str">
        <f>IFERROR(1/(1/
SUM(
N(VLOOKUP(D97&amp;F97,'Budgeted Projections Intl HC'!D:T,16,FALSE)),
N(VLOOKUP(D97&amp;F97,'Budgeted Projections Intl HC'!D:T,17,FALSE))
)
),"")</f>
        <v/>
      </c>
      <c r="I97" s="73" t="str">
        <f>IFERROR(1/(1/COUNTIFS(
'YearB-AppDetails Current Date'!A:A,D97,
'YearB-AppDetails Current Date'!F:F,E97,
'YearB-AppDetails Current Date'!E:E,--F97,
'YearB-AppDetails Current Date'!I:I,"SPRING")), "")</f>
        <v/>
      </c>
      <c r="J97" s="74" t="str" cm="1">
        <f t="array" ref="J97">IFERROR(1/(1/SUM(COUNTIFS(
'YearB-AppDetails Current Date'!A:A,D97,
'YearB-AppDetails Current Date'!F:F,E97,
'YearB-AppDetails Current Date'!E:E,--F97,
'YearB-AppDetails Current Date'!O:O,{"ACLN","ACPT","COND"},
'YearB-AppDetails Current Date'!S:S,"&lt;&gt;ACLN",
'YearB-AppDetails Current Date'!S:S,"&lt;&gt;ACPT",
'YearB-AppDetails Current Date'!S:S,"&lt;&gt;COND",
'YearB-AppDetails Current Date'!I:I,"SPRING"))), "")</f>
        <v/>
      </c>
      <c r="K97" s="73" t="str">
        <f>IFERROR(1/(1/SUM(COUNTIFS(
'YearB-AppDetails Current Date'!A:A,D97,
'YearB-AppDetails Current Date'!F:F,E97,
'YearB-AppDetails Current Date'!E:E,--F97,
'YearB-AppDetails Current Date'!R:R,"&lt;&gt;"&amp;"",
'YearB-AppDetails Current Date'!I:I,"SPRING"))), "")</f>
        <v/>
      </c>
      <c r="L97" s="74" t="str" cm="1">
        <f t="array" ref="L97">IFERROR(1/(1/SUM(COUNTIFS(
'YearB-AppDetails Current Date'!A:A,D97,
'YearB-AppDetails Current Date'!F:F,E97,
'YearB-AppDetails Current Date'!E:E,--F97,
'YearB-AppDetails Current Date'!T:T,{"APEX","DENY","NTSL"},
'YearB-AppDetails Current Date'!I:I,"SPRING"))), "")</f>
        <v/>
      </c>
      <c r="M97" s="74" t="str" cm="1">
        <f t="array" ref="M97">IFERROR(1/(1/SUM(COUNTIFS(
'YearB-AppDetails Current Date'!A:A,D97,
'YearB-AppDetails Current Date'!F:F,E97,
'YearB-AppDetails Current Date'!E:E,--F97,
'YearB-AppDetails Current Date'!U:U,{"CCAN","DECL"},
'YearB-AppDetails Current Date'!I:I,"SPRING"))), "")</f>
        <v/>
      </c>
      <c r="N97" s="74" t="str" cm="1">
        <f t="array" ref="N97">IFERROR(1/(1/SUM(COUNTIFS(
'YearB-AppDetails Current Date'!A:A,D97,
'YearB-AppDetails Current Date'!F:F,E97,
'YearB-AppDetails Current Date'!E:E,--F97,
'YearB-AppDetails Current Date'!V:V,{"APRO","NODE"},
'YearB-AppDetails Current Date'!I:I,"SPRING"))), "")</f>
        <v/>
      </c>
      <c r="O97" s="74" t="str" cm="1">
        <f t="array" ref="O97">IFERROR(1/(1/SUM(COUNTIFS(
'YearB-AppDetails Current Date'!A:A,D97,
'YearB-AppDetails Current Date'!F:F,E97,
'YearB-AppDetails Current Date'!E:E,--F97,
'YearB-AppDetails Current Date'!T:T,{"CDMT","RQMT","WAIT"},
'YearB-AppDetails Current Date'!I:I,"SPRING"))), "")</f>
        <v/>
      </c>
      <c r="P97" s="74" t="str">
        <f>IFERROR(1/(1/COUNTIFS(
'YearB-AppDetails Current Date'!A:A,D97,
'YearB-AppDetails Current Date'!F:F,E97,
'YearB-AppDetails Current Date'!E:E,--F97,
'YearB-AppDetails Current Date'!Y:Y,"ENRO",
'YearB-AppDetails Current Date'!I:I,"SPRING")), "")</f>
        <v/>
      </c>
      <c r="Q97" s="3" t="str">
        <f t="shared" si="8"/>
        <v/>
      </c>
    </row>
    <row r="98" spans="1:17" ht="15.75" customHeight="1" x14ac:dyDescent="0.25">
      <c r="A98" s="119"/>
      <c r="B98" s="122"/>
      <c r="C98" s="145"/>
      <c r="D98" s="23" t="s">
        <v>149</v>
      </c>
      <c r="E98" s="2" t="s">
        <v>42</v>
      </c>
      <c r="F98" s="42">
        <v>2</v>
      </c>
      <c r="G98" s="148" t="s">
        <v>48</v>
      </c>
      <c r="H98" s="73" t="str">
        <f>IFERROR(1/(1/
SUM(
N(VLOOKUP(D98&amp;F98,'Budgeted Projections Dom HC'!D:T,16,FALSE)),
N(VLOOKUP(D98&amp;F98,'Budgeted Projections Dom HC'!D:T,17,FALSE))
)
),"")</f>
        <v/>
      </c>
      <c r="I98" s="73" t="str">
        <f>IFERROR(1/(1/COUNTIFS(
'YearB-AppDetails Current Date'!A:A,D98,
'YearB-AppDetails Current Date'!F:F,E98,
'YearB-AppDetails Current Date'!E:E,--F98,
'YearB-AppDetails Current Date'!I:I,"SPRING")), "")</f>
        <v/>
      </c>
      <c r="J98" s="74" t="str" cm="1">
        <f t="array" ref="J98">IFERROR(1/(1/SUM(COUNTIFS(
'YearB-AppDetails Current Date'!A:A,D98,
'YearB-AppDetails Current Date'!F:F,E98,
'YearB-AppDetails Current Date'!E:E,--F98,
'YearB-AppDetails Current Date'!O:O,{"ACLN","ACPT","COND"},
'YearB-AppDetails Current Date'!S:S,"&lt;&gt;ACLN",
'YearB-AppDetails Current Date'!S:S,"&lt;&gt;ACPT",
'YearB-AppDetails Current Date'!S:S,"&lt;&gt;COND",
'YearB-AppDetails Current Date'!I:I,"SPRING"))), "")</f>
        <v/>
      </c>
      <c r="K98" s="73" t="str">
        <f>IFERROR(1/(1/SUM(COUNTIFS(
'YearB-AppDetails Current Date'!A:A,D98,
'YearB-AppDetails Current Date'!F:F,E98,
'YearB-AppDetails Current Date'!E:E,--F98,
'YearB-AppDetails Current Date'!R:R,"&lt;&gt;"&amp;"",
'YearB-AppDetails Current Date'!I:I,"SPRING"))), "")</f>
        <v/>
      </c>
      <c r="L98" s="74" t="str" cm="1">
        <f t="array" ref="L98">IFERROR(1/(1/SUM(COUNTIFS(
'YearB-AppDetails Current Date'!A:A,D98,
'YearB-AppDetails Current Date'!F:F,E98,
'YearB-AppDetails Current Date'!E:E,--F98,
'YearB-AppDetails Current Date'!T:T,{"APEX","DENY","NTSL"},
'YearB-AppDetails Current Date'!I:I,"SPRING"))), "")</f>
        <v/>
      </c>
      <c r="M98" s="74" t="str" cm="1">
        <f t="array" ref="M98">IFERROR(1/(1/SUM(COUNTIFS(
'YearB-AppDetails Current Date'!A:A,D98,
'YearB-AppDetails Current Date'!F:F,E98,
'YearB-AppDetails Current Date'!E:E,--F98,
'YearB-AppDetails Current Date'!U:U,{"CCAN","DECL"},
'YearB-AppDetails Current Date'!I:I,"SPRING"))), "")</f>
        <v/>
      </c>
      <c r="N98" s="74" t="str" cm="1">
        <f t="array" ref="N98">IFERROR(1/(1/SUM(COUNTIFS(
'YearB-AppDetails Current Date'!A:A,D98,
'YearB-AppDetails Current Date'!F:F,E98,
'YearB-AppDetails Current Date'!E:E,--F98,
'YearB-AppDetails Current Date'!V:V,{"APRO","NODE"},
'YearB-AppDetails Current Date'!I:I,"SPRING"))), "")</f>
        <v/>
      </c>
      <c r="O98" s="74" t="str" cm="1">
        <f t="array" ref="O98">IFERROR(1/(1/SUM(COUNTIFS(
'YearB-AppDetails Current Date'!A:A,D98,
'YearB-AppDetails Current Date'!F:F,E98,
'YearB-AppDetails Current Date'!E:E,--F98,
'YearB-AppDetails Current Date'!T:T,{"CDMT","RQMT","WAIT"},
'YearB-AppDetails Current Date'!I:I,"SPRING"))), "")</f>
        <v/>
      </c>
      <c r="P98" s="74" t="str">
        <f>IFERROR(1/(1/COUNTIFS(
'YearB-AppDetails Current Date'!A:A,D98,
'YearB-AppDetails Current Date'!F:F,E98,
'YearB-AppDetails Current Date'!E:E,--F98,
'YearB-AppDetails Current Date'!Y:Y,"ENRO",
'YearB-AppDetails Current Date'!I:I,"SPRING")), "")</f>
        <v/>
      </c>
      <c r="Q98" s="3" t="str">
        <f t="shared" si="8"/>
        <v/>
      </c>
    </row>
    <row r="99" spans="1:17" ht="15.75" customHeight="1" x14ac:dyDescent="0.25">
      <c r="A99" s="119"/>
      <c r="B99" s="122"/>
      <c r="C99" s="133"/>
      <c r="D99" s="23" t="s">
        <v>149</v>
      </c>
      <c r="E99" s="2" t="s">
        <v>43</v>
      </c>
      <c r="F99" s="42">
        <v>2</v>
      </c>
      <c r="G99" s="141"/>
      <c r="H99" s="73" t="str">
        <f>IFERROR(1/(1/
SUM(
N(VLOOKUP(D99&amp;F99,'Budgeted Projections Intl HC'!D:T,16,FALSE)),
N(VLOOKUP(D99&amp;F99,'Budgeted Projections Intl HC'!D:T,17,FALSE))
)
),"")</f>
        <v/>
      </c>
      <c r="I99" s="73" t="str">
        <f>IFERROR(1/(1/COUNTIFS(
'YearB-AppDetails Current Date'!A:A,D99,
'YearB-AppDetails Current Date'!F:F,E99,
'YearB-AppDetails Current Date'!E:E,--F99,
'YearB-AppDetails Current Date'!I:I,"SPRING")), "")</f>
        <v/>
      </c>
      <c r="J99" s="74" t="str" cm="1">
        <f t="array" ref="J99">IFERROR(1/(1/SUM(COUNTIFS(
'YearB-AppDetails Current Date'!A:A,D99,
'YearB-AppDetails Current Date'!F:F,E99,
'YearB-AppDetails Current Date'!E:E,--F99,
'YearB-AppDetails Current Date'!O:O,{"ACLN","ACPT","COND"},
'YearB-AppDetails Current Date'!S:S,"&lt;&gt;ACLN",
'YearB-AppDetails Current Date'!S:S,"&lt;&gt;ACPT",
'YearB-AppDetails Current Date'!S:S,"&lt;&gt;COND",
'YearB-AppDetails Current Date'!I:I,"SPRING"))), "")</f>
        <v/>
      </c>
      <c r="K99" s="73" t="str">
        <f>IFERROR(1/(1/SUM(COUNTIFS(
'YearB-AppDetails Current Date'!A:A,D99,
'YearB-AppDetails Current Date'!F:F,E99,
'YearB-AppDetails Current Date'!E:E,--F99,
'YearB-AppDetails Current Date'!R:R,"&lt;&gt;"&amp;"",
'YearB-AppDetails Current Date'!I:I,"SPRING"))), "")</f>
        <v/>
      </c>
      <c r="L99" s="74" t="str" cm="1">
        <f t="array" ref="L99">IFERROR(1/(1/SUM(COUNTIFS(
'YearB-AppDetails Current Date'!A:A,D99,
'YearB-AppDetails Current Date'!F:F,E99,
'YearB-AppDetails Current Date'!E:E,--F99,
'YearB-AppDetails Current Date'!T:T,{"APEX","DENY","NTSL"},
'YearB-AppDetails Current Date'!I:I,"SPRING"))), "")</f>
        <v/>
      </c>
      <c r="M99" s="74" t="str" cm="1">
        <f t="array" ref="M99">IFERROR(1/(1/SUM(COUNTIFS(
'YearB-AppDetails Current Date'!A:A,D99,
'YearB-AppDetails Current Date'!F:F,E99,
'YearB-AppDetails Current Date'!E:E,--F99,
'YearB-AppDetails Current Date'!U:U,{"CCAN","DECL"},
'YearB-AppDetails Current Date'!I:I,"SPRING"))), "")</f>
        <v/>
      </c>
      <c r="N99" s="74" t="str" cm="1">
        <f t="array" ref="N99">IFERROR(1/(1/SUM(COUNTIFS(
'YearB-AppDetails Current Date'!A:A,D99,
'YearB-AppDetails Current Date'!F:F,E99,
'YearB-AppDetails Current Date'!E:E,--F99,
'YearB-AppDetails Current Date'!V:V,{"APRO","NODE"},
'YearB-AppDetails Current Date'!I:I,"SPRING"))), "")</f>
        <v/>
      </c>
      <c r="O99" s="74" t="str" cm="1">
        <f t="array" ref="O99">IFERROR(1/(1/SUM(COUNTIFS(
'YearB-AppDetails Current Date'!A:A,D99,
'YearB-AppDetails Current Date'!F:F,E99,
'YearB-AppDetails Current Date'!E:E,--F99,
'YearB-AppDetails Current Date'!T:T,{"CDMT","RQMT","WAIT"},
'YearB-AppDetails Current Date'!I:I,"SPRING"))), "")</f>
        <v/>
      </c>
      <c r="P99" s="74" t="str">
        <f>IFERROR(1/(1/COUNTIFS(
'YearB-AppDetails Current Date'!A:A,D99,
'YearB-AppDetails Current Date'!F:F,E99,
'YearB-AppDetails Current Date'!E:E,--F99,
'YearB-AppDetails Current Date'!Y:Y,"ENRO",
'YearB-AppDetails Current Date'!I:I,"SPRING")), "")</f>
        <v/>
      </c>
      <c r="Q99" s="3" t="str">
        <f t="shared" si="8"/>
        <v/>
      </c>
    </row>
    <row r="100" spans="1:17" ht="15.75" customHeight="1" x14ac:dyDescent="0.25">
      <c r="A100" s="119"/>
      <c r="B100" s="122"/>
      <c r="C100" s="132" t="s">
        <v>154</v>
      </c>
      <c r="D100" s="23" t="s">
        <v>155</v>
      </c>
      <c r="E100" s="2" t="s">
        <v>42</v>
      </c>
      <c r="F100" s="42">
        <v>1</v>
      </c>
      <c r="G100" s="148" t="s">
        <v>48</v>
      </c>
      <c r="H100" s="73" t="str">
        <f>IFERROR(1/(1/
SUM(
N(VLOOKUP(D100&amp;F100,'Budgeted Projections Dom HC'!D:T,16,FALSE)),
N(VLOOKUP(D100&amp;F100,'Budgeted Projections Dom HC'!D:T,17,FALSE))
)
),"")</f>
        <v/>
      </c>
      <c r="I100" s="73" t="str">
        <f>IFERROR(1/(1/COUNTIFS(
'YearB-AppDetails Current Date'!A:A,D100,
'YearB-AppDetails Current Date'!F:F,E100,
'YearB-AppDetails Current Date'!E:E,--F100,
'YearB-AppDetails Current Date'!I:I,"SPRING")), "")</f>
        <v/>
      </c>
      <c r="J100" s="74" t="str" cm="1">
        <f t="array" ref="J100">IFERROR(1/(1/SUM(COUNTIFS(
'YearB-AppDetails Current Date'!A:A,D100,
'YearB-AppDetails Current Date'!F:F,E100,
'YearB-AppDetails Current Date'!E:E,--F100,
'YearB-AppDetails Current Date'!O:O,{"ACLN","ACPT","COND"},
'YearB-AppDetails Current Date'!S:S,"&lt;&gt;ACLN",
'YearB-AppDetails Current Date'!S:S,"&lt;&gt;ACPT",
'YearB-AppDetails Current Date'!S:S,"&lt;&gt;COND",
'YearB-AppDetails Current Date'!I:I,"SPRING"))), "")</f>
        <v/>
      </c>
      <c r="K100" s="73" t="str">
        <f>IFERROR(1/(1/SUM(COUNTIFS(
'YearB-AppDetails Current Date'!A:A,D100,
'YearB-AppDetails Current Date'!F:F,E100,
'YearB-AppDetails Current Date'!E:E,--F100,
'YearB-AppDetails Current Date'!R:R,"&lt;&gt;"&amp;"",
'YearB-AppDetails Current Date'!I:I,"SPRING"))), "")</f>
        <v/>
      </c>
      <c r="L100" s="74" t="str" cm="1">
        <f t="array" ref="L100">IFERROR(1/(1/SUM(COUNTIFS(
'YearB-AppDetails Current Date'!A:A,D100,
'YearB-AppDetails Current Date'!F:F,E100,
'YearB-AppDetails Current Date'!E:E,--F100,
'YearB-AppDetails Current Date'!T:T,{"APEX","DENY","NTSL"},
'YearB-AppDetails Current Date'!I:I,"SPRING"))), "")</f>
        <v/>
      </c>
      <c r="M100" s="74" t="str" cm="1">
        <f t="array" ref="M100">IFERROR(1/(1/SUM(COUNTIFS(
'YearB-AppDetails Current Date'!A:A,D100,
'YearB-AppDetails Current Date'!F:F,E100,
'YearB-AppDetails Current Date'!E:E,--F100,
'YearB-AppDetails Current Date'!U:U,{"CCAN","DECL"},
'YearB-AppDetails Current Date'!I:I,"SPRING"))), "")</f>
        <v/>
      </c>
      <c r="N100" s="74" t="str" cm="1">
        <f t="array" ref="N100">IFERROR(1/(1/SUM(COUNTIFS(
'YearB-AppDetails Current Date'!A:A,D100,
'YearB-AppDetails Current Date'!F:F,E100,
'YearB-AppDetails Current Date'!E:E,--F100,
'YearB-AppDetails Current Date'!V:V,{"APRO","NODE"},
'YearB-AppDetails Current Date'!I:I,"SPRING"))), "")</f>
        <v/>
      </c>
      <c r="O100" s="74" t="str" cm="1">
        <f t="array" ref="O100">IFERROR(1/(1/SUM(COUNTIFS(
'YearB-AppDetails Current Date'!A:A,D100,
'YearB-AppDetails Current Date'!F:F,E100,
'YearB-AppDetails Current Date'!E:E,--F100,
'YearB-AppDetails Current Date'!T:T,{"CDMT","RQMT","WAIT"},
'YearB-AppDetails Current Date'!I:I,"SPRING"))), "")</f>
        <v/>
      </c>
      <c r="P100" s="74" t="str">
        <f>IFERROR(1/(1/COUNTIFS(
'YearB-AppDetails Current Date'!A:A,D100,
'YearB-AppDetails Current Date'!F:F,E100,
'YearB-AppDetails Current Date'!E:E,--F100,
'YearB-AppDetails Current Date'!Y:Y,"ENRO",
'YearB-AppDetails Current Date'!I:I,"SPRING")), "")</f>
        <v/>
      </c>
      <c r="Q100" s="3" t="str">
        <f t="shared" si="8"/>
        <v/>
      </c>
    </row>
    <row r="101" spans="1:17" ht="15.75" customHeight="1" x14ac:dyDescent="0.25">
      <c r="A101" s="119"/>
      <c r="B101" s="122"/>
      <c r="C101" s="145"/>
      <c r="D101" s="23" t="s">
        <v>155</v>
      </c>
      <c r="E101" s="2" t="s">
        <v>43</v>
      </c>
      <c r="F101" s="42">
        <v>1</v>
      </c>
      <c r="G101" s="141"/>
      <c r="H101" s="73" t="str">
        <f>IFERROR(1/(1/
SUM(
N(VLOOKUP(D101&amp;F101,'Budgeted Projections Intl HC'!D:T,16,FALSE)),
N(VLOOKUP(D101&amp;F101,'Budgeted Projections Intl HC'!D:T,17,FALSE))
)
),"")</f>
        <v/>
      </c>
      <c r="I101" s="73" t="str">
        <f>IFERROR(1/(1/COUNTIFS(
'YearB-AppDetails Current Date'!A:A,D101,
'YearB-AppDetails Current Date'!F:F,E101,
'YearB-AppDetails Current Date'!E:E,--F101,
'YearB-AppDetails Current Date'!I:I,"SPRING")), "")</f>
        <v/>
      </c>
      <c r="J101" s="74" t="str" cm="1">
        <f t="array" ref="J101">IFERROR(1/(1/SUM(COUNTIFS(
'YearB-AppDetails Current Date'!A:A,D101,
'YearB-AppDetails Current Date'!F:F,E101,
'YearB-AppDetails Current Date'!E:E,--F101,
'YearB-AppDetails Current Date'!O:O,{"ACLN","ACPT","COND"},
'YearB-AppDetails Current Date'!S:S,"&lt;&gt;ACLN",
'YearB-AppDetails Current Date'!S:S,"&lt;&gt;ACPT",
'YearB-AppDetails Current Date'!S:S,"&lt;&gt;COND",
'YearB-AppDetails Current Date'!I:I,"SPRING"))), "")</f>
        <v/>
      </c>
      <c r="K101" s="73" t="str">
        <f>IFERROR(1/(1/SUM(COUNTIFS(
'YearB-AppDetails Current Date'!A:A,D101,
'YearB-AppDetails Current Date'!F:F,E101,
'YearB-AppDetails Current Date'!E:E,--F101,
'YearB-AppDetails Current Date'!R:R,"&lt;&gt;"&amp;"",
'YearB-AppDetails Current Date'!I:I,"SPRING"))), "")</f>
        <v/>
      </c>
      <c r="L101" s="74" t="str" cm="1">
        <f t="array" ref="L101">IFERROR(1/(1/SUM(COUNTIFS(
'YearB-AppDetails Current Date'!A:A,D101,
'YearB-AppDetails Current Date'!F:F,E101,
'YearB-AppDetails Current Date'!E:E,--F101,
'YearB-AppDetails Current Date'!T:T,{"APEX","DENY","NTSL"},
'YearB-AppDetails Current Date'!I:I,"SPRING"))), "")</f>
        <v/>
      </c>
      <c r="M101" s="74" t="str" cm="1">
        <f t="array" ref="M101">IFERROR(1/(1/SUM(COUNTIFS(
'YearB-AppDetails Current Date'!A:A,D101,
'YearB-AppDetails Current Date'!F:F,E101,
'YearB-AppDetails Current Date'!E:E,--F101,
'YearB-AppDetails Current Date'!U:U,{"CCAN","DECL"},
'YearB-AppDetails Current Date'!I:I,"SPRING"))), "")</f>
        <v/>
      </c>
      <c r="N101" s="74" t="str" cm="1">
        <f t="array" ref="N101">IFERROR(1/(1/SUM(COUNTIFS(
'YearB-AppDetails Current Date'!A:A,D101,
'YearB-AppDetails Current Date'!F:F,E101,
'YearB-AppDetails Current Date'!E:E,--F101,
'YearB-AppDetails Current Date'!V:V,{"APRO","NODE"},
'YearB-AppDetails Current Date'!I:I,"SPRING"))), "")</f>
        <v/>
      </c>
      <c r="O101" s="74" t="str" cm="1">
        <f t="array" ref="O101">IFERROR(1/(1/SUM(COUNTIFS(
'YearB-AppDetails Current Date'!A:A,D101,
'YearB-AppDetails Current Date'!F:F,E101,
'YearB-AppDetails Current Date'!E:E,--F101,
'YearB-AppDetails Current Date'!T:T,{"CDMT","RQMT","WAIT"},
'YearB-AppDetails Current Date'!I:I,"SPRING"))), "")</f>
        <v/>
      </c>
      <c r="P101" s="74" t="str">
        <f>IFERROR(1/(1/COUNTIFS(
'YearB-AppDetails Current Date'!A:A,D101,
'YearB-AppDetails Current Date'!F:F,E101,
'YearB-AppDetails Current Date'!E:E,--F101,
'YearB-AppDetails Current Date'!Y:Y,"ENRO",
'YearB-AppDetails Current Date'!I:I,"SPRING")), "")</f>
        <v/>
      </c>
      <c r="Q101" s="3" t="str">
        <f t="shared" si="8"/>
        <v/>
      </c>
    </row>
    <row r="102" spans="1:17" ht="15.75" customHeight="1" x14ac:dyDescent="0.25">
      <c r="A102" s="119"/>
      <c r="B102" s="122"/>
      <c r="C102" s="145"/>
      <c r="D102" s="23" t="s">
        <v>155</v>
      </c>
      <c r="E102" s="2" t="s">
        <v>42</v>
      </c>
      <c r="F102" s="42">
        <v>2</v>
      </c>
      <c r="G102" s="148" t="s">
        <v>48</v>
      </c>
      <c r="H102" s="73" t="str">
        <f>IFERROR(1/(1/
SUM(
N(VLOOKUP(D102&amp;F102,'Budgeted Projections Dom HC'!D:T,16,FALSE)),
N(VLOOKUP(D102&amp;F102,'Budgeted Projections Dom HC'!D:T,17,FALSE))
)
),"")</f>
        <v/>
      </c>
      <c r="I102" s="73" t="str">
        <f>IFERROR(1/(1/COUNTIFS(
'YearB-AppDetails Current Date'!A:A,D102,
'YearB-AppDetails Current Date'!F:F,E102,
'YearB-AppDetails Current Date'!E:E,--F102,
'YearB-AppDetails Current Date'!I:I,"SPRING")), "")</f>
        <v/>
      </c>
      <c r="J102" s="74" t="str" cm="1">
        <f t="array" ref="J102">IFERROR(1/(1/SUM(COUNTIFS(
'YearB-AppDetails Current Date'!A:A,D102,
'YearB-AppDetails Current Date'!F:F,E102,
'YearB-AppDetails Current Date'!E:E,--F102,
'YearB-AppDetails Current Date'!O:O,{"ACLN","ACPT","COND"},
'YearB-AppDetails Current Date'!S:S,"&lt;&gt;ACLN",
'YearB-AppDetails Current Date'!S:S,"&lt;&gt;ACPT",
'YearB-AppDetails Current Date'!S:S,"&lt;&gt;COND",
'YearB-AppDetails Current Date'!I:I,"SPRING"))), "")</f>
        <v/>
      </c>
      <c r="K102" s="73" t="str">
        <f>IFERROR(1/(1/SUM(COUNTIFS(
'YearB-AppDetails Current Date'!A:A,D102,
'YearB-AppDetails Current Date'!F:F,E102,
'YearB-AppDetails Current Date'!E:E,--F102,
'YearB-AppDetails Current Date'!R:R,"&lt;&gt;"&amp;"",
'YearB-AppDetails Current Date'!I:I,"SPRING"))), "")</f>
        <v/>
      </c>
      <c r="L102" s="74" t="str" cm="1">
        <f t="array" ref="L102">IFERROR(1/(1/SUM(COUNTIFS(
'YearB-AppDetails Current Date'!A:A,D102,
'YearB-AppDetails Current Date'!F:F,E102,
'YearB-AppDetails Current Date'!E:E,--F102,
'YearB-AppDetails Current Date'!T:T,{"APEX","DENY","NTSL"},
'YearB-AppDetails Current Date'!I:I,"SPRING"))), "")</f>
        <v/>
      </c>
      <c r="M102" s="74" t="str" cm="1">
        <f t="array" ref="M102">IFERROR(1/(1/SUM(COUNTIFS(
'YearB-AppDetails Current Date'!A:A,D102,
'YearB-AppDetails Current Date'!F:F,E102,
'YearB-AppDetails Current Date'!E:E,--F102,
'YearB-AppDetails Current Date'!U:U,{"CCAN","DECL"},
'YearB-AppDetails Current Date'!I:I,"SPRING"))), "")</f>
        <v/>
      </c>
      <c r="N102" s="74" t="str" cm="1">
        <f t="array" ref="N102">IFERROR(1/(1/SUM(COUNTIFS(
'YearB-AppDetails Current Date'!A:A,D102,
'YearB-AppDetails Current Date'!F:F,E102,
'YearB-AppDetails Current Date'!E:E,--F102,
'YearB-AppDetails Current Date'!V:V,{"APRO","NODE"},
'YearB-AppDetails Current Date'!I:I,"SPRING"))), "")</f>
        <v/>
      </c>
      <c r="O102" s="74" t="str" cm="1">
        <f t="array" ref="O102">IFERROR(1/(1/SUM(COUNTIFS(
'YearB-AppDetails Current Date'!A:A,D102,
'YearB-AppDetails Current Date'!F:F,E102,
'YearB-AppDetails Current Date'!E:E,--F102,
'YearB-AppDetails Current Date'!T:T,{"CDMT","RQMT","WAIT"},
'YearB-AppDetails Current Date'!I:I,"SPRING"))), "")</f>
        <v/>
      </c>
      <c r="P102" s="74" t="str">
        <f>IFERROR(1/(1/COUNTIFS(
'YearB-AppDetails Current Date'!A:A,D102,
'YearB-AppDetails Current Date'!F:F,E102,
'YearB-AppDetails Current Date'!E:E,--F102,
'YearB-AppDetails Current Date'!Y:Y,"ENRO",
'YearB-AppDetails Current Date'!I:I,"SPRING")), "")</f>
        <v/>
      </c>
      <c r="Q102" s="3" t="str">
        <f t="shared" si="8"/>
        <v/>
      </c>
    </row>
    <row r="103" spans="1:17" ht="15.75" customHeight="1" x14ac:dyDescent="0.25">
      <c r="A103" s="119"/>
      <c r="B103" s="122"/>
      <c r="C103" s="133"/>
      <c r="D103" s="23" t="s">
        <v>155</v>
      </c>
      <c r="E103" s="2" t="s">
        <v>43</v>
      </c>
      <c r="F103" s="42">
        <v>2</v>
      </c>
      <c r="G103" s="141"/>
      <c r="H103" s="73" t="str">
        <f>IFERROR(1/(1/
SUM(
N(VLOOKUP(D103&amp;F103,'Budgeted Projections Intl HC'!D:T,16,FALSE)),
N(VLOOKUP(D103&amp;F103,'Budgeted Projections Intl HC'!D:T,17,FALSE))
)
),"")</f>
        <v/>
      </c>
      <c r="I103" s="73" t="str">
        <f>IFERROR(1/(1/COUNTIFS(
'YearB-AppDetails Current Date'!A:A,D103,
'YearB-AppDetails Current Date'!F:F,E103,
'YearB-AppDetails Current Date'!E:E,--F103,
'YearB-AppDetails Current Date'!I:I,"SPRING")), "")</f>
        <v/>
      </c>
      <c r="J103" s="74" t="str" cm="1">
        <f t="array" ref="J103">IFERROR(1/(1/SUM(COUNTIFS(
'YearB-AppDetails Current Date'!A:A,D103,
'YearB-AppDetails Current Date'!F:F,E103,
'YearB-AppDetails Current Date'!E:E,--F103,
'YearB-AppDetails Current Date'!O:O,{"ACLN","ACPT","COND"},
'YearB-AppDetails Current Date'!S:S,"&lt;&gt;ACLN",
'YearB-AppDetails Current Date'!S:S,"&lt;&gt;ACPT",
'YearB-AppDetails Current Date'!S:S,"&lt;&gt;COND",
'YearB-AppDetails Current Date'!I:I,"SPRING"))), "")</f>
        <v/>
      </c>
      <c r="K103" s="73" t="str">
        <f>IFERROR(1/(1/SUM(COUNTIFS(
'YearB-AppDetails Current Date'!A:A,D103,
'YearB-AppDetails Current Date'!F:F,E103,
'YearB-AppDetails Current Date'!E:E,--F103,
'YearB-AppDetails Current Date'!R:R,"&lt;&gt;"&amp;"",
'YearB-AppDetails Current Date'!I:I,"SPRING"))), "")</f>
        <v/>
      </c>
      <c r="L103" s="74" t="str" cm="1">
        <f t="array" ref="L103">IFERROR(1/(1/SUM(COUNTIFS(
'YearB-AppDetails Current Date'!A:A,D103,
'YearB-AppDetails Current Date'!F:F,E103,
'YearB-AppDetails Current Date'!E:E,--F103,
'YearB-AppDetails Current Date'!T:T,{"APEX","DENY","NTSL"},
'YearB-AppDetails Current Date'!I:I,"SPRING"))), "")</f>
        <v/>
      </c>
      <c r="M103" s="74" t="str" cm="1">
        <f t="array" ref="M103">IFERROR(1/(1/SUM(COUNTIFS(
'YearB-AppDetails Current Date'!A:A,D103,
'YearB-AppDetails Current Date'!F:F,E103,
'YearB-AppDetails Current Date'!E:E,--F103,
'YearB-AppDetails Current Date'!U:U,{"CCAN","DECL"},
'YearB-AppDetails Current Date'!I:I,"SPRING"))), "")</f>
        <v/>
      </c>
      <c r="N103" s="74" t="str" cm="1">
        <f t="array" ref="N103">IFERROR(1/(1/SUM(COUNTIFS(
'YearB-AppDetails Current Date'!A:A,D103,
'YearB-AppDetails Current Date'!F:F,E103,
'YearB-AppDetails Current Date'!E:E,--F103,
'YearB-AppDetails Current Date'!V:V,{"APRO","NODE"},
'YearB-AppDetails Current Date'!I:I,"SPRING"))), "")</f>
        <v/>
      </c>
      <c r="O103" s="74" t="str" cm="1">
        <f t="array" ref="O103">IFERROR(1/(1/SUM(COUNTIFS(
'YearB-AppDetails Current Date'!A:A,D103,
'YearB-AppDetails Current Date'!F:F,E103,
'YearB-AppDetails Current Date'!E:E,--F103,
'YearB-AppDetails Current Date'!T:T,{"CDMT","RQMT","WAIT"},
'YearB-AppDetails Current Date'!I:I,"SPRING"))), "")</f>
        <v/>
      </c>
      <c r="P103" s="74" t="str">
        <f>IFERROR(1/(1/COUNTIFS(
'YearB-AppDetails Current Date'!A:A,D103,
'YearB-AppDetails Current Date'!F:F,E103,
'YearB-AppDetails Current Date'!E:E,--F103,
'YearB-AppDetails Current Date'!Y:Y,"ENRO",
'YearB-AppDetails Current Date'!I:I,"SPRING")), "")</f>
        <v/>
      </c>
      <c r="Q103" s="3" t="str">
        <f t="shared" si="8"/>
        <v/>
      </c>
    </row>
    <row r="104" spans="1:17" ht="15.75" customHeight="1" x14ac:dyDescent="0.25">
      <c r="A104" s="119"/>
      <c r="B104" s="122"/>
      <c r="C104" s="132" t="s">
        <v>80</v>
      </c>
      <c r="D104" s="23" t="s">
        <v>81</v>
      </c>
      <c r="E104" s="2" t="s">
        <v>42</v>
      </c>
      <c r="F104" s="42">
        <v>1</v>
      </c>
      <c r="G104" s="139" t="s">
        <v>48</v>
      </c>
      <c r="H104" s="73" t="str">
        <f>IFERROR(1/(1/
SUM(
N(VLOOKUP(D104&amp;F104,'Budgeted Projections Dom HC'!D:T,16,FALSE)),
N(VLOOKUP(D104&amp;F104,'Budgeted Projections Dom HC'!D:T,17,FALSE))
)
),"")</f>
        <v/>
      </c>
      <c r="I104" s="73" t="str">
        <f>IFERROR(1/(1/COUNTIFS(
'YearB-AppDetails Current Date'!A:A,D104,
'YearB-AppDetails Current Date'!F:F,E104,
'YearB-AppDetails Current Date'!E:E,--F104,
'YearB-AppDetails Current Date'!I:I,"SPRING")), "")</f>
        <v/>
      </c>
      <c r="J104" s="74" t="str" cm="1">
        <f t="array" ref="J104">IFERROR(1/(1/SUM(COUNTIFS(
'YearB-AppDetails Current Date'!A:A,D104,
'YearB-AppDetails Current Date'!F:F,E104,
'YearB-AppDetails Current Date'!E:E,--F104,
'YearB-AppDetails Current Date'!O:O,{"ACLN","ACPT","COND"},
'YearB-AppDetails Current Date'!S:S,"&lt;&gt;ACLN",
'YearB-AppDetails Current Date'!S:S,"&lt;&gt;ACPT",
'YearB-AppDetails Current Date'!S:S,"&lt;&gt;COND",
'YearB-AppDetails Current Date'!I:I,"SPRING"))), "")</f>
        <v/>
      </c>
      <c r="K104" s="73" t="str">
        <f>IFERROR(1/(1/SUM(COUNTIFS(
'YearB-AppDetails Current Date'!A:A,D104,
'YearB-AppDetails Current Date'!F:F,E104,
'YearB-AppDetails Current Date'!E:E,--F104,
'YearB-AppDetails Current Date'!R:R,"&lt;&gt;"&amp;"",
'YearB-AppDetails Current Date'!I:I,"SPRING"))), "")</f>
        <v/>
      </c>
      <c r="L104" s="74" t="str" cm="1">
        <f t="array" ref="L104">IFERROR(1/(1/SUM(COUNTIFS(
'YearB-AppDetails Current Date'!A:A,D104,
'YearB-AppDetails Current Date'!F:F,E104,
'YearB-AppDetails Current Date'!E:E,--F104,
'YearB-AppDetails Current Date'!T:T,{"APEX","DENY","NTSL"},
'YearB-AppDetails Current Date'!I:I,"SPRING"))), "")</f>
        <v/>
      </c>
      <c r="M104" s="74" t="str" cm="1">
        <f t="array" ref="M104">IFERROR(1/(1/SUM(COUNTIFS(
'YearB-AppDetails Current Date'!A:A,D104,
'YearB-AppDetails Current Date'!F:F,E104,
'YearB-AppDetails Current Date'!E:E,--F104,
'YearB-AppDetails Current Date'!U:U,{"CCAN","DECL"},
'YearB-AppDetails Current Date'!I:I,"SPRING"))), "")</f>
        <v/>
      </c>
      <c r="N104" s="74" t="str" cm="1">
        <f t="array" ref="N104">IFERROR(1/(1/SUM(COUNTIFS(
'YearB-AppDetails Current Date'!A:A,D104,
'YearB-AppDetails Current Date'!F:F,E104,
'YearB-AppDetails Current Date'!E:E,--F104,
'YearB-AppDetails Current Date'!V:V,{"APRO","NODE"},
'YearB-AppDetails Current Date'!I:I,"SPRING"))), "")</f>
        <v/>
      </c>
      <c r="O104" s="74" t="str" cm="1">
        <f t="array" ref="O104">IFERROR(1/(1/SUM(COUNTIFS(
'YearB-AppDetails Current Date'!A:A,D104,
'YearB-AppDetails Current Date'!F:F,E104,
'YearB-AppDetails Current Date'!E:E,--F104,
'YearB-AppDetails Current Date'!T:T,{"CDMT","RQMT","WAIT"},
'YearB-AppDetails Current Date'!I:I,"SPRING"))), "")</f>
        <v/>
      </c>
      <c r="P104" s="74" t="str">
        <f>IFERROR(1/(1/COUNTIFS(
'YearB-AppDetails Current Date'!A:A,D104,
'YearB-AppDetails Current Date'!F:F,E104,
'YearB-AppDetails Current Date'!E:E,--F104,
'YearB-AppDetails Current Date'!Y:Y,"ENRO",
'YearB-AppDetails Current Date'!I:I,"SPRING")), "")</f>
        <v/>
      </c>
      <c r="Q104" s="3" t="str">
        <f t="shared" si="8"/>
        <v/>
      </c>
    </row>
    <row r="105" spans="1:17" ht="15.75" customHeight="1" x14ac:dyDescent="0.25">
      <c r="A105" s="119"/>
      <c r="B105" s="122"/>
      <c r="C105" s="145"/>
      <c r="D105" s="23" t="s">
        <v>81</v>
      </c>
      <c r="E105" s="2" t="s">
        <v>43</v>
      </c>
      <c r="F105" s="31">
        <v>1</v>
      </c>
      <c r="G105" s="140"/>
      <c r="H105" s="73" t="str">
        <f>IFERROR(1/(1/
SUM(
N(VLOOKUP(D105&amp;F105,'Budgeted Projections Intl HC'!D:T,16,FALSE)),
N(VLOOKUP(D105&amp;F105,'Budgeted Projections Intl HC'!D:T,17,FALSE))
)
),"")</f>
        <v/>
      </c>
      <c r="I105" s="73" t="str">
        <f>IFERROR(1/(1/COUNTIFS(
'YearB-AppDetails Current Date'!A:A,D105,
'YearB-AppDetails Current Date'!F:F,E105,
'YearB-AppDetails Current Date'!E:E,--F105,
'YearB-AppDetails Current Date'!I:I,"SPRING")), "")</f>
        <v/>
      </c>
      <c r="J105" s="74" t="str" cm="1">
        <f t="array" ref="J105">IFERROR(1/(1/SUM(COUNTIFS(
'YearB-AppDetails Current Date'!A:A,D105,
'YearB-AppDetails Current Date'!F:F,E105,
'YearB-AppDetails Current Date'!E:E,--F105,
'YearB-AppDetails Current Date'!O:O,{"ACLN","ACPT","COND"},
'YearB-AppDetails Current Date'!S:S,"&lt;&gt;ACLN",
'YearB-AppDetails Current Date'!S:S,"&lt;&gt;ACPT",
'YearB-AppDetails Current Date'!S:S,"&lt;&gt;COND",
'YearB-AppDetails Current Date'!I:I,"SPRING"))), "")</f>
        <v/>
      </c>
      <c r="K105" s="73" t="str">
        <f>IFERROR(1/(1/SUM(COUNTIFS(
'YearB-AppDetails Current Date'!A:A,D105,
'YearB-AppDetails Current Date'!F:F,E105,
'YearB-AppDetails Current Date'!E:E,--F105,
'YearB-AppDetails Current Date'!R:R,"&lt;&gt;"&amp;"",
'YearB-AppDetails Current Date'!I:I,"SPRING"))), "")</f>
        <v/>
      </c>
      <c r="L105" s="74" t="str" cm="1">
        <f t="array" ref="L105">IFERROR(1/(1/SUM(COUNTIFS(
'YearB-AppDetails Current Date'!A:A,D105,
'YearB-AppDetails Current Date'!F:F,E105,
'YearB-AppDetails Current Date'!E:E,--F105,
'YearB-AppDetails Current Date'!T:T,{"APEX","DENY","NTSL"},
'YearB-AppDetails Current Date'!I:I,"SPRING"))), "")</f>
        <v/>
      </c>
      <c r="M105" s="74" t="str" cm="1">
        <f t="array" ref="M105">IFERROR(1/(1/SUM(COUNTIFS(
'YearB-AppDetails Current Date'!A:A,D105,
'YearB-AppDetails Current Date'!F:F,E105,
'YearB-AppDetails Current Date'!E:E,--F105,
'YearB-AppDetails Current Date'!U:U,{"CCAN","DECL"},
'YearB-AppDetails Current Date'!I:I,"SPRING"))), "")</f>
        <v/>
      </c>
      <c r="N105" s="74" t="str" cm="1">
        <f t="array" ref="N105">IFERROR(1/(1/SUM(COUNTIFS(
'YearB-AppDetails Current Date'!A:A,D105,
'YearB-AppDetails Current Date'!F:F,E105,
'YearB-AppDetails Current Date'!E:E,--F105,
'YearB-AppDetails Current Date'!V:V,{"APRO","NODE"},
'YearB-AppDetails Current Date'!I:I,"SPRING"))), "")</f>
        <v/>
      </c>
      <c r="O105" s="74" t="str" cm="1">
        <f t="array" ref="O105">IFERROR(1/(1/SUM(COUNTIFS(
'YearB-AppDetails Current Date'!A:A,D105,
'YearB-AppDetails Current Date'!F:F,E105,
'YearB-AppDetails Current Date'!E:E,--F105,
'YearB-AppDetails Current Date'!T:T,{"CDMT","RQMT","WAIT"},
'YearB-AppDetails Current Date'!I:I,"SPRING"))), "")</f>
        <v/>
      </c>
      <c r="P105" s="74" t="str">
        <f>IFERROR(1/(1/COUNTIFS(
'YearB-AppDetails Current Date'!A:A,D105,
'YearB-AppDetails Current Date'!F:F,E105,
'YearB-AppDetails Current Date'!E:E,--F105,
'YearB-AppDetails Current Date'!Y:Y,"ENRO",
'YearB-AppDetails Current Date'!I:I,"SPRING")), "")</f>
        <v/>
      </c>
      <c r="Q105" s="3" t="str">
        <f t="shared" si="8"/>
        <v/>
      </c>
    </row>
    <row r="106" spans="1:17" ht="15.75" customHeight="1" x14ac:dyDescent="0.25">
      <c r="A106" s="119"/>
      <c r="B106" s="122"/>
      <c r="C106" s="145"/>
      <c r="D106" s="23" t="s">
        <v>81</v>
      </c>
      <c r="E106" s="2" t="s">
        <v>42</v>
      </c>
      <c r="F106" s="42">
        <v>2</v>
      </c>
      <c r="G106" s="139" t="s">
        <v>48</v>
      </c>
      <c r="H106" s="73" t="str">
        <f>IFERROR(1/(1/
SUM(
N(VLOOKUP(D106&amp;F106,'Budgeted Projections Dom HC'!D:T,16,FALSE)),
N(VLOOKUP(D106&amp;F106,'Budgeted Projections Dom HC'!D:T,17,FALSE))
)
),"")</f>
        <v/>
      </c>
      <c r="I106" s="73" t="str">
        <f>IFERROR(1/(1/COUNTIFS(
'YearB-AppDetails Current Date'!A:A,D106,
'YearB-AppDetails Current Date'!F:F,E106,
'YearB-AppDetails Current Date'!E:E,--F106,
'YearB-AppDetails Current Date'!I:I,"SPRING")), "")</f>
        <v/>
      </c>
      <c r="J106" s="74" t="str" cm="1">
        <f t="array" ref="J106">IFERROR(1/(1/SUM(COUNTIFS(
'YearB-AppDetails Current Date'!A:A,D106,
'YearB-AppDetails Current Date'!F:F,E106,
'YearB-AppDetails Current Date'!E:E,--F106,
'YearB-AppDetails Current Date'!O:O,{"ACLN","ACPT","COND"},
'YearB-AppDetails Current Date'!S:S,"&lt;&gt;ACLN",
'YearB-AppDetails Current Date'!S:S,"&lt;&gt;ACPT",
'YearB-AppDetails Current Date'!S:S,"&lt;&gt;COND",
'YearB-AppDetails Current Date'!I:I,"SPRING"))), "")</f>
        <v/>
      </c>
      <c r="K106" s="73" t="str">
        <f>IFERROR(1/(1/SUM(COUNTIFS(
'YearB-AppDetails Current Date'!A:A,D106,
'YearB-AppDetails Current Date'!F:F,E106,
'YearB-AppDetails Current Date'!E:E,--F106,
'YearB-AppDetails Current Date'!R:R,"&lt;&gt;"&amp;"",
'YearB-AppDetails Current Date'!I:I,"SPRING"))), "")</f>
        <v/>
      </c>
      <c r="L106" s="74" t="str" cm="1">
        <f t="array" ref="L106">IFERROR(1/(1/SUM(COUNTIFS(
'YearB-AppDetails Current Date'!A:A,D106,
'YearB-AppDetails Current Date'!F:F,E106,
'YearB-AppDetails Current Date'!E:E,--F106,
'YearB-AppDetails Current Date'!T:T,{"APEX","DENY","NTSL"},
'YearB-AppDetails Current Date'!I:I,"SPRING"))), "")</f>
        <v/>
      </c>
      <c r="M106" s="74" t="str" cm="1">
        <f t="array" ref="M106">IFERROR(1/(1/SUM(COUNTIFS(
'YearB-AppDetails Current Date'!A:A,D106,
'YearB-AppDetails Current Date'!F:F,E106,
'YearB-AppDetails Current Date'!E:E,--F106,
'YearB-AppDetails Current Date'!U:U,{"CCAN","DECL"},
'YearB-AppDetails Current Date'!I:I,"SPRING"))), "")</f>
        <v/>
      </c>
      <c r="N106" s="74" t="str" cm="1">
        <f t="array" ref="N106">IFERROR(1/(1/SUM(COUNTIFS(
'YearB-AppDetails Current Date'!A:A,D106,
'YearB-AppDetails Current Date'!F:F,E106,
'YearB-AppDetails Current Date'!E:E,--F106,
'YearB-AppDetails Current Date'!V:V,{"APRO","NODE"},
'YearB-AppDetails Current Date'!I:I,"SPRING"))), "")</f>
        <v/>
      </c>
      <c r="O106" s="74" t="str" cm="1">
        <f t="array" ref="O106">IFERROR(1/(1/SUM(COUNTIFS(
'YearB-AppDetails Current Date'!A:A,D106,
'YearB-AppDetails Current Date'!F:F,E106,
'YearB-AppDetails Current Date'!E:E,--F106,
'YearB-AppDetails Current Date'!T:T,{"CDMT","RQMT","WAIT"},
'YearB-AppDetails Current Date'!I:I,"SPRING"))), "")</f>
        <v/>
      </c>
      <c r="P106" s="74" t="str">
        <f>IFERROR(1/(1/COUNTIFS(
'YearB-AppDetails Current Date'!A:A,D106,
'YearB-AppDetails Current Date'!F:F,E106,
'YearB-AppDetails Current Date'!E:E,--F106,
'YearB-AppDetails Current Date'!Y:Y,"ENRO",
'YearB-AppDetails Current Date'!I:I,"SPRING")), "")</f>
        <v/>
      </c>
      <c r="Q106" s="3" t="str">
        <f t="shared" si="8"/>
        <v/>
      </c>
    </row>
    <row r="107" spans="1:17" ht="15.75" customHeight="1" x14ac:dyDescent="0.25">
      <c r="A107" s="119"/>
      <c r="B107" s="122"/>
      <c r="C107" s="133"/>
      <c r="D107" s="23" t="s">
        <v>81</v>
      </c>
      <c r="E107" s="2" t="s">
        <v>43</v>
      </c>
      <c r="F107" s="31">
        <v>2</v>
      </c>
      <c r="G107" s="140"/>
      <c r="H107" s="73" t="str">
        <f>IFERROR(1/(1/
SUM(
N(VLOOKUP(D107&amp;F107,'Budgeted Projections Intl HC'!D:T,16,FALSE)),
N(VLOOKUP(D107&amp;F107,'Budgeted Projections Intl HC'!D:T,17,FALSE))
)
),"")</f>
        <v/>
      </c>
      <c r="I107" s="73" t="str">
        <f>IFERROR(1/(1/COUNTIFS(
'YearB-AppDetails Current Date'!A:A,D107,
'YearB-AppDetails Current Date'!F:F,E107,
'YearB-AppDetails Current Date'!E:E,--F107,
'YearB-AppDetails Current Date'!I:I,"SPRING")), "")</f>
        <v/>
      </c>
      <c r="J107" s="74" t="str" cm="1">
        <f t="array" ref="J107">IFERROR(1/(1/SUM(COUNTIFS(
'YearB-AppDetails Current Date'!A:A,D107,
'YearB-AppDetails Current Date'!F:F,E107,
'YearB-AppDetails Current Date'!E:E,--F107,
'YearB-AppDetails Current Date'!O:O,{"ACLN","ACPT","COND"},
'YearB-AppDetails Current Date'!S:S,"&lt;&gt;ACLN",
'YearB-AppDetails Current Date'!S:S,"&lt;&gt;ACPT",
'YearB-AppDetails Current Date'!S:S,"&lt;&gt;COND",
'YearB-AppDetails Current Date'!I:I,"SPRING"))), "")</f>
        <v/>
      </c>
      <c r="K107" s="73" t="str">
        <f>IFERROR(1/(1/SUM(COUNTIFS(
'YearB-AppDetails Current Date'!A:A,D107,
'YearB-AppDetails Current Date'!F:F,E107,
'YearB-AppDetails Current Date'!E:E,--F107,
'YearB-AppDetails Current Date'!R:R,"&lt;&gt;"&amp;"",
'YearB-AppDetails Current Date'!I:I,"SPRING"))), "")</f>
        <v/>
      </c>
      <c r="L107" s="74" t="str" cm="1">
        <f t="array" ref="L107">IFERROR(1/(1/SUM(COUNTIFS(
'YearB-AppDetails Current Date'!A:A,D107,
'YearB-AppDetails Current Date'!F:F,E107,
'YearB-AppDetails Current Date'!E:E,--F107,
'YearB-AppDetails Current Date'!T:T,{"APEX","DENY","NTSL"},
'YearB-AppDetails Current Date'!I:I,"SPRING"))), "")</f>
        <v/>
      </c>
      <c r="M107" s="74" t="str" cm="1">
        <f t="array" ref="M107">IFERROR(1/(1/SUM(COUNTIFS(
'YearB-AppDetails Current Date'!A:A,D107,
'YearB-AppDetails Current Date'!F:F,E107,
'YearB-AppDetails Current Date'!E:E,--F107,
'YearB-AppDetails Current Date'!U:U,{"CCAN","DECL"},
'YearB-AppDetails Current Date'!I:I,"SPRING"))), "")</f>
        <v/>
      </c>
      <c r="N107" s="74" t="str" cm="1">
        <f t="array" ref="N107">IFERROR(1/(1/SUM(COUNTIFS(
'YearB-AppDetails Current Date'!A:A,D107,
'YearB-AppDetails Current Date'!F:F,E107,
'YearB-AppDetails Current Date'!E:E,--F107,
'YearB-AppDetails Current Date'!V:V,{"APRO","NODE"},
'YearB-AppDetails Current Date'!I:I,"SPRING"))), "")</f>
        <v/>
      </c>
      <c r="O107" s="74" t="str" cm="1">
        <f t="array" ref="O107">IFERROR(1/(1/SUM(COUNTIFS(
'YearB-AppDetails Current Date'!A:A,D107,
'YearB-AppDetails Current Date'!F:F,E107,
'YearB-AppDetails Current Date'!E:E,--F107,
'YearB-AppDetails Current Date'!T:T,{"CDMT","RQMT","WAIT"},
'YearB-AppDetails Current Date'!I:I,"SPRING"))), "")</f>
        <v/>
      </c>
      <c r="P107" s="74" t="str">
        <f>IFERROR(1/(1/COUNTIFS(
'YearB-AppDetails Current Date'!A:A,D107,
'YearB-AppDetails Current Date'!F:F,E107,
'YearB-AppDetails Current Date'!E:E,--F107,
'YearB-AppDetails Current Date'!Y:Y,"ENRO",
'YearB-AppDetails Current Date'!I:I,"SPRING")), "")</f>
        <v/>
      </c>
      <c r="Q107" s="3" t="str">
        <f t="shared" si="8"/>
        <v/>
      </c>
    </row>
    <row r="108" spans="1:17" ht="15.75" customHeight="1" x14ac:dyDescent="0.25">
      <c r="A108" s="119"/>
      <c r="B108" s="122"/>
      <c r="C108" s="132" t="s">
        <v>82</v>
      </c>
      <c r="D108" s="23" t="s">
        <v>83</v>
      </c>
      <c r="E108" s="2" t="s">
        <v>42</v>
      </c>
      <c r="F108" s="42">
        <v>1</v>
      </c>
      <c r="G108" s="139" t="s">
        <v>48</v>
      </c>
      <c r="H108" s="73" t="str">
        <f>IFERROR(1/(1/
SUM(
N(VLOOKUP(D108&amp;F108,'Budgeted Projections Dom HC'!D:T,16,FALSE)),
N(VLOOKUP(D108&amp;F108,'Budgeted Projections Dom HC'!D:T,17,FALSE))
)
),"")</f>
        <v/>
      </c>
      <c r="I108" s="73" t="str">
        <f>IFERROR(1/(1/COUNTIFS(
'YearB-AppDetails Current Date'!A:A,D108,
'YearB-AppDetails Current Date'!F:F,E108,
'YearB-AppDetails Current Date'!E:E,--F108,
'YearB-AppDetails Current Date'!I:I,"SPRING")), "")</f>
        <v/>
      </c>
      <c r="J108" s="74" t="str" cm="1">
        <f t="array" ref="J108">IFERROR(1/(1/SUM(COUNTIFS(
'YearB-AppDetails Current Date'!A:A,D108,
'YearB-AppDetails Current Date'!F:F,E108,
'YearB-AppDetails Current Date'!E:E,--F108,
'YearB-AppDetails Current Date'!O:O,{"ACLN","ACPT","COND"},
'YearB-AppDetails Current Date'!S:S,"&lt;&gt;ACLN",
'YearB-AppDetails Current Date'!S:S,"&lt;&gt;ACPT",
'YearB-AppDetails Current Date'!S:S,"&lt;&gt;COND",
'YearB-AppDetails Current Date'!I:I,"SPRING"))), "")</f>
        <v/>
      </c>
      <c r="K108" s="73" t="str">
        <f>IFERROR(1/(1/SUM(COUNTIFS(
'YearB-AppDetails Current Date'!A:A,D108,
'YearB-AppDetails Current Date'!F:F,E108,
'YearB-AppDetails Current Date'!E:E,--F108,
'YearB-AppDetails Current Date'!R:R,"&lt;&gt;"&amp;"",
'YearB-AppDetails Current Date'!I:I,"SPRING"))), "")</f>
        <v/>
      </c>
      <c r="L108" s="74" t="str" cm="1">
        <f t="array" ref="L108">IFERROR(1/(1/SUM(COUNTIFS(
'YearB-AppDetails Current Date'!A:A,D108,
'YearB-AppDetails Current Date'!F:F,E108,
'YearB-AppDetails Current Date'!E:E,--F108,
'YearB-AppDetails Current Date'!T:T,{"APEX","DENY","NTSL"},
'YearB-AppDetails Current Date'!I:I,"SPRING"))), "")</f>
        <v/>
      </c>
      <c r="M108" s="74" t="str" cm="1">
        <f t="array" ref="M108">IFERROR(1/(1/SUM(COUNTIFS(
'YearB-AppDetails Current Date'!A:A,D108,
'YearB-AppDetails Current Date'!F:F,E108,
'YearB-AppDetails Current Date'!E:E,--F108,
'YearB-AppDetails Current Date'!U:U,{"CCAN","DECL"},
'YearB-AppDetails Current Date'!I:I,"SPRING"))), "")</f>
        <v/>
      </c>
      <c r="N108" s="74" t="str" cm="1">
        <f t="array" ref="N108">IFERROR(1/(1/SUM(COUNTIFS(
'YearB-AppDetails Current Date'!A:A,D108,
'YearB-AppDetails Current Date'!F:F,E108,
'YearB-AppDetails Current Date'!E:E,--F108,
'YearB-AppDetails Current Date'!V:V,{"APRO","NODE"},
'YearB-AppDetails Current Date'!I:I,"SPRING"))), "")</f>
        <v/>
      </c>
      <c r="O108" s="74" t="str" cm="1">
        <f t="array" ref="O108">IFERROR(1/(1/SUM(COUNTIFS(
'YearB-AppDetails Current Date'!A:A,D108,
'YearB-AppDetails Current Date'!F:F,E108,
'YearB-AppDetails Current Date'!E:E,--F108,
'YearB-AppDetails Current Date'!T:T,{"CDMT","RQMT","WAIT"},
'YearB-AppDetails Current Date'!I:I,"SPRING"))), "")</f>
        <v/>
      </c>
      <c r="P108" s="74" t="str">
        <f>IFERROR(1/(1/COUNTIFS(
'YearB-AppDetails Current Date'!A:A,D108,
'YearB-AppDetails Current Date'!F:F,E108,
'YearB-AppDetails Current Date'!E:E,--F108,
'YearB-AppDetails Current Date'!Y:Y,"ENRO",
'YearB-AppDetails Current Date'!I:I,"SPRING")), "")</f>
        <v/>
      </c>
      <c r="Q108" s="3" t="str">
        <f t="shared" si="8"/>
        <v/>
      </c>
    </row>
    <row r="109" spans="1:17" ht="15.75" customHeight="1" x14ac:dyDescent="0.25">
      <c r="A109" s="119"/>
      <c r="B109" s="122"/>
      <c r="C109" s="145"/>
      <c r="D109" s="23" t="s">
        <v>83</v>
      </c>
      <c r="E109" s="2" t="s">
        <v>43</v>
      </c>
      <c r="F109" s="31">
        <v>1</v>
      </c>
      <c r="G109" s="140"/>
      <c r="H109" s="73" t="str">
        <f>IFERROR(1/(1/
SUM(
N(VLOOKUP(D109&amp;F109,'Budgeted Projections Intl HC'!D:T,16,FALSE)),
N(VLOOKUP(D109&amp;F109,'Budgeted Projections Intl HC'!D:T,17,FALSE))
)
),"")</f>
        <v/>
      </c>
      <c r="I109" s="73" t="str">
        <f>IFERROR(1/(1/COUNTIFS(
'YearB-AppDetails Current Date'!A:A,D109,
'YearB-AppDetails Current Date'!F:F,E109,
'YearB-AppDetails Current Date'!E:E,--F109,
'YearB-AppDetails Current Date'!I:I,"SPRING")), "")</f>
        <v/>
      </c>
      <c r="J109" s="74" t="str" cm="1">
        <f t="array" ref="J109">IFERROR(1/(1/SUM(COUNTIFS(
'YearB-AppDetails Current Date'!A:A,D109,
'YearB-AppDetails Current Date'!F:F,E109,
'YearB-AppDetails Current Date'!E:E,--F109,
'YearB-AppDetails Current Date'!O:O,{"ACLN","ACPT","COND"},
'YearB-AppDetails Current Date'!S:S,"&lt;&gt;ACLN",
'YearB-AppDetails Current Date'!S:S,"&lt;&gt;ACPT",
'YearB-AppDetails Current Date'!S:S,"&lt;&gt;COND",
'YearB-AppDetails Current Date'!I:I,"SPRING"))), "")</f>
        <v/>
      </c>
      <c r="K109" s="73" t="str">
        <f>IFERROR(1/(1/SUM(COUNTIFS(
'YearB-AppDetails Current Date'!A:A,D109,
'YearB-AppDetails Current Date'!F:F,E109,
'YearB-AppDetails Current Date'!E:E,--F109,
'YearB-AppDetails Current Date'!R:R,"&lt;&gt;"&amp;"",
'YearB-AppDetails Current Date'!I:I,"SPRING"))), "")</f>
        <v/>
      </c>
      <c r="L109" s="74" t="str" cm="1">
        <f t="array" ref="L109">IFERROR(1/(1/SUM(COUNTIFS(
'YearB-AppDetails Current Date'!A:A,D109,
'YearB-AppDetails Current Date'!F:F,E109,
'YearB-AppDetails Current Date'!E:E,--F109,
'YearB-AppDetails Current Date'!T:T,{"APEX","DENY","NTSL"},
'YearB-AppDetails Current Date'!I:I,"SPRING"))), "")</f>
        <v/>
      </c>
      <c r="M109" s="74" t="str" cm="1">
        <f t="array" ref="M109">IFERROR(1/(1/SUM(COUNTIFS(
'YearB-AppDetails Current Date'!A:A,D109,
'YearB-AppDetails Current Date'!F:F,E109,
'YearB-AppDetails Current Date'!E:E,--F109,
'YearB-AppDetails Current Date'!U:U,{"CCAN","DECL"},
'YearB-AppDetails Current Date'!I:I,"SPRING"))), "")</f>
        <v/>
      </c>
      <c r="N109" s="74" t="str" cm="1">
        <f t="array" ref="N109">IFERROR(1/(1/SUM(COUNTIFS(
'YearB-AppDetails Current Date'!A:A,D109,
'YearB-AppDetails Current Date'!F:F,E109,
'YearB-AppDetails Current Date'!E:E,--F109,
'YearB-AppDetails Current Date'!V:V,{"APRO","NODE"},
'YearB-AppDetails Current Date'!I:I,"SPRING"))), "")</f>
        <v/>
      </c>
      <c r="O109" s="74" t="str" cm="1">
        <f t="array" ref="O109">IFERROR(1/(1/SUM(COUNTIFS(
'YearB-AppDetails Current Date'!A:A,D109,
'YearB-AppDetails Current Date'!F:F,E109,
'YearB-AppDetails Current Date'!E:E,--F109,
'YearB-AppDetails Current Date'!T:T,{"CDMT","RQMT","WAIT"},
'YearB-AppDetails Current Date'!I:I,"SPRING"))), "")</f>
        <v/>
      </c>
      <c r="P109" s="74" t="str">
        <f>IFERROR(1/(1/COUNTIFS(
'YearB-AppDetails Current Date'!A:A,D109,
'YearB-AppDetails Current Date'!F:F,E109,
'YearB-AppDetails Current Date'!E:E,--F109,
'YearB-AppDetails Current Date'!Y:Y,"ENRO",
'YearB-AppDetails Current Date'!I:I,"SPRING")), "")</f>
        <v/>
      </c>
      <c r="Q109" s="3" t="str">
        <f t="shared" si="8"/>
        <v/>
      </c>
    </row>
    <row r="110" spans="1:17" ht="15.75" customHeight="1" x14ac:dyDescent="0.25">
      <c r="A110" s="119"/>
      <c r="B110" s="122"/>
      <c r="C110" s="145"/>
      <c r="D110" s="23" t="s">
        <v>83</v>
      </c>
      <c r="E110" s="2" t="s">
        <v>42</v>
      </c>
      <c r="F110" s="42">
        <v>2</v>
      </c>
      <c r="G110" s="139" t="s">
        <v>48</v>
      </c>
      <c r="H110" s="73" t="str">
        <f>IFERROR(1/(1/
SUM(
N(VLOOKUP(D110&amp;F110,'Budgeted Projections Dom HC'!D:T,16,FALSE)),
N(VLOOKUP(D110&amp;F110,'Budgeted Projections Dom HC'!D:T,17,FALSE))
)
),"")</f>
        <v/>
      </c>
      <c r="I110" s="73" t="str">
        <f>IFERROR(1/(1/COUNTIFS(
'YearB-AppDetails Current Date'!A:A,D110,
'YearB-AppDetails Current Date'!F:F,E110,
'YearB-AppDetails Current Date'!E:E,--F110,
'YearB-AppDetails Current Date'!I:I,"SPRING")), "")</f>
        <v/>
      </c>
      <c r="J110" s="74" t="str" cm="1">
        <f t="array" ref="J110">IFERROR(1/(1/SUM(COUNTIFS(
'YearB-AppDetails Current Date'!A:A,D110,
'YearB-AppDetails Current Date'!F:F,E110,
'YearB-AppDetails Current Date'!E:E,--F110,
'YearB-AppDetails Current Date'!O:O,{"ACLN","ACPT","COND"},
'YearB-AppDetails Current Date'!S:S,"&lt;&gt;ACLN",
'YearB-AppDetails Current Date'!S:S,"&lt;&gt;ACPT",
'YearB-AppDetails Current Date'!S:S,"&lt;&gt;COND",
'YearB-AppDetails Current Date'!I:I,"SPRING"))), "")</f>
        <v/>
      </c>
      <c r="K110" s="73" t="str">
        <f>IFERROR(1/(1/SUM(COUNTIFS(
'YearB-AppDetails Current Date'!A:A,D110,
'YearB-AppDetails Current Date'!F:F,E110,
'YearB-AppDetails Current Date'!E:E,--F110,
'YearB-AppDetails Current Date'!R:R,"&lt;&gt;"&amp;"",
'YearB-AppDetails Current Date'!I:I,"SPRING"))), "")</f>
        <v/>
      </c>
      <c r="L110" s="74" t="str" cm="1">
        <f t="array" ref="L110">IFERROR(1/(1/SUM(COUNTIFS(
'YearB-AppDetails Current Date'!A:A,D110,
'YearB-AppDetails Current Date'!F:F,E110,
'YearB-AppDetails Current Date'!E:E,--F110,
'YearB-AppDetails Current Date'!T:T,{"APEX","DENY","NTSL"},
'YearB-AppDetails Current Date'!I:I,"SPRING"))), "")</f>
        <v/>
      </c>
      <c r="M110" s="74" t="str" cm="1">
        <f t="array" ref="M110">IFERROR(1/(1/SUM(COUNTIFS(
'YearB-AppDetails Current Date'!A:A,D110,
'YearB-AppDetails Current Date'!F:F,E110,
'YearB-AppDetails Current Date'!E:E,--F110,
'YearB-AppDetails Current Date'!U:U,{"CCAN","DECL"},
'YearB-AppDetails Current Date'!I:I,"SPRING"))), "")</f>
        <v/>
      </c>
      <c r="N110" s="74" t="str" cm="1">
        <f t="array" ref="N110">IFERROR(1/(1/SUM(COUNTIFS(
'YearB-AppDetails Current Date'!A:A,D110,
'YearB-AppDetails Current Date'!F:F,E110,
'YearB-AppDetails Current Date'!E:E,--F110,
'YearB-AppDetails Current Date'!V:V,{"APRO","NODE"},
'YearB-AppDetails Current Date'!I:I,"SPRING"))), "")</f>
        <v/>
      </c>
      <c r="O110" s="74" t="str" cm="1">
        <f t="array" ref="O110">IFERROR(1/(1/SUM(COUNTIFS(
'YearB-AppDetails Current Date'!A:A,D110,
'YearB-AppDetails Current Date'!F:F,E110,
'YearB-AppDetails Current Date'!E:E,--F110,
'YearB-AppDetails Current Date'!T:T,{"CDMT","RQMT","WAIT"},
'YearB-AppDetails Current Date'!I:I,"SPRING"))), "")</f>
        <v/>
      </c>
      <c r="P110" s="74" t="str">
        <f>IFERROR(1/(1/COUNTIFS(
'YearB-AppDetails Current Date'!A:A,D110,
'YearB-AppDetails Current Date'!F:F,E110,
'YearB-AppDetails Current Date'!E:E,--F110,
'YearB-AppDetails Current Date'!Y:Y,"ENRO",
'YearB-AppDetails Current Date'!I:I,"SPRING")), "")</f>
        <v/>
      </c>
      <c r="Q110" s="3" t="str">
        <f t="shared" si="8"/>
        <v/>
      </c>
    </row>
    <row r="111" spans="1:17" ht="15.75" customHeight="1" x14ac:dyDescent="0.25">
      <c r="A111" s="119"/>
      <c r="B111" s="122"/>
      <c r="C111" s="133"/>
      <c r="D111" s="23" t="s">
        <v>83</v>
      </c>
      <c r="E111" s="2" t="s">
        <v>43</v>
      </c>
      <c r="F111" s="31">
        <v>2</v>
      </c>
      <c r="G111" s="146"/>
      <c r="H111" s="73" t="str">
        <f>IFERROR(1/(1/
SUM(
N(VLOOKUP(D111&amp;F111,'Budgeted Projections Intl HC'!D:T,16,FALSE)),
N(VLOOKUP(D111&amp;F111,'Budgeted Projections Intl HC'!D:T,17,FALSE))
)
),"")</f>
        <v/>
      </c>
      <c r="I111" s="73" t="str">
        <f>IFERROR(1/(1/COUNTIFS(
'YearB-AppDetails Current Date'!A:A,D111,
'YearB-AppDetails Current Date'!F:F,E111,
'YearB-AppDetails Current Date'!E:E,--F111,
'YearB-AppDetails Current Date'!I:I,"SPRING")), "")</f>
        <v/>
      </c>
      <c r="J111" s="74" t="str" cm="1">
        <f t="array" ref="J111">IFERROR(1/(1/SUM(COUNTIFS(
'YearB-AppDetails Current Date'!A:A,D111,
'YearB-AppDetails Current Date'!F:F,E111,
'YearB-AppDetails Current Date'!E:E,--F111,
'YearB-AppDetails Current Date'!O:O,{"ACLN","ACPT","COND"},
'YearB-AppDetails Current Date'!S:S,"&lt;&gt;ACLN",
'YearB-AppDetails Current Date'!S:S,"&lt;&gt;ACPT",
'YearB-AppDetails Current Date'!S:S,"&lt;&gt;COND",
'YearB-AppDetails Current Date'!I:I,"SPRING"))), "")</f>
        <v/>
      </c>
      <c r="K111" s="73" t="str">
        <f>IFERROR(1/(1/SUM(COUNTIFS(
'YearB-AppDetails Current Date'!A:A,D111,
'YearB-AppDetails Current Date'!F:F,E111,
'YearB-AppDetails Current Date'!E:E,--F111,
'YearB-AppDetails Current Date'!R:R,"&lt;&gt;"&amp;"",
'YearB-AppDetails Current Date'!I:I,"SPRING"))), "")</f>
        <v/>
      </c>
      <c r="L111" s="74" t="str" cm="1">
        <f t="array" ref="L111">IFERROR(1/(1/SUM(COUNTIFS(
'YearB-AppDetails Current Date'!A:A,D111,
'YearB-AppDetails Current Date'!F:F,E111,
'YearB-AppDetails Current Date'!E:E,--F111,
'YearB-AppDetails Current Date'!T:T,{"APEX","DENY","NTSL"},
'YearB-AppDetails Current Date'!I:I,"SPRING"))), "")</f>
        <v/>
      </c>
      <c r="M111" s="74" t="str" cm="1">
        <f t="array" ref="M111">IFERROR(1/(1/SUM(COUNTIFS(
'YearB-AppDetails Current Date'!A:A,D111,
'YearB-AppDetails Current Date'!F:F,E111,
'YearB-AppDetails Current Date'!E:E,--F111,
'YearB-AppDetails Current Date'!U:U,{"CCAN","DECL"},
'YearB-AppDetails Current Date'!I:I,"SPRING"))), "")</f>
        <v/>
      </c>
      <c r="N111" s="74" t="str" cm="1">
        <f t="array" ref="N111">IFERROR(1/(1/SUM(COUNTIFS(
'YearB-AppDetails Current Date'!A:A,D111,
'YearB-AppDetails Current Date'!F:F,E111,
'YearB-AppDetails Current Date'!E:E,--F111,
'YearB-AppDetails Current Date'!V:V,{"APRO","NODE"},
'YearB-AppDetails Current Date'!I:I,"SPRING"))), "")</f>
        <v/>
      </c>
      <c r="O111" s="74" t="str" cm="1">
        <f t="array" ref="O111">IFERROR(1/(1/SUM(COUNTIFS(
'YearB-AppDetails Current Date'!A:A,D111,
'YearB-AppDetails Current Date'!F:F,E111,
'YearB-AppDetails Current Date'!E:E,--F111,
'YearB-AppDetails Current Date'!T:T,{"CDMT","RQMT","WAIT"},
'YearB-AppDetails Current Date'!I:I,"SPRING"))), "")</f>
        <v/>
      </c>
      <c r="P111" s="74" t="str">
        <f>IFERROR(1/(1/COUNTIFS(
'YearB-AppDetails Current Date'!A:A,D111,
'YearB-AppDetails Current Date'!F:F,E111,
'YearB-AppDetails Current Date'!E:E,--F111,
'YearB-AppDetails Current Date'!Y:Y,"ENRO",
'YearB-AppDetails Current Date'!I:I,"SPRING")), "")</f>
        <v/>
      </c>
      <c r="Q111" s="3" t="str">
        <f t="shared" si="8"/>
        <v/>
      </c>
    </row>
    <row r="112" spans="1:17" ht="15.75" customHeight="1" x14ac:dyDescent="0.25">
      <c r="A112" s="119"/>
      <c r="B112" s="122"/>
      <c r="C112" s="132" t="s">
        <v>156</v>
      </c>
      <c r="D112" s="23" t="s">
        <v>136</v>
      </c>
      <c r="E112" s="2" t="s">
        <v>42</v>
      </c>
      <c r="F112" s="42">
        <v>1</v>
      </c>
      <c r="G112" s="148" t="s">
        <v>48</v>
      </c>
      <c r="H112" s="73" t="str">
        <f>IFERROR(1/(1/
SUM(
N(VLOOKUP(D112&amp;F112,'Budgeted Projections Dom HC'!D:T,16,FALSE)),
N(VLOOKUP(D112&amp;F112,'Budgeted Projections Dom HC'!D:T,17,FALSE))
)
),"")</f>
        <v/>
      </c>
      <c r="I112" s="73" t="str">
        <f>IFERROR(1/(1/COUNTIFS(
'YearB-AppDetails Current Date'!A:A,D112,
'YearB-AppDetails Current Date'!F:F,E112,
'YearB-AppDetails Current Date'!E:E,--F112,
'YearB-AppDetails Current Date'!I:I,"SPRING")), "")</f>
        <v/>
      </c>
      <c r="J112" s="74" t="str" cm="1">
        <f t="array" ref="J112">IFERROR(1/(1/SUM(COUNTIFS(
'YearB-AppDetails Current Date'!A:A,D112,
'YearB-AppDetails Current Date'!F:F,E112,
'YearB-AppDetails Current Date'!E:E,--F112,
'YearB-AppDetails Current Date'!O:O,{"ACLN","ACPT","COND"},
'YearB-AppDetails Current Date'!S:S,"&lt;&gt;ACLN",
'YearB-AppDetails Current Date'!S:S,"&lt;&gt;ACPT",
'YearB-AppDetails Current Date'!S:S,"&lt;&gt;COND",
'YearB-AppDetails Current Date'!I:I,"SPRING"))), "")</f>
        <v/>
      </c>
      <c r="K112" s="73" t="str">
        <f>IFERROR(1/(1/SUM(COUNTIFS(
'YearB-AppDetails Current Date'!A:A,D112,
'YearB-AppDetails Current Date'!F:F,E112,
'YearB-AppDetails Current Date'!E:E,--F112,
'YearB-AppDetails Current Date'!R:R,"&lt;&gt;"&amp;"",
'YearB-AppDetails Current Date'!I:I,"SPRING"))), "")</f>
        <v/>
      </c>
      <c r="L112" s="74" t="str" cm="1">
        <f t="array" ref="L112">IFERROR(1/(1/SUM(COUNTIFS(
'YearB-AppDetails Current Date'!A:A,D112,
'YearB-AppDetails Current Date'!F:F,E112,
'YearB-AppDetails Current Date'!E:E,--F112,
'YearB-AppDetails Current Date'!T:T,{"APEX","DENY","NTSL"},
'YearB-AppDetails Current Date'!I:I,"SPRING"))), "")</f>
        <v/>
      </c>
      <c r="M112" s="74" t="str" cm="1">
        <f t="array" ref="M112">IFERROR(1/(1/SUM(COUNTIFS(
'YearB-AppDetails Current Date'!A:A,D112,
'YearB-AppDetails Current Date'!F:F,E112,
'YearB-AppDetails Current Date'!E:E,--F112,
'YearB-AppDetails Current Date'!U:U,{"CCAN","DECL"},
'YearB-AppDetails Current Date'!I:I,"SPRING"))), "")</f>
        <v/>
      </c>
      <c r="N112" s="74" t="str" cm="1">
        <f t="array" ref="N112">IFERROR(1/(1/SUM(COUNTIFS(
'YearB-AppDetails Current Date'!A:A,D112,
'YearB-AppDetails Current Date'!F:F,E112,
'YearB-AppDetails Current Date'!E:E,--F112,
'YearB-AppDetails Current Date'!V:V,{"APRO","NODE"},
'YearB-AppDetails Current Date'!I:I,"SPRING"))), "")</f>
        <v/>
      </c>
      <c r="O112" s="74" t="str" cm="1">
        <f t="array" ref="O112">IFERROR(1/(1/SUM(COUNTIFS(
'YearB-AppDetails Current Date'!A:A,D112,
'YearB-AppDetails Current Date'!F:F,E112,
'YearB-AppDetails Current Date'!E:E,--F112,
'YearB-AppDetails Current Date'!T:T,{"CDMT","RQMT","WAIT"},
'YearB-AppDetails Current Date'!I:I,"SPRING"))), "")</f>
        <v/>
      </c>
      <c r="P112" s="74" t="str">
        <f>IFERROR(1/(1/COUNTIFS(
'YearB-AppDetails Current Date'!A:A,D112,
'YearB-AppDetails Current Date'!F:F,E112,
'YearB-AppDetails Current Date'!E:E,--F112,
'YearB-AppDetails Current Date'!Y:Y,"ENRO",
'YearB-AppDetails Current Date'!I:I,"SPRING")), "")</f>
        <v/>
      </c>
      <c r="Q112" s="3" t="str">
        <f t="shared" si="8"/>
        <v/>
      </c>
    </row>
    <row r="113" spans="1:17" ht="15.75" customHeight="1" x14ac:dyDescent="0.25">
      <c r="A113" s="119"/>
      <c r="B113" s="122"/>
      <c r="C113" s="145"/>
      <c r="D113" s="23" t="s">
        <v>136</v>
      </c>
      <c r="E113" s="2" t="s">
        <v>43</v>
      </c>
      <c r="F113" s="42">
        <v>1</v>
      </c>
      <c r="G113" s="140"/>
      <c r="H113" s="73" t="str">
        <f>IFERROR(1/(1/
SUM(
N(VLOOKUP(D113&amp;F113,'Budgeted Projections Intl HC'!D:T,16,FALSE)),
N(VLOOKUP(D113&amp;F113,'Budgeted Projections Intl HC'!D:T,17,FALSE))
)
),"")</f>
        <v/>
      </c>
      <c r="I113" s="73" t="str">
        <f>IFERROR(1/(1/COUNTIFS(
'YearB-AppDetails Current Date'!A:A,D113,
'YearB-AppDetails Current Date'!F:F,E113,
'YearB-AppDetails Current Date'!E:E,--F113,
'YearB-AppDetails Current Date'!I:I,"SPRING")), "")</f>
        <v/>
      </c>
      <c r="J113" s="74" t="str" cm="1">
        <f t="array" ref="J113">IFERROR(1/(1/SUM(COUNTIFS(
'YearB-AppDetails Current Date'!A:A,D113,
'YearB-AppDetails Current Date'!F:F,E113,
'YearB-AppDetails Current Date'!E:E,--F113,
'YearB-AppDetails Current Date'!O:O,{"ACLN","ACPT","COND"},
'YearB-AppDetails Current Date'!S:S,"&lt;&gt;ACLN",
'YearB-AppDetails Current Date'!S:S,"&lt;&gt;ACPT",
'YearB-AppDetails Current Date'!S:S,"&lt;&gt;COND",
'YearB-AppDetails Current Date'!I:I,"SPRING"))), "")</f>
        <v/>
      </c>
      <c r="K113" s="73" t="str">
        <f>IFERROR(1/(1/SUM(COUNTIFS(
'YearB-AppDetails Current Date'!A:A,D113,
'YearB-AppDetails Current Date'!F:F,E113,
'YearB-AppDetails Current Date'!E:E,--F113,
'YearB-AppDetails Current Date'!R:R,"&lt;&gt;"&amp;"",
'YearB-AppDetails Current Date'!I:I,"SPRING"))), "")</f>
        <v/>
      </c>
      <c r="L113" s="74" t="str" cm="1">
        <f t="array" ref="L113">IFERROR(1/(1/SUM(COUNTIFS(
'YearB-AppDetails Current Date'!A:A,D113,
'YearB-AppDetails Current Date'!F:F,E113,
'YearB-AppDetails Current Date'!E:E,--F113,
'YearB-AppDetails Current Date'!T:T,{"APEX","DENY","NTSL"},
'YearB-AppDetails Current Date'!I:I,"SPRING"))), "")</f>
        <v/>
      </c>
      <c r="M113" s="74" t="str" cm="1">
        <f t="array" ref="M113">IFERROR(1/(1/SUM(COUNTIFS(
'YearB-AppDetails Current Date'!A:A,D113,
'YearB-AppDetails Current Date'!F:F,E113,
'YearB-AppDetails Current Date'!E:E,--F113,
'YearB-AppDetails Current Date'!U:U,{"CCAN","DECL"},
'YearB-AppDetails Current Date'!I:I,"SPRING"))), "")</f>
        <v/>
      </c>
      <c r="N113" s="74" t="str" cm="1">
        <f t="array" ref="N113">IFERROR(1/(1/SUM(COUNTIFS(
'YearB-AppDetails Current Date'!A:A,D113,
'YearB-AppDetails Current Date'!F:F,E113,
'YearB-AppDetails Current Date'!E:E,--F113,
'YearB-AppDetails Current Date'!V:V,{"APRO","NODE"},
'YearB-AppDetails Current Date'!I:I,"SPRING"))), "")</f>
        <v/>
      </c>
      <c r="O113" s="74" t="str" cm="1">
        <f t="array" ref="O113">IFERROR(1/(1/SUM(COUNTIFS(
'YearB-AppDetails Current Date'!A:A,D113,
'YearB-AppDetails Current Date'!F:F,E113,
'YearB-AppDetails Current Date'!E:E,--F113,
'YearB-AppDetails Current Date'!T:T,{"CDMT","RQMT","WAIT"},
'YearB-AppDetails Current Date'!I:I,"SPRING"))), "")</f>
        <v/>
      </c>
      <c r="P113" s="74" t="str">
        <f>IFERROR(1/(1/COUNTIFS(
'YearB-AppDetails Current Date'!A:A,D113,
'YearB-AppDetails Current Date'!F:F,E113,
'YearB-AppDetails Current Date'!E:E,--F113,
'YearB-AppDetails Current Date'!Y:Y,"ENRO",
'YearB-AppDetails Current Date'!I:I,"SPRING")), "")</f>
        <v/>
      </c>
      <c r="Q113" s="3" t="str">
        <f t="shared" si="8"/>
        <v/>
      </c>
    </row>
    <row r="114" spans="1:17" ht="15.75" customHeight="1" x14ac:dyDescent="0.25">
      <c r="A114" s="119"/>
      <c r="B114" s="122"/>
      <c r="C114" s="145"/>
      <c r="D114" s="23" t="s">
        <v>136</v>
      </c>
      <c r="E114" s="2" t="s">
        <v>42</v>
      </c>
      <c r="F114" s="42">
        <v>2</v>
      </c>
      <c r="G114" s="139" t="s">
        <v>48</v>
      </c>
      <c r="H114" s="73" t="str">
        <f>IFERROR(1/(1/
SUM(
N(VLOOKUP(D114&amp;F114,'Budgeted Projections Dom HC'!D:T,16,FALSE)),
N(VLOOKUP(D114&amp;F114,'Budgeted Projections Dom HC'!D:T,17,FALSE))
)
),"")</f>
        <v/>
      </c>
      <c r="I114" s="73" t="str">
        <f>IFERROR(1/(1/COUNTIFS(
'YearB-AppDetails Current Date'!A:A,D114,
'YearB-AppDetails Current Date'!F:F,E114,
'YearB-AppDetails Current Date'!E:E,--F114,
'YearB-AppDetails Current Date'!I:I,"SPRING")), "")</f>
        <v/>
      </c>
      <c r="J114" s="74" t="str" cm="1">
        <f t="array" ref="J114">IFERROR(1/(1/SUM(COUNTIFS(
'YearB-AppDetails Current Date'!A:A,D114,
'YearB-AppDetails Current Date'!F:F,E114,
'YearB-AppDetails Current Date'!E:E,--F114,
'YearB-AppDetails Current Date'!O:O,{"ACLN","ACPT","COND"},
'YearB-AppDetails Current Date'!S:S,"&lt;&gt;ACLN",
'YearB-AppDetails Current Date'!S:S,"&lt;&gt;ACPT",
'YearB-AppDetails Current Date'!S:S,"&lt;&gt;COND",
'YearB-AppDetails Current Date'!I:I,"SPRING"))), "")</f>
        <v/>
      </c>
      <c r="K114" s="73" t="str">
        <f>IFERROR(1/(1/SUM(COUNTIFS(
'YearB-AppDetails Current Date'!A:A,D114,
'YearB-AppDetails Current Date'!F:F,E114,
'YearB-AppDetails Current Date'!E:E,--F114,
'YearB-AppDetails Current Date'!R:R,"&lt;&gt;"&amp;"",
'YearB-AppDetails Current Date'!I:I,"SPRING"))), "")</f>
        <v/>
      </c>
      <c r="L114" s="74" t="str" cm="1">
        <f t="array" ref="L114">IFERROR(1/(1/SUM(COUNTIFS(
'YearB-AppDetails Current Date'!A:A,D114,
'YearB-AppDetails Current Date'!F:F,E114,
'YearB-AppDetails Current Date'!E:E,--F114,
'YearB-AppDetails Current Date'!T:T,{"APEX","DENY","NTSL"},
'YearB-AppDetails Current Date'!I:I,"SPRING"))), "")</f>
        <v/>
      </c>
      <c r="M114" s="74" t="str" cm="1">
        <f t="array" ref="M114">IFERROR(1/(1/SUM(COUNTIFS(
'YearB-AppDetails Current Date'!A:A,D114,
'YearB-AppDetails Current Date'!F:F,E114,
'YearB-AppDetails Current Date'!E:E,--F114,
'YearB-AppDetails Current Date'!U:U,{"CCAN","DECL"},
'YearB-AppDetails Current Date'!I:I,"SPRING"))), "")</f>
        <v/>
      </c>
      <c r="N114" s="74" t="str" cm="1">
        <f t="array" ref="N114">IFERROR(1/(1/SUM(COUNTIFS(
'YearB-AppDetails Current Date'!A:A,D114,
'YearB-AppDetails Current Date'!F:F,E114,
'YearB-AppDetails Current Date'!E:E,--F114,
'YearB-AppDetails Current Date'!V:V,{"APRO","NODE"},
'YearB-AppDetails Current Date'!I:I,"SPRING"))), "")</f>
        <v/>
      </c>
      <c r="O114" s="74" t="str" cm="1">
        <f t="array" ref="O114">IFERROR(1/(1/SUM(COUNTIFS(
'YearB-AppDetails Current Date'!A:A,D114,
'YearB-AppDetails Current Date'!F:F,E114,
'YearB-AppDetails Current Date'!E:E,--F114,
'YearB-AppDetails Current Date'!T:T,{"CDMT","RQMT","WAIT"},
'YearB-AppDetails Current Date'!I:I,"SPRING"))), "")</f>
        <v/>
      </c>
      <c r="P114" s="74" t="str">
        <f>IFERROR(1/(1/COUNTIFS(
'YearB-AppDetails Current Date'!A:A,D114,
'YearB-AppDetails Current Date'!F:F,E114,
'YearB-AppDetails Current Date'!E:E,--F114,
'YearB-AppDetails Current Date'!Y:Y,"ENRO",
'YearB-AppDetails Current Date'!I:I,"SPRING")), "")</f>
        <v/>
      </c>
      <c r="Q114" s="3" t="str">
        <f t="shared" si="8"/>
        <v/>
      </c>
    </row>
    <row r="115" spans="1:17" ht="15.75" customHeight="1" x14ac:dyDescent="0.25">
      <c r="A115" s="119"/>
      <c r="B115" s="122"/>
      <c r="C115" s="133"/>
      <c r="D115" s="23" t="s">
        <v>136</v>
      </c>
      <c r="E115" s="2" t="s">
        <v>43</v>
      </c>
      <c r="F115" s="42">
        <v>2</v>
      </c>
      <c r="G115" s="140"/>
      <c r="H115" s="73" t="str">
        <f>IFERROR(1/(1/
SUM(
N(VLOOKUP(D115&amp;F115,'Budgeted Projections Intl HC'!D:T,16,FALSE)),
N(VLOOKUP(D115&amp;F115,'Budgeted Projections Intl HC'!D:T,17,FALSE))
)
),"")</f>
        <v/>
      </c>
      <c r="I115" s="73" t="str">
        <f>IFERROR(1/(1/COUNTIFS(
'YearB-AppDetails Current Date'!A:A,D115,
'YearB-AppDetails Current Date'!F:F,E115,
'YearB-AppDetails Current Date'!E:E,--F115,
'YearB-AppDetails Current Date'!I:I,"SPRING")), "")</f>
        <v/>
      </c>
      <c r="J115" s="74" t="str" cm="1">
        <f t="array" ref="J115">IFERROR(1/(1/SUM(COUNTIFS(
'YearB-AppDetails Current Date'!A:A,D115,
'YearB-AppDetails Current Date'!F:F,E115,
'YearB-AppDetails Current Date'!E:E,--F115,
'YearB-AppDetails Current Date'!O:O,{"ACLN","ACPT","COND"},
'YearB-AppDetails Current Date'!S:S,"&lt;&gt;ACLN",
'YearB-AppDetails Current Date'!S:S,"&lt;&gt;ACPT",
'YearB-AppDetails Current Date'!S:S,"&lt;&gt;COND",
'YearB-AppDetails Current Date'!I:I,"SPRING"))), "")</f>
        <v/>
      </c>
      <c r="K115" s="73" t="str">
        <f>IFERROR(1/(1/SUM(COUNTIFS(
'YearB-AppDetails Current Date'!A:A,D115,
'YearB-AppDetails Current Date'!F:F,E115,
'YearB-AppDetails Current Date'!E:E,--F115,
'YearB-AppDetails Current Date'!R:R,"&lt;&gt;"&amp;"",
'YearB-AppDetails Current Date'!I:I,"SPRING"))), "")</f>
        <v/>
      </c>
      <c r="L115" s="74" t="str" cm="1">
        <f t="array" ref="L115">IFERROR(1/(1/SUM(COUNTIFS(
'YearB-AppDetails Current Date'!A:A,D115,
'YearB-AppDetails Current Date'!F:F,E115,
'YearB-AppDetails Current Date'!E:E,--F115,
'YearB-AppDetails Current Date'!T:T,{"APEX","DENY","NTSL"},
'YearB-AppDetails Current Date'!I:I,"SPRING"))), "")</f>
        <v/>
      </c>
      <c r="M115" s="74" t="str" cm="1">
        <f t="array" ref="M115">IFERROR(1/(1/SUM(COUNTIFS(
'YearB-AppDetails Current Date'!A:A,D115,
'YearB-AppDetails Current Date'!F:F,E115,
'YearB-AppDetails Current Date'!E:E,--F115,
'YearB-AppDetails Current Date'!U:U,{"CCAN","DECL"},
'YearB-AppDetails Current Date'!I:I,"SPRING"))), "")</f>
        <v/>
      </c>
      <c r="N115" s="74" t="str" cm="1">
        <f t="array" ref="N115">IFERROR(1/(1/SUM(COUNTIFS(
'YearB-AppDetails Current Date'!A:A,D115,
'YearB-AppDetails Current Date'!F:F,E115,
'YearB-AppDetails Current Date'!E:E,--F115,
'YearB-AppDetails Current Date'!V:V,{"APRO","NODE"},
'YearB-AppDetails Current Date'!I:I,"SPRING"))), "")</f>
        <v/>
      </c>
      <c r="O115" s="74" t="str" cm="1">
        <f t="array" ref="O115">IFERROR(1/(1/SUM(COUNTIFS(
'YearB-AppDetails Current Date'!A:A,D115,
'YearB-AppDetails Current Date'!F:F,E115,
'YearB-AppDetails Current Date'!E:E,--F115,
'YearB-AppDetails Current Date'!T:T,{"CDMT","RQMT","WAIT"},
'YearB-AppDetails Current Date'!I:I,"SPRING"))), "")</f>
        <v/>
      </c>
      <c r="P115" s="74" t="str">
        <f>IFERROR(1/(1/COUNTIFS(
'YearB-AppDetails Current Date'!A:A,D115,
'YearB-AppDetails Current Date'!F:F,E115,
'YearB-AppDetails Current Date'!E:E,--F115,
'YearB-AppDetails Current Date'!Y:Y,"ENRO",
'YearB-AppDetails Current Date'!I:I,"SPRING")), "")</f>
        <v/>
      </c>
      <c r="Q115" s="3" t="str">
        <f t="shared" si="8"/>
        <v/>
      </c>
    </row>
    <row r="116" spans="1:17" ht="15.75" customHeight="1" x14ac:dyDescent="0.25">
      <c r="A116" s="119"/>
      <c r="B116" s="122"/>
      <c r="C116" s="132" t="s">
        <v>294</v>
      </c>
      <c r="D116" s="23" t="s">
        <v>85</v>
      </c>
      <c r="E116" s="2" t="s">
        <v>42</v>
      </c>
      <c r="F116" s="42">
        <v>1</v>
      </c>
      <c r="G116" s="139" t="s">
        <v>48</v>
      </c>
      <c r="H116" s="73" t="str">
        <f>IFERROR(1/(1/
SUM(
N(VLOOKUP(D116&amp;F116,'Budgeted Projections Dom HC'!D:T,16,FALSE)),
N(VLOOKUP(D116&amp;F116,'Budgeted Projections Dom HC'!D:T,17,FALSE))
)
),"")</f>
        <v/>
      </c>
      <c r="I116" s="73" t="str">
        <f>IFERROR(1/(1/COUNTIFS(
'YearB-AppDetails Current Date'!A:A,D116,
'YearB-AppDetails Current Date'!F:F,E116,
'YearB-AppDetails Current Date'!E:E,--F116,
'YearB-AppDetails Current Date'!I:I,"SPRING")), "")</f>
        <v/>
      </c>
      <c r="J116" s="74" t="str" cm="1">
        <f t="array" ref="J116">IFERROR(1/(1/SUM(COUNTIFS(
'YearB-AppDetails Current Date'!A:A,D116,
'YearB-AppDetails Current Date'!F:F,E116,
'YearB-AppDetails Current Date'!E:E,--F116,
'YearB-AppDetails Current Date'!O:O,{"ACLN","ACPT","COND"},
'YearB-AppDetails Current Date'!S:S,"&lt;&gt;ACLN",
'YearB-AppDetails Current Date'!S:S,"&lt;&gt;ACPT",
'YearB-AppDetails Current Date'!S:S,"&lt;&gt;COND",
'YearB-AppDetails Current Date'!I:I,"SPRING"))), "")</f>
        <v/>
      </c>
      <c r="K116" s="73" t="str">
        <f>IFERROR(1/(1/SUM(COUNTIFS(
'YearB-AppDetails Current Date'!A:A,D116,
'YearB-AppDetails Current Date'!F:F,E116,
'YearB-AppDetails Current Date'!E:E,--F116,
'YearB-AppDetails Current Date'!R:R,"&lt;&gt;"&amp;"",
'YearB-AppDetails Current Date'!I:I,"SPRING"))), "")</f>
        <v/>
      </c>
      <c r="L116" s="74" t="str" cm="1">
        <f t="array" ref="L116">IFERROR(1/(1/SUM(COUNTIFS(
'YearB-AppDetails Current Date'!A:A,D116,
'YearB-AppDetails Current Date'!F:F,E116,
'YearB-AppDetails Current Date'!E:E,--F116,
'YearB-AppDetails Current Date'!T:T,{"APEX","DENY","NTSL"},
'YearB-AppDetails Current Date'!I:I,"SPRING"))), "")</f>
        <v/>
      </c>
      <c r="M116" s="74" t="str" cm="1">
        <f t="array" ref="M116">IFERROR(1/(1/SUM(COUNTIFS(
'YearB-AppDetails Current Date'!A:A,D116,
'YearB-AppDetails Current Date'!F:F,E116,
'YearB-AppDetails Current Date'!E:E,--F116,
'YearB-AppDetails Current Date'!U:U,{"CCAN","DECL"},
'YearB-AppDetails Current Date'!I:I,"SPRING"))), "")</f>
        <v/>
      </c>
      <c r="N116" s="74" t="str" cm="1">
        <f t="array" ref="N116">IFERROR(1/(1/SUM(COUNTIFS(
'YearB-AppDetails Current Date'!A:A,D116,
'YearB-AppDetails Current Date'!F:F,E116,
'YearB-AppDetails Current Date'!E:E,--F116,
'YearB-AppDetails Current Date'!V:V,{"APRO","NODE"},
'YearB-AppDetails Current Date'!I:I,"SPRING"))), "")</f>
        <v/>
      </c>
      <c r="O116" s="74" t="str" cm="1">
        <f t="array" ref="O116">IFERROR(1/(1/SUM(COUNTIFS(
'YearB-AppDetails Current Date'!A:A,D116,
'YearB-AppDetails Current Date'!F:F,E116,
'YearB-AppDetails Current Date'!E:E,--F116,
'YearB-AppDetails Current Date'!T:T,{"CDMT","RQMT","WAIT"},
'YearB-AppDetails Current Date'!I:I,"SPRING"))), "")</f>
        <v/>
      </c>
      <c r="P116" s="74" t="str">
        <f>IFERROR(1/(1/COUNTIFS(
'YearB-AppDetails Current Date'!A:A,D116,
'YearB-AppDetails Current Date'!F:F,E116,
'YearB-AppDetails Current Date'!E:E,--F116,
'YearB-AppDetails Current Date'!Y:Y,"ENRO",
'YearB-AppDetails Current Date'!I:I,"SPRING")), "")</f>
        <v/>
      </c>
      <c r="Q116" s="3" t="str">
        <f t="shared" si="8"/>
        <v/>
      </c>
    </row>
    <row r="117" spans="1:17" ht="15.75" customHeight="1" x14ac:dyDescent="0.25">
      <c r="A117" s="119"/>
      <c r="B117" s="122"/>
      <c r="C117" s="145"/>
      <c r="D117" s="23" t="s">
        <v>85</v>
      </c>
      <c r="E117" s="2" t="s">
        <v>43</v>
      </c>
      <c r="F117" s="31">
        <v>1</v>
      </c>
      <c r="G117" s="140"/>
      <c r="H117" s="73" t="str">
        <f>IFERROR(1/(1/
SUM(
N(VLOOKUP(D117&amp;F117,'Budgeted Projections Intl HC'!D:T,16,FALSE)),
N(VLOOKUP(D117&amp;F117,'Budgeted Projections Intl HC'!D:T,17,FALSE))
)
),"")</f>
        <v/>
      </c>
      <c r="I117" s="73" t="str">
        <f>IFERROR(1/(1/COUNTIFS(
'YearB-AppDetails Current Date'!A:A,D117,
'YearB-AppDetails Current Date'!F:F,E117,
'YearB-AppDetails Current Date'!E:E,--F117,
'YearB-AppDetails Current Date'!I:I,"SPRING")), "")</f>
        <v/>
      </c>
      <c r="J117" s="74" t="str" cm="1">
        <f t="array" ref="J117">IFERROR(1/(1/SUM(COUNTIFS(
'YearB-AppDetails Current Date'!A:A,D117,
'YearB-AppDetails Current Date'!F:F,E117,
'YearB-AppDetails Current Date'!E:E,--F117,
'YearB-AppDetails Current Date'!O:O,{"ACLN","ACPT","COND"},
'YearB-AppDetails Current Date'!S:S,"&lt;&gt;ACLN",
'YearB-AppDetails Current Date'!S:S,"&lt;&gt;ACPT",
'YearB-AppDetails Current Date'!S:S,"&lt;&gt;COND",
'YearB-AppDetails Current Date'!I:I,"SPRING"))), "")</f>
        <v/>
      </c>
      <c r="K117" s="73" t="str">
        <f>IFERROR(1/(1/SUM(COUNTIFS(
'YearB-AppDetails Current Date'!A:A,D117,
'YearB-AppDetails Current Date'!F:F,E117,
'YearB-AppDetails Current Date'!E:E,--F117,
'YearB-AppDetails Current Date'!R:R,"&lt;&gt;"&amp;"",
'YearB-AppDetails Current Date'!I:I,"SPRING"))), "")</f>
        <v/>
      </c>
      <c r="L117" s="74" t="str" cm="1">
        <f t="array" ref="L117">IFERROR(1/(1/SUM(COUNTIFS(
'YearB-AppDetails Current Date'!A:A,D117,
'YearB-AppDetails Current Date'!F:F,E117,
'YearB-AppDetails Current Date'!E:E,--F117,
'YearB-AppDetails Current Date'!T:T,{"APEX","DENY","NTSL"},
'YearB-AppDetails Current Date'!I:I,"SPRING"))), "")</f>
        <v/>
      </c>
      <c r="M117" s="74" t="str" cm="1">
        <f t="array" ref="M117">IFERROR(1/(1/SUM(COUNTIFS(
'YearB-AppDetails Current Date'!A:A,D117,
'YearB-AppDetails Current Date'!F:F,E117,
'YearB-AppDetails Current Date'!E:E,--F117,
'YearB-AppDetails Current Date'!U:U,{"CCAN","DECL"},
'YearB-AppDetails Current Date'!I:I,"SPRING"))), "")</f>
        <v/>
      </c>
      <c r="N117" s="74" t="str" cm="1">
        <f t="array" ref="N117">IFERROR(1/(1/SUM(COUNTIFS(
'YearB-AppDetails Current Date'!A:A,D117,
'YearB-AppDetails Current Date'!F:F,E117,
'YearB-AppDetails Current Date'!E:E,--F117,
'YearB-AppDetails Current Date'!V:V,{"APRO","NODE"},
'YearB-AppDetails Current Date'!I:I,"SPRING"))), "")</f>
        <v/>
      </c>
      <c r="O117" s="74" t="str" cm="1">
        <f t="array" ref="O117">IFERROR(1/(1/SUM(COUNTIFS(
'YearB-AppDetails Current Date'!A:A,D117,
'YearB-AppDetails Current Date'!F:F,E117,
'YearB-AppDetails Current Date'!E:E,--F117,
'YearB-AppDetails Current Date'!T:T,{"CDMT","RQMT","WAIT"},
'YearB-AppDetails Current Date'!I:I,"SPRING"))), "")</f>
        <v/>
      </c>
      <c r="P117" s="74" t="str">
        <f>IFERROR(1/(1/COUNTIFS(
'YearB-AppDetails Current Date'!A:A,D117,
'YearB-AppDetails Current Date'!F:F,E117,
'YearB-AppDetails Current Date'!E:E,--F117,
'YearB-AppDetails Current Date'!Y:Y,"ENRO",
'YearB-AppDetails Current Date'!I:I,"SPRING")), "")</f>
        <v/>
      </c>
      <c r="Q117" s="3" t="str">
        <f t="shared" si="8"/>
        <v/>
      </c>
    </row>
    <row r="118" spans="1:17" ht="15.75" customHeight="1" x14ac:dyDescent="0.25">
      <c r="A118" s="119"/>
      <c r="B118" s="122"/>
      <c r="C118" s="145"/>
      <c r="D118" s="23" t="s">
        <v>85</v>
      </c>
      <c r="E118" s="2" t="s">
        <v>42</v>
      </c>
      <c r="F118" s="42">
        <v>2</v>
      </c>
      <c r="G118" s="139" t="s">
        <v>48</v>
      </c>
      <c r="H118" s="73" t="str">
        <f>IFERROR(1/(1/
SUM(
N(VLOOKUP(D118&amp;F118,'Budgeted Projections Dom HC'!D:T,16,FALSE)),
N(VLOOKUP(D118&amp;F118,'Budgeted Projections Dom HC'!D:T,17,FALSE))
)
),"")</f>
        <v/>
      </c>
      <c r="I118" s="73" t="str">
        <f>IFERROR(1/(1/COUNTIFS(
'YearB-AppDetails Current Date'!A:A,D118,
'YearB-AppDetails Current Date'!F:F,E118,
'YearB-AppDetails Current Date'!E:E,--F118,
'YearB-AppDetails Current Date'!I:I,"SPRING")), "")</f>
        <v/>
      </c>
      <c r="J118" s="74" t="str" cm="1">
        <f t="array" ref="J118">IFERROR(1/(1/SUM(COUNTIFS(
'YearB-AppDetails Current Date'!A:A,D118,
'YearB-AppDetails Current Date'!F:F,E118,
'YearB-AppDetails Current Date'!E:E,--F118,
'YearB-AppDetails Current Date'!O:O,{"ACLN","ACPT","COND"},
'YearB-AppDetails Current Date'!S:S,"&lt;&gt;ACLN",
'YearB-AppDetails Current Date'!S:S,"&lt;&gt;ACPT",
'YearB-AppDetails Current Date'!S:S,"&lt;&gt;COND",
'YearB-AppDetails Current Date'!I:I,"SPRING"))), "")</f>
        <v/>
      </c>
      <c r="K118" s="73" t="str">
        <f>IFERROR(1/(1/SUM(COUNTIFS(
'YearB-AppDetails Current Date'!A:A,D118,
'YearB-AppDetails Current Date'!F:F,E118,
'YearB-AppDetails Current Date'!E:E,--F118,
'YearB-AppDetails Current Date'!R:R,"&lt;&gt;"&amp;"",
'YearB-AppDetails Current Date'!I:I,"SPRING"))), "")</f>
        <v/>
      </c>
      <c r="L118" s="74" t="str" cm="1">
        <f t="array" ref="L118">IFERROR(1/(1/SUM(COUNTIFS(
'YearB-AppDetails Current Date'!A:A,D118,
'YearB-AppDetails Current Date'!F:F,E118,
'YearB-AppDetails Current Date'!E:E,--F118,
'YearB-AppDetails Current Date'!T:T,{"APEX","DENY","NTSL"},
'YearB-AppDetails Current Date'!I:I,"SPRING"))), "")</f>
        <v/>
      </c>
      <c r="M118" s="74" t="str" cm="1">
        <f t="array" ref="M118">IFERROR(1/(1/SUM(COUNTIFS(
'YearB-AppDetails Current Date'!A:A,D118,
'YearB-AppDetails Current Date'!F:F,E118,
'YearB-AppDetails Current Date'!E:E,--F118,
'YearB-AppDetails Current Date'!U:U,{"CCAN","DECL"},
'YearB-AppDetails Current Date'!I:I,"SPRING"))), "")</f>
        <v/>
      </c>
      <c r="N118" s="74" t="str" cm="1">
        <f t="array" ref="N118">IFERROR(1/(1/SUM(COUNTIFS(
'YearB-AppDetails Current Date'!A:A,D118,
'YearB-AppDetails Current Date'!F:F,E118,
'YearB-AppDetails Current Date'!E:E,--F118,
'YearB-AppDetails Current Date'!V:V,{"APRO","NODE"},
'YearB-AppDetails Current Date'!I:I,"SPRING"))), "")</f>
        <v/>
      </c>
      <c r="O118" s="74" t="str" cm="1">
        <f t="array" ref="O118">IFERROR(1/(1/SUM(COUNTIFS(
'YearB-AppDetails Current Date'!A:A,D118,
'YearB-AppDetails Current Date'!F:F,E118,
'YearB-AppDetails Current Date'!E:E,--F118,
'YearB-AppDetails Current Date'!T:T,{"CDMT","RQMT","WAIT"},
'YearB-AppDetails Current Date'!I:I,"SPRING"))), "")</f>
        <v/>
      </c>
      <c r="P118" s="74" t="str">
        <f>IFERROR(1/(1/COUNTIFS(
'YearB-AppDetails Current Date'!A:A,D118,
'YearB-AppDetails Current Date'!F:F,E118,
'YearB-AppDetails Current Date'!E:E,--F118,
'YearB-AppDetails Current Date'!Y:Y,"ENRO",
'YearB-AppDetails Current Date'!I:I,"SPRING")), "")</f>
        <v/>
      </c>
      <c r="Q118" s="3" t="str">
        <f t="shared" si="8"/>
        <v/>
      </c>
    </row>
    <row r="119" spans="1:17" ht="15.75" customHeight="1" x14ac:dyDescent="0.25">
      <c r="A119" s="119"/>
      <c r="B119" s="122"/>
      <c r="C119" s="133"/>
      <c r="D119" s="23" t="s">
        <v>85</v>
      </c>
      <c r="E119" s="2" t="s">
        <v>43</v>
      </c>
      <c r="F119" s="31">
        <v>2</v>
      </c>
      <c r="G119" s="140"/>
      <c r="H119" s="73" t="str">
        <f>IFERROR(1/(1/
SUM(
N(VLOOKUP(D119&amp;F119,'Budgeted Projections Intl HC'!D:T,16,FALSE)),
N(VLOOKUP(D119&amp;F119,'Budgeted Projections Intl HC'!D:T,17,FALSE))
)
),"")</f>
        <v/>
      </c>
      <c r="I119" s="73" t="str">
        <f>IFERROR(1/(1/COUNTIFS(
'YearB-AppDetails Current Date'!A:A,D119,
'YearB-AppDetails Current Date'!F:F,E119,
'YearB-AppDetails Current Date'!E:E,--F119,
'YearB-AppDetails Current Date'!I:I,"SPRING")), "")</f>
        <v/>
      </c>
      <c r="J119" s="74" t="str" cm="1">
        <f t="array" ref="J119">IFERROR(1/(1/SUM(COUNTIFS(
'YearB-AppDetails Current Date'!A:A,D119,
'YearB-AppDetails Current Date'!F:F,E119,
'YearB-AppDetails Current Date'!E:E,--F119,
'YearB-AppDetails Current Date'!O:O,{"ACLN","ACPT","COND"},
'YearB-AppDetails Current Date'!S:S,"&lt;&gt;ACLN",
'YearB-AppDetails Current Date'!S:S,"&lt;&gt;ACPT",
'YearB-AppDetails Current Date'!S:S,"&lt;&gt;COND",
'YearB-AppDetails Current Date'!I:I,"SPRING"))), "")</f>
        <v/>
      </c>
      <c r="K119" s="73" t="str">
        <f>IFERROR(1/(1/SUM(COUNTIFS(
'YearB-AppDetails Current Date'!A:A,D119,
'YearB-AppDetails Current Date'!F:F,E119,
'YearB-AppDetails Current Date'!E:E,--F119,
'YearB-AppDetails Current Date'!R:R,"&lt;&gt;"&amp;"",
'YearB-AppDetails Current Date'!I:I,"SPRING"))), "")</f>
        <v/>
      </c>
      <c r="L119" s="74" t="str" cm="1">
        <f t="array" ref="L119">IFERROR(1/(1/SUM(COUNTIFS(
'YearB-AppDetails Current Date'!A:A,D119,
'YearB-AppDetails Current Date'!F:F,E119,
'YearB-AppDetails Current Date'!E:E,--F119,
'YearB-AppDetails Current Date'!T:T,{"APEX","DENY","NTSL"},
'YearB-AppDetails Current Date'!I:I,"SPRING"))), "")</f>
        <v/>
      </c>
      <c r="M119" s="74" t="str" cm="1">
        <f t="array" ref="M119">IFERROR(1/(1/SUM(COUNTIFS(
'YearB-AppDetails Current Date'!A:A,D119,
'YearB-AppDetails Current Date'!F:F,E119,
'YearB-AppDetails Current Date'!E:E,--F119,
'YearB-AppDetails Current Date'!U:U,{"CCAN","DECL"},
'YearB-AppDetails Current Date'!I:I,"SPRING"))), "")</f>
        <v/>
      </c>
      <c r="N119" s="74" t="str" cm="1">
        <f t="array" ref="N119">IFERROR(1/(1/SUM(COUNTIFS(
'YearB-AppDetails Current Date'!A:A,D119,
'YearB-AppDetails Current Date'!F:F,E119,
'YearB-AppDetails Current Date'!E:E,--F119,
'YearB-AppDetails Current Date'!V:V,{"APRO","NODE"},
'YearB-AppDetails Current Date'!I:I,"SPRING"))), "")</f>
        <v/>
      </c>
      <c r="O119" s="74" t="str" cm="1">
        <f t="array" ref="O119">IFERROR(1/(1/SUM(COUNTIFS(
'YearB-AppDetails Current Date'!A:A,D119,
'YearB-AppDetails Current Date'!F:F,E119,
'YearB-AppDetails Current Date'!E:E,--F119,
'YearB-AppDetails Current Date'!T:T,{"CDMT","RQMT","WAIT"},
'YearB-AppDetails Current Date'!I:I,"SPRING"))), "")</f>
        <v/>
      </c>
      <c r="P119" s="74" t="str">
        <f>IFERROR(1/(1/COUNTIFS(
'YearB-AppDetails Current Date'!A:A,D119,
'YearB-AppDetails Current Date'!F:F,E119,
'YearB-AppDetails Current Date'!E:E,--F119,
'YearB-AppDetails Current Date'!Y:Y,"ENRO",
'YearB-AppDetails Current Date'!I:I,"SPRING")), "")</f>
        <v/>
      </c>
      <c r="Q119" s="3" t="str">
        <f t="shared" si="8"/>
        <v/>
      </c>
    </row>
    <row r="120" spans="1:17" ht="15.75" customHeight="1" x14ac:dyDescent="0.25">
      <c r="A120" s="119"/>
      <c r="B120" s="122"/>
      <c r="C120" s="132" t="s">
        <v>295</v>
      </c>
      <c r="D120" s="23" t="s">
        <v>84</v>
      </c>
      <c r="E120" s="2" t="s">
        <v>42</v>
      </c>
      <c r="F120" s="42">
        <v>1</v>
      </c>
      <c r="G120" s="139" t="s">
        <v>48</v>
      </c>
      <c r="H120" s="73" t="str">
        <f>IFERROR(1/(1/
SUM(
N(VLOOKUP(D120&amp;F120,'Budgeted Projections Dom HC'!D:T,16,FALSE)),
N(VLOOKUP(D120&amp;F120,'Budgeted Projections Dom HC'!D:T,17,FALSE))
)
),"")</f>
        <v/>
      </c>
      <c r="I120" s="73" t="str">
        <f>IFERROR(1/(1/COUNTIFS(
'YearB-AppDetails Current Date'!A:A,D120,
'YearB-AppDetails Current Date'!F:F,E120,
'YearB-AppDetails Current Date'!E:E,--F120,
'YearB-AppDetails Current Date'!I:I,"SPRING")), "")</f>
        <v/>
      </c>
      <c r="J120" s="74" t="str" cm="1">
        <f t="array" ref="J120">IFERROR(1/(1/SUM(COUNTIFS(
'YearB-AppDetails Current Date'!A:A,D120,
'YearB-AppDetails Current Date'!F:F,E120,
'YearB-AppDetails Current Date'!E:E,--F120,
'YearB-AppDetails Current Date'!O:O,{"ACLN","ACPT","COND"},
'YearB-AppDetails Current Date'!S:S,"&lt;&gt;ACLN",
'YearB-AppDetails Current Date'!S:S,"&lt;&gt;ACPT",
'YearB-AppDetails Current Date'!S:S,"&lt;&gt;COND",
'YearB-AppDetails Current Date'!I:I,"SPRING"))), "")</f>
        <v/>
      </c>
      <c r="K120" s="73" t="str">
        <f>IFERROR(1/(1/SUM(COUNTIFS(
'YearB-AppDetails Current Date'!A:A,D120,
'YearB-AppDetails Current Date'!F:F,E120,
'YearB-AppDetails Current Date'!E:E,--F120,
'YearB-AppDetails Current Date'!R:R,"&lt;&gt;"&amp;"",
'YearB-AppDetails Current Date'!I:I,"SPRING"))), "")</f>
        <v/>
      </c>
      <c r="L120" s="74" t="str" cm="1">
        <f t="array" ref="L120">IFERROR(1/(1/SUM(COUNTIFS(
'YearB-AppDetails Current Date'!A:A,D120,
'YearB-AppDetails Current Date'!F:F,E120,
'YearB-AppDetails Current Date'!E:E,--F120,
'YearB-AppDetails Current Date'!T:T,{"APEX","DENY","NTSL"},
'YearB-AppDetails Current Date'!I:I,"SPRING"))), "")</f>
        <v/>
      </c>
      <c r="M120" s="74" t="str" cm="1">
        <f t="array" ref="M120">IFERROR(1/(1/SUM(COUNTIFS(
'YearB-AppDetails Current Date'!A:A,D120,
'YearB-AppDetails Current Date'!F:F,E120,
'YearB-AppDetails Current Date'!E:E,--F120,
'YearB-AppDetails Current Date'!U:U,{"CCAN","DECL"},
'YearB-AppDetails Current Date'!I:I,"SPRING"))), "")</f>
        <v/>
      </c>
      <c r="N120" s="74" t="str" cm="1">
        <f t="array" ref="N120">IFERROR(1/(1/SUM(COUNTIFS(
'YearB-AppDetails Current Date'!A:A,D120,
'YearB-AppDetails Current Date'!F:F,E120,
'YearB-AppDetails Current Date'!E:E,--F120,
'YearB-AppDetails Current Date'!V:V,{"APRO","NODE"},
'YearB-AppDetails Current Date'!I:I,"SPRING"))), "")</f>
        <v/>
      </c>
      <c r="O120" s="74" t="str" cm="1">
        <f t="array" ref="O120">IFERROR(1/(1/SUM(COUNTIFS(
'YearB-AppDetails Current Date'!A:A,D120,
'YearB-AppDetails Current Date'!F:F,E120,
'YearB-AppDetails Current Date'!E:E,--F120,
'YearB-AppDetails Current Date'!T:T,{"CDMT","RQMT","WAIT"},
'YearB-AppDetails Current Date'!I:I,"SPRING"))), "")</f>
        <v/>
      </c>
      <c r="P120" s="74" t="str">
        <f>IFERROR(1/(1/COUNTIFS(
'YearB-AppDetails Current Date'!A:A,D120,
'YearB-AppDetails Current Date'!F:F,E120,
'YearB-AppDetails Current Date'!E:E,--F120,
'YearB-AppDetails Current Date'!Y:Y,"ENRO",
'YearB-AppDetails Current Date'!I:I,"SPRING")), "")</f>
        <v/>
      </c>
      <c r="Q120" s="3" t="str">
        <f t="shared" si="8"/>
        <v/>
      </c>
    </row>
    <row r="121" spans="1:17" ht="15.75" customHeight="1" x14ac:dyDescent="0.25">
      <c r="A121" s="119"/>
      <c r="B121" s="122"/>
      <c r="C121" s="145"/>
      <c r="D121" s="23" t="s">
        <v>84</v>
      </c>
      <c r="E121" s="2" t="s">
        <v>43</v>
      </c>
      <c r="F121" s="31">
        <v>1</v>
      </c>
      <c r="G121" s="140"/>
      <c r="H121" s="73" t="str">
        <f>IFERROR(1/(1/
SUM(
N(VLOOKUP(D121&amp;F121,'Budgeted Projections Intl HC'!D:T,16,FALSE)),
N(VLOOKUP(D121&amp;F121,'Budgeted Projections Intl HC'!D:T,17,FALSE))
)
),"")</f>
        <v/>
      </c>
      <c r="I121" s="73" t="str">
        <f>IFERROR(1/(1/COUNTIFS(
'YearB-AppDetails Current Date'!A:A,D121,
'YearB-AppDetails Current Date'!F:F,E121,
'YearB-AppDetails Current Date'!E:E,--F121,
'YearB-AppDetails Current Date'!I:I,"SPRING")), "")</f>
        <v/>
      </c>
      <c r="J121" s="74" t="str" cm="1">
        <f t="array" ref="J121">IFERROR(1/(1/SUM(COUNTIFS(
'YearB-AppDetails Current Date'!A:A,D121,
'YearB-AppDetails Current Date'!F:F,E121,
'YearB-AppDetails Current Date'!E:E,--F121,
'YearB-AppDetails Current Date'!O:O,{"ACLN","ACPT","COND"},
'YearB-AppDetails Current Date'!S:S,"&lt;&gt;ACLN",
'YearB-AppDetails Current Date'!S:S,"&lt;&gt;ACPT",
'YearB-AppDetails Current Date'!S:S,"&lt;&gt;COND",
'YearB-AppDetails Current Date'!I:I,"SPRING"))), "")</f>
        <v/>
      </c>
      <c r="K121" s="73" t="str">
        <f>IFERROR(1/(1/SUM(COUNTIFS(
'YearB-AppDetails Current Date'!A:A,D121,
'YearB-AppDetails Current Date'!F:F,E121,
'YearB-AppDetails Current Date'!E:E,--F121,
'YearB-AppDetails Current Date'!R:R,"&lt;&gt;"&amp;"",
'YearB-AppDetails Current Date'!I:I,"SPRING"))), "")</f>
        <v/>
      </c>
      <c r="L121" s="74" t="str" cm="1">
        <f t="array" ref="L121">IFERROR(1/(1/SUM(COUNTIFS(
'YearB-AppDetails Current Date'!A:A,D121,
'YearB-AppDetails Current Date'!F:F,E121,
'YearB-AppDetails Current Date'!E:E,--F121,
'YearB-AppDetails Current Date'!T:T,{"APEX","DENY","NTSL"},
'YearB-AppDetails Current Date'!I:I,"SPRING"))), "")</f>
        <v/>
      </c>
      <c r="M121" s="74" t="str" cm="1">
        <f t="array" ref="M121">IFERROR(1/(1/SUM(COUNTIFS(
'YearB-AppDetails Current Date'!A:A,D121,
'YearB-AppDetails Current Date'!F:F,E121,
'YearB-AppDetails Current Date'!E:E,--F121,
'YearB-AppDetails Current Date'!U:U,{"CCAN","DECL"},
'YearB-AppDetails Current Date'!I:I,"SPRING"))), "")</f>
        <v/>
      </c>
      <c r="N121" s="74" t="str" cm="1">
        <f t="array" ref="N121">IFERROR(1/(1/SUM(COUNTIFS(
'YearB-AppDetails Current Date'!A:A,D121,
'YearB-AppDetails Current Date'!F:F,E121,
'YearB-AppDetails Current Date'!E:E,--F121,
'YearB-AppDetails Current Date'!V:V,{"APRO","NODE"},
'YearB-AppDetails Current Date'!I:I,"SPRING"))), "")</f>
        <v/>
      </c>
      <c r="O121" s="74" t="str" cm="1">
        <f t="array" ref="O121">IFERROR(1/(1/SUM(COUNTIFS(
'YearB-AppDetails Current Date'!A:A,D121,
'YearB-AppDetails Current Date'!F:F,E121,
'YearB-AppDetails Current Date'!E:E,--F121,
'YearB-AppDetails Current Date'!T:T,{"CDMT","RQMT","WAIT"},
'YearB-AppDetails Current Date'!I:I,"SPRING"))), "")</f>
        <v/>
      </c>
      <c r="P121" s="74" t="str">
        <f>IFERROR(1/(1/COUNTIFS(
'YearB-AppDetails Current Date'!A:A,D121,
'YearB-AppDetails Current Date'!F:F,E121,
'YearB-AppDetails Current Date'!E:E,--F121,
'YearB-AppDetails Current Date'!Y:Y,"ENRO",
'YearB-AppDetails Current Date'!I:I,"SPRING")), "")</f>
        <v/>
      </c>
      <c r="Q121" s="3" t="str">
        <f t="shared" si="8"/>
        <v/>
      </c>
    </row>
    <row r="122" spans="1:17" ht="15.75" customHeight="1" x14ac:dyDescent="0.25">
      <c r="A122" s="119"/>
      <c r="B122" s="122"/>
      <c r="C122" s="145"/>
      <c r="D122" s="23" t="s">
        <v>84</v>
      </c>
      <c r="E122" s="2" t="s">
        <v>42</v>
      </c>
      <c r="F122" s="42">
        <v>2</v>
      </c>
      <c r="G122" s="139" t="s">
        <v>48</v>
      </c>
      <c r="H122" s="73" t="str">
        <f>IFERROR(1/(1/
SUM(
N(VLOOKUP(D122&amp;F122,'Budgeted Projections Dom HC'!D:T,16,FALSE)),
N(VLOOKUP(D122&amp;F122,'Budgeted Projections Dom HC'!D:T,17,FALSE))
)
),"")</f>
        <v/>
      </c>
      <c r="I122" s="73" t="str">
        <f>IFERROR(1/(1/COUNTIFS(
'YearB-AppDetails Current Date'!A:A,D122,
'YearB-AppDetails Current Date'!F:F,E122,
'YearB-AppDetails Current Date'!E:E,--F122,
'YearB-AppDetails Current Date'!I:I,"SPRING")), "")</f>
        <v/>
      </c>
      <c r="J122" s="74" t="str" cm="1">
        <f t="array" ref="J122">IFERROR(1/(1/SUM(COUNTIFS(
'YearB-AppDetails Current Date'!A:A,D122,
'YearB-AppDetails Current Date'!F:F,E122,
'YearB-AppDetails Current Date'!E:E,--F122,
'YearB-AppDetails Current Date'!O:O,{"ACLN","ACPT","COND"},
'YearB-AppDetails Current Date'!S:S,"&lt;&gt;ACLN",
'YearB-AppDetails Current Date'!S:S,"&lt;&gt;ACPT",
'YearB-AppDetails Current Date'!S:S,"&lt;&gt;COND",
'YearB-AppDetails Current Date'!I:I,"SPRING"))), "")</f>
        <v/>
      </c>
      <c r="K122" s="73" t="str">
        <f>IFERROR(1/(1/SUM(COUNTIFS(
'YearB-AppDetails Current Date'!A:A,D122,
'YearB-AppDetails Current Date'!F:F,E122,
'YearB-AppDetails Current Date'!E:E,--F122,
'YearB-AppDetails Current Date'!R:R,"&lt;&gt;"&amp;"",
'YearB-AppDetails Current Date'!I:I,"SPRING"))), "")</f>
        <v/>
      </c>
      <c r="L122" s="74" t="str" cm="1">
        <f t="array" ref="L122">IFERROR(1/(1/SUM(COUNTIFS(
'YearB-AppDetails Current Date'!A:A,D122,
'YearB-AppDetails Current Date'!F:F,E122,
'YearB-AppDetails Current Date'!E:E,--F122,
'YearB-AppDetails Current Date'!T:T,{"APEX","DENY","NTSL"},
'YearB-AppDetails Current Date'!I:I,"SPRING"))), "")</f>
        <v/>
      </c>
      <c r="M122" s="74" t="str" cm="1">
        <f t="array" ref="M122">IFERROR(1/(1/SUM(COUNTIFS(
'YearB-AppDetails Current Date'!A:A,D122,
'YearB-AppDetails Current Date'!F:F,E122,
'YearB-AppDetails Current Date'!E:E,--F122,
'YearB-AppDetails Current Date'!U:U,{"CCAN","DECL"},
'YearB-AppDetails Current Date'!I:I,"SPRING"))), "")</f>
        <v/>
      </c>
      <c r="N122" s="74" t="str" cm="1">
        <f t="array" ref="N122">IFERROR(1/(1/SUM(COUNTIFS(
'YearB-AppDetails Current Date'!A:A,D122,
'YearB-AppDetails Current Date'!F:F,E122,
'YearB-AppDetails Current Date'!E:E,--F122,
'YearB-AppDetails Current Date'!V:V,{"APRO","NODE"},
'YearB-AppDetails Current Date'!I:I,"SPRING"))), "")</f>
        <v/>
      </c>
      <c r="O122" s="74" t="str" cm="1">
        <f t="array" ref="O122">IFERROR(1/(1/SUM(COUNTIFS(
'YearB-AppDetails Current Date'!A:A,D122,
'YearB-AppDetails Current Date'!F:F,E122,
'YearB-AppDetails Current Date'!E:E,--F122,
'YearB-AppDetails Current Date'!T:T,{"CDMT","RQMT","WAIT"},
'YearB-AppDetails Current Date'!I:I,"SPRING"))), "")</f>
        <v/>
      </c>
      <c r="P122" s="74" t="str">
        <f>IFERROR(1/(1/COUNTIFS(
'YearB-AppDetails Current Date'!A:A,D122,
'YearB-AppDetails Current Date'!F:F,E122,
'YearB-AppDetails Current Date'!E:E,--F122,
'YearB-AppDetails Current Date'!Y:Y,"ENRO",
'YearB-AppDetails Current Date'!I:I,"SPRING")), "")</f>
        <v/>
      </c>
      <c r="Q122" s="3" t="str">
        <f t="shared" si="8"/>
        <v/>
      </c>
    </row>
    <row r="123" spans="1:17" ht="15.75" customHeight="1" x14ac:dyDescent="0.25">
      <c r="A123" s="119"/>
      <c r="B123" s="122"/>
      <c r="C123" s="133"/>
      <c r="D123" s="23" t="s">
        <v>84</v>
      </c>
      <c r="E123" s="2" t="s">
        <v>43</v>
      </c>
      <c r="F123" s="31">
        <v>2</v>
      </c>
      <c r="G123" s="146"/>
      <c r="H123" s="73" t="str">
        <f>IFERROR(1/(1/
SUM(
N(VLOOKUP(D123&amp;F123,'Budgeted Projections Intl HC'!D:T,16,FALSE)),
N(VLOOKUP(D123&amp;F123,'Budgeted Projections Intl HC'!D:T,17,FALSE))
)
),"")</f>
        <v/>
      </c>
      <c r="I123" s="73" t="str">
        <f>IFERROR(1/(1/COUNTIFS(
'YearB-AppDetails Current Date'!A:A,D123,
'YearB-AppDetails Current Date'!F:F,E123,
'YearB-AppDetails Current Date'!E:E,--F123,
'YearB-AppDetails Current Date'!I:I,"SPRING")), "")</f>
        <v/>
      </c>
      <c r="J123" s="74" t="str" cm="1">
        <f t="array" ref="J123">IFERROR(1/(1/SUM(COUNTIFS(
'YearB-AppDetails Current Date'!A:A,D123,
'YearB-AppDetails Current Date'!F:F,E123,
'YearB-AppDetails Current Date'!E:E,--F123,
'YearB-AppDetails Current Date'!O:O,{"ACLN","ACPT","COND"},
'YearB-AppDetails Current Date'!S:S,"&lt;&gt;ACLN",
'YearB-AppDetails Current Date'!S:S,"&lt;&gt;ACPT",
'YearB-AppDetails Current Date'!S:S,"&lt;&gt;COND",
'YearB-AppDetails Current Date'!I:I,"SPRING"))), "")</f>
        <v/>
      </c>
      <c r="K123" s="73" t="str">
        <f>IFERROR(1/(1/SUM(COUNTIFS(
'YearB-AppDetails Current Date'!A:A,D123,
'YearB-AppDetails Current Date'!F:F,E123,
'YearB-AppDetails Current Date'!E:E,--F123,
'YearB-AppDetails Current Date'!R:R,"&lt;&gt;"&amp;"",
'YearB-AppDetails Current Date'!I:I,"SPRING"))), "")</f>
        <v/>
      </c>
      <c r="L123" s="74" t="str" cm="1">
        <f t="array" ref="L123">IFERROR(1/(1/SUM(COUNTIFS(
'YearB-AppDetails Current Date'!A:A,D123,
'YearB-AppDetails Current Date'!F:F,E123,
'YearB-AppDetails Current Date'!E:E,--F123,
'YearB-AppDetails Current Date'!T:T,{"APEX","DENY","NTSL"},
'YearB-AppDetails Current Date'!I:I,"SPRING"))), "")</f>
        <v/>
      </c>
      <c r="M123" s="74" t="str" cm="1">
        <f t="array" ref="M123">IFERROR(1/(1/SUM(COUNTIFS(
'YearB-AppDetails Current Date'!A:A,D123,
'YearB-AppDetails Current Date'!F:F,E123,
'YearB-AppDetails Current Date'!E:E,--F123,
'YearB-AppDetails Current Date'!U:U,{"CCAN","DECL"},
'YearB-AppDetails Current Date'!I:I,"SPRING"))), "")</f>
        <v/>
      </c>
      <c r="N123" s="74" t="str" cm="1">
        <f t="array" ref="N123">IFERROR(1/(1/SUM(COUNTIFS(
'YearB-AppDetails Current Date'!A:A,D123,
'YearB-AppDetails Current Date'!F:F,E123,
'YearB-AppDetails Current Date'!E:E,--F123,
'YearB-AppDetails Current Date'!V:V,{"APRO","NODE"},
'YearB-AppDetails Current Date'!I:I,"SPRING"))), "")</f>
        <v/>
      </c>
      <c r="O123" s="74" t="str" cm="1">
        <f t="array" ref="O123">IFERROR(1/(1/SUM(COUNTIFS(
'YearB-AppDetails Current Date'!A:A,D123,
'YearB-AppDetails Current Date'!F:F,E123,
'YearB-AppDetails Current Date'!E:E,--F123,
'YearB-AppDetails Current Date'!T:T,{"CDMT","RQMT","WAIT"},
'YearB-AppDetails Current Date'!I:I,"SPRING"))), "")</f>
        <v/>
      </c>
      <c r="P123" s="74" t="str">
        <f>IFERROR(1/(1/COUNTIFS(
'YearB-AppDetails Current Date'!A:A,D123,
'YearB-AppDetails Current Date'!F:F,E123,
'YearB-AppDetails Current Date'!E:E,--F123,
'YearB-AppDetails Current Date'!Y:Y,"ENRO",
'YearB-AppDetails Current Date'!I:I,"SPRING")), "")</f>
        <v/>
      </c>
      <c r="Q123" s="3" t="str">
        <f t="shared" si="8"/>
        <v/>
      </c>
    </row>
    <row r="124" spans="1:17" ht="15.75" customHeight="1" x14ac:dyDescent="0.25">
      <c r="A124" s="119"/>
      <c r="B124" s="122"/>
      <c r="C124" s="124" t="s">
        <v>86</v>
      </c>
      <c r="D124" s="23" t="s">
        <v>87</v>
      </c>
      <c r="E124" s="2" t="s">
        <v>42</v>
      </c>
      <c r="F124" s="42">
        <v>1</v>
      </c>
      <c r="G124" s="139" t="s">
        <v>48</v>
      </c>
      <c r="H124" s="73" t="str">
        <f>IFERROR(1/(1/
SUM(
N(VLOOKUP(D124&amp;F124,'Budgeted Projections Dom HC'!D:T,16,FALSE)),
N(VLOOKUP(D124&amp;F124,'Budgeted Projections Dom HC'!D:T,17,FALSE))
)
),"")</f>
        <v/>
      </c>
      <c r="I124" s="73" t="str">
        <f>IFERROR(1/(1/COUNTIFS(
'YearB-AppDetails Current Date'!A:A,D124,
'YearB-AppDetails Current Date'!F:F,E124,
'YearB-AppDetails Current Date'!E:E,--F124,
'YearB-AppDetails Current Date'!I:I,"SPRING")), "")</f>
        <v/>
      </c>
      <c r="J124" s="74" t="str" cm="1">
        <f t="array" ref="J124">IFERROR(1/(1/SUM(COUNTIFS(
'YearB-AppDetails Current Date'!A:A,D124,
'YearB-AppDetails Current Date'!F:F,E124,
'YearB-AppDetails Current Date'!E:E,--F124,
'YearB-AppDetails Current Date'!O:O,{"ACLN","ACPT","COND"},
'YearB-AppDetails Current Date'!S:S,"&lt;&gt;ACLN",
'YearB-AppDetails Current Date'!S:S,"&lt;&gt;ACPT",
'YearB-AppDetails Current Date'!S:S,"&lt;&gt;COND",
'YearB-AppDetails Current Date'!I:I,"SPRING"))), "")</f>
        <v/>
      </c>
      <c r="K124" s="73" t="str">
        <f>IFERROR(1/(1/SUM(COUNTIFS(
'YearB-AppDetails Current Date'!A:A,D124,
'YearB-AppDetails Current Date'!F:F,E124,
'YearB-AppDetails Current Date'!E:E,--F124,
'YearB-AppDetails Current Date'!R:R,"&lt;&gt;"&amp;"",
'YearB-AppDetails Current Date'!I:I,"SPRING"))), "")</f>
        <v/>
      </c>
      <c r="L124" s="74" t="str" cm="1">
        <f t="array" ref="L124">IFERROR(1/(1/SUM(COUNTIFS(
'YearB-AppDetails Current Date'!A:A,D124,
'YearB-AppDetails Current Date'!F:F,E124,
'YearB-AppDetails Current Date'!E:E,--F124,
'YearB-AppDetails Current Date'!T:T,{"APEX","DENY","NTSL"},
'YearB-AppDetails Current Date'!I:I,"SPRING"))), "")</f>
        <v/>
      </c>
      <c r="M124" s="74" t="str" cm="1">
        <f t="array" ref="M124">IFERROR(1/(1/SUM(COUNTIFS(
'YearB-AppDetails Current Date'!A:A,D124,
'YearB-AppDetails Current Date'!F:F,E124,
'YearB-AppDetails Current Date'!E:E,--F124,
'YearB-AppDetails Current Date'!U:U,{"CCAN","DECL"},
'YearB-AppDetails Current Date'!I:I,"SPRING"))), "")</f>
        <v/>
      </c>
      <c r="N124" s="74" t="str" cm="1">
        <f t="array" ref="N124">IFERROR(1/(1/SUM(COUNTIFS(
'YearB-AppDetails Current Date'!A:A,D124,
'YearB-AppDetails Current Date'!F:F,E124,
'YearB-AppDetails Current Date'!E:E,--F124,
'YearB-AppDetails Current Date'!V:V,{"APRO","NODE"},
'YearB-AppDetails Current Date'!I:I,"SPRING"))), "")</f>
        <v/>
      </c>
      <c r="O124" s="74" t="str" cm="1">
        <f t="array" ref="O124">IFERROR(1/(1/SUM(COUNTIFS(
'YearB-AppDetails Current Date'!A:A,D124,
'YearB-AppDetails Current Date'!F:F,E124,
'YearB-AppDetails Current Date'!E:E,--F124,
'YearB-AppDetails Current Date'!T:T,{"CDMT","RQMT","WAIT"},
'YearB-AppDetails Current Date'!I:I,"SPRING"))), "")</f>
        <v/>
      </c>
      <c r="P124" s="74" t="str">
        <f>IFERROR(1/(1/COUNTIFS(
'YearB-AppDetails Current Date'!A:A,D124,
'YearB-AppDetails Current Date'!F:F,E124,
'YearB-AppDetails Current Date'!E:E,--F124,
'YearB-AppDetails Current Date'!Y:Y,"ENRO",
'YearB-AppDetails Current Date'!I:I,"SPRING")), "")</f>
        <v/>
      </c>
      <c r="Q124" s="3" t="str">
        <f t="shared" si="8"/>
        <v/>
      </c>
    </row>
    <row r="125" spans="1:17" ht="15.75" customHeight="1" x14ac:dyDescent="0.25">
      <c r="A125" s="119"/>
      <c r="B125" s="122"/>
      <c r="C125" s="125"/>
      <c r="D125" s="23" t="s">
        <v>87</v>
      </c>
      <c r="E125" s="2" t="s">
        <v>43</v>
      </c>
      <c r="F125" s="31">
        <v>1</v>
      </c>
      <c r="G125" s="140"/>
      <c r="H125" s="73" t="str">
        <f>IFERROR(1/(1/
SUM(
N(VLOOKUP(D125&amp;F125,'Budgeted Projections Intl HC'!D:T,16,FALSE)),
N(VLOOKUP(D125&amp;F125,'Budgeted Projections Intl HC'!D:T,17,FALSE))
)
),"")</f>
        <v/>
      </c>
      <c r="I125" s="73" t="str">
        <f>IFERROR(1/(1/COUNTIFS(
'YearB-AppDetails Current Date'!A:A,D125,
'YearB-AppDetails Current Date'!F:F,E125,
'YearB-AppDetails Current Date'!E:E,--F125,
'YearB-AppDetails Current Date'!I:I,"SPRING")), "")</f>
        <v/>
      </c>
      <c r="J125" s="74" t="str" cm="1">
        <f t="array" ref="J125">IFERROR(1/(1/SUM(COUNTIFS(
'YearB-AppDetails Current Date'!A:A,D125,
'YearB-AppDetails Current Date'!F:F,E125,
'YearB-AppDetails Current Date'!E:E,--F125,
'YearB-AppDetails Current Date'!O:O,{"ACLN","ACPT","COND"},
'YearB-AppDetails Current Date'!S:S,"&lt;&gt;ACLN",
'YearB-AppDetails Current Date'!S:S,"&lt;&gt;ACPT",
'YearB-AppDetails Current Date'!S:S,"&lt;&gt;COND",
'YearB-AppDetails Current Date'!I:I,"SPRING"))), "")</f>
        <v/>
      </c>
      <c r="K125" s="73" t="str">
        <f>IFERROR(1/(1/SUM(COUNTIFS(
'YearB-AppDetails Current Date'!A:A,D125,
'YearB-AppDetails Current Date'!F:F,E125,
'YearB-AppDetails Current Date'!E:E,--F125,
'YearB-AppDetails Current Date'!R:R,"&lt;&gt;"&amp;"",
'YearB-AppDetails Current Date'!I:I,"SPRING"))), "")</f>
        <v/>
      </c>
      <c r="L125" s="74" t="str" cm="1">
        <f t="array" ref="L125">IFERROR(1/(1/SUM(COUNTIFS(
'YearB-AppDetails Current Date'!A:A,D125,
'YearB-AppDetails Current Date'!F:F,E125,
'YearB-AppDetails Current Date'!E:E,--F125,
'YearB-AppDetails Current Date'!T:T,{"APEX","DENY","NTSL"},
'YearB-AppDetails Current Date'!I:I,"SPRING"))), "")</f>
        <v/>
      </c>
      <c r="M125" s="74" t="str" cm="1">
        <f t="array" ref="M125">IFERROR(1/(1/SUM(COUNTIFS(
'YearB-AppDetails Current Date'!A:A,D125,
'YearB-AppDetails Current Date'!F:F,E125,
'YearB-AppDetails Current Date'!E:E,--F125,
'YearB-AppDetails Current Date'!U:U,{"CCAN","DECL"},
'YearB-AppDetails Current Date'!I:I,"SPRING"))), "")</f>
        <v/>
      </c>
      <c r="N125" s="74" t="str" cm="1">
        <f t="array" ref="N125">IFERROR(1/(1/SUM(COUNTIFS(
'YearB-AppDetails Current Date'!A:A,D125,
'YearB-AppDetails Current Date'!F:F,E125,
'YearB-AppDetails Current Date'!E:E,--F125,
'YearB-AppDetails Current Date'!V:V,{"APRO","NODE"},
'YearB-AppDetails Current Date'!I:I,"SPRING"))), "")</f>
        <v/>
      </c>
      <c r="O125" s="74" t="str" cm="1">
        <f t="array" ref="O125">IFERROR(1/(1/SUM(COUNTIFS(
'YearB-AppDetails Current Date'!A:A,D125,
'YearB-AppDetails Current Date'!F:F,E125,
'YearB-AppDetails Current Date'!E:E,--F125,
'YearB-AppDetails Current Date'!T:T,{"CDMT","RQMT","WAIT"},
'YearB-AppDetails Current Date'!I:I,"SPRING"))), "")</f>
        <v/>
      </c>
      <c r="P125" s="74" t="str">
        <f>IFERROR(1/(1/COUNTIFS(
'YearB-AppDetails Current Date'!A:A,D125,
'YearB-AppDetails Current Date'!F:F,E125,
'YearB-AppDetails Current Date'!E:E,--F125,
'YearB-AppDetails Current Date'!Y:Y,"ENRO",
'YearB-AppDetails Current Date'!I:I,"SPRING")), "")</f>
        <v/>
      </c>
      <c r="Q125" s="3" t="str">
        <f t="shared" si="8"/>
        <v/>
      </c>
    </row>
    <row r="126" spans="1:17" ht="15.75" customHeight="1" x14ac:dyDescent="0.25">
      <c r="A126" s="119"/>
      <c r="B126" s="122"/>
      <c r="C126" s="124" t="s">
        <v>157</v>
      </c>
      <c r="D126" s="23" t="s">
        <v>88</v>
      </c>
      <c r="E126" s="2" t="s">
        <v>42</v>
      </c>
      <c r="F126" s="42">
        <v>1</v>
      </c>
      <c r="G126" s="139">
        <v>30</v>
      </c>
      <c r="H126" s="73" t="str">
        <f>IFERROR(1/(1/
SUM(
N(VLOOKUP(D126&amp;F126,'Budgeted Projections Dom HC'!D:T,16,FALSE)),
N(VLOOKUP(D126&amp;F126,'Budgeted Projections Dom HC'!D:T,17,FALSE))
)
),"")</f>
        <v/>
      </c>
      <c r="I126" s="73" t="str">
        <f>IFERROR(1/(1/COUNTIFS(
'YearB-AppDetails Current Date'!A:A,D126,
'YearB-AppDetails Current Date'!F:F,E126,
'YearB-AppDetails Current Date'!E:E,--F126,
'YearB-AppDetails Current Date'!I:I,"SPRING")), "")</f>
        <v/>
      </c>
      <c r="J126" s="74" t="str" cm="1">
        <f t="array" ref="J126">IFERROR(1/(1/SUM(COUNTIFS(
'YearB-AppDetails Current Date'!A:A,D126,
'YearB-AppDetails Current Date'!F:F,E126,
'YearB-AppDetails Current Date'!E:E,--F126,
'YearB-AppDetails Current Date'!O:O,{"ACLN","ACPT","COND"},
'YearB-AppDetails Current Date'!S:S,"&lt;&gt;ACLN",
'YearB-AppDetails Current Date'!S:S,"&lt;&gt;ACPT",
'YearB-AppDetails Current Date'!S:S,"&lt;&gt;COND",
'YearB-AppDetails Current Date'!I:I,"SPRING"))), "")</f>
        <v/>
      </c>
      <c r="K126" s="73" t="str">
        <f>IFERROR(1/(1/SUM(COUNTIFS(
'YearB-AppDetails Current Date'!A:A,D126,
'YearB-AppDetails Current Date'!F:F,E126,
'YearB-AppDetails Current Date'!E:E,--F126,
'YearB-AppDetails Current Date'!R:R,"&lt;&gt;"&amp;"",
'YearB-AppDetails Current Date'!I:I,"SPRING"))), "")</f>
        <v/>
      </c>
      <c r="L126" s="74" t="str" cm="1">
        <f t="array" ref="L126">IFERROR(1/(1/SUM(COUNTIFS(
'YearB-AppDetails Current Date'!A:A,D126,
'YearB-AppDetails Current Date'!F:F,E126,
'YearB-AppDetails Current Date'!E:E,--F126,
'YearB-AppDetails Current Date'!T:T,{"APEX","DENY","NTSL"},
'YearB-AppDetails Current Date'!I:I,"SPRING"))), "")</f>
        <v/>
      </c>
      <c r="M126" s="74" t="str" cm="1">
        <f t="array" ref="M126">IFERROR(1/(1/SUM(COUNTIFS(
'YearB-AppDetails Current Date'!A:A,D126,
'YearB-AppDetails Current Date'!F:F,E126,
'YearB-AppDetails Current Date'!E:E,--F126,
'YearB-AppDetails Current Date'!U:U,{"CCAN","DECL"},
'YearB-AppDetails Current Date'!I:I,"SPRING"))), "")</f>
        <v/>
      </c>
      <c r="N126" s="74" t="str" cm="1">
        <f t="array" ref="N126">IFERROR(1/(1/SUM(COUNTIFS(
'YearB-AppDetails Current Date'!A:A,D126,
'YearB-AppDetails Current Date'!F:F,E126,
'YearB-AppDetails Current Date'!E:E,--F126,
'YearB-AppDetails Current Date'!V:V,{"APRO","NODE"},
'YearB-AppDetails Current Date'!I:I,"SPRING"))), "")</f>
        <v/>
      </c>
      <c r="O126" s="74" t="str" cm="1">
        <f t="array" ref="O126">IFERROR(1/(1/SUM(COUNTIFS(
'YearB-AppDetails Current Date'!A:A,D126,
'YearB-AppDetails Current Date'!F:F,E126,
'YearB-AppDetails Current Date'!E:E,--F126,
'YearB-AppDetails Current Date'!T:T,{"CDMT","RQMT","WAIT"},
'YearB-AppDetails Current Date'!I:I,"SPRING"))), "")</f>
        <v/>
      </c>
      <c r="P126" s="74" t="str">
        <f>IFERROR(1/(1/COUNTIFS(
'YearB-AppDetails Current Date'!A:A,D126,
'YearB-AppDetails Current Date'!F:F,E126,
'YearB-AppDetails Current Date'!E:E,--F126,
'YearB-AppDetails Current Date'!Y:Y,"ENRO",
'YearB-AppDetails Current Date'!I:I,"SPRING")), "")</f>
        <v/>
      </c>
      <c r="Q126" s="3" t="str">
        <f t="shared" si="8"/>
        <v/>
      </c>
    </row>
    <row r="127" spans="1:17" ht="15.75" customHeight="1" x14ac:dyDescent="0.25">
      <c r="A127" s="119"/>
      <c r="B127" s="122"/>
      <c r="C127" s="125"/>
      <c r="D127" s="23" t="s">
        <v>88</v>
      </c>
      <c r="E127" s="2" t="s">
        <v>43</v>
      </c>
      <c r="F127" s="31">
        <v>1</v>
      </c>
      <c r="G127" s="140"/>
      <c r="H127" s="73" t="str">
        <f>IFERROR(1/(1/
SUM(
N(VLOOKUP(D127&amp;F127,'Budgeted Projections Intl HC'!D:T,16,FALSE)),
N(VLOOKUP(D127&amp;F127,'Budgeted Projections Intl HC'!D:T,17,FALSE))
)
),"")</f>
        <v/>
      </c>
      <c r="I127" s="73" t="str">
        <f>IFERROR(1/(1/COUNTIFS(
'YearB-AppDetails Current Date'!A:A,D127,
'YearB-AppDetails Current Date'!F:F,E127,
'YearB-AppDetails Current Date'!E:E,--F127,
'YearB-AppDetails Current Date'!I:I,"SPRING")), "")</f>
        <v/>
      </c>
      <c r="J127" s="74" t="str" cm="1">
        <f t="array" ref="J127">IFERROR(1/(1/SUM(COUNTIFS(
'YearB-AppDetails Current Date'!A:A,D127,
'YearB-AppDetails Current Date'!F:F,E127,
'YearB-AppDetails Current Date'!E:E,--F127,
'YearB-AppDetails Current Date'!O:O,{"ACLN","ACPT","COND"},
'YearB-AppDetails Current Date'!S:S,"&lt;&gt;ACLN",
'YearB-AppDetails Current Date'!S:S,"&lt;&gt;ACPT",
'YearB-AppDetails Current Date'!S:S,"&lt;&gt;COND",
'YearB-AppDetails Current Date'!I:I,"SPRING"))), "")</f>
        <v/>
      </c>
      <c r="K127" s="73" t="str">
        <f>IFERROR(1/(1/SUM(COUNTIFS(
'YearB-AppDetails Current Date'!A:A,D127,
'YearB-AppDetails Current Date'!F:F,E127,
'YearB-AppDetails Current Date'!E:E,--F127,
'YearB-AppDetails Current Date'!R:R,"&lt;&gt;"&amp;"",
'YearB-AppDetails Current Date'!I:I,"SPRING"))), "")</f>
        <v/>
      </c>
      <c r="L127" s="74" t="str" cm="1">
        <f t="array" ref="L127">IFERROR(1/(1/SUM(COUNTIFS(
'YearB-AppDetails Current Date'!A:A,D127,
'YearB-AppDetails Current Date'!F:F,E127,
'YearB-AppDetails Current Date'!E:E,--F127,
'YearB-AppDetails Current Date'!T:T,{"APEX","DENY","NTSL"},
'YearB-AppDetails Current Date'!I:I,"SPRING"))), "")</f>
        <v/>
      </c>
      <c r="M127" s="74" t="str" cm="1">
        <f t="array" ref="M127">IFERROR(1/(1/SUM(COUNTIFS(
'YearB-AppDetails Current Date'!A:A,D127,
'YearB-AppDetails Current Date'!F:F,E127,
'YearB-AppDetails Current Date'!E:E,--F127,
'YearB-AppDetails Current Date'!U:U,{"CCAN","DECL"},
'YearB-AppDetails Current Date'!I:I,"SPRING"))), "")</f>
        <v/>
      </c>
      <c r="N127" s="74" t="str" cm="1">
        <f t="array" ref="N127">IFERROR(1/(1/SUM(COUNTIFS(
'YearB-AppDetails Current Date'!A:A,D127,
'YearB-AppDetails Current Date'!F:F,E127,
'YearB-AppDetails Current Date'!E:E,--F127,
'YearB-AppDetails Current Date'!V:V,{"APRO","NODE"},
'YearB-AppDetails Current Date'!I:I,"SPRING"))), "")</f>
        <v/>
      </c>
      <c r="O127" s="74" t="str" cm="1">
        <f t="array" ref="O127">IFERROR(1/(1/SUM(COUNTIFS(
'YearB-AppDetails Current Date'!A:A,D127,
'YearB-AppDetails Current Date'!F:F,E127,
'YearB-AppDetails Current Date'!E:E,--F127,
'YearB-AppDetails Current Date'!T:T,{"CDMT","RQMT","WAIT"},
'YearB-AppDetails Current Date'!I:I,"SPRING"))), "")</f>
        <v/>
      </c>
      <c r="P127" s="74" t="str">
        <f>IFERROR(1/(1/COUNTIFS(
'YearB-AppDetails Current Date'!A:A,D127,
'YearB-AppDetails Current Date'!F:F,E127,
'YearB-AppDetails Current Date'!E:E,--F127,
'YearB-AppDetails Current Date'!Y:Y,"ENRO",
'YearB-AppDetails Current Date'!I:I,"SPRING")), "")</f>
        <v/>
      </c>
      <c r="Q127" s="3" t="str">
        <f t="shared" si="8"/>
        <v/>
      </c>
    </row>
    <row r="128" spans="1:17" ht="15.75" customHeight="1" x14ac:dyDescent="0.25">
      <c r="A128" s="119"/>
      <c r="B128" s="123"/>
      <c r="C128" s="142" t="s">
        <v>89</v>
      </c>
      <c r="D128" s="143"/>
      <c r="E128" s="143"/>
      <c r="F128" s="144"/>
      <c r="G128" s="7"/>
      <c r="H128" s="7">
        <f>SUM(H78:H127)</f>
        <v>0</v>
      </c>
      <c r="I128" s="7">
        <f t="shared" ref="I128:P128" si="11">SUM(I78:I127)</f>
        <v>0</v>
      </c>
      <c r="J128" s="7">
        <f t="shared" si="11"/>
        <v>0</v>
      </c>
      <c r="K128" s="7">
        <f t="shared" si="11"/>
        <v>0</v>
      </c>
      <c r="L128" s="7">
        <f t="shared" si="11"/>
        <v>0</v>
      </c>
      <c r="M128" s="7">
        <f t="shared" si="11"/>
        <v>0</v>
      </c>
      <c r="N128" s="7">
        <f t="shared" si="11"/>
        <v>0</v>
      </c>
      <c r="O128" s="7">
        <f t="shared" si="11"/>
        <v>0</v>
      </c>
      <c r="P128" s="7">
        <f t="shared" si="11"/>
        <v>0</v>
      </c>
      <c r="Q128" s="35" t="str">
        <f t="shared" si="8"/>
        <v/>
      </c>
    </row>
    <row r="129" spans="1:17" ht="15.75" customHeight="1" x14ac:dyDescent="0.25">
      <c r="A129" s="119"/>
      <c r="B129" s="121" t="s">
        <v>282</v>
      </c>
      <c r="C129" s="124" t="s">
        <v>90</v>
      </c>
      <c r="D129" s="25" t="s">
        <v>91</v>
      </c>
      <c r="E129" s="2" t="s">
        <v>42</v>
      </c>
      <c r="F129" s="42">
        <v>1</v>
      </c>
      <c r="G129" s="139" t="s">
        <v>48</v>
      </c>
      <c r="H129" s="73" t="str">
        <f>IFERROR(1/(1/
SUM(
N(VLOOKUP(D129&amp;F129,'Budgeted Projections Dom HC'!D:T,16,FALSE)),
N(VLOOKUP(D129&amp;F129,'Budgeted Projections Dom HC'!D:T,17,FALSE))
)
),"")</f>
        <v/>
      </c>
      <c r="I129" s="73" t="str">
        <f>IFERROR(1/(1/COUNTIFS(
'YearB-AppDetails Current Date'!A:A,D129,
'YearB-AppDetails Current Date'!F:F,E129,
'YearB-AppDetails Current Date'!E:E,--F129,
'YearB-AppDetails Current Date'!I:I,"SPRING")), "")</f>
        <v/>
      </c>
      <c r="J129" s="74" t="str" cm="1">
        <f t="array" ref="J129">IFERROR(1/(1/SUM(COUNTIFS(
'YearB-AppDetails Current Date'!A:A,D129,
'YearB-AppDetails Current Date'!F:F,E129,
'YearB-AppDetails Current Date'!E:E,--F129,
'YearB-AppDetails Current Date'!O:O,{"ACLN","ACPT","COND"},
'YearB-AppDetails Current Date'!S:S,"&lt;&gt;ACLN",
'YearB-AppDetails Current Date'!S:S,"&lt;&gt;ACPT",
'YearB-AppDetails Current Date'!S:S,"&lt;&gt;COND",
'YearB-AppDetails Current Date'!I:I,"SPRING"))), "")</f>
        <v/>
      </c>
      <c r="K129" s="73" t="str">
        <f>IFERROR(1/(1/SUM(COUNTIFS(
'YearB-AppDetails Current Date'!A:A,D129,
'YearB-AppDetails Current Date'!F:F,E129,
'YearB-AppDetails Current Date'!E:E,--F129,
'YearB-AppDetails Current Date'!R:R,"&lt;&gt;"&amp;"",
'YearB-AppDetails Current Date'!I:I,"SPRING"))), "")</f>
        <v/>
      </c>
      <c r="L129" s="74" t="str" cm="1">
        <f t="array" ref="L129">IFERROR(1/(1/SUM(COUNTIFS(
'YearB-AppDetails Current Date'!A:A,D129,
'YearB-AppDetails Current Date'!F:F,E129,
'YearB-AppDetails Current Date'!E:E,--F129,
'YearB-AppDetails Current Date'!T:T,{"APEX","DENY","NTSL"},
'YearB-AppDetails Current Date'!I:I,"SPRING"))), "")</f>
        <v/>
      </c>
      <c r="M129" s="74" t="str" cm="1">
        <f t="array" ref="M129">IFERROR(1/(1/SUM(COUNTIFS(
'YearB-AppDetails Current Date'!A:A,D129,
'YearB-AppDetails Current Date'!F:F,E129,
'YearB-AppDetails Current Date'!E:E,--F129,
'YearB-AppDetails Current Date'!U:U,{"CCAN","DECL"},
'YearB-AppDetails Current Date'!I:I,"SPRING"))), "")</f>
        <v/>
      </c>
      <c r="N129" s="74" t="str" cm="1">
        <f t="array" ref="N129">IFERROR(1/(1/SUM(COUNTIFS(
'YearB-AppDetails Current Date'!A:A,D129,
'YearB-AppDetails Current Date'!F:F,E129,
'YearB-AppDetails Current Date'!E:E,--F129,
'YearB-AppDetails Current Date'!V:V,{"APRO","NODE"},
'YearB-AppDetails Current Date'!I:I,"SPRING"))), "")</f>
        <v/>
      </c>
      <c r="O129" s="74" t="str" cm="1">
        <f t="array" ref="O129">IFERROR(1/(1/SUM(COUNTIFS(
'YearB-AppDetails Current Date'!A:A,D129,
'YearB-AppDetails Current Date'!F:F,E129,
'YearB-AppDetails Current Date'!E:E,--F129,
'YearB-AppDetails Current Date'!T:T,{"CDMT","RQMT","WAIT"},
'YearB-AppDetails Current Date'!I:I,"SPRING"))), "")</f>
        <v/>
      </c>
      <c r="P129" s="74" t="str">
        <f>IFERROR(1/(1/COUNTIFS(
'YearB-AppDetails Current Date'!A:A,D129,
'YearB-AppDetails Current Date'!F:F,E129,
'YearB-AppDetails Current Date'!E:E,--F129,
'YearB-AppDetails Current Date'!Y:Y,"ENRO",
'YearB-AppDetails Current Date'!I:I,"SPRING")), "")</f>
        <v/>
      </c>
      <c r="Q129" s="3" t="str">
        <f t="shared" si="8"/>
        <v/>
      </c>
    </row>
    <row r="130" spans="1:17" ht="15.75" customHeight="1" x14ac:dyDescent="0.25">
      <c r="A130" s="119"/>
      <c r="B130" s="122"/>
      <c r="C130" s="125"/>
      <c r="D130" s="25" t="s">
        <v>91</v>
      </c>
      <c r="E130" s="2" t="s">
        <v>43</v>
      </c>
      <c r="F130" s="31">
        <v>1</v>
      </c>
      <c r="G130" s="147"/>
      <c r="H130" s="73" t="str">
        <f>IFERROR(1/(1/
SUM(
N(VLOOKUP(D130&amp;F130,'Budgeted Projections Intl HC'!D:T,16,FALSE)),
N(VLOOKUP(D130&amp;F130,'Budgeted Projections Intl HC'!D:T,17,FALSE))
)
),"")</f>
        <v/>
      </c>
      <c r="I130" s="73" t="str">
        <f>IFERROR(1/(1/COUNTIFS(
'YearB-AppDetails Current Date'!A:A,D130,
'YearB-AppDetails Current Date'!F:F,E130,
'YearB-AppDetails Current Date'!E:E,--F130,
'YearB-AppDetails Current Date'!I:I,"SPRING")), "")</f>
        <v/>
      </c>
      <c r="J130" s="74" t="str" cm="1">
        <f t="array" ref="J130">IFERROR(1/(1/SUM(COUNTIFS(
'YearB-AppDetails Current Date'!A:A,D130,
'YearB-AppDetails Current Date'!F:F,E130,
'YearB-AppDetails Current Date'!E:E,--F130,
'YearB-AppDetails Current Date'!O:O,{"ACLN","ACPT","COND"},
'YearB-AppDetails Current Date'!S:S,"&lt;&gt;ACLN",
'YearB-AppDetails Current Date'!S:S,"&lt;&gt;ACPT",
'YearB-AppDetails Current Date'!S:S,"&lt;&gt;COND",
'YearB-AppDetails Current Date'!I:I,"SPRING"))), "")</f>
        <v/>
      </c>
      <c r="K130" s="73" t="str">
        <f>IFERROR(1/(1/SUM(COUNTIFS(
'YearB-AppDetails Current Date'!A:A,D130,
'YearB-AppDetails Current Date'!F:F,E130,
'YearB-AppDetails Current Date'!E:E,--F130,
'YearB-AppDetails Current Date'!R:R,"&lt;&gt;"&amp;"",
'YearB-AppDetails Current Date'!I:I,"SPRING"))), "")</f>
        <v/>
      </c>
      <c r="L130" s="74" t="str" cm="1">
        <f t="array" ref="L130">IFERROR(1/(1/SUM(COUNTIFS(
'YearB-AppDetails Current Date'!A:A,D130,
'YearB-AppDetails Current Date'!F:F,E130,
'YearB-AppDetails Current Date'!E:E,--F130,
'YearB-AppDetails Current Date'!T:T,{"APEX","DENY","NTSL"},
'YearB-AppDetails Current Date'!I:I,"SPRING"))), "")</f>
        <v/>
      </c>
      <c r="M130" s="74" t="str" cm="1">
        <f t="array" ref="M130">IFERROR(1/(1/SUM(COUNTIFS(
'YearB-AppDetails Current Date'!A:A,D130,
'YearB-AppDetails Current Date'!F:F,E130,
'YearB-AppDetails Current Date'!E:E,--F130,
'YearB-AppDetails Current Date'!U:U,{"CCAN","DECL"},
'YearB-AppDetails Current Date'!I:I,"SPRING"))), "")</f>
        <v/>
      </c>
      <c r="N130" s="74" t="str" cm="1">
        <f t="array" ref="N130">IFERROR(1/(1/SUM(COUNTIFS(
'YearB-AppDetails Current Date'!A:A,D130,
'YearB-AppDetails Current Date'!F:F,E130,
'YearB-AppDetails Current Date'!E:E,--F130,
'YearB-AppDetails Current Date'!V:V,{"APRO","NODE"},
'YearB-AppDetails Current Date'!I:I,"SPRING"))), "")</f>
        <v/>
      </c>
      <c r="O130" s="74" t="str" cm="1">
        <f t="array" ref="O130">IFERROR(1/(1/SUM(COUNTIFS(
'YearB-AppDetails Current Date'!A:A,D130,
'YearB-AppDetails Current Date'!F:F,E130,
'YearB-AppDetails Current Date'!E:E,--F130,
'YearB-AppDetails Current Date'!T:T,{"CDMT","RQMT","WAIT"},
'YearB-AppDetails Current Date'!I:I,"SPRING"))), "")</f>
        <v/>
      </c>
      <c r="P130" s="74" t="str">
        <f>IFERROR(1/(1/COUNTIFS(
'YearB-AppDetails Current Date'!A:A,D130,
'YearB-AppDetails Current Date'!F:F,E130,
'YearB-AppDetails Current Date'!E:E,--F130,
'YearB-AppDetails Current Date'!Y:Y,"ENRO",
'YearB-AppDetails Current Date'!I:I,"SPRING")), "")</f>
        <v/>
      </c>
      <c r="Q130" s="3" t="str">
        <f t="shared" si="8"/>
        <v/>
      </c>
    </row>
    <row r="131" spans="1:17" ht="15.75" customHeight="1" x14ac:dyDescent="0.25">
      <c r="A131" s="119"/>
      <c r="B131" s="122"/>
      <c r="C131" s="124" t="s">
        <v>92</v>
      </c>
      <c r="D131" s="25" t="s">
        <v>93</v>
      </c>
      <c r="E131" s="2" t="s">
        <v>42</v>
      </c>
      <c r="F131" s="42">
        <v>1</v>
      </c>
      <c r="G131" s="139" t="s">
        <v>48</v>
      </c>
      <c r="H131" s="73" t="str">
        <f>IFERROR(1/(1/
SUM(
N(VLOOKUP(D131&amp;F131,'Budgeted Projections Dom HC'!D:T,16,FALSE)),
N(VLOOKUP(D131&amp;F131,'Budgeted Projections Dom HC'!D:T,17,FALSE))
)
),"")</f>
        <v/>
      </c>
      <c r="I131" s="73" t="str">
        <f>IFERROR(1/(1/COUNTIFS(
'YearB-AppDetails Current Date'!A:A,D131,
'YearB-AppDetails Current Date'!F:F,E131,
'YearB-AppDetails Current Date'!E:E,--F131,
'YearB-AppDetails Current Date'!I:I,"SPRING")), "")</f>
        <v/>
      </c>
      <c r="J131" s="74" t="str" cm="1">
        <f t="array" ref="J131">IFERROR(1/(1/SUM(COUNTIFS(
'YearB-AppDetails Current Date'!A:A,D131,
'YearB-AppDetails Current Date'!F:F,E131,
'YearB-AppDetails Current Date'!E:E,--F131,
'YearB-AppDetails Current Date'!O:O,{"ACLN","ACPT","COND"},
'YearB-AppDetails Current Date'!S:S,"&lt;&gt;ACLN",
'YearB-AppDetails Current Date'!S:S,"&lt;&gt;ACPT",
'YearB-AppDetails Current Date'!S:S,"&lt;&gt;COND",
'YearB-AppDetails Current Date'!I:I,"SPRING"))), "")</f>
        <v/>
      </c>
      <c r="K131" s="73" t="str">
        <f>IFERROR(1/(1/SUM(COUNTIFS(
'YearB-AppDetails Current Date'!A:A,D131,
'YearB-AppDetails Current Date'!F:F,E131,
'YearB-AppDetails Current Date'!E:E,--F131,
'YearB-AppDetails Current Date'!R:R,"&lt;&gt;"&amp;"",
'YearB-AppDetails Current Date'!I:I,"SPRING"))), "")</f>
        <v/>
      </c>
      <c r="L131" s="74" t="str" cm="1">
        <f t="array" ref="L131">IFERROR(1/(1/SUM(COUNTIFS(
'YearB-AppDetails Current Date'!A:A,D131,
'YearB-AppDetails Current Date'!F:F,E131,
'YearB-AppDetails Current Date'!E:E,--F131,
'YearB-AppDetails Current Date'!T:T,{"APEX","DENY","NTSL"},
'YearB-AppDetails Current Date'!I:I,"SPRING"))), "")</f>
        <v/>
      </c>
      <c r="M131" s="74" t="str" cm="1">
        <f t="array" ref="M131">IFERROR(1/(1/SUM(COUNTIFS(
'YearB-AppDetails Current Date'!A:A,D131,
'YearB-AppDetails Current Date'!F:F,E131,
'YearB-AppDetails Current Date'!E:E,--F131,
'YearB-AppDetails Current Date'!U:U,{"CCAN","DECL"},
'YearB-AppDetails Current Date'!I:I,"SPRING"))), "")</f>
        <v/>
      </c>
      <c r="N131" s="74" t="str" cm="1">
        <f t="array" ref="N131">IFERROR(1/(1/SUM(COUNTIFS(
'YearB-AppDetails Current Date'!A:A,D131,
'YearB-AppDetails Current Date'!F:F,E131,
'YearB-AppDetails Current Date'!E:E,--F131,
'YearB-AppDetails Current Date'!V:V,{"APRO","NODE"},
'YearB-AppDetails Current Date'!I:I,"SPRING"))), "")</f>
        <v/>
      </c>
      <c r="O131" s="74" t="str" cm="1">
        <f t="array" ref="O131">IFERROR(1/(1/SUM(COUNTIFS(
'YearB-AppDetails Current Date'!A:A,D131,
'YearB-AppDetails Current Date'!F:F,E131,
'YearB-AppDetails Current Date'!E:E,--F131,
'YearB-AppDetails Current Date'!T:T,{"CDMT","RQMT","WAIT"},
'YearB-AppDetails Current Date'!I:I,"SPRING"))), "")</f>
        <v/>
      </c>
      <c r="P131" s="74" t="str">
        <f>IFERROR(1/(1/COUNTIFS(
'YearB-AppDetails Current Date'!A:A,D131,
'YearB-AppDetails Current Date'!F:F,E131,
'YearB-AppDetails Current Date'!E:E,--F131,
'YearB-AppDetails Current Date'!Y:Y,"ENRO",
'YearB-AppDetails Current Date'!I:I,"SPRING")), "")</f>
        <v/>
      </c>
      <c r="Q131" s="3" t="str">
        <f t="shared" si="8"/>
        <v/>
      </c>
    </row>
    <row r="132" spans="1:17" ht="15.75" customHeight="1" x14ac:dyDescent="0.25">
      <c r="A132" s="119"/>
      <c r="B132" s="122"/>
      <c r="C132" s="125"/>
      <c r="D132" s="25" t="s">
        <v>93</v>
      </c>
      <c r="E132" s="2" t="s">
        <v>43</v>
      </c>
      <c r="F132" s="31">
        <v>1</v>
      </c>
      <c r="G132" s="140"/>
      <c r="H132" s="73" t="str">
        <f>IFERROR(1/(1/
SUM(
N(VLOOKUP(D132&amp;F132,'Budgeted Projections Intl HC'!D:T,16,FALSE)),
N(VLOOKUP(D132&amp;F132,'Budgeted Projections Intl HC'!D:T,17,FALSE))
)
),"")</f>
        <v/>
      </c>
      <c r="I132" s="73" t="str">
        <f>IFERROR(1/(1/COUNTIFS(
'YearB-AppDetails Current Date'!A:A,D132,
'YearB-AppDetails Current Date'!F:F,E132,
'YearB-AppDetails Current Date'!E:E,--F132,
'YearB-AppDetails Current Date'!I:I,"SPRING")), "")</f>
        <v/>
      </c>
      <c r="J132" s="74" t="str" cm="1">
        <f t="array" ref="J132">IFERROR(1/(1/SUM(COUNTIFS(
'YearB-AppDetails Current Date'!A:A,D132,
'YearB-AppDetails Current Date'!F:F,E132,
'YearB-AppDetails Current Date'!E:E,--F132,
'YearB-AppDetails Current Date'!O:O,{"ACLN","ACPT","COND"},
'YearB-AppDetails Current Date'!S:S,"&lt;&gt;ACLN",
'YearB-AppDetails Current Date'!S:S,"&lt;&gt;ACPT",
'YearB-AppDetails Current Date'!S:S,"&lt;&gt;COND",
'YearB-AppDetails Current Date'!I:I,"SPRING"))), "")</f>
        <v/>
      </c>
      <c r="K132" s="73" t="str">
        <f>IFERROR(1/(1/SUM(COUNTIFS(
'YearB-AppDetails Current Date'!A:A,D132,
'YearB-AppDetails Current Date'!F:F,E132,
'YearB-AppDetails Current Date'!E:E,--F132,
'YearB-AppDetails Current Date'!R:R,"&lt;&gt;"&amp;"",
'YearB-AppDetails Current Date'!I:I,"SPRING"))), "")</f>
        <v/>
      </c>
      <c r="L132" s="74" t="str" cm="1">
        <f t="array" ref="L132">IFERROR(1/(1/SUM(COUNTIFS(
'YearB-AppDetails Current Date'!A:A,D132,
'YearB-AppDetails Current Date'!F:F,E132,
'YearB-AppDetails Current Date'!E:E,--F132,
'YearB-AppDetails Current Date'!T:T,{"APEX","DENY","NTSL"},
'YearB-AppDetails Current Date'!I:I,"SPRING"))), "")</f>
        <v/>
      </c>
      <c r="M132" s="74" t="str" cm="1">
        <f t="array" ref="M132">IFERROR(1/(1/SUM(COUNTIFS(
'YearB-AppDetails Current Date'!A:A,D132,
'YearB-AppDetails Current Date'!F:F,E132,
'YearB-AppDetails Current Date'!E:E,--F132,
'YearB-AppDetails Current Date'!U:U,{"CCAN","DECL"},
'YearB-AppDetails Current Date'!I:I,"SPRING"))), "")</f>
        <v/>
      </c>
      <c r="N132" s="74" t="str" cm="1">
        <f t="array" ref="N132">IFERROR(1/(1/SUM(COUNTIFS(
'YearB-AppDetails Current Date'!A:A,D132,
'YearB-AppDetails Current Date'!F:F,E132,
'YearB-AppDetails Current Date'!E:E,--F132,
'YearB-AppDetails Current Date'!V:V,{"APRO","NODE"},
'YearB-AppDetails Current Date'!I:I,"SPRING"))), "")</f>
        <v/>
      </c>
      <c r="O132" s="74" t="str" cm="1">
        <f t="array" ref="O132">IFERROR(1/(1/SUM(COUNTIFS(
'YearB-AppDetails Current Date'!A:A,D132,
'YearB-AppDetails Current Date'!F:F,E132,
'YearB-AppDetails Current Date'!E:E,--F132,
'YearB-AppDetails Current Date'!T:T,{"CDMT","RQMT","WAIT"},
'YearB-AppDetails Current Date'!I:I,"SPRING"))), "")</f>
        <v/>
      </c>
      <c r="P132" s="74" t="str">
        <f>IFERROR(1/(1/COUNTIFS(
'YearB-AppDetails Current Date'!A:A,D132,
'YearB-AppDetails Current Date'!F:F,E132,
'YearB-AppDetails Current Date'!E:E,--F132,
'YearB-AppDetails Current Date'!Y:Y,"ENRO",
'YearB-AppDetails Current Date'!I:I,"SPRING")), "")</f>
        <v/>
      </c>
      <c r="Q132" s="3" t="str">
        <f t="shared" si="8"/>
        <v/>
      </c>
    </row>
    <row r="133" spans="1:17" ht="15.75" customHeight="1" x14ac:dyDescent="0.25">
      <c r="A133" s="119"/>
      <c r="B133" s="122"/>
      <c r="C133" s="124" t="s">
        <v>94</v>
      </c>
      <c r="D133" s="25" t="s">
        <v>95</v>
      </c>
      <c r="E133" s="2" t="s">
        <v>42</v>
      </c>
      <c r="F133" s="42">
        <v>1</v>
      </c>
      <c r="G133" s="139" t="s">
        <v>48</v>
      </c>
      <c r="H133" s="73" t="str">
        <f>IFERROR(1/(1/
SUM(
N(VLOOKUP(D133&amp;F133,'Budgeted Projections Dom HC'!D:T,16,FALSE)),
N(VLOOKUP(D133&amp;F133,'Budgeted Projections Dom HC'!D:T,17,FALSE))
)
),"")</f>
        <v/>
      </c>
      <c r="I133" s="73" t="str">
        <f>IFERROR(1/(1/COUNTIFS(
'YearB-AppDetails Current Date'!A:A,D133,
'YearB-AppDetails Current Date'!F:F,E133,
'YearB-AppDetails Current Date'!E:E,--F133,
'YearB-AppDetails Current Date'!I:I,"SPRING")), "")</f>
        <v/>
      </c>
      <c r="J133" s="74" t="str" cm="1">
        <f t="array" ref="J133">IFERROR(1/(1/SUM(COUNTIFS(
'YearB-AppDetails Current Date'!A:A,D133,
'YearB-AppDetails Current Date'!F:F,E133,
'YearB-AppDetails Current Date'!E:E,--F133,
'YearB-AppDetails Current Date'!O:O,{"ACLN","ACPT","COND"},
'YearB-AppDetails Current Date'!S:S,"&lt;&gt;ACLN",
'YearB-AppDetails Current Date'!S:S,"&lt;&gt;ACPT",
'YearB-AppDetails Current Date'!S:S,"&lt;&gt;COND",
'YearB-AppDetails Current Date'!I:I,"SPRING"))), "")</f>
        <v/>
      </c>
      <c r="K133" s="73" t="str">
        <f>IFERROR(1/(1/SUM(COUNTIFS(
'YearB-AppDetails Current Date'!A:A,D133,
'YearB-AppDetails Current Date'!F:F,E133,
'YearB-AppDetails Current Date'!E:E,--F133,
'YearB-AppDetails Current Date'!R:R,"&lt;&gt;"&amp;"",
'YearB-AppDetails Current Date'!I:I,"SPRING"))), "")</f>
        <v/>
      </c>
      <c r="L133" s="74" t="str" cm="1">
        <f t="array" ref="L133">IFERROR(1/(1/SUM(COUNTIFS(
'YearB-AppDetails Current Date'!A:A,D133,
'YearB-AppDetails Current Date'!F:F,E133,
'YearB-AppDetails Current Date'!E:E,--F133,
'YearB-AppDetails Current Date'!T:T,{"APEX","DENY","NTSL"},
'YearB-AppDetails Current Date'!I:I,"SPRING"))), "")</f>
        <v/>
      </c>
      <c r="M133" s="74" t="str" cm="1">
        <f t="array" ref="M133">IFERROR(1/(1/SUM(COUNTIFS(
'YearB-AppDetails Current Date'!A:A,D133,
'YearB-AppDetails Current Date'!F:F,E133,
'YearB-AppDetails Current Date'!E:E,--F133,
'YearB-AppDetails Current Date'!U:U,{"CCAN","DECL"},
'YearB-AppDetails Current Date'!I:I,"SPRING"))), "")</f>
        <v/>
      </c>
      <c r="N133" s="74" t="str" cm="1">
        <f t="array" ref="N133">IFERROR(1/(1/SUM(COUNTIFS(
'YearB-AppDetails Current Date'!A:A,D133,
'YearB-AppDetails Current Date'!F:F,E133,
'YearB-AppDetails Current Date'!E:E,--F133,
'YearB-AppDetails Current Date'!V:V,{"APRO","NODE"},
'YearB-AppDetails Current Date'!I:I,"SPRING"))), "")</f>
        <v/>
      </c>
      <c r="O133" s="74" t="str" cm="1">
        <f t="array" ref="O133">IFERROR(1/(1/SUM(COUNTIFS(
'YearB-AppDetails Current Date'!A:A,D133,
'YearB-AppDetails Current Date'!F:F,E133,
'YearB-AppDetails Current Date'!E:E,--F133,
'YearB-AppDetails Current Date'!T:T,{"CDMT","RQMT","WAIT"},
'YearB-AppDetails Current Date'!I:I,"SPRING"))), "")</f>
        <v/>
      </c>
      <c r="P133" s="74" t="str">
        <f>IFERROR(1/(1/COUNTIFS(
'YearB-AppDetails Current Date'!A:A,D133,
'YearB-AppDetails Current Date'!F:F,E133,
'YearB-AppDetails Current Date'!E:E,--F133,
'YearB-AppDetails Current Date'!Y:Y,"ENRO",
'YearB-AppDetails Current Date'!I:I,"SPRING")), "")</f>
        <v/>
      </c>
      <c r="Q133" s="3" t="str">
        <f t="shared" si="8"/>
        <v/>
      </c>
    </row>
    <row r="134" spans="1:17" ht="15.75" customHeight="1" x14ac:dyDescent="0.25">
      <c r="A134" s="119"/>
      <c r="B134" s="122"/>
      <c r="C134" s="125"/>
      <c r="D134" s="25" t="s">
        <v>95</v>
      </c>
      <c r="E134" s="2" t="s">
        <v>43</v>
      </c>
      <c r="F134" s="31">
        <v>1</v>
      </c>
      <c r="G134" s="140"/>
      <c r="H134" s="73" t="str">
        <f>IFERROR(1/(1/
SUM(
N(VLOOKUP(D134&amp;F134,'Budgeted Projections Intl HC'!D:T,16,FALSE)),
N(VLOOKUP(D134&amp;F134,'Budgeted Projections Intl HC'!D:T,17,FALSE))
)
),"")</f>
        <v/>
      </c>
      <c r="I134" s="73" t="str">
        <f>IFERROR(1/(1/COUNTIFS(
'YearB-AppDetails Current Date'!A:A,D134,
'YearB-AppDetails Current Date'!F:F,E134,
'YearB-AppDetails Current Date'!E:E,--F134,
'YearB-AppDetails Current Date'!I:I,"SPRING")), "")</f>
        <v/>
      </c>
      <c r="J134" s="74" t="str" cm="1">
        <f t="array" ref="J134">IFERROR(1/(1/SUM(COUNTIFS(
'YearB-AppDetails Current Date'!A:A,D134,
'YearB-AppDetails Current Date'!F:F,E134,
'YearB-AppDetails Current Date'!E:E,--F134,
'YearB-AppDetails Current Date'!O:O,{"ACLN","ACPT","COND"},
'YearB-AppDetails Current Date'!S:S,"&lt;&gt;ACLN",
'YearB-AppDetails Current Date'!S:S,"&lt;&gt;ACPT",
'YearB-AppDetails Current Date'!S:S,"&lt;&gt;COND",
'YearB-AppDetails Current Date'!I:I,"SPRING"))), "")</f>
        <v/>
      </c>
      <c r="K134" s="73" t="str">
        <f>IFERROR(1/(1/SUM(COUNTIFS(
'YearB-AppDetails Current Date'!A:A,D134,
'YearB-AppDetails Current Date'!F:F,E134,
'YearB-AppDetails Current Date'!E:E,--F134,
'YearB-AppDetails Current Date'!R:R,"&lt;&gt;"&amp;"",
'YearB-AppDetails Current Date'!I:I,"SPRING"))), "")</f>
        <v/>
      </c>
      <c r="L134" s="74" t="str" cm="1">
        <f t="array" ref="L134">IFERROR(1/(1/SUM(COUNTIFS(
'YearB-AppDetails Current Date'!A:A,D134,
'YearB-AppDetails Current Date'!F:F,E134,
'YearB-AppDetails Current Date'!E:E,--F134,
'YearB-AppDetails Current Date'!T:T,{"APEX","DENY","NTSL"},
'YearB-AppDetails Current Date'!I:I,"SPRING"))), "")</f>
        <v/>
      </c>
      <c r="M134" s="74" t="str" cm="1">
        <f t="array" ref="M134">IFERROR(1/(1/SUM(COUNTIFS(
'YearB-AppDetails Current Date'!A:A,D134,
'YearB-AppDetails Current Date'!F:F,E134,
'YearB-AppDetails Current Date'!E:E,--F134,
'YearB-AppDetails Current Date'!U:U,{"CCAN","DECL"},
'YearB-AppDetails Current Date'!I:I,"SPRING"))), "")</f>
        <v/>
      </c>
      <c r="N134" s="74" t="str" cm="1">
        <f t="array" ref="N134">IFERROR(1/(1/SUM(COUNTIFS(
'YearB-AppDetails Current Date'!A:A,D134,
'YearB-AppDetails Current Date'!F:F,E134,
'YearB-AppDetails Current Date'!E:E,--F134,
'YearB-AppDetails Current Date'!V:V,{"APRO","NODE"},
'YearB-AppDetails Current Date'!I:I,"SPRING"))), "")</f>
        <v/>
      </c>
      <c r="O134" s="74" t="str" cm="1">
        <f t="array" ref="O134">IFERROR(1/(1/SUM(COUNTIFS(
'YearB-AppDetails Current Date'!A:A,D134,
'YearB-AppDetails Current Date'!F:F,E134,
'YearB-AppDetails Current Date'!E:E,--F134,
'YearB-AppDetails Current Date'!T:T,{"CDMT","RQMT","WAIT"},
'YearB-AppDetails Current Date'!I:I,"SPRING"))), "")</f>
        <v/>
      </c>
      <c r="P134" s="74" t="str">
        <f>IFERROR(1/(1/COUNTIFS(
'YearB-AppDetails Current Date'!A:A,D134,
'YearB-AppDetails Current Date'!F:F,E134,
'YearB-AppDetails Current Date'!E:E,--F134,
'YearB-AppDetails Current Date'!Y:Y,"ENRO",
'YearB-AppDetails Current Date'!I:I,"SPRING")), "")</f>
        <v/>
      </c>
      <c r="Q134" s="3" t="str">
        <f t="shared" si="8"/>
        <v/>
      </c>
    </row>
    <row r="135" spans="1:17" ht="15.75" customHeight="1" x14ac:dyDescent="0.25">
      <c r="A135" s="119"/>
      <c r="B135" s="122"/>
      <c r="C135" s="124" t="s">
        <v>98</v>
      </c>
      <c r="D135" s="23" t="s">
        <v>99</v>
      </c>
      <c r="E135" s="2" t="s">
        <v>42</v>
      </c>
      <c r="F135" s="42">
        <v>1</v>
      </c>
      <c r="G135" s="139">
        <v>20</v>
      </c>
      <c r="H135" s="73" t="str">
        <f>IFERROR(1/(1/
SUM(
N(VLOOKUP(D135&amp;F135,'Budgeted Projections Dom HC'!D:T,16,FALSE)),
N(VLOOKUP(D135&amp;F135,'Budgeted Projections Dom HC'!D:T,17,FALSE))
)
),"")</f>
        <v/>
      </c>
      <c r="I135" s="73" t="str">
        <f>IFERROR(1/(1/COUNTIFS(
'YearB-AppDetails Current Date'!A:A,D135,
'YearB-AppDetails Current Date'!F:F,E135,
'YearB-AppDetails Current Date'!E:E,--F135,
'YearB-AppDetails Current Date'!I:I,"SPRING")), "")</f>
        <v/>
      </c>
      <c r="J135" s="74" t="str" cm="1">
        <f t="array" ref="J135">IFERROR(1/(1/SUM(COUNTIFS(
'YearB-AppDetails Current Date'!A:A,D135,
'YearB-AppDetails Current Date'!F:F,E135,
'YearB-AppDetails Current Date'!E:E,--F135,
'YearB-AppDetails Current Date'!O:O,{"ACLN","ACPT","COND"},
'YearB-AppDetails Current Date'!S:S,"&lt;&gt;ACLN",
'YearB-AppDetails Current Date'!S:S,"&lt;&gt;ACPT",
'YearB-AppDetails Current Date'!S:S,"&lt;&gt;COND",
'YearB-AppDetails Current Date'!I:I,"SPRING"))), "")</f>
        <v/>
      </c>
      <c r="K135" s="73" t="str">
        <f>IFERROR(1/(1/SUM(COUNTIFS(
'YearB-AppDetails Current Date'!A:A,D135,
'YearB-AppDetails Current Date'!F:F,E135,
'YearB-AppDetails Current Date'!E:E,--F135,
'YearB-AppDetails Current Date'!R:R,"&lt;&gt;"&amp;"",
'YearB-AppDetails Current Date'!I:I,"SPRING"))), "")</f>
        <v/>
      </c>
      <c r="L135" s="74" t="str" cm="1">
        <f t="array" ref="L135">IFERROR(1/(1/SUM(COUNTIFS(
'YearB-AppDetails Current Date'!A:A,D135,
'YearB-AppDetails Current Date'!F:F,E135,
'YearB-AppDetails Current Date'!E:E,--F135,
'YearB-AppDetails Current Date'!T:T,{"APEX","DENY","NTSL"},
'YearB-AppDetails Current Date'!I:I,"SPRING"))), "")</f>
        <v/>
      </c>
      <c r="M135" s="74" t="str" cm="1">
        <f t="array" ref="M135">IFERROR(1/(1/SUM(COUNTIFS(
'YearB-AppDetails Current Date'!A:A,D135,
'YearB-AppDetails Current Date'!F:F,E135,
'YearB-AppDetails Current Date'!E:E,--F135,
'YearB-AppDetails Current Date'!U:U,{"CCAN","DECL"},
'YearB-AppDetails Current Date'!I:I,"SPRING"))), "")</f>
        <v/>
      </c>
      <c r="N135" s="74" t="str" cm="1">
        <f t="array" ref="N135">IFERROR(1/(1/SUM(COUNTIFS(
'YearB-AppDetails Current Date'!A:A,D135,
'YearB-AppDetails Current Date'!F:F,E135,
'YearB-AppDetails Current Date'!E:E,--F135,
'YearB-AppDetails Current Date'!V:V,{"APRO","NODE"},
'YearB-AppDetails Current Date'!I:I,"SPRING"))), "")</f>
        <v/>
      </c>
      <c r="O135" s="74" t="str" cm="1">
        <f t="array" ref="O135">IFERROR(1/(1/SUM(COUNTIFS(
'YearB-AppDetails Current Date'!A:A,D135,
'YearB-AppDetails Current Date'!F:F,E135,
'YearB-AppDetails Current Date'!E:E,--F135,
'YearB-AppDetails Current Date'!T:T,{"CDMT","RQMT","WAIT"},
'YearB-AppDetails Current Date'!I:I,"SPRING"))), "")</f>
        <v/>
      </c>
      <c r="P135" s="74" t="str">
        <f>IFERROR(1/(1/COUNTIFS(
'YearB-AppDetails Current Date'!A:A,D135,
'YearB-AppDetails Current Date'!F:F,E135,
'YearB-AppDetails Current Date'!E:E,--F135,
'YearB-AppDetails Current Date'!Y:Y,"ENRO",
'YearB-AppDetails Current Date'!I:I,"SPRING")), "")</f>
        <v/>
      </c>
      <c r="Q135" s="3" t="str">
        <f t="shared" si="8"/>
        <v/>
      </c>
    </row>
    <row r="136" spans="1:17" ht="15.75" customHeight="1" x14ac:dyDescent="0.25">
      <c r="A136" s="119"/>
      <c r="B136" s="122"/>
      <c r="C136" s="125"/>
      <c r="D136" s="23" t="s">
        <v>99</v>
      </c>
      <c r="E136" s="2" t="s">
        <v>43</v>
      </c>
      <c r="F136" s="31">
        <v>1</v>
      </c>
      <c r="G136" s="140"/>
      <c r="H136" s="73" t="str">
        <f>IFERROR(1/(1/
SUM(
N(VLOOKUP(D136&amp;F136,'Budgeted Projections Intl HC'!D:T,16,FALSE)),
N(VLOOKUP(D136&amp;F136,'Budgeted Projections Intl HC'!D:T,17,FALSE))
)
),"")</f>
        <v/>
      </c>
      <c r="I136" s="73" t="str">
        <f>IFERROR(1/(1/COUNTIFS(
'YearB-AppDetails Current Date'!A:A,D136,
'YearB-AppDetails Current Date'!F:F,E136,
'YearB-AppDetails Current Date'!E:E,--F136,
'YearB-AppDetails Current Date'!I:I,"SPRING")), "")</f>
        <v/>
      </c>
      <c r="J136" s="74" t="str" cm="1">
        <f t="array" ref="J136">IFERROR(1/(1/SUM(COUNTIFS(
'YearB-AppDetails Current Date'!A:A,D136,
'YearB-AppDetails Current Date'!F:F,E136,
'YearB-AppDetails Current Date'!E:E,--F136,
'YearB-AppDetails Current Date'!O:O,{"ACLN","ACPT","COND"},
'YearB-AppDetails Current Date'!S:S,"&lt;&gt;ACLN",
'YearB-AppDetails Current Date'!S:S,"&lt;&gt;ACPT",
'YearB-AppDetails Current Date'!S:S,"&lt;&gt;COND",
'YearB-AppDetails Current Date'!I:I,"SPRING"))), "")</f>
        <v/>
      </c>
      <c r="K136" s="73" t="str">
        <f>IFERROR(1/(1/SUM(COUNTIFS(
'YearB-AppDetails Current Date'!A:A,D136,
'YearB-AppDetails Current Date'!F:F,E136,
'YearB-AppDetails Current Date'!E:E,--F136,
'YearB-AppDetails Current Date'!R:R,"&lt;&gt;"&amp;"",
'YearB-AppDetails Current Date'!I:I,"SPRING"))), "")</f>
        <v/>
      </c>
      <c r="L136" s="74" t="str" cm="1">
        <f t="array" ref="L136">IFERROR(1/(1/SUM(COUNTIFS(
'YearB-AppDetails Current Date'!A:A,D136,
'YearB-AppDetails Current Date'!F:F,E136,
'YearB-AppDetails Current Date'!E:E,--F136,
'YearB-AppDetails Current Date'!T:T,{"APEX","DENY","NTSL"},
'YearB-AppDetails Current Date'!I:I,"SPRING"))), "")</f>
        <v/>
      </c>
      <c r="M136" s="74" t="str" cm="1">
        <f t="array" ref="M136">IFERROR(1/(1/SUM(COUNTIFS(
'YearB-AppDetails Current Date'!A:A,D136,
'YearB-AppDetails Current Date'!F:F,E136,
'YearB-AppDetails Current Date'!E:E,--F136,
'YearB-AppDetails Current Date'!U:U,{"CCAN","DECL"},
'YearB-AppDetails Current Date'!I:I,"SPRING"))), "")</f>
        <v/>
      </c>
      <c r="N136" s="74" t="str" cm="1">
        <f t="array" ref="N136">IFERROR(1/(1/SUM(COUNTIFS(
'YearB-AppDetails Current Date'!A:A,D136,
'YearB-AppDetails Current Date'!F:F,E136,
'YearB-AppDetails Current Date'!E:E,--F136,
'YearB-AppDetails Current Date'!V:V,{"APRO","NODE"},
'YearB-AppDetails Current Date'!I:I,"SPRING"))), "")</f>
        <v/>
      </c>
      <c r="O136" s="74" t="str" cm="1">
        <f t="array" ref="O136">IFERROR(1/(1/SUM(COUNTIFS(
'YearB-AppDetails Current Date'!A:A,D136,
'YearB-AppDetails Current Date'!F:F,E136,
'YearB-AppDetails Current Date'!E:E,--F136,
'YearB-AppDetails Current Date'!T:T,{"CDMT","RQMT","WAIT"},
'YearB-AppDetails Current Date'!I:I,"SPRING"))), "")</f>
        <v/>
      </c>
      <c r="P136" s="74" t="str">
        <f>IFERROR(1/(1/COUNTIFS(
'YearB-AppDetails Current Date'!A:A,D136,
'YearB-AppDetails Current Date'!F:F,E136,
'YearB-AppDetails Current Date'!E:E,--F136,
'YearB-AppDetails Current Date'!Y:Y,"ENRO",
'YearB-AppDetails Current Date'!I:I,"SPRING")), "")</f>
        <v/>
      </c>
      <c r="Q136" s="3" t="str">
        <f t="shared" si="8"/>
        <v/>
      </c>
    </row>
    <row r="137" spans="1:17" ht="15.75" customHeight="1" x14ac:dyDescent="0.25">
      <c r="A137" s="119"/>
      <c r="B137" s="122"/>
      <c r="C137" s="124" t="s">
        <v>96</v>
      </c>
      <c r="D137" s="23" t="s">
        <v>97</v>
      </c>
      <c r="E137" s="2" t="s">
        <v>42</v>
      </c>
      <c r="F137" s="42">
        <v>1</v>
      </c>
      <c r="G137" s="139" t="s">
        <v>48</v>
      </c>
      <c r="H137" s="73" t="str">
        <f>IFERROR(1/(1/
SUM(
N(VLOOKUP(D137&amp;F137,'Budgeted Projections Dom HC'!D:T,16,FALSE)),
N(VLOOKUP(D137&amp;F137,'Budgeted Projections Dom HC'!D:T,17,FALSE))
)
),"")</f>
        <v/>
      </c>
      <c r="I137" s="73" t="str">
        <f>IFERROR(1/(1/COUNTIFS(
'YearB-AppDetails Current Date'!A:A,D137,
'YearB-AppDetails Current Date'!F:F,E137,
'YearB-AppDetails Current Date'!E:E,--F137,
'YearB-AppDetails Current Date'!I:I,"SPRING")), "")</f>
        <v/>
      </c>
      <c r="J137" s="74" t="str" cm="1">
        <f t="array" ref="J137">IFERROR(1/(1/SUM(COUNTIFS(
'YearB-AppDetails Current Date'!A:A,D137,
'YearB-AppDetails Current Date'!F:F,E137,
'YearB-AppDetails Current Date'!E:E,--F137,
'YearB-AppDetails Current Date'!O:O,{"ACLN","ACPT","COND"},
'YearB-AppDetails Current Date'!S:S,"&lt;&gt;ACLN",
'YearB-AppDetails Current Date'!S:S,"&lt;&gt;ACPT",
'YearB-AppDetails Current Date'!S:S,"&lt;&gt;COND",
'YearB-AppDetails Current Date'!I:I,"SPRING"))), "")</f>
        <v/>
      </c>
      <c r="K137" s="73" t="str">
        <f>IFERROR(1/(1/SUM(COUNTIFS(
'YearB-AppDetails Current Date'!A:A,D137,
'YearB-AppDetails Current Date'!F:F,E137,
'YearB-AppDetails Current Date'!E:E,--F137,
'YearB-AppDetails Current Date'!R:R,"&lt;&gt;"&amp;"",
'YearB-AppDetails Current Date'!I:I,"SPRING"))), "")</f>
        <v/>
      </c>
      <c r="L137" s="74" t="str" cm="1">
        <f t="array" ref="L137">IFERROR(1/(1/SUM(COUNTIFS(
'YearB-AppDetails Current Date'!A:A,D137,
'YearB-AppDetails Current Date'!F:F,E137,
'YearB-AppDetails Current Date'!E:E,--F137,
'YearB-AppDetails Current Date'!T:T,{"APEX","DENY","NTSL"},
'YearB-AppDetails Current Date'!I:I,"SPRING"))), "")</f>
        <v/>
      </c>
      <c r="M137" s="74" t="str" cm="1">
        <f t="array" ref="M137">IFERROR(1/(1/SUM(COUNTIFS(
'YearB-AppDetails Current Date'!A:A,D137,
'YearB-AppDetails Current Date'!F:F,E137,
'YearB-AppDetails Current Date'!E:E,--F137,
'YearB-AppDetails Current Date'!U:U,{"CCAN","DECL"},
'YearB-AppDetails Current Date'!I:I,"SPRING"))), "")</f>
        <v/>
      </c>
      <c r="N137" s="74" t="str" cm="1">
        <f t="array" ref="N137">IFERROR(1/(1/SUM(COUNTIFS(
'YearB-AppDetails Current Date'!A:A,D137,
'YearB-AppDetails Current Date'!F:F,E137,
'YearB-AppDetails Current Date'!E:E,--F137,
'YearB-AppDetails Current Date'!V:V,{"APRO","NODE"},
'YearB-AppDetails Current Date'!I:I,"SPRING"))), "")</f>
        <v/>
      </c>
      <c r="O137" s="74" t="str" cm="1">
        <f t="array" ref="O137">IFERROR(1/(1/SUM(COUNTIFS(
'YearB-AppDetails Current Date'!A:A,D137,
'YearB-AppDetails Current Date'!F:F,E137,
'YearB-AppDetails Current Date'!E:E,--F137,
'YearB-AppDetails Current Date'!T:T,{"CDMT","RQMT","WAIT"},
'YearB-AppDetails Current Date'!I:I,"SPRING"))), "")</f>
        <v/>
      </c>
      <c r="P137" s="74" t="str">
        <f>IFERROR(1/(1/COUNTIFS(
'YearB-AppDetails Current Date'!A:A,D137,
'YearB-AppDetails Current Date'!F:F,E137,
'YearB-AppDetails Current Date'!E:E,--F137,
'YearB-AppDetails Current Date'!Y:Y,"ENRO",
'YearB-AppDetails Current Date'!I:I,"SPRING")), "")</f>
        <v/>
      </c>
      <c r="Q137" s="3" t="str">
        <f t="shared" ref="Q137:Q200" si="12">IFERROR(P137/J137,"")</f>
        <v/>
      </c>
    </row>
    <row r="138" spans="1:17" ht="15.75" customHeight="1" x14ac:dyDescent="0.25">
      <c r="A138" s="119"/>
      <c r="B138" s="122"/>
      <c r="C138" s="125"/>
      <c r="D138" s="23" t="s">
        <v>97</v>
      </c>
      <c r="E138" s="2" t="s">
        <v>43</v>
      </c>
      <c r="F138" s="31">
        <v>1</v>
      </c>
      <c r="G138" s="140"/>
      <c r="H138" s="73" t="str">
        <f>IFERROR(1/(1/
SUM(
N(VLOOKUP(D138&amp;F138,'Budgeted Projections Intl HC'!D:T,16,FALSE)),
N(VLOOKUP(D138&amp;F138,'Budgeted Projections Intl HC'!D:T,17,FALSE))
)
),"")</f>
        <v/>
      </c>
      <c r="I138" s="73" t="str">
        <f>IFERROR(1/(1/COUNTIFS(
'YearB-AppDetails Current Date'!A:A,D138,
'YearB-AppDetails Current Date'!F:F,E138,
'YearB-AppDetails Current Date'!E:E,--F138,
'YearB-AppDetails Current Date'!I:I,"SPRING")), "")</f>
        <v/>
      </c>
      <c r="J138" s="74" t="str" cm="1">
        <f t="array" ref="J138">IFERROR(1/(1/SUM(COUNTIFS(
'YearB-AppDetails Current Date'!A:A,D138,
'YearB-AppDetails Current Date'!F:F,E138,
'YearB-AppDetails Current Date'!E:E,--F138,
'YearB-AppDetails Current Date'!O:O,{"ACLN","ACPT","COND"},
'YearB-AppDetails Current Date'!S:S,"&lt;&gt;ACLN",
'YearB-AppDetails Current Date'!S:S,"&lt;&gt;ACPT",
'YearB-AppDetails Current Date'!S:S,"&lt;&gt;COND",
'YearB-AppDetails Current Date'!I:I,"SPRING"))), "")</f>
        <v/>
      </c>
      <c r="K138" s="73" t="str">
        <f>IFERROR(1/(1/SUM(COUNTIFS(
'YearB-AppDetails Current Date'!A:A,D138,
'YearB-AppDetails Current Date'!F:F,E138,
'YearB-AppDetails Current Date'!E:E,--F138,
'YearB-AppDetails Current Date'!R:R,"&lt;&gt;"&amp;"",
'YearB-AppDetails Current Date'!I:I,"SPRING"))), "")</f>
        <v/>
      </c>
      <c r="L138" s="74" t="str" cm="1">
        <f t="array" ref="L138">IFERROR(1/(1/SUM(COUNTIFS(
'YearB-AppDetails Current Date'!A:A,D138,
'YearB-AppDetails Current Date'!F:F,E138,
'YearB-AppDetails Current Date'!E:E,--F138,
'YearB-AppDetails Current Date'!T:T,{"APEX","DENY","NTSL"},
'YearB-AppDetails Current Date'!I:I,"SPRING"))), "")</f>
        <v/>
      </c>
      <c r="M138" s="74" t="str" cm="1">
        <f t="array" ref="M138">IFERROR(1/(1/SUM(COUNTIFS(
'YearB-AppDetails Current Date'!A:A,D138,
'YearB-AppDetails Current Date'!F:F,E138,
'YearB-AppDetails Current Date'!E:E,--F138,
'YearB-AppDetails Current Date'!U:U,{"CCAN","DECL"},
'YearB-AppDetails Current Date'!I:I,"SPRING"))), "")</f>
        <v/>
      </c>
      <c r="N138" s="74" t="str" cm="1">
        <f t="array" ref="N138">IFERROR(1/(1/SUM(COUNTIFS(
'YearB-AppDetails Current Date'!A:A,D138,
'YearB-AppDetails Current Date'!F:F,E138,
'YearB-AppDetails Current Date'!E:E,--F138,
'YearB-AppDetails Current Date'!V:V,{"APRO","NODE"},
'YearB-AppDetails Current Date'!I:I,"SPRING"))), "")</f>
        <v/>
      </c>
      <c r="O138" s="74" t="str" cm="1">
        <f t="array" ref="O138">IFERROR(1/(1/SUM(COUNTIFS(
'YearB-AppDetails Current Date'!A:A,D138,
'YearB-AppDetails Current Date'!F:F,E138,
'YearB-AppDetails Current Date'!E:E,--F138,
'YearB-AppDetails Current Date'!T:T,{"CDMT","RQMT","WAIT"},
'YearB-AppDetails Current Date'!I:I,"SPRING"))), "")</f>
        <v/>
      </c>
      <c r="P138" s="74" t="str">
        <f>IFERROR(1/(1/COUNTIFS(
'YearB-AppDetails Current Date'!A:A,D138,
'YearB-AppDetails Current Date'!F:F,E138,
'YearB-AppDetails Current Date'!E:E,--F138,
'YearB-AppDetails Current Date'!Y:Y,"ENRO",
'YearB-AppDetails Current Date'!I:I,"SPRING")), "")</f>
        <v/>
      </c>
      <c r="Q138" s="3" t="str">
        <f t="shared" si="12"/>
        <v/>
      </c>
    </row>
    <row r="139" spans="1:17" ht="15.75" customHeight="1" x14ac:dyDescent="0.25">
      <c r="A139" s="119"/>
      <c r="B139" s="122"/>
      <c r="C139" s="142" t="s">
        <v>283</v>
      </c>
      <c r="D139" s="143"/>
      <c r="E139" s="143"/>
      <c r="F139" s="144"/>
      <c r="G139" s="19"/>
      <c r="H139" s="19">
        <f>SUM(H129:H138)</f>
        <v>0</v>
      </c>
      <c r="I139" s="19">
        <f t="shared" ref="I139:P139" si="13">SUM(I129:I138)</f>
        <v>0</v>
      </c>
      <c r="J139" s="19">
        <f t="shared" si="13"/>
        <v>0</v>
      </c>
      <c r="K139" s="19">
        <f t="shared" si="13"/>
        <v>0</v>
      </c>
      <c r="L139" s="19">
        <f t="shared" si="13"/>
        <v>0</v>
      </c>
      <c r="M139" s="19">
        <f t="shared" si="13"/>
        <v>0</v>
      </c>
      <c r="N139" s="19">
        <f t="shared" si="13"/>
        <v>0</v>
      </c>
      <c r="O139" s="19">
        <f t="shared" si="13"/>
        <v>0</v>
      </c>
      <c r="P139" s="19">
        <f t="shared" si="13"/>
        <v>0</v>
      </c>
      <c r="Q139" s="35" t="str">
        <f t="shared" si="12"/>
        <v/>
      </c>
    </row>
    <row r="140" spans="1:17" ht="15.75" customHeight="1" x14ac:dyDescent="0.25">
      <c r="A140" s="119"/>
      <c r="B140" s="121" t="s">
        <v>288</v>
      </c>
      <c r="C140" s="132" t="s">
        <v>100</v>
      </c>
      <c r="D140" s="23" t="s">
        <v>101</v>
      </c>
      <c r="E140" s="2" t="s">
        <v>42</v>
      </c>
      <c r="F140" s="42">
        <v>1</v>
      </c>
      <c r="G140" s="139" t="s">
        <v>48</v>
      </c>
      <c r="H140" s="73" t="str">
        <f>IFERROR(1/(1/
SUM(
N(VLOOKUP(D140&amp;F140,'Budgeted Projections Dom HC'!D:T,16,FALSE)),
N(VLOOKUP(D140&amp;F140,'Budgeted Projections Dom HC'!D:T,17,FALSE))
)
),"")</f>
        <v/>
      </c>
      <c r="I140" s="73" t="str">
        <f>IFERROR(1/(1/COUNTIFS(
'YearB-AppDetails Current Date'!A:A,D140,
'YearB-AppDetails Current Date'!F:F,E140,
'YearB-AppDetails Current Date'!E:E,--F140,
'YearB-AppDetails Current Date'!I:I,"SPRING")), "")</f>
        <v/>
      </c>
      <c r="J140" s="74" t="str" cm="1">
        <f t="array" ref="J140">IFERROR(1/(1/SUM(COUNTIFS(
'YearB-AppDetails Current Date'!A:A,D140,
'YearB-AppDetails Current Date'!F:F,E140,
'YearB-AppDetails Current Date'!E:E,--F140,
'YearB-AppDetails Current Date'!O:O,{"ACLN","ACPT","COND"},
'YearB-AppDetails Current Date'!S:S,"&lt;&gt;ACLN",
'YearB-AppDetails Current Date'!S:S,"&lt;&gt;ACPT",
'YearB-AppDetails Current Date'!S:S,"&lt;&gt;COND",
'YearB-AppDetails Current Date'!I:I,"SPRING"))), "")</f>
        <v/>
      </c>
      <c r="K140" s="73" t="str">
        <f>IFERROR(1/(1/SUM(COUNTIFS(
'YearB-AppDetails Current Date'!A:A,D140,
'YearB-AppDetails Current Date'!F:F,E140,
'YearB-AppDetails Current Date'!E:E,--F140,
'YearB-AppDetails Current Date'!R:R,"&lt;&gt;"&amp;"",
'YearB-AppDetails Current Date'!I:I,"SPRING"))), "")</f>
        <v/>
      </c>
      <c r="L140" s="74" t="str" cm="1">
        <f t="array" ref="L140">IFERROR(1/(1/SUM(COUNTIFS(
'YearB-AppDetails Current Date'!A:A,D140,
'YearB-AppDetails Current Date'!F:F,E140,
'YearB-AppDetails Current Date'!E:E,--F140,
'YearB-AppDetails Current Date'!T:T,{"APEX","DENY","NTSL"},
'YearB-AppDetails Current Date'!I:I,"SPRING"))), "")</f>
        <v/>
      </c>
      <c r="M140" s="74" t="str" cm="1">
        <f t="array" ref="M140">IFERROR(1/(1/SUM(COUNTIFS(
'YearB-AppDetails Current Date'!A:A,D140,
'YearB-AppDetails Current Date'!F:F,E140,
'YearB-AppDetails Current Date'!E:E,--F140,
'YearB-AppDetails Current Date'!U:U,{"CCAN","DECL"},
'YearB-AppDetails Current Date'!I:I,"SPRING"))), "")</f>
        <v/>
      </c>
      <c r="N140" s="74" t="str" cm="1">
        <f t="array" ref="N140">IFERROR(1/(1/SUM(COUNTIFS(
'YearB-AppDetails Current Date'!A:A,D140,
'YearB-AppDetails Current Date'!F:F,E140,
'YearB-AppDetails Current Date'!E:E,--F140,
'YearB-AppDetails Current Date'!V:V,{"APRO","NODE"},
'YearB-AppDetails Current Date'!I:I,"SPRING"))), "")</f>
        <v/>
      </c>
      <c r="O140" s="74" t="str" cm="1">
        <f t="array" ref="O140">IFERROR(1/(1/SUM(COUNTIFS(
'YearB-AppDetails Current Date'!A:A,D140,
'YearB-AppDetails Current Date'!F:F,E140,
'YearB-AppDetails Current Date'!E:E,--F140,
'YearB-AppDetails Current Date'!T:T,{"CDMT","RQMT","WAIT"},
'YearB-AppDetails Current Date'!I:I,"SPRING"))), "")</f>
        <v/>
      </c>
      <c r="P140" s="74" t="str">
        <f>IFERROR(1/(1/COUNTIFS(
'YearB-AppDetails Current Date'!A:A,D140,
'YearB-AppDetails Current Date'!F:F,E140,
'YearB-AppDetails Current Date'!E:E,--F140,
'YearB-AppDetails Current Date'!Y:Y,"ENRO",
'YearB-AppDetails Current Date'!I:I,"SPRING")), "")</f>
        <v/>
      </c>
      <c r="Q140" s="3" t="str">
        <f t="shared" si="12"/>
        <v/>
      </c>
    </row>
    <row r="141" spans="1:17" ht="15.75" customHeight="1" x14ac:dyDescent="0.25">
      <c r="A141" s="119"/>
      <c r="B141" s="122"/>
      <c r="C141" s="145"/>
      <c r="D141" s="23" t="s">
        <v>101</v>
      </c>
      <c r="E141" s="2" t="s">
        <v>43</v>
      </c>
      <c r="F141" s="31">
        <v>1</v>
      </c>
      <c r="G141" s="140"/>
      <c r="H141" s="73" t="str">
        <f>IFERROR(1/(1/
SUM(
N(VLOOKUP(D141&amp;F141,'Budgeted Projections Intl HC'!D:T,16,FALSE)),
N(VLOOKUP(D141&amp;F141,'Budgeted Projections Intl HC'!D:T,17,FALSE))
)
),"")</f>
        <v/>
      </c>
      <c r="I141" s="73" t="str">
        <f>IFERROR(1/(1/COUNTIFS(
'YearB-AppDetails Current Date'!A:A,D141,
'YearB-AppDetails Current Date'!F:F,E141,
'YearB-AppDetails Current Date'!E:E,--F141,
'YearB-AppDetails Current Date'!I:I,"SPRING")), "")</f>
        <v/>
      </c>
      <c r="J141" s="74" t="str" cm="1">
        <f t="array" ref="J141">IFERROR(1/(1/SUM(COUNTIFS(
'YearB-AppDetails Current Date'!A:A,D141,
'YearB-AppDetails Current Date'!F:F,E141,
'YearB-AppDetails Current Date'!E:E,--F141,
'YearB-AppDetails Current Date'!O:O,{"ACLN","ACPT","COND"},
'YearB-AppDetails Current Date'!S:S,"&lt;&gt;ACLN",
'YearB-AppDetails Current Date'!S:S,"&lt;&gt;ACPT",
'YearB-AppDetails Current Date'!S:S,"&lt;&gt;COND",
'YearB-AppDetails Current Date'!I:I,"SPRING"))), "")</f>
        <v/>
      </c>
      <c r="K141" s="73" t="str">
        <f>IFERROR(1/(1/SUM(COUNTIFS(
'YearB-AppDetails Current Date'!A:A,D141,
'YearB-AppDetails Current Date'!F:F,E141,
'YearB-AppDetails Current Date'!E:E,--F141,
'YearB-AppDetails Current Date'!R:R,"&lt;&gt;"&amp;"",
'YearB-AppDetails Current Date'!I:I,"SPRING"))), "")</f>
        <v/>
      </c>
      <c r="L141" s="74" t="str" cm="1">
        <f t="array" ref="L141">IFERROR(1/(1/SUM(COUNTIFS(
'YearB-AppDetails Current Date'!A:A,D141,
'YearB-AppDetails Current Date'!F:F,E141,
'YearB-AppDetails Current Date'!E:E,--F141,
'YearB-AppDetails Current Date'!T:T,{"APEX","DENY","NTSL"},
'YearB-AppDetails Current Date'!I:I,"SPRING"))), "")</f>
        <v/>
      </c>
      <c r="M141" s="74" t="str" cm="1">
        <f t="array" ref="M141">IFERROR(1/(1/SUM(COUNTIFS(
'YearB-AppDetails Current Date'!A:A,D141,
'YearB-AppDetails Current Date'!F:F,E141,
'YearB-AppDetails Current Date'!E:E,--F141,
'YearB-AppDetails Current Date'!U:U,{"CCAN","DECL"},
'YearB-AppDetails Current Date'!I:I,"SPRING"))), "")</f>
        <v/>
      </c>
      <c r="N141" s="74" t="str" cm="1">
        <f t="array" ref="N141">IFERROR(1/(1/SUM(COUNTIFS(
'YearB-AppDetails Current Date'!A:A,D141,
'YearB-AppDetails Current Date'!F:F,E141,
'YearB-AppDetails Current Date'!E:E,--F141,
'YearB-AppDetails Current Date'!V:V,{"APRO","NODE"},
'YearB-AppDetails Current Date'!I:I,"SPRING"))), "")</f>
        <v/>
      </c>
      <c r="O141" s="74" t="str" cm="1">
        <f t="array" ref="O141">IFERROR(1/(1/SUM(COUNTIFS(
'YearB-AppDetails Current Date'!A:A,D141,
'YearB-AppDetails Current Date'!F:F,E141,
'YearB-AppDetails Current Date'!E:E,--F141,
'YearB-AppDetails Current Date'!T:T,{"CDMT","RQMT","WAIT"},
'YearB-AppDetails Current Date'!I:I,"SPRING"))), "")</f>
        <v/>
      </c>
      <c r="P141" s="74" t="str">
        <f>IFERROR(1/(1/COUNTIFS(
'YearB-AppDetails Current Date'!A:A,D141,
'YearB-AppDetails Current Date'!F:F,E141,
'YearB-AppDetails Current Date'!E:E,--F141,
'YearB-AppDetails Current Date'!Y:Y,"ENRO",
'YearB-AppDetails Current Date'!I:I,"SPRING")), "")</f>
        <v/>
      </c>
      <c r="Q141" s="3" t="str">
        <f t="shared" si="12"/>
        <v/>
      </c>
    </row>
    <row r="142" spans="1:17" ht="15.75" customHeight="1" x14ac:dyDescent="0.25">
      <c r="A142" s="119"/>
      <c r="B142" s="122"/>
      <c r="C142" s="145"/>
      <c r="D142" s="23" t="s">
        <v>101</v>
      </c>
      <c r="E142" s="2" t="s">
        <v>42</v>
      </c>
      <c r="F142" s="42">
        <v>2</v>
      </c>
      <c r="G142" s="139" t="s">
        <v>48</v>
      </c>
      <c r="H142" s="73" t="str">
        <f>IFERROR(1/(1/
SUM(
N(VLOOKUP(D142&amp;F142,'Budgeted Projections Dom HC'!D:T,16,FALSE)),
N(VLOOKUP(D142&amp;F142,'Budgeted Projections Dom HC'!D:T,17,FALSE))
)
),"")</f>
        <v/>
      </c>
      <c r="I142" s="73" t="str">
        <f>IFERROR(1/(1/COUNTIFS(
'YearB-AppDetails Current Date'!A:A,D142,
'YearB-AppDetails Current Date'!F:F,E142,
'YearB-AppDetails Current Date'!E:E,--F142,
'YearB-AppDetails Current Date'!I:I,"SPRING")), "")</f>
        <v/>
      </c>
      <c r="J142" s="74" t="str" cm="1">
        <f t="array" ref="J142">IFERROR(1/(1/SUM(COUNTIFS(
'YearB-AppDetails Current Date'!A:A,D142,
'YearB-AppDetails Current Date'!F:F,E142,
'YearB-AppDetails Current Date'!E:E,--F142,
'YearB-AppDetails Current Date'!O:O,{"ACLN","ACPT","COND"},
'YearB-AppDetails Current Date'!S:S,"&lt;&gt;ACLN",
'YearB-AppDetails Current Date'!S:S,"&lt;&gt;ACPT",
'YearB-AppDetails Current Date'!S:S,"&lt;&gt;COND",
'YearB-AppDetails Current Date'!I:I,"SPRING"))), "")</f>
        <v/>
      </c>
      <c r="K142" s="73" t="str">
        <f>IFERROR(1/(1/SUM(COUNTIFS(
'YearB-AppDetails Current Date'!A:A,D142,
'YearB-AppDetails Current Date'!F:F,E142,
'YearB-AppDetails Current Date'!E:E,--F142,
'YearB-AppDetails Current Date'!R:R,"&lt;&gt;"&amp;"",
'YearB-AppDetails Current Date'!I:I,"SPRING"))), "")</f>
        <v/>
      </c>
      <c r="L142" s="74" t="str" cm="1">
        <f t="array" ref="L142">IFERROR(1/(1/SUM(COUNTIFS(
'YearB-AppDetails Current Date'!A:A,D142,
'YearB-AppDetails Current Date'!F:F,E142,
'YearB-AppDetails Current Date'!E:E,--F142,
'YearB-AppDetails Current Date'!T:T,{"APEX","DENY","NTSL"},
'YearB-AppDetails Current Date'!I:I,"SPRING"))), "")</f>
        <v/>
      </c>
      <c r="M142" s="74" t="str" cm="1">
        <f t="array" ref="M142">IFERROR(1/(1/SUM(COUNTIFS(
'YearB-AppDetails Current Date'!A:A,D142,
'YearB-AppDetails Current Date'!F:F,E142,
'YearB-AppDetails Current Date'!E:E,--F142,
'YearB-AppDetails Current Date'!U:U,{"CCAN","DECL"},
'YearB-AppDetails Current Date'!I:I,"SPRING"))), "")</f>
        <v/>
      </c>
      <c r="N142" s="74" t="str" cm="1">
        <f t="array" ref="N142">IFERROR(1/(1/SUM(COUNTIFS(
'YearB-AppDetails Current Date'!A:A,D142,
'YearB-AppDetails Current Date'!F:F,E142,
'YearB-AppDetails Current Date'!E:E,--F142,
'YearB-AppDetails Current Date'!V:V,{"APRO","NODE"},
'YearB-AppDetails Current Date'!I:I,"SPRING"))), "")</f>
        <v/>
      </c>
      <c r="O142" s="74" t="str" cm="1">
        <f t="array" ref="O142">IFERROR(1/(1/SUM(COUNTIFS(
'YearB-AppDetails Current Date'!A:A,D142,
'YearB-AppDetails Current Date'!F:F,E142,
'YearB-AppDetails Current Date'!E:E,--F142,
'YearB-AppDetails Current Date'!T:T,{"CDMT","RQMT","WAIT"},
'YearB-AppDetails Current Date'!I:I,"SPRING"))), "")</f>
        <v/>
      </c>
      <c r="P142" s="74" t="str">
        <f>IFERROR(1/(1/COUNTIFS(
'YearB-AppDetails Current Date'!A:A,D142,
'YearB-AppDetails Current Date'!F:F,E142,
'YearB-AppDetails Current Date'!E:E,--F142,
'YearB-AppDetails Current Date'!Y:Y,"ENRO",
'YearB-AppDetails Current Date'!I:I,"SPRING")), "")</f>
        <v/>
      </c>
      <c r="Q142" s="3" t="str">
        <f t="shared" si="12"/>
        <v/>
      </c>
    </row>
    <row r="143" spans="1:17" ht="15.75" customHeight="1" x14ac:dyDescent="0.25">
      <c r="A143" s="119"/>
      <c r="B143" s="122"/>
      <c r="C143" s="133"/>
      <c r="D143" s="23" t="s">
        <v>101</v>
      </c>
      <c r="E143" s="2" t="s">
        <v>43</v>
      </c>
      <c r="F143" s="31">
        <v>2</v>
      </c>
      <c r="G143" s="140"/>
      <c r="H143" s="73" t="str">
        <f>IFERROR(1/(1/
SUM(
N(VLOOKUP(D143&amp;F143,'Budgeted Projections Intl HC'!D:T,16,FALSE)),
N(VLOOKUP(D143&amp;F143,'Budgeted Projections Intl HC'!D:T,17,FALSE))
)
),"")</f>
        <v/>
      </c>
      <c r="I143" s="73" t="str">
        <f>IFERROR(1/(1/COUNTIFS(
'YearB-AppDetails Current Date'!A:A,D143,
'YearB-AppDetails Current Date'!F:F,E143,
'YearB-AppDetails Current Date'!E:E,--F143,
'YearB-AppDetails Current Date'!I:I,"SPRING")), "")</f>
        <v/>
      </c>
      <c r="J143" s="74" t="str" cm="1">
        <f t="array" ref="J143">IFERROR(1/(1/SUM(COUNTIFS(
'YearB-AppDetails Current Date'!A:A,D143,
'YearB-AppDetails Current Date'!F:F,E143,
'YearB-AppDetails Current Date'!E:E,--F143,
'YearB-AppDetails Current Date'!O:O,{"ACLN","ACPT","COND"},
'YearB-AppDetails Current Date'!S:S,"&lt;&gt;ACLN",
'YearB-AppDetails Current Date'!S:S,"&lt;&gt;ACPT",
'YearB-AppDetails Current Date'!S:S,"&lt;&gt;COND",
'YearB-AppDetails Current Date'!I:I,"SPRING"))), "")</f>
        <v/>
      </c>
      <c r="K143" s="73" t="str">
        <f>IFERROR(1/(1/SUM(COUNTIFS(
'YearB-AppDetails Current Date'!A:A,D143,
'YearB-AppDetails Current Date'!F:F,E143,
'YearB-AppDetails Current Date'!E:E,--F143,
'YearB-AppDetails Current Date'!R:R,"&lt;&gt;"&amp;"",
'YearB-AppDetails Current Date'!I:I,"SPRING"))), "")</f>
        <v/>
      </c>
      <c r="L143" s="74" t="str" cm="1">
        <f t="array" ref="L143">IFERROR(1/(1/SUM(COUNTIFS(
'YearB-AppDetails Current Date'!A:A,D143,
'YearB-AppDetails Current Date'!F:F,E143,
'YearB-AppDetails Current Date'!E:E,--F143,
'YearB-AppDetails Current Date'!T:T,{"APEX","DENY","NTSL"},
'YearB-AppDetails Current Date'!I:I,"SPRING"))), "")</f>
        <v/>
      </c>
      <c r="M143" s="74" t="str" cm="1">
        <f t="array" ref="M143">IFERROR(1/(1/SUM(COUNTIFS(
'YearB-AppDetails Current Date'!A:A,D143,
'YearB-AppDetails Current Date'!F:F,E143,
'YearB-AppDetails Current Date'!E:E,--F143,
'YearB-AppDetails Current Date'!U:U,{"CCAN","DECL"},
'YearB-AppDetails Current Date'!I:I,"SPRING"))), "")</f>
        <v/>
      </c>
      <c r="N143" s="74" t="str" cm="1">
        <f t="array" ref="N143">IFERROR(1/(1/SUM(COUNTIFS(
'YearB-AppDetails Current Date'!A:A,D143,
'YearB-AppDetails Current Date'!F:F,E143,
'YearB-AppDetails Current Date'!E:E,--F143,
'YearB-AppDetails Current Date'!V:V,{"APRO","NODE"},
'YearB-AppDetails Current Date'!I:I,"SPRING"))), "")</f>
        <v/>
      </c>
      <c r="O143" s="74" t="str" cm="1">
        <f t="array" ref="O143">IFERROR(1/(1/SUM(COUNTIFS(
'YearB-AppDetails Current Date'!A:A,D143,
'YearB-AppDetails Current Date'!F:F,E143,
'YearB-AppDetails Current Date'!E:E,--F143,
'YearB-AppDetails Current Date'!T:T,{"CDMT","RQMT","WAIT"},
'YearB-AppDetails Current Date'!I:I,"SPRING"))), "")</f>
        <v/>
      </c>
      <c r="P143" s="74" t="str">
        <f>IFERROR(1/(1/COUNTIFS(
'YearB-AppDetails Current Date'!A:A,D143,
'YearB-AppDetails Current Date'!F:F,E143,
'YearB-AppDetails Current Date'!E:E,--F143,
'YearB-AppDetails Current Date'!Y:Y,"ENRO",
'YearB-AppDetails Current Date'!I:I,"SPRING")), "")</f>
        <v/>
      </c>
      <c r="Q143" s="3" t="str">
        <f t="shared" si="12"/>
        <v/>
      </c>
    </row>
    <row r="144" spans="1:17" ht="15.75" customHeight="1" x14ac:dyDescent="0.25">
      <c r="A144" s="119"/>
      <c r="B144" s="122"/>
      <c r="C144" s="132" t="s">
        <v>102</v>
      </c>
      <c r="D144" s="23" t="s">
        <v>103</v>
      </c>
      <c r="E144" s="2" t="s">
        <v>42</v>
      </c>
      <c r="F144" s="42">
        <v>1</v>
      </c>
      <c r="G144" s="139" t="s">
        <v>48</v>
      </c>
      <c r="H144" s="73" t="str">
        <f>IFERROR(1/(1/
SUM(
N(VLOOKUP(D144&amp;F144,'Budgeted Projections Dom HC'!D:T,16,FALSE)),
N(VLOOKUP(D144&amp;F144,'Budgeted Projections Dom HC'!D:T,17,FALSE))
)
),"")</f>
        <v/>
      </c>
      <c r="I144" s="73" t="str">
        <f>IFERROR(1/(1/COUNTIFS(
'YearB-AppDetails Current Date'!A:A,D144,
'YearB-AppDetails Current Date'!F:F,E144,
'YearB-AppDetails Current Date'!E:E,--F144,
'YearB-AppDetails Current Date'!I:I,"SPRING")), "")</f>
        <v/>
      </c>
      <c r="J144" s="74" t="str" cm="1">
        <f t="array" ref="J144">IFERROR(1/(1/SUM(COUNTIFS(
'YearB-AppDetails Current Date'!A:A,D144,
'YearB-AppDetails Current Date'!F:F,E144,
'YearB-AppDetails Current Date'!E:E,--F144,
'YearB-AppDetails Current Date'!O:O,{"ACLN","ACPT","COND"},
'YearB-AppDetails Current Date'!S:S,"&lt;&gt;ACLN",
'YearB-AppDetails Current Date'!S:S,"&lt;&gt;ACPT",
'YearB-AppDetails Current Date'!S:S,"&lt;&gt;COND",
'YearB-AppDetails Current Date'!I:I,"SPRING"))), "")</f>
        <v/>
      </c>
      <c r="K144" s="73" t="str">
        <f>IFERROR(1/(1/SUM(COUNTIFS(
'YearB-AppDetails Current Date'!A:A,D144,
'YearB-AppDetails Current Date'!F:F,E144,
'YearB-AppDetails Current Date'!E:E,--F144,
'YearB-AppDetails Current Date'!R:R,"&lt;&gt;"&amp;"",
'YearB-AppDetails Current Date'!I:I,"SPRING"))), "")</f>
        <v/>
      </c>
      <c r="L144" s="74" t="str" cm="1">
        <f t="array" ref="L144">IFERROR(1/(1/SUM(COUNTIFS(
'YearB-AppDetails Current Date'!A:A,D144,
'YearB-AppDetails Current Date'!F:F,E144,
'YearB-AppDetails Current Date'!E:E,--F144,
'YearB-AppDetails Current Date'!T:T,{"APEX","DENY","NTSL"},
'YearB-AppDetails Current Date'!I:I,"SPRING"))), "")</f>
        <v/>
      </c>
      <c r="M144" s="74" t="str" cm="1">
        <f t="array" ref="M144">IFERROR(1/(1/SUM(COUNTIFS(
'YearB-AppDetails Current Date'!A:A,D144,
'YearB-AppDetails Current Date'!F:F,E144,
'YearB-AppDetails Current Date'!E:E,--F144,
'YearB-AppDetails Current Date'!U:U,{"CCAN","DECL"},
'YearB-AppDetails Current Date'!I:I,"SPRING"))), "")</f>
        <v/>
      </c>
      <c r="N144" s="74" t="str" cm="1">
        <f t="array" ref="N144">IFERROR(1/(1/SUM(COUNTIFS(
'YearB-AppDetails Current Date'!A:A,D144,
'YearB-AppDetails Current Date'!F:F,E144,
'YearB-AppDetails Current Date'!E:E,--F144,
'YearB-AppDetails Current Date'!V:V,{"APRO","NODE"},
'YearB-AppDetails Current Date'!I:I,"SPRING"))), "")</f>
        <v/>
      </c>
      <c r="O144" s="74" t="str" cm="1">
        <f t="array" ref="O144">IFERROR(1/(1/SUM(COUNTIFS(
'YearB-AppDetails Current Date'!A:A,D144,
'YearB-AppDetails Current Date'!F:F,E144,
'YearB-AppDetails Current Date'!E:E,--F144,
'YearB-AppDetails Current Date'!T:T,{"CDMT","RQMT","WAIT"},
'YearB-AppDetails Current Date'!I:I,"SPRING"))), "")</f>
        <v/>
      </c>
      <c r="P144" s="74" t="str">
        <f>IFERROR(1/(1/COUNTIFS(
'YearB-AppDetails Current Date'!A:A,D144,
'YearB-AppDetails Current Date'!F:F,E144,
'YearB-AppDetails Current Date'!E:E,--F144,
'YearB-AppDetails Current Date'!Y:Y,"ENRO",
'YearB-AppDetails Current Date'!I:I,"SPRING")), "")</f>
        <v/>
      </c>
      <c r="Q144" s="3" t="str">
        <f t="shared" si="12"/>
        <v/>
      </c>
    </row>
    <row r="145" spans="1:17" ht="15.75" customHeight="1" x14ac:dyDescent="0.25">
      <c r="A145" s="119"/>
      <c r="B145" s="122"/>
      <c r="C145" s="145"/>
      <c r="D145" s="23" t="s">
        <v>103</v>
      </c>
      <c r="E145" s="2" t="s">
        <v>43</v>
      </c>
      <c r="F145" s="31">
        <v>1</v>
      </c>
      <c r="G145" s="140"/>
      <c r="H145" s="73" t="str">
        <f>IFERROR(1/(1/
SUM(
N(VLOOKUP(D145&amp;F145,'Budgeted Projections Intl HC'!D:T,16,FALSE)),
N(VLOOKUP(D145&amp;F145,'Budgeted Projections Intl HC'!D:T,17,FALSE))
)
),"")</f>
        <v/>
      </c>
      <c r="I145" s="73" t="str">
        <f>IFERROR(1/(1/COUNTIFS(
'YearB-AppDetails Current Date'!A:A,D145,
'YearB-AppDetails Current Date'!F:F,E145,
'YearB-AppDetails Current Date'!E:E,--F145,
'YearB-AppDetails Current Date'!I:I,"SPRING")), "")</f>
        <v/>
      </c>
      <c r="J145" s="74" t="str" cm="1">
        <f t="array" ref="J145">IFERROR(1/(1/SUM(COUNTIFS(
'YearB-AppDetails Current Date'!A:A,D145,
'YearB-AppDetails Current Date'!F:F,E145,
'YearB-AppDetails Current Date'!E:E,--F145,
'YearB-AppDetails Current Date'!O:O,{"ACLN","ACPT","COND"},
'YearB-AppDetails Current Date'!S:S,"&lt;&gt;ACLN",
'YearB-AppDetails Current Date'!S:S,"&lt;&gt;ACPT",
'YearB-AppDetails Current Date'!S:S,"&lt;&gt;COND",
'YearB-AppDetails Current Date'!I:I,"SPRING"))), "")</f>
        <v/>
      </c>
      <c r="K145" s="73" t="str">
        <f>IFERROR(1/(1/SUM(COUNTIFS(
'YearB-AppDetails Current Date'!A:A,D145,
'YearB-AppDetails Current Date'!F:F,E145,
'YearB-AppDetails Current Date'!E:E,--F145,
'YearB-AppDetails Current Date'!R:R,"&lt;&gt;"&amp;"",
'YearB-AppDetails Current Date'!I:I,"SPRING"))), "")</f>
        <v/>
      </c>
      <c r="L145" s="74" t="str" cm="1">
        <f t="array" ref="L145">IFERROR(1/(1/SUM(COUNTIFS(
'YearB-AppDetails Current Date'!A:A,D145,
'YearB-AppDetails Current Date'!F:F,E145,
'YearB-AppDetails Current Date'!E:E,--F145,
'YearB-AppDetails Current Date'!T:T,{"APEX","DENY","NTSL"},
'YearB-AppDetails Current Date'!I:I,"SPRING"))), "")</f>
        <v/>
      </c>
      <c r="M145" s="74" t="str" cm="1">
        <f t="array" ref="M145">IFERROR(1/(1/SUM(COUNTIFS(
'YearB-AppDetails Current Date'!A:A,D145,
'YearB-AppDetails Current Date'!F:F,E145,
'YearB-AppDetails Current Date'!E:E,--F145,
'YearB-AppDetails Current Date'!U:U,{"CCAN","DECL"},
'YearB-AppDetails Current Date'!I:I,"SPRING"))), "")</f>
        <v/>
      </c>
      <c r="N145" s="74" t="str" cm="1">
        <f t="array" ref="N145">IFERROR(1/(1/SUM(COUNTIFS(
'YearB-AppDetails Current Date'!A:A,D145,
'YearB-AppDetails Current Date'!F:F,E145,
'YearB-AppDetails Current Date'!E:E,--F145,
'YearB-AppDetails Current Date'!V:V,{"APRO","NODE"},
'YearB-AppDetails Current Date'!I:I,"SPRING"))), "")</f>
        <v/>
      </c>
      <c r="O145" s="74" t="str" cm="1">
        <f t="array" ref="O145">IFERROR(1/(1/SUM(COUNTIFS(
'YearB-AppDetails Current Date'!A:A,D145,
'YearB-AppDetails Current Date'!F:F,E145,
'YearB-AppDetails Current Date'!E:E,--F145,
'YearB-AppDetails Current Date'!T:T,{"CDMT","RQMT","WAIT"},
'YearB-AppDetails Current Date'!I:I,"SPRING"))), "")</f>
        <v/>
      </c>
      <c r="P145" s="74" t="str">
        <f>IFERROR(1/(1/COUNTIFS(
'YearB-AppDetails Current Date'!A:A,D145,
'YearB-AppDetails Current Date'!F:F,E145,
'YearB-AppDetails Current Date'!E:E,--F145,
'YearB-AppDetails Current Date'!Y:Y,"ENRO",
'YearB-AppDetails Current Date'!I:I,"SPRING")), "")</f>
        <v/>
      </c>
      <c r="Q145" s="3" t="str">
        <f t="shared" si="12"/>
        <v/>
      </c>
    </row>
    <row r="146" spans="1:17" ht="15.75" customHeight="1" x14ac:dyDescent="0.25">
      <c r="A146" s="119"/>
      <c r="B146" s="122"/>
      <c r="C146" s="145"/>
      <c r="D146" s="23" t="s">
        <v>103</v>
      </c>
      <c r="E146" s="2" t="s">
        <v>42</v>
      </c>
      <c r="F146" s="42">
        <v>2</v>
      </c>
      <c r="G146" s="139" t="s">
        <v>48</v>
      </c>
      <c r="H146" s="73" t="str">
        <f>IFERROR(1/(1/
SUM(
N(VLOOKUP(D146&amp;F146,'Budgeted Projections Dom HC'!D:T,16,FALSE)),
N(VLOOKUP(D146&amp;F146,'Budgeted Projections Dom HC'!D:T,17,FALSE))
)
),"")</f>
        <v/>
      </c>
      <c r="I146" s="73" t="str">
        <f>IFERROR(1/(1/COUNTIFS(
'YearB-AppDetails Current Date'!A:A,D146,
'YearB-AppDetails Current Date'!F:F,E146,
'YearB-AppDetails Current Date'!E:E,--F146,
'YearB-AppDetails Current Date'!I:I,"SPRING")), "")</f>
        <v/>
      </c>
      <c r="J146" s="74" t="str" cm="1">
        <f t="array" ref="J146">IFERROR(1/(1/SUM(COUNTIFS(
'YearB-AppDetails Current Date'!A:A,D146,
'YearB-AppDetails Current Date'!F:F,E146,
'YearB-AppDetails Current Date'!E:E,--F146,
'YearB-AppDetails Current Date'!O:O,{"ACLN","ACPT","COND"},
'YearB-AppDetails Current Date'!S:S,"&lt;&gt;ACLN",
'YearB-AppDetails Current Date'!S:S,"&lt;&gt;ACPT",
'YearB-AppDetails Current Date'!S:S,"&lt;&gt;COND",
'YearB-AppDetails Current Date'!I:I,"SPRING"))), "")</f>
        <v/>
      </c>
      <c r="K146" s="73" t="str">
        <f>IFERROR(1/(1/SUM(COUNTIFS(
'YearB-AppDetails Current Date'!A:A,D146,
'YearB-AppDetails Current Date'!F:F,E146,
'YearB-AppDetails Current Date'!E:E,--F146,
'YearB-AppDetails Current Date'!R:R,"&lt;&gt;"&amp;"",
'YearB-AppDetails Current Date'!I:I,"SPRING"))), "")</f>
        <v/>
      </c>
      <c r="L146" s="74" t="str" cm="1">
        <f t="array" ref="L146">IFERROR(1/(1/SUM(COUNTIFS(
'YearB-AppDetails Current Date'!A:A,D146,
'YearB-AppDetails Current Date'!F:F,E146,
'YearB-AppDetails Current Date'!E:E,--F146,
'YearB-AppDetails Current Date'!T:T,{"APEX","DENY","NTSL"},
'YearB-AppDetails Current Date'!I:I,"SPRING"))), "")</f>
        <v/>
      </c>
      <c r="M146" s="74" t="str" cm="1">
        <f t="array" ref="M146">IFERROR(1/(1/SUM(COUNTIFS(
'YearB-AppDetails Current Date'!A:A,D146,
'YearB-AppDetails Current Date'!F:F,E146,
'YearB-AppDetails Current Date'!E:E,--F146,
'YearB-AppDetails Current Date'!U:U,{"CCAN","DECL"},
'YearB-AppDetails Current Date'!I:I,"SPRING"))), "")</f>
        <v/>
      </c>
      <c r="N146" s="74" t="str" cm="1">
        <f t="array" ref="N146">IFERROR(1/(1/SUM(COUNTIFS(
'YearB-AppDetails Current Date'!A:A,D146,
'YearB-AppDetails Current Date'!F:F,E146,
'YearB-AppDetails Current Date'!E:E,--F146,
'YearB-AppDetails Current Date'!V:V,{"APRO","NODE"},
'YearB-AppDetails Current Date'!I:I,"SPRING"))), "")</f>
        <v/>
      </c>
      <c r="O146" s="74" t="str" cm="1">
        <f t="array" ref="O146">IFERROR(1/(1/SUM(COUNTIFS(
'YearB-AppDetails Current Date'!A:A,D146,
'YearB-AppDetails Current Date'!F:F,E146,
'YearB-AppDetails Current Date'!E:E,--F146,
'YearB-AppDetails Current Date'!T:T,{"CDMT","RQMT","WAIT"},
'YearB-AppDetails Current Date'!I:I,"SPRING"))), "")</f>
        <v/>
      </c>
      <c r="P146" s="74" t="str">
        <f>IFERROR(1/(1/COUNTIFS(
'YearB-AppDetails Current Date'!A:A,D146,
'YearB-AppDetails Current Date'!F:F,E146,
'YearB-AppDetails Current Date'!E:E,--F146,
'YearB-AppDetails Current Date'!Y:Y,"ENRO",
'YearB-AppDetails Current Date'!I:I,"SPRING")), "")</f>
        <v/>
      </c>
      <c r="Q146" s="3" t="str">
        <f t="shared" si="12"/>
        <v/>
      </c>
    </row>
    <row r="147" spans="1:17" ht="15.75" customHeight="1" x14ac:dyDescent="0.25">
      <c r="A147" s="119"/>
      <c r="B147" s="122"/>
      <c r="C147" s="133"/>
      <c r="D147" s="23" t="s">
        <v>103</v>
      </c>
      <c r="E147" s="2" t="s">
        <v>43</v>
      </c>
      <c r="F147" s="31">
        <v>2</v>
      </c>
      <c r="G147" s="146"/>
      <c r="H147" s="73" t="str">
        <f>IFERROR(1/(1/
SUM(
N(VLOOKUP(D147&amp;F147,'Budgeted Projections Intl HC'!D:T,16,FALSE)),
N(VLOOKUP(D147&amp;F147,'Budgeted Projections Intl HC'!D:T,17,FALSE))
)
),"")</f>
        <v/>
      </c>
      <c r="I147" s="73" t="str">
        <f>IFERROR(1/(1/COUNTIFS(
'YearB-AppDetails Current Date'!A:A,D147,
'YearB-AppDetails Current Date'!F:F,E147,
'YearB-AppDetails Current Date'!E:E,--F147,
'YearB-AppDetails Current Date'!I:I,"SPRING")), "")</f>
        <v/>
      </c>
      <c r="J147" s="74" t="str" cm="1">
        <f t="array" ref="J147">IFERROR(1/(1/SUM(COUNTIFS(
'YearB-AppDetails Current Date'!A:A,D147,
'YearB-AppDetails Current Date'!F:F,E147,
'YearB-AppDetails Current Date'!E:E,--F147,
'YearB-AppDetails Current Date'!O:O,{"ACLN","ACPT","COND"},
'YearB-AppDetails Current Date'!S:S,"&lt;&gt;ACLN",
'YearB-AppDetails Current Date'!S:S,"&lt;&gt;ACPT",
'YearB-AppDetails Current Date'!S:S,"&lt;&gt;COND",
'YearB-AppDetails Current Date'!I:I,"SPRING"))), "")</f>
        <v/>
      </c>
      <c r="K147" s="73" t="str">
        <f>IFERROR(1/(1/SUM(COUNTIFS(
'YearB-AppDetails Current Date'!A:A,D147,
'YearB-AppDetails Current Date'!F:F,E147,
'YearB-AppDetails Current Date'!E:E,--F147,
'YearB-AppDetails Current Date'!R:R,"&lt;&gt;"&amp;"",
'YearB-AppDetails Current Date'!I:I,"SPRING"))), "")</f>
        <v/>
      </c>
      <c r="L147" s="74" t="str" cm="1">
        <f t="array" ref="L147">IFERROR(1/(1/SUM(COUNTIFS(
'YearB-AppDetails Current Date'!A:A,D147,
'YearB-AppDetails Current Date'!F:F,E147,
'YearB-AppDetails Current Date'!E:E,--F147,
'YearB-AppDetails Current Date'!T:T,{"APEX","DENY","NTSL"},
'YearB-AppDetails Current Date'!I:I,"SPRING"))), "")</f>
        <v/>
      </c>
      <c r="M147" s="74" t="str" cm="1">
        <f t="array" ref="M147">IFERROR(1/(1/SUM(COUNTIFS(
'YearB-AppDetails Current Date'!A:A,D147,
'YearB-AppDetails Current Date'!F:F,E147,
'YearB-AppDetails Current Date'!E:E,--F147,
'YearB-AppDetails Current Date'!U:U,{"CCAN","DECL"},
'YearB-AppDetails Current Date'!I:I,"SPRING"))), "")</f>
        <v/>
      </c>
      <c r="N147" s="74" t="str" cm="1">
        <f t="array" ref="N147">IFERROR(1/(1/SUM(COUNTIFS(
'YearB-AppDetails Current Date'!A:A,D147,
'YearB-AppDetails Current Date'!F:F,E147,
'YearB-AppDetails Current Date'!E:E,--F147,
'YearB-AppDetails Current Date'!V:V,{"APRO","NODE"},
'YearB-AppDetails Current Date'!I:I,"SPRING"))), "")</f>
        <v/>
      </c>
      <c r="O147" s="74" t="str" cm="1">
        <f t="array" ref="O147">IFERROR(1/(1/SUM(COUNTIFS(
'YearB-AppDetails Current Date'!A:A,D147,
'YearB-AppDetails Current Date'!F:F,E147,
'YearB-AppDetails Current Date'!E:E,--F147,
'YearB-AppDetails Current Date'!T:T,{"CDMT","RQMT","WAIT"},
'YearB-AppDetails Current Date'!I:I,"SPRING"))), "")</f>
        <v/>
      </c>
      <c r="P147" s="74" t="str">
        <f>IFERROR(1/(1/COUNTIFS(
'YearB-AppDetails Current Date'!A:A,D147,
'YearB-AppDetails Current Date'!F:F,E147,
'YearB-AppDetails Current Date'!E:E,--F147,
'YearB-AppDetails Current Date'!Y:Y,"ENRO",
'YearB-AppDetails Current Date'!I:I,"SPRING")), "")</f>
        <v/>
      </c>
      <c r="Q147" s="3" t="str">
        <f t="shared" si="12"/>
        <v/>
      </c>
    </row>
    <row r="148" spans="1:17" ht="15.75" customHeight="1" x14ac:dyDescent="0.25">
      <c r="A148" s="119"/>
      <c r="B148" s="122"/>
      <c r="C148" s="142" t="s">
        <v>284</v>
      </c>
      <c r="D148" s="143"/>
      <c r="E148" s="143"/>
      <c r="F148" s="144"/>
      <c r="G148" s="19"/>
      <c r="H148" s="19">
        <f>SUM(H140:H147)</f>
        <v>0</v>
      </c>
      <c r="I148" s="19">
        <f t="shared" ref="I148:P148" si="14">SUM(I140:I147)</f>
        <v>0</v>
      </c>
      <c r="J148" s="19">
        <f t="shared" si="14"/>
        <v>0</v>
      </c>
      <c r="K148" s="19">
        <f t="shared" si="14"/>
        <v>0</v>
      </c>
      <c r="L148" s="19">
        <f t="shared" si="14"/>
        <v>0</v>
      </c>
      <c r="M148" s="19">
        <f t="shared" si="14"/>
        <v>0</v>
      </c>
      <c r="N148" s="19">
        <f t="shared" si="14"/>
        <v>0</v>
      </c>
      <c r="O148" s="19">
        <f t="shared" si="14"/>
        <v>0</v>
      </c>
      <c r="P148" s="19">
        <f t="shared" si="14"/>
        <v>0</v>
      </c>
      <c r="Q148" s="35" t="str">
        <f t="shared" si="12"/>
        <v/>
      </c>
    </row>
    <row r="149" spans="1:17" ht="15.75" customHeight="1" x14ac:dyDescent="0.25">
      <c r="A149" s="119"/>
      <c r="B149" s="122"/>
      <c r="C149" s="124" t="s">
        <v>151</v>
      </c>
      <c r="D149" s="29" t="s">
        <v>107</v>
      </c>
      <c r="E149" s="2" t="s">
        <v>42</v>
      </c>
      <c r="F149" s="31">
        <v>1</v>
      </c>
      <c r="G149" s="139">
        <v>30</v>
      </c>
      <c r="H149" s="73" t="str">
        <f>IFERROR(1/(1/
SUM(
N(VLOOKUP(D149&amp;F149,'Budgeted Projections Dom HC'!D:T,16,FALSE)),
N(VLOOKUP(D149&amp;F149,'Budgeted Projections Dom HC'!D:T,17,FALSE))
)
),"")</f>
        <v/>
      </c>
      <c r="I149" s="73" t="str">
        <f>IFERROR(1/(1/COUNTIFS(
'YearB-AppDetails Current Date'!A:A,D149,
'YearB-AppDetails Current Date'!F:F,E149,
'YearB-AppDetails Current Date'!E:E,--F149,
'YearB-AppDetails Current Date'!I:I,"SPRING")), "")</f>
        <v/>
      </c>
      <c r="J149" s="74" t="str" cm="1">
        <f t="array" ref="J149">IFERROR(1/(1/SUM(COUNTIFS(
'YearB-AppDetails Current Date'!A:A,D149,
'YearB-AppDetails Current Date'!F:F,E149,
'YearB-AppDetails Current Date'!E:E,--F149,
'YearB-AppDetails Current Date'!O:O,{"ACLN","ACPT","COND"},
'YearB-AppDetails Current Date'!S:S,"&lt;&gt;ACLN",
'YearB-AppDetails Current Date'!S:S,"&lt;&gt;ACPT",
'YearB-AppDetails Current Date'!S:S,"&lt;&gt;COND",
'YearB-AppDetails Current Date'!I:I,"SPRING"))), "")</f>
        <v/>
      </c>
      <c r="K149" s="73" t="str">
        <f>IFERROR(1/(1/SUM(COUNTIFS(
'YearB-AppDetails Current Date'!A:A,D149,
'YearB-AppDetails Current Date'!F:F,E149,
'YearB-AppDetails Current Date'!E:E,--F149,
'YearB-AppDetails Current Date'!R:R,"&lt;&gt;"&amp;"",
'YearB-AppDetails Current Date'!I:I,"SPRING"))), "")</f>
        <v/>
      </c>
      <c r="L149" s="74" t="str" cm="1">
        <f t="array" ref="L149">IFERROR(1/(1/SUM(COUNTIFS(
'YearB-AppDetails Current Date'!A:A,D149,
'YearB-AppDetails Current Date'!F:F,E149,
'YearB-AppDetails Current Date'!E:E,--F149,
'YearB-AppDetails Current Date'!T:T,{"APEX","DENY","NTSL"},
'YearB-AppDetails Current Date'!I:I,"SPRING"))), "")</f>
        <v/>
      </c>
      <c r="M149" s="74" t="str" cm="1">
        <f t="array" ref="M149">IFERROR(1/(1/SUM(COUNTIFS(
'YearB-AppDetails Current Date'!A:A,D149,
'YearB-AppDetails Current Date'!F:F,E149,
'YearB-AppDetails Current Date'!E:E,--F149,
'YearB-AppDetails Current Date'!U:U,{"CCAN","DECL"},
'YearB-AppDetails Current Date'!I:I,"SPRING"))), "")</f>
        <v/>
      </c>
      <c r="N149" s="74" t="str" cm="1">
        <f t="array" ref="N149">IFERROR(1/(1/SUM(COUNTIFS(
'YearB-AppDetails Current Date'!A:A,D149,
'YearB-AppDetails Current Date'!F:F,E149,
'YearB-AppDetails Current Date'!E:E,--F149,
'YearB-AppDetails Current Date'!V:V,{"APRO","NODE"},
'YearB-AppDetails Current Date'!I:I,"SPRING"))), "")</f>
        <v/>
      </c>
      <c r="O149" s="74" t="str" cm="1">
        <f t="array" ref="O149">IFERROR(1/(1/SUM(COUNTIFS(
'YearB-AppDetails Current Date'!A:A,D149,
'YearB-AppDetails Current Date'!F:F,E149,
'YearB-AppDetails Current Date'!E:E,--F149,
'YearB-AppDetails Current Date'!T:T,{"CDMT","RQMT","WAIT"},
'YearB-AppDetails Current Date'!I:I,"SPRING"))), "")</f>
        <v/>
      </c>
      <c r="P149" s="74" t="str">
        <f>IFERROR(1/(1/COUNTIFS(
'YearB-AppDetails Current Date'!A:A,D149,
'YearB-AppDetails Current Date'!F:F,E149,
'YearB-AppDetails Current Date'!E:E,--F149,
'YearB-AppDetails Current Date'!Y:Y,"ENRO",
'YearB-AppDetails Current Date'!I:I,"SPRING")), "")</f>
        <v/>
      </c>
      <c r="Q149" s="3" t="str">
        <f t="shared" si="12"/>
        <v/>
      </c>
    </row>
    <row r="150" spans="1:17" ht="15.75" customHeight="1" x14ac:dyDescent="0.25">
      <c r="A150" s="119"/>
      <c r="B150" s="122"/>
      <c r="C150" s="138"/>
      <c r="D150" s="29" t="s">
        <v>107</v>
      </c>
      <c r="E150" s="2" t="s">
        <v>43</v>
      </c>
      <c r="F150" s="31">
        <v>1</v>
      </c>
      <c r="G150" s="141"/>
      <c r="H150" s="73" t="str">
        <f>IFERROR(1/(1/
SUM(
N(VLOOKUP(D150&amp;F150,'Budgeted Projections Intl HC'!D:T,16,FALSE)),
N(VLOOKUP(D150&amp;F150,'Budgeted Projections Intl HC'!D:T,17,FALSE))
)
),"")</f>
        <v/>
      </c>
      <c r="I150" s="73" t="str">
        <f>IFERROR(1/(1/COUNTIFS(
'YearB-AppDetails Current Date'!A:A,D150,
'YearB-AppDetails Current Date'!F:F,E150,
'YearB-AppDetails Current Date'!E:E,--F150,
'YearB-AppDetails Current Date'!I:I,"SPRING")), "")</f>
        <v/>
      </c>
      <c r="J150" s="74" t="str" cm="1">
        <f t="array" ref="J150">IFERROR(1/(1/SUM(COUNTIFS(
'YearB-AppDetails Current Date'!A:A,D150,
'YearB-AppDetails Current Date'!F:F,E150,
'YearB-AppDetails Current Date'!E:E,--F150,
'YearB-AppDetails Current Date'!O:O,{"ACLN","ACPT","COND"},
'YearB-AppDetails Current Date'!S:S,"&lt;&gt;ACLN",
'YearB-AppDetails Current Date'!S:S,"&lt;&gt;ACPT",
'YearB-AppDetails Current Date'!S:S,"&lt;&gt;COND",
'YearB-AppDetails Current Date'!I:I,"SPRING"))), "")</f>
        <v/>
      </c>
      <c r="K150" s="73" t="str">
        <f>IFERROR(1/(1/SUM(COUNTIFS(
'YearB-AppDetails Current Date'!A:A,D150,
'YearB-AppDetails Current Date'!F:F,E150,
'YearB-AppDetails Current Date'!E:E,--F150,
'YearB-AppDetails Current Date'!R:R,"&lt;&gt;"&amp;"",
'YearB-AppDetails Current Date'!I:I,"SPRING"))), "")</f>
        <v/>
      </c>
      <c r="L150" s="74" t="str" cm="1">
        <f t="array" ref="L150">IFERROR(1/(1/SUM(COUNTIFS(
'YearB-AppDetails Current Date'!A:A,D150,
'YearB-AppDetails Current Date'!F:F,E150,
'YearB-AppDetails Current Date'!E:E,--F150,
'YearB-AppDetails Current Date'!T:T,{"APEX","DENY","NTSL"},
'YearB-AppDetails Current Date'!I:I,"SPRING"))), "")</f>
        <v/>
      </c>
      <c r="M150" s="74" t="str" cm="1">
        <f t="array" ref="M150">IFERROR(1/(1/SUM(COUNTIFS(
'YearB-AppDetails Current Date'!A:A,D150,
'YearB-AppDetails Current Date'!F:F,E150,
'YearB-AppDetails Current Date'!E:E,--F150,
'YearB-AppDetails Current Date'!U:U,{"CCAN","DECL"},
'YearB-AppDetails Current Date'!I:I,"SPRING"))), "")</f>
        <v/>
      </c>
      <c r="N150" s="74" t="str" cm="1">
        <f t="array" ref="N150">IFERROR(1/(1/SUM(COUNTIFS(
'YearB-AppDetails Current Date'!A:A,D150,
'YearB-AppDetails Current Date'!F:F,E150,
'YearB-AppDetails Current Date'!E:E,--F150,
'YearB-AppDetails Current Date'!V:V,{"APRO","NODE"},
'YearB-AppDetails Current Date'!I:I,"SPRING"))), "")</f>
        <v/>
      </c>
      <c r="O150" s="74" t="str" cm="1">
        <f t="array" ref="O150">IFERROR(1/(1/SUM(COUNTIFS(
'YearB-AppDetails Current Date'!A:A,D150,
'YearB-AppDetails Current Date'!F:F,E150,
'YearB-AppDetails Current Date'!E:E,--F150,
'YearB-AppDetails Current Date'!T:T,{"CDMT","RQMT","WAIT"},
'YearB-AppDetails Current Date'!I:I,"SPRING"))), "")</f>
        <v/>
      </c>
      <c r="P150" s="74" t="str">
        <f>IFERROR(1/(1/COUNTIFS(
'YearB-AppDetails Current Date'!A:A,D150,
'YearB-AppDetails Current Date'!F:F,E150,
'YearB-AppDetails Current Date'!E:E,--F150,
'YearB-AppDetails Current Date'!Y:Y,"ENRO",
'YearB-AppDetails Current Date'!I:I,"SPRING")), "")</f>
        <v/>
      </c>
      <c r="Q150" s="3" t="str">
        <f t="shared" si="12"/>
        <v/>
      </c>
    </row>
    <row r="151" spans="1:17" ht="15.75" customHeight="1" x14ac:dyDescent="0.25">
      <c r="A151" s="119"/>
      <c r="B151" s="122"/>
      <c r="C151" s="138"/>
      <c r="D151" s="29" t="s">
        <v>107</v>
      </c>
      <c r="E151" s="2" t="s">
        <v>42</v>
      </c>
      <c r="F151" s="31">
        <v>2</v>
      </c>
      <c r="G151" s="139">
        <v>30</v>
      </c>
      <c r="H151" s="73" t="str">
        <f>IFERROR(1/(1/
SUM(
N(VLOOKUP(D151&amp;F151,'Budgeted Projections Dom HC'!D:T,16,FALSE)),
N(VLOOKUP(D151&amp;F151,'Budgeted Projections Dom HC'!D:T,17,FALSE))
)
),"")</f>
        <v/>
      </c>
      <c r="I151" s="73" t="str">
        <f>IFERROR(1/(1/COUNTIFS(
'YearB-AppDetails Current Date'!A:A,D151,
'YearB-AppDetails Current Date'!F:F,E151,
'YearB-AppDetails Current Date'!E:E,--F151,
'YearB-AppDetails Current Date'!I:I,"SPRING")), "")</f>
        <v/>
      </c>
      <c r="J151" s="74" t="str" cm="1">
        <f t="array" ref="J151">IFERROR(1/(1/SUM(COUNTIFS(
'YearB-AppDetails Current Date'!A:A,D151,
'YearB-AppDetails Current Date'!F:F,E151,
'YearB-AppDetails Current Date'!E:E,--F151,
'YearB-AppDetails Current Date'!O:O,{"ACLN","ACPT","COND"},
'YearB-AppDetails Current Date'!S:S,"&lt;&gt;ACLN",
'YearB-AppDetails Current Date'!S:S,"&lt;&gt;ACPT",
'YearB-AppDetails Current Date'!S:S,"&lt;&gt;COND",
'YearB-AppDetails Current Date'!I:I,"SPRING"))), "")</f>
        <v/>
      </c>
      <c r="K151" s="73" t="str">
        <f>IFERROR(1/(1/SUM(COUNTIFS(
'YearB-AppDetails Current Date'!A:A,D151,
'YearB-AppDetails Current Date'!F:F,E151,
'YearB-AppDetails Current Date'!E:E,--F151,
'YearB-AppDetails Current Date'!R:R,"&lt;&gt;"&amp;"",
'YearB-AppDetails Current Date'!I:I,"SPRING"))), "")</f>
        <v/>
      </c>
      <c r="L151" s="74" t="str" cm="1">
        <f t="array" ref="L151">IFERROR(1/(1/SUM(COUNTIFS(
'YearB-AppDetails Current Date'!A:A,D151,
'YearB-AppDetails Current Date'!F:F,E151,
'YearB-AppDetails Current Date'!E:E,--F151,
'YearB-AppDetails Current Date'!T:T,{"APEX","DENY","NTSL"},
'YearB-AppDetails Current Date'!I:I,"SPRING"))), "")</f>
        <v/>
      </c>
      <c r="M151" s="74" t="str" cm="1">
        <f t="array" ref="M151">IFERROR(1/(1/SUM(COUNTIFS(
'YearB-AppDetails Current Date'!A:A,D151,
'YearB-AppDetails Current Date'!F:F,E151,
'YearB-AppDetails Current Date'!E:E,--F151,
'YearB-AppDetails Current Date'!U:U,{"CCAN","DECL"},
'YearB-AppDetails Current Date'!I:I,"SPRING"))), "")</f>
        <v/>
      </c>
      <c r="N151" s="74" t="str" cm="1">
        <f t="array" ref="N151">IFERROR(1/(1/SUM(COUNTIFS(
'YearB-AppDetails Current Date'!A:A,D151,
'YearB-AppDetails Current Date'!F:F,E151,
'YearB-AppDetails Current Date'!E:E,--F151,
'YearB-AppDetails Current Date'!V:V,{"APRO","NODE"},
'YearB-AppDetails Current Date'!I:I,"SPRING"))), "")</f>
        <v/>
      </c>
      <c r="O151" s="74" t="str" cm="1">
        <f t="array" ref="O151">IFERROR(1/(1/SUM(COUNTIFS(
'YearB-AppDetails Current Date'!A:A,D151,
'YearB-AppDetails Current Date'!F:F,E151,
'YearB-AppDetails Current Date'!E:E,--F151,
'YearB-AppDetails Current Date'!T:T,{"CDMT","RQMT","WAIT"},
'YearB-AppDetails Current Date'!I:I,"SPRING"))), "")</f>
        <v/>
      </c>
      <c r="P151" s="74" t="str">
        <f>IFERROR(1/(1/COUNTIFS(
'YearB-AppDetails Current Date'!A:A,D151,
'YearB-AppDetails Current Date'!F:F,E151,
'YearB-AppDetails Current Date'!E:E,--F151,
'YearB-AppDetails Current Date'!Y:Y,"ENRO",
'YearB-AppDetails Current Date'!I:I,"SPRING")), "")</f>
        <v/>
      </c>
      <c r="Q151" s="3" t="str">
        <f t="shared" si="12"/>
        <v/>
      </c>
    </row>
    <row r="152" spans="1:17" ht="15.75" customHeight="1" x14ac:dyDescent="0.25">
      <c r="A152" s="119"/>
      <c r="B152" s="122"/>
      <c r="C152" s="125"/>
      <c r="D152" s="29" t="s">
        <v>107</v>
      </c>
      <c r="E152" s="2" t="s">
        <v>43</v>
      </c>
      <c r="F152" s="31">
        <v>2</v>
      </c>
      <c r="G152" s="140"/>
      <c r="H152" s="73" t="str">
        <f>IFERROR(1/(1/
SUM(
N(VLOOKUP(D152&amp;F152,'Budgeted Projections Intl HC'!D:T,16,FALSE)),
N(VLOOKUP(D152&amp;F152,'Budgeted Projections Intl HC'!D:T,17,FALSE))
)
),"")</f>
        <v/>
      </c>
      <c r="I152" s="73" t="str">
        <f>IFERROR(1/(1/COUNTIFS(
'YearB-AppDetails Current Date'!A:A,D152,
'YearB-AppDetails Current Date'!F:F,E152,
'YearB-AppDetails Current Date'!E:E,--F152,
'YearB-AppDetails Current Date'!I:I,"SPRING")), "")</f>
        <v/>
      </c>
      <c r="J152" s="74" t="str" cm="1">
        <f t="array" ref="J152">IFERROR(1/(1/SUM(COUNTIFS(
'YearB-AppDetails Current Date'!A:A,D152,
'YearB-AppDetails Current Date'!F:F,E152,
'YearB-AppDetails Current Date'!E:E,--F152,
'YearB-AppDetails Current Date'!O:O,{"ACLN","ACPT","COND"},
'YearB-AppDetails Current Date'!S:S,"&lt;&gt;ACLN",
'YearB-AppDetails Current Date'!S:S,"&lt;&gt;ACPT",
'YearB-AppDetails Current Date'!S:S,"&lt;&gt;COND",
'YearB-AppDetails Current Date'!I:I,"SPRING"))), "")</f>
        <v/>
      </c>
      <c r="K152" s="73" t="str">
        <f>IFERROR(1/(1/SUM(COUNTIFS(
'YearB-AppDetails Current Date'!A:A,D152,
'YearB-AppDetails Current Date'!F:F,E152,
'YearB-AppDetails Current Date'!E:E,--F152,
'YearB-AppDetails Current Date'!R:R,"&lt;&gt;"&amp;"",
'YearB-AppDetails Current Date'!I:I,"SPRING"))), "")</f>
        <v/>
      </c>
      <c r="L152" s="74" t="str" cm="1">
        <f t="array" ref="L152">IFERROR(1/(1/SUM(COUNTIFS(
'YearB-AppDetails Current Date'!A:A,D152,
'YearB-AppDetails Current Date'!F:F,E152,
'YearB-AppDetails Current Date'!E:E,--F152,
'YearB-AppDetails Current Date'!T:T,{"APEX","DENY","NTSL"},
'YearB-AppDetails Current Date'!I:I,"SPRING"))), "")</f>
        <v/>
      </c>
      <c r="M152" s="74" t="str" cm="1">
        <f t="array" ref="M152">IFERROR(1/(1/SUM(COUNTIFS(
'YearB-AppDetails Current Date'!A:A,D152,
'YearB-AppDetails Current Date'!F:F,E152,
'YearB-AppDetails Current Date'!E:E,--F152,
'YearB-AppDetails Current Date'!U:U,{"CCAN","DECL"},
'YearB-AppDetails Current Date'!I:I,"SPRING"))), "")</f>
        <v/>
      </c>
      <c r="N152" s="74" t="str" cm="1">
        <f t="array" ref="N152">IFERROR(1/(1/SUM(COUNTIFS(
'YearB-AppDetails Current Date'!A:A,D152,
'YearB-AppDetails Current Date'!F:F,E152,
'YearB-AppDetails Current Date'!E:E,--F152,
'YearB-AppDetails Current Date'!V:V,{"APRO","NODE"},
'YearB-AppDetails Current Date'!I:I,"SPRING"))), "")</f>
        <v/>
      </c>
      <c r="O152" s="74" t="str" cm="1">
        <f t="array" ref="O152">IFERROR(1/(1/SUM(COUNTIFS(
'YearB-AppDetails Current Date'!A:A,D152,
'YearB-AppDetails Current Date'!F:F,E152,
'YearB-AppDetails Current Date'!E:E,--F152,
'YearB-AppDetails Current Date'!T:T,{"CDMT","RQMT","WAIT"},
'YearB-AppDetails Current Date'!I:I,"SPRING"))), "")</f>
        <v/>
      </c>
      <c r="P152" s="74" t="str">
        <f>IFERROR(1/(1/COUNTIFS(
'YearB-AppDetails Current Date'!A:A,D152,
'YearB-AppDetails Current Date'!F:F,E152,
'YearB-AppDetails Current Date'!E:E,--F152,
'YearB-AppDetails Current Date'!Y:Y,"ENRO",
'YearB-AppDetails Current Date'!I:I,"SPRING")), "")</f>
        <v/>
      </c>
      <c r="Q152" s="3" t="str">
        <f t="shared" si="12"/>
        <v/>
      </c>
    </row>
    <row r="153" spans="1:17" ht="15.75" customHeight="1" x14ac:dyDescent="0.25">
      <c r="A153" s="119"/>
      <c r="B153" s="122"/>
      <c r="C153" s="124" t="s">
        <v>106</v>
      </c>
      <c r="D153" s="29" t="s">
        <v>150</v>
      </c>
      <c r="E153" s="2" t="s">
        <v>42</v>
      </c>
      <c r="F153" s="31">
        <v>1</v>
      </c>
      <c r="G153" s="139">
        <v>30</v>
      </c>
      <c r="H153" s="73" t="str">
        <f>IFERROR(1/(1/
SUM(
N(VLOOKUP(D153&amp;F153,'Budgeted Projections Dom HC'!D:T,16,FALSE)),
N(VLOOKUP(D153&amp;F153,'Budgeted Projections Dom HC'!D:T,17,FALSE))
)
),"")</f>
        <v/>
      </c>
      <c r="I153" s="73" t="str">
        <f>IFERROR(1/(1/COUNTIFS(
'YearB-AppDetails Current Date'!A:A,D153,
'YearB-AppDetails Current Date'!F:F,E153,
'YearB-AppDetails Current Date'!E:E,--F153,
'YearB-AppDetails Current Date'!I:I,"SPRING")), "")</f>
        <v/>
      </c>
      <c r="J153" s="74" t="str" cm="1">
        <f t="array" ref="J153">IFERROR(1/(1/SUM(COUNTIFS(
'YearB-AppDetails Current Date'!A:A,D153,
'YearB-AppDetails Current Date'!F:F,E153,
'YearB-AppDetails Current Date'!E:E,--F153,
'YearB-AppDetails Current Date'!O:O,{"ACLN","ACPT","COND"},
'YearB-AppDetails Current Date'!S:S,"&lt;&gt;ACLN",
'YearB-AppDetails Current Date'!S:S,"&lt;&gt;ACPT",
'YearB-AppDetails Current Date'!S:S,"&lt;&gt;COND",
'YearB-AppDetails Current Date'!I:I,"SPRING"))), "")</f>
        <v/>
      </c>
      <c r="K153" s="73" t="str">
        <f>IFERROR(1/(1/SUM(COUNTIFS(
'YearB-AppDetails Current Date'!A:A,D153,
'YearB-AppDetails Current Date'!F:F,E153,
'YearB-AppDetails Current Date'!E:E,--F153,
'YearB-AppDetails Current Date'!R:R,"&lt;&gt;"&amp;"",
'YearB-AppDetails Current Date'!I:I,"SPRING"))), "")</f>
        <v/>
      </c>
      <c r="L153" s="74" t="str" cm="1">
        <f t="array" ref="L153">IFERROR(1/(1/SUM(COUNTIFS(
'YearB-AppDetails Current Date'!A:A,D153,
'YearB-AppDetails Current Date'!F:F,E153,
'YearB-AppDetails Current Date'!E:E,--F153,
'YearB-AppDetails Current Date'!T:T,{"APEX","DENY","NTSL"},
'YearB-AppDetails Current Date'!I:I,"SPRING"))), "")</f>
        <v/>
      </c>
      <c r="M153" s="74" t="str" cm="1">
        <f t="array" ref="M153">IFERROR(1/(1/SUM(COUNTIFS(
'YearB-AppDetails Current Date'!A:A,D153,
'YearB-AppDetails Current Date'!F:F,E153,
'YearB-AppDetails Current Date'!E:E,--F153,
'YearB-AppDetails Current Date'!U:U,{"CCAN","DECL"},
'YearB-AppDetails Current Date'!I:I,"SPRING"))), "")</f>
        <v/>
      </c>
      <c r="N153" s="74" t="str" cm="1">
        <f t="array" ref="N153">IFERROR(1/(1/SUM(COUNTIFS(
'YearB-AppDetails Current Date'!A:A,D153,
'YearB-AppDetails Current Date'!F:F,E153,
'YearB-AppDetails Current Date'!E:E,--F153,
'YearB-AppDetails Current Date'!V:V,{"APRO","NODE"},
'YearB-AppDetails Current Date'!I:I,"SPRING"))), "")</f>
        <v/>
      </c>
      <c r="O153" s="74" t="str" cm="1">
        <f t="array" ref="O153">IFERROR(1/(1/SUM(COUNTIFS(
'YearB-AppDetails Current Date'!A:A,D153,
'YearB-AppDetails Current Date'!F:F,E153,
'YearB-AppDetails Current Date'!E:E,--F153,
'YearB-AppDetails Current Date'!T:T,{"CDMT","RQMT","WAIT"},
'YearB-AppDetails Current Date'!I:I,"SPRING"))), "")</f>
        <v/>
      </c>
      <c r="P153" s="74" t="str">
        <f>IFERROR(1/(1/COUNTIFS(
'YearB-AppDetails Current Date'!A:A,D153,
'YearB-AppDetails Current Date'!F:F,E153,
'YearB-AppDetails Current Date'!E:E,--F153,
'YearB-AppDetails Current Date'!Y:Y,"ENRO",
'YearB-AppDetails Current Date'!I:I,"SPRING")), "")</f>
        <v/>
      </c>
      <c r="Q153" s="3" t="str">
        <f t="shared" si="12"/>
        <v/>
      </c>
    </row>
    <row r="154" spans="1:17" ht="15.75" customHeight="1" x14ac:dyDescent="0.25">
      <c r="A154" s="119"/>
      <c r="B154" s="122"/>
      <c r="C154" s="138"/>
      <c r="D154" s="29" t="s">
        <v>150</v>
      </c>
      <c r="E154" s="2" t="s">
        <v>43</v>
      </c>
      <c r="F154" s="31">
        <v>1</v>
      </c>
      <c r="G154" s="141"/>
      <c r="H154" s="73" t="str">
        <f>IFERROR(1/(1/
SUM(
N(VLOOKUP(D154&amp;F154,'Budgeted Projections Intl HC'!D:T,16,FALSE)),
N(VLOOKUP(D154&amp;F154,'Budgeted Projections Intl HC'!D:T,17,FALSE))
)
),"")</f>
        <v/>
      </c>
      <c r="I154" s="73" t="str">
        <f>IFERROR(1/(1/COUNTIFS(
'YearB-AppDetails Current Date'!A:A,D154,
'YearB-AppDetails Current Date'!F:F,E154,
'YearB-AppDetails Current Date'!E:E,--F154,
'YearB-AppDetails Current Date'!I:I,"SPRING")), "")</f>
        <v/>
      </c>
      <c r="J154" s="74" t="str" cm="1">
        <f t="array" ref="J154">IFERROR(1/(1/SUM(COUNTIFS(
'YearB-AppDetails Current Date'!A:A,D154,
'YearB-AppDetails Current Date'!F:F,E154,
'YearB-AppDetails Current Date'!E:E,--F154,
'YearB-AppDetails Current Date'!O:O,{"ACLN","ACPT","COND"},
'YearB-AppDetails Current Date'!S:S,"&lt;&gt;ACLN",
'YearB-AppDetails Current Date'!S:S,"&lt;&gt;ACPT",
'YearB-AppDetails Current Date'!S:S,"&lt;&gt;COND",
'YearB-AppDetails Current Date'!I:I,"SPRING"))), "")</f>
        <v/>
      </c>
      <c r="K154" s="73" t="str">
        <f>IFERROR(1/(1/SUM(COUNTIFS(
'YearB-AppDetails Current Date'!A:A,D154,
'YearB-AppDetails Current Date'!F:F,E154,
'YearB-AppDetails Current Date'!E:E,--F154,
'YearB-AppDetails Current Date'!R:R,"&lt;&gt;"&amp;"",
'YearB-AppDetails Current Date'!I:I,"SPRING"))), "")</f>
        <v/>
      </c>
      <c r="L154" s="74" t="str" cm="1">
        <f t="array" ref="L154">IFERROR(1/(1/SUM(COUNTIFS(
'YearB-AppDetails Current Date'!A:A,D154,
'YearB-AppDetails Current Date'!F:F,E154,
'YearB-AppDetails Current Date'!E:E,--F154,
'YearB-AppDetails Current Date'!T:T,{"APEX","DENY","NTSL"},
'YearB-AppDetails Current Date'!I:I,"SPRING"))), "")</f>
        <v/>
      </c>
      <c r="M154" s="74" t="str" cm="1">
        <f t="array" ref="M154">IFERROR(1/(1/SUM(COUNTIFS(
'YearB-AppDetails Current Date'!A:A,D154,
'YearB-AppDetails Current Date'!F:F,E154,
'YearB-AppDetails Current Date'!E:E,--F154,
'YearB-AppDetails Current Date'!U:U,{"CCAN","DECL"},
'YearB-AppDetails Current Date'!I:I,"SPRING"))), "")</f>
        <v/>
      </c>
      <c r="N154" s="74" t="str" cm="1">
        <f t="array" ref="N154">IFERROR(1/(1/SUM(COUNTIFS(
'YearB-AppDetails Current Date'!A:A,D154,
'YearB-AppDetails Current Date'!F:F,E154,
'YearB-AppDetails Current Date'!E:E,--F154,
'YearB-AppDetails Current Date'!V:V,{"APRO","NODE"},
'YearB-AppDetails Current Date'!I:I,"SPRING"))), "")</f>
        <v/>
      </c>
      <c r="O154" s="74" t="str" cm="1">
        <f t="array" ref="O154">IFERROR(1/(1/SUM(COUNTIFS(
'YearB-AppDetails Current Date'!A:A,D154,
'YearB-AppDetails Current Date'!F:F,E154,
'YearB-AppDetails Current Date'!E:E,--F154,
'YearB-AppDetails Current Date'!T:T,{"CDMT","RQMT","WAIT"},
'YearB-AppDetails Current Date'!I:I,"SPRING"))), "")</f>
        <v/>
      </c>
      <c r="P154" s="74" t="str">
        <f>IFERROR(1/(1/COUNTIFS(
'YearB-AppDetails Current Date'!A:A,D154,
'YearB-AppDetails Current Date'!F:F,E154,
'YearB-AppDetails Current Date'!E:E,--F154,
'YearB-AppDetails Current Date'!Y:Y,"ENRO",
'YearB-AppDetails Current Date'!I:I,"SPRING")), "")</f>
        <v/>
      </c>
      <c r="Q154" s="3" t="str">
        <f t="shared" si="12"/>
        <v/>
      </c>
    </row>
    <row r="155" spans="1:17" ht="15.75" customHeight="1" x14ac:dyDescent="0.25">
      <c r="A155" s="119"/>
      <c r="B155" s="122"/>
      <c r="C155" s="138"/>
      <c r="D155" s="29" t="s">
        <v>150</v>
      </c>
      <c r="E155" s="2" t="s">
        <v>42</v>
      </c>
      <c r="F155" s="31">
        <v>2</v>
      </c>
      <c r="G155" s="139">
        <v>30</v>
      </c>
      <c r="H155" s="73" t="str">
        <f>IFERROR(1/(1/
SUM(
N(VLOOKUP(D155&amp;F155,'Budgeted Projections Dom HC'!D:T,16,FALSE)),
N(VLOOKUP(D155&amp;F155,'Budgeted Projections Dom HC'!D:T,17,FALSE))
)
),"")</f>
        <v/>
      </c>
      <c r="I155" s="73" t="str">
        <f>IFERROR(1/(1/COUNTIFS(
'YearB-AppDetails Current Date'!A:A,D155,
'YearB-AppDetails Current Date'!F:F,E155,
'YearB-AppDetails Current Date'!E:E,--F155,
'YearB-AppDetails Current Date'!I:I,"SPRING")), "")</f>
        <v/>
      </c>
      <c r="J155" s="74" t="str" cm="1">
        <f t="array" ref="J155">IFERROR(1/(1/SUM(COUNTIFS(
'YearB-AppDetails Current Date'!A:A,D155,
'YearB-AppDetails Current Date'!F:F,E155,
'YearB-AppDetails Current Date'!E:E,--F155,
'YearB-AppDetails Current Date'!O:O,{"ACLN","ACPT","COND"},
'YearB-AppDetails Current Date'!S:S,"&lt;&gt;ACLN",
'YearB-AppDetails Current Date'!S:S,"&lt;&gt;ACPT",
'YearB-AppDetails Current Date'!S:S,"&lt;&gt;COND",
'YearB-AppDetails Current Date'!I:I,"SPRING"))), "")</f>
        <v/>
      </c>
      <c r="K155" s="73" t="str">
        <f>IFERROR(1/(1/SUM(COUNTIFS(
'YearB-AppDetails Current Date'!A:A,D155,
'YearB-AppDetails Current Date'!F:F,E155,
'YearB-AppDetails Current Date'!E:E,--F155,
'YearB-AppDetails Current Date'!R:R,"&lt;&gt;"&amp;"",
'YearB-AppDetails Current Date'!I:I,"SPRING"))), "")</f>
        <v/>
      </c>
      <c r="L155" s="74" t="str" cm="1">
        <f t="array" ref="L155">IFERROR(1/(1/SUM(COUNTIFS(
'YearB-AppDetails Current Date'!A:A,D155,
'YearB-AppDetails Current Date'!F:F,E155,
'YearB-AppDetails Current Date'!E:E,--F155,
'YearB-AppDetails Current Date'!T:T,{"APEX","DENY","NTSL"},
'YearB-AppDetails Current Date'!I:I,"SPRING"))), "")</f>
        <v/>
      </c>
      <c r="M155" s="74" t="str" cm="1">
        <f t="array" ref="M155">IFERROR(1/(1/SUM(COUNTIFS(
'YearB-AppDetails Current Date'!A:A,D155,
'YearB-AppDetails Current Date'!F:F,E155,
'YearB-AppDetails Current Date'!E:E,--F155,
'YearB-AppDetails Current Date'!U:U,{"CCAN","DECL"},
'YearB-AppDetails Current Date'!I:I,"SPRING"))), "")</f>
        <v/>
      </c>
      <c r="N155" s="74" t="str" cm="1">
        <f t="array" ref="N155">IFERROR(1/(1/SUM(COUNTIFS(
'YearB-AppDetails Current Date'!A:A,D155,
'YearB-AppDetails Current Date'!F:F,E155,
'YearB-AppDetails Current Date'!E:E,--F155,
'YearB-AppDetails Current Date'!V:V,{"APRO","NODE"},
'YearB-AppDetails Current Date'!I:I,"SPRING"))), "")</f>
        <v/>
      </c>
      <c r="O155" s="74" t="str" cm="1">
        <f t="array" ref="O155">IFERROR(1/(1/SUM(COUNTIFS(
'YearB-AppDetails Current Date'!A:A,D155,
'YearB-AppDetails Current Date'!F:F,E155,
'YearB-AppDetails Current Date'!E:E,--F155,
'YearB-AppDetails Current Date'!T:T,{"CDMT","RQMT","WAIT"},
'YearB-AppDetails Current Date'!I:I,"SPRING"))), "")</f>
        <v/>
      </c>
      <c r="P155" s="74" t="str">
        <f>IFERROR(1/(1/COUNTIFS(
'YearB-AppDetails Current Date'!A:A,D155,
'YearB-AppDetails Current Date'!F:F,E155,
'YearB-AppDetails Current Date'!E:E,--F155,
'YearB-AppDetails Current Date'!Y:Y,"ENRO",
'YearB-AppDetails Current Date'!I:I,"SPRING")), "")</f>
        <v/>
      </c>
      <c r="Q155" s="3" t="str">
        <f t="shared" si="12"/>
        <v/>
      </c>
    </row>
    <row r="156" spans="1:17" ht="15.75" customHeight="1" x14ac:dyDescent="0.25">
      <c r="A156" s="119"/>
      <c r="B156" s="122"/>
      <c r="C156" s="125"/>
      <c r="D156" s="29" t="s">
        <v>150</v>
      </c>
      <c r="E156" s="2" t="s">
        <v>43</v>
      </c>
      <c r="F156" s="31">
        <v>2</v>
      </c>
      <c r="G156" s="140"/>
      <c r="H156" s="73" t="str">
        <f>IFERROR(1/(1/
SUM(
N(VLOOKUP(D156&amp;F156,'Budgeted Projections Intl HC'!D:T,16,FALSE)),
N(VLOOKUP(D156&amp;F156,'Budgeted Projections Intl HC'!D:T,17,FALSE))
)
),"")</f>
        <v/>
      </c>
      <c r="I156" s="73" t="str">
        <f>IFERROR(1/(1/COUNTIFS(
'YearB-AppDetails Current Date'!A:A,D156,
'YearB-AppDetails Current Date'!F:F,E156,
'YearB-AppDetails Current Date'!E:E,--F156,
'YearB-AppDetails Current Date'!I:I,"SPRING")), "")</f>
        <v/>
      </c>
      <c r="J156" s="74" t="str" cm="1">
        <f t="array" ref="J156">IFERROR(1/(1/SUM(COUNTIFS(
'YearB-AppDetails Current Date'!A:A,D156,
'YearB-AppDetails Current Date'!F:F,E156,
'YearB-AppDetails Current Date'!E:E,--F156,
'YearB-AppDetails Current Date'!O:O,{"ACLN","ACPT","COND"},
'YearB-AppDetails Current Date'!S:S,"&lt;&gt;ACLN",
'YearB-AppDetails Current Date'!S:S,"&lt;&gt;ACPT",
'YearB-AppDetails Current Date'!S:S,"&lt;&gt;COND",
'YearB-AppDetails Current Date'!I:I,"SPRING"))), "")</f>
        <v/>
      </c>
      <c r="K156" s="73" t="str">
        <f>IFERROR(1/(1/SUM(COUNTIFS(
'YearB-AppDetails Current Date'!A:A,D156,
'YearB-AppDetails Current Date'!F:F,E156,
'YearB-AppDetails Current Date'!E:E,--F156,
'YearB-AppDetails Current Date'!R:R,"&lt;&gt;"&amp;"",
'YearB-AppDetails Current Date'!I:I,"SPRING"))), "")</f>
        <v/>
      </c>
      <c r="L156" s="74" t="str" cm="1">
        <f t="array" ref="L156">IFERROR(1/(1/SUM(COUNTIFS(
'YearB-AppDetails Current Date'!A:A,D156,
'YearB-AppDetails Current Date'!F:F,E156,
'YearB-AppDetails Current Date'!E:E,--F156,
'YearB-AppDetails Current Date'!T:T,{"APEX","DENY","NTSL"},
'YearB-AppDetails Current Date'!I:I,"SPRING"))), "")</f>
        <v/>
      </c>
      <c r="M156" s="74" t="str" cm="1">
        <f t="array" ref="M156">IFERROR(1/(1/SUM(COUNTIFS(
'YearB-AppDetails Current Date'!A:A,D156,
'YearB-AppDetails Current Date'!F:F,E156,
'YearB-AppDetails Current Date'!E:E,--F156,
'YearB-AppDetails Current Date'!U:U,{"CCAN","DECL"},
'YearB-AppDetails Current Date'!I:I,"SPRING"))), "")</f>
        <v/>
      </c>
      <c r="N156" s="74" t="str" cm="1">
        <f t="array" ref="N156">IFERROR(1/(1/SUM(COUNTIFS(
'YearB-AppDetails Current Date'!A:A,D156,
'YearB-AppDetails Current Date'!F:F,E156,
'YearB-AppDetails Current Date'!E:E,--F156,
'YearB-AppDetails Current Date'!V:V,{"APRO","NODE"},
'YearB-AppDetails Current Date'!I:I,"SPRING"))), "")</f>
        <v/>
      </c>
      <c r="O156" s="74" t="str" cm="1">
        <f t="array" ref="O156">IFERROR(1/(1/SUM(COUNTIFS(
'YearB-AppDetails Current Date'!A:A,D156,
'YearB-AppDetails Current Date'!F:F,E156,
'YearB-AppDetails Current Date'!E:E,--F156,
'YearB-AppDetails Current Date'!T:T,{"CDMT","RQMT","WAIT"},
'YearB-AppDetails Current Date'!I:I,"SPRING"))), "")</f>
        <v/>
      </c>
      <c r="P156" s="74" t="str">
        <f>IFERROR(1/(1/COUNTIFS(
'YearB-AppDetails Current Date'!A:A,D156,
'YearB-AppDetails Current Date'!F:F,E156,
'YearB-AppDetails Current Date'!E:E,--F156,
'YearB-AppDetails Current Date'!Y:Y,"ENRO",
'YearB-AppDetails Current Date'!I:I,"SPRING")), "")</f>
        <v/>
      </c>
      <c r="Q156" s="3" t="str">
        <f t="shared" si="12"/>
        <v/>
      </c>
    </row>
    <row r="157" spans="1:17" ht="15.75" customHeight="1" x14ac:dyDescent="0.25">
      <c r="A157" s="119"/>
      <c r="B157" s="122"/>
      <c r="C157" s="142" t="s">
        <v>285</v>
      </c>
      <c r="D157" s="143"/>
      <c r="E157" s="143"/>
      <c r="F157" s="144"/>
      <c r="G157" s="19"/>
      <c r="H157" s="19">
        <f>SUM(H149:H156)</f>
        <v>0</v>
      </c>
      <c r="I157" s="19">
        <f t="shared" ref="I157:P157" si="15">SUM(I149:I156)</f>
        <v>0</v>
      </c>
      <c r="J157" s="19">
        <f t="shared" si="15"/>
        <v>0</v>
      </c>
      <c r="K157" s="19">
        <f t="shared" si="15"/>
        <v>0</v>
      </c>
      <c r="L157" s="19">
        <f t="shared" si="15"/>
        <v>0</v>
      </c>
      <c r="M157" s="19">
        <f t="shared" si="15"/>
        <v>0</v>
      </c>
      <c r="N157" s="19">
        <f t="shared" si="15"/>
        <v>0</v>
      </c>
      <c r="O157" s="19">
        <f t="shared" si="15"/>
        <v>0</v>
      </c>
      <c r="P157" s="19">
        <f t="shared" si="15"/>
        <v>0</v>
      </c>
      <c r="Q157" s="35" t="str">
        <f t="shared" si="12"/>
        <v/>
      </c>
    </row>
    <row r="158" spans="1:17" ht="15.75" customHeight="1" x14ac:dyDescent="0.25">
      <c r="A158" s="119"/>
      <c r="B158" s="122"/>
      <c r="C158" s="124" t="s">
        <v>160</v>
      </c>
      <c r="D158" s="23" t="s">
        <v>104</v>
      </c>
      <c r="E158" s="2" t="s">
        <v>42</v>
      </c>
      <c r="F158" s="31">
        <v>1</v>
      </c>
      <c r="G158" s="139" t="s">
        <v>48</v>
      </c>
      <c r="H158" s="73" t="str">
        <f>IFERROR(1/(1/
SUM(
N(VLOOKUP(D158&amp;F158,'Budgeted Projections Dom HC'!D:T,16,FALSE)),
N(VLOOKUP(D158&amp;F158,'Budgeted Projections Dom HC'!D:T,17,FALSE))
)
),"")</f>
        <v/>
      </c>
      <c r="I158" s="73" t="str">
        <f>IFERROR(1/(1/COUNTIFS(
'YearB-AppDetails Current Date'!A:A,D158,
'YearB-AppDetails Current Date'!F:F,E158,
'YearB-AppDetails Current Date'!E:E,--F158,
'YearB-AppDetails Current Date'!I:I,"SPRING")), "")</f>
        <v/>
      </c>
      <c r="J158" s="74" t="str" cm="1">
        <f t="array" ref="J158">IFERROR(1/(1/SUM(COUNTIFS(
'YearB-AppDetails Current Date'!A:A,D158,
'YearB-AppDetails Current Date'!F:F,E158,
'YearB-AppDetails Current Date'!E:E,--F158,
'YearB-AppDetails Current Date'!O:O,{"ACLN","ACPT","COND"},
'YearB-AppDetails Current Date'!S:S,"&lt;&gt;ACLN",
'YearB-AppDetails Current Date'!S:S,"&lt;&gt;ACPT",
'YearB-AppDetails Current Date'!S:S,"&lt;&gt;COND",
'YearB-AppDetails Current Date'!I:I,"SPRING"))), "")</f>
        <v/>
      </c>
      <c r="K158" s="73" t="str">
        <f>IFERROR(1/(1/SUM(COUNTIFS(
'YearB-AppDetails Current Date'!A:A,D158,
'YearB-AppDetails Current Date'!F:F,E158,
'YearB-AppDetails Current Date'!E:E,--F158,
'YearB-AppDetails Current Date'!R:R,"&lt;&gt;"&amp;"",
'YearB-AppDetails Current Date'!I:I,"SPRING"))), "")</f>
        <v/>
      </c>
      <c r="L158" s="74" t="str" cm="1">
        <f t="array" ref="L158">IFERROR(1/(1/SUM(COUNTIFS(
'YearB-AppDetails Current Date'!A:A,D158,
'YearB-AppDetails Current Date'!F:F,E158,
'YearB-AppDetails Current Date'!E:E,--F158,
'YearB-AppDetails Current Date'!T:T,{"APEX","DENY","NTSL"},
'YearB-AppDetails Current Date'!I:I,"SPRING"))), "")</f>
        <v/>
      </c>
      <c r="M158" s="74" t="str" cm="1">
        <f t="array" ref="M158">IFERROR(1/(1/SUM(COUNTIFS(
'YearB-AppDetails Current Date'!A:A,D158,
'YearB-AppDetails Current Date'!F:F,E158,
'YearB-AppDetails Current Date'!E:E,--F158,
'YearB-AppDetails Current Date'!U:U,{"CCAN","DECL"},
'YearB-AppDetails Current Date'!I:I,"SPRING"))), "")</f>
        <v/>
      </c>
      <c r="N158" s="74" t="str" cm="1">
        <f t="array" ref="N158">IFERROR(1/(1/SUM(COUNTIFS(
'YearB-AppDetails Current Date'!A:A,D158,
'YearB-AppDetails Current Date'!F:F,E158,
'YearB-AppDetails Current Date'!E:E,--F158,
'YearB-AppDetails Current Date'!V:V,{"APRO","NODE"},
'YearB-AppDetails Current Date'!I:I,"SPRING"))), "")</f>
        <v/>
      </c>
      <c r="O158" s="74" t="str" cm="1">
        <f t="array" ref="O158">IFERROR(1/(1/SUM(COUNTIFS(
'YearB-AppDetails Current Date'!A:A,D158,
'YearB-AppDetails Current Date'!F:F,E158,
'YearB-AppDetails Current Date'!E:E,--F158,
'YearB-AppDetails Current Date'!T:T,{"CDMT","RQMT","WAIT"},
'YearB-AppDetails Current Date'!I:I,"SPRING"))), "")</f>
        <v/>
      </c>
      <c r="P158" s="74" t="str">
        <f>IFERROR(1/(1/COUNTIFS(
'YearB-AppDetails Current Date'!A:A,D158,
'YearB-AppDetails Current Date'!F:F,E158,
'YearB-AppDetails Current Date'!E:E,--F158,
'YearB-AppDetails Current Date'!Y:Y,"ENRO",
'YearB-AppDetails Current Date'!I:I,"SPRING")), "")</f>
        <v/>
      </c>
      <c r="Q158" s="3" t="str">
        <f t="shared" si="12"/>
        <v/>
      </c>
    </row>
    <row r="159" spans="1:17" ht="15.75" customHeight="1" x14ac:dyDescent="0.25">
      <c r="A159" s="119"/>
      <c r="B159" s="122"/>
      <c r="C159" s="125"/>
      <c r="D159" s="23" t="s">
        <v>104</v>
      </c>
      <c r="E159" s="2" t="s">
        <v>43</v>
      </c>
      <c r="F159" s="31">
        <v>1</v>
      </c>
      <c r="G159" s="140"/>
      <c r="H159" s="73" t="str">
        <f>IFERROR(1/(1/
SUM(
N(VLOOKUP(D159&amp;F159,'Budgeted Projections Intl HC'!D:T,16,FALSE)),
N(VLOOKUP(D159&amp;F159,'Budgeted Projections Intl HC'!D:T,17,FALSE))
)
),"")</f>
        <v/>
      </c>
      <c r="I159" s="73" t="str">
        <f>IFERROR(1/(1/COUNTIFS(
'YearB-AppDetails Current Date'!A:A,D159,
'YearB-AppDetails Current Date'!F:F,E159,
'YearB-AppDetails Current Date'!E:E,--F159,
'YearB-AppDetails Current Date'!I:I,"SPRING")), "")</f>
        <v/>
      </c>
      <c r="J159" s="74" t="str" cm="1">
        <f t="array" ref="J159">IFERROR(1/(1/SUM(COUNTIFS(
'YearB-AppDetails Current Date'!A:A,D159,
'YearB-AppDetails Current Date'!F:F,E159,
'YearB-AppDetails Current Date'!E:E,--F159,
'YearB-AppDetails Current Date'!O:O,{"ACLN","ACPT","COND"},
'YearB-AppDetails Current Date'!S:S,"&lt;&gt;ACLN",
'YearB-AppDetails Current Date'!S:S,"&lt;&gt;ACPT",
'YearB-AppDetails Current Date'!S:S,"&lt;&gt;COND",
'YearB-AppDetails Current Date'!I:I,"SPRING"))), "")</f>
        <v/>
      </c>
      <c r="K159" s="73" t="str">
        <f>IFERROR(1/(1/SUM(COUNTIFS(
'YearB-AppDetails Current Date'!A:A,D159,
'YearB-AppDetails Current Date'!F:F,E159,
'YearB-AppDetails Current Date'!E:E,--F159,
'YearB-AppDetails Current Date'!R:R,"&lt;&gt;"&amp;"",
'YearB-AppDetails Current Date'!I:I,"SPRING"))), "")</f>
        <v/>
      </c>
      <c r="L159" s="74" t="str" cm="1">
        <f t="array" ref="L159">IFERROR(1/(1/SUM(COUNTIFS(
'YearB-AppDetails Current Date'!A:A,D159,
'YearB-AppDetails Current Date'!F:F,E159,
'YearB-AppDetails Current Date'!E:E,--F159,
'YearB-AppDetails Current Date'!T:T,{"APEX","DENY","NTSL"},
'YearB-AppDetails Current Date'!I:I,"SPRING"))), "")</f>
        <v/>
      </c>
      <c r="M159" s="74" t="str" cm="1">
        <f t="array" ref="M159">IFERROR(1/(1/SUM(COUNTIFS(
'YearB-AppDetails Current Date'!A:A,D159,
'YearB-AppDetails Current Date'!F:F,E159,
'YearB-AppDetails Current Date'!E:E,--F159,
'YearB-AppDetails Current Date'!U:U,{"CCAN","DECL"},
'YearB-AppDetails Current Date'!I:I,"SPRING"))), "")</f>
        <v/>
      </c>
      <c r="N159" s="74" t="str" cm="1">
        <f t="array" ref="N159">IFERROR(1/(1/SUM(COUNTIFS(
'YearB-AppDetails Current Date'!A:A,D159,
'YearB-AppDetails Current Date'!F:F,E159,
'YearB-AppDetails Current Date'!E:E,--F159,
'YearB-AppDetails Current Date'!V:V,{"APRO","NODE"},
'YearB-AppDetails Current Date'!I:I,"SPRING"))), "")</f>
        <v/>
      </c>
      <c r="O159" s="74" t="str" cm="1">
        <f t="array" ref="O159">IFERROR(1/(1/SUM(COUNTIFS(
'YearB-AppDetails Current Date'!A:A,D159,
'YearB-AppDetails Current Date'!F:F,E159,
'YearB-AppDetails Current Date'!E:E,--F159,
'YearB-AppDetails Current Date'!T:T,{"CDMT","RQMT","WAIT"},
'YearB-AppDetails Current Date'!I:I,"SPRING"))), "")</f>
        <v/>
      </c>
      <c r="P159" s="74" t="str">
        <f>IFERROR(1/(1/COUNTIFS(
'YearB-AppDetails Current Date'!A:A,D159,
'YearB-AppDetails Current Date'!F:F,E159,
'YearB-AppDetails Current Date'!E:E,--F159,
'YearB-AppDetails Current Date'!Y:Y,"ENRO",
'YearB-AppDetails Current Date'!I:I,"SPRING")), "")</f>
        <v/>
      </c>
      <c r="Q159" s="3" t="str">
        <f t="shared" si="12"/>
        <v/>
      </c>
    </row>
    <row r="160" spans="1:17" ht="15.75" customHeight="1" x14ac:dyDescent="0.25">
      <c r="A160" s="119"/>
      <c r="B160" s="122"/>
      <c r="C160" s="124" t="s">
        <v>161</v>
      </c>
      <c r="D160" s="23" t="s">
        <v>105</v>
      </c>
      <c r="E160" s="2" t="s">
        <v>42</v>
      </c>
      <c r="F160" s="31">
        <v>1</v>
      </c>
      <c r="G160" s="139" t="s">
        <v>48</v>
      </c>
      <c r="H160" s="73" t="str">
        <f>IFERROR(1/(1/
SUM(
N(VLOOKUP(D160&amp;F160,'Budgeted Projections Dom HC'!D:T,16,FALSE)),
N(VLOOKUP(D160&amp;F160,'Budgeted Projections Dom HC'!D:T,17,FALSE))
)
),"")</f>
        <v/>
      </c>
      <c r="I160" s="73" t="str">
        <f>IFERROR(1/(1/COUNTIFS(
'YearB-AppDetails Current Date'!A:A,D160,
'YearB-AppDetails Current Date'!F:F,E160,
'YearB-AppDetails Current Date'!E:E,--F160,
'YearB-AppDetails Current Date'!I:I,"SPRING")), "")</f>
        <v/>
      </c>
      <c r="J160" s="74" t="str" cm="1">
        <f t="array" ref="J160">IFERROR(1/(1/SUM(COUNTIFS(
'YearB-AppDetails Current Date'!A:A,D160,
'YearB-AppDetails Current Date'!F:F,E160,
'YearB-AppDetails Current Date'!E:E,--F160,
'YearB-AppDetails Current Date'!O:O,{"ACLN","ACPT","COND"},
'YearB-AppDetails Current Date'!S:S,"&lt;&gt;ACLN",
'YearB-AppDetails Current Date'!S:S,"&lt;&gt;ACPT",
'YearB-AppDetails Current Date'!S:S,"&lt;&gt;COND",
'YearB-AppDetails Current Date'!I:I,"SPRING"))), "")</f>
        <v/>
      </c>
      <c r="K160" s="73" t="str">
        <f>IFERROR(1/(1/SUM(COUNTIFS(
'YearB-AppDetails Current Date'!A:A,D160,
'YearB-AppDetails Current Date'!F:F,E160,
'YearB-AppDetails Current Date'!E:E,--F160,
'YearB-AppDetails Current Date'!R:R,"&lt;&gt;"&amp;"",
'YearB-AppDetails Current Date'!I:I,"SPRING"))), "")</f>
        <v/>
      </c>
      <c r="L160" s="74" t="str" cm="1">
        <f t="array" ref="L160">IFERROR(1/(1/SUM(COUNTIFS(
'YearB-AppDetails Current Date'!A:A,D160,
'YearB-AppDetails Current Date'!F:F,E160,
'YearB-AppDetails Current Date'!E:E,--F160,
'YearB-AppDetails Current Date'!T:T,{"APEX","DENY","NTSL"},
'YearB-AppDetails Current Date'!I:I,"SPRING"))), "")</f>
        <v/>
      </c>
      <c r="M160" s="74" t="str" cm="1">
        <f t="array" ref="M160">IFERROR(1/(1/SUM(COUNTIFS(
'YearB-AppDetails Current Date'!A:A,D160,
'YearB-AppDetails Current Date'!F:F,E160,
'YearB-AppDetails Current Date'!E:E,--F160,
'YearB-AppDetails Current Date'!U:U,{"CCAN","DECL"},
'YearB-AppDetails Current Date'!I:I,"SPRING"))), "")</f>
        <v/>
      </c>
      <c r="N160" s="74" t="str" cm="1">
        <f t="array" ref="N160">IFERROR(1/(1/SUM(COUNTIFS(
'YearB-AppDetails Current Date'!A:A,D160,
'YearB-AppDetails Current Date'!F:F,E160,
'YearB-AppDetails Current Date'!E:E,--F160,
'YearB-AppDetails Current Date'!V:V,{"APRO","NODE"},
'YearB-AppDetails Current Date'!I:I,"SPRING"))), "")</f>
        <v/>
      </c>
      <c r="O160" s="74" t="str" cm="1">
        <f t="array" ref="O160">IFERROR(1/(1/SUM(COUNTIFS(
'YearB-AppDetails Current Date'!A:A,D160,
'YearB-AppDetails Current Date'!F:F,E160,
'YearB-AppDetails Current Date'!E:E,--F160,
'YearB-AppDetails Current Date'!T:T,{"CDMT","RQMT","WAIT"},
'YearB-AppDetails Current Date'!I:I,"SPRING"))), "")</f>
        <v/>
      </c>
      <c r="P160" s="74" t="str">
        <f>IFERROR(1/(1/COUNTIFS(
'YearB-AppDetails Current Date'!A:A,D160,
'YearB-AppDetails Current Date'!F:F,E160,
'YearB-AppDetails Current Date'!E:E,--F160,
'YearB-AppDetails Current Date'!Y:Y,"ENRO",
'YearB-AppDetails Current Date'!I:I,"SPRING")), "")</f>
        <v/>
      </c>
      <c r="Q160" s="3" t="str">
        <f t="shared" si="12"/>
        <v/>
      </c>
    </row>
    <row r="161" spans="1:17" ht="15.75" customHeight="1" x14ac:dyDescent="0.25">
      <c r="A161" s="119"/>
      <c r="B161" s="122"/>
      <c r="C161" s="138"/>
      <c r="D161" s="23" t="s">
        <v>105</v>
      </c>
      <c r="E161" s="2" t="s">
        <v>43</v>
      </c>
      <c r="F161" s="31">
        <v>1</v>
      </c>
      <c r="G161" s="140"/>
      <c r="H161" s="73" t="str">
        <f>IFERROR(1/(1/
SUM(
N(VLOOKUP(D161&amp;F161,'Budgeted Projections Intl HC'!D:T,16,FALSE)),
N(VLOOKUP(D161&amp;F161,'Budgeted Projections Intl HC'!D:T,17,FALSE))
)
),"")</f>
        <v/>
      </c>
      <c r="I161" s="73" t="str">
        <f>IFERROR(1/(1/COUNTIFS(
'YearB-AppDetails Current Date'!A:A,D161,
'YearB-AppDetails Current Date'!F:F,E161,
'YearB-AppDetails Current Date'!E:E,--F161,
'YearB-AppDetails Current Date'!I:I,"SPRING")), "")</f>
        <v/>
      </c>
      <c r="J161" s="74" t="str" cm="1">
        <f t="array" ref="J161">IFERROR(1/(1/SUM(COUNTIFS(
'YearB-AppDetails Current Date'!A:A,D161,
'YearB-AppDetails Current Date'!F:F,E161,
'YearB-AppDetails Current Date'!E:E,--F161,
'YearB-AppDetails Current Date'!O:O,{"ACLN","ACPT","COND"},
'YearB-AppDetails Current Date'!S:S,"&lt;&gt;ACLN",
'YearB-AppDetails Current Date'!S:S,"&lt;&gt;ACPT",
'YearB-AppDetails Current Date'!S:S,"&lt;&gt;COND",
'YearB-AppDetails Current Date'!I:I,"SPRING"))), "")</f>
        <v/>
      </c>
      <c r="K161" s="73" t="str">
        <f>IFERROR(1/(1/SUM(COUNTIFS(
'YearB-AppDetails Current Date'!A:A,D161,
'YearB-AppDetails Current Date'!F:F,E161,
'YearB-AppDetails Current Date'!E:E,--F161,
'YearB-AppDetails Current Date'!R:R,"&lt;&gt;"&amp;"",
'YearB-AppDetails Current Date'!I:I,"SPRING"))), "")</f>
        <v/>
      </c>
      <c r="L161" s="74" t="str" cm="1">
        <f t="array" ref="L161">IFERROR(1/(1/SUM(COUNTIFS(
'YearB-AppDetails Current Date'!A:A,D161,
'YearB-AppDetails Current Date'!F:F,E161,
'YearB-AppDetails Current Date'!E:E,--F161,
'YearB-AppDetails Current Date'!T:T,{"APEX","DENY","NTSL"},
'YearB-AppDetails Current Date'!I:I,"SPRING"))), "")</f>
        <v/>
      </c>
      <c r="M161" s="74" t="str" cm="1">
        <f t="array" ref="M161">IFERROR(1/(1/SUM(COUNTIFS(
'YearB-AppDetails Current Date'!A:A,D161,
'YearB-AppDetails Current Date'!F:F,E161,
'YearB-AppDetails Current Date'!E:E,--F161,
'YearB-AppDetails Current Date'!U:U,{"CCAN","DECL"},
'YearB-AppDetails Current Date'!I:I,"SPRING"))), "")</f>
        <v/>
      </c>
      <c r="N161" s="74" t="str" cm="1">
        <f t="array" ref="N161">IFERROR(1/(1/SUM(COUNTIFS(
'YearB-AppDetails Current Date'!A:A,D161,
'YearB-AppDetails Current Date'!F:F,E161,
'YearB-AppDetails Current Date'!E:E,--F161,
'YearB-AppDetails Current Date'!V:V,{"APRO","NODE"},
'YearB-AppDetails Current Date'!I:I,"SPRING"))), "")</f>
        <v/>
      </c>
      <c r="O161" s="74" t="str" cm="1">
        <f t="array" ref="O161">IFERROR(1/(1/SUM(COUNTIFS(
'YearB-AppDetails Current Date'!A:A,D161,
'YearB-AppDetails Current Date'!F:F,E161,
'YearB-AppDetails Current Date'!E:E,--F161,
'YearB-AppDetails Current Date'!T:T,{"CDMT","RQMT","WAIT"},
'YearB-AppDetails Current Date'!I:I,"SPRING"))), "")</f>
        <v/>
      </c>
      <c r="P161" s="74" t="str">
        <f>IFERROR(1/(1/COUNTIFS(
'YearB-AppDetails Current Date'!A:A,D161,
'YearB-AppDetails Current Date'!F:F,E161,
'YearB-AppDetails Current Date'!E:E,--F161,
'YearB-AppDetails Current Date'!Y:Y,"ENRO",
'YearB-AppDetails Current Date'!I:I,"SPRING")), "")</f>
        <v/>
      </c>
      <c r="Q161" s="3" t="str">
        <f t="shared" si="12"/>
        <v/>
      </c>
    </row>
    <row r="162" spans="1:17" ht="15.75" customHeight="1" x14ac:dyDescent="0.25">
      <c r="A162" s="119"/>
      <c r="B162" s="122"/>
      <c r="C162" s="138"/>
      <c r="D162" s="23" t="s">
        <v>105</v>
      </c>
      <c r="E162" s="2" t="s">
        <v>42</v>
      </c>
      <c r="F162" s="31">
        <v>2</v>
      </c>
      <c r="G162" s="139" t="s">
        <v>48</v>
      </c>
      <c r="H162" s="73" t="str">
        <f>IFERROR(1/(1/
SUM(
N(VLOOKUP(D162&amp;F162,'Budgeted Projections Dom HC'!D:T,16,FALSE)),
N(VLOOKUP(D162&amp;F162,'Budgeted Projections Dom HC'!D:T,17,FALSE))
)
),"")</f>
        <v/>
      </c>
      <c r="I162" s="73" t="str">
        <f>IFERROR(1/(1/COUNTIFS(
'YearB-AppDetails Current Date'!A:A,D162,
'YearB-AppDetails Current Date'!F:F,E162,
'YearB-AppDetails Current Date'!E:E,--F162,
'YearB-AppDetails Current Date'!I:I,"SPRING")), "")</f>
        <v/>
      </c>
      <c r="J162" s="74" t="str" cm="1">
        <f t="array" ref="J162">IFERROR(1/(1/SUM(COUNTIFS(
'YearB-AppDetails Current Date'!A:A,D162,
'YearB-AppDetails Current Date'!F:F,E162,
'YearB-AppDetails Current Date'!E:E,--F162,
'YearB-AppDetails Current Date'!O:O,{"ACLN","ACPT","COND"},
'YearB-AppDetails Current Date'!S:S,"&lt;&gt;ACLN",
'YearB-AppDetails Current Date'!S:S,"&lt;&gt;ACPT",
'YearB-AppDetails Current Date'!S:S,"&lt;&gt;COND",
'YearB-AppDetails Current Date'!I:I,"SPRING"))), "")</f>
        <v/>
      </c>
      <c r="K162" s="73" t="str">
        <f>IFERROR(1/(1/SUM(COUNTIFS(
'YearB-AppDetails Current Date'!A:A,D162,
'YearB-AppDetails Current Date'!F:F,E162,
'YearB-AppDetails Current Date'!E:E,--F162,
'YearB-AppDetails Current Date'!R:R,"&lt;&gt;"&amp;"",
'YearB-AppDetails Current Date'!I:I,"SPRING"))), "")</f>
        <v/>
      </c>
      <c r="L162" s="74" t="str" cm="1">
        <f t="array" ref="L162">IFERROR(1/(1/SUM(COUNTIFS(
'YearB-AppDetails Current Date'!A:A,D162,
'YearB-AppDetails Current Date'!F:F,E162,
'YearB-AppDetails Current Date'!E:E,--F162,
'YearB-AppDetails Current Date'!T:T,{"APEX","DENY","NTSL"},
'YearB-AppDetails Current Date'!I:I,"SPRING"))), "")</f>
        <v/>
      </c>
      <c r="M162" s="74" t="str" cm="1">
        <f t="array" ref="M162">IFERROR(1/(1/SUM(COUNTIFS(
'YearB-AppDetails Current Date'!A:A,D162,
'YearB-AppDetails Current Date'!F:F,E162,
'YearB-AppDetails Current Date'!E:E,--F162,
'YearB-AppDetails Current Date'!U:U,{"CCAN","DECL"},
'YearB-AppDetails Current Date'!I:I,"SPRING"))), "")</f>
        <v/>
      </c>
      <c r="N162" s="74" t="str" cm="1">
        <f t="array" ref="N162">IFERROR(1/(1/SUM(COUNTIFS(
'YearB-AppDetails Current Date'!A:A,D162,
'YearB-AppDetails Current Date'!F:F,E162,
'YearB-AppDetails Current Date'!E:E,--F162,
'YearB-AppDetails Current Date'!V:V,{"APRO","NODE"},
'YearB-AppDetails Current Date'!I:I,"SPRING"))), "")</f>
        <v/>
      </c>
      <c r="O162" s="74" t="str" cm="1">
        <f t="array" ref="O162">IFERROR(1/(1/SUM(COUNTIFS(
'YearB-AppDetails Current Date'!A:A,D162,
'YearB-AppDetails Current Date'!F:F,E162,
'YearB-AppDetails Current Date'!E:E,--F162,
'YearB-AppDetails Current Date'!T:T,{"CDMT","RQMT","WAIT"},
'YearB-AppDetails Current Date'!I:I,"SPRING"))), "")</f>
        <v/>
      </c>
      <c r="P162" s="74" t="str">
        <f>IFERROR(1/(1/COUNTIFS(
'YearB-AppDetails Current Date'!A:A,D162,
'YearB-AppDetails Current Date'!F:F,E162,
'YearB-AppDetails Current Date'!E:E,--F162,
'YearB-AppDetails Current Date'!Y:Y,"ENRO",
'YearB-AppDetails Current Date'!I:I,"SPRING")), "")</f>
        <v/>
      </c>
      <c r="Q162" s="3" t="str">
        <f t="shared" si="12"/>
        <v/>
      </c>
    </row>
    <row r="163" spans="1:17" ht="15.75" customHeight="1" x14ac:dyDescent="0.25">
      <c r="A163" s="119"/>
      <c r="B163" s="122"/>
      <c r="C163" s="125"/>
      <c r="D163" s="23" t="s">
        <v>105</v>
      </c>
      <c r="E163" s="2" t="s">
        <v>43</v>
      </c>
      <c r="F163" s="31">
        <v>2</v>
      </c>
      <c r="G163" s="140"/>
      <c r="H163" s="73" t="str">
        <f>IFERROR(1/(1/
SUM(
N(VLOOKUP(D163&amp;F163,'Budgeted Projections Intl HC'!D:T,16,FALSE)),
N(VLOOKUP(D163&amp;F163,'Budgeted Projections Intl HC'!D:T,17,FALSE))
)
),"")</f>
        <v/>
      </c>
      <c r="I163" s="73" t="str">
        <f>IFERROR(1/(1/COUNTIFS(
'YearB-AppDetails Current Date'!A:A,D163,
'YearB-AppDetails Current Date'!F:F,E163,
'YearB-AppDetails Current Date'!E:E,--F163,
'YearB-AppDetails Current Date'!I:I,"SPRING")), "")</f>
        <v/>
      </c>
      <c r="J163" s="74" t="str" cm="1">
        <f t="array" ref="J163">IFERROR(1/(1/SUM(COUNTIFS(
'YearB-AppDetails Current Date'!A:A,D163,
'YearB-AppDetails Current Date'!F:F,E163,
'YearB-AppDetails Current Date'!E:E,--F163,
'YearB-AppDetails Current Date'!O:O,{"ACLN","ACPT","COND"},
'YearB-AppDetails Current Date'!S:S,"&lt;&gt;ACLN",
'YearB-AppDetails Current Date'!S:S,"&lt;&gt;ACPT",
'YearB-AppDetails Current Date'!S:S,"&lt;&gt;COND",
'YearB-AppDetails Current Date'!I:I,"SPRING"))), "")</f>
        <v/>
      </c>
      <c r="K163" s="73" t="str">
        <f>IFERROR(1/(1/SUM(COUNTIFS(
'YearB-AppDetails Current Date'!A:A,D163,
'YearB-AppDetails Current Date'!F:F,E163,
'YearB-AppDetails Current Date'!E:E,--F163,
'YearB-AppDetails Current Date'!R:R,"&lt;&gt;"&amp;"",
'YearB-AppDetails Current Date'!I:I,"SPRING"))), "")</f>
        <v/>
      </c>
      <c r="L163" s="74" t="str" cm="1">
        <f t="array" ref="L163">IFERROR(1/(1/SUM(COUNTIFS(
'YearB-AppDetails Current Date'!A:A,D163,
'YearB-AppDetails Current Date'!F:F,E163,
'YearB-AppDetails Current Date'!E:E,--F163,
'YearB-AppDetails Current Date'!T:T,{"APEX","DENY","NTSL"},
'YearB-AppDetails Current Date'!I:I,"SPRING"))), "")</f>
        <v/>
      </c>
      <c r="M163" s="74" t="str" cm="1">
        <f t="array" ref="M163">IFERROR(1/(1/SUM(COUNTIFS(
'YearB-AppDetails Current Date'!A:A,D163,
'YearB-AppDetails Current Date'!F:F,E163,
'YearB-AppDetails Current Date'!E:E,--F163,
'YearB-AppDetails Current Date'!U:U,{"CCAN","DECL"},
'YearB-AppDetails Current Date'!I:I,"SPRING"))), "")</f>
        <v/>
      </c>
      <c r="N163" s="74" t="str" cm="1">
        <f t="array" ref="N163">IFERROR(1/(1/SUM(COUNTIFS(
'YearB-AppDetails Current Date'!A:A,D163,
'YearB-AppDetails Current Date'!F:F,E163,
'YearB-AppDetails Current Date'!E:E,--F163,
'YearB-AppDetails Current Date'!V:V,{"APRO","NODE"},
'YearB-AppDetails Current Date'!I:I,"SPRING"))), "")</f>
        <v/>
      </c>
      <c r="O163" s="74" t="str" cm="1">
        <f t="array" ref="O163">IFERROR(1/(1/SUM(COUNTIFS(
'YearB-AppDetails Current Date'!A:A,D163,
'YearB-AppDetails Current Date'!F:F,E163,
'YearB-AppDetails Current Date'!E:E,--F163,
'YearB-AppDetails Current Date'!T:T,{"CDMT","RQMT","WAIT"},
'YearB-AppDetails Current Date'!I:I,"SPRING"))), "")</f>
        <v/>
      </c>
      <c r="P163" s="74" t="str">
        <f>IFERROR(1/(1/COUNTIFS(
'YearB-AppDetails Current Date'!A:A,D163,
'YearB-AppDetails Current Date'!F:F,E163,
'YearB-AppDetails Current Date'!E:E,--F163,
'YearB-AppDetails Current Date'!Y:Y,"ENRO",
'YearB-AppDetails Current Date'!I:I,"SPRING")), "")</f>
        <v/>
      </c>
      <c r="Q163" s="3" t="str">
        <f t="shared" si="12"/>
        <v/>
      </c>
    </row>
    <row r="164" spans="1:17" ht="15.75" customHeight="1" x14ac:dyDescent="0.25">
      <c r="A164" s="119"/>
      <c r="B164" s="122"/>
      <c r="C164" s="124" t="s">
        <v>108</v>
      </c>
      <c r="D164" s="23" t="s">
        <v>109</v>
      </c>
      <c r="E164" s="2" t="s">
        <v>42</v>
      </c>
      <c r="F164" s="31">
        <v>1</v>
      </c>
      <c r="G164" s="139" t="s">
        <v>48</v>
      </c>
      <c r="H164" s="73" t="str">
        <f>IFERROR(1/(1/
SUM(
N(VLOOKUP(D164&amp;F164,'Budgeted Projections Dom HC'!D:T,16,FALSE)),
N(VLOOKUP(D164&amp;F164,'Budgeted Projections Dom HC'!D:T,17,FALSE))
)
),"")</f>
        <v/>
      </c>
      <c r="I164" s="73" t="str">
        <f>IFERROR(1/(1/COUNTIFS(
'YearB-AppDetails Current Date'!A:A,D164,
'YearB-AppDetails Current Date'!F:F,E164,
'YearB-AppDetails Current Date'!E:E,--F164,
'YearB-AppDetails Current Date'!I:I,"SPRING")), "")</f>
        <v/>
      </c>
      <c r="J164" s="74" t="str" cm="1">
        <f t="array" ref="J164">IFERROR(1/(1/SUM(COUNTIFS(
'YearB-AppDetails Current Date'!A:A,D164,
'YearB-AppDetails Current Date'!F:F,E164,
'YearB-AppDetails Current Date'!E:E,--F164,
'YearB-AppDetails Current Date'!O:O,{"ACLN","ACPT","COND"},
'YearB-AppDetails Current Date'!S:S,"&lt;&gt;ACLN",
'YearB-AppDetails Current Date'!S:S,"&lt;&gt;ACPT",
'YearB-AppDetails Current Date'!S:S,"&lt;&gt;COND",
'YearB-AppDetails Current Date'!I:I,"SPRING"))), "")</f>
        <v/>
      </c>
      <c r="K164" s="73" t="str">
        <f>IFERROR(1/(1/SUM(COUNTIFS(
'YearB-AppDetails Current Date'!A:A,D164,
'YearB-AppDetails Current Date'!F:F,E164,
'YearB-AppDetails Current Date'!E:E,--F164,
'YearB-AppDetails Current Date'!R:R,"&lt;&gt;"&amp;"",
'YearB-AppDetails Current Date'!I:I,"SPRING"))), "")</f>
        <v/>
      </c>
      <c r="L164" s="74" t="str" cm="1">
        <f t="array" ref="L164">IFERROR(1/(1/SUM(COUNTIFS(
'YearB-AppDetails Current Date'!A:A,D164,
'YearB-AppDetails Current Date'!F:F,E164,
'YearB-AppDetails Current Date'!E:E,--F164,
'YearB-AppDetails Current Date'!T:T,{"APEX","DENY","NTSL"},
'YearB-AppDetails Current Date'!I:I,"SPRING"))), "")</f>
        <v/>
      </c>
      <c r="M164" s="74" t="str" cm="1">
        <f t="array" ref="M164">IFERROR(1/(1/SUM(COUNTIFS(
'YearB-AppDetails Current Date'!A:A,D164,
'YearB-AppDetails Current Date'!F:F,E164,
'YearB-AppDetails Current Date'!E:E,--F164,
'YearB-AppDetails Current Date'!U:U,{"CCAN","DECL"},
'YearB-AppDetails Current Date'!I:I,"SPRING"))), "")</f>
        <v/>
      </c>
      <c r="N164" s="74" t="str" cm="1">
        <f t="array" ref="N164">IFERROR(1/(1/SUM(COUNTIFS(
'YearB-AppDetails Current Date'!A:A,D164,
'YearB-AppDetails Current Date'!F:F,E164,
'YearB-AppDetails Current Date'!E:E,--F164,
'YearB-AppDetails Current Date'!V:V,{"APRO","NODE"},
'YearB-AppDetails Current Date'!I:I,"SPRING"))), "")</f>
        <v/>
      </c>
      <c r="O164" s="74" t="str" cm="1">
        <f t="array" ref="O164">IFERROR(1/(1/SUM(COUNTIFS(
'YearB-AppDetails Current Date'!A:A,D164,
'YearB-AppDetails Current Date'!F:F,E164,
'YearB-AppDetails Current Date'!E:E,--F164,
'YearB-AppDetails Current Date'!T:T,{"CDMT","RQMT","WAIT"},
'YearB-AppDetails Current Date'!I:I,"SPRING"))), "")</f>
        <v/>
      </c>
      <c r="P164" s="74" t="str">
        <f>IFERROR(1/(1/COUNTIFS(
'YearB-AppDetails Current Date'!A:A,D164,
'YearB-AppDetails Current Date'!F:F,E164,
'YearB-AppDetails Current Date'!E:E,--F164,
'YearB-AppDetails Current Date'!Y:Y,"ENRO",
'YearB-AppDetails Current Date'!I:I,"SPRING")), "")</f>
        <v/>
      </c>
      <c r="Q164" s="3" t="str">
        <f t="shared" si="12"/>
        <v/>
      </c>
    </row>
    <row r="165" spans="1:17" ht="15.75" customHeight="1" x14ac:dyDescent="0.25">
      <c r="A165" s="119"/>
      <c r="B165" s="122"/>
      <c r="C165" s="125"/>
      <c r="D165" s="23" t="s">
        <v>109</v>
      </c>
      <c r="E165" s="2" t="s">
        <v>43</v>
      </c>
      <c r="F165" s="31">
        <v>1</v>
      </c>
      <c r="G165" s="140"/>
      <c r="H165" s="73" t="str">
        <f>IFERROR(1/(1/
SUM(
N(VLOOKUP(D165&amp;F165,'Budgeted Projections Intl HC'!D:T,16,FALSE)),
N(VLOOKUP(D165&amp;F165,'Budgeted Projections Intl HC'!D:T,17,FALSE))
)
),"")</f>
        <v/>
      </c>
      <c r="I165" s="73" t="str">
        <f>IFERROR(1/(1/COUNTIFS(
'YearB-AppDetails Current Date'!A:A,D165,
'YearB-AppDetails Current Date'!F:F,E165,
'YearB-AppDetails Current Date'!E:E,--F165,
'YearB-AppDetails Current Date'!I:I,"SPRING")), "")</f>
        <v/>
      </c>
      <c r="J165" s="74" t="str" cm="1">
        <f t="array" ref="J165">IFERROR(1/(1/SUM(COUNTIFS(
'YearB-AppDetails Current Date'!A:A,D165,
'YearB-AppDetails Current Date'!F:F,E165,
'YearB-AppDetails Current Date'!E:E,--F165,
'YearB-AppDetails Current Date'!O:O,{"ACLN","ACPT","COND"},
'YearB-AppDetails Current Date'!S:S,"&lt;&gt;ACLN",
'YearB-AppDetails Current Date'!S:S,"&lt;&gt;ACPT",
'YearB-AppDetails Current Date'!S:S,"&lt;&gt;COND",
'YearB-AppDetails Current Date'!I:I,"SPRING"))), "")</f>
        <v/>
      </c>
      <c r="K165" s="73" t="str">
        <f>IFERROR(1/(1/SUM(COUNTIFS(
'YearB-AppDetails Current Date'!A:A,D165,
'YearB-AppDetails Current Date'!F:F,E165,
'YearB-AppDetails Current Date'!E:E,--F165,
'YearB-AppDetails Current Date'!R:R,"&lt;&gt;"&amp;"",
'YearB-AppDetails Current Date'!I:I,"SPRING"))), "")</f>
        <v/>
      </c>
      <c r="L165" s="74" t="str" cm="1">
        <f t="array" ref="L165">IFERROR(1/(1/SUM(COUNTIFS(
'YearB-AppDetails Current Date'!A:A,D165,
'YearB-AppDetails Current Date'!F:F,E165,
'YearB-AppDetails Current Date'!E:E,--F165,
'YearB-AppDetails Current Date'!T:T,{"APEX","DENY","NTSL"},
'YearB-AppDetails Current Date'!I:I,"SPRING"))), "")</f>
        <v/>
      </c>
      <c r="M165" s="74" t="str" cm="1">
        <f t="array" ref="M165">IFERROR(1/(1/SUM(COUNTIFS(
'YearB-AppDetails Current Date'!A:A,D165,
'YearB-AppDetails Current Date'!F:F,E165,
'YearB-AppDetails Current Date'!E:E,--F165,
'YearB-AppDetails Current Date'!U:U,{"CCAN","DECL"},
'YearB-AppDetails Current Date'!I:I,"SPRING"))), "")</f>
        <v/>
      </c>
      <c r="N165" s="74" t="str" cm="1">
        <f t="array" ref="N165">IFERROR(1/(1/SUM(COUNTIFS(
'YearB-AppDetails Current Date'!A:A,D165,
'YearB-AppDetails Current Date'!F:F,E165,
'YearB-AppDetails Current Date'!E:E,--F165,
'YearB-AppDetails Current Date'!V:V,{"APRO","NODE"},
'YearB-AppDetails Current Date'!I:I,"SPRING"))), "")</f>
        <v/>
      </c>
      <c r="O165" s="74" t="str" cm="1">
        <f t="array" ref="O165">IFERROR(1/(1/SUM(COUNTIFS(
'YearB-AppDetails Current Date'!A:A,D165,
'YearB-AppDetails Current Date'!F:F,E165,
'YearB-AppDetails Current Date'!E:E,--F165,
'YearB-AppDetails Current Date'!T:T,{"CDMT","RQMT","WAIT"},
'YearB-AppDetails Current Date'!I:I,"SPRING"))), "")</f>
        <v/>
      </c>
      <c r="P165" s="74" t="str">
        <f>IFERROR(1/(1/COUNTIFS(
'YearB-AppDetails Current Date'!A:A,D165,
'YearB-AppDetails Current Date'!F:F,E165,
'YearB-AppDetails Current Date'!E:E,--F165,
'YearB-AppDetails Current Date'!Y:Y,"ENRO",
'YearB-AppDetails Current Date'!I:I,"SPRING")), "")</f>
        <v/>
      </c>
      <c r="Q165" s="3" t="str">
        <f t="shared" si="12"/>
        <v/>
      </c>
    </row>
    <row r="166" spans="1:17" ht="15.75" customHeight="1" x14ac:dyDescent="0.25">
      <c r="A166" s="119"/>
      <c r="B166" s="122"/>
      <c r="C166" s="124" t="s">
        <v>110</v>
      </c>
      <c r="D166" s="23" t="s">
        <v>111</v>
      </c>
      <c r="E166" s="2" t="s">
        <v>42</v>
      </c>
      <c r="F166" s="31">
        <v>1</v>
      </c>
      <c r="G166" s="139" t="s">
        <v>48</v>
      </c>
      <c r="H166" s="73" t="str">
        <f>IFERROR(1/(1/
SUM(
N(VLOOKUP(D166&amp;F166,'Budgeted Projections Dom HC'!D:T,16,FALSE)),
N(VLOOKUP(D166&amp;F166,'Budgeted Projections Dom HC'!D:T,17,FALSE))
)
),"")</f>
        <v/>
      </c>
      <c r="I166" s="73" t="str">
        <f>IFERROR(1/(1/COUNTIFS(
'YearB-AppDetails Current Date'!A:A,D166,
'YearB-AppDetails Current Date'!F:F,E166,
'YearB-AppDetails Current Date'!E:E,--F166,
'YearB-AppDetails Current Date'!I:I,"SPRING")), "")</f>
        <v/>
      </c>
      <c r="J166" s="74" t="str" cm="1">
        <f t="array" ref="J166">IFERROR(1/(1/SUM(COUNTIFS(
'YearB-AppDetails Current Date'!A:A,D166,
'YearB-AppDetails Current Date'!F:F,E166,
'YearB-AppDetails Current Date'!E:E,--F166,
'YearB-AppDetails Current Date'!O:O,{"ACLN","ACPT","COND"},
'YearB-AppDetails Current Date'!S:S,"&lt;&gt;ACLN",
'YearB-AppDetails Current Date'!S:S,"&lt;&gt;ACPT",
'YearB-AppDetails Current Date'!S:S,"&lt;&gt;COND",
'YearB-AppDetails Current Date'!I:I,"SPRING"))), "")</f>
        <v/>
      </c>
      <c r="K166" s="73" t="str">
        <f>IFERROR(1/(1/SUM(COUNTIFS(
'YearB-AppDetails Current Date'!A:A,D166,
'YearB-AppDetails Current Date'!F:F,E166,
'YearB-AppDetails Current Date'!E:E,--F166,
'YearB-AppDetails Current Date'!R:R,"&lt;&gt;"&amp;"",
'YearB-AppDetails Current Date'!I:I,"SPRING"))), "")</f>
        <v/>
      </c>
      <c r="L166" s="74" t="str" cm="1">
        <f t="array" ref="L166">IFERROR(1/(1/SUM(COUNTIFS(
'YearB-AppDetails Current Date'!A:A,D166,
'YearB-AppDetails Current Date'!F:F,E166,
'YearB-AppDetails Current Date'!E:E,--F166,
'YearB-AppDetails Current Date'!T:T,{"APEX","DENY","NTSL"},
'YearB-AppDetails Current Date'!I:I,"SPRING"))), "")</f>
        <v/>
      </c>
      <c r="M166" s="74" t="str" cm="1">
        <f t="array" ref="M166">IFERROR(1/(1/SUM(COUNTIFS(
'YearB-AppDetails Current Date'!A:A,D166,
'YearB-AppDetails Current Date'!F:F,E166,
'YearB-AppDetails Current Date'!E:E,--F166,
'YearB-AppDetails Current Date'!U:U,{"CCAN","DECL"},
'YearB-AppDetails Current Date'!I:I,"SPRING"))), "")</f>
        <v/>
      </c>
      <c r="N166" s="74" t="str" cm="1">
        <f t="array" ref="N166">IFERROR(1/(1/SUM(COUNTIFS(
'YearB-AppDetails Current Date'!A:A,D166,
'YearB-AppDetails Current Date'!F:F,E166,
'YearB-AppDetails Current Date'!E:E,--F166,
'YearB-AppDetails Current Date'!V:V,{"APRO","NODE"},
'YearB-AppDetails Current Date'!I:I,"SPRING"))), "")</f>
        <v/>
      </c>
      <c r="O166" s="74" t="str" cm="1">
        <f t="array" ref="O166">IFERROR(1/(1/SUM(COUNTIFS(
'YearB-AppDetails Current Date'!A:A,D166,
'YearB-AppDetails Current Date'!F:F,E166,
'YearB-AppDetails Current Date'!E:E,--F166,
'YearB-AppDetails Current Date'!T:T,{"CDMT","RQMT","WAIT"},
'YearB-AppDetails Current Date'!I:I,"SPRING"))), "")</f>
        <v/>
      </c>
      <c r="P166" s="74" t="str">
        <f>IFERROR(1/(1/COUNTIFS(
'YearB-AppDetails Current Date'!A:A,D166,
'YearB-AppDetails Current Date'!F:F,E166,
'YearB-AppDetails Current Date'!E:E,--F166,
'YearB-AppDetails Current Date'!Y:Y,"ENRO",
'YearB-AppDetails Current Date'!I:I,"SPRING")), "")</f>
        <v/>
      </c>
      <c r="Q166" s="3" t="str">
        <f t="shared" si="12"/>
        <v/>
      </c>
    </row>
    <row r="167" spans="1:17" ht="15.75" customHeight="1" x14ac:dyDescent="0.25">
      <c r="A167" s="119"/>
      <c r="B167" s="122"/>
      <c r="C167" s="125"/>
      <c r="D167" s="23" t="s">
        <v>111</v>
      </c>
      <c r="E167" s="2" t="s">
        <v>43</v>
      </c>
      <c r="F167" s="31">
        <v>1</v>
      </c>
      <c r="G167" s="140"/>
      <c r="H167" s="73" t="str">
        <f>IFERROR(1/(1/
SUM(
N(VLOOKUP(D167&amp;F167,'Budgeted Projections Intl HC'!D:T,16,FALSE)),
N(VLOOKUP(D167&amp;F167,'Budgeted Projections Intl HC'!D:T,17,FALSE))
)
),"")</f>
        <v/>
      </c>
      <c r="I167" s="73" t="str">
        <f>IFERROR(1/(1/COUNTIFS(
'YearB-AppDetails Current Date'!A:A,D167,
'YearB-AppDetails Current Date'!F:F,E167,
'YearB-AppDetails Current Date'!E:E,--F167,
'YearB-AppDetails Current Date'!I:I,"SPRING")), "")</f>
        <v/>
      </c>
      <c r="J167" s="74" t="str" cm="1">
        <f t="array" ref="J167">IFERROR(1/(1/SUM(COUNTIFS(
'YearB-AppDetails Current Date'!A:A,D167,
'YearB-AppDetails Current Date'!F:F,E167,
'YearB-AppDetails Current Date'!E:E,--F167,
'YearB-AppDetails Current Date'!O:O,{"ACLN","ACPT","COND"},
'YearB-AppDetails Current Date'!S:S,"&lt;&gt;ACLN",
'YearB-AppDetails Current Date'!S:S,"&lt;&gt;ACPT",
'YearB-AppDetails Current Date'!S:S,"&lt;&gt;COND",
'YearB-AppDetails Current Date'!I:I,"SPRING"))), "")</f>
        <v/>
      </c>
      <c r="K167" s="73" t="str">
        <f>IFERROR(1/(1/SUM(COUNTIFS(
'YearB-AppDetails Current Date'!A:A,D167,
'YearB-AppDetails Current Date'!F:F,E167,
'YearB-AppDetails Current Date'!E:E,--F167,
'YearB-AppDetails Current Date'!R:R,"&lt;&gt;"&amp;"",
'YearB-AppDetails Current Date'!I:I,"SPRING"))), "")</f>
        <v/>
      </c>
      <c r="L167" s="74" t="str" cm="1">
        <f t="array" ref="L167">IFERROR(1/(1/SUM(COUNTIFS(
'YearB-AppDetails Current Date'!A:A,D167,
'YearB-AppDetails Current Date'!F:F,E167,
'YearB-AppDetails Current Date'!E:E,--F167,
'YearB-AppDetails Current Date'!T:T,{"APEX","DENY","NTSL"},
'YearB-AppDetails Current Date'!I:I,"SPRING"))), "")</f>
        <v/>
      </c>
      <c r="M167" s="74" t="str" cm="1">
        <f t="array" ref="M167">IFERROR(1/(1/SUM(COUNTIFS(
'YearB-AppDetails Current Date'!A:A,D167,
'YearB-AppDetails Current Date'!F:F,E167,
'YearB-AppDetails Current Date'!E:E,--F167,
'YearB-AppDetails Current Date'!U:U,{"CCAN","DECL"},
'YearB-AppDetails Current Date'!I:I,"SPRING"))), "")</f>
        <v/>
      </c>
      <c r="N167" s="74" t="str" cm="1">
        <f t="array" ref="N167">IFERROR(1/(1/SUM(COUNTIFS(
'YearB-AppDetails Current Date'!A:A,D167,
'YearB-AppDetails Current Date'!F:F,E167,
'YearB-AppDetails Current Date'!E:E,--F167,
'YearB-AppDetails Current Date'!V:V,{"APRO","NODE"},
'YearB-AppDetails Current Date'!I:I,"SPRING"))), "")</f>
        <v/>
      </c>
      <c r="O167" s="74" t="str" cm="1">
        <f t="array" ref="O167">IFERROR(1/(1/SUM(COUNTIFS(
'YearB-AppDetails Current Date'!A:A,D167,
'YearB-AppDetails Current Date'!F:F,E167,
'YearB-AppDetails Current Date'!E:E,--F167,
'YearB-AppDetails Current Date'!T:T,{"CDMT","RQMT","WAIT"},
'YearB-AppDetails Current Date'!I:I,"SPRING"))), "")</f>
        <v/>
      </c>
      <c r="P167" s="74" t="str">
        <f>IFERROR(1/(1/COUNTIFS(
'YearB-AppDetails Current Date'!A:A,D167,
'YearB-AppDetails Current Date'!F:F,E167,
'YearB-AppDetails Current Date'!E:E,--F167,
'YearB-AppDetails Current Date'!Y:Y,"ENRO",
'YearB-AppDetails Current Date'!I:I,"SPRING")), "")</f>
        <v/>
      </c>
      <c r="Q167" s="3" t="str">
        <f t="shared" si="12"/>
        <v/>
      </c>
    </row>
    <row r="168" spans="1:17" ht="15.75" customHeight="1" x14ac:dyDescent="0.25">
      <c r="A168" s="119"/>
      <c r="B168" s="122"/>
      <c r="C168" s="124" t="s">
        <v>112</v>
      </c>
      <c r="D168" s="23" t="s">
        <v>113</v>
      </c>
      <c r="E168" s="2" t="s">
        <v>42</v>
      </c>
      <c r="F168" s="31">
        <v>1</v>
      </c>
      <c r="G168" s="139" t="s">
        <v>48</v>
      </c>
      <c r="H168" s="73" t="str">
        <f>IFERROR(1/(1/
SUM(
N(VLOOKUP(D168&amp;F168,'Budgeted Projections Dom HC'!D:T,16,FALSE)),
N(VLOOKUP(D168&amp;F168,'Budgeted Projections Dom HC'!D:T,17,FALSE))
)
),"")</f>
        <v/>
      </c>
      <c r="I168" s="73" t="str">
        <f>IFERROR(1/(1/COUNTIFS(
'YearB-AppDetails Current Date'!A:A,D168,
'YearB-AppDetails Current Date'!F:F,E168,
'YearB-AppDetails Current Date'!E:E,--F168,
'YearB-AppDetails Current Date'!I:I,"SPRING")), "")</f>
        <v/>
      </c>
      <c r="J168" s="74" t="str" cm="1">
        <f t="array" ref="J168">IFERROR(1/(1/SUM(COUNTIFS(
'YearB-AppDetails Current Date'!A:A,D168,
'YearB-AppDetails Current Date'!F:F,E168,
'YearB-AppDetails Current Date'!E:E,--F168,
'YearB-AppDetails Current Date'!O:O,{"ACLN","ACPT","COND"},
'YearB-AppDetails Current Date'!S:S,"&lt;&gt;ACLN",
'YearB-AppDetails Current Date'!S:S,"&lt;&gt;ACPT",
'YearB-AppDetails Current Date'!S:S,"&lt;&gt;COND",
'YearB-AppDetails Current Date'!I:I,"SPRING"))), "")</f>
        <v/>
      </c>
      <c r="K168" s="73" t="str">
        <f>IFERROR(1/(1/SUM(COUNTIFS(
'YearB-AppDetails Current Date'!A:A,D168,
'YearB-AppDetails Current Date'!F:F,E168,
'YearB-AppDetails Current Date'!E:E,--F168,
'YearB-AppDetails Current Date'!R:R,"&lt;&gt;"&amp;"",
'YearB-AppDetails Current Date'!I:I,"SPRING"))), "")</f>
        <v/>
      </c>
      <c r="L168" s="74" t="str" cm="1">
        <f t="array" ref="L168">IFERROR(1/(1/SUM(COUNTIFS(
'YearB-AppDetails Current Date'!A:A,D168,
'YearB-AppDetails Current Date'!F:F,E168,
'YearB-AppDetails Current Date'!E:E,--F168,
'YearB-AppDetails Current Date'!T:T,{"APEX","DENY","NTSL"},
'YearB-AppDetails Current Date'!I:I,"SPRING"))), "")</f>
        <v/>
      </c>
      <c r="M168" s="74" t="str" cm="1">
        <f t="array" ref="M168">IFERROR(1/(1/SUM(COUNTIFS(
'YearB-AppDetails Current Date'!A:A,D168,
'YearB-AppDetails Current Date'!F:F,E168,
'YearB-AppDetails Current Date'!E:E,--F168,
'YearB-AppDetails Current Date'!U:U,{"CCAN","DECL"},
'YearB-AppDetails Current Date'!I:I,"SPRING"))), "")</f>
        <v/>
      </c>
      <c r="N168" s="74" t="str" cm="1">
        <f t="array" ref="N168">IFERROR(1/(1/SUM(COUNTIFS(
'YearB-AppDetails Current Date'!A:A,D168,
'YearB-AppDetails Current Date'!F:F,E168,
'YearB-AppDetails Current Date'!E:E,--F168,
'YearB-AppDetails Current Date'!V:V,{"APRO","NODE"},
'YearB-AppDetails Current Date'!I:I,"SPRING"))), "")</f>
        <v/>
      </c>
      <c r="O168" s="74" t="str" cm="1">
        <f t="array" ref="O168">IFERROR(1/(1/SUM(COUNTIFS(
'YearB-AppDetails Current Date'!A:A,D168,
'YearB-AppDetails Current Date'!F:F,E168,
'YearB-AppDetails Current Date'!E:E,--F168,
'YearB-AppDetails Current Date'!T:T,{"CDMT","RQMT","WAIT"},
'YearB-AppDetails Current Date'!I:I,"SPRING"))), "")</f>
        <v/>
      </c>
      <c r="P168" s="74" t="str">
        <f>IFERROR(1/(1/COUNTIFS(
'YearB-AppDetails Current Date'!A:A,D168,
'YearB-AppDetails Current Date'!F:F,E168,
'YearB-AppDetails Current Date'!E:E,--F168,
'YearB-AppDetails Current Date'!Y:Y,"ENRO",
'YearB-AppDetails Current Date'!I:I,"SPRING")), "")</f>
        <v/>
      </c>
      <c r="Q168" s="3" t="str">
        <f t="shared" si="12"/>
        <v/>
      </c>
    </row>
    <row r="169" spans="1:17" ht="15.75" customHeight="1" x14ac:dyDescent="0.25">
      <c r="A169" s="119"/>
      <c r="B169" s="122"/>
      <c r="C169" s="138"/>
      <c r="D169" s="23" t="s">
        <v>113</v>
      </c>
      <c r="E169" s="2" t="s">
        <v>43</v>
      </c>
      <c r="F169" s="31">
        <v>1</v>
      </c>
      <c r="G169" s="140"/>
      <c r="H169" s="73" t="str">
        <f>IFERROR(1/(1/
SUM(
N(VLOOKUP(D169&amp;F169,'Budgeted Projections Intl HC'!D:T,16,FALSE)),
N(VLOOKUP(D169&amp;F169,'Budgeted Projections Intl HC'!D:T,17,FALSE))
)
),"")</f>
        <v/>
      </c>
      <c r="I169" s="73" t="str">
        <f>IFERROR(1/(1/COUNTIFS(
'YearB-AppDetails Current Date'!A:A,D169,
'YearB-AppDetails Current Date'!F:F,E169,
'YearB-AppDetails Current Date'!E:E,--F169,
'YearB-AppDetails Current Date'!I:I,"SPRING")), "")</f>
        <v/>
      </c>
      <c r="J169" s="74" t="str" cm="1">
        <f t="array" ref="J169">IFERROR(1/(1/SUM(COUNTIFS(
'YearB-AppDetails Current Date'!A:A,D169,
'YearB-AppDetails Current Date'!F:F,E169,
'YearB-AppDetails Current Date'!E:E,--F169,
'YearB-AppDetails Current Date'!O:O,{"ACLN","ACPT","COND"},
'YearB-AppDetails Current Date'!S:S,"&lt;&gt;ACLN",
'YearB-AppDetails Current Date'!S:S,"&lt;&gt;ACPT",
'YearB-AppDetails Current Date'!S:S,"&lt;&gt;COND",
'YearB-AppDetails Current Date'!I:I,"SPRING"))), "")</f>
        <v/>
      </c>
      <c r="K169" s="73" t="str">
        <f>IFERROR(1/(1/SUM(COUNTIFS(
'YearB-AppDetails Current Date'!A:A,D169,
'YearB-AppDetails Current Date'!F:F,E169,
'YearB-AppDetails Current Date'!E:E,--F169,
'YearB-AppDetails Current Date'!R:R,"&lt;&gt;"&amp;"",
'YearB-AppDetails Current Date'!I:I,"SPRING"))), "")</f>
        <v/>
      </c>
      <c r="L169" s="74" t="str" cm="1">
        <f t="array" ref="L169">IFERROR(1/(1/SUM(COUNTIFS(
'YearB-AppDetails Current Date'!A:A,D169,
'YearB-AppDetails Current Date'!F:F,E169,
'YearB-AppDetails Current Date'!E:E,--F169,
'YearB-AppDetails Current Date'!T:T,{"APEX","DENY","NTSL"},
'YearB-AppDetails Current Date'!I:I,"SPRING"))), "")</f>
        <v/>
      </c>
      <c r="M169" s="74" t="str" cm="1">
        <f t="array" ref="M169">IFERROR(1/(1/SUM(COUNTIFS(
'YearB-AppDetails Current Date'!A:A,D169,
'YearB-AppDetails Current Date'!F:F,E169,
'YearB-AppDetails Current Date'!E:E,--F169,
'YearB-AppDetails Current Date'!U:U,{"CCAN","DECL"},
'YearB-AppDetails Current Date'!I:I,"SPRING"))), "")</f>
        <v/>
      </c>
      <c r="N169" s="74" t="str" cm="1">
        <f t="array" ref="N169">IFERROR(1/(1/SUM(COUNTIFS(
'YearB-AppDetails Current Date'!A:A,D169,
'YearB-AppDetails Current Date'!F:F,E169,
'YearB-AppDetails Current Date'!E:E,--F169,
'YearB-AppDetails Current Date'!V:V,{"APRO","NODE"},
'YearB-AppDetails Current Date'!I:I,"SPRING"))), "")</f>
        <v/>
      </c>
      <c r="O169" s="74" t="str" cm="1">
        <f t="array" ref="O169">IFERROR(1/(1/SUM(COUNTIFS(
'YearB-AppDetails Current Date'!A:A,D169,
'YearB-AppDetails Current Date'!F:F,E169,
'YearB-AppDetails Current Date'!E:E,--F169,
'YearB-AppDetails Current Date'!T:T,{"CDMT","RQMT","WAIT"},
'YearB-AppDetails Current Date'!I:I,"SPRING"))), "")</f>
        <v/>
      </c>
      <c r="P169" s="74" t="str">
        <f>IFERROR(1/(1/COUNTIFS(
'YearB-AppDetails Current Date'!A:A,D169,
'YearB-AppDetails Current Date'!F:F,E169,
'YearB-AppDetails Current Date'!E:E,--F169,
'YearB-AppDetails Current Date'!Y:Y,"ENRO",
'YearB-AppDetails Current Date'!I:I,"SPRING")), "")</f>
        <v/>
      </c>
      <c r="Q169" s="3" t="str">
        <f t="shared" si="12"/>
        <v/>
      </c>
    </row>
    <row r="170" spans="1:17" ht="15.75" customHeight="1" x14ac:dyDescent="0.25">
      <c r="A170" s="119"/>
      <c r="B170" s="122"/>
      <c r="C170" s="138"/>
      <c r="D170" s="23" t="s">
        <v>113</v>
      </c>
      <c r="E170" s="2" t="s">
        <v>42</v>
      </c>
      <c r="F170" s="31">
        <v>2</v>
      </c>
      <c r="G170" s="139" t="s">
        <v>48</v>
      </c>
      <c r="H170" s="73" t="str">
        <f>IFERROR(1/(1/
SUM(
N(VLOOKUP(D170&amp;F170,'Budgeted Projections Dom HC'!D:T,16,FALSE)),
N(VLOOKUP(D170&amp;F170,'Budgeted Projections Dom HC'!D:T,17,FALSE))
)
),"")</f>
        <v/>
      </c>
      <c r="I170" s="73" t="str">
        <f>IFERROR(1/(1/COUNTIFS(
'YearB-AppDetails Current Date'!A:A,D170,
'YearB-AppDetails Current Date'!F:F,E170,
'YearB-AppDetails Current Date'!E:E,--F170,
'YearB-AppDetails Current Date'!I:I,"SPRING")), "")</f>
        <v/>
      </c>
      <c r="J170" s="74" t="str" cm="1">
        <f t="array" ref="J170">IFERROR(1/(1/SUM(COUNTIFS(
'YearB-AppDetails Current Date'!A:A,D170,
'YearB-AppDetails Current Date'!F:F,E170,
'YearB-AppDetails Current Date'!E:E,--F170,
'YearB-AppDetails Current Date'!O:O,{"ACLN","ACPT","COND"},
'YearB-AppDetails Current Date'!S:S,"&lt;&gt;ACLN",
'YearB-AppDetails Current Date'!S:S,"&lt;&gt;ACPT",
'YearB-AppDetails Current Date'!S:S,"&lt;&gt;COND",
'YearB-AppDetails Current Date'!I:I,"SPRING"))), "")</f>
        <v/>
      </c>
      <c r="K170" s="73" t="str">
        <f>IFERROR(1/(1/SUM(COUNTIFS(
'YearB-AppDetails Current Date'!A:A,D170,
'YearB-AppDetails Current Date'!F:F,E170,
'YearB-AppDetails Current Date'!E:E,--F170,
'YearB-AppDetails Current Date'!R:R,"&lt;&gt;"&amp;"",
'YearB-AppDetails Current Date'!I:I,"SPRING"))), "")</f>
        <v/>
      </c>
      <c r="L170" s="74" t="str" cm="1">
        <f t="array" ref="L170">IFERROR(1/(1/SUM(COUNTIFS(
'YearB-AppDetails Current Date'!A:A,D170,
'YearB-AppDetails Current Date'!F:F,E170,
'YearB-AppDetails Current Date'!E:E,--F170,
'YearB-AppDetails Current Date'!T:T,{"APEX","DENY","NTSL"},
'YearB-AppDetails Current Date'!I:I,"SPRING"))), "")</f>
        <v/>
      </c>
      <c r="M170" s="74" t="str" cm="1">
        <f t="array" ref="M170">IFERROR(1/(1/SUM(COUNTIFS(
'YearB-AppDetails Current Date'!A:A,D170,
'YearB-AppDetails Current Date'!F:F,E170,
'YearB-AppDetails Current Date'!E:E,--F170,
'YearB-AppDetails Current Date'!U:U,{"CCAN","DECL"},
'YearB-AppDetails Current Date'!I:I,"SPRING"))), "")</f>
        <v/>
      </c>
      <c r="N170" s="74" t="str" cm="1">
        <f t="array" ref="N170">IFERROR(1/(1/SUM(COUNTIFS(
'YearB-AppDetails Current Date'!A:A,D170,
'YearB-AppDetails Current Date'!F:F,E170,
'YearB-AppDetails Current Date'!E:E,--F170,
'YearB-AppDetails Current Date'!V:V,{"APRO","NODE"},
'YearB-AppDetails Current Date'!I:I,"SPRING"))), "")</f>
        <v/>
      </c>
      <c r="O170" s="74" t="str" cm="1">
        <f t="array" ref="O170">IFERROR(1/(1/SUM(COUNTIFS(
'YearB-AppDetails Current Date'!A:A,D170,
'YearB-AppDetails Current Date'!F:F,E170,
'YearB-AppDetails Current Date'!E:E,--F170,
'YearB-AppDetails Current Date'!T:T,{"CDMT","RQMT","WAIT"},
'YearB-AppDetails Current Date'!I:I,"SPRING"))), "")</f>
        <v/>
      </c>
      <c r="P170" s="74" t="str">
        <f>IFERROR(1/(1/COUNTIFS(
'YearB-AppDetails Current Date'!A:A,D170,
'YearB-AppDetails Current Date'!F:F,E170,
'YearB-AppDetails Current Date'!E:E,--F170,
'YearB-AppDetails Current Date'!Y:Y,"ENRO",
'YearB-AppDetails Current Date'!I:I,"SPRING")), "")</f>
        <v/>
      </c>
      <c r="Q170" s="3" t="str">
        <f t="shared" si="12"/>
        <v/>
      </c>
    </row>
    <row r="171" spans="1:17" ht="15.75" customHeight="1" x14ac:dyDescent="0.25">
      <c r="A171" s="119"/>
      <c r="B171" s="122"/>
      <c r="C171" s="125"/>
      <c r="D171" s="23" t="s">
        <v>113</v>
      </c>
      <c r="E171" s="2" t="s">
        <v>43</v>
      </c>
      <c r="F171" s="31">
        <v>2</v>
      </c>
      <c r="G171" s="140"/>
      <c r="H171" s="73" t="str">
        <f>IFERROR(1/(1/
SUM(
N(VLOOKUP(D171&amp;F171,'Budgeted Projections Intl HC'!D:T,16,FALSE)),
N(VLOOKUP(D171&amp;F171,'Budgeted Projections Intl HC'!D:T,17,FALSE))
)
),"")</f>
        <v/>
      </c>
      <c r="I171" s="73" t="str">
        <f>IFERROR(1/(1/COUNTIFS(
'YearB-AppDetails Current Date'!A:A,D171,
'YearB-AppDetails Current Date'!F:F,E171,
'YearB-AppDetails Current Date'!E:E,--F171,
'YearB-AppDetails Current Date'!I:I,"SPRING")), "")</f>
        <v/>
      </c>
      <c r="J171" s="74" t="str" cm="1">
        <f t="array" ref="J171">IFERROR(1/(1/SUM(COUNTIFS(
'YearB-AppDetails Current Date'!A:A,D171,
'YearB-AppDetails Current Date'!F:F,E171,
'YearB-AppDetails Current Date'!E:E,--F171,
'YearB-AppDetails Current Date'!O:O,{"ACLN","ACPT","COND"},
'YearB-AppDetails Current Date'!S:S,"&lt;&gt;ACLN",
'YearB-AppDetails Current Date'!S:S,"&lt;&gt;ACPT",
'YearB-AppDetails Current Date'!S:S,"&lt;&gt;COND",
'YearB-AppDetails Current Date'!I:I,"SPRING"))), "")</f>
        <v/>
      </c>
      <c r="K171" s="73" t="str">
        <f>IFERROR(1/(1/SUM(COUNTIFS(
'YearB-AppDetails Current Date'!A:A,D171,
'YearB-AppDetails Current Date'!F:F,E171,
'YearB-AppDetails Current Date'!E:E,--F171,
'YearB-AppDetails Current Date'!R:R,"&lt;&gt;"&amp;"",
'YearB-AppDetails Current Date'!I:I,"SPRING"))), "")</f>
        <v/>
      </c>
      <c r="L171" s="74" t="str" cm="1">
        <f t="array" ref="L171">IFERROR(1/(1/SUM(COUNTIFS(
'YearB-AppDetails Current Date'!A:A,D171,
'YearB-AppDetails Current Date'!F:F,E171,
'YearB-AppDetails Current Date'!E:E,--F171,
'YearB-AppDetails Current Date'!T:T,{"APEX","DENY","NTSL"},
'YearB-AppDetails Current Date'!I:I,"SPRING"))), "")</f>
        <v/>
      </c>
      <c r="M171" s="74" t="str" cm="1">
        <f t="array" ref="M171">IFERROR(1/(1/SUM(COUNTIFS(
'YearB-AppDetails Current Date'!A:A,D171,
'YearB-AppDetails Current Date'!F:F,E171,
'YearB-AppDetails Current Date'!E:E,--F171,
'YearB-AppDetails Current Date'!U:U,{"CCAN","DECL"},
'YearB-AppDetails Current Date'!I:I,"SPRING"))), "")</f>
        <v/>
      </c>
      <c r="N171" s="74" t="str" cm="1">
        <f t="array" ref="N171">IFERROR(1/(1/SUM(COUNTIFS(
'YearB-AppDetails Current Date'!A:A,D171,
'YearB-AppDetails Current Date'!F:F,E171,
'YearB-AppDetails Current Date'!E:E,--F171,
'YearB-AppDetails Current Date'!V:V,{"APRO","NODE"},
'YearB-AppDetails Current Date'!I:I,"SPRING"))), "")</f>
        <v/>
      </c>
      <c r="O171" s="74" t="str" cm="1">
        <f t="array" ref="O171">IFERROR(1/(1/SUM(COUNTIFS(
'YearB-AppDetails Current Date'!A:A,D171,
'YearB-AppDetails Current Date'!F:F,E171,
'YearB-AppDetails Current Date'!E:E,--F171,
'YearB-AppDetails Current Date'!T:T,{"CDMT","RQMT","WAIT"},
'YearB-AppDetails Current Date'!I:I,"SPRING"))), "")</f>
        <v/>
      </c>
      <c r="P171" s="74" t="str">
        <f>IFERROR(1/(1/COUNTIFS(
'YearB-AppDetails Current Date'!A:A,D171,
'YearB-AppDetails Current Date'!F:F,E171,
'YearB-AppDetails Current Date'!E:E,--F171,
'YearB-AppDetails Current Date'!Y:Y,"ENRO",
'YearB-AppDetails Current Date'!I:I,"SPRING")), "")</f>
        <v/>
      </c>
      <c r="Q171" s="3" t="str">
        <f t="shared" si="12"/>
        <v/>
      </c>
    </row>
    <row r="172" spans="1:17" ht="15.75" customHeight="1" x14ac:dyDescent="0.25">
      <c r="A172" s="119"/>
      <c r="B172" s="122"/>
      <c r="C172" s="124" t="s">
        <v>147</v>
      </c>
      <c r="D172" s="23" t="s">
        <v>146</v>
      </c>
      <c r="E172" s="2" t="s">
        <v>42</v>
      </c>
      <c r="F172" s="31">
        <v>1</v>
      </c>
      <c r="G172" s="139" t="s">
        <v>48</v>
      </c>
      <c r="H172" s="73" t="str">
        <f>IFERROR(1/(1/
SUM(
N(VLOOKUP(D172&amp;F172,'Budgeted Projections Dom HC'!D:T,16,FALSE)),
N(VLOOKUP(D172&amp;F172,'Budgeted Projections Dom HC'!D:T,17,FALSE))
)
),"")</f>
        <v/>
      </c>
      <c r="I172" s="73" t="str">
        <f>IFERROR(1/(1/COUNTIFS(
'YearB-AppDetails Current Date'!A:A,D172,
'YearB-AppDetails Current Date'!F:F,E172,
'YearB-AppDetails Current Date'!E:E,--F172,
'YearB-AppDetails Current Date'!I:I,"SPRING")), "")</f>
        <v/>
      </c>
      <c r="J172" s="74" t="str" cm="1">
        <f t="array" ref="J172">IFERROR(1/(1/SUM(COUNTIFS(
'YearB-AppDetails Current Date'!A:A,D172,
'YearB-AppDetails Current Date'!F:F,E172,
'YearB-AppDetails Current Date'!E:E,--F172,
'YearB-AppDetails Current Date'!O:O,{"ACLN","ACPT","COND"},
'YearB-AppDetails Current Date'!S:S,"&lt;&gt;ACLN",
'YearB-AppDetails Current Date'!S:S,"&lt;&gt;ACPT",
'YearB-AppDetails Current Date'!S:S,"&lt;&gt;COND",
'YearB-AppDetails Current Date'!I:I,"SPRING"))), "")</f>
        <v/>
      </c>
      <c r="K172" s="73" t="str">
        <f>IFERROR(1/(1/SUM(COUNTIFS(
'YearB-AppDetails Current Date'!A:A,D172,
'YearB-AppDetails Current Date'!F:F,E172,
'YearB-AppDetails Current Date'!E:E,--F172,
'YearB-AppDetails Current Date'!R:R,"&lt;&gt;"&amp;"",
'YearB-AppDetails Current Date'!I:I,"SPRING"))), "")</f>
        <v/>
      </c>
      <c r="L172" s="74" t="str" cm="1">
        <f t="array" ref="L172">IFERROR(1/(1/SUM(COUNTIFS(
'YearB-AppDetails Current Date'!A:A,D172,
'YearB-AppDetails Current Date'!F:F,E172,
'YearB-AppDetails Current Date'!E:E,--F172,
'YearB-AppDetails Current Date'!T:T,{"APEX","DENY","NTSL"},
'YearB-AppDetails Current Date'!I:I,"SPRING"))), "")</f>
        <v/>
      </c>
      <c r="M172" s="74" t="str" cm="1">
        <f t="array" ref="M172">IFERROR(1/(1/SUM(COUNTIFS(
'YearB-AppDetails Current Date'!A:A,D172,
'YearB-AppDetails Current Date'!F:F,E172,
'YearB-AppDetails Current Date'!E:E,--F172,
'YearB-AppDetails Current Date'!U:U,{"CCAN","DECL"},
'YearB-AppDetails Current Date'!I:I,"SPRING"))), "")</f>
        <v/>
      </c>
      <c r="N172" s="74" t="str" cm="1">
        <f t="array" ref="N172">IFERROR(1/(1/SUM(COUNTIFS(
'YearB-AppDetails Current Date'!A:A,D172,
'YearB-AppDetails Current Date'!F:F,E172,
'YearB-AppDetails Current Date'!E:E,--F172,
'YearB-AppDetails Current Date'!V:V,{"APRO","NODE"},
'YearB-AppDetails Current Date'!I:I,"SPRING"))), "")</f>
        <v/>
      </c>
      <c r="O172" s="74" t="str" cm="1">
        <f t="array" ref="O172">IFERROR(1/(1/SUM(COUNTIFS(
'YearB-AppDetails Current Date'!A:A,D172,
'YearB-AppDetails Current Date'!F:F,E172,
'YearB-AppDetails Current Date'!E:E,--F172,
'YearB-AppDetails Current Date'!T:T,{"CDMT","RQMT","WAIT"},
'YearB-AppDetails Current Date'!I:I,"SPRING"))), "")</f>
        <v/>
      </c>
      <c r="P172" s="74" t="str">
        <f>IFERROR(1/(1/COUNTIFS(
'YearB-AppDetails Current Date'!A:A,D172,
'YearB-AppDetails Current Date'!F:F,E172,
'YearB-AppDetails Current Date'!E:E,--F172,
'YearB-AppDetails Current Date'!Y:Y,"ENRO",
'YearB-AppDetails Current Date'!I:I,"SPRING")), "")</f>
        <v/>
      </c>
      <c r="Q172" s="3" t="str">
        <f t="shared" si="12"/>
        <v/>
      </c>
    </row>
    <row r="173" spans="1:17" ht="15.75" customHeight="1" x14ac:dyDescent="0.25">
      <c r="A173" s="119"/>
      <c r="B173" s="122"/>
      <c r="C173" s="125"/>
      <c r="D173" s="23" t="s">
        <v>146</v>
      </c>
      <c r="E173" s="2" t="s">
        <v>43</v>
      </c>
      <c r="F173" s="31">
        <v>1</v>
      </c>
      <c r="G173" s="140"/>
      <c r="H173" s="73" t="str">
        <f>IFERROR(1/(1/
SUM(
N(VLOOKUP(D173&amp;F173,'Budgeted Projections Intl HC'!D:T,16,FALSE)),
N(VLOOKUP(D173&amp;F173,'Budgeted Projections Intl HC'!D:T,17,FALSE))
)
),"")</f>
        <v/>
      </c>
      <c r="I173" s="73" t="str">
        <f>IFERROR(1/(1/COUNTIFS(
'YearB-AppDetails Current Date'!A:A,D173,
'YearB-AppDetails Current Date'!F:F,E173,
'YearB-AppDetails Current Date'!E:E,--F173,
'YearB-AppDetails Current Date'!I:I,"SPRING")), "")</f>
        <v/>
      </c>
      <c r="J173" s="74" t="str" cm="1">
        <f t="array" ref="J173">IFERROR(1/(1/SUM(COUNTIFS(
'YearB-AppDetails Current Date'!A:A,D173,
'YearB-AppDetails Current Date'!F:F,E173,
'YearB-AppDetails Current Date'!E:E,--F173,
'YearB-AppDetails Current Date'!O:O,{"ACLN","ACPT","COND"},
'YearB-AppDetails Current Date'!S:S,"&lt;&gt;ACLN",
'YearB-AppDetails Current Date'!S:S,"&lt;&gt;ACPT",
'YearB-AppDetails Current Date'!S:S,"&lt;&gt;COND",
'YearB-AppDetails Current Date'!I:I,"SPRING"))), "")</f>
        <v/>
      </c>
      <c r="K173" s="73" t="str">
        <f>IFERROR(1/(1/SUM(COUNTIFS(
'YearB-AppDetails Current Date'!A:A,D173,
'YearB-AppDetails Current Date'!F:F,E173,
'YearB-AppDetails Current Date'!E:E,--F173,
'YearB-AppDetails Current Date'!R:R,"&lt;&gt;"&amp;"",
'YearB-AppDetails Current Date'!I:I,"SPRING"))), "")</f>
        <v/>
      </c>
      <c r="L173" s="74" t="str" cm="1">
        <f t="array" ref="L173">IFERROR(1/(1/SUM(COUNTIFS(
'YearB-AppDetails Current Date'!A:A,D173,
'YearB-AppDetails Current Date'!F:F,E173,
'YearB-AppDetails Current Date'!E:E,--F173,
'YearB-AppDetails Current Date'!T:T,{"APEX","DENY","NTSL"},
'YearB-AppDetails Current Date'!I:I,"SPRING"))), "")</f>
        <v/>
      </c>
      <c r="M173" s="74" t="str" cm="1">
        <f t="array" ref="M173">IFERROR(1/(1/SUM(COUNTIFS(
'YearB-AppDetails Current Date'!A:A,D173,
'YearB-AppDetails Current Date'!F:F,E173,
'YearB-AppDetails Current Date'!E:E,--F173,
'YearB-AppDetails Current Date'!U:U,{"CCAN","DECL"},
'YearB-AppDetails Current Date'!I:I,"SPRING"))), "")</f>
        <v/>
      </c>
      <c r="N173" s="74" t="str" cm="1">
        <f t="array" ref="N173">IFERROR(1/(1/SUM(COUNTIFS(
'YearB-AppDetails Current Date'!A:A,D173,
'YearB-AppDetails Current Date'!F:F,E173,
'YearB-AppDetails Current Date'!E:E,--F173,
'YearB-AppDetails Current Date'!V:V,{"APRO","NODE"},
'YearB-AppDetails Current Date'!I:I,"SPRING"))), "")</f>
        <v/>
      </c>
      <c r="O173" s="74" t="str" cm="1">
        <f t="array" ref="O173">IFERROR(1/(1/SUM(COUNTIFS(
'YearB-AppDetails Current Date'!A:A,D173,
'YearB-AppDetails Current Date'!F:F,E173,
'YearB-AppDetails Current Date'!E:E,--F173,
'YearB-AppDetails Current Date'!T:T,{"CDMT","RQMT","WAIT"},
'YearB-AppDetails Current Date'!I:I,"SPRING"))), "")</f>
        <v/>
      </c>
      <c r="P173" s="74" t="str">
        <f>IFERROR(1/(1/COUNTIFS(
'YearB-AppDetails Current Date'!A:A,D173,
'YearB-AppDetails Current Date'!F:F,E173,
'YearB-AppDetails Current Date'!E:E,--F173,
'YearB-AppDetails Current Date'!Y:Y,"ENRO",
'YearB-AppDetails Current Date'!I:I,"SPRING")), "")</f>
        <v/>
      </c>
      <c r="Q173" s="3" t="str">
        <f t="shared" si="12"/>
        <v/>
      </c>
    </row>
    <row r="174" spans="1:17" ht="15.75" customHeight="1" x14ac:dyDescent="0.25">
      <c r="A174" s="119"/>
      <c r="B174" s="122"/>
      <c r="C174" s="124" t="s">
        <v>159</v>
      </c>
      <c r="D174" s="23" t="s">
        <v>213</v>
      </c>
      <c r="E174" s="2" t="s">
        <v>42</v>
      </c>
      <c r="F174" s="31">
        <v>1</v>
      </c>
      <c r="G174" s="139" t="s">
        <v>48</v>
      </c>
      <c r="H174" s="73" t="str">
        <f>IFERROR(1/(1/
SUM(
N(VLOOKUP(D174&amp;F174,'Budgeted Projections Dom HC'!D:T,16,FALSE)),
N(VLOOKUP(D174&amp;F174,'Budgeted Projections Dom HC'!D:T,17,FALSE))
)
),"")</f>
        <v/>
      </c>
      <c r="I174" s="73" t="str">
        <f>IFERROR(1/(1/COUNTIFS(
'YearB-AppDetails Current Date'!A:A,D174,
'YearB-AppDetails Current Date'!F:F,E174,
'YearB-AppDetails Current Date'!E:E,--F174,
'YearB-AppDetails Current Date'!I:I,"SPRING")), "")</f>
        <v/>
      </c>
      <c r="J174" s="74" t="str" cm="1">
        <f t="array" ref="J174">IFERROR(1/(1/SUM(COUNTIFS(
'YearB-AppDetails Current Date'!A:A,D174,
'YearB-AppDetails Current Date'!F:F,E174,
'YearB-AppDetails Current Date'!E:E,--F174,
'YearB-AppDetails Current Date'!O:O,{"ACLN","ACPT","COND"},
'YearB-AppDetails Current Date'!S:S,"&lt;&gt;ACLN",
'YearB-AppDetails Current Date'!S:S,"&lt;&gt;ACPT",
'YearB-AppDetails Current Date'!S:S,"&lt;&gt;COND",
'YearB-AppDetails Current Date'!I:I,"SPRING"))), "")</f>
        <v/>
      </c>
      <c r="K174" s="73" t="str">
        <f>IFERROR(1/(1/SUM(COUNTIFS(
'YearB-AppDetails Current Date'!A:A,D174,
'YearB-AppDetails Current Date'!F:F,E174,
'YearB-AppDetails Current Date'!E:E,--F174,
'YearB-AppDetails Current Date'!R:R,"&lt;&gt;"&amp;"",
'YearB-AppDetails Current Date'!I:I,"SPRING"))), "")</f>
        <v/>
      </c>
      <c r="L174" s="74" t="str" cm="1">
        <f t="array" ref="L174">IFERROR(1/(1/SUM(COUNTIFS(
'YearB-AppDetails Current Date'!A:A,D174,
'YearB-AppDetails Current Date'!F:F,E174,
'YearB-AppDetails Current Date'!E:E,--F174,
'YearB-AppDetails Current Date'!T:T,{"APEX","DENY","NTSL"},
'YearB-AppDetails Current Date'!I:I,"SPRING"))), "")</f>
        <v/>
      </c>
      <c r="M174" s="74" t="str" cm="1">
        <f t="array" ref="M174">IFERROR(1/(1/SUM(COUNTIFS(
'YearB-AppDetails Current Date'!A:A,D174,
'YearB-AppDetails Current Date'!F:F,E174,
'YearB-AppDetails Current Date'!E:E,--F174,
'YearB-AppDetails Current Date'!U:U,{"CCAN","DECL"},
'YearB-AppDetails Current Date'!I:I,"SPRING"))), "")</f>
        <v/>
      </c>
      <c r="N174" s="74" t="str" cm="1">
        <f t="array" ref="N174">IFERROR(1/(1/SUM(COUNTIFS(
'YearB-AppDetails Current Date'!A:A,D174,
'YearB-AppDetails Current Date'!F:F,E174,
'YearB-AppDetails Current Date'!E:E,--F174,
'YearB-AppDetails Current Date'!V:V,{"APRO","NODE"},
'YearB-AppDetails Current Date'!I:I,"SPRING"))), "")</f>
        <v/>
      </c>
      <c r="O174" s="74" t="str" cm="1">
        <f t="array" ref="O174">IFERROR(1/(1/SUM(COUNTIFS(
'YearB-AppDetails Current Date'!A:A,D174,
'YearB-AppDetails Current Date'!F:F,E174,
'YearB-AppDetails Current Date'!E:E,--F174,
'YearB-AppDetails Current Date'!T:T,{"CDMT","RQMT","WAIT"},
'YearB-AppDetails Current Date'!I:I,"SPRING"))), "")</f>
        <v/>
      </c>
      <c r="P174" s="74" t="str">
        <f>IFERROR(1/(1/COUNTIFS(
'YearB-AppDetails Current Date'!A:A,D174,
'YearB-AppDetails Current Date'!F:F,E174,
'YearB-AppDetails Current Date'!E:E,--F174,
'YearB-AppDetails Current Date'!Y:Y,"ENRO",
'YearB-AppDetails Current Date'!I:I,"SPRING")), "")</f>
        <v/>
      </c>
      <c r="Q174" s="3" t="str">
        <f t="shared" si="12"/>
        <v/>
      </c>
    </row>
    <row r="175" spans="1:17" ht="15.75" customHeight="1" x14ac:dyDescent="0.25">
      <c r="A175" s="119"/>
      <c r="B175" s="122"/>
      <c r="C175" s="125"/>
      <c r="D175" s="23" t="s">
        <v>213</v>
      </c>
      <c r="E175" s="2" t="s">
        <v>43</v>
      </c>
      <c r="F175" s="31">
        <v>1</v>
      </c>
      <c r="G175" s="140"/>
      <c r="H175" s="73" t="str">
        <f>IFERROR(1/(1/
SUM(
N(VLOOKUP(D175&amp;F175,'Budgeted Projections Intl HC'!D:T,16,FALSE)),
N(VLOOKUP(D175&amp;F175,'Budgeted Projections Intl HC'!D:T,17,FALSE))
)
),"")</f>
        <v/>
      </c>
      <c r="I175" s="73" t="str">
        <f>IFERROR(1/(1/COUNTIFS(
'YearB-AppDetails Current Date'!A:A,D175,
'YearB-AppDetails Current Date'!F:F,E175,
'YearB-AppDetails Current Date'!E:E,--F175,
'YearB-AppDetails Current Date'!I:I,"SPRING")), "")</f>
        <v/>
      </c>
      <c r="J175" s="74" t="str" cm="1">
        <f t="array" ref="J175">IFERROR(1/(1/SUM(COUNTIFS(
'YearB-AppDetails Current Date'!A:A,D175,
'YearB-AppDetails Current Date'!F:F,E175,
'YearB-AppDetails Current Date'!E:E,--F175,
'YearB-AppDetails Current Date'!O:O,{"ACLN","ACPT","COND"},
'YearB-AppDetails Current Date'!S:S,"&lt;&gt;ACLN",
'YearB-AppDetails Current Date'!S:S,"&lt;&gt;ACPT",
'YearB-AppDetails Current Date'!S:S,"&lt;&gt;COND",
'YearB-AppDetails Current Date'!I:I,"SPRING"))), "")</f>
        <v/>
      </c>
      <c r="K175" s="73" t="str">
        <f>IFERROR(1/(1/SUM(COUNTIFS(
'YearB-AppDetails Current Date'!A:A,D175,
'YearB-AppDetails Current Date'!F:F,E175,
'YearB-AppDetails Current Date'!E:E,--F175,
'YearB-AppDetails Current Date'!R:R,"&lt;&gt;"&amp;"",
'YearB-AppDetails Current Date'!I:I,"SPRING"))), "")</f>
        <v/>
      </c>
      <c r="L175" s="74" t="str" cm="1">
        <f t="array" ref="L175">IFERROR(1/(1/SUM(COUNTIFS(
'YearB-AppDetails Current Date'!A:A,D175,
'YearB-AppDetails Current Date'!F:F,E175,
'YearB-AppDetails Current Date'!E:E,--F175,
'YearB-AppDetails Current Date'!T:T,{"APEX","DENY","NTSL"},
'YearB-AppDetails Current Date'!I:I,"SPRING"))), "")</f>
        <v/>
      </c>
      <c r="M175" s="74" t="str" cm="1">
        <f t="array" ref="M175">IFERROR(1/(1/SUM(COUNTIFS(
'YearB-AppDetails Current Date'!A:A,D175,
'YearB-AppDetails Current Date'!F:F,E175,
'YearB-AppDetails Current Date'!E:E,--F175,
'YearB-AppDetails Current Date'!U:U,{"CCAN","DECL"},
'YearB-AppDetails Current Date'!I:I,"SPRING"))), "")</f>
        <v/>
      </c>
      <c r="N175" s="74" t="str" cm="1">
        <f t="array" ref="N175">IFERROR(1/(1/SUM(COUNTIFS(
'YearB-AppDetails Current Date'!A:A,D175,
'YearB-AppDetails Current Date'!F:F,E175,
'YearB-AppDetails Current Date'!E:E,--F175,
'YearB-AppDetails Current Date'!V:V,{"APRO","NODE"},
'YearB-AppDetails Current Date'!I:I,"SPRING"))), "")</f>
        <v/>
      </c>
      <c r="O175" s="74" t="str" cm="1">
        <f t="array" ref="O175">IFERROR(1/(1/SUM(COUNTIFS(
'YearB-AppDetails Current Date'!A:A,D175,
'YearB-AppDetails Current Date'!F:F,E175,
'YearB-AppDetails Current Date'!E:E,--F175,
'YearB-AppDetails Current Date'!T:T,{"CDMT","RQMT","WAIT"},
'YearB-AppDetails Current Date'!I:I,"SPRING"))), "")</f>
        <v/>
      </c>
      <c r="P175" s="74" t="str">
        <f>IFERROR(1/(1/COUNTIFS(
'YearB-AppDetails Current Date'!A:A,D175,
'YearB-AppDetails Current Date'!F:F,E175,
'YearB-AppDetails Current Date'!E:E,--F175,
'YearB-AppDetails Current Date'!Y:Y,"ENRO",
'YearB-AppDetails Current Date'!I:I,"SPRING")), "")</f>
        <v/>
      </c>
      <c r="Q175" s="3" t="str">
        <f t="shared" si="12"/>
        <v/>
      </c>
    </row>
    <row r="176" spans="1:17" ht="15.75" customHeight="1" x14ac:dyDescent="0.25">
      <c r="A176" s="119"/>
      <c r="B176" s="122"/>
      <c r="C176" s="124" t="s">
        <v>114</v>
      </c>
      <c r="D176" s="23" t="s">
        <v>115</v>
      </c>
      <c r="E176" s="2" t="s">
        <v>42</v>
      </c>
      <c r="F176" s="31">
        <v>1</v>
      </c>
      <c r="G176" s="139" t="s">
        <v>48</v>
      </c>
      <c r="H176" s="73" t="str">
        <f>IFERROR(1/(1/
SUM(
N(VLOOKUP(D176&amp;F176,'Budgeted Projections Dom HC'!D:T,16,FALSE)),
N(VLOOKUP(D176&amp;F176,'Budgeted Projections Dom HC'!D:T,17,FALSE))
)
),"")</f>
        <v/>
      </c>
      <c r="I176" s="73" t="str">
        <f>IFERROR(1/(1/COUNTIFS(
'YearB-AppDetails Current Date'!A:A,D176,
'YearB-AppDetails Current Date'!F:F,E176,
'YearB-AppDetails Current Date'!E:E,--F176,
'YearB-AppDetails Current Date'!I:I,"SPRING")), "")</f>
        <v/>
      </c>
      <c r="J176" s="74" t="str" cm="1">
        <f t="array" ref="J176">IFERROR(1/(1/SUM(COUNTIFS(
'YearB-AppDetails Current Date'!A:A,D176,
'YearB-AppDetails Current Date'!F:F,E176,
'YearB-AppDetails Current Date'!E:E,--F176,
'YearB-AppDetails Current Date'!O:O,{"ACLN","ACPT","COND"},
'YearB-AppDetails Current Date'!S:S,"&lt;&gt;ACLN",
'YearB-AppDetails Current Date'!S:S,"&lt;&gt;ACPT",
'YearB-AppDetails Current Date'!S:S,"&lt;&gt;COND",
'YearB-AppDetails Current Date'!I:I,"SPRING"))), "")</f>
        <v/>
      </c>
      <c r="K176" s="73" t="str">
        <f>IFERROR(1/(1/SUM(COUNTIFS(
'YearB-AppDetails Current Date'!A:A,D176,
'YearB-AppDetails Current Date'!F:F,E176,
'YearB-AppDetails Current Date'!E:E,--F176,
'YearB-AppDetails Current Date'!R:R,"&lt;&gt;"&amp;"",
'YearB-AppDetails Current Date'!I:I,"SPRING"))), "")</f>
        <v/>
      </c>
      <c r="L176" s="74" t="str" cm="1">
        <f t="array" ref="L176">IFERROR(1/(1/SUM(COUNTIFS(
'YearB-AppDetails Current Date'!A:A,D176,
'YearB-AppDetails Current Date'!F:F,E176,
'YearB-AppDetails Current Date'!E:E,--F176,
'YearB-AppDetails Current Date'!T:T,{"APEX","DENY","NTSL"},
'YearB-AppDetails Current Date'!I:I,"SPRING"))), "")</f>
        <v/>
      </c>
      <c r="M176" s="74" t="str" cm="1">
        <f t="array" ref="M176">IFERROR(1/(1/SUM(COUNTIFS(
'YearB-AppDetails Current Date'!A:A,D176,
'YearB-AppDetails Current Date'!F:F,E176,
'YearB-AppDetails Current Date'!E:E,--F176,
'YearB-AppDetails Current Date'!U:U,{"CCAN","DECL"},
'YearB-AppDetails Current Date'!I:I,"SPRING"))), "")</f>
        <v/>
      </c>
      <c r="N176" s="74" t="str" cm="1">
        <f t="array" ref="N176">IFERROR(1/(1/SUM(COUNTIFS(
'YearB-AppDetails Current Date'!A:A,D176,
'YearB-AppDetails Current Date'!F:F,E176,
'YearB-AppDetails Current Date'!E:E,--F176,
'YearB-AppDetails Current Date'!V:V,{"APRO","NODE"},
'YearB-AppDetails Current Date'!I:I,"SPRING"))), "")</f>
        <v/>
      </c>
      <c r="O176" s="74" t="str" cm="1">
        <f t="array" ref="O176">IFERROR(1/(1/SUM(COUNTIFS(
'YearB-AppDetails Current Date'!A:A,D176,
'YearB-AppDetails Current Date'!F:F,E176,
'YearB-AppDetails Current Date'!E:E,--F176,
'YearB-AppDetails Current Date'!T:T,{"CDMT","RQMT","WAIT"},
'YearB-AppDetails Current Date'!I:I,"SPRING"))), "")</f>
        <v/>
      </c>
      <c r="P176" s="74" t="str">
        <f>IFERROR(1/(1/COUNTIFS(
'YearB-AppDetails Current Date'!A:A,D176,
'YearB-AppDetails Current Date'!F:F,E176,
'YearB-AppDetails Current Date'!E:E,--F176,
'YearB-AppDetails Current Date'!Y:Y,"ENRO",
'YearB-AppDetails Current Date'!I:I,"SPRING")), "")</f>
        <v/>
      </c>
      <c r="Q176" s="3" t="str">
        <f t="shared" si="12"/>
        <v/>
      </c>
    </row>
    <row r="177" spans="1:17" ht="15.75" customHeight="1" x14ac:dyDescent="0.25">
      <c r="A177" s="119"/>
      <c r="B177" s="122"/>
      <c r="C177" s="138"/>
      <c r="D177" s="23" t="s">
        <v>115</v>
      </c>
      <c r="E177" s="2" t="s">
        <v>43</v>
      </c>
      <c r="F177" s="31">
        <v>1</v>
      </c>
      <c r="G177" s="140"/>
      <c r="H177" s="73" t="str">
        <f>IFERROR(1/(1/
SUM(
N(VLOOKUP(D177&amp;F177,'Budgeted Projections Intl HC'!D:T,16,FALSE)),
N(VLOOKUP(D177&amp;F177,'Budgeted Projections Intl HC'!D:T,17,FALSE))
)
),"")</f>
        <v/>
      </c>
      <c r="I177" s="73" t="str">
        <f>IFERROR(1/(1/COUNTIFS(
'YearB-AppDetails Current Date'!A:A,D177,
'YearB-AppDetails Current Date'!F:F,E177,
'YearB-AppDetails Current Date'!E:E,--F177,
'YearB-AppDetails Current Date'!I:I,"SPRING")), "")</f>
        <v/>
      </c>
      <c r="J177" s="74" t="str" cm="1">
        <f t="array" ref="J177">IFERROR(1/(1/SUM(COUNTIFS(
'YearB-AppDetails Current Date'!A:A,D177,
'YearB-AppDetails Current Date'!F:F,E177,
'YearB-AppDetails Current Date'!E:E,--F177,
'YearB-AppDetails Current Date'!O:O,{"ACLN","ACPT","COND"},
'YearB-AppDetails Current Date'!S:S,"&lt;&gt;ACLN",
'YearB-AppDetails Current Date'!S:S,"&lt;&gt;ACPT",
'YearB-AppDetails Current Date'!S:S,"&lt;&gt;COND",
'YearB-AppDetails Current Date'!I:I,"SPRING"))), "")</f>
        <v/>
      </c>
      <c r="K177" s="73" t="str">
        <f>IFERROR(1/(1/SUM(COUNTIFS(
'YearB-AppDetails Current Date'!A:A,D177,
'YearB-AppDetails Current Date'!F:F,E177,
'YearB-AppDetails Current Date'!E:E,--F177,
'YearB-AppDetails Current Date'!R:R,"&lt;&gt;"&amp;"",
'YearB-AppDetails Current Date'!I:I,"SPRING"))), "")</f>
        <v/>
      </c>
      <c r="L177" s="74" t="str" cm="1">
        <f t="array" ref="L177">IFERROR(1/(1/SUM(COUNTIFS(
'YearB-AppDetails Current Date'!A:A,D177,
'YearB-AppDetails Current Date'!F:F,E177,
'YearB-AppDetails Current Date'!E:E,--F177,
'YearB-AppDetails Current Date'!T:T,{"APEX","DENY","NTSL"},
'YearB-AppDetails Current Date'!I:I,"SPRING"))), "")</f>
        <v/>
      </c>
      <c r="M177" s="74" t="str" cm="1">
        <f t="array" ref="M177">IFERROR(1/(1/SUM(COUNTIFS(
'YearB-AppDetails Current Date'!A:A,D177,
'YearB-AppDetails Current Date'!F:F,E177,
'YearB-AppDetails Current Date'!E:E,--F177,
'YearB-AppDetails Current Date'!U:U,{"CCAN","DECL"},
'YearB-AppDetails Current Date'!I:I,"SPRING"))), "")</f>
        <v/>
      </c>
      <c r="N177" s="74" t="str" cm="1">
        <f t="array" ref="N177">IFERROR(1/(1/SUM(COUNTIFS(
'YearB-AppDetails Current Date'!A:A,D177,
'YearB-AppDetails Current Date'!F:F,E177,
'YearB-AppDetails Current Date'!E:E,--F177,
'YearB-AppDetails Current Date'!V:V,{"APRO","NODE"},
'YearB-AppDetails Current Date'!I:I,"SPRING"))), "")</f>
        <v/>
      </c>
      <c r="O177" s="74" t="str" cm="1">
        <f t="array" ref="O177">IFERROR(1/(1/SUM(COUNTIFS(
'YearB-AppDetails Current Date'!A:A,D177,
'YearB-AppDetails Current Date'!F:F,E177,
'YearB-AppDetails Current Date'!E:E,--F177,
'YearB-AppDetails Current Date'!T:T,{"CDMT","RQMT","WAIT"},
'YearB-AppDetails Current Date'!I:I,"SPRING"))), "")</f>
        <v/>
      </c>
      <c r="P177" s="74" t="str">
        <f>IFERROR(1/(1/COUNTIFS(
'YearB-AppDetails Current Date'!A:A,D177,
'YearB-AppDetails Current Date'!F:F,E177,
'YearB-AppDetails Current Date'!E:E,--F177,
'YearB-AppDetails Current Date'!Y:Y,"ENRO",
'YearB-AppDetails Current Date'!I:I,"SPRING")), "")</f>
        <v/>
      </c>
      <c r="Q177" s="3" t="str">
        <f t="shared" si="12"/>
        <v/>
      </c>
    </row>
    <row r="178" spans="1:17" ht="15.75" customHeight="1" x14ac:dyDescent="0.25">
      <c r="A178" s="119"/>
      <c r="B178" s="122"/>
      <c r="C178" s="138"/>
      <c r="D178" s="23" t="s">
        <v>115</v>
      </c>
      <c r="E178" s="2" t="s">
        <v>42</v>
      </c>
      <c r="F178" s="31">
        <v>2</v>
      </c>
      <c r="G178" s="139" t="s">
        <v>48</v>
      </c>
      <c r="H178" s="73" t="str">
        <f>IFERROR(1/(1/
SUM(
N(VLOOKUP(D178&amp;F178,'Budgeted Projections Dom HC'!D:T,16,FALSE)),
N(VLOOKUP(D178&amp;F178,'Budgeted Projections Dom HC'!D:T,17,FALSE))
)
),"")</f>
        <v/>
      </c>
      <c r="I178" s="73" t="str">
        <f>IFERROR(1/(1/COUNTIFS(
'YearB-AppDetails Current Date'!A:A,D178,
'YearB-AppDetails Current Date'!F:F,E178,
'YearB-AppDetails Current Date'!E:E,--F178,
'YearB-AppDetails Current Date'!I:I,"SPRING")), "")</f>
        <v/>
      </c>
      <c r="J178" s="74" t="str" cm="1">
        <f t="array" ref="J178">IFERROR(1/(1/SUM(COUNTIFS(
'YearB-AppDetails Current Date'!A:A,D178,
'YearB-AppDetails Current Date'!F:F,E178,
'YearB-AppDetails Current Date'!E:E,--F178,
'YearB-AppDetails Current Date'!O:O,{"ACLN","ACPT","COND"},
'YearB-AppDetails Current Date'!S:S,"&lt;&gt;ACLN",
'YearB-AppDetails Current Date'!S:S,"&lt;&gt;ACPT",
'YearB-AppDetails Current Date'!S:S,"&lt;&gt;COND",
'YearB-AppDetails Current Date'!I:I,"SPRING"))), "")</f>
        <v/>
      </c>
      <c r="K178" s="73" t="str">
        <f>IFERROR(1/(1/SUM(COUNTIFS(
'YearB-AppDetails Current Date'!A:A,D178,
'YearB-AppDetails Current Date'!F:F,E178,
'YearB-AppDetails Current Date'!E:E,--F178,
'YearB-AppDetails Current Date'!R:R,"&lt;&gt;"&amp;"",
'YearB-AppDetails Current Date'!I:I,"SPRING"))), "")</f>
        <v/>
      </c>
      <c r="L178" s="74" t="str" cm="1">
        <f t="array" ref="L178">IFERROR(1/(1/SUM(COUNTIFS(
'YearB-AppDetails Current Date'!A:A,D178,
'YearB-AppDetails Current Date'!F:F,E178,
'YearB-AppDetails Current Date'!E:E,--F178,
'YearB-AppDetails Current Date'!T:T,{"APEX","DENY","NTSL"},
'YearB-AppDetails Current Date'!I:I,"SPRING"))), "")</f>
        <v/>
      </c>
      <c r="M178" s="74" t="str" cm="1">
        <f t="array" ref="M178">IFERROR(1/(1/SUM(COUNTIFS(
'YearB-AppDetails Current Date'!A:A,D178,
'YearB-AppDetails Current Date'!F:F,E178,
'YearB-AppDetails Current Date'!E:E,--F178,
'YearB-AppDetails Current Date'!U:U,{"CCAN","DECL"},
'YearB-AppDetails Current Date'!I:I,"SPRING"))), "")</f>
        <v/>
      </c>
      <c r="N178" s="74" t="str" cm="1">
        <f t="array" ref="N178">IFERROR(1/(1/SUM(COUNTIFS(
'YearB-AppDetails Current Date'!A:A,D178,
'YearB-AppDetails Current Date'!F:F,E178,
'YearB-AppDetails Current Date'!E:E,--F178,
'YearB-AppDetails Current Date'!V:V,{"APRO","NODE"},
'YearB-AppDetails Current Date'!I:I,"SPRING"))), "")</f>
        <v/>
      </c>
      <c r="O178" s="74" t="str" cm="1">
        <f t="array" ref="O178">IFERROR(1/(1/SUM(COUNTIFS(
'YearB-AppDetails Current Date'!A:A,D178,
'YearB-AppDetails Current Date'!F:F,E178,
'YearB-AppDetails Current Date'!E:E,--F178,
'YearB-AppDetails Current Date'!T:T,{"CDMT","RQMT","WAIT"},
'YearB-AppDetails Current Date'!I:I,"SPRING"))), "")</f>
        <v/>
      </c>
      <c r="P178" s="74" t="str">
        <f>IFERROR(1/(1/COUNTIFS(
'YearB-AppDetails Current Date'!A:A,D178,
'YearB-AppDetails Current Date'!F:F,E178,
'YearB-AppDetails Current Date'!E:E,--F178,
'YearB-AppDetails Current Date'!Y:Y,"ENRO",
'YearB-AppDetails Current Date'!I:I,"SPRING")), "")</f>
        <v/>
      </c>
      <c r="Q178" s="3" t="str">
        <f t="shared" si="12"/>
        <v/>
      </c>
    </row>
    <row r="179" spans="1:17" ht="15.75" customHeight="1" x14ac:dyDescent="0.25">
      <c r="A179" s="119"/>
      <c r="B179" s="122"/>
      <c r="C179" s="125"/>
      <c r="D179" s="23" t="s">
        <v>115</v>
      </c>
      <c r="E179" s="2" t="s">
        <v>43</v>
      </c>
      <c r="F179" s="31">
        <v>2</v>
      </c>
      <c r="G179" s="140"/>
      <c r="H179" s="73" t="str">
        <f>IFERROR(1/(1/
SUM(
N(VLOOKUP(D179&amp;F179,'Budgeted Projections Intl HC'!D:T,16,FALSE)),
N(VLOOKUP(D179&amp;F179,'Budgeted Projections Intl HC'!D:T,17,FALSE))
)
),"")</f>
        <v/>
      </c>
      <c r="I179" s="73" t="str">
        <f>IFERROR(1/(1/COUNTIFS(
'YearB-AppDetails Current Date'!A:A,D179,
'YearB-AppDetails Current Date'!F:F,E179,
'YearB-AppDetails Current Date'!E:E,--F179,
'YearB-AppDetails Current Date'!I:I,"SPRING")), "")</f>
        <v/>
      </c>
      <c r="J179" s="74" t="str" cm="1">
        <f t="array" ref="J179">IFERROR(1/(1/SUM(COUNTIFS(
'YearB-AppDetails Current Date'!A:A,D179,
'YearB-AppDetails Current Date'!F:F,E179,
'YearB-AppDetails Current Date'!E:E,--F179,
'YearB-AppDetails Current Date'!O:O,{"ACLN","ACPT","COND"},
'YearB-AppDetails Current Date'!S:S,"&lt;&gt;ACLN",
'YearB-AppDetails Current Date'!S:S,"&lt;&gt;ACPT",
'YearB-AppDetails Current Date'!S:S,"&lt;&gt;COND",
'YearB-AppDetails Current Date'!I:I,"SPRING"))), "")</f>
        <v/>
      </c>
      <c r="K179" s="73" t="str">
        <f>IFERROR(1/(1/SUM(COUNTIFS(
'YearB-AppDetails Current Date'!A:A,D179,
'YearB-AppDetails Current Date'!F:F,E179,
'YearB-AppDetails Current Date'!E:E,--F179,
'YearB-AppDetails Current Date'!R:R,"&lt;&gt;"&amp;"",
'YearB-AppDetails Current Date'!I:I,"SPRING"))), "")</f>
        <v/>
      </c>
      <c r="L179" s="74" t="str" cm="1">
        <f t="array" ref="L179">IFERROR(1/(1/SUM(COUNTIFS(
'YearB-AppDetails Current Date'!A:A,D179,
'YearB-AppDetails Current Date'!F:F,E179,
'YearB-AppDetails Current Date'!E:E,--F179,
'YearB-AppDetails Current Date'!T:T,{"APEX","DENY","NTSL"},
'YearB-AppDetails Current Date'!I:I,"SPRING"))), "")</f>
        <v/>
      </c>
      <c r="M179" s="74" t="str" cm="1">
        <f t="array" ref="M179">IFERROR(1/(1/SUM(COUNTIFS(
'YearB-AppDetails Current Date'!A:A,D179,
'YearB-AppDetails Current Date'!F:F,E179,
'YearB-AppDetails Current Date'!E:E,--F179,
'YearB-AppDetails Current Date'!U:U,{"CCAN","DECL"},
'YearB-AppDetails Current Date'!I:I,"SPRING"))), "")</f>
        <v/>
      </c>
      <c r="N179" s="74" t="str" cm="1">
        <f t="array" ref="N179">IFERROR(1/(1/SUM(COUNTIFS(
'YearB-AppDetails Current Date'!A:A,D179,
'YearB-AppDetails Current Date'!F:F,E179,
'YearB-AppDetails Current Date'!E:E,--F179,
'YearB-AppDetails Current Date'!V:V,{"APRO","NODE"},
'YearB-AppDetails Current Date'!I:I,"SPRING"))), "")</f>
        <v/>
      </c>
      <c r="O179" s="74" t="str" cm="1">
        <f t="array" ref="O179">IFERROR(1/(1/SUM(COUNTIFS(
'YearB-AppDetails Current Date'!A:A,D179,
'YearB-AppDetails Current Date'!F:F,E179,
'YearB-AppDetails Current Date'!E:E,--F179,
'YearB-AppDetails Current Date'!T:T,{"CDMT","RQMT","WAIT"},
'YearB-AppDetails Current Date'!I:I,"SPRING"))), "")</f>
        <v/>
      </c>
      <c r="P179" s="74" t="str">
        <f>IFERROR(1/(1/COUNTIFS(
'YearB-AppDetails Current Date'!A:A,D179,
'YearB-AppDetails Current Date'!F:F,E179,
'YearB-AppDetails Current Date'!E:E,--F179,
'YearB-AppDetails Current Date'!Y:Y,"ENRO",
'YearB-AppDetails Current Date'!I:I,"SPRING")), "")</f>
        <v/>
      </c>
      <c r="Q179" s="3" t="str">
        <f t="shared" si="12"/>
        <v/>
      </c>
    </row>
    <row r="180" spans="1:17" ht="15.75" customHeight="1" x14ac:dyDescent="0.25">
      <c r="A180" s="119"/>
      <c r="B180" s="122"/>
      <c r="C180" s="124" t="s">
        <v>116</v>
      </c>
      <c r="D180" s="23" t="s">
        <v>117</v>
      </c>
      <c r="E180" s="2" t="s">
        <v>42</v>
      </c>
      <c r="F180" s="31">
        <v>1</v>
      </c>
      <c r="G180" s="139" t="s">
        <v>48</v>
      </c>
      <c r="H180" s="73" t="str">
        <f>IFERROR(1/(1/
SUM(
N(VLOOKUP(D180&amp;F180,'Budgeted Projections Dom HC'!D:T,16,FALSE)),
N(VLOOKUP(D180&amp;F180,'Budgeted Projections Dom HC'!D:T,17,FALSE))
)
),"")</f>
        <v/>
      </c>
      <c r="I180" s="73" t="str">
        <f>IFERROR(1/(1/COUNTIFS(
'YearB-AppDetails Current Date'!A:A,D180,
'YearB-AppDetails Current Date'!F:F,E180,
'YearB-AppDetails Current Date'!E:E,--F180,
'YearB-AppDetails Current Date'!I:I,"SPRING")), "")</f>
        <v/>
      </c>
      <c r="J180" s="74" t="str" cm="1">
        <f t="array" ref="J180">IFERROR(1/(1/SUM(COUNTIFS(
'YearB-AppDetails Current Date'!A:A,D180,
'YearB-AppDetails Current Date'!F:F,E180,
'YearB-AppDetails Current Date'!E:E,--F180,
'YearB-AppDetails Current Date'!O:O,{"ACLN","ACPT","COND"},
'YearB-AppDetails Current Date'!S:S,"&lt;&gt;ACLN",
'YearB-AppDetails Current Date'!S:S,"&lt;&gt;ACPT",
'YearB-AppDetails Current Date'!S:S,"&lt;&gt;COND",
'YearB-AppDetails Current Date'!I:I,"SPRING"))), "")</f>
        <v/>
      </c>
      <c r="K180" s="73" t="str">
        <f>IFERROR(1/(1/SUM(COUNTIFS(
'YearB-AppDetails Current Date'!A:A,D180,
'YearB-AppDetails Current Date'!F:F,E180,
'YearB-AppDetails Current Date'!E:E,--F180,
'YearB-AppDetails Current Date'!R:R,"&lt;&gt;"&amp;"",
'YearB-AppDetails Current Date'!I:I,"SPRING"))), "")</f>
        <v/>
      </c>
      <c r="L180" s="74" t="str" cm="1">
        <f t="array" ref="L180">IFERROR(1/(1/SUM(COUNTIFS(
'YearB-AppDetails Current Date'!A:A,D180,
'YearB-AppDetails Current Date'!F:F,E180,
'YearB-AppDetails Current Date'!E:E,--F180,
'YearB-AppDetails Current Date'!T:T,{"APEX","DENY","NTSL"},
'YearB-AppDetails Current Date'!I:I,"SPRING"))), "")</f>
        <v/>
      </c>
      <c r="M180" s="74" t="str" cm="1">
        <f t="array" ref="M180">IFERROR(1/(1/SUM(COUNTIFS(
'YearB-AppDetails Current Date'!A:A,D180,
'YearB-AppDetails Current Date'!F:F,E180,
'YearB-AppDetails Current Date'!E:E,--F180,
'YearB-AppDetails Current Date'!U:U,{"CCAN","DECL"},
'YearB-AppDetails Current Date'!I:I,"SPRING"))), "")</f>
        <v/>
      </c>
      <c r="N180" s="74" t="str" cm="1">
        <f t="array" ref="N180">IFERROR(1/(1/SUM(COUNTIFS(
'YearB-AppDetails Current Date'!A:A,D180,
'YearB-AppDetails Current Date'!F:F,E180,
'YearB-AppDetails Current Date'!E:E,--F180,
'YearB-AppDetails Current Date'!V:V,{"APRO","NODE"},
'YearB-AppDetails Current Date'!I:I,"SPRING"))), "")</f>
        <v/>
      </c>
      <c r="O180" s="74" t="str" cm="1">
        <f t="array" ref="O180">IFERROR(1/(1/SUM(COUNTIFS(
'YearB-AppDetails Current Date'!A:A,D180,
'YearB-AppDetails Current Date'!F:F,E180,
'YearB-AppDetails Current Date'!E:E,--F180,
'YearB-AppDetails Current Date'!T:T,{"CDMT","RQMT","WAIT"},
'YearB-AppDetails Current Date'!I:I,"SPRING"))), "")</f>
        <v/>
      </c>
      <c r="P180" s="74" t="str">
        <f>IFERROR(1/(1/COUNTIFS(
'YearB-AppDetails Current Date'!A:A,D180,
'YearB-AppDetails Current Date'!F:F,E180,
'YearB-AppDetails Current Date'!E:E,--F180,
'YearB-AppDetails Current Date'!Y:Y,"ENRO",
'YearB-AppDetails Current Date'!I:I,"SPRING")), "")</f>
        <v/>
      </c>
      <c r="Q180" s="3" t="str">
        <f t="shared" si="12"/>
        <v/>
      </c>
    </row>
    <row r="181" spans="1:17" ht="15.75" customHeight="1" x14ac:dyDescent="0.25">
      <c r="A181" s="119"/>
      <c r="B181" s="122"/>
      <c r="C181" s="138"/>
      <c r="D181" s="23" t="s">
        <v>117</v>
      </c>
      <c r="E181" s="2" t="s">
        <v>43</v>
      </c>
      <c r="F181" s="31">
        <v>1</v>
      </c>
      <c r="G181" s="140"/>
      <c r="H181" s="73" t="str">
        <f>IFERROR(1/(1/
SUM(
N(VLOOKUP(D181&amp;F181,'Budgeted Projections Intl HC'!D:T,16,FALSE)),
N(VLOOKUP(D181&amp;F181,'Budgeted Projections Intl HC'!D:T,17,FALSE))
)
),"")</f>
        <v/>
      </c>
      <c r="I181" s="73" t="str">
        <f>IFERROR(1/(1/COUNTIFS(
'YearB-AppDetails Current Date'!A:A,D181,
'YearB-AppDetails Current Date'!F:F,E181,
'YearB-AppDetails Current Date'!E:E,--F181,
'YearB-AppDetails Current Date'!I:I,"SPRING")), "")</f>
        <v/>
      </c>
      <c r="J181" s="74" t="str" cm="1">
        <f t="array" ref="J181">IFERROR(1/(1/SUM(COUNTIFS(
'YearB-AppDetails Current Date'!A:A,D181,
'YearB-AppDetails Current Date'!F:F,E181,
'YearB-AppDetails Current Date'!E:E,--F181,
'YearB-AppDetails Current Date'!O:O,{"ACLN","ACPT","COND"},
'YearB-AppDetails Current Date'!S:S,"&lt;&gt;ACLN",
'YearB-AppDetails Current Date'!S:S,"&lt;&gt;ACPT",
'YearB-AppDetails Current Date'!S:S,"&lt;&gt;COND",
'YearB-AppDetails Current Date'!I:I,"SPRING"))), "")</f>
        <v/>
      </c>
      <c r="K181" s="73" t="str">
        <f>IFERROR(1/(1/SUM(COUNTIFS(
'YearB-AppDetails Current Date'!A:A,D181,
'YearB-AppDetails Current Date'!F:F,E181,
'YearB-AppDetails Current Date'!E:E,--F181,
'YearB-AppDetails Current Date'!R:R,"&lt;&gt;"&amp;"",
'YearB-AppDetails Current Date'!I:I,"SPRING"))), "")</f>
        <v/>
      </c>
      <c r="L181" s="74" t="str" cm="1">
        <f t="array" ref="L181">IFERROR(1/(1/SUM(COUNTIFS(
'YearB-AppDetails Current Date'!A:A,D181,
'YearB-AppDetails Current Date'!F:F,E181,
'YearB-AppDetails Current Date'!E:E,--F181,
'YearB-AppDetails Current Date'!T:T,{"APEX","DENY","NTSL"},
'YearB-AppDetails Current Date'!I:I,"SPRING"))), "")</f>
        <v/>
      </c>
      <c r="M181" s="74" t="str" cm="1">
        <f t="array" ref="M181">IFERROR(1/(1/SUM(COUNTIFS(
'YearB-AppDetails Current Date'!A:A,D181,
'YearB-AppDetails Current Date'!F:F,E181,
'YearB-AppDetails Current Date'!E:E,--F181,
'YearB-AppDetails Current Date'!U:U,{"CCAN","DECL"},
'YearB-AppDetails Current Date'!I:I,"SPRING"))), "")</f>
        <v/>
      </c>
      <c r="N181" s="74" t="str" cm="1">
        <f t="array" ref="N181">IFERROR(1/(1/SUM(COUNTIFS(
'YearB-AppDetails Current Date'!A:A,D181,
'YearB-AppDetails Current Date'!F:F,E181,
'YearB-AppDetails Current Date'!E:E,--F181,
'YearB-AppDetails Current Date'!V:V,{"APRO","NODE"},
'YearB-AppDetails Current Date'!I:I,"SPRING"))), "")</f>
        <v/>
      </c>
      <c r="O181" s="74" t="str" cm="1">
        <f t="array" ref="O181">IFERROR(1/(1/SUM(COUNTIFS(
'YearB-AppDetails Current Date'!A:A,D181,
'YearB-AppDetails Current Date'!F:F,E181,
'YearB-AppDetails Current Date'!E:E,--F181,
'YearB-AppDetails Current Date'!T:T,{"CDMT","RQMT","WAIT"},
'YearB-AppDetails Current Date'!I:I,"SPRING"))), "")</f>
        <v/>
      </c>
      <c r="P181" s="74" t="str">
        <f>IFERROR(1/(1/COUNTIFS(
'YearB-AppDetails Current Date'!A:A,D181,
'YearB-AppDetails Current Date'!F:F,E181,
'YearB-AppDetails Current Date'!E:E,--F181,
'YearB-AppDetails Current Date'!Y:Y,"ENRO",
'YearB-AppDetails Current Date'!I:I,"SPRING")), "")</f>
        <v/>
      </c>
      <c r="Q181" s="3" t="str">
        <f t="shared" si="12"/>
        <v/>
      </c>
    </row>
    <row r="182" spans="1:17" ht="15.75" customHeight="1" x14ac:dyDescent="0.25">
      <c r="A182" s="119"/>
      <c r="B182" s="122"/>
      <c r="C182" s="138"/>
      <c r="D182" s="23" t="s">
        <v>117</v>
      </c>
      <c r="E182" s="2" t="s">
        <v>42</v>
      </c>
      <c r="F182" s="31">
        <v>2</v>
      </c>
      <c r="G182" s="139" t="s">
        <v>48</v>
      </c>
      <c r="H182" s="73" t="str">
        <f>IFERROR(1/(1/
SUM(
N(VLOOKUP(D182&amp;F182,'Budgeted Projections Dom HC'!D:T,16,FALSE)),
N(VLOOKUP(D182&amp;F182,'Budgeted Projections Dom HC'!D:T,17,FALSE))
)
),"")</f>
        <v/>
      </c>
      <c r="I182" s="73" t="str">
        <f>IFERROR(1/(1/COUNTIFS(
'YearB-AppDetails Current Date'!A:A,D182,
'YearB-AppDetails Current Date'!F:F,E182,
'YearB-AppDetails Current Date'!E:E,--F182,
'YearB-AppDetails Current Date'!I:I,"SPRING")), "")</f>
        <v/>
      </c>
      <c r="J182" s="74" t="str" cm="1">
        <f t="array" ref="J182">IFERROR(1/(1/SUM(COUNTIFS(
'YearB-AppDetails Current Date'!A:A,D182,
'YearB-AppDetails Current Date'!F:F,E182,
'YearB-AppDetails Current Date'!E:E,--F182,
'YearB-AppDetails Current Date'!O:O,{"ACLN","ACPT","COND"},
'YearB-AppDetails Current Date'!S:S,"&lt;&gt;ACLN",
'YearB-AppDetails Current Date'!S:S,"&lt;&gt;ACPT",
'YearB-AppDetails Current Date'!S:S,"&lt;&gt;COND",
'YearB-AppDetails Current Date'!I:I,"SPRING"))), "")</f>
        <v/>
      </c>
      <c r="K182" s="73" t="str">
        <f>IFERROR(1/(1/SUM(COUNTIFS(
'YearB-AppDetails Current Date'!A:A,D182,
'YearB-AppDetails Current Date'!F:F,E182,
'YearB-AppDetails Current Date'!E:E,--F182,
'YearB-AppDetails Current Date'!R:R,"&lt;&gt;"&amp;"",
'YearB-AppDetails Current Date'!I:I,"SPRING"))), "")</f>
        <v/>
      </c>
      <c r="L182" s="74" t="str" cm="1">
        <f t="array" ref="L182">IFERROR(1/(1/SUM(COUNTIFS(
'YearB-AppDetails Current Date'!A:A,D182,
'YearB-AppDetails Current Date'!F:F,E182,
'YearB-AppDetails Current Date'!E:E,--F182,
'YearB-AppDetails Current Date'!T:T,{"APEX","DENY","NTSL"},
'YearB-AppDetails Current Date'!I:I,"SPRING"))), "")</f>
        <v/>
      </c>
      <c r="M182" s="74" t="str" cm="1">
        <f t="array" ref="M182">IFERROR(1/(1/SUM(COUNTIFS(
'YearB-AppDetails Current Date'!A:A,D182,
'YearB-AppDetails Current Date'!F:F,E182,
'YearB-AppDetails Current Date'!E:E,--F182,
'YearB-AppDetails Current Date'!U:U,{"CCAN","DECL"},
'YearB-AppDetails Current Date'!I:I,"SPRING"))), "")</f>
        <v/>
      </c>
      <c r="N182" s="74" t="str" cm="1">
        <f t="array" ref="N182">IFERROR(1/(1/SUM(COUNTIFS(
'YearB-AppDetails Current Date'!A:A,D182,
'YearB-AppDetails Current Date'!F:F,E182,
'YearB-AppDetails Current Date'!E:E,--F182,
'YearB-AppDetails Current Date'!V:V,{"APRO","NODE"},
'YearB-AppDetails Current Date'!I:I,"SPRING"))), "")</f>
        <v/>
      </c>
      <c r="O182" s="74" t="str" cm="1">
        <f t="array" ref="O182">IFERROR(1/(1/SUM(COUNTIFS(
'YearB-AppDetails Current Date'!A:A,D182,
'YearB-AppDetails Current Date'!F:F,E182,
'YearB-AppDetails Current Date'!E:E,--F182,
'YearB-AppDetails Current Date'!T:T,{"CDMT","RQMT","WAIT"},
'YearB-AppDetails Current Date'!I:I,"SPRING"))), "")</f>
        <v/>
      </c>
      <c r="P182" s="74" t="str">
        <f>IFERROR(1/(1/COUNTIFS(
'YearB-AppDetails Current Date'!A:A,D182,
'YearB-AppDetails Current Date'!F:F,E182,
'YearB-AppDetails Current Date'!E:E,--F182,
'YearB-AppDetails Current Date'!Y:Y,"ENRO",
'YearB-AppDetails Current Date'!I:I,"SPRING")), "")</f>
        <v/>
      </c>
      <c r="Q182" s="3" t="str">
        <f t="shared" si="12"/>
        <v/>
      </c>
    </row>
    <row r="183" spans="1:17" ht="15.75" customHeight="1" x14ac:dyDescent="0.25">
      <c r="A183" s="119"/>
      <c r="B183" s="122"/>
      <c r="C183" s="125"/>
      <c r="D183" s="23" t="s">
        <v>117</v>
      </c>
      <c r="E183" s="2" t="s">
        <v>43</v>
      </c>
      <c r="F183" s="31">
        <v>2</v>
      </c>
      <c r="G183" s="140"/>
      <c r="H183" s="73" t="str">
        <f>IFERROR(1/(1/
SUM(
N(VLOOKUP(D183&amp;F183,'Budgeted Projections Intl HC'!D:T,16,FALSE)),
N(VLOOKUP(D183&amp;F183,'Budgeted Projections Intl HC'!D:T,17,FALSE))
)
),"")</f>
        <v/>
      </c>
      <c r="I183" s="73" t="str">
        <f>IFERROR(1/(1/COUNTIFS(
'YearB-AppDetails Current Date'!A:A,D183,
'YearB-AppDetails Current Date'!F:F,E183,
'YearB-AppDetails Current Date'!E:E,--F183,
'YearB-AppDetails Current Date'!I:I,"SPRING")), "")</f>
        <v/>
      </c>
      <c r="J183" s="74" t="str" cm="1">
        <f t="array" ref="J183">IFERROR(1/(1/SUM(COUNTIFS(
'YearB-AppDetails Current Date'!A:A,D183,
'YearB-AppDetails Current Date'!F:F,E183,
'YearB-AppDetails Current Date'!E:E,--F183,
'YearB-AppDetails Current Date'!O:O,{"ACLN","ACPT","COND"},
'YearB-AppDetails Current Date'!S:S,"&lt;&gt;ACLN",
'YearB-AppDetails Current Date'!S:S,"&lt;&gt;ACPT",
'YearB-AppDetails Current Date'!S:S,"&lt;&gt;COND",
'YearB-AppDetails Current Date'!I:I,"SPRING"))), "")</f>
        <v/>
      </c>
      <c r="K183" s="73" t="str">
        <f>IFERROR(1/(1/SUM(COUNTIFS(
'YearB-AppDetails Current Date'!A:A,D183,
'YearB-AppDetails Current Date'!F:F,E183,
'YearB-AppDetails Current Date'!E:E,--F183,
'YearB-AppDetails Current Date'!R:R,"&lt;&gt;"&amp;"",
'YearB-AppDetails Current Date'!I:I,"SPRING"))), "")</f>
        <v/>
      </c>
      <c r="L183" s="74" t="str" cm="1">
        <f t="array" ref="L183">IFERROR(1/(1/SUM(COUNTIFS(
'YearB-AppDetails Current Date'!A:A,D183,
'YearB-AppDetails Current Date'!F:F,E183,
'YearB-AppDetails Current Date'!E:E,--F183,
'YearB-AppDetails Current Date'!T:T,{"APEX","DENY","NTSL"},
'YearB-AppDetails Current Date'!I:I,"SPRING"))), "")</f>
        <v/>
      </c>
      <c r="M183" s="74" t="str" cm="1">
        <f t="array" ref="M183">IFERROR(1/(1/SUM(COUNTIFS(
'YearB-AppDetails Current Date'!A:A,D183,
'YearB-AppDetails Current Date'!F:F,E183,
'YearB-AppDetails Current Date'!E:E,--F183,
'YearB-AppDetails Current Date'!U:U,{"CCAN","DECL"},
'YearB-AppDetails Current Date'!I:I,"SPRING"))), "")</f>
        <v/>
      </c>
      <c r="N183" s="74" t="str" cm="1">
        <f t="array" ref="N183">IFERROR(1/(1/SUM(COUNTIFS(
'YearB-AppDetails Current Date'!A:A,D183,
'YearB-AppDetails Current Date'!F:F,E183,
'YearB-AppDetails Current Date'!E:E,--F183,
'YearB-AppDetails Current Date'!V:V,{"APRO","NODE"},
'YearB-AppDetails Current Date'!I:I,"SPRING"))), "")</f>
        <v/>
      </c>
      <c r="O183" s="74" t="str" cm="1">
        <f t="array" ref="O183">IFERROR(1/(1/SUM(COUNTIFS(
'YearB-AppDetails Current Date'!A:A,D183,
'YearB-AppDetails Current Date'!F:F,E183,
'YearB-AppDetails Current Date'!E:E,--F183,
'YearB-AppDetails Current Date'!T:T,{"CDMT","RQMT","WAIT"},
'YearB-AppDetails Current Date'!I:I,"SPRING"))), "")</f>
        <v/>
      </c>
      <c r="P183" s="74" t="str">
        <f>IFERROR(1/(1/COUNTIFS(
'YearB-AppDetails Current Date'!A:A,D183,
'YearB-AppDetails Current Date'!F:F,E183,
'YearB-AppDetails Current Date'!E:E,--F183,
'YearB-AppDetails Current Date'!Y:Y,"ENRO",
'YearB-AppDetails Current Date'!I:I,"SPRING")), "")</f>
        <v/>
      </c>
      <c r="Q183" s="3" t="str">
        <f t="shared" si="12"/>
        <v/>
      </c>
    </row>
    <row r="184" spans="1:17" ht="15.75" customHeight="1" x14ac:dyDescent="0.25">
      <c r="A184" s="119"/>
      <c r="B184" s="122"/>
      <c r="C184" s="124" t="s">
        <v>118</v>
      </c>
      <c r="D184" s="23" t="s">
        <v>119</v>
      </c>
      <c r="E184" s="2" t="s">
        <v>42</v>
      </c>
      <c r="F184" s="31">
        <v>1</v>
      </c>
      <c r="G184" s="139">
        <v>30</v>
      </c>
      <c r="H184" s="73" t="str">
        <f>IFERROR(1/(1/
SUM(
N(VLOOKUP(D184&amp;F184,'Budgeted Projections Dom HC'!D:T,16,FALSE)),
N(VLOOKUP(D184&amp;F184,'Budgeted Projections Dom HC'!D:T,17,FALSE))
)
),"")</f>
        <v/>
      </c>
      <c r="I184" s="73" t="str">
        <f>IFERROR(1/(1/COUNTIFS(
'YearB-AppDetails Current Date'!A:A,D184,
'YearB-AppDetails Current Date'!F:F,E184,
'YearB-AppDetails Current Date'!E:E,--F184,
'YearB-AppDetails Current Date'!I:I,"SPRING")), "")</f>
        <v/>
      </c>
      <c r="J184" s="74" t="str" cm="1">
        <f t="array" ref="J184">IFERROR(1/(1/SUM(COUNTIFS(
'YearB-AppDetails Current Date'!A:A,D184,
'YearB-AppDetails Current Date'!F:F,E184,
'YearB-AppDetails Current Date'!E:E,--F184,
'YearB-AppDetails Current Date'!O:O,{"ACLN","ACPT","COND"},
'YearB-AppDetails Current Date'!S:S,"&lt;&gt;ACLN",
'YearB-AppDetails Current Date'!S:S,"&lt;&gt;ACPT",
'YearB-AppDetails Current Date'!S:S,"&lt;&gt;COND",
'YearB-AppDetails Current Date'!I:I,"SPRING"))), "")</f>
        <v/>
      </c>
      <c r="K184" s="73" t="str">
        <f>IFERROR(1/(1/SUM(COUNTIFS(
'YearB-AppDetails Current Date'!A:A,D184,
'YearB-AppDetails Current Date'!F:F,E184,
'YearB-AppDetails Current Date'!E:E,--F184,
'YearB-AppDetails Current Date'!R:R,"&lt;&gt;"&amp;"",
'YearB-AppDetails Current Date'!I:I,"SPRING"))), "")</f>
        <v/>
      </c>
      <c r="L184" s="74" t="str" cm="1">
        <f t="array" ref="L184">IFERROR(1/(1/SUM(COUNTIFS(
'YearB-AppDetails Current Date'!A:A,D184,
'YearB-AppDetails Current Date'!F:F,E184,
'YearB-AppDetails Current Date'!E:E,--F184,
'YearB-AppDetails Current Date'!T:T,{"APEX","DENY","NTSL"},
'YearB-AppDetails Current Date'!I:I,"SPRING"))), "")</f>
        <v/>
      </c>
      <c r="M184" s="74" t="str" cm="1">
        <f t="array" ref="M184">IFERROR(1/(1/SUM(COUNTIFS(
'YearB-AppDetails Current Date'!A:A,D184,
'YearB-AppDetails Current Date'!F:F,E184,
'YearB-AppDetails Current Date'!E:E,--F184,
'YearB-AppDetails Current Date'!U:U,{"CCAN","DECL"},
'YearB-AppDetails Current Date'!I:I,"SPRING"))), "")</f>
        <v/>
      </c>
      <c r="N184" s="74" t="str" cm="1">
        <f t="array" ref="N184">IFERROR(1/(1/SUM(COUNTIFS(
'YearB-AppDetails Current Date'!A:A,D184,
'YearB-AppDetails Current Date'!F:F,E184,
'YearB-AppDetails Current Date'!E:E,--F184,
'YearB-AppDetails Current Date'!V:V,{"APRO","NODE"},
'YearB-AppDetails Current Date'!I:I,"SPRING"))), "")</f>
        <v/>
      </c>
      <c r="O184" s="74" t="str" cm="1">
        <f t="array" ref="O184">IFERROR(1/(1/SUM(COUNTIFS(
'YearB-AppDetails Current Date'!A:A,D184,
'YearB-AppDetails Current Date'!F:F,E184,
'YearB-AppDetails Current Date'!E:E,--F184,
'YearB-AppDetails Current Date'!T:T,{"CDMT","RQMT","WAIT"},
'YearB-AppDetails Current Date'!I:I,"SPRING"))), "")</f>
        <v/>
      </c>
      <c r="P184" s="74" t="str">
        <f>IFERROR(1/(1/COUNTIFS(
'YearB-AppDetails Current Date'!A:A,D184,
'YearB-AppDetails Current Date'!F:F,E184,
'YearB-AppDetails Current Date'!E:E,--F184,
'YearB-AppDetails Current Date'!Y:Y,"ENRO",
'YearB-AppDetails Current Date'!I:I,"SPRING")), "")</f>
        <v/>
      </c>
      <c r="Q184" s="3" t="str">
        <f t="shared" si="12"/>
        <v/>
      </c>
    </row>
    <row r="185" spans="1:17" ht="15.75" customHeight="1" x14ac:dyDescent="0.25">
      <c r="A185" s="119"/>
      <c r="B185" s="122"/>
      <c r="C185" s="125"/>
      <c r="D185" s="23" t="s">
        <v>119</v>
      </c>
      <c r="E185" s="2" t="s">
        <v>43</v>
      </c>
      <c r="F185" s="31">
        <v>1</v>
      </c>
      <c r="G185" s="140"/>
      <c r="H185" s="73" t="str">
        <f>IFERROR(1/(1/
SUM(
N(VLOOKUP(D185&amp;F185,'Budgeted Projections Intl HC'!D:T,16,FALSE)),
N(VLOOKUP(D185&amp;F185,'Budgeted Projections Intl HC'!D:T,17,FALSE))
)
),"")</f>
        <v/>
      </c>
      <c r="I185" s="73" t="str">
        <f>IFERROR(1/(1/COUNTIFS(
'YearB-AppDetails Current Date'!A:A,D185,
'YearB-AppDetails Current Date'!F:F,E185,
'YearB-AppDetails Current Date'!E:E,--F185,
'YearB-AppDetails Current Date'!I:I,"SPRING")), "")</f>
        <v/>
      </c>
      <c r="J185" s="74" t="str" cm="1">
        <f t="array" ref="J185">IFERROR(1/(1/SUM(COUNTIFS(
'YearB-AppDetails Current Date'!A:A,D185,
'YearB-AppDetails Current Date'!F:F,E185,
'YearB-AppDetails Current Date'!E:E,--F185,
'YearB-AppDetails Current Date'!O:O,{"ACLN","ACPT","COND"},
'YearB-AppDetails Current Date'!S:S,"&lt;&gt;ACLN",
'YearB-AppDetails Current Date'!S:S,"&lt;&gt;ACPT",
'YearB-AppDetails Current Date'!S:S,"&lt;&gt;COND",
'YearB-AppDetails Current Date'!I:I,"SPRING"))), "")</f>
        <v/>
      </c>
      <c r="K185" s="73" t="str">
        <f>IFERROR(1/(1/SUM(COUNTIFS(
'YearB-AppDetails Current Date'!A:A,D185,
'YearB-AppDetails Current Date'!F:F,E185,
'YearB-AppDetails Current Date'!E:E,--F185,
'YearB-AppDetails Current Date'!R:R,"&lt;&gt;"&amp;"",
'YearB-AppDetails Current Date'!I:I,"SPRING"))), "")</f>
        <v/>
      </c>
      <c r="L185" s="74" t="str" cm="1">
        <f t="array" ref="L185">IFERROR(1/(1/SUM(COUNTIFS(
'YearB-AppDetails Current Date'!A:A,D185,
'YearB-AppDetails Current Date'!F:F,E185,
'YearB-AppDetails Current Date'!E:E,--F185,
'YearB-AppDetails Current Date'!T:T,{"APEX","DENY","NTSL"},
'YearB-AppDetails Current Date'!I:I,"SPRING"))), "")</f>
        <v/>
      </c>
      <c r="M185" s="74" t="str" cm="1">
        <f t="array" ref="M185">IFERROR(1/(1/SUM(COUNTIFS(
'YearB-AppDetails Current Date'!A:A,D185,
'YearB-AppDetails Current Date'!F:F,E185,
'YearB-AppDetails Current Date'!E:E,--F185,
'YearB-AppDetails Current Date'!U:U,{"CCAN","DECL"},
'YearB-AppDetails Current Date'!I:I,"SPRING"))), "")</f>
        <v/>
      </c>
      <c r="N185" s="74" t="str" cm="1">
        <f t="array" ref="N185">IFERROR(1/(1/SUM(COUNTIFS(
'YearB-AppDetails Current Date'!A:A,D185,
'YearB-AppDetails Current Date'!F:F,E185,
'YearB-AppDetails Current Date'!E:E,--F185,
'YearB-AppDetails Current Date'!V:V,{"APRO","NODE"},
'YearB-AppDetails Current Date'!I:I,"SPRING"))), "")</f>
        <v/>
      </c>
      <c r="O185" s="74" t="str" cm="1">
        <f t="array" ref="O185">IFERROR(1/(1/SUM(COUNTIFS(
'YearB-AppDetails Current Date'!A:A,D185,
'YearB-AppDetails Current Date'!F:F,E185,
'YearB-AppDetails Current Date'!E:E,--F185,
'YearB-AppDetails Current Date'!T:T,{"CDMT","RQMT","WAIT"},
'YearB-AppDetails Current Date'!I:I,"SPRING"))), "")</f>
        <v/>
      </c>
      <c r="P185" s="74" t="str">
        <f>IFERROR(1/(1/COUNTIFS(
'YearB-AppDetails Current Date'!A:A,D185,
'YearB-AppDetails Current Date'!F:F,E185,
'YearB-AppDetails Current Date'!E:E,--F185,
'YearB-AppDetails Current Date'!Y:Y,"ENRO",
'YearB-AppDetails Current Date'!I:I,"SPRING")), "")</f>
        <v/>
      </c>
      <c r="Q185" s="3" t="str">
        <f t="shared" si="12"/>
        <v/>
      </c>
    </row>
    <row r="186" spans="1:17" ht="15.75" customHeight="1" x14ac:dyDescent="0.25">
      <c r="A186" s="119"/>
      <c r="B186" s="122"/>
      <c r="C186" s="124" t="s">
        <v>120</v>
      </c>
      <c r="D186" s="23" t="s">
        <v>121</v>
      </c>
      <c r="E186" s="2" t="s">
        <v>42</v>
      </c>
      <c r="F186" s="31">
        <v>1</v>
      </c>
      <c r="G186" s="139" t="s">
        <v>48</v>
      </c>
      <c r="H186" s="73" t="str">
        <f>IFERROR(1/(1/
SUM(
N(VLOOKUP(D186&amp;F186,'Budgeted Projections Dom HC'!D:T,16,FALSE)),
N(VLOOKUP(D186&amp;F186,'Budgeted Projections Dom HC'!D:T,17,FALSE))
)
),"")</f>
        <v/>
      </c>
      <c r="I186" s="73" t="str">
        <f>IFERROR(1/(1/COUNTIFS(
'YearB-AppDetails Current Date'!A:A,D186,
'YearB-AppDetails Current Date'!F:F,E186,
'YearB-AppDetails Current Date'!E:E,--F186,
'YearB-AppDetails Current Date'!I:I,"SPRING")), "")</f>
        <v/>
      </c>
      <c r="J186" s="74" t="str" cm="1">
        <f t="array" ref="J186">IFERROR(1/(1/SUM(COUNTIFS(
'YearB-AppDetails Current Date'!A:A,D186,
'YearB-AppDetails Current Date'!F:F,E186,
'YearB-AppDetails Current Date'!E:E,--F186,
'YearB-AppDetails Current Date'!O:O,{"ACLN","ACPT","COND"},
'YearB-AppDetails Current Date'!S:S,"&lt;&gt;ACLN",
'YearB-AppDetails Current Date'!S:S,"&lt;&gt;ACPT",
'YearB-AppDetails Current Date'!S:S,"&lt;&gt;COND",
'YearB-AppDetails Current Date'!I:I,"SPRING"))), "")</f>
        <v/>
      </c>
      <c r="K186" s="73" t="str">
        <f>IFERROR(1/(1/SUM(COUNTIFS(
'YearB-AppDetails Current Date'!A:A,D186,
'YearB-AppDetails Current Date'!F:F,E186,
'YearB-AppDetails Current Date'!E:E,--F186,
'YearB-AppDetails Current Date'!R:R,"&lt;&gt;"&amp;"",
'YearB-AppDetails Current Date'!I:I,"SPRING"))), "")</f>
        <v/>
      </c>
      <c r="L186" s="74" t="str" cm="1">
        <f t="array" ref="L186">IFERROR(1/(1/SUM(COUNTIFS(
'YearB-AppDetails Current Date'!A:A,D186,
'YearB-AppDetails Current Date'!F:F,E186,
'YearB-AppDetails Current Date'!E:E,--F186,
'YearB-AppDetails Current Date'!T:T,{"APEX","DENY","NTSL"},
'YearB-AppDetails Current Date'!I:I,"SPRING"))), "")</f>
        <v/>
      </c>
      <c r="M186" s="74" t="str" cm="1">
        <f t="array" ref="M186">IFERROR(1/(1/SUM(COUNTIFS(
'YearB-AppDetails Current Date'!A:A,D186,
'YearB-AppDetails Current Date'!F:F,E186,
'YearB-AppDetails Current Date'!E:E,--F186,
'YearB-AppDetails Current Date'!U:U,{"CCAN","DECL"},
'YearB-AppDetails Current Date'!I:I,"SPRING"))), "")</f>
        <v/>
      </c>
      <c r="N186" s="74" t="str" cm="1">
        <f t="array" ref="N186">IFERROR(1/(1/SUM(COUNTIFS(
'YearB-AppDetails Current Date'!A:A,D186,
'YearB-AppDetails Current Date'!F:F,E186,
'YearB-AppDetails Current Date'!E:E,--F186,
'YearB-AppDetails Current Date'!V:V,{"APRO","NODE"},
'YearB-AppDetails Current Date'!I:I,"SPRING"))), "")</f>
        <v/>
      </c>
      <c r="O186" s="74" t="str" cm="1">
        <f t="array" ref="O186">IFERROR(1/(1/SUM(COUNTIFS(
'YearB-AppDetails Current Date'!A:A,D186,
'YearB-AppDetails Current Date'!F:F,E186,
'YearB-AppDetails Current Date'!E:E,--F186,
'YearB-AppDetails Current Date'!T:T,{"CDMT","RQMT","WAIT"},
'YearB-AppDetails Current Date'!I:I,"SPRING"))), "")</f>
        <v/>
      </c>
      <c r="P186" s="74" t="str">
        <f>IFERROR(1/(1/COUNTIFS(
'YearB-AppDetails Current Date'!A:A,D186,
'YearB-AppDetails Current Date'!F:F,E186,
'YearB-AppDetails Current Date'!E:E,--F186,
'YearB-AppDetails Current Date'!Y:Y,"ENRO",
'YearB-AppDetails Current Date'!I:I,"SPRING")), "")</f>
        <v/>
      </c>
      <c r="Q186" s="3" t="str">
        <f t="shared" si="12"/>
        <v/>
      </c>
    </row>
    <row r="187" spans="1:17" ht="15.75" customHeight="1" x14ac:dyDescent="0.25">
      <c r="A187" s="119"/>
      <c r="B187" s="122"/>
      <c r="C187" s="138"/>
      <c r="D187" s="23" t="s">
        <v>121</v>
      </c>
      <c r="E187" s="2" t="s">
        <v>43</v>
      </c>
      <c r="F187" s="31">
        <v>1</v>
      </c>
      <c r="G187" s="140"/>
      <c r="H187" s="73" t="str">
        <f>IFERROR(1/(1/
SUM(
N(VLOOKUP(D187&amp;F187,'Budgeted Projections Intl HC'!D:T,16,FALSE)),
N(VLOOKUP(D187&amp;F187,'Budgeted Projections Intl HC'!D:T,17,FALSE))
)
),"")</f>
        <v/>
      </c>
      <c r="I187" s="73" t="str">
        <f>IFERROR(1/(1/COUNTIFS(
'YearB-AppDetails Current Date'!A:A,D187,
'YearB-AppDetails Current Date'!F:F,E187,
'YearB-AppDetails Current Date'!E:E,--F187,
'YearB-AppDetails Current Date'!I:I,"SPRING")), "")</f>
        <v/>
      </c>
      <c r="J187" s="74" t="str" cm="1">
        <f t="array" ref="J187">IFERROR(1/(1/SUM(COUNTIFS(
'YearB-AppDetails Current Date'!A:A,D187,
'YearB-AppDetails Current Date'!F:F,E187,
'YearB-AppDetails Current Date'!E:E,--F187,
'YearB-AppDetails Current Date'!O:O,{"ACLN","ACPT","COND"},
'YearB-AppDetails Current Date'!S:S,"&lt;&gt;ACLN",
'YearB-AppDetails Current Date'!S:S,"&lt;&gt;ACPT",
'YearB-AppDetails Current Date'!S:S,"&lt;&gt;COND",
'YearB-AppDetails Current Date'!I:I,"SPRING"))), "")</f>
        <v/>
      </c>
      <c r="K187" s="73" t="str">
        <f>IFERROR(1/(1/SUM(COUNTIFS(
'YearB-AppDetails Current Date'!A:A,D187,
'YearB-AppDetails Current Date'!F:F,E187,
'YearB-AppDetails Current Date'!E:E,--F187,
'YearB-AppDetails Current Date'!R:R,"&lt;&gt;"&amp;"",
'YearB-AppDetails Current Date'!I:I,"SPRING"))), "")</f>
        <v/>
      </c>
      <c r="L187" s="74" t="str" cm="1">
        <f t="array" ref="L187">IFERROR(1/(1/SUM(COUNTIFS(
'YearB-AppDetails Current Date'!A:A,D187,
'YearB-AppDetails Current Date'!F:F,E187,
'YearB-AppDetails Current Date'!E:E,--F187,
'YearB-AppDetails Current Date'!T:T,{"APEX","DENY","NTSL"},
'YearB-AppDetails Current Date'!I:I,"SPRING"))), "")</f>
        <v/>
      </c>
      <c r="M187" s="74" t="str" cm="1">
        <f t="array" ref="M187">IFERROR(1/(1/SUM(COUNTIFS(
'YearB-AppDetails Current Date'!A:A,D187,
'YearB-AppDetails Current Date'!F:F,E187,
'YearB-AppDetails Current Date'!E:E,--F187,
'YearB-AppDetails Current Date'!U:U,{"CCAN","DECL"},
'YearB-AppDetails Current Date'!I:I,"SPRING"))), "")</f>
        <v/>
      </c>
      <c r="N187" s="74" t="str" cm="1">
        <f t="array" ref="N187">IFERROR(1/(1/SUM(COUNTIFS(
'YearB-AppDetails Current Date'!A:A,D187,
'YearB-AppDetails Current Date'!F:F,E187,
'YearB-AppDetails Current Date'!E:E,--F187,
'YearB-AppDetails Current Date'!V:V,{"APRO","NODE"},
'YearB-AppDetails Current Date'!I:I,"SPRING"))), "")</f>
        <v/>
      </c>
      <c r="O187" s="74" t="str" cm="1">
        <f t="array" ref="O187">IFERROR(1/(1/SUM(COUNTIFS(
'YearB-AppDetails Current Date'!A:A,D187,
'YearB-AppDetails Current Date'!F:F,E187,
'YearB-AppDetails Current Date'!E:E,--F187,
'YearB-AppDetails Current Date'!T:T,{"CDMT","RQMT","WAIT"},
'YearB-AppDetails Current Date'!I:I,"SPRING"))), "")</f>
        <v/>
      </c>
      <c r="P187" s="74" t="str">
        <f>IFERROR(1/(1/COUNTIFS(
'YearB-AppDetails Current Date'!A:A,D187,
'YearB-AppDetails Current Date'!F:F,E187,
'YearB-AppDetails Current Date'!E:E,--F187,
'YearB-AppDetails Current Date'!Y:Y,"ENRO",
'YearB-AppDetails Current Date'!I:I,"SPRING")), "")</f>
        <v/>
      </c>
      <c r="Q187" s="3" t="str">
        <f t="shared" si="12"/>
        <v/>
      </c>
    </row>
    <row r="188" spans="1:17" ht="15.75" customHeight="1" x14ac:dyDescent="0.25">
      <c r="A188" s="119"/>
      <c r="B188" s="122"/>
      <c r="C188" s="138"/>
      <c r="D188" s="23" t="s">
        <v>121</v>
      </c>
      <c r="E188" s="2" t="s">
        <v>42</v>
      </c>
      <c r="F188" s="31">
        <v>2</v>
      </c>
      <c r="G188" s="139" t="s">
        <v>48</v>
      </c>
      <c r="H188" s="73" t="str">
        <f>IFERROR(1/(1/
SUM(
N(VLOOKUP(D188&amp;F188,'Budgeted Projections Dom HC'!D:T,16,FALSE)),
N(VLOOKUP(D188&amp;F188,'Budgeted Projections Dom HC'!D:T,17,FALSE))
)
),"")</f>
        <v/>
      </c>
      <c r="I188" s="73" t="str">
        <f>IFERROR(1/(1/COUNTIFS(
'YearB-AppDetails Current Date'!A:A,D188,
'YearB-AppDetails Current Date'!F:F,E188,
'YearB-AppDetails Current Date'!E:E,--F188,
'YearB-AppDetails Current Date'!I:I,"SPRING")), "")</f>
        <v/>
      </c>
      <c r="J188" s="74" t="str" cm="1">
        <f t="array" ref="J188">IFERROR(1/(1/SUM(COUNTIFS(
'YearB-AppDetails Current Date'!A:A,D188,
'YearB-AppDetails Current Date'!F:F,E188,
'YearB-AppDetails Current Date'!E:E,--F188,
'YearB-AppDetails Current Date'!O:O,{"ACLN","ACPT","COND"},
'YearB-AppDetails Current Date'!S:S,"&lt;&gt;ACLN",
'YearB-AppDetails Current Date'!S:S,"&lt;&gt;ACPT",
'YearB-AppDetails Current Date'!S:S,"&lt;&gt;COND",
'YearB-AppDetails Current Date'!I:I,"SPRING"))), "")</f>
        <v/>
      </c>
      <c r="K188" s="73" t="str">
        <f>IFERROR(1/(1/SUM(COUNTIFS(
'YearB-AppDetails Current Date'!A:A,D188,
'YearB-AppDetails Current Date'!F:F,E188,
'YearB-AppDetails Current Date'!E:E,--F188,
'YearB-AppDetails Current Date'!R:R,"&lt;&gt;"&amp;"",
'YearB-AppDetails Current Date'!I:I,"SPRING"))), "")</f>
        <v/>
      </c>
      <c r="L188" s="74" t="str" cm="1">
        <f t="array" ref="L188">IFERROR(1/(1/SUM(COUNTIFS(
'YearB-AppDetails Current Date'!A:A,D188,
'YearB-AppDetails Current Date'!F:F,E188,
'YearB-AppDetails Current Date'!E:E,--F188,
'YearB-AppDetails Current Date'!T:T,{"APEX","DENY","NTSL"},
'YearB-AppDetails Current Date'!I:I,"SPRING"))), "")</f>
        <v/>
      </c>
      <c r="M188" s="74" t="str" cm="1">
        <f t="array" ref="M188">IFERROR(1/(1/SUM(COUNTIFS(
'YearB-AppDetails Current Date'!A:A,D188,
'YearB-AppDetails Current Date'!F:F,E188,
'YearB-AppDetails Current Date'!E:E,--F188,
'YearB-AppDetails Current Date'!U:U,{"CCAN","DECL"},
'YearB-AppDetails Current Date'!I:I,"SPRING"))), "")</f>
        <v/>
      </c>
      <c r="N188" s="74" t="str" cm="1">
        <f t="array" ref="N188">IFERROR(1/(1/SUM(COUNTIFS(
'YearB-AppDetails Current Date'!A:A,D188,
'YearB-AppDetails Current Date'!F:F,E188,
'YearB-AppDetails Current Date'!E:E,--F188,
'YearB-AppDetails Current Date'!V:V,{"APRO","NODE"},
'YearB-AppDetails Current Date'!I:I,"SPRING"))), "")</f>
        <v/>
      </c>
      <c r="O188" s="74" t="str" cm="1">
        <f t="array" ref="O188">IFERROR(1/(1/SUM(COUNTIFS(
'YearB-AppDetails Current Date'!A:A,D188,
'YearB-AppDetails Current Date'!F:F,E188,
'YearB-AppDetails Current Date'!E:E,--F188,
'YearB-AppDetails Current Date'!T:T,{"CDMT","RQMT","WAIT"},
'YearB-AppDetails Current Date'!I:I,"SPRING"))), "")</f>
        <v/>
      </c>
      <c r="P188" s="74" t="str">
        <f>IFERROR(1/(1/COUNTIFS(
'YearB-AppDetails Current Date'!A:A,D188,
'YearB-AppDetails Current Date'!F:F,E188,
'YearB-AppDetails Current Date'!E:E,--F188,
'YearB-AppDetails Current Date'!Y:Y,"ENRO",
'YearB-AppDetails Current Date'!I:I,"SPRING")), "")</f>
        <v/>
      </c>
      <c r="Q188" s="3" t="str">
        <f t="shared" si="12"/>
        <v/>
      </c>
    </row>
    <row r="189" spans="1:17" ht="15.75" customHeight="1" x14ac:dyDescent="0.25">
      <c r="A189" s="119"/>
      <c r="B189" s="122"/>
      <c r="C189" s="125"/>
      <c r="D189" s="23" t="s">
        <v>121</v>
      </c>
      <c r="E189" s="2" t="s">
        <v>43</v>
      </c>
      <c r="F189" s="31">
        <v>2</v>
      </c>
      <c r="G189" s="140"/>
      <c r="H189" s="73" t="str">
        <f>IFERROR(1/(1/
SUM(
N(VLOOKUP(D189&amp;F189,'Budgeted Projections Intl HC'!D:T,16,FALSE)),
N(VLOOKUP(D189&amp;F189,'Budgeted Projections Intl HC'!D:T,17,FALSE))
)
),"")</f>
        <v/>
      </c>
      <c r="I189" s="73" t="str">
        <f>IFERROR(1/(1/COUNTIFS(
'YearB-AppDetails Current Date'!A:A,D189,
'YearB-AppDetails Current Date'!F:F,E189,
'YearB-AppDetails Current Date'!E:E,--F189,
'YearB-AppDetails Current Date'!I:I,"SPRING")), "")</f>
        <v/>
      </c>
      <c r="J189" s="74" t="str" cm="1">
        <f t="array" ref="J189">IFERROR(1/(1/SUM(COUNTIFS(
'YearB-AppDetails Current Date'!A:A,D189,
'YearB-AppDetails Current Date'!F:F,E189,
'YearB-AppDetails Current Date'!E:E,--F189,
'YearB-AppDetails Current Date'!O:O,{"ACLN","ACPT","COND"},
'YearB-AppDetails Current Date'!S:S,"&lt;&gt;ACLN",
'YearB-AppDetails Current Date'!S:S,"&lt;&gt;ACPT",
'YearB-AppDetails Current Date'!S:S,"&lt;&gt;COND",
'YearB-AppDetails Current Date'!I:I,"SPRING"))), "")</f>
        <v/>
      </c>
      <c r="K189" s="73" t="str">
        <f>IFERROR(1/(1/SUM(COUNTIFS(
'YearB-AppDetails Current Date'!A:A,D189,
'YearB-AppDetails Current Date'!F:F,E189,
'YearB-AppDetails Current Date'!E:E,--F189,
'YearB-AppDetails Current Date'!R:R,"&lt;&gt;"&amp;"",
'YearB-AppDetails Current Date'!I:I,"SPRING"))), "")</f>
        <v/>
      </c>
      <c r="L189" s="74" t="str" cm="1">
        <f t="array" ref="L189">IFERROR(1/(1/SUM(COUNTIFS(
'YearB-AppDetails Current Date'!A:A,D189,
'YearB-AppDetails Current Date'!F:F,E189,
'YearB-AppDetails Current Date'!E:E,--F189,
'YearB-AppDetails Current Date'!T:T,{"APEX","DENY","NTSL"},
'YearB-AppDetails Current Date'!I:I,"SPRING"))), "")</f>
        <v/>
      </c>
      <c r="M189" s="74" t="str" cm="1">
        <f t="array" ref="M189">IFERROR(1/(1/SUM(COUNTIFS(
'YearB-AppDetails Current Date'!A:A,D189,
'YearB-AppDetails Current Date'!F:F,E189,
'YearB-AppDetails Current Date'!E:E,--F189,
'YearB-AppDetails Current Date'!U:U,{"CCAN","DECL"},
'YearB-AppDetails Current Date'!I:I,"SPRING"))), "")</f>
        <v/>
      </c>
      <c r="N189" s="74" t="str" cm="1">
        <f t="array" ref="N189">IFERROR(1/(1/SUM(COUNTIFS(
'YearB-AppDetails Current Date'!A:A,D189,
'YearB-AppDetails Current Date'!F:F,E189,
'YearB-AppDetails Current Date'!E:E,--F189,
'YearB-AppDetails Current Date'!V:V,{"APRO","NODE"},
'YearB-AppDetails Current Date'!I:I,"SPRING"))), "")</f>
        <v/>
      </c>
      <c r="O189" s="74" t="str" cm="1">
        <f t="array" ref="O189">IFERROR(1/(1/SUM(COUNTIFS(
'YearB-AppDetails Current Date'!A:A,D189,
'YearB-AppDetails Current Date'!F:F,E189,
'YearB-AppDetails Current Date'!E:E,--F189,
'YearB-AppDetails Current Date'!T:T,{"CDMT","RQMT","WAIT"},
'YearB-AppDetails Current Date'!I:I,"SPRING"))), "")</f>
        <v/>
      </c>
      <c r="P189" s="74" t="str">
        <f>IFERROR(1/(1/COUNTIFS(
'YearB-AppDetails Current Date'!A:A,D189,
'YearB-AppDetails Current Date'!F:F,E189,
'YearB-AppDetails Current Date'!E:E,--F189,
'YearB-AppDetails Current Date'!Y:Y,"ENRO",
'YearB-AppDetails Current Date'!I:I,"SPRING")), "")</f>
        <v/>
      </c>
      <c r="Q189" s="3" t="str">
        <f t="shared" si="12"/>
        <v/>
      </c>
    </row>
    <row r="190" spans="1:17" ht="15.75" customHeight="1" x14ac:dyDescent="0.25">
      <c r="A190" s="119"/>
      <c r="B190" s="122"/>
      <c r="C190" s="124" t="s">
        <v>122</v>
      </c>
      <c r="D190" s="23" t="s">
        <v>123</v>
      </c>
      <c r="E190" s="2" t="s">
        <v>42</v>
      </c>
      <c r="F190" s="31">
        <v>1</v>
      </c>
      <c r="G190" s="139" t="s">
        <v>48</v>
      </c>
      <c r="H190" s="73" t="str">
        <f>IFERROR(1/(1/
SUM(
N(VLOOKUP(D190&amp;F190,'Budgeted Projections Dom HC'!D:T,16,FALSE)),
N(VLOOKUP(D190&amp;F190,'Budgeted Projections Dom HC'!D:T,17,FALSE))
)
),"")</f>
        <v/>
      </c>
      <c r="I190" s="73" t="str">
        <f>IFERROR(1/(1/COUNTIFS(
'YearB-AppDetails Current Date'!A:A,D190,
'YearB-AppDetails Current Date'!F:F,E190,
'YearB-AppDetails Current Date'!E:E,--F190,
'YearB-AppDetails Current Date'!I:I,"SPRING")), "")</f>
        <v/>
      </c>
      <c r="J190" s="74" t="str" cm="1">
        <f t="array" ref="J190">IFERROR(1/(1/SUM(COUNTIFS(
'YearB-AppDetails Current Date'!A:A,D190,
'YearB-AppDetails Current Date'!F:F,E190,
'YearB-AppDetails Current Date'!E:E,--F190,
'YearB-AppDetails Current Date'!O:O,{"ACLN","ACPT","COND"},
'YearB-AppDetails Current Date'!S:S,"&lt;&gt;ACLN",
'YearB-AppDetails Current Date'!S:S,"&lt;&gt;ACPT",
'YearB-AppDetails Current Date'!S:S,"&lt;&gt;COND",
'YearB-AppDetails Current Date'!I:I,"SPRING"))), "")</f>
        <v/>
      </c>
      <c r="K190" s="73" t="str">
        <f>IFERROR(1/(1/SUM(COUNTIFS(
'YearB-AppDetails Current Date'!A:A,D190,
'YearB-AppDetails Current Date'!F:F,E190,
'YearB-AppDetails Current Date'!E:E,--F190,
'YearB-AppDetails Current Date'!R:R,"&lt;&gt;"&amp;"",
'YearB-AppDetails Current Date'!I:I,"SPRING"))), "")</f>
        <v/>
      </c>
      <c r="L190" s="74" t="str" cm="1">
        <f t="array" ref="L190">IFERROR(1/(1/SUM(COUNTIFS(
'YearB-AppDetails Current Date'!A:A,D190,
'YearB-AppDetails Current Date'!F:F,E190,
'YearB-AppDetails Current Date'!E:E,--F190,
'YearB-AppDetails Current Date'!T:T,{"APEX","DENY","NTSL"},
'YearB-AppDetails Current Date'!I:I,"SPRING"))), "")</f>
        <v/>
      </c>
      <c r="M190" s="74" t="str" cm="1">
        <f t="array" ref="M190">IFERROR(1/(1/SUM(COUNTIFS(
'YearB-AppDetails Current Date'!A:A,D190,
'YearB-AppDetails Current Date'!F:F,E190,
'YearB-AppDetails Current Date'!E:E,--F190,
'YearB-AppDetails Current Date'!U:U,{"CCAN","DECL"},
'YearB-AppDetails Current Date'!I:I,"SPRING"))), "")</f>
        <v/>
      </c>
      <c r="N190" s="74" t="str" cm="1">
        <f t="array" ref="N190">IFERROR(1/(1/SUM(COUNTIFS(
'YearB-AppDetails Current Date'!A:A,D190,
'YearB-AppDetails Current Date'!F:F,E190,
'YearB-AppDetails Current Date'!E:E,--F190,
'YearB-AppDetails Current Date'!V:V,{"APRO","NODE"},
'YearB-AppDetails Current Date'!I:I,"SPRING"))), "")</f>
        <v/>
      </c>
      <c r="O190" s="74" t="str" cm="1">
        <f t="array" ref="O190">IFERROR(1/(1/SUM(COUNTIFS(
'YearB-AppDetails Current Date'!A:A,D190,
'YearB-AppDetails Current Date'!F:F,E190,
'YearB-AppDetails Current Date'!E:E,--F190,
'YearB-AppDetails Current Date'!T:T,{"CDMT","RQMT","WAIT"},
'YearB-AppDetails Current Date'!I:I,"SPRING"))), "")</f>
        <v/>
      </c>
      <c r="P190" s="74" t="str">
        <f>IFERROR(1/(1/COUNTIFS(
'YearB-AppDetails Current Date'!A:A,D190,
'YearB-AppDetails Current Date'!F:F,E190,
'YearB-AppDetails Current Date'!E:E,--F190,
'YearB-AppDetails Current Date'!Y:Y,"ENRO",
'YearB-AppDetails Current Date'!I:I,"SPRING")), "")</f>
        <v/>
      </c>
      <c r="Q190" s="3" t="str">
        <f t="shared" si="12"/>
        <v/>
      </c>
    </row>
    <row r="191" spans="1:17" ht="15.75" customHeight="1" x14ac:dyDescent="0.25">
      <c r="A191" s="119"/>
      <c r="B191" s="122"/>
      <c r="C191" s="138"/>
      <c r="D191" s="23" t="s">
        <v>123</v>
      </c>
      <c r="E191" s="2" t="s">
        <v>43</v>
      </c>
      <c r="F191" s="31">
        <v>1</v>
      </c>
      <c r="G191" s="140"/>
      <c r="H191" s="73" t="str">
        <f>IFERROR(1/(1/
SUM(
N(VLOOKUP(D191&amp;F191,'Budgeted Projections Intl HC'!D:T,16,FALSE)),
N(VLOOKUP(D191&amp;F191,'Budgeted Projections Intl HC'!D:T,17,FALSE))
)
),"")</f>
        <v/>
      </c>
      <c r="I191" s="73" t="str">
        <f>IFERROR(1/(1/COUNTIFS(
'YearB-AppDetails Current Date'!A:A,D191,
'YearB-AppDetails Current Date'!F:F,E191,
'YearB-AppDetails Current Date'!E:E,--F191,
'YearB-AppDetails Current Date'!I:I,"SPRING")), "")</f>
        <v/>
      </c>
      <c r="J191" s="74" t="str" cm="1">
        <f t="array" ref="J191">IFERROR(1/(1/SUM(COUNTIFS(
'YearB-AppDetails Current Date'!A:A,D191,
'YearB-AppDetails Current Date'!F:F,E191,
'YearB-AppDetails Current Date'!E:E,--F191,
'YearB-AppDetails Current Date'!O:O,{"ACLN","ACPT","COND"},
'YearB-AppDetails Current Date'!S:S,"&lt;&gt;ACLN",
'YearB-AppDetails Current Date'!S:S,"&lt;&gt;ACPT",
'YearB-AppDetails Current Date'!S:S,"&lt;&gt;COND",
'YearB-AppDetails Current Date'!I:I,"SPRING"))), "")</f>
        <v/>
      </c>
      <c r="K191" s="73" t="str">
        <f>IFERROR(1/(1/SUM(COUNTIFS(
'YearB-AppDetails Current Date'!A:A,D191,
'YearB-AppDetails Current Date'!F:F,E191,
'YearB-AppDetails Current Date'!E:E,--F191,
'YearB-AppDetails Current Date'!R:R,"&lt;&gt;"&amp;"",
'YearB-AppDetails Current Date'!I:I,"SPRING"))), "")</f>
        <v/>
      </c>
      <c r="L191" s="74" t="str" cm="1">
        <f t="array" ref="L191">IFERROR(1/(1/SUM(COUNTIFS(
'YearB-AppDetails Current Date'!A:A,D191,
'YearB-AppDetails Current Date'!F:F,E191,
'YearB-AppDetails Current Date'!E:E,--F191,
'YearB-AppDetails Current Date'!T:T,{"APEX","DENY","NTSL"},
'YearB-AppDetails Current Date'!I:I,"SPRING"))), "")</f>
        <v/>
      </c>
      <c r="M191" s="74" t="str" cm="1">
        <f t="array" ref="M191">IFERROR(1/(1/SUM(COUNTIFS(
'YearB-AppDetails Current Date'!A:A,D191,
'YearB-AppDetails Current Date'!F:F,E191,
'YearB-AppDetails Current Date'!E:E,--F191,
'YearB-AppDetails Current Date'!U:U,{"CCAN","DECL"},
'YearB-AppDetails Current Date'!I:I,"SPRING"))), "")</f>
        <v/>
      </c>
      <c r="N191" s="74" t="str" cm="1">
        <f t="array" ref="N191">IFERROR(1/(1/SUM(COUNTIFS(
'YearB-AppDetails Current Date'!A:A,D191,
'YearB-AppDetails Current Date'!F:F,E191,
'YearB-AppDetails Current Date'!E:E,--F191,
'YearB-AppDetails Current Date'!V:V,{"APRO","NODE"},
'YearB-AppDetails Current Date'!I:I,"SPRING"))), "")</f>
        <v/>
      </c>
      <c r="O191" s="74" t="str" cm="1">
        <f t="array" ref="O191">IFERROR(1/(1/SUM(COUNTIFS(
'YearB-AppDetails Current Date'!A:A,D191,
'YearB-AppDetails Current Date'!F:F,E191,
'YearB-AppDetails Current Date'!E:E,--F191,
'YearB-AppDetails Current Date'!T:T,{"CDMT","RQMT","WAIT"},
'YearB-AppDetails Current Date'!I:I,"SPRING"))), "")</f>
        <v/>
      </c>
      <c r="P191" s="74" t="str">
        <f>IFERROR(1/(1/COUNTIFS(
'YearB-AppDetails Current Date'!A:A,D191,
'YearB-AppDetails Current Date'!F:F,E191,
'YearB-AppDetails Current Date'!E:E,--F191,
'YearB-AppDetails Current Date'!Y:Y,"ENRO",
'YearB-AppDetails Current Date'!I:I,"SPRING")), "")</f>
        <v/>
      </c>
      <c r="Q191" s="3" t="str">
        <f t="shared" si="12"/>
        <v/>
      </c>
    </row>
    <row r="192" spans="1:17" ht="15.75" customHeight="1" x14ac:dyDescent="0.25">
      <c r="A192" s="119"/>
      <c r="B192" s="122"/>
      <c r="C192" s="138"/>
      <c r="D192" s="23" t="s">
        <v>123</v>
      </c>
      <c r="E192" s="2" t="s">
        <v>42</v>
      </c>
      <c r="F192" s="31">
        <v>2</v>
      </c>
      <c r="G192" s="139" t="s">
        <v>48</v>
      </c>
      <c r="H192" s="73" t="str">
        <f>IFERROR(1/(1/
SUM(
N(VLOOKUP(D192&amp;F192,'Budgeted Projections Dom HC'!D:T,16,FALSE)),
N(VLOOKUP(D192&amp;F192,'Budgeted Projections Dom HC'!D:T,17,FALSE))
)
),"")</f>
        <v/>
      </c>
      <c r="I192" s="73" t="str">
        <f>IFERROR(1/(1/COUNTIFS(
'YearB-AppDetails Current Date'!A:A,D192,
'YearB-AppDetails Current Date'!F:F,E192,
'YearB-AppDetails Current Date'!E:E,--F192,
'YearB-AppDetails Current Date'!I:I,"SPRING")), "")</f>
        <v/>
      </c>
      <c r="J192" s="74" t="str" cm="1">
        <f t="array" ref="J192">IFERROR(1/(1/SUM(COUNTIFS(
'YearB-AppDetails Current Date'!A:A,D192,
'YearB-AppDetails Current Date'!F:F,E192,
'YearB-AppDetails Current Date'!E:E,--F192,
'YearB-AppDetails Current Date'!O:O,{"ACLN","ACPT","COND"},
'YearB-AppDetails Current Date'!S:S,"&lt;&gt;ACLN",
'YearB-AppDetails Current Date'!S:S,"&lt;&gt;ACPT",
'YearB-AppDetails Current Date'!S:S,"&lt;&gt;COND",
'YearB-AppDetails Current Date'!I:I,"SPRING"))), "")</f>
        <v/>
      </c>
      <c r="K192" s="73" t="str">
        <f>IFERROR(1/(1/SUM(COUNTIFS(
'YearB-AppDetails Current Date'!A:A,D192,
'YearB-AppDetails Current Date'!F:F,E192,
'YearB-AppDetails Current Date'!E:E,--F192,
'YearB-AppDetails Current Date'!R:R,"&lt;&gt;"&amp;"",
'YearB-AppDetails Current Date'!I:I,"SPRING"))), "")</f>
        <v/>
      </c>
      <c r="L192" s="74" t="str" cm="1">
        <f t="array" ref="L192">IFERROR(1/(1/SUM(COUNTIFS(
'YearB-AppDetails Current Date'!A:A,D192,
'YearB-AppDetails Current Date'!F:F,E192,
'YearB-AppDetails Current Date'!E:E,--F192,
'YearB-AppDetails Current Date'!T:T,{"APEX","DENY","NTSL"},
'YearB-AppDetails Current Date'!I:I,"SPRING"))), "")</f>
        <v/>
      </c>
      <c r="M192" s="74" t="str" cm="1">
        <f t="array" ref="M192">IFERROR(1/(1/SUM(COUNTIFS(
'YearB-AppDetails Current Date'!A:A,D192,
'YearB-AppDetails Current Date'!F:F,E192,
'YearB-AppDetails Current Date'!E:E,--F192,
'YearB-AppDetails Current Date'!U:U,{"CCAN","DECL"},
'YearB-AppDetails Current Date'!I:I,"SPRING"))), "")</f>
        <v/>
      </c>
      <c r="N192" s="74" t="str" cm="1">
        <f t="array" ref="N192">IFERROR(1/(1/SUM(COUNTIFS(
'YearB-AppDetails Current Date'!A:A,D192,
'YearB-AppDetails Current Date'!F:F,E192,
'YearB-AppDetails Current Date'!E:E,--F192,
'YearB-AppDetails Current Date'!V:V,{"APRO","NODE"},
'YearB-AppDetails Current Date'!I:I,"SPRING"))), "")</f>
        <v/>
      </c>
      <c r="O192" s="74" t="str" cm="1">
        <f t="array" ref="O192">IFERROR(1/(1/SUM(COUNTIFS(
'YearB-AppDetails Current Date'!A:A,D192,
'YearB-AppDetails Current Date'!F:F,E192,
'YearB-AppDetails Current Date'!E:E,--F192,
'YearB-AppDetails Current Date'!T:T,{"CDMT","RQMT","WAIT"},
'YearB-AppDetails Current Date'!I:I,"SPRING"))), "")</f>
        <v/>
      </c>
      <c r="P192" s="74" t="str">
        <f>IFERROR(1/(1/COUNTIFS(
'YearB-AppDetails Current Date'!A:A,D192,
'YearB-AppDetails Current Date'!F:F,E192,
'YearB-AppDetails Current Date'!E:E,--F192,
'YearB-AppDetails Current Date'!Y:Y,"ENRO",
'YearB-AppDetails Current Date'!I:I,"SPRING")), "")</f>
        <v/>
      </c>
      <c r="Q192" s="3" t="str">
        <f t="shared" si="12"/>
        <v/>
      </c>
    </row>
    <row r="193" spans="1:17" ht="15.75" customHeight="1" x14ac:dyDescent="0.25">
      <c r="A193" s="119"/>
      <c r="B193" s="122"/>
      <c r="C193" s="125"/>
      <c r="D193" s="23" t="s">
        <v>123</v>
      </c>
      <c r="E193" s="2" t="s">
        <v>43</v>
      </c>
      <c r="F193" s="31">
        <v>2</v>
      </c>
      <c r="G193" s="140"/>
      <c r="H193" s="73" t="str">
        <f>IFERROR(1/(1/
SUM(
N(VLOOKUP(D193&amp;F193,'Budgeted Projections Intl HC'!D:T,16,FALSE)),
N(VLOOKUP(D193&amp;F193,'Budgeted Projections Intl HC'!D:T,17,FALSE))
)
),"")</f>
        <v/>
      </c>
      <c r="I193" s="73" t="str">
        <f>IFERROR(1/(1/COUNTIFS(
'YearB-AppDetails Current Date'!A:A,D193,
'YearB-AppDetails Current Date'!F:F,E193,
'YearB-AppDetails Current Date'!E:E,--F193,
'YearB-AppDetails Current Date'!I:I,"SPRING")), "")</f>
        <v/>
      </c>
      <c r="J193" s="74" t="str" cm="1">
        <f t="array" ref="J193">IFERROR(1/(1/SUM(COUNTIFS(
'YearB-AppDetails Current Date'!A:A,D193,
'YearB-AppDetails Current Date'!F:F,E193,
'YearB-AppDetails Current Date'!E:E,--F193,
'YearB-AppDetails Current Date'!O:O,{"ACLN","ACPT","COND"},
'YearB-AppDetails Current Date'!S:S,"&lt;&gt;ACLN",
'YearB-AppDetails Current Date'!S:S,"&lt;&gt;ACPT",
'YearB-AppDetails Current Date'!S:S,"&lt;&gt;COND",
'YearB-AppDetails Current Date'!I:I,"SPRING"))), "")</f>
        <v/>
      </c>
      <c r="K193" s="73" t="str">
        <f>IFERROR(1/(1/SUM(COUNTIFS(
'YearB-AppDetails Current Date'!A:A,D193,
'YearB-AppDetails Current Date'!F:F,E193,
'YearB-AppDetails Current Date'!E:E,--F193,
'YearB-AppDetails Current Date'!R:R,"&lt;&gt;"&amp;"",
'YearB-AppDetails Current Date'!I:I,"SPRING"))), "")</f>
        <v/>
      </c>
      <c r="L193" s="74" t="str" cm="1">
        <f t="array" ref="L193">IFERROR(1/(1/SUM(COUNTIFS(
'YearB-AppDetails Current Date'!A:A,D193,
'YearB-AppDetails Current Date'!F:F,E193,
'YearB-AppDetails Current Date'!E:E,--F193,
'YearB-AppDetails Current Date'!T:T,{"APEX","DENY","NTSL"},
'YearB-AppDetails Current Date'!I:I,"SPRING"))), "")</f>
        <v/>
      </c>
      <c r="M193" s="74" t="str" cm="1">
        <f t="array" ref="M193">IFERROR(1/(1/SUM(COUNTIFS(
'YearB-AppDetails Current Date'!A:A,D193,
'YearB-AppDetails Current Date'!F:F,E193,
'YearB-AppDetails Current Date'!E:E,--F193,
'YearB-AppDetails Current Date'!U:U,{"CCAN","DECL"},
'YearB-AppDetails Current Date'!I:I,"SPRING"))), "")</f>
        <v/>
      </c>
      <c r="N193" s="74" t="str" cm="1">
        <f t="array" ref="N193">IFERROR(1/(1/SUM(COUNTIFS(
'YearB-AppDetails Current Date'!A:A,D193,
'YearB-AppDetails Current Date'!F:F,E193,
'YearB-AppDetails Current Date'!E:E,--F193,
'YearB-AppDetails Current Date'!V:V,{"APRO","NODE"},
'YearB-AppDetails Current Date'!I:I,"SPRING"))), "")</f>
        <v/>
      </c>
      <c r="O193" s="74" t="str" cm="1">
        <f t="array" ref="O193">IFERROR(1/(1/SUM(COUNTIFS(
'YearB-AppDetails Current Date'!A:A,D193,
'YearB-AppDetails Current Date'!F:F,E193,
'YearB-AppDetails Current Date'!E:E,--F193,
'YearB-AppDetails Current Date'!T:T,{"CDMT","RQMT","WAIT"},
'YearB-AppDetails Current Date'!I:I,"SPRING"))), "")</f>
        <v/>
      </c>
      <c r="P193" s="74" t="str">
        <f>IFERROR(1/(1/COUNTIFS(
'YearB-AppDetails Current Date'!A:A,D193,
'YearB-AppDetails Current Date'!F:F,E193,
'YearB-AppDetails Current Date'!E:E,--F193,
'YearB-AppDetails Current Date'!Y:Y,"ENRO",
'YearB-AppDetails Current Date'!I:I,"SPRING")), "")</f>
        <v/>
      </c>
      <c r="Q193" s="3" t="str">
        <f t="shared" si="12"/>
        <v/>
      </c>
    </row>
    <row r="194" spans="1:17" ht="15.75" customHeight="1" x14ac:dyDescent="0.25">
      <c r="A194" s="119"/>
      <c r="B194" s="123"/>
      <c r="C194" s="128" t="s">
        <v>286</v>
      </c>
      <c r="D194" s="129"/>
      <c r="E194" s="129"/>
      <c r="F194" s="130"/>
      <c r="G194" s="7"/>
      <c r="H194" s="7">
        <f>SUM(H158:H193)</f>
        <v>0</v>
      </c>
      <c r="I194" s="7">
        <f t="shared" ref="I194:P194" si="16">SUM(I158:I193)</f>
        <v>0</v>
      </c>
      <c r="J194" s="7">
        <f t="shared" si="16"/>
        <v>0</v>
      </c>
      <c r="K194" s="7">
        <f t="shared" si="16"/>
        <v>0</v>
      </c>
      <c r="L194" s="7">
        <f t="shared" si="16"/>
        <v>0</v>
      </c>
      <c r="M194" s="7">
        <f t="shared" si="16"/>
        <v>0</v>
      </c>
      <c r="N194" s="7">
        <f t="shared" si="16"/>
        <v>0</v>
      </c>
      <c r="O194" s="7">
        <f t="shared" si="16"/>
        <v>0</v>
      </c>
      <c r="P194" s="7">
        <f t="shared" si="16"/>
        <v>0</v>
      </c>
      <c r="Q194" s="35" t="str">
        <f t="shared" si="12"/>
        <v/>
      </c>
    </row>
    <row r="195" spans="1:17" ht="15.75" customHeight="1" x14ac:dyDescent="0.25">
      <c r="A195" s="119"/>
      <c r="B195" s="121" t="s">
        <v>124</v>
      </c>
      <c r="C195" s="132" t="s">
        <v>124</v>
      </c>
      <c r="D195" s="23" t="s">
        <v>125</v>
      </c>
      <c r="E195" s="2" t="s">
        <v>42</v>
      </c>
      <c r="F195" s="31">
        <v>1</v>
      </c>
      <c r="G195" s="134" t="s">
        <v>48</v>
      </c>
      <c r="H195" s="73" t="str">
        <f>IFERROR(1/(1/
SUM(
N(VLOOKUP(D195&amp;F195,'Budgeted Projections Dom HC'!D:T,16,FALSE)),
N(VLOOKUP(D195&amp;F195,'Budgeted Projections Dom HC'!D:T,17,FALSE))
)
),"")</f>
        <v/>
      </c>
      <c r="I195" s="73" t="str">
        <f>IFERROR(1/(1/COUNTIFS(
'YearB-AppDetails Current Date'!A:A,D195,
'YearB-AppDetails Current Date'!F:F,E195,
'YearB-AppDetails Current Date'!E:E,--F195,
'YearB-AppDetails Current Date'!I:I,"SPRING")), "")</f>
        <v/>
      </c>
      <c r="J195" s="74" t="str" cm="1">
        <f t="array" ref="J195">IFERROR(1/(1/SUM(COUNTIFS(
'YearB-AppDetails Current Date'!A:A,D195,
'YearB-AppDetails Current Date'!F:F,E195,
'YearB-AppDetails Current Date'!E:E,--F195,
'YearB-AppDetails Current Date'!O:O,{"ACLN","ACPT","COND"},
'YearB-AppDetails Current Date'!S:S,"&lt;&gt;ACLN",
'YearB-AppDetails Current Date'!S:S,"&lt;&gt;ACPT",
'YearB-AppDetails Current Date'!S:S,"&lt;&gt;COND",
'YearB-AppDetails Current Date'!I:I,"SPRING"))), "")</f>
        <v/>
      </c>
      <c r="K195" s="73" t="str">
        <f>IFERROR(1/(1/SUM(COUNTIFS(
'YearB-AppDetails Current Date'!A:A,D195,
'YearB-AppDetails Current Date'!F:F,E195,
'YearB-AppDetails Current Date'!E:E,--F195,
'YearB-AppDetails Current Date'!R:R,"&lt;&gt;"&amp;"",
'YearB-AppDetails Current Date'!I:I,"SPRING"))), "")</f>
        <v/>
      </c>
      <c r="L195" s="74" t="str" cm="1">
        <f t="array" ref="L195">IFERROR(1/(1/SUM(COUNTIFS(
'YearB-AppDetails Current Date'!A:A,D195,
'YearB-AppDetails Current Date'!F:F,E195,
'YearB-AppDetails Current Date'!E:E,--F195,
'YearB-AppDetails Current Date'!T:T,{"APEX","DENY","NTSL"},
'YearB-AppDetails Current Date'!I:I,"SPRING"))), "")</f>
        <v/>
      </c>
      <c r="M195" s="74" t="str" cm="1">
        <f t="array" ref="M195">IFERROR(1/(1/SUM(COUNTIFS(
'YearB-AppDetails Current Date'!A:A,D195,
'YearB-AppDetails Current Date'!F:F,E195,
'YearB-AppDetails Current Date'!E:E,--F195,
'YearB-AppDetails Current Date'!U:U,{"CCAN","DECL"},
'YearB-AppDetails Current Date'!I:I,"SPRING"))), "")</f>
        <v/>
      </c>
      <c r="N195" s="74" t="str" cm="1">
        <f t="array" ref="N195">IFERROR(1/(1/SUM(COUNTIFS(
'YearB-AppDetails Current Date'!A:A,D195,
'YearB-AppDetails Current Date'!F:F,E195,
'YearB-AppDetails Current Date'!E:E,--F195,
'YearB-AppDetails Current Date'!V:V,{"APRO","NODE"},
'YearB-AppDetails Current Date'!I:I,"SPRING"))), "")</f>
        <v/>
      </c>
      <c r="O195" s="74" t="str" cm="1">
        <f t="array" ref="O195">IFERROR(1/(1/SUM(COUNTIFS(
'YearB-AppDetails Current Date'!A:A,D195,
'YearB-AppDetails Current Date'!F:F,E195,
'YearB-AppDetails Current Date'!E:E,--F195,
'YearB-AppDetails Current Date'!T:T,{"CDMT","RQMT","WAIT"},
'YearB-AppDetails Current Date'!I:I,"SPRING"))), "")</f>
        <v/>
      </c>
      <c r="P195" s="74" t="str">
        <f>IFERROR(1/(1/COUNTIFS(
'YearB-AppDetails Current Date'!A:A,D195,
'YearB-AppDetails Current Date'!F:F,E195,
'YearB-AppDetails Current Date'!E:E,--F195,
'YearB-AppDetails Current Date'!Y:Y,"ENRO",
'YearB-AppDetails Current Date'!I:I,"SPRING")), "")</f>
        <v/>
      </c>
      <c r="Q195" s="3" t="str">
        <f t="shared" si="12"/>
        <v/>
      </c>
    </row>
    <row r="196" spans="1:17" ht="15.75" customHeight="1" x14ac:dyDescent="0.25">
      <c r="A196" s="119"/>
      <c r="B196" s="122"/>
      <c r="C196" s="133"/>
      <c r="D196" s="23" t="s">
        <v>125</v>
      </c>
      <c r="E196" s="2" t="s">
        <v>43</v>
      </c>
      <c r="F196" s="31">
        <v>1</v>
      </c>
      <c r="G196" s="135"/>
      <c r="H196" s="73" t="str">
        <f>IFERROR(1/(1/
SUM(
N(VLOOKUP(D196&amp;F196,'Budgeted Projections Intl HC'!D:T,16,FALSE)),
N(VLOOKUP(D196&amp;F196,'Budgeted Projections Intl HC'!D:T,17,FALSE))
)
),"")</f>
        <v/>
      </c>
      <c r="I196" s="73" t="str">
        <f>IFERROR(1/(1/COUNTIFS(
'YearB-AppDetails Current Date'!A:A,D196,
'YearB-AppDetails Current Date'!F:F,E196,
'YearB-AppDetails Current Date'!E:E,--F196,
'YearB-AppDetails Current Date'!I:I,"SPRING")), "")</f>
        <v/>
      </c>
      <c r="J196" s="74" t="str" cm="1">
        <f t="array" ref="J196">IFERROR(1/(1/SUM(COUNTIFS(
'YearB-AppDetails Current Date'!A:A,D196,
'YearB-AppDetails Current Date'!F:F,E196,
'YearB-AppDetails Current Date'!E:E,--F196,
'YearB-AppDetails Current Date'!O:O,{"ACLN","ACPT","COND"},
'YearB-AppDetails Current Date'!S:S,"&lt;&gt;ACLN",
'YearB-AppDetails Current Date'!S:S,"&lt;&gt;ACPT",
'YearB-AppDetails Current Date'!S:S,"&lt;&gt;COND",
'YearB-AppDetails Current Date'!I:I,"SPRING"))), "")</f>
        <v/>
      </c>
      <c r="K196" s="73" t="str">
        <f>IFERROR(1/(1/SUM(COUNTIFS(
'YearB-AppDetails Current Date'!A:A,D196,
'YearB-AppDetails Current Date'!F:F,E196,
'YearB-AppDetails Current Date'!E:E,--F196,
'YearB-AppDetails Current Date'!R:R,"&lt;&gt;"&amp;"",
'YearB-AppDetails Current Date'!I:I,"SPRING"))), "")</f>
        <v/>
      </c>
      <c r="L196" s="74" t="str" cm="1">
        <f t="array" ref="L196">IFERROR(1/(1/SUM(COUNTIFS(
'YearB-AppDetails Current Date'!A:A,D196,
'YearB-AppDetails Current Date'!F:F,E196,
'YearB-AppDetails Current Date'!E:E,--F196,
'YearB-AppDetails Current Date'!T:T,{"APEX","DENY","NTSL"},
'YearB-AppDetails Current Date'!I:I,"SPRING"))), "")</f>
        <v/>
      </c>
      <c r="M196" s="74" t="str" cm="1">
        <f t="array" ref="M196">IFERROR(1/(1/SUM(COUNTIFS(
'YearB-AppDetails Current Date'!A:A,D196,
'YearB-AppDetails Current Date'!F:F,E196,
'YearB-AppDetails Current Date'!E:E,--F196,
'YearB-AppDetails Current Date'!U:U,{"CCAN","DECL"},
'YearB-AppDetails Current Date'!I:I,"SPRING"))), "")</f>
        <v/>
      </c>
      <c r="N196" s="74" t="str" cm="1">
        <f t="array" ref="N196">IFERROR(1/(1/SUM(COUNTIFS(
'YearB-AppDetails Current Date'!A:A,D196,
'YearB-AppDetails Current Date'!F:F,E196,
'YearB-AppDetails Current Date'!E:E,--F196,
'YearB-AppDetails Current Date'!V:V,{"APRO","NODE"},
'YearB-AppDetails Current Date'!I:I,"SPRING"))), "")</f>
        <v/>
      </c>
      <c r="O196" s="74" t="str" cm="1">
        <f t="array" ref="O196">IFERROR(1/(1/SUM(COUNTIFS(
'YearB-AppDetails Current Date'!A:A,D196,
'YearB-AppDetails Current Date'!F:F,E196,
'YearB-AppDetails Current Date'!E:E,--F196,
'YearB-AppDetails Current Date'!T:T,{"CDMT","RQMT","WAIT"},
'YearB-AppDetails Current Date'!I:I,"SPRING"))), "")</f>
        <v/>
      </c>
      <c r="P196" s="74" t="str">
        <f>IFERROR(1/(1/COUNTIFS(
'YearB-AppDetails Current Date'!A:A,D196,
'YearB-AppDetails Current Date'!F:F,E196,
'YearB-AppDetails Current Date'!E:E,--F196,
'YearB-AppDetails Current Date'!Y:Y,"ENRO",
'YearB-AppDetails Current Date'!I:I,"SPRING")), "")</f>
        <v/>
      </c>
      <c r="Q196" s="3" t="str">
        <f t="shared" si="12"/>
        <v/>
      </c>
    </row>
    <row r="197" spans="1:17" ht="15.75" customHeight="1" x14ac:dyDescent="0.25">
      <c r="A197" s="119"/>
      <c r="B197" s="123"/>
      <c r="C197" s="128" t="s">
        <v>287</v>
      </c>
      <c r="D197" s="129"/>
      <c r="E197" s="129"/>
      <c r="F197" s="130"/>
      <c r="G197" s="7"/>
      <c r="H197" s="7">
        <f>SUM(H195:H196)</f>
        <v>0</v>
      </c>
      <c r="I197" s="7">
        <f t="shared" ref="I197:P197" si="17">SUM(I195:I196)</f>
        <v>0</v>
      </c>
      <c r="J197" s="7">
        <f t="shared" si="17"/>
        <v>0</v>
      </c>
      <c r="K197" s="7">
        <f t="shared" si="17"/>
        <v>0</v>
      </c>
      <c r="L197" s="7">
        <f t="shared" si="17"/>
        <v>0</v>
      </c>
      <c r="M197" s="7">
        <f t="shared" si="17"/>
        <v>0</v>
      </c>
      <c r="N197" s="7">
        <f t="shared" si="17"/>
        <v>0</v>
      </c>
      <c r="O197" s="7">
        <f t="shared" si="17"/>
        <v>0</v>
      </c>
      <c r="P197" s="7">
        <f t="shared" si="17"/>
        <v>0</v>
      </c>
      <c r="Q197" s="35" t="str">
        <f t="shared" si="12"/>
        <v/>
      </c>
    </row>
    <row r="198" spans="1:17" ht="15.75" customHeight="1" x14ac:dyDescent="0.25">
      <c r="A198" s="136" t="s">
        <v>130</v>
      </c>
      <c r="B198" s="136"/>
      <c r="C198" s="136"/>
      <c r="D198" s="136"/>
      <c r="E198" s="136"/>
      <c r="F198" s="137"/>
      <c r="G198" s="5"/>
      <c r="H198" s="20">
        <f>SUM(H128,H139,H148,H157,H194,H197)</f>
        <v>0</v>
      </c>
      <c r="I198" s="20">
        <f t="shared" ref="I198:P198" si="18">SUM(I128,I139,I148,I157,I194,I197)</f>
        <v>0</v>
      </c>
      <c r="J198" s="20">
        <f t="shared" si="18"/>
        <v>0</v>
      </c>
      <c r="K198" s="20">
        <f t="shared" si="18"/>
        <v>0</v>
      </c>
      <c r="L198" s="20">
        <f t="shared" si="18"/>
        <v>0</v>
      </c>
      <c r="M198" s="20">
        <f t="shared" si="18"/>
        <v>0</v>
      </c>
      <c r="N198" s="20">
        <f t="shared" si="18"/>
        <v>0</v>
      </c>
      <c r="O198" s="20">
        <f t="shared" si="18"/>
        <v>0</v>
      </c>
      <c r="P198" s="20">
        <f t="shared" si="18"/>
        <v>0</v>
      </c>
      <c r="Q198" s="36" t="str">
        <f t="shared" si="12"/>
        <v/>
      </c>
    </row>
    <row r="199" spans="1:17" ht="15.75" customHeight="1" x14ac:dyDescent="0.25">
      <c r="A199" s="118" t="s">
        <v>126</v>
      </c>
      <c r="B199" s="121" t="s">
        <v>126</v>
      </c>
      <c r="C199" s="124" t="s">
        <v>127</v>
      </c>
      <c r="D199" s="27" t="s">
        <v>128</v>
      </c>
      <c r="E199" s="2" t="s">
        <v>42</v>
      </c>
      <c r="F199" s="31">
        <v>1</v>
      </c>
      <c r="G199" s="126" t="s">
        <v>48</v>
      </c>
      <c r="H199" s="73" t="str">
        <f>IFERROR(1/(1/(
SUM(
N(VLOOKUP(D199&amp;F199,'Budgeted Projections Dom HC'!D:T,10,FALSE)),
N(VLOOKUP(D199&amp;F199,'Budgeted Projections Dom HC'!D:T,11,FALSE))
)/4)
),"")</f>
        <v/>
      </c>
      <c r="I199" s="73" t="str">
        <f>IFERROR(1/(1/COUNTIFS(
'YearB-AppDetails Current Date'!A:A,D199,
'YearB-AppDetails Current Date'!F:F,E199,
'YearB-AppDetails Current Date'!E:E,--F199,
'YearB-AppDetails Current Date'!I:I,"SPRING")), "")</f>
        <v/>
      </c>
      <c r="J199" s="74" t="str" cm="1">
        <f t="array" ref="J199">IFERROR(1/(1/SUM(COUNTIFS(
'YearB-AppDetails Current Date'!A:A,D199,
'YearB-AppDetails Current Date'!F:F,E199,
'YearB-AppDetails Current Date'!E:E,--F199,
'YearB-AppDetails Current Date'!O:O,{"ACLN","ACPT","COND"},
'YearB-AppDetails Current Date'!S:S,"&lt;&gt;ACLN",
'YearB-AppDetails Current Date'!S:S,"&lt;&gt;ACPT",
'YearB-AppDetails Current Date'!S:S,"&lt;&gt;COND",
'YearB-AppDetails Current Date'!I:I,"SPRING"))), "")</f>
        <v/>
      </c>
      <c r="K199" s="73" t="str">
        <f>IFERROR(1/(1/SUM(COUNTIFS(
'YearB-AppDetails Current Date'!A:A,D199,
'YearB-AppDetails Current Date'!F:F,E199,
'YearB-AppDetails Current Date'!E:E,--F199,
'YearB-AppDetails Current Date'!R:R,"&lt;&gt;"&amp;"",
'YearB-AppDetails Current Date'!I:I,"SPRING"))), "")</f>
        <v/>
      </c>
      <c r="L199" s="74" t="str" cm="1">
        <f t="array" ref="L199">IFERROR(1/(1/SUM(COUNTIFS(
'YearB-AppDetails Current Date'!A:A,D199,
'YearB-AppDetails Current Date'!F:F,E199,
'YearB-AppDetails Current Date'!E:E,--F199,
'YearB-AppDetails Current Date'!T:T,{"APEX","DENY","NTSL"},
'YearB-AppDetails Current Date'!I:I,"SPRING"))), "")</f>
        <v/>
      </c>
      <c r="M199" s="74" t="str" cm="1">
        <f t="array" ref="M199">IFERROR(1/(1/SUM(COUNTIFS(
'YearB-AppDetails Current Date'!A:A,D199,
'YearB-AppDetails Current Date'!F:F,E199,
'YearB-AppDetails Current Date'!E:E,--F199,
'YearB-AppDetails Current Date'!U:U,{"CCAN","DECL"},
'YearB-AppDetails Current Date'!I:I,"SPRING"))), "")</f>
        <v/>
      </c>
      <c r="N199" s="74" t="str" cm="1">
        <f t="array" ref="N199">IFERROR(1/(1/SUM(COUNTIFS(
'YearB-AppDetails Current Date'!A:A,D199,
'YearB-AppDetails Current Date'!F:F,E199,
'YearB-AppDetails Current Date'!E:E,--F199,
'YearB-AppDetails Current Date'!V:V,{"APRO","NODE"},
'YearB-AppDetails Current Date'!I:I,"SPRING"))), "")</f>
        <v/>
      </c>
      <c r="O199" s="74" t="str" cm="1">
        <f t="array" ref="O199">IFERROR(1/(1/SUM(COUNTIFS(
'YearB-AppDetails Current Date'!A:A,D199,
'YearB-AppDetails Current Date'!F:F,E199,
'YearB-AppDetails Current Date'!E:E,--F199,
'YearB-AppDetails Current Date'!T:T,{"CDMT","RQMT","WAIT"},
'YearB-AppDetails Current Date'!I:I,"SPRING"))), "")</f>
        <v/>
      </c>
      <c r="P199" s="74" t="str">
        <f>IFERROR(1/(1/COUNTIFS(
'YearB-AppDetails Current Date'!A:A,D199,
'YearB-AppDetails Current Date'!F:F,E199,
'YearB-AppDetails Current Date'!E:E,--F199,
'YearB-AppDetails Current Date'!Y:Y,"ENRO",
'YearB-AppDetails Current Date'!I:I,"SPRING")), "")</f>
        <v/>
      </c>
      <c r="Q199" s="3" t="str">
        <f t="shared" si="12"/>
        <v/>
      </c>
    </row>
    <row r="200" spans="1:17" ht="15.75" customHeight="1" x14ac:dyDescent="0.25">
      <c r="A200" s="119"/>
      <c r="B200" s="122"/>
      <c r="C200" s="125"/>
      <c r="D200" s="27" t="s">
        <v>128</v>
      </c>
      <c r="E200" s="2" t="s">
        <v>43</v>
      </c>
      <c r="F200" s="31">
        <v>1</v>
      </c>
      <c r="G200" s="127"/>
      <c r="H200" s="73" t="str">
        <f>IFERROR(1/(1/(
SUM(
N(VLOOKUP(D200&amp;F200,'Budgeted Projections Intl HC'!D:T,10,FALSE)),
N(VLOOKUP(D200&amp;F200,'Budgeted Projections Intl HC'!D:T,11,FALSE))
)/4)
),"")</f>
        <v/>
      </c>
      <c r="I200" s="73" t="str">
        <f>IFERROR(1/(1/COUNTIFS(
'YearB-AppDetails Current Date'!A:A,D200,
'YearB-AppDetails Current Date'!F:F,E200,
'YearB-AppDetails Current Date'!E:E,--F200,
'YearB-AppDetails Current Date'!I:I,"SPRING")), "")</f>
        <v/>
      </c>
      <c r="J200" s="74" t="str" cm="1">
        <f t="array" ref="J200">IFERROR(1/(1/SUM(COUNTIFS(
'YearB-AppDetails Current Date'!A:A,D200,
'YearB-AppDetails Current Date'!F:F,E200,
'YearB-AppDetails Current Date'!E:E,--F200,
'YearB-AppDetails Current Date'!O:O,{"ACLN","ACPT","COND"},
'YearB-AppDetails Current Date'!S:S,"&lt;&gt;ACLN",
'YearB-AppDetails Current Date'!S:S,"&lt;&gt;ACPT",
'YearB-AppDetails Current Date'!S:S,"&lt;&gt;COND",
'YearB-AppDetails Current Date'!I:I,"SPRING"))), "")</f>
        <v/>
      </c>
      <c r="K200" s="73" t="str">
        <f>IFERROR(1/(1/SUM(COUNTIFS(
'YearB-AppDetails Current Date'!A:A,D200,
'YearB-AppDetails Current Date'!F:F,E200,
'YearB-AppDetails Current Date'!E:E,--F200,
'YearB-AppDetails Current Date'!R:R,"&lt;&gt;"&amp;"",
'YearB-AppDetails Current Date'!I:I,"SPRING"))), "")</f>
        <v/>
      </c>
      <c r="L200" s="74" t="str" cm="1">
        <f t="array" ref="L200">IFERROR(1/(1/SUM(COUNTIFS(
'YearB-AppDetails Current Date'!A:A,D200,
'YearB-AppDetails Current Date'!F:F,E200,
'YearB-AppDetails Current Date'!E:E,--F200,
'YearB-AppDetails Current Date'!T:T,{"APEX","DENY","NTSL"},
'YearB-AppDetails Current Date'!I:I,"SPRING"))), "")</f>
        <v/>
      </c>
      <c r="M200" s="74" t="str" cm="1">
        <f t="array" ref="M200">IFERROR(1/(1/SUM(COUNTIFS(
'YearB-AppDetails Current Date'!A:A,D200,
'YearB-AppDetails Current Date'!F:F,E200,
'YearB-AppDetails Current Date'!E:E,--F200,
'YearB-AppDetails Current Date'!U:U,{"CCAN","DECL"},
'YearB-AppDetails Current Date'!I:I,"SPRING"))), "")</f>
        <v/>
      </c>
      <c r="N200" s="74" t="str" cm="1">
        <f t="array" ref="N200">IFERROR(1/(1/SUM(COUNTIFS(
'YearB-AppDetails Current Date'!A:A,D200,
'YearB-AppDetails Current Date'!F:F,E200,
'YearB-AppDetails Current Date'!E:E,--F200,
'YearB-AppDetails Current Date'!V:V,{"APRO","NODE"},
'YearB-AppDetails Current Date'!I:I,"SPRING"))), "")</f>
        <v/>
      </c>
      <c r="O200" s="74" t="str" cm="1">
        <f t="array" ref="O200">IFERROR(1/(1/SUM(COUNTIFS(
'YearB-AppDetails Current Date'!A:A,D200,
'YearB-AppDetails Current Date'!F:F,E200,
'YearB-AppDetails Current Date'!E:E,--F200,
'YearB-AppDetails Current Date'!T:T,{"CDMT","RQMT","WAIT"},
'YearB-AppDetails Current Date'!I:I,"SPRING"))), "")</f>
        <v/>
      </c>
      <c r="P200" s="74" t="str">
        <f>IFERROR(1/(1/COUNTIFS(
'YearB-AppDetails Current Date'!A:A,D200,
'YearB-AppDetails Current Date'!F:F,E200,
'YearB-AppDetails Current Date'!E:E,--F200,
'YearB-AppDetails Current Date'!Y:Y,"ENRO",
'YearB-AppDetails Current Date'!I:I,"SPRING")), "")</f>
        <v/>
      </c>
      <c r="Q200" s="3" t="str">
        <f t="shared" si="12"/>
        <v/>
      </c>
    </row>
    <row r="201" spans="1:17" ht="15.75" customHeight="1" x14ac:dyDescent="0.25">
      <c r="A201" s="120"/>
      <c r="B201" s="123"/>
      <c r="C201" s="128" t="s">
        <v>129</v>
      </c>
      <c r="D201" s="129"/>
      <c r="E201" s="129"/>
      <c r="F201" s="130"/>
      <c r="G201" s="7"/>
      <c r="H201" s="7">
        <f>SUM(H199:H200)</f>
        <v>0</v>
      </c>
      <c r="I201" s="7">
        <f t="shared" ref="I201:P201" si="19">SUM(I199:I200)</f>
        <v>0</v>
      </c>
      <c r="J201" s="7">
        <f t="shared" si="19"/>
        <v>0</v>
      </c>
      <c r="K201" s="7">
        <f t="shared" si="19"/>
        <v>0</v>
      </c>
      <c r="L201" s="7">
        <f t="shared" si="19"/>
        <v>0</v>
      </c>
      <c r="M201" s="7">
        <f t="shared" si="19"/>
        <v>0</v>
      </c>
      <c r="N201" s="7">
        <f t="shared" si="19"/>
        <v>0</v>
      </c>
      <c r="O201" s="7">
        <f t="shared" si="19"/>
        <v>0</v>
      </c>
      <c r="P201" s="7">
        <f t="shared" si="19"/>
        <v>0</v>
      </c>
      <c r="Q201" s="35" t="str">
        <f t="shared" ref="Q201:Q202" si="20">IFERROR(P201/J201,"")</f>
        <v/>
      </c>
    </row>
    <row r="202" spans="1:17" ht="15.75" customHeight="1" x14ac:dyDescent="0.25">
      <c r="A202" s="131" t="s">
        <v>131</v>
      </c>
      <c r="B202" s="131"/>
      <c r="C202" s="131"/>
      <c r="D202" s="131"/>
      <c r="E202" s="131"/>
      <c r="F202" s="131"/>
      <c r="G202" s="71"/>
      <c r="H202" s="8">
        <f>SUM(H34,H77,H198,H201)</f>
        <v>0</v>
      </c>
      <c r="I202" s="8">
        <f t="shared" ref="I202:P202" si="21">SUM(I34,I77,I198,I201)</f>
        <v>0</v>
      </c>
      <c r="J202" s="8">
        <f t="shared" si="21"/>
        <v>0</v>
      </c>
      <c r="K202" s="8">
        <f t="shared" si="21"/>
        <v>0</v>
      </c>
      <c r="L202" s="8">
        <f t="shared" si="21"/>
        <v>0</v>
      </c>
      <c r="M202" s="8">
        <f t="shared" si="21"/>
        <v>0</v>
      </c>
      <c r="N202" s="8">
        <f t="shared" si="21"/>
        <v>0</v>
      </c>
      <c r="O202" s="8">
        <f t="shared" si="21"/>
        <v>0</v>
      </c>
      <c r="P202" s="8">
        <f t="shared" si="21"/>
        <v>0</v>
      </c>
      <c r="Q202" s="11" t="str">
        <f t="shared" si="20"/>
        <v/>
      </c>
    </row>
    <row r="203" spans="1:17" ht="15.75" customHeight="1" x14ac:dyDescent="0.25">
      <c r="A203" s="117" t="s">
        <v>170</v>
      </c>
      <c r="B203" s="117"/>
      <c r="C203" s="117"/>
      <c r="D203" s="117"/>
      <c r="E203" s="117"/>
      <c r="F203" s="117"/>
      <c r="G203" s="117"/>
      <c r="H203" s="117"/>
      <c r="I203" s="117"/>
      <c r="J203" s="117"/>
      <c r="K203" s="117"/>
      <c r="L203" s="117"/>
      <c r="M203" s="117"/>
      <c r="N203" s="117"/>
      <c r="O203" s="117"/>
      <c r="P203" s="117"/>
      <c r="Q203" s="117"/>
    </row>
    <row r="204" spans="1:17" ht="15.75" customHeight="1" x14ac:dyDescent="0.25">
      <c r="A204" s="22" t="s">
        <v>139</v>
      </c>
      <c r="B204" s="22"/>
      <c r="C204" s="21"/>
      <c r="D204" s="21"/>
      <c r="E204" s="21"/>
      <c r="F204" s="33"/>
      <c r="G204" s="33"/>
      <c r="H204" s="33"/>
      <c r="I204" s="21"/>
      <c r="J204" s="21"/>
      <c r="K204" s="21"/>
      <c r="L204" s="21"/>
      <c r="M204" s="21"/>
      <c r="N204" s="21"/>
      <c r="O204" s="21"/>
      <c r="P204" s="21"/>
      <c r="Q204" s="21"/>
    </row>
    <row r="205" spans="1:17" ht="15.75" customHeight="1" x14ac:dyDescent="0.25">
      <c r="A205" s="22" t="s">
        <v>132</v>
      </c>
      <c r="B205" s="22"/>
      <c r="C205" s="21"/>
      <c r="D205" s="21"/>
      <c r="E205" s="21"/>
      <c r="F205" s="33"/>
      <c r="G205" s="33"/>
      <c r="H205" s="33"/>
      <c r="I205" s="21"/>
      <c r="J205" s="21"/>
      <c r="K205" s="21"/>
      <c r="L205" s="21"/>
      <c r="M205" s="21"/>
      <c r="N205" s="21"/>
      <c r="O205" s="21"/>
      <c r="P205" s="21"/>
      <c r="Q205" s="21"/>
    </row>
    <row r="206" spans="1:17" ht="15.75" customHeight="1" x14ac:dyDescent="0.25">
      <c r="A206" s="22" t="s">
        <v>323</v>
      </c>
      <c r="B206" s="22"/>
      <c r="C206" s="21"/>
      <c r="D206" s="21"/>
      <c r="E206" s="21"/>
      <c r="F206" s="33"/>
      <c r="G206" s="33"/>
      <c r="H206" s="33"/>
      <c r="I206" s="21"/>
      <c r="J206" s="21"/>
      <c r="K206" s="21"/>
      <c r="L206" s="21"/>
      <c r="M206" s="21"/>
      <c r="N206" s="21"/>
      <c r="O206" s="21"/>
      <c r="P206" s="21"/>
      <c r="Q206" s="21"/>
    </row>
  </sheetData>
  <mergeCells count="196">
    <mergeCell ref="B29:B33"/>
    <mergeCell ref="C29:C32"/>
    <mergeCell ref="G29:G30"/>
    <mergeCell ref="G31:G32"/>
    <mergeCell ref="C33:F33"/>
    <mergeCell ref="A3:A33"/>
    <mergeCell ref="H1:H2"/>
    <mergeCell ref="I1:Q1"/>
    <mergeCell ref="B3:B17"/>
    <mergeCell ref="C3:C4"/>
    <mergeCell ref="G3:G4"/>
    <mergeCell ref="C5:C6"/>
    <mergeCell ref="G5:G6"/>
    <mergeCell ref="C7:C8"/>
    <mergeCell ref="A1:A2"/>
    <mergeCell ref="B1:B2"/>
    <mergeCell ref="C1:C2"/>
    <mergeCell ref="D1:D2"/>
    <mergeCell ref="E1:E2"/>
    <mergeCell ref="F1:F2"/>
    <mergeCell ref="G7:G8"/>
    <mergeCell ref="C9:C10"/>
    <mergeCell ref="G9:G10"/>
    <mergeCell ref="C11:C12"/>
    <mergeCell ref="G11:G12"/>
    <mergeCell ref="C13:C16"/>
    <mergeCell ref="G13:G14"/>
    <mergeCell ref="G15:G16"/>
    <mergeCell ref="G1:G2"/>
    <mergeCell ref="C17:F17"/>
    <mergeCell ref="C18:C19"/>
    <mergeCell ref="G18:G19"/>
    <mergeCell ref="C20:C21"/>
    <mergeCell ref="G20:G21"/>
    <mergeCell ref="C22:C23"/>
    <mergeCell ref="G22:G23"/>
    <mergeCell ref="C24:C25"/>
    <mergeCell ref="G24:G25"/>
    <mergeCell ref="B18:B28"/>
    <mergeCell ref="C39:C42"/>
    <mergeCell ref="G39:G40"/>
    <mergeCell ref="G41:G42"/>
    <mergeCell ref="C43:C46"/>
    <mergeCell ref="G43:G44"/>
    <mergeCell ref="G45:G46"/>
    <mergeCell ref="C26:C27"/>
    <mergeCell ref="G26:G27"/>
    <mergeCell ref="C28:F28"/>
    <mergeCell ref="A34:F34"/>
    <mergeCell ref="A35:A76"/>
    <mergeCell ref="B35:B48"/>
    <mergeCell ref="C35:C36"/>
    <mergeCell ref="G35:G36"/>
    <mergeCell ref="C37:C38"/>
    <mergeCell ref="G37:G38"/>
    <mergeCell ref="B55:B62"/>
    <mergeCell ref="C55:C56"/>
    <mergeCell ref="G55:G56"/>
    <mergeCell ref="C57:C60"/>
    <mergeCell ref="G57:G58"/>
    <mergeCell ref="G59:G60"/>
    <mergeCell ref="C61:C62"/>
    <mergeCell ref="G61:G62"/>
    <mergeCell ref="C47:C48"/>
    <mergeCell ref="G47:G48"/>
    <mergeCell ref="C49:F49"/>
    <mergeCell ref="B50:B54"/>
    <mergeCell ref="C50:C53"/>
    <mergeCell ref="G50:G51"/>
    <mergeCell ref="G52:G53"/>
    <mergeCell ref="C54:F54"/>
    <mergeCell ref="C63:F63"/>
    <mergeCell ref="B64:B76"/>
    <mergeCell ref="C64:C67"/>
    <mergeCell ref="G64:G65"/>
    <mergeCell ref="G66:G67"/>
    <mergeCell ref="C68:C73"/>
    <mergeCell ref="G68:G69"/>
    <mergeCell ref="G70:G71"/>
    <mergeCell ref="G72:G73"/>
    <mergeCell ref="C74:C75"/>
    <mergeCell ref="C84:C87"/>
    <mergeCell ref="G84:G85"/>
    <mergeCell ref="G86:G87"/>
    <mergeCell ref="C88:C91"/>
    <mergeCell ref="G88:G89"/>
    <mergeCell ref="G90:G91"/>
    <mergeCell ref="G74:G75"/>
    <mergeCell ref="C76:F76"/>
    <mergeCell ref="A77:F77"/>
    <mergeCell ref="A78:A197"/>
    <mergeCell ref="B78:B128"/>
    <mergeCell ref="C78:C79"/>
    <mergeCell ref="G78:G79"/>
    <mergeCell ref="C80:C83"/>
    <mergeCell ref="G80:G81"/>
    <mergeCell ref="G82:G83"/>
    <mergeCell ref="C100:C103"/>
    <mergeCell ref="G100:G101"/>
    <mergeCell ref="G102:G103"/>
    <mergeCell ref="C104:C107"/>
    <mergeCell ref="G104:G105"/>
    <mergeCell ref="G106:G107"/>
    <mergeCell ref="C92:C95"/>
    <mergeCell ref="G92:G93"/>
    <mergeCell ref="G94:G95"/>
    <mergeCell ref="C96:C99"/>
    <mergeCell ref="G96:G97"/>
    <mergeCell ref="G98:G99"/>
    <mergeCell ref="C116:C119"/>
    <mergeCell ref="G116:G117"/>
    <mergeCell ref="G118:G119"/>
    <mergeCell ref="C120:C123"/>
    <mergeCell ref="G120:G121"/>
    <mergeCell ref="G122:G123"/>
    <mergeCell ref="C108:C111"/>
    <mergeCell ref="G108:G109"/>
    <mergeCell ref="G110:G111"/>
    <mergeCell ref="C112:C115"/>
    <mergeCell ref="G112:G113"/>
    <mergeCell ref="G114:G115"/>
    <mergeCell ref="C133:C134"/>
    <mergeCell ref="G133:G134"/>
    <mergeCell ref="C135:C136"/>
    <mergeCell ref="G135:G136"/>
    <mergeCell ref="C137:C138"/>
    <mergeCell ref="G137:G138"/>
    <mergeCell ref="C124:C125"/>
    <mergeCell ref="G124:G125"/>
    <mergeCell ref="C126:C127"/>
    <mergeCell ref="G126:G127"/>
    <mergeCell ref="C128:F128"/>
    <mergeCell ref="C129:C130"/>
    <mergeCell ref="G129:G130"/>
    <mergeCell ref="C131:C132"/>
    <mergeCell ref="G131:G132"/>
    <mergeCell ref="G149:G150"/>
    <mergeCell ref="G151:G152"/>
    <mergeCell ref="C153:C156"/>
    <mergeCell ref="G153:G154"/>
    <mergeCell ref="G155:G156"/>
    <mergeCell ref="C157:F157"/>
    <mergeCell ref="C139:F139"/>
    <mergeCell ref="B140:B194"/>
    <mergeCell ref="C140:C143"/>
    <mergeCell ref="G140:G141"/>
    <mergeCell ref="G142:G143"/>
    <mergeCell ref="C144:C147"/>
    <mergeCell ref="G144:G145"/>
    <mergeCell ref="G146:G147"/>
    <mergeCell ref="C148:F148"/>
    <mergeCell ref="C149:C152"/>
    <mergeCell ref="B129:B139"/>
    <mergeCell ref="C166:C167"/>
    <mergeCell ref="G166:G167"/>
    <mergeCell ref="C168:C171"/>
    <mergeCell ref="G168:G169"/>
    <mergeCell ref="G170:G171"/>
    <mergeCell ref="C172:C173"/>
    <mergeCell ref="G172:G173"/>
    <mergeCell ref="C158:C159"/>
    <mergeCell ref="G158:G159"/>
    <mergeCell ref="C160:C163"/>
    <mergeCell ref="G160:G161"/>
    <mergeCell ref="G162:G163"/>
    <mergeCell ref="C164:C165"/>
    <mergeCell ref="G164:G165"/>
    <mergeCell ref="C184:C185"/>
    <mergeCell ref="G184:G185"/>
    <mergeCell ref="C186:C189"/>
    <mergeCell ref="G186:G187"/>
    <mergeCell ref="G188:G189"/>
    <mergeCell ref="C190:C193"/>
    <mergeCell ref="G190:G191"/>
    <mergeCell ref="G192:G193"/>
    <mergeCell ref="C174:C175"/>
    <mergeCell ref="G174:G175"/>
    <mergeCell ref="C176:C179"/>
    <mergeCell ref="G176:G177"/>
    <mergeCell ref="G178:G179"/>
    <mergeCell ref="C180:C183"/>
    <mergeCell ref="G180:G181"/>
    <mergeCell ref="G182:G183"/>
    <mergeCell ref="A203:Q203"/>
    <mergeCell ref="A199:A201"/>
    <mergeCell ref="B199:B201"/>
    <mergeCell ref="C199:C200"/>
    <mergeCell ref="G199:G200"/>
    <mergeCell ref="C201:F201"/>
    <mergeCell ref="A202:F202"/>
    <mergeCell ref="C194:F194"/>
    <mergeCell ref="B195:B197"/>
    <mergeCell ref="C195:C196"/>
    <mergeCell ref="G195:G196"/>
    <mergeCell ref="C197:F197"/>
    <mergeCell ref="A198:F198"/>
  </mergeCells>
  <conditionalFormatting sqref="J3:J16 J18:J27 J35:J48 J50:J53 J55:J62 J64:J75 J78:J127 J129:J138 J140:J147 J149:J156 J158:J193 J195:J196 J199:J200">
    <cfRule type="cellIs" dxfId="5" priority="5" operator="between">
      <formula>10</formula>
      <formula>100000000</formula>
    </cfRule>
    <cfRule type="cellIs" dxfId="4" priority="6" operator="between">
      <formula>1</formula>
      <formula>9</formula>
    </cfRule>
    <cfRule type="expression" dxfId="3" priority="7">
      <formula>AND(J3=0, J3&lt;&gt;"")</formula>
    </cfRule>
  </conditionalFormatting>
  <conditionalFormatting sqref="J29:J32">
    <cfRule type="cellIs" dxfId="2" priority="1" operator="between">
      <formula>10</formula>
      <formula>100000000</formula>
    </cfRule>
    <cfRule type="cellIs" dxfId="1" priority="2" operator="between">
      <formula>1</formula>
      <formula>9</formula>
    </cfRule>
    <cfRule type="expression" dxfId="0" priority="3">
      <formula>AND(J29=0, J29&lt;&gt;"")</formula>
    </cfRule>
  </conditionalFormatting>
  <conditionalFormatting sqref="Q3:Q28 Q34:Q202">
    <cfRule type="iconSet" priority="9">
      <iconSet iconSet="3Signs">
        <cfvo type="percent" val="0"/>
        <cfvo type="num" val="0.6"/>
        <cfvo type="num" val="1"/>
      </iconSet>
    </cfRule>
  </conditionalFormatting>
  <conditionalFormatting sqref="Q29:Q33">
    <cfRule type="iconSet" priority="4">
      <iconSet iconSet="3Signs">
        <cfvo type="percent" val="0"/>
        <cfvo type="num" val="0.6"/>
        <cfvo type="num" val="1"/>
      </iconSet>
    </cfRule>
  </conditionalFormatting>
  <conditionalFormatting sqref="Q203:Q1048576 Q1:Q2">
    <cfRule type="iconSet" priority="8">
      <iconSet iconSet="3Signs">
        <cfvo type="percent" val="0"/>
        <cfvo type="num" val="0.6"/>
        <cfvo type="num" val="1"/>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616A4-7530-4148-81F8-E48248C668F2}">
  <sheetPr codeName="Sheet12">
    <tabColor rgb="FFFFFF00"/>
  </sheetPr>
  <dimension ref="A1:T192"/>
  <sheetViews>
    <sheetView zoomScale="80" zoomScaleNormal="80" workbookViewId="0">
      <selection activeCell="E4" sqref="E4:T192"/>
    </sheetView>
  </sheetViews>
  <sheetFormatPr defaultRowHeight="15" x14ac:dyDescent="0.25"/>
  <cols>
    <col min="1" max="1" width="60.7109375" customWidth="1"/>
    <col min="2" max="2" width="10.7109375" customWidth="1"/>
    <col min="3" max="3" width="24.7109375" bestFit="1" customWidth="1"/>
    <col min="4" max="4" width="24.85546875" bestFit="1" customWidth="1"/>
    <col min="5" max="20" width="9.140625" style="54"/>
  </cols>
  <sheetData>
    <row r="1" spans="1:20" ht="16.5" customHeight="1" x14ac:dyDescent="0.25">
      <c r="A1" s="177" t="s">
        <v>173</v>
      </c>
      <c r="B1" s="179" t="s">
        <v>32</v>
      </c>
      <c r="C1" s="181" t="s">
        <v>174</v>
      </c>
      <c r="D1" s="179" t="s">
        <v>175</v>
      </c>
      <c r="E1" s="183" t="s">
        <v>297</v>
      </c>
      <c r="F1" s="183"/>
      <c r="G1" s="183"/>
      <c r="H1" s="183"/>
      <c r="I1" s="183"/>
      <c r="J1" s="183"/>
      <c r="K1" s="183"/>
      <c r="L1" s="184"/>
      <c r="M1" s="183" t="s">
        <v>298</v>
      </c>
      <c r="N1" s="183"/>
      <c r="O1" s="183"/>
      <c r="P1" s="183"/>
      <c r="Q1" s="183"/>
      <c r="R1" s="183"/>
      <c r="S1" s="183"/>
      <c r="T1" s="184"/>
    </row>
    <row r="2" spans="1:20" x14ac:dyDescent="0.25">
      <c r="A2" s="177"/>
      <c r="B2" s="179"/>
      <c r="C2" s="181"/>
      <c r="D2" s="179"/>
      <c r="E2" s="185" t="s">
        <v>177</v>
      </c>
      <c r="F2" s="186"/>
      <c r="G2" s="186" t="s">
        <v>178</v>
      </c>
      <c r="H2" s="186"/>
      <c r="I2" s="186" t="s">
        <v>179</v>
      </c>
      <c r="J2" s="186"/>
      <c r="K2" s="186" t="s">
        <v>180</v>
      </c>
      <c r="L2" s="187"/>
      <c r="M2" s="185" t="s">
        <v>177</v>
      </c>
      <c r="N2" s="186"/>
      <c r="O2" s="186" t="s">
        <v>178</v>
      </c>
      <c r="P2" s="186"/>
      <c r="Q2" s="186" t="s">
        <v>179</v>
      </c>
      <c r="R2" s="186"/>
      <c r="S2" s="186" t="s">
        <v>180</v>
      </c>
      <c r="T2" s="187"/>
    </row>
    <row r="3" spans="1:20" ht="30" x14ac:dyDescent="0.25">
      <c r="A3" s="178"/>
      <c r="B3" s="180"/>
      <c r="C3" s="182"/>
      <c r="D3" s="180"/>
      <c r="E3" s="43" t="s">
        <v>181</v>
      </c>
      <c r="F3" s="43" t="s">
        <v>182</v>
      </c>
      <c r="G3" s="44" t="s">
        <v>181</v>
      </c>
      <c r="H3" s="43" t="s">
        <v>182</v>
      </c>
      <c r="I3" s="43" t="s">
        <v>181</v>
      </c>
      <c r="J3" s="43" t="s">
        <v>182</v>
      </c>
      <c r="K3" s="43" t="s">
        <v>181</v>
      </c>
      <c r="L3" s="45" t="s">
        <v>182</v>
      </c>
      <c r="M3" s="43" t="s">
        <v>181</v>
      </c>
      <c r="N3" s="43" t="s">
        <v>182</v>
      </c>
      <c r="O3" s="44" t="s">
        <v>181</v>
      </c>
      <c r="P3" s="43" t="s">
        <v>182</v>
      </c>
      <c r="Q3" s="43" t="s">
        <v>181</v>
      </c>
      <c r="R3" s="43" t="s">
        <v>182</v>
      </c>
      <c r="S3" s="43" t="s">
        <v>181</v>
      </c>
      <c r="T3" s="45" t="s">
        <v>182</v>
      </c>
    </row>
    <row r="4" spans="1:20" x14ac:dyDescent="0.25">
      <c r="A4" s="46" t="s">
        <v>75</v>
      </c>
      <c r="B4" s="47"/>
      <c r="C4" s="48"/>
      <c r="D4" s="49"/>
      <c r="E4" s="50"/>
      <c r="F4" s="50"/>
      <c r="G4" s="50"/>
      <c r="H4" s="50"/>
      <c r="I4" s="50"/>
      <c r="J4" s="50"/>
      <c r="K4" s="50"/>
      <c r="L4" s="51"/>
      <c r="M4" s="50"/>
      <c r="N4" s="50"/>
      <c r="O4" s="50"/>
      <c r="P4" s="50"/>
      <c r="Q4" s="50"/>
      <c r="R4" s="50"/>
      <c r="S4" s="50"/>
      <c r="T4" s="51"/>
    </row>
    <row r="5" spans="1:20" x14ac:dyDescent="0.25">
      <c r="A5" s="52" t="s">
        <v>183</v>
      </c>
      <c r="B5" s="53">
        <v>1</v>
      </c>
      <c r="C5" s="54" t="s">
        <v>184</v>
      </c>
      <c r="D5" s="55" t="str">
        <f>C5&amp;B5</f>
        <v>BAACTC1</v>
      </c>
      <c r="E5" s="56"/>
      <c r="F5" s="56"/>
      <c r="G5" s="56"/>
      <c r="H5" s="56"/>
      <c r="I5" s="56"/>
      <c r="J5" s="56"/>
      <c r="K5" s="56"/>
      <c r="L5" s="57"/>
      <c r="M5" s="56"/>
      <c r="N5" s="56"/>
      <c r="O5" s="56"/>
      <c r="P5" s="56"/>
      <c r="Q5" s="56"/>
      <c r="R5" s="56"/>
      <c r="S5" s="56"/>
      <c r="T5" s="57"/>
    </row>
    <row r="6" spans="1:20" x14ac:dyDescent="0.25">
      <c r="A6" s="52" t="s">
        <v>185</v>
      </c>
      <c r="B6" s="53">
        <v>1</v>
      </c>
      <c r="C6" s="54" t="s">
        <v>76</v>
      </c>
      <c r="D6" s="55" t="str">
        <f>C6&amp;B6</f>
        <v>BABUSC1</v>
      </c>
      <c r="E6" s="56"/>
      <c r="F6" s="56"/>
      <c r="G6" s="56"/>
      <c r="H6" s="56"/>
      <c r="I6" s="56"/>
      <c r="J6" s="56"/>
      <c r="K6" s="56"/>
      <c r="L6" s="57"/>
      <c r="M6" s="56"/>
      <c r="N6" s="56"/>
      <c r="O6" s="56"/>
      <c r="P6" s="56"/>
      <c r="Q6" s="56"/>
      <c r="R6" s="56"/>
      <c r="S6" s="56"/>
      <c r="T6" s="57"/>
    </row>
    <row r="7" spans="1:20" x14ac:dyDescent="0.25">
      <c r="A7" s="46" t="s">
        <v>186</v>
      </c>
      <c r="B7" s="47"/>
      <c r="C7" s="48"/>
      <c r="D7" s="49"/>
      <c r="E7" s="50"/>
      <c r="F7" s="50"/>
      <c r="G7" s="50"/>
      <c r="H7" s="50"/>
      <c r="I7" s="50"/>
      <c r="J7" s="50"/>
      <c r="K7" s="50"/>
      <c r="L7" s="58"/>
      <c r="M7" s="50"/>
      <c r="N7" s="50"/>
      <c r="O7" s="50"/>
      <c r="P7" s="50"/>
      <c r="Q7" s="50"/>
      <c r="R7" s="50"/>
      <c r="S7" s="50"/>
      <c r="T7" s="58"/>
    </row>
    <row r="8" spans="1:20" ht="15" customHeight="1" x14ac:dyDescent="0.25">
      <c r="A8" s="52" t="s">
        <v>183</v>
      </c>
      <c r="B8" s="53">
        <v>1</v>
      </c>
      <c r="C8" s="54" t="s">
        <v>77</v>
      </c>
      <c r="D8" s="55" t="str">
        <f t="shared" ref="D8:D19" si="0">C8&amp;B8</f>
        <v>BAACTD1</v>
      </c>
      <c r="E8" s="56"/>
      <c r="F8" s="56"/>
      <c r="G8" s="56"/>
      <c r="H8" s="56"/>
      <c r="I8" s="56"/>
      <c r="J8" s="56"/>
      <c r="K8" s="56"/>
      <c r="L8" s="57"/>
      <c r="M8" s="56"/>
      <c r="N8" s="56"/>
      <c r="O8" s="56"/>
      <c r="P8" s="56"/>
      <c r="Q8" s="56"/>
      <c r="R8" s="56"/>
      <c r="S8" s="56"/>
      <c r="T8" s="57"/>
    </row>
    <row r="9" spans="1:20" ht="15" customHeight="1" x14ac:dyDescent="0.25">
      <c r="A9" s="52"/>
      <c r="B9" s="53">
        <v>2</v>
      </c>
      <c r="C9" s="54" t="s">
        <v>77</v>
      </c>
      <c r="D9" s="55" t="str">
        <f t="shared" si="0"/>
        <v>BAACTD2</v>
      </c>
      <c r="E9" s="56"/>
      <c r="F9" s="56"/>
      <c r="G9" s="56"/>
      <c r="H9" s="56"/>
      <c r="I9" s="56"/>
      <c r="J9" s="56"/>
      <c r="K9" s="56"/>
      <c r="L9" s="57"/>
      <c r="M9" s="56"/>
      <c r="N9" s="56"/>
      <c r="O9" s="56"/>
      <c r="P9" s="56"/>
      <c r="Q9" s="56"/>
      <c r="R9" s="56"/>
      <c r="S9" s="56"/>
      <c r="T9" s="57"/>
    </row>
    <row r="10" spans="1:20" ht="15" customHeight="1" x14ac:dyDescent="0.25">
      <c r="A10" s="52" t="s">
        <v>185</v>
      </c>
      <c r="B10" s="53">
        <v>1</v>
      </c>
      <c r="C10" s="54" t="s">
        <v>78</v>
      </c>
      <c r="D10" s="55" t="str">
        <f t="shared" si="0"/>
        <v>BABUSD1</v>
      </c>
      <c r="E10" s="56"/>
      <c r="F10" s="56"/>
      <c r="G10" s="56"/>
      <c r="H10" s="56"/>
      <c r="I10" s="56"/>
      <c r="J10" s="56"/>
      <c r="K10" s="56"/>
      <c r="L10" s="57"/>
      <c r="M10" s="56"/>
      <c r="N10" s="56"/>
      <c r="O10" s="56"/>
      <c r="P10" s="56"/>
      <c r="Q10" s="56"/>
      <c r="R10" s="56"/>
      <c r="S10" s="56"/>
      <c r="T10" s="57"/>
    </row>
    <row r="11" spans="1:20" ht="15" customHeight="1" x14ac:dyDescent="0.25">
      <c r="A11" s="52"/>
      <c r="B11" s="53">
        <v>2</v>
      </c>
      <c r="C11" s="54" t="s">
        <v>78</v>
      </c>
      <c r="D11" s="55" t="str">
        <f t="shared" si="0"/>
        <v>BABUSD2</v>
      </c>
      <c r="E11" s="56"/>
      <c r="F11" s="56"/>
      <c r="G11" s="56"/>
      <c r="H11" s="56"/>
      <c r="I11" s="56"/>
      <c r="J11" s="56"/>
      <c r="K11" s="56"/>
      <c r="L11" s="57"/>
      <c r="M11" s="56"/>
      <c r="N11" s="56"/>
      <c r="O11" s="56"/>
      <c r="P11" s="56"/>
      <c r="Q11" s="56"/>
      <c r="R11" s="56"/>
      <c r="S11" s="56"/>
      <c r="T11" s="57"/>
    </row>
    <row r="12" spans="1:20" ht="15" customHeight="1" x14ac:dyDescent="0.25">
      <c r="A12" s="52" t="s">
        <v>187</v>
      </c>
      <c r="B12" s="53">
        <v>1</v>
      </c>
      <c r="C12" s="54" t="s">
        <v>79</v>
      </c>
      <c r="D12" s="55" t="str">
        <f t="shared" si="0"/>
        <v>BAESPM1</v>
      </c>
      <c r="E12" s="56"/>
      <c r="F12" s="56"/>
      <c r="G12" s="56"/>
      <c r="H12" s="56"/>
      <c r="I12" s="56"/>
      <c r="J12" s="56"/>
      <c r="K12" s="56"/>
      <c r="L12" s="57"/>
      <c r="M12" s="56"/>
      <c r="N12" s="56"/>
      <c r="O12" s="56"/>
      <c r="P12" s="56"/>
      <c r="Q12" s="56"/>
      <c r="R12" s="56"/>
      <c r="S12" s="56"/>
      <c r="T12" s="57"/>
    </row>
    <row r="13" spans="1:20" ht="15" customHeight="1" x14ac:dyDescent="0.25">
      <c r="A13" s="52"/>
      <c r="B13" s="53">
        <v>2</v>
      </c>
      <c r="C13" s="54" t="s">
        <v>79</v>
      </c>
      <c r="D13" s="55" t="str">
        <f t="shared" si="0"/>
        <v>BAESPM2</v>
      </c>
      <c r="E13" s="56"/>
      <c r="F13" s="56"/>
      <c r="G13" s="56"/>
      <c r="H13" s="56"/>
      <c r="I13" s="56"/>
      <c r="J13" s="56"/>
      <c r="K13" s="56"/>
      <c r="L13" s="57"/>
      <c r="M13" s="56"/>
      <c r="N13" s="56"/>
      <c r="O13" s="56"/>
      <c r="P13" s="56"/>
      <c r="Q13" s="56"/>
      <c r="R13" s="56"/>
      <c r="S13" s="56"/>
      <c r="T13" s="57"/>
    </row>
    <row r="14" spans="1:20" ht="15" customHeight="1" x14ac:dyDescent="0.25">
      <c r="A14" s="52" t="s">
        <v>153</v>
      </c>
      <c r="B14" s="53">
        <v>1</v>
      </c>
      <c r="C14" s="54" t="s">
        <v>135</v>
      </c>
      <c r="D14" s="55" t="str">
        <f t="shared" si="0"/>
        <v>BAHRMD1</v>
      </c>
      <c r="E14" s="56"/>
      <c r="F14" s="56"/>
      <c r="G14" s="56"/>
      <c r="H14" s="56"/>
      <c r="I14" s="56"/>
      <c r="J14" s="56"/>
      <c r="K14" s="56"/>
      <c r="L14" s="57"/>
      <c r="M14" s="56"/>
      <c r="N14" s="56"/>
      <c r="O14" s="56"/>
      <c r="P14" s="56"/>
      <c r="Q14" s="56"/>
      <c r="R14" s="56"/>
      <c r="S14" s="56"/>
      <c r="T14" s="57"/>
    </row>
    <row r="15" spans="1:20" ht="15" customHeight="1" x14ac:dyDescent="0.25">
      <c r="A15" s="52"/>
      <c r="B15" s="53">
        <v>2</v>
      </c>
      <c r="C15" s="54" t="s">
        <v>135</v>
      </c>
      <c r="D15" s="55" t="str">
        <f t="shared" si="0"/>
        <v>BAHRMD2</v>
      </c>
      <c r="E15" s="56"/>
      <c r="F15" s="56"/>
      <c r="G15" s="56"/>
      <c r="H15" s="56"/>
      <c r="I15" s="56"/>
      <c r="J15" s="56"/>
      <c r="K15" s="56"/>
      <c r="L15" s="57"/>
      <c r="M15" s="56"/>
      <c r="N15" s="56"/>
      <c r="O15" s="56"/>
      <c r="P15" s="56"/>
      <c r="Q15" s="56"/>
      <c r="R15" s="56"/>
      <c r="S15" s="56"/>
      <c r="T15" s="57"/>
    </row>
    <row r="16" spans="1:20" ht="15" customHeight="1" x14ac:dyDescent="0.25">
      <c r="A16" s="52" t="s">
        <v>188</v>
      </c>
      <c r="B16" s="53">
        <v>1</v>
      </c>
      <c r="C16" s="54" t="s">
        <v>149</v>
      </c>
      <c r="D16" s="55" t="str">
        <f t="shared" si="0"/>
        <v>GSCMD1</v>
      </c>
      <c r="E16" s="56"/>
      <c r="F16" s="56"/>
      <c r="G16" s="56"/>
      <c r="H16" s="56"/>
      <c r="I16" s="56"/>
      <c r="J16" s="56"/>
      <c r="K16" s="56"/>
      <c r="L16" s="57"/>
      <c r="M16" s="56"/>
      <c r="N16" s="56"/>
      <c r="O16" s="56"/>
      <c r="P16" s="56"/>
      <c r="Q16" s="56"/>
      <c r="R16" s="56"/>
      <c r="S16" s="56"/>
      <c r="T16" s="57"/>
    </row>
    <row r="17" spans="1:20" ht="15" customHeight="1" x14ac:dyDescent="0.25">
      <c r="A17" s="52"/>
      <c r="B17" s="53">
        <v>2</v>
      </c>
      <c r="C17" s="54" t="s">
        <v>149</v>
      </c>
      <c r="D17" s="55" t="str">
        <f t="shared" si="0"/>
        <v>GSCMD2</v>
      </c>
      <c r="E17" s="56"/>
      <c r="F17" s="56"/>
      <c r="G17" s="56"/>
      <c r="H17" s="56"/>
      <c r="I17" s="56"/>
      <c r="J17" s="56"/>
      <c r="K17" s="56"/>
      <c r="L17" s="57"/>
      <c r="M17" s="56"/>
      <c r="N17" s="56"/>
      <c r="O17" s="56"/>
      <c r="P17" s="56"/>
      <c r="Q17" s="56"/>
      <c r="R17" s="56"/>
      <c r="S17" s="56"/>
      <c r="T17" s="57"/>
    </row>
    <row r="18" spans="1:20" ht="15" customHeight="1" x14ac:dyDescent="0.25">
      <c r="A18" s="52" t="s">
        <v>189</v>
      </c>
      <c r="B18" s="53">
        <v>1</v>
      </c>
      <c r="C18" s="54" t="s">
        <v>155</v>
      </c>
      <c r="D18" s="55" t="str">
        <f t="shared" si="0"/>
        <v>DIGMD1</v>
      </c>
      <c r="E18" s="56"/>
      <c r="F18" s="56"/>
      <c r="G18" s="56"/>
      <c r="H18" s="56"/>
      <c r="I18" s="56"/>
      <c r="J18" s="56"/>
      <c r="K18" s="56"/>
      <c r="L18" s="57"/>
      <c r="M18" s="56"/>
      <c r="N18" s="56"/>
      <c r="O18" s="56"/>
      <c r="P18" s="56"/>
      <c r="Q18" s="56"/>
      <c r="R18" s="56"/>
      <c r="S18" s="56"/>
      <c r="T18" s="57"/>
    </row>
    <row r="19" spans="1:20" ht="15" customHeight="1" x14ac:dyDescent="0.25">
      <c r="A19" s="52"/>
      <c r="B19" s="53">
        <v>2</v>
      </c>
      <c r="C19" s="54" t="s">
        <v>155</v>
      </c>
      <c r="D19" s="55" t="str">
        <f t="shared" si="0"/>
        <v>DIGMD2</v>
      </c>
      <c r="E19" s="56"/>
      <c r="F19" s="56"/>
      <c r="G19" s="56"/>
      <c r="H19" s="56"/>
      <c r="I19" s="56"/>
      <c r="J19" s="56"/>
      <c r="K19" s="56"/>
      <c r="L19" s="57"/>
      <c r="M19" s="56"/>
      <c r="N19" s="56"/>
      <c r="O19" s="56"/>
      <c r="P19" s="56"/>
      <c r="Q19" s="56"/>
      <c r="R19" s="56"/>
      <c r="S19" s="56"/>
      <c r="T19" s="57"/>
    </row>
    <row r="20" spans="1:20" x14ac:dyDescent="0.25">
      <c r="A20" s="46" t="s">
        <v>190</v>
      </c>
      <c r="B20" s="47"/>
      <c r="C20" s="48"/>
      <c r="D20" s="49"/>
      <c r="E20" s="50"/>
      <c r="F20" s="50"/>
      <c r="G20" s="50"/>
      <c r="H20" s="50"/>
      <c r="I20" s="50"/>
      <c r="J20" s="50"/>
      <c r="K20" s="50"/>
      <c r="L20" s="58"/>
      <c r="M20" s="50"/>
      <c r="N20" s="50"/>
      <c r="O20" s="50"/>
      <c r="P20" s="50"/>
      <c r="Q20" s="50"/>
      <c r="R20" s="50"/>
      <c r="S20" s="50"/>
      <c r="T20" s="58"/>
    </row>
    <row r="21" spans="1:20" ht="15" customHeight="1" x14ac:dyDescent="0.25">
      <c r="A21" s="52" t="s">
        <v>183</v>
      </c>
      <c r="B21" s="53">
        <v>1</v>
      </c>
      <c r="C21" s="54" t="s">
        <v>81</v>
      </c>
      <c r="D21" s="55" t="str">
        <f t="shared" ref="D21:D24" si="1">C21&amp;B21</f>
        <v>BAATCO1</v>
      </c>
      <c r="E21" s="56"/>
      <c r="F21" s="56"/>
      <c r="G21" s="56"/>
      <c r="H21" s="56"/>
      <c r="I21" s="56"/>
      <c r="J21" s="56"/>
      <c r="K21" s="56"/>
      <c r="L21" s="57"/>
      <c r="M21" s="56"/>
      <c r="N21" s="56"/>
      <c r="O21" s="56"/>
      <c r="P21" s="56"/>
      <c r="Q21" s="56"/>
      <c r="R21" s="56"/>
      <c r="S21" s="56"/>
      <c r="T21" s="57"/>
    </row>
    <row r="22" spans="1:20" ht="15" customHeight="1" x14ac:dyDescent="0.25">
      <c r="A22" s="52"/>
      <c r="B22" s="53">
        <v>2</v>
      </c>
      <c r="C22" s="54" t="s">
        <v>81</v>
      </c>
      <c r="D22" s="55" t="str">
        <f t="shared" si="1"/>
        <v>BAATCO2</v>
      </c>
      <c r="E22" s="56"/>
      <c r="F22" s="56"/>
      <c r="G22" s="56"/>
      <c r="H22" s="56"/>
      <c r="I22" s="56"/>
      <c r="J22" s="56"/>
      <c r="K22" s="56"/>
      <c r="L22" s="57"/>
      <c r="M22" s="56"/>
      <c r="N22" s="56"/>
      <c r="O22" s="56"/>
      <c r="P22" s="56"/>
      <c r="Q22" s="56"/>
      <c r="R22" s="56"/>
      <c r="S22" s="56"/>
      <c r="T22" s="57"/>
    </row>
    <row r="23" spans="1:20" ht="15" customHeight="1" x14ac:dyDescent="0.25">
      <c r="A23" s="52" t="s">
        <v>185</v>
      </c>
      <c r="B23" s="53">
        <v>1</v>
      </c>
      <c r="C23" s="54" t="s">
        <v>83</v>
      </c>
      <c r="D23" s="55" t="str">
        <f t="shared" si="1"/>
        <v>BABSCO1</v>
      </c>
      <c r="E23" s="56"/>
      <c r="F23" s="56"/>
      <c r="G23" s="56"/>
      <c r="H23" s="56"/>
      <c r="I23" s="56"/>
      <c r="J23" s="56"/>
      <c r="K23" s="56"/>
      <c r="L23" s="57"/>
      <c r="M23" s="56"/>
      <c r="N23" s="56"/>
      <c r="O23" s="56"/>
      <c r="P23" s="56"/>
      <c r="Q23" s="56"/>
      <c r="R23" s="56"/>
      <c r="S23" s="56"/>
      <c r="T23" s="57"/>
    </row>
    <row r="24" spans="1:20" ht="15" customHeight="1" x14ac:dyDescent="0.25">
      <c r="A24" s="52"/>
      <c r="B24" s="53">
        <v>2</v>
      </c>
      <c r="C24" s="54" t="s">
        <v>83</v>
      </c>
      <c r="D24" s="55" t="str">
        <f t="shared" si="1"/>
        <v>BABSCO2</v>
      </c>
      <c r="E24" s="56"/>
      <c r="F24" s="56"/>
      <c r="G24" s="56"/>
      <c r="H24" s="56"/>
      <c r="I24" s="56"/>
      <c r="J24" s="56"/>
      <c r="K24" s="56"/>
      <c r="L24" s="57"/>
      <c r="M24" s="56"/>
      <c r="N24" s="56"/>
      <c r="O24" s="56"/>
      <c r="P24" s="56"/>
      <c r="Q24" s="56"/>
      <c r="R24" s="56"/>
      <c r="S24" s="56"/>
      <c r="T24" s="57"/>
    </row>
    <row r="25" spans="1:20" x14ac:dyDescent="0.25">
      <c r="A25" s="46" t="s">
        <v>191</v>
      </c>
      <c r="B25" s="47"/>
      <c r="C25" s="48"/>
      <c r="D25" s="49"/>
      <c r="E25" s="50"/>
      <c r="F25" s="50"/>
      <c r="G25" s="50"/>
      <c r="H25" s="50"/>
      <c r="I25" s="50"/>
      <c r="J25" s="50"/>
      <c r="K25" s="50"/>
      <c r="L25" s="58"/>
      <c r="M25" s="50"/>
      <c r="N25" s="50"/>
      <c r="O25" s="50"/>
      <c r="P25" s="50"/>
      <c r="Q25" s="50"/>
      <c r="R25" s="50"/>
      <c r="S25" s="50"/>
      <c r="T25" s="58"/>
    </row>
    <row r="26" spans="1:20" ht="15" customHeight="1" x14ac:dyDescent="0.25">
      <c r="A26" s="52" t="s">
        <v>192</v>
      </c>
      <c r="B26" s="53">
        <v>1</v>
      </c>
      <c r="C26" s="54" t="s">
        <v>85</v>
      </c>
      <c r="D26" s="55" t="str">
        <f t="shared" ref="D26:D29" si="2">C26&amp;B26</f>
        <v>NAO1</v>
      </c>
      <c r="E26" s="56"/>
      <c r="F26" s="56"/>
      <c r="G26" s="56"/>
      <c r="H26" s="56"/>
      <c r="I26" s="56"/>
      <c r="J26" s="56"/>
      <c r="K26" s="56"/>
      <c r="L26" s="57"/>
      <c r="M26" s="56"/>
      <c r="N26" s="56"/>
      <c r="O26" s="56"/>
      <c r="P26" s="56"/>
      <c r="Q26" s="56"/>
      <c r="R26" s="56"/>
      <c r="S26" s="56"/>
      <c r="T26" s="57"/>
    </row>
    <row r="27" spans="1:20" ht="15" customHeight="1" x14ac:dyDescent="0.25">
      <c r="A27" s="52"/>
      <c r="B27" s="53">
        <v>2</v>
      </c>
      <c r="C27" s="54" t="s">
        <v>85</v>
      </c>
      <c r="D27" s="55" t="str">
        <f t="shared" si="2"/>
        <v>NAO2</v>
      </c>
      <c r="E27" s="56"/>
      <c r="F27" s="56"/>
      <c r="G27" s="56"/>
      <c r="H27" s="56"/>
      <c r="I27" s="56"/>
      <c r="J27" s="56"/>
      <c r="K27" s="56"/>
      <c r="L27" s="57"/>
      <c r="M27" s="56"/>
      <c r="N27" s="56"/>
      <c r="O27" s="56"/>
      <c r="P27" s="56"/>
      <c r="Q27" s="56"/>
      <c r="R27" s="56"/>
      <c r="S27" s="56"/>
      <c r="T27" s="57"/>
    </row>
    <row r="28" spans="1:20" ht="15" customHeight="1" x14ac:dyDescent="0.25">
      <c r="A28" s="52" t="s">
        <v>193</v>
      </c>
      <c r="B28" s="53">
        <v>1</v>
      </c>
      <c r="C28" s="54" t="s">
        <v>84</v>
      </c>
      <c r="D28" s="55" t="str">
        <f t="shared" si="2"/>
        <v>ALO1</v>
      </c>
      <c r="E28" s="56"/>
      <c r="F28" s="56"/>
      <c r="G28" s="56"/>
      <c r="H28" s="56"/>
      <c r="I28" s="56"/>
      <c r="J28" s="56"/>
      <c r="K28" s="56"/>
      <c r="L28" s="57"/>
      <c r="M28" s="56"/>
      <c r="N28" s="56"/>
      <c r="O28" s="56"/>
      <c r="P28" s="56"/>
      <c r="Q28" s="56"/>
      <c r="R28" s="56"/>
      <c r="S28" s="56"/>
      <c r="T28" s="57"/>
    </row>
    <row r="29" spans="1:20" ht="15" customHeight="1" x14ac:dyDescent="0.25">
      <c r="A29" s="52"/>
      <c r="B29" s="53">
        <v>2</v>
      </c>
      <c r="C29" s="54" t="s">
        <v>84</v>
      </c>
      <c r="D29" s="55" t="str">
        <f t="shared" si="2"/>
        <v>ALO2</v>
      </c>
      <c r="E29" s="56"/>
      <c r="F29" s="56"/>
      <c r="G29" s="56"/>
      <c r="H29" s="56"/>
      <c r="I29" s="56"/>
      <c r="J29" s="56"/>
      <c r="K29" s="56"/>
      <c r="L29" s="57"/>
      <c r="M29" s="56"/>
      <c r="N29" s="56"/>
      <c r="O29" s="56"/>
      <c r="P29" s="56"/>
      <c r="Q29" s="56"/>
      <c r="R29" s="56"/>
      <c r="S29" s="56"/>
      <c r="T29" s="57"/>
    </row>
    <row r="30" spans="1:20" x14ac:dyDescent="0.25">
      <c r="A30" s="46" t="s">
        <v>194</v>
      </c>
      <c r="B30" s="47"/>
      <c r="C30" s="48"/>
      <c r="D30" s="49"/>
      <c r="E30" s="50"/>
      <c r="F30" s="50"/>
      <c r="G30" s="50"/>
      <c r="H30" s="50"/>
      <c r="I30" s="50"/>
      <c r="J30" s="50"/>
      <c r="K30" s="50"/>
      <c r="L30" s="58"/>
      <c r="M30" s="50"/>
      <c r="N30" s="50"/>
      <c r="O30" s="50"/>
      <c r="P30" s="50"/>
      <c r="Q30" s="50"/>
      <c r="R30" s="50"/>
      <c r="S30" s="50"/>
      <c r="T30" s="58"/>
    </row>
    <row r="31" spans="1:20" ht="15" customHeight="1" x14ac:dyDescent="0.25">
      <c r="A31" s="52" t="s">
        <v>194</v>
      </c>
      <c r="B31" s="53">
        <v>1</v>
      </c>
      <c r="C31" s="54" t="s">
        <v>195</v>
      </c>
      <c r="D31" s="55" t="str">
        <f t="shared" ref="D31:D34" si="3">C31&amp;B31</f>
        <v>HATM1</v>
      </c>
      <c r="E31" s="56"/>
      <c r="F31" s="56"/>
      <c r="G31" s="56"/>
      <c r="H31" s="56"/>
      <c r="I31" s="56"/>
      <c r="J31" s="56"/>
      <c r="K31" s="56"/>
      <c r="L31" s="57"/>
      <c r="M31" s="56"/>
      <c r="N31" s="56"/>
      <c r="O31" s="56"/>
      <c r="P31" s="56"/>
      <c r="Q31" s="56"/>
      <c r="R31" s="56"/>
      <c r="S31" s="56"/>
      <c r="T31" s="57"/>
    </row>
    <row r="32" spans="1:20" ht="15" customHeight="1" x14ac:dyDescent="0.25">
      <c r="A32" s="52"/>
      <c r="B32" s="53">
        <v>2</v>
      </c>
      <c r="C32" s="54" t="s">
        <v>195</v>
      </c>
      <c r="D32" s="55" t="str">
        <f t="shared" si="3"/>
        <v>HATM2</v>
      </c>
      <c r="E32" s="56"/>
      <c r="F32" s="56"/>
      <c r="G32" s="56"/>
      <c r="H32" s="56"/>
      <c r="I32" s="56"/>
      <c r="J32" s="56"/>
      <c r="K32" s="56"/>
      <c r="L32" s="57"/>
      <c r="M32" s="56"/>
      <c r="N32" s="56"/>
      <c r="O32" s="56"/>
      <c r="P32" s="56"/>
      <c r="Q32" s="56"/>
      <c r="R32" s="56"/>
      <c r="S32" s="56"/>
      <c r="T32" s="57"/>
    </row>
    <row r="33" spans="1:20" ht="15" customHeight="1" x14ac:dyDescent="0.25">
      <c r="A33" s="52" t="s">
        <v>156</v>
      </c>
      <c r="B33" s="53">
        <v>1</v>
      </c>
      <c r="C33" s="54" t="s">
        <v>136</v>
      </c>
      <c r="D33" s="55" t="str">
        <f t="shared" si="3"/>
        <v>HOSMNG1</v>
      </c>
      <c r="E33" s="56"/>
      <c r="F33" s="56"/>
      <c r="G33" s="56"/>
      <c r="H33" s="56"/>
      <c r="I33" s="56"/>
      <c r="J33" s="56"/>
      <c r="K33" s="56"/>
      <c r="L33" s="57"/>
      <c r="M33" s="56"/>
      <c r="N33" s="56"/>
      <c r="O33" s="56"/>
      <c r="P33" s="56"/>
      <c r="Q33" s="56"/>
      <c r="R33" s="56"/>
      <c r="S33" s="56"/>
      <c r="T33" s="57"/>
    </row>
    <row r="34" spans="1:20" ht="15" customHeight="1" x14ac:dyDescent="0.25">
      <c r="A34" s="52"/>
      <c r="B34" s="53">
        <v>2</v>
      </c>
      <c r="C34" s="54" t="s">
        <v>136</v>
      </c>
      <c r="D34" s="55" t="str">
        <f t="shared" si="3"/>
        <v>HOSMNG2</v>
      </c>
      <c r="E34" s="56"/>
      <c r="F34" s="56"/>
      <c r="G34" s="56"/>
      <c r="H34" s="56"/>
      <c r="I34" s="56"/>
      <c r="J34" s="56"/>
      <c r="K34" s="56"/>
      <c r="L34" s="57"/>
      <c r="M34" s="56"/>
      <c r="N34" s="56"/>
      <c r="O34" s="56"/>
      <c r="P34" s="56"/>
      <c r="Q34" s="56"/>
      <c r="R34" s="56"/>
      <c r="S34" s="56"/>
      <c r="T34" s="57"/>
    </row>
    <row r="35" spans="1:20" x14ac:dyDescent="0.25">
      <c r="A35" s="46" t="s">
        <v>86</v>
      </c>
      <c r="B35" s="47"/>
      <c r="C35" s="48"/>
      <c r="D35" s="49"/>
      <c r="E35" s="50"/>
      <c r="F35" s="50"/>
      <c r="G35" s="50"/>
      <c r="H35" s="50"/>
      <c r="I35" s="50"/>
      <c r="J35" s="50"/>
      <c r="K35" s="50"/>
      <c r="L35" s="58"/>
      <c r="M35" s="50"/>
      <c r="N35" s="50"/>
      <c r="O35" s="50"/>
      <c r="P35" s="50"/>
      <c r="Q35" s="50"/>
      <c r="R35" s="50"/>
      <c r="S35" s="50"/>
      <c r="T35" s="58"/>
    </row>
    <row r="36" spans="1:20" ht="15" customHeight="1" x14ac:dyDescent="0.25">
      <c r="A36" s="52" t="s">
        <v>86</v>
      </c>
      <c r="B36" s="53">
        <v>1</v>
      </c>
      <c r="C36" s="54" t="s">
        <v>87</v>
      </c>
      <c r="D36" s="55" t="str">
        <f>C36&amp;B36</f>
        <v>BAHRMC1</v>
      </c>
      <c r="E36" s="56"/>
      <c r="F36" s="56"/>
      <c r="G36" s="56"/>
      <c r="H36" s="56"/>
      <c r="I36" s="56"/>
      <c r="J36" s="56"/>
      <c r="K36" s="56"/>
      <c r="L36" s="57"/>
      <c r="M36" s="56"/>
      <c r="N36" s="56"/>
      <c r="O36" s="56"/>
      <c r="P36" s="56"/>
      <c r="Q36" s="56"/>
      <c r="R36" s="56"/>
      <c r="S36" s="56"/>
      <c r="T36" s="57"/>
    </row>
    <row r="37" spans="1:20" x14ac:dyDescent="0.25">
      <c r="A37" s="46" t="s">
        <v>157</v>
      </c>
      <c r="B37" s="47"/>
      <c r="C37" s="48"/>
      <c r="D37" s="49"/>
      <c r="E37" s="50"/>
      <c r="F37" s="50"/>
      <c r="G37" s="50"/>
      <c r="H37" s="50"/>
      <c r="I37" s="50"/>
      <c r="J37" s="50"/>
      <c r="K37" s="50"/>
      <c r="L37" s="58"/>
      <c r="M37" s="50"/>
      <c r="N37" s="50"/>
      <c r="O37" s="50"/>
      <c r="P37" s="50"/>
      <c r="Q37" s="50"/>
      <c r="R37" s="50"/>
      <c r="S37" s="50"/>
      <c r="T37" s="58"/>
    </row>
    <row r="38" spans="1:20" ht="15" customHeight="1" x14ac:dyDescent="0.25">
      <c r="A38" s="52" t="s">
        <v>196</v>
      </c>
      <c r="B38" s="53">
        <v>1</v>
      </c>
      <c r="C38" s="54" t="s">
        <v>88</v>
      </c>
      <c r="D38" s="55" t="str">
        <f>C38&amp;B38</f>
        <v>OFAC1</v>
      </c>
      <c r="E38" s="56"/>
      <c r="F38" s="56"/>
      <c r="G38" s="56"/>
      <c r="H38" s="56"/>
      <c r="I38" s="56"/>
      <c r="J38" s="56"/>
      <c r="K38" s="56"/>
      <c r="L38" s="57"/>
      <c r="M38" s="56"/>
      <c r="N38" s="56"/>
      <c r="O38" s="56"/>
      <c r="P38" s="56"/>
      <c r="Q38" s="56"/>
      <c r="R38" s="56"/>
      <c r="S38" s="56"/>
      <c r="T38" s="57"/>
    </row>
    <row r="39" spans="1:20" x14ac:dyDescent="0.25">
      <c r="A39" s="46" t="s">
        <v>197</v>
      </c>
      <c r="B39" s="47"/>
      <c r="C39" s="48"/>
      <c r="D39" s="49"/>
      <c r="E39" s="50"/>
      <c r="F39" s="50"/>
      <c r="G39" s="50"/>
      <c r="H39" s="50"/>
      <c r="I39" s="50"/>
      <c r="J39" s="50"/>
      <c r="K39" s="50"/>
      <c r="L39" s="58"/>
      <c r="M39" s="50"/>
      <c r="N39" s="50"/>
      <c r="O39" s="50"/>
      <c r="P39" s="50"/>
      <c r="Q39" s="50"/>
      <c r="R39" s="50"/>
      <c r="S39" s="50"/>
      <c r="T39" s="58"/>
    </row>
    <row r="40" spans="1:20" ht="15" customHeight="1" x14ac:dyDescent="0.25">
      <c r="A40" s="52" t="s">
        <v>197</v>
      </c>
      <c r="B40" s="53">
        <v>1</v>
      </c>
      <c r="C40" s="54"/>
      <c r="D40" s="55" t="str">
        <f t="shared" ref="D40:D41" si="4">C40&amp;B40</f>
        <v>1</v>
      </c>
      <c r="E40" s="56"/>
      <c r="F40" s="56"/>
      <c r="G40" s="56"/>
      <c r="H40" s="56"/>
      <c r="I40" s="56"/>
      <c r="J40" s="56"/>
      <c r="K40" s="56"/>
      <c r="L40" s="57"/>
      <c r="M40" s="56"/>
      <c r="N40" s="56"/>
      <c r="O40" s="56"/>
      <c r="P40" s="56"/>
      <c r="Q40" s="56"/>
      <c r="R40" s="56"/>
      <c r="S40" s="56"/>
      <c r="T40" s="57"/>
    </row>
    <row r="41" spans="1:20" ht="15" customHeight="1" x14ac:dyDescent="0.25">
      <c r="A41" s="52"/>
      <c r="B41" s="53">
        <v>2</v>
      </c>
      <c r="C41" s="54"/>
      <c r="D41" s="55" t="str">
        <f t="shared" si="4"/>
        <v>2</v>
      </c>
      <c r="E41" s="56"/>
      <c r="F41" s="56"/>
      <c r="G41" s="56"/>
      <c r="H41" s="56"/>
      <c r="I41" s="56"/>
      <c r="J41" s="56"/>
      <c r="K41" s="56"/>
      <c r="L41" s="57"/>
      <c r="M41" s="56"/>
      <c r="N41" s="56"/>
      <c r="O41" s="56"/>
      <c r="P41" s="56"/>
      <c r="Q41" s="56"/>
      <c r="R41" s="56"/>
      <c r="S41" s="56"/>
      <c r="T41" s="57"/>
    </row>
    <row r="42" spans="1:20" ht="15" customHeight="1" x14ac:dyDescent="0.25">
      <c r="A42" s="173" t="s">
        <v>198</v>
      </c>
      <c r="B42" s="174"/>
      <c r="C42" s="59"/>
      <c r="D42" s="60"/>
      <c r="E42" s="61"/>
      <c r="F42" s="61"/>
      <c r="G42" s="61"/>
      <c r="H42" s="61"/>
      <c r="I42" s="61"/>
      <c r="J42" s="61"/>
      <c r="K42" s="61"/>
      <c r="L42" s="62"/>
      <c r="M42" s="61"/>
      <c r="N42" s="61"/>
      <c r="O42" s="61"/>
      <c r="P42" s="61"/>
      <c r="Q42" s="61"/>
      <c r="R42" s="61"/>
      <c r="S42" s="61"/>
      <c r="T42" s="62"/>
    </row>
    <row r="43" spans="1:20" x14ac:dyDescent="0.25">
      <c r="A43" s="46" t="s">
        <v>199</v>
      </c>
      <c r="B43" s="47"/>
      <c r="C43" s="48"/>
      <c r="D43" s="49"/>
      <c r="E43" s="50"/>
      <c r="F43" s="50"/>
      <c r="G43" s="50"/>
      <c r="H43" s="50"/>
      <c r="I43" s="50"/>
      <c r="J43" s="50"/>
      <c r="K43" s="50"/>
      <c r="L43" s="58"/>
      <c r="M43" s="50"/>
      <c r="N43" s="50"/>
      <c r="O43" s="50"/>
      <c r="P43" s="50"/>
      <c r="Q43" s="50"/>
      <c r="R43" s="50"/>
      <c r="S43" s="50"/>
      <c r="T43" s="58"/>
    </row>
    <row r="44" spans="1:20" ht="15" customHeight="1" x14ac:dyDescent="0.25">
      <c r="A44" s="52" t="s">
        <v>199</v>
      </c>
      <c r="B44" s="53">
        <v>1</v>
      </c>
      <c r="C44" s="54" t="s">
        <v>99</v>
      </c>
      <c r="D44" s="55" t="str">
        <f>C44&amp;B44</f>
        <v>EAP1</v>
      </c>
      <c r="E44" s="56"/>
      <c r="F44" s="56"/>
      <c r="G44" s="56"/>
      <c r="H44" s="56"/>
      <c r="I44" s="56"/>
      <c r="J44" s="56"/>
      <c r="K44" s="56"/>
      <c r="L44" s="57"/>
      <c r="M44" s="56"/>
      <c r="N44" s="56"/>
      <c r="O44" s="56"/>
      <c r="P44" s="56"/>
      <c r="Q44" s="56"/>
      <c r="R44" s="56"/>
      <c r="S44" s="56"/>
      <c r="T44" s="57"/>
    </row>
    <row r="45" spans="1:20" x14ac:dyDescent="0.25">
      <c r="A45" s="46" t="s">
        <v>200</v>
      </c>
      <c r="B45" s="47"/>
      <c r="C45" s="48"/>
      <c r="D45" s="49"/>
      <c r="E45" s="50"/>
      <c r="F45" s="50"/>
      <c r="G45" s="50"/>
      <c r="H45" s="50"/>
      <c r="I45" s="50"/>
      <c r="J45" s="50"/>
      <c r="K45" s="50"/>
      <c r="L45" s="58"/>
      <c r="M45" s="50"/>
      <c r="N45" s="50"/>
      <c r="O45" s="50"/>
      <c r="P45" s="50"/>
      <c r="Q45" s="50"/>
      <c r="R45" s="50"/>
      <c r="S45" s="50"/>
      <c r="T45" s="58"/>
    </row>
    <row r="46" spans="1:20" ht="15" customHeight="1" x14ac:dyDescent="0.25">
      <c r="A46" s="52" t="s">
        <v>90</v>
      </c>
      <c r="B46" s="53">
        <v>1</v>
      </c>
      <c r="C46" s="54" t="s">
        <v>91</v>
      </c>
      <c r="D46" s="55" t="str">
        <f t="shared" ref="D46:D49" si="5">C46&amp;B46</f>
        <v>HSAFA1</v>
      </c>
      <c r="E46" s="56"/>
      <c r="F46" s="56"/>
      <c r="G46" s="56"/>
      <c r="H46" s="56"/>
      <c r="I46" s="56"/>
      <c r="J46" s="56"/>
      <c r="K46" s="56"/>
      <c r="L46" s="57"/>
      <c r="M46" s="56"/>
      <c r="N46" s="56"/>
      <c r="O46" s="56"/>
      <c r="P46" s="56"/>
      <c r="Q46" s="56"/>
      <c r="R46" s="56"/>
      <c r="S46" s="56"/>
      <c r="T46" s="57"/>
    </row>
    <row r="47" spans="1:20" ht="15" customHeight="1" x14ac:dyDescent="0.25">
      <c r="A47" s="52" t="s">
        <v>92</v>
      </c>
      <c r="B47" s="53">
        <v>1</v>
      </c>
      <c r="C47" s="54" t="s">
        <v>93</v>
      </c>
      <c r="D47" s="55" t="str">
        <f t="shared" si="5"/>
        <v>HSAD1</v>
      </c>
      <c r="E47" s="56"/>
      <c r="F47" s="56"/>
      <c r="G47" s="56"/>
      <c r="H47" s="56"/>
      <c r="I47" s="56"/>
      <c r="J47" s="56"/>
      <c r="K47" s="56"/>
      <c r="L47" s="57"/>
      <c r="M47" s="56"/>
      <c r="N47" s="56"/>
      <c r="O47" s="56"/>
      <c r="P47" s="56"/>
      <c r="Q47" s="56"/>
      <c r="R47" s="56"/>
      <c r="S47" s="56"/>
      <c r="T47" s="57"/>
    </row>
    <row r="48" spans="1:20" ht="15" customHeight="1" x14ac:dyDescent="0.25">
      <c r="A48" s="52" t="s">
        <v>96</v>
      </c>
      <c r="B48" s="53">
        <v>1</v>
      </c>
      <c r="C48" s="54" t="s">
        <v>97</v>
      </c>
      <c r="D48" s="55" t="str">
        <f t="shared" si="5"/>
        <v>HSGD1</v>
      </c>
      <c r="E48" s="56"/>
      <c r="F48" s="56"/>
      <c r="G48" s="56"/>
      <c r="H48" s="56"/>
      <c r="I48" s="56"/>
      <c r="J48" s="56"/>
      <c r="K48" s="56"/>
      <c r="L48" s="57"/>
      <c r="M48" s="56"/>
      <c r="N48" s="56"/>
      <c r="O48" s="56"/>
      <c r="P48" s="56"/>
      <c r="Q48" s="56"/>
      <c r="R48" s="56"/>
      <c r="S48" s="56"/>
      <c r="T48" s="57"/>
    </row>
    <row r="49" spans="1:20" ht="15" customHeight="1" x14ac:dyDescent="0.25">
      <c r="A49" s="52" t="s">
        <v>94</v>
      </c>
      <c r="B49" s="53">
        <v>1</v>
      </c>
      <c r="C49" s="54" t="s">
        <v>95</v>
      </c>
      <c r="D49" s="55" t="str">
        <f t="shared" si="5"/>
        <v>HSNP1</v>
      </c>
      <c r="E49" s="56"/>
      <c r="F49" s="56"/>
      <c r="G49" s="56"/>
      <c r="H49" s="56"/>
      <c r="I49" s="56"/>
      <c r="J49" s="56"/>
      <c r="K49" s="56"/>
      <c r="L49" s="57"/>
      <c r="M49" s="56"/>
      <c r="N49" s="56"/>
      <c r="O49" s="56"/>
      <c r="P49" s="56"/>
      <c r="Q49" s="56"/>
      <c r="R49" s="56"/>
      <c r="S49" s="56"/>
      <c r="T49" s="57"/>
    </row>
    <row r="50" spans="1:20" ht="15" customHeight="1" x14ac:dyDescent="0.25">
      <c r="A50" s="173" t="s">
        <v>201</v>
      </c>
      <c r="B50" s="174"/>
      <c r="C50" s="59"/>
      <c r="D50" s="60"/>
      <c r="E50" s="61"/>
      <c r="F50" s="61"/>
      <c r="G50" s="61"/>
      <c r="H50" s="61"/>
      <c r="I50" s="61"/>
      <c r="J50" s="61"/>
      <c r="K50" s="61"/>
      <c r="L50" s="62"/>
      <c r="M50" s="61"/>
      <c r="N50" s="61"/>
      <c r="O50" s="61"/>
      <c r="P50" s="61"/>
      <c r="Q50" s="61"/>
      <c r="R50" s="61"/>
      <c r="S50" s="61"/>
      <c r="T50" s="62"/>
    </row>
    <row r="51" spans="1:20" x14ac:dyDescent="0.25">
      <c r="A51" s="46" t="s">
        <v>202</v>
      </c>
      <c r="B51" s="47"/>
      <c r="C51" s="48"/>
      <c r="D51" s="49"/>
      <c r="E51" s="50"/>
      <c r="F51" s="50"/>
      <c r="G51" s="50"/>
      <c r="H51" s="50"/>
      <c r="I51" s="50"/>
      <c r="J51" s="50"/>
      <c r="K51" s="50"/>
      <c r="L51" s="58"/>
      <c r="M51" s="50"/>
      <c r="N51" s="50"/>
      <c r="O51" s="50"/>
      <c r="P51" s="50"/>
      <c r="Q51" s="50"/>
      <c r="R51" s="50"/>
      <c r="S51" s="50"/>
      <c r="T51" s="58"/>
    </row>
    <row r="52" spans="1:20" ht="15" customHeight="1" x14ac:dyDescent="0.25">
      <c r="A52" s="52" t="s">
        <v>203</v>
      </c>
      <c r="B52" s="53">
        <v>1</v>
      </c>
      <c r="C52" s="54" t="s">
        <v>107</v>
      </c>
      <c r="D52" s="55" t="str">
        <f t="shared" ref="D52:D53" si="6">C52&amp;B52</f>
        <v>ENVTD1</v>
      </c>
      <c r="E52" s="56"/>
      <c r="F52" s="56"/>
      <c r="G52" s="56"/>
      <c r="H52" s="56"/>
      <c r="I52" s="56"/>
      <c r="J52" s="56"/>
      <c r="K52" s="56"/>
      <c r="L52" s="57"/>
      <c r="M52" s="56"/>
      <c r="N52" s="56"/>
      <c r="O52" s="56"/>
      <c r="P52" s="56"/>
      <c r="Q52" s="56"/>
      <c r="R52" s="56"/>
      <c r="S52" s="56"/>
      <c r="T52" s="57"/>
    </row>
    <row r="53" spans="1:20" ht="15" customHeight="1" x14ac:dyDescent="0.25">
      <c r="A53" s="52"/>
      <c r="B53" s="53">
        <v>2</v>
      </c>
      <c r="C53" s="54" t="s">
        <v>107</v>
      </c>
      <c r="D53" s="55" t="str">
        <f t="shared" si="6"/>
        <v>ENVTD2</v>
      </c>
      <c r="E53" s="56"/>
      <c r="F53" s="56"/>
      <c r="G53" s="56"/>
      <c r="H53" s="56"/>
      <c r="I53" s="56"/>
      <c r="J53" s="56"/>
      <c r="K53" s="56"/>
      <c r="L53" s="57"/>
      <c r="M53" s="56"/>
      <c r="N53" s="56"/>
      <c r="O53" s="56"/>
      <c r="P53" s="56"/>
      <c r="Q53" s="56"/>
      <c r="R53" s="56"/>
      <c r="S53" s="56"/>
      <c r="T53" s="57"/>
    </row>
    <row r="54" spans="1:20" x14ac:dyDescent="0.25">
      <c r="A54" s="46" t="s">
        <v>106</v>
      </c>
      <c r="B54" s="47"/>
      <c r="C54" s="48"/>
      <c r="D54" s="49"/>
      <c r="E54" s="50"/>
      <c r="F54" s="50"/>
      <c r="G54" s="50"/>
      <c r="H54" s="50"/>
      <c r="I54" s="50"/>
      <c r="J54" s="50"/>
      <c r="K54" s="50"/>
      <c r="L54" s="58"/>
      <c r="M54" s="50"/>
      <c r="N54" s="50"/>
      <c r="O54" s="50"/>
      <c r="P54" s="50"/>
      <c r="Q54" s="50"/>
      <c r="R54" s="50"/>
      <c r="S54" s="50"/>
      <c r="T54" s="58"/>
    </row>
    <row r="55" spans="1:20" ht="15" customHeight="1" x14ac:dyDescent="0.25">
      <c r="A55" s="52" t="s">
        <v>106</v>
      </c>
      <c r="B55" s="53">
        <v>1</v>
      </c>
      <c r="C55" s="54" t="s">
        <v>150</v>
      </c>
      <c r="D55" s="55" t="str">
        <f t="shared" ref="D55:D56" si="7">C55&amp;B55</f>
        <v>ENVNC1</v>
      </c>
      <c r="E55" s="56"/>
      <c r="F55" s="56"/>
      <c r="G55" s="56"/>
      <c r="H55" s="56"/>
      <c r="I55" s="56"/>
      <c r="J55" s="56"/>
      <c r="K55" s="56"/>
      <c r="L55" s="57"/>
      <c r="M55" s="56"/>
      <c r="N55" s="56"/>
      <c r="O55" s="56"/>
      <c r="P55" s="56"/>
      <c r="Q55" s="56"/>
      <c r="R55" s="56"/>
      <c r="S55" s="56"/>
      <c r="T55" s="57"/>
    </row>
    <row r="56" spans="1:20" ht="15" customHeight="1" x14ac:dyDescent="0.25">
      <c r="A56" s="52"/>
      <c r="B56" s="53">
        <v>2</v>
      </c>
      <c r="C56" s="54" t="s">
        <v>150</v>
      </c>
      <c r="D56" s="55" t="str">
        <f t="shared" si="7"/>
        <v>ENVNC2</v>
      </c>
      <c r="E56" s="56"/>
      <c r="F56" s="56"/>
      <c r="G56" s="56"/>
      <c r="H56" s="56"/>
      <c r="I56" s="56"/>
      <c r="J56" s="56"/>
      <c r="K56" s="56"/>
      <c r="L56" s="57"/>
      <c r="M56" s="56"/>
      <c r="N56" s="56"/>
      <c r="O56" s="56"/>
      <c r="P56" s="56"/>
      <c r="Q56" s="56"/>
      <c r="R56" s="56"/>
      <c r="S56" s="56"/>
      <c r="T56" s="57"/>
    </row>
    <row r="57" spans="1:20" x14ac:dyDescent="0.25">
      <c r="A57" s="46" t="s">
        <v>114</v>
      </c>
      <c r="B57" s="47"/>
      <c r="C57" s="48"/>
      <c r="D57" s="49"/>
      <c r="E57" s="50"/>
      <c r="F57" s="50"/>
      <c r="G57" s="50"/>
      <c r="H57" s="50"/>
      <c r="I57" s="50"/>
      <c r="J57" s="50"/>
      <c r="K57" s="50"/>
      <c r="L57" s="58"/>
      <c r="M57" s="50"/>
      <c r="N57" s="50"/>
      <c r="O57" s="50"/>
      <c r="P57" s="50"/>
      <c r="Q57" s="50"/>
      <c r="R57" s="50"/>
      <c r="S57" s="50"/>
      <c r="T57" s="58"/>
    </row>
    <row r="58" spans="1:20" ht="15" customHeight="1" x14ac:dyDescent="0.25">
      <c r="A58" s="52" t="s">
        <v>114</v>
      </c>
      <c r="B58" s="53">
        <v>1</v>
      </c>
      <c r="C58" s="54" t="s">
        <v>115</v>
      </c>
      <c r="D58" s="55" t="str">
        <f t="shared" ref="D58:D59" si="8">C58&amp;B58</f>
        <v>UTARTS1</v>
      </c>
      <c r="E58" s="56"/>
      <c r="F58" s="56"/>
      <c r="G58" s="56"/>
      <c r="H58" s="56"/>
      <c r="I58" s="56"/>
      <c r="J58" s="56"/>
      <c r="K58" s="56"/>
      <c r="L58" s="57"/>
      <c r="M58" s="56"/>
      <c r="N58" s="56"/>
      <c r="O58" s="56"/>
      <c r="P58" s="56"/>
      <c r="Q58" s="56"/>
      <c r="R58" s="56"/>
      <c r="S58" s="56"/>
      <c r="T58" s="57"/>
    </row>
    <row r="59" spans="1:20" ht="15" customHeight="1" x14ac:dyDescent="0.25">
      <c r="A59" s="52"/>
      <c r="B59" s="53">
        <v>2</v>
      </c>
      <c r="C59" s="54" t="s">
        <v>115</v>
      </c>
      <c r="D59" s="55" t="str">
        <f t="shared" si="8"/>
        <v>UTARTS2</v>
      </c>
      <c r="E59" s="56"/>
      <c r="F59" s="56"/>
      <c r="G59" s="56"/>
      <c r="H59" s="56"/>
      <c r="I59" s="56"/>
      <c r="J59" s="56"/>
      <c r="K59" s="56"/>
      <c r="L59" s="57"/>
      <c r="M59" s="56"/>
      <c r="N59" s="56"/>
      <c r="O59" s="56"/>
      <c r="P59" s="56"/>
      <c r="Q59" s="56"/>
      <c r="R59" s="56"/>
      <c r="S59" s="56"/>
      <c r="T59" s="57"/>
    </row>
    <row r="60" spans="1:20" x14ac:dyDescent="0.25">
      <c r="A60" s="46" t="s">
        <v>116</v>
      </c>
      <c r="B60" s="47"/>
      <c r="C60" s="48"/>
      <c r="D60" s="49"/>
      <c r="E60" s="50"/>
      <c r="F60" s="50"/>
      <c r="G60" s="50"/>
      <c r="H60" s="50"/>
      <c r="I60" s="50"/>
      <c r="J60" s="50"/>
      <c r="K60" s="50"/>
      <c r="L60" s="58"/>
      <c r="M60" s="50"/>
      <c r="N60" s="50"/>
      <c r="O60" s="50"/>
      <c r="P60" s="50"/>
      <c r="Q60" s="50"/>
      <c r="R60" s="50"/>
      <c r="S60" s="50"/>
      <c r="T60" s="58"/>
    </row>
    <row r="61" spans="1:20" ht="15" customHeight="1" x14ac:dyDescent="0.25">
      <c r="A61" s="52" t="s">
        <v>116</v>
      </c>
      <c r="B61" s="53">
        <v>1</v>
      </c>
      <c r="C61" s="54" t="s">
        <v>117</v>
      </c>
      <c r="D61" s="55" t="str">
        <f t="shared" ref="D61:D62" si="9">C61&amp;B61</f>
        <v>UTCOMM1</v>
      </c>
      <c r="E61" s="56"/>
      <c r="F61" s="56"/>
      <c r="G61" s="56"/>
      <c r="H61" s="56"/>
      <c r="I61" s="56"/>
      <c r="J61" s="56"/>
      <c r="K61" s="56"/>
      <c r="L61" s="57"/>
      <c r="M61" s="56"/>
      <c r="N61" s="56"/>
      <c r="O61" s="56"/>
      <c r="P61" s="56"/>
      <c r="Q61" s="56"/>
      <c r="R61" s="56"/>
      <c r="S61" s="56"/>
      <c r="T61" s="57"/>
    </row>
    <row r="62" spans="1:20" ht="15" customHeight="1" x14ac:dyDescent="0.25">
      <c r="A62" s="52"/>
      <c r="B62" s="53">
        <v>2</v>
      </c>
      <c r="C62" s="54" t="s">
        <v>117</v>
      </c>
      <c r="D62" s="55" t="str">
        <f t="shared" si="9"/>
        <v>UTCOMM2</v>
      </c>
      <c r="E62" s="56"/>
      <c r="F62" s="56"/>
      <c r="G62" s="56"/>
      <c r="H62" s="56"/>
      <c r="I62" s="56"/>
      <c r="J62" s="56"/>
      <c r="K62" s="56"/>
      <c r="L62" s="57"/>
      <c r="M62" s="56"/>
      <c r="N62" s="56"/>
      <c r="O62" s="56"/>
      <c r="P62" s="56"/>
      <c r="Q62" s="56"/>
      <c r="R62" s="56"/>
      <c r="S62" s="56"/>
      <c r="T62" s="57"/>
    </row>
    <row r="63" spans="1:20" x14ac:dyDescent="0.25">
      <c r="A63" s="46" t="s">
        <v>118</v>
      </c>
      <c r="B63" s="47"/>
      <c r="C63" s="48"/>
      <c r="D63" s="49"/>
      <c r="E63" s="50"/>
      <c r="F63" s="50"/>
      <c r="G63" s="50"/>
      <c r="H63" s="50"/>
      <c r="I63" s="50"/>
      <c r="J63" s="50"/>
      <c r="K63" s="50"/>
      <c r="L63" s="58"/>
      <c r="M63" s="50"/>
      <c r="N63" s="50"/>
      <c r="O63" s="50"/>
      <c r="P63" s="50"/>
      <c r="Q63" s="50"/>
      <c r="R63" s="50"/>
      <c r="S63" s="50"/>
      <c r="T63" s="58"/>
    </row>
    <row r="64" spans="1:20" ht="15" customHeight="1" x14ac:dyDescent="0.25">
      <c r="A64" s="52" t="s">
        <v>118</v>
      </c>
      <c r="B64" s="53">
        <v>1</v>
      </c>
      <c r="C64" s="54" t="s">
        <v>119</v>
      </c>
      <c r="D64" s="55" t="str">
        <f>C64&amp;B64</f>
        <v>UTENG1</v>
      </c>
      <c r="E64" s="56"/>
      <c r="F64" s="56"/>
      <c r="G64" s="56"/>
      <c r="H64" s="56"/>
      <c r="I64" s="56"/>
      <c r="J64" s="56"/>
      <c r="K64" s="56"/>
      <c r="L64" s="57"/>
      <c r="M64" s="56"/>
      <c r="N64" s="56"/>
      <c r="O64" s="56"/>
      <c r="P64" s="56"/>
      <c r="Q64" s="56"/>
      <c r="R64" s="56"/>
      <c r="S64" s="56"/>
      <c r="T64" s="57"/>
    </row>
    <row r="65" spans="1:20" x14ac:dyDescent="0.25">
      <c r="A65" s="46" t="s">
        <v>120</v>
      </c>
      <c r="B65" s="47"/>
      <c r="C65" s="48"/>
      <c r="D65" s="49"/>
      <c r="E65" s="50"/>
      <c r="F65" s="50"/>
      <c r="G65" s="50"/>
      <c r="H65" s="50"/>
      <c r="I65" s="50"/>
      <c r="J65" s="50"/>
      <c r="K65" s="50"/>
      <c r="L65" s="58"/>
      <c r="M65" s="50"/>
      <c r="N65" s="50"/>
      <c r="O65" s="50"/>
      <c r="P65" s="50"/>
      <c r="Q65" s="50"/>
      <c r="R65" s="50"/>
      <c r="S65" s="50"/>
      <c r="T65" s="58"/>
    </row>
    <row r="66" spans="1:20" ht="15" customHeight="1" x14ac:dyDescent="0.25">
      <c r="A66" s="52" t="s">
        <v>120</v>
      </c>
      <c r="B66" s="53">
        <v>1</v>
      </c>
      <c r="C66" s="54" t="s">
        <v>121</v>
      </c>
      <c r="D66" s="55" t="str">
        <f t="shared" ref="D66:D67" si="10">C66&amp;B66</f>
        <v>UTSCGS1</v>
      </c>
      <c r="E66" s="56"/>
      <c r="F66" s="56"/>
      <c r="G66" s="56"/>
      <c r="H66" s="56"/>
      <c r="I66" s="56"/>
      <c r="J66" s="56"/>
      <c r="K66" s="56"/>
      <c r="L66" s="57"/>
      <c r="M66" s="56"/>
      <c r="N66" s="56"/>
      <c r="O66" s="56"/>
      <c r="P66" s="56"/>
      <c r="Q66" s="56"/>
      <c r="R66" s="56"/>
      <c r="S66" s="56"/>
      <c r="T66" s="57"/>
    </row>
    <row r="67" spans="1:20" ht="15" customHeight="1" x14ac:dyDescent="0.25">
      <c r="A67" s="52"/>
      <c r="B67" s="53">
        <v>2</v>
      </c>
      <c r="C67" s="54" t="s">
        <v>121</v>
      </c>
      <c r="D67" s="55" t="str">
        <f t="shared" si="10"/>
        <v>UTSCGS2</v>
      </c>
      <c r="E67" s="56"/>
      <c r="F67" s="56"/>
      <c r="G67" s="56"/>
      <c r="H67" s="56"/>
      <c r="I67" s="56"/>
      <c r="J67" s="56"/>
      <c r="K67" s="56"/>
      <c r="L67" s="57"/>
      <c r="M67" s="56"/>
      <c r="N67" s="56"/>
      <c r="O67" s="56"/>
      <c r="P67" s="56"/>
      <c r="Q67" s="56"/>
      <c r="R67" s="56"/>
      <c r="S67" s="56"/>
      <c r="T67" s="57"/>
    </row>
    <row r="68" spans="1:20" x14ac:dyDescent="0.25">
      <c r="A68" s="46" t="s">
        <v>122</v>
      </c>
      <c r="B68" s="47"/>
      <c r="C68" s="48"/>
      <c r="D68" s="49"/>
      <c r="E68" s="50"/>
      <c r="F68" s="50"/>
      <c r="G68" s="50"/>
      <c r="H68" s="50"/>
      <c r="I68" s="50"/>
      <c r="J68" s="50"/>
      <c r="K68" s="50"/>
      <c r="L68" s="58"/>
      <c r="M68" s="50"/>
      <c r="N68" s="50"/>
      <c r="O68" s="50"/>
      <c r="P68" s="50"/>
      <c r="Q68" s="50"/>
      <c r="R68" s="50"/>
      <c r="S68" s="50"/>
      <c r="T68" s="58"/>
    </row>
    <row r="69" spans="1:20" ht="15" customHeight="1" x14ac:dyDescent="0.25">
      <c r="A69" s="52" t="s">
        <v>122</v>
      </c>
      <c r="B69" s="53">
        <v>1</v>
      </c>
      <c r="C69" s="54" t="s">
        <v>123</v>
      </c>
      <c r="D69" s="55" t="str">
        <f t="shared" ref="D69:D70" si="11">C69&amp;B69</f>
        <v>UTSCWK1</v>
      </c>
      <c r="E69" s="56"/>
      <c r="F69" s="56"/>
      <c r="G69" s="56"/>
      <c r="H69" s="56"/>
      <c r="I69" s="56"/>
      <c r="J69" s="56"/>
      <c r="K69" s="56"/>
      <c r="L69" s="57"/>
      <c r="M69" s="56"/>
      <c r="N69" s="56"/>
      <c r="O69" s="56"/>
      <c r="P69" s="56"/>
      <c r="Q69" s="56"/>
      <c r="R69" s="56"/>
      <c r="S69" s="56"/>
      <c r="T69" s="57"/>
    </row>
    <row r="70" spans="1:20" ht="15" customHeight="1" x14ac:dyDescent="0.25">
      <c r="A70" s="52"/>
      <c r="B70" s="53">
        <v>2</v>
      </c>
      <c r="C70" s="54" t="s">
        <v>123</v>
      </c>
      <c r="D70" s="55" t="str">
        <f t="shared" si="11"/>
        <v>UTSCWK2</v>
      </c>
      <c r="E70" s="56"/>
      <c r="F70" s="56"/>
      <c r="G70" s="56"/>
      <c r="H70" s="56"/>
      <c r="I70" s="56"/>
      <c r="J70" s="56"/>
      <c r="K70" s="56"/>
      <c r="L70" s="57"/>
      <c r="M70" s="56"/>
      <c r="N70" s="56"/>
      <c r="O70" s="56"/>
      <c r="P70" s="56"/>
      <c r="Q70" s="56"/>
      <c r="R70" s="56"/>
      <c r="S70" s="56"/>
      <c r="T70" s="57"/>
    </row>
    <row r="71" spans="1:20" x14ac:dyDescent="0.25">
      <c r="A71" s="46" t="s">
        <v>204</v>
      </c>
      <c r="B71" s="47"/>
      <c r="C71" s="48"/>
      <c r="D71" s="49"/>
      <c r="E71" s="50"/>
      <c r="F71" s="50"/>
      <c r="G71" s="50"/>
      <c r="H71" s="50"/>
      <c r="I71" s="50"/>
      <c r="J71" s="50"/>
      <c r="K71" s="50"/>
      <c r="L71" s="58"/>
      <c r="M71" s="50"/>
      <c r="N71" s="50"/>
      <c r="O71" s="50"/>
      <c r="P71" s="50"/>
      <c r="Q71" s="50"/>
      <c r="R71" s="50"/>
      <c r="S71" s="50"/>
      <c r="T71" s="58"/>
    </row>
    <row r="72" spans="1:20" ht="15" customHeight="1" x14ac:dyDescent="0.25">
      <c r="A72" s="52" t="s">
        <v>205</v>
      </c>
      <c r="B72" s="53">
        <v>1</v>
      </c>
      <c r="C72" s="54" t="s">
        <v>101</v>
      </c>
      <c r="D72" s="55" t="str">
        <f t="shared" ref="D72:D75" si="12">C72&amp;B72</f>
        <v>UTELEM1</v>
      </c>
      <c r="E72" s="56"/>
      <c r="F72" s="56"/>
      <c r="G72" s="56"/>
      <c r="H72" s="56"/>
      <c r="I72" s="56"/>
      <c r="J72" s="56"/>
      <c r="K72" s="56"/>
      <c r="L72" s="57"/>
      <c r="M72" s="56"/>
      <c r="N72" s="56"/>
      <c r="O72" s="56"/>
      <c r="P72" s="56"/>
      <c r="Q72" s="56"/>
      <c r="R72" s="56"/>
      <c r="S72" s="56"/>
      <c r="T72" s="57"/>
    </row>
    <row r="73" spans="1:20" ht="15" customHeight="1" x14ac:dyDescent="0.25">
      <c r="A73" s="52"/>
      <c r="B73" s="53">
        <v>2</v>
      </c>
      <c r="C73" s="54" t="s">
        <v>101</v>
      </c>
      <c r="D73" s="55" t="str">
        <f t="shared" si="12"/>
        <v>UTELEM2</v>
      </c>
      <c r="E73" s="56"/>
      <c r="F73" s="56"/>
      <c r="G73" s="56"/>
      <c r="H73" s="56"/>
      <c r="I73" s="56"/>
      <c r="J73" s="56"/>
      <c r="K73" s="56"/>
      <c r="L73" s="57"/>
      <c r="M73" s="56"/>
      <c r="N73" s="56"/>
      <c r="O73" s="56"/>
      <c r="P73" s="56"/>
      <c r="Q73" s="56"/>
      <c r="R73" s="56"/>
      <c r="S73" s="56"/>
      <c r="T73" s="57"/>
    </row>
    <row r="74" spans="1:20" ht="15" customHeight="1" x14ac:dyDescent="0.25">
      <c r="A74" s="52" t="s">
        <v>206</v>
      </c>
      <c r="B74" s="53">
        <v>1</v>
      </c>
      <c r="C74" s="54" t="s">
        <v>103</v>
      </c>
      <c r="D74" s="55" t="str">
        <f t="shared" si="12"/>
        <v>UTSEC1</v>
      </c>
      <c r="E74" s="56"/>
      <c r="F74" s="56"/>
      <c r="G74" s="56"/>
      <c r="H74" s="56"/>
      <c r="I74" s="56"/>
      <c r="J74" s="56"/>
      <c r="K74" s="56"/>
      <c r="L74" s="57"/>
      <c r="M74" s="56"/>
      <c r="N74" s="56"/>
      <c r="O74" s="56"/>
      <c r="P74" s="56"/>
      <c r="Q74" s="56"/>
      <c r="R74" s="56"/>
      <c r="S74" s="56"/>
      <c r="T74" s="57"/>
    </row>
    <row r="75" spans="1:20" ht="15" customHeight="1" x14ac:dyDescent="0.25">
      <c r="A75" s="52"/>
      <c r="B75" s="53">
        <v>2</v>
      </c>
      <c r="C75" s="54" t="s">
        <v>103</v>
      </c>
      <c r="D75" s="55" t="str">
        <f t="shared" si="12"/>
        <v>UTSEC2</v>
      </c>
      <c r="E75" s="56"/>
      <c r="F75" s="56"/>
      <c r="G75" s="56"/>
      <c r="H75" s="56"/>
      <c r="I75" s="56"/>
      <c r="J75" s="56"/>
      <c r="K75" s="56"/>
      <c r="L75" s="57"/>
      <c r="M75" s="56"/>
      <c r="N75" s="56"/>
      <c r="O75" s="56"/>
      <c r="P75" s="56"/>
      <c r="Q75" s="56"/>
      <c r="R75" s="56"/>
      <c r="S75" s="56"/>
      <c r="T75" s="57"/>
    </row>
    <row r="76" spans="1:20" x14ac:dyDescent="0.25">
      <c r="A76" s="46" t="s">
        <v>124</v>
      </c>
      <c r="B76" s="47"/>
      <c r="C76" s="48"/>
      <c r="D76" s="49"/>
      <c r="E76" s="50"/>
      <c r="F76" s="50"/>
      <c r="G76" s="50"/>
      <c r="H76" s="50"/>
      <c r="I76" s="50"/>
      <c r="J76" s="50"/>
      <c r="K76" s="50"/>
      <c r="L76" s="58"/>
      <c r="M76" s="50"/>
      <c r="N76" s="50"/>
      <c r="O76" s="50"/>
      <c r="P76" s="50"/>
      <c r="Q76" s="50"/>
      <c r="R76" s="50"/>
      <c r="S76" s="50"/>
      <c r="T76" s="58"/>
    </row>
    <row r="77" spans="1:20" ht="15" customHeight="1" x14ac:dyDescent="0.25">
      <c r="A77" s="52" t="s">
        <v>124</v>
      </c>
      <c r="B77" s="53">
        <v>1</v>
      </c>
      <c r="C77" s="54" t="s">
        <v>125</v>
      </c>
      <c r="D77" s="55" t="str">
        <f>C77&amp;B77</f>
        <v>OPEN1</v>
      </c>
      <c r="E77" s="56"/>
      <c r="F77" s="56"/>
      <c r="G77" s="56"/>
      <c r="H77" s="56"/>
      <c r="I77" s="56"/>
      <c r="J77" s="56"/>
      <c r="K77" s="56"/>
      <c r="L77" s="57"/>
      <c r="M77" s="56"/>
      <c r="N77" s="56"/>
      <c r="O77" s="56"/>
      <c r="P77" s="56"/>
      <c r="Q77" s="56"/>
      <c r="R77" s="56"/>
      <c r="S77" s="56"/>
      <c r="T77" s="57"/>
    </row>
    <row r="78" spans="1:20" x14ac:dyDescent="0.25">
      <c r="A78" s="46" t="s">
        <v>207</v>
      </c>
      <c r="B78" s="47"/>
      <c r="C78" s="48"/>
      <c r="D78" s="49"/>
      <c r="E78" s="50"/>
      <c r="F78" s="50"/>
      <c r="G78" s="50"/>
      <c r="H78" s="50"/>
      <c r="I78" s="50"/>
      <c r="J78" s="50"/>
      <c r="K78" s="50"/>
      <c r="L78" s="58"/>
      <c r="M78" s="50"/>
      <c r="N78" s="50"/>
      <c r="O78" s="50"/>
      <c r="P78" s="50"/>
      <c r="Q78" s="50"/>
      <c r="R78" s="50"/>
      <c r="S78" s="50"/>
      <c r="T78" s="58"/>
    </row>
    <row r="79" spans="1:20" ht="15" customHeight="1" x14ac:dyDescent="0.25">
      <c r="A79" s="52" t="s">
        <v>207</v>
      </c>
      <c r="B79" s="53">
        <v>1</v>
      </c>
      <c r="C79" s="54" t="s">
        <v>113</v>
      </c>
      <c r="D79" s="55" t="str">
        <f t="shared" ref="D79:D80" si="13">C79&amp;B79</f>
        <v>GOVNSC1</v>
      </c>
      <c r="E79" s="56"/>
      <c r="F79" s="56"/>
      <c r="G79" s="56"/>
      <c r="H79" s="56"/>
      <c r="I79" s="56"/>
      <c r="J79" s="56"/>
      <c r="K79" s="56"/>
      <c r="L79" s="57"/>
      <c r="M79" s="56"/>
      <c r="N79" s="56"/>
      <c r="O79" s="56"/>
      <c r="P79" s="56"/>
      <c r="Q79" s="56"/>
      <c r="R79" s="56"/>
      <c r="S79" s="56"/>
      <c r="T79" s="57"/>
    </row>
    <row r="80" spans="1:20" ht="15" customHeight="1" x14ac:dyDescent="0.25">
      <c r="A80" s="52"/>
      <c r="B80" s="53">
        <v>2</v>
      </c>
      <c r="C80" s="54" t="s">
        <v>113</v>
      </c>
      <c r="D80" s="55" t="str">
        <f t="shared" si="13"/>
        <v>GOVNSC2</v>
      </c>
      <c r="E80" s="56"/>
      <c r="F80" s="56"/>
      <c r="G80" s="56"/>
      <c r="H80" s="56"/>
      <c r="I80" s="56"/>
      <c r="J80" s="56"/>
      <c r="K80" s="56"/>
      <c r="L80" s="57"/>
      <c r="M80" s="56"/>
      <c r="N80" s="56"/>
      <c r="O80" s="56"/>
      <c r="P80" s="56"/>
      <c r="Q80" s="56"/>
      <c r="R80" s="56"/>
      <c r="S80" s="56"/>
      <c r="T80" s="57"/>
    </row>
    <row r="81" spans="1:20" x14ac:dyDescent="0.25">
      <c r="A81" s="46" t="s">
        <v>160</v>
      </c>
      <c r="B81" s="47"/>
      <c r="C81" s="48"/>
      <c r="D81" s="49"/>
      <c r="E81" s="50"/>
      <c r="F81" s="50"/>
      <c r="G81" s="50"/>
      <c r="H81" s="50"/>
      <c r="I81" s="50"/>
      <c r="J81" s="50"/>
      <c r="K81" s="50"/>
      <c r="L81" s="58"/>
      <c r="M81" s="50"/>
      <c r="N81" s="50"/>
      <c r="O81" s="50"/>
      <c r="P81" s="50"/>
      <c r="Q81" s="50"/>
      <c r="R81" s="50"/>
      <c r="S81" s="50"/>
      <c r="T81" s="58"/>
    </row>
    <row r="82" spans="1:20" ht="15" customHeight="1" x14ac:dyDescent="0.25">
      <c r="A82" s="52" t="s">
        <v>160</v>
      </c>
      <c r="B82" s="53">
        <v>1</v>
      </c>
      <c r="C82" s="54" t="s">
        <v>104</v>
      </c>
      <c r="D82" s="55" t="str">
        <f>C82&amp;B82</f>
        <v>COMSCC1</v>
      </c>
      <c r="E82" s="56"/>
      <c r="F82" s="56"/>
      <c r="G82" s="56"/>
      <c r="H82" s="56"/>
      <c r="I82" s="56"/>
      <c r="J82" s="56"/>
      <c r="K82" s="56"/>
      <c r="L82" s="57"/>
      <c r="M82" s="56"/>
      <c r="N82" s="56"/>
      <c r="O82" s="56"/>
      <c r="P82" s="56"/>
      <c r="Q82" s="56"/>
      <c r="R82" s="56"/>
      <c r="S82" s="56"/>
      <c r="T82" s="57"/>
    </row>
    <row r="83" spans="1:20" x14ac:dyDescent="0.25">
      <c r="A83" s="46" t="s">
        <v>161</v>
      </c>
      <c r="B83" s="47"/>
      <c r="C83" s="48"/>
      <c r="D83" s="49"/>
      <c r="E83" s="50"/>
      <c r="F83" s="50"/>
      <c r="G83" s="50"/>
      <c r="H83" s="50"/>
      <c r="I83" s="50"/>
      <c r="J83" s="50"/>
      <c r="K83" s="50"/>
      <c r="L83" s="58"/>
      <c r="M83" s="50"/>
      <c r="N83" s="50"/>
      <c r="O83" s="50"/>
      <c r="P83" s="50"/>
      <c r="Q83" s="50"/>
      <c r="R83" s="50"/>
      <c r="S83" s="50"/>
      <c r="T83" s="58"/>
    </row>
    <row r="84" spans="1:20" ht="15" customHeight="1" x14ac:dyDescent="0.25">
      <c r="A84" s="52" t="s">
        <v>161</v>
      </c>
      <c r="B84" s="53">
        <v>1</v>
      </c>
      <c r="C84" s="54" t="s">
        <v>105</v>
      </c>
      <c r="D84" s="55" t="str">
        <f t="shared" ref="D84:D85" si="14">C84&amp;B84</f>
        <v>COMSCD1</v>
      </c>
      <c r="E84" s="56"/>
      <c r="F84" s="56"/>
      <c r="G84" s="56"/>
      <c r="H84" s="56"/>
      <c r="I84" s="56"/>
      <c r="J84" s="56"/>
      <c r="K84" s="56"/>
      <c r="L84" s="57"/>
      <c r="M84" s="56"/>
      <c r="N84" s="56"/>
      <c r="O84" s="56"/>
      <c r="P84" s="56"/>
      <c r="Q84" s="56"/>
      <c r="R84" s="56"/>
      <c r="S84" s="56"/>
      <c r="T84" s="57"/>
    </row>
    <row r="85" spans="1:20" ht="15" customHeight="1" x14ac:dyDescent="0.25">
      <c r="A85" s="52"/>
      <c r="B85" s="53">
        <v>2</v>
      </c>
      <c r="C85" s="54" t="s">
        <v>105</v>
      </c>
      <c r="D85" s="55" t="str">
        <f t="shared" si="14"/>
        <v>COMSCD2</v>
      </c>
      <c r="E85" s="56"/>
      <c r="F85" s="56"/>
      <c r="G85" s="56"/>
      <c r="H85" s="56"/>
      <c r="I85" s="56"/>
      <c r="J85" s="56"/>
      <c r="K85" s="56"/>
      <c r="L85" s="57"/>
      <c r="M85" s="56"/>
      <c r="N85" s="56"/>
      <c r="O85" s="56"/>
      <c r="P85" s="56"/>
      <c r="Q85" s="56"/>
      <c r="R85" s="56"/>
      <c r="S85" s="56"/>
      <c r="T85" s="57"/>
    </row>
    <row r="86" spans="1:20" x14ac:dyDescent="0.25">
      <c r="A86" s="46" t="s">
        <v>208</v>
      </c>
      <c r="B86" s="47"/>
      <c r="C86" s="48"/>
      <c r="D86" s="49"/>
      <c r="E86" s="50"/>
      <c r="F86" s="50"/>
      <c r="G86" s="50"/>
      <c r="H86" s="50"/>
      <c r="I86" s="50"/>
      <c r="J86" s="50"/>
      <c r="K86" s="50"/>
      <c r="L86" s="58"/>
      <c r="M86" s="50"/>
      <c r="N86" s="50"/>
      <c r="O86" s="50"/>
      <c r="P86" s="50"/>
      <c r="Q86" s="50"/>
      <c r="R86" s="50"/>
      <c r="S86" s="50"/>
      <c r="T86" s="58"/>
    </row>
    <row r="87" spans="1:20" ht="15" customHeight="1" x14ac:dyDescent="0.25">
      <c r="A87" s="52" t="s">
        <v>208</v>
      </c>
      <c r="B87" s="53">
        <v>1</v>
      </c>
      <c r="C87" s="54" t="s">
        <v>109</v>
      </c>
      <c r="D87" s="55" t="str">
        <f>C87&amp;B87</f>
        <v>GNARTC1</v>
      </c>
      <c r="E87" s="56"/>
      <c r="F87" s="56"/>
      <c r="G87" s="56"/>
      <c r="H87" s="56"/>
      <c r="I87" s="56"/>
      <c r="J87" s="56"/>
      <c r="K87" s="56"/>
      <c r="L87" s="57"/>
      <c r="M87" s="56"/>
      <c r="N87" s="56"/>
      <c r="O87" s="56"/>
      <c r="P87" s="56"/>
      <c r="Q87" s="56"/>
      <c r="R87" s="56"/>
      <c r="S87" s="56"/>
      <c r="T87" s="57"/>
    </row>
    <row r="88" spans="1:20" x14ac:dyDescent="0.25">
      <c r="A88" s="46" t="s">
        <v>209</v>
      </c>
      <c r="B88" s="47"/>
      <c r="C88" s="48"/>
      <c r="D88" s="49"/>
      <c r="E88" s="50"/>
      <c r="F88" s="50"/>
      <c r="G88" s="50"/>
      <c r="H88" s="50"/>
      <c r="I88" s="50"/>
      <c r="J88" s="50"/>
      <c r="K88" s="50"/>
      <c r="L88" s="58"/>
      <c r="M88" s="50"/>
      <c r="N88" s="50"/>
      <c r="O88" s="50"/>
      <c r="P88" s="50"/>
      <c r="Q88" s="50"/>
      <c r="R88" s="50"/>
      <c r="S88" s="50"/>
      <c r="T88" s="58"/>
    </row>
    <row r="89" spans="1:20" ht="15" customHeight="1" x14ac:dyDescent="0.25">
      <c r="A89" s="52" t="s">
        <v>209</v>
      </c>
      <c r="B89" s="53">
        <v>1</v>
      </c>
      <c r="C89" s="54" t="s">
        <v>111</v>
      </c>
      <c r="D89" s="55" t="str">
        <f>C89&amp;B89</f>
        <v>GNSCIC1</v>
      </c>
      <c r="E89" s="56"/>
      <c r="F89" s="56"/>
      <c r="G89" s="56"/>
      <c r="H89" s="56"/>
      <c r="I89" s="56"/>
      <c r="J89" s="56"/>
      <c r="K89" s="56"/>
      <c r="L89" s="57"/>
      <c r="M89" s="56"/>
      <c r="N89" s="56"/>
      <c r="O89" s="56"/>
      <c r="P89" s="56"/>
      <c r="Q89" s="56"/>
      <c r="R89" s="56"/>
      <c r="S89" s="56"/>
      <c r="T89" s="57"/>
    </row>
    <row r="90" spans="1:20" x14ac:dyDescent="0.25">
      <c r="A90" s="46" t="s">
        <v>210</v>
      </c>
      <c r="B90" s="47"/>
      <c r="C90" s="48"/>
      <c r="D90" s="49"/>
      <c r="E90" s="50"/>
      <c r="F90" s="50"/>
      <c r="G90" s="50"/>
      <c r="H90" s="50"/>
      <c r="I90" s="50"/>
      <c r="J90" s="50"/>
      <c r="K90" s="50"/>
      <c r="L90" s="58"/>
      <c r="M90" s="50"/>
      <c r="N90" s="50"/>
      <c r="O90" s="50"/>
      <c r="P90" s="50"/>
      <c r="Q90" s="50"/>
      <c r="R90" s="50"/>
      <c r="S90" s="50"/>
      <c r="T90" s="58"/>
    </row>
    <row r="91" spans="1:20" ht="15" customHeight="1" x14ac:dyDescent="0.25">
      <c r="A91" s="52" t="s">
        <v>211</v>
      </c>
      <c r="B91" s="53">
        <v>1</v>
      </c>
      <c r="C91" s="54" t="s">
        <v>158</v>
      </c>
      <c r="D91" s="55" t="str">
        <f>C91&amp;B91</f>
        <v>ANCPDC1</v>
      </c>
      <c r="E91" s="56"/>
      <c r="F91" s="56"/>
      <c r="G91" s="56"/>
      <c r="H91" s="56"/>
      <c r="I91" s="56"/>
      <c r="J91" s="56"/>
      <c r="K91" s="56"/>
      <c r="L91" s="57"/>
      <c r="M91" s="56"/>
      <c r="N91" s="56"/>
      <c r="O91" s="56"/>
      <c r="P91" s="56"/>
      <c r="Q91" s="56"/>
      <c r="R91" s="56"/>
      <c r="S91" s="56"/>
      <c r="T91" s="57"/>
    </row>
    <row r="92" spans="1:20" x14ac:dyDescent="0.25">
      <c r="A92" s="46" t="s">
        <v>212</v>
      </c>
      <c r="B92" s="47"/>
      <c r="C92" s="48"/>
      <c r="D92" s="49"/>
      <c r="E92" s="50"/>
      <c r="F92" s="50"/>
      <c r="G92" s="50"/>
      <c r="H92" s="50"/>
      <c r="I92" s="50"/>
      <c r="J92" s="50"/>
      <c r="K92" s="50"/>
      <c r="L92" s="58"/>
      <c r="M92" s="50"/>
      <c r="N92" s="50"/>
      <c r="O92" s="50"/>
      <c r="P92" s="50"/>
      <c r="Q92" s="50"/>
      <c r="R92" s="50"/>
      <c r="S92" s="50"/>
      <c r="T92" s="58"/>
    </row>
    <row r="93" spans="1:20" ht="15" customHeight="1" x14ac:dyDescent="0.25">
      <c r="A93" s="52" t="s">
        <v>147</v>
      </c>
      <c r="B93" s="53">
        <v>1</v>
      </c>
      <c r="C93" s="54" t="s">
        <v>146</v>
      </c>
      <c r="D93" s="55" t="str">
        <f>C93&amp;B93</f>
        <v>NSPDC1</v>
      </c>
      <c r="E93" s="56"/>
      <c r="F93" s="56"/>
      <c r="G93" s="56"/>
      <c r="H93" s="56"/>
      <c r="I93" s="56"/>
      <c r="J93" s="56"/>
      <c r="K93" s="56"/>
      <c r="L93" s="57"/>
      <c r="M93" s="56"/>
      <c r="N93" s="56"/>
      <c r="O93" s="56"/>
      <c r="P93" s="56"/>
      <c r="Q93" s="56"/>
      <c r="R93" s="56"/>
      <c r="S93" s="56"/>
      <c r="T93" s="57"/>
    </row>
    <row r="94" spans="1:20" x14ac:dyDescent="0.25">
      <c r="A94" s="46" t="s">
        <v>159</v>
      </c>
      <c r="B94" s="47"/>
      <c r="C94" s="48"/>
      <c r="D94" s="49"/>
      <c r="E94" s="50"/>
      <c r="F94" s="50"/>
      <c r="G94" s="50"/>
      <c r="H94" s="50"/>
      <c r="I94" s="50"/>
      <c r="J94" s="50"/>
      <c r="K94" s="50"/>
      <c r="L94" s="58"/>
      <c r="M94" s="50"/>
      <c r="N94" s="50"/>
      <c r="O94" s="50"/>
      <c r="P94" s="50"/>
      <c r="Q94" s="50"/>
      <c r="R94" s="50"/>
      <c r="S94" s="50"/>
      <c r="T94" s="58"/>
    </row>
    <row r="95" spans="1:20" ht="15" customHeight="1" x14ac:dyDescent="0.25">
      <c r="A95" s="52" t="s">
        <v>159</v>
      </c>
      <c r="B95" s="53">
        <v>1</v>
      </c>
      <c r="C95" s="54" t="s">
        <v>213</v>
      </c>
      <c r="D95" s="55" t="str">
        <f>C95&amp;B95</f>
        <v>AITS1</v>
      </c>
      <c r="E95" s="56"/>
      <c r="F95" s="56"/>
      <c r="G95" s="56"/>
      <c r="H95" s="56"/>
      <c r="I95" s="56"/>
      <c r="J95" s="56"/>
      <c r="K95" s="56"/>
      <c r="L95" s="57"/>
      <c r="M95" s="56"/>
      <c r="N95" s="56"/>
      <c r="O95" s="56"/>
      <c r="P95" s="56"/>
      <c r="Q95" s="56"/>
      <c r="R95" s="56"/>
      <c r="S95" s="56"/>
      <c r="T95" s="57"/>
    </row>
    <row r="96" spans="1:20" x14ac:dyDescent="0.25">
      <c r="A96" s="46" t="s">
        <v>214</v>
      </c>
      <c r="B96" s="47"/>
      <c r="C96" s="48"/>
      <c r="D96" s="49"/>
      <c r="E96" s="50"/>
      <c r="F96" s="50"/>
      <c r="G96" s="50"/>
      <c r="H96" s="50"/>
      <c r="I96" s="50"/>
      <c r="J96" s="50"/>
      <c r="K96" s="50"/>
      <c r="L96" s="58"/>
      <c r="M96" s="50"/>
      <c r="N96" s="50"/>
      <c r="O96" s="50"/>
      <c r="P96" s="50"/>
      <c r="Q96" s="50"/>
      <c r="R96" s="50"/>
      <c r="S96" s="50"/>
      <c r="T96" s="58"/>
    </row>
    <row r="97" spans="1:20" ht="15" customHeight="1" x14ac:dyDescent="0.25">
      <c r="A97" s="52" t="s">
        <v>215</v>
      </c>
      <c r="B97" s="53">
        <v>1</v>
      </c>
      <c r="C97" s="54"/>
      <c r="D97" s="55" t="str">
        <f>C97&amp;B97</f>
        <v>1</v>
      </c>
      <c r="E97" s="56"/>
      <c r="F97" s="56"/>
      <c r="G97" s="56"/>
      <c r="H97" s="56"/>
      <c r="I97" s="56"/>
      <c r="J97" s="56"/>
      <c r="K97" s="56"/>
      <c r="L97" s="57"/>
      <c r="M97" s="56"/>
      <c r="N97" s="56"/>
      <c r="O97" s="56"/>
      <c r="P97" s="56"/>
      <c r="Q97" s="56"/>
      <c r="R97" s="56"/>
      <c r="S97" s="56"/>
      <c r="T97" s="57"/>
    </row>
    <row r="98" spans="1:20" ht="15" customHeight="1" x14ac:dyDescent="0.25">
      <c r="A98" s="173" t="s">
        <v>216</v>
      </c>
      <c r="B98" s="174"/>
      <c r="C98" s="59"/>
      <c r="D98" s="60"/>
      <c r="E98" s="61"/>
      <c r="F98" s="61"/>
      <c r="G98" s="61"/>
      <c r="H98" s="61"/>
      <c r="I98" s="61"/>
      <c r="J98" s="61"/>
      <c r="K98" s="61"/>
      <c r="L98" s="62"/>
      <c r="M98" s="61"/>
      <c r="N98" s="61"/>
      <c r="O98" s="61"/>
      <c r="P98" s="61"/>
      <c r="Q98" s="61"/>
      <c r="R98" s="61"/>
      <c r="S98" s="61"/>
      <c r="T98" s="62"/>
    </row>
    <row r="99" spans="1:20" x14ac:dyDescent="0.25">
      <c r="A99" s="46" t="s">
        <v>127</v>
      </c>
      <c r="B99" s="47"/>
      <c r="C99" s="48"/>
      <c r="D99" s="49"/>
      <c r="E99" s="50"/>
      <c r="F99" s="50"/>
      <c r="G99" s="50"/>
      <c r="H99" s="50"/>
      <c r="I99" s="50"/>
      <c r="J99" s="50"/>
      <c r="K99" s="50"/>
      <c r="L99" s="58"/>
      <c r="M99" s="50"/>
      <c r="N99" s="50"/>
      <c r="O99" s="50"/>
      <c r="P99" s="50"/>
      <c r="Q99" s="50"/>
      <c r="R99" s="50"/>
      <c r="S99" s="50"/>
      <c r="T99" s="58"/>
    </row>
    <row r="100" spans="1:20" ht="15" customHeight="1" x14ac:dyDescent="0.25">
      <c r="A100" s="52" t="s">
        <v>127</v>
      </c>
      <c r="B100" s="53">
        <v>1</v>
      </c>
      <c r="C100" s="54" t="s">
        <v>128</v>
      </c>
      <c r="D100" s="55" t="str">
        <f>C100&amp;B100</f>
        <v>LINC131</v>
      </c>
      <c r="E100" s="56"/>
      <c r="F100" s="56"/>
      <c r="G100" s="56"/>
      <c r="H100" s="56"/>
      <c r="I100" s="56"/>
      <c r="J100" s="56"/>
      <c r="K100" s="56"/>
      <c r="L100" s="57"/>
      <c r="M100" s="56"/>
      <c r="N100" s="56"/>
      <c r="O100" s="56"/>
      <c r="P100" s="56"/>
      <c r="Q100" s="56"/>
      <c r="R100" s="56"/>
      <c r="S100" s="56"/>
      <c r="T100" s="57"/>
    </row>
    <row r="101" spans="1:20" ht="15" customHeight="1" x14ac:dyDescent="0.25">
      <c r="A101" s="175" t="s">
        <v>217</v>
      </c>
      <c r="B101" s="176"/>
      <c r="C101" s="63"/>
      <c r="D101" s="64"/>
      <c r="E101" s="65"/>
      <c r="F101" s="65"/>
      <c r="G101" s="65"/>
      <c r="H101" s="65"/>
      <c r="I101" s="65"/>
      <c r="J101" s="65"/>
      <c r="K101" s="65"/>
      <c r="L101" s="66"/>
      <c r="M101" s="65"/>
      <c r="N101" s="65"/>
      <c r="O101" s="65"/>
      <c r="P101" s="65"/>
      <c r="Q101" s="65"/>
      <c r="R101" s="65"/>
      <c r="S101" s="65"/>
      <c r="T101" s="66"/>
    </row>
    <row r="102" spans="1:20" x14ac:dyDescent="0.25">
      <c r="A102" s="46" t="s">
        <v>133</v>
      </c>
      <c r="B102" s="47"/>
      <c r="C102" s="48"/>
      <c r="D102" s="49"/>
      <c r="E102" s="50"/>
      <c r="F102" s="50"/>
      <c r="G102" s="50"/>
      <c r="H102" s="50"/>
      <c r="I102" s="50"/>
      <c r="J102" s="50"/>
      <c r="K102" s="50"/>
      <c r="L102" s="58"/>
      <c r="M102" s="50"/>
      <c r="N102" s="50"/>
      <c r="O102" s="50"/>
      <c r="P102" s="50"/>
      <c r="Q102" s="50"/>
      <c r="R102" s="50"/>
      <c r="S102" s="50"/>
      <c r="T102" s="58"/>
    </row>
    <row r="103" spans="1:20" ht="15" customHeight="1" x14ac:dyDescent="0.25">
      <c r="A103" s="52" t="s">
        <v>133</v>
      </c>
      <c r="B103" s="53">
        <v>1</v>
      </c>
      <c r="C103" s="54" t="s">
        <v>134</v>
      </c>
      <c r="D103" s="55" t="str">
        <f>C103&amp;B103</f>
        <v>AELCC1</v>
      </c>
      <c r="E103" s="56"/>
      <c r="F103" s="56"/>
      <c r="G103" s="56"/>
      <c r="H103" s="56"/>
      <c r="I103" s="56"/>
      <c r="J103" s="56"/>
      <c r="K103" s="56"/>
      <c r="L103" s="57"/>
      <c r="M103" s="56"/>
      <c r="N103" s="56"/>
      <c r="O103" s="56"/>
      <c r="P103" s="56"/>
      <c r="Q103" s="56"/>
      <c r="R103" s="56"/>
      <c r="S103" s="56"/>
      <c r="T103" s="57"/>
    </row>
    <row r="104" spans="1:20" x14ac:dyDescent="0.25">
      <c r="A104" s="46" t="s">
        <v>55</v>
      </c>
      <c r="B104" s="47"/>
      <c r="C104" s="48"/>
      <c r="D104" s="49"/>
      <c r="E104" s="50"/>
      <c r="F104" s="50"/>
      <c r="G104" s="50"/>
      <c r="H104" s="50"/>
      <c r="I104" s="50"/>
      <c r="J104" s="50"/>
      <c r="K104" s="50"/>
      <c r="L104" s="58"/>
      <c r="M104" s="50"/>
      <c r="N104" s="50"/>
      <c r="O104" s="50"/>
      <c r="P104" s="50"/>
      <c r="Q104" s="50"/>
      <c r="R104" s="50"/>
      <c r="S104" s="50"/>
      <c r="T104" s="58"/>
    </row>
    <row r="105" spans="1:20" ht="15" customHeight="1" x14ac:dyDescent="0.25">
      <c r="A105" s="52" t="s">
        <v>55</v>
      </c>
      <c r="B105" s="53">
        <v>1</v>
      </c>
      <c r="C105" s="54" t="s">
        <v>56</v>
      </c>
      <c r="D105" s="55" t="str">
        <f>C105&amp;B105</f>
        <v>ECCERT1</v>
      </c>
      <c r="E105" s="56"/>
      <c r="F105" s="56"/>
      <c r="G105" s="56"/>
      <c r="H105" s="56"/>
      <c r="I105" s="56"/>
      <c r="J105" s="56"/>
      <c r="K105" s="56"/>
      <c r="L105" s="57"/>
      <c r="M105" s="56"/>
      <c r="N105" s="56"/>
      <c r="O105" s="56"/>
      <c r="P105" s="56"/>
      <c r="Q105" s="56"/>
      <c r="R105" s="56"/>
      <c r="S105" s="56"/>
      <c r="T105" s="57"/>
    </row>
    <row r="106" spans="1:20" x14ac:dyDescent="0.25">
      <c r="A106" s="46" t="s">
        <v>57</v>
      </c>
      <c r="B106" s="47"/>
      <c r="C106" s="48"/>
      <c r="D106" s="49"/>
      <c r="E106" s="50"/>
      <c r="F106" s="50"/>
      <c r="G106" s="50"/>
      <c r="H106" s="50"/>
      <c r="I106" s="50"/>
      <c r="J106" s="50"/>
      <c r="K106" s="50"/>
      <c r="L106" s="58"/>
      <c r="M106" s="50"/>
      <c r="N106" s="50"/>
      <c r="O106" s="50"/>
      <c r="P106" s="50"/>
      <c r="Q106" s="50"/>
      <c r="R106" s="50"/>
      <c r="S106" s="50"/>
      <c r="T106" s="58"/>
    </row>
    <row r="107" spans="1:20" ht="15" customHeight="1" x14ac:dyDescent="0.25">
      <c r="A107" s="52" t="s">
        <v>57</v>
      </c>
      <c r="B107" s="53">
        <v>1</v>
      </c>
      <c r="C107" s="54" t="s">
        <v>58</v>
      </c>
      <c r="D107" s="55" t="str">
        <f t="shared" ref="D107:D108" si="15">C107&amp;B107</f>
        <v>ECDIP1</v>
      </c>
      <c r="E107" s="56"/>
      <c r="F107" s="56"/>
      <c r="G107" s="56"/>
      <c r="H107" s="56"/>
      <c r="I107" s="56"/>
      <c r="J107" s="56"/>
      <c r="K107" s="56"/>
      <c r="L107" s="57"/>
      <c r="M107" s="56"/>
      <c r="N107" s="56"/>
      <c r="O107" s="56"/>
      <c r="P107" s="56"/>
      <c r="Q107" s="56"/>
      <c r="R107" s="56"/>
      <c r="S107" s="56"/>
      <c r="T107" s="57"/>
    </row>
    <row r="108" spans="1:20" ht="15" customHeight="1" x14ac:dyDescent="0.25">
      <c r="A108" s="52"/>
      <c r="B108" s="53">
        <v>2</v>
      </c>
      <c r="C108" s="54" t="s">
        <v>58</v>
      </c>
      <c r="D108" s="55" t="str">
        <f t="shared" si="15"/>
        <v>ECDIP2</v>
      </c>
      <c r="E108" s="56"/>
      <c r="F108" s="56"/>
      <c r="G108" s="56"/>
      <c r="H108" s="56"/>
      <c r="I108" s="56"/>
      <c r="J108" s="56"/>
      <c r="K108" s="56"/>
      <c r="L108" s="57"/>
      <c r="M108" s="56"/>
      <c r="N108" s="56"/>
      <c r="O108" s="56"/>
      <c r="P108" s="56"/>
      <c r="Q108" s="56"/>
      <c r="R108" s="56"/>
      <c r="S108" s="56"/>
      <c r="T108" s="57"/>
    </row>
    <row r="109" spans="1:20" x14ac:dyDescent="0.25">
      <c r="A109" s="46" t="s">
        <v>144</v>
      </c>
      <c r="B109" s="47"/>
      <c r="C109" s="48"/>
      <c r="D109" s="49"/>
      <c r="E109" s="50"/>
      <c r="F109" s="50"/>
      <c r="G109" s="50"/>
      <c r="H109" s="50"/>
      <c r="I109" s="50"/>
      <c r="J109" s="50"/>
      <c r="K109" s="50"/>
      <c r="L109" s="58"/>
      <c r="M109" s="50"/>
      <c r="N109" s="50"/>
      <c r="O109" s="50"/>
      <c r="P109" s="50"/>
      <c r="Q109" s="50"/>
      <c r="R109" s="50"/>
      <c r="S109" s="50"/>
      <c r="T109" s="58"/>
    </row>
    <row r="110" spans="1:20" ht="15" customHeight="1" x14ac:dyDescent="0.25">
      <c r="A110" s="52" t="s">
        <v>144</v>
      </c>
      <c r="B110" s="53">
        <v>1</v>
      </c>
      <c r="C110" s="54" t="s">
        <v>145</v>
      </c>
      <c r="D110" s="55" t="str">
        <f t="shared" ref="D110:D111" si="16">C110&amp;B110</f>
        <v>CYCD1</v>
      </c>
      <c r="E110" s="56"/>
      <c r="F110" s="56"/>
      <c r="G110" s="56"/>
      <c r="H110" s="56"/>
      <c r="I110" s="56"/>
      <c r="J110" s="56"/>
      <c r="K110" s="56"/>
      <c r="L110" s="57"/>
      <c r="M110" s="56"/>
      <c r="N110" s="56"/>
      <c r="O110" s="56"/>
      <c r="P110" s="56"/>
      <c r="Q110" s="56"/>
      <c r="R110" s="56"/>
      <c r="S110" s="56"/>
      <c r="T110" s="57"/>
    </row>
    <row r="111" spans="1:20" ht="15" customHeight="1" x14ac:dyDescent="0.25">
      <c r="A111" s="52"/>
      <c r="B111" s="53">
        <v>2</v>
      </c>
      <c r="C111" s="54" t="s">
        <v>145</v>
      </c>
      <c r="D111" s="55" t="str">
        <f t="shared" si="16"/>
        <v>CYCD2</v>
      </c>
      <c r="E111" s="56"/>
      <c r="F111" s="56"/>
      <c r="G111" s="56"/>
      <c r="H111" s="56"/>
      <c r="I111" s="56"/>
      <c r="J111" s="56"/>
      <c r="K111" s="56"/>
      <c r="L111" s="57"/>
      <c r="M111" s="56"/>
      <c r="N111" s="56"/>
      <c r="O111" s="56"/>
      <c r="P111" s="56"/>
      <c r="Q111" s="56"/>
      <c r="R111" s="56"/>
      <c r="S111" s="56"/>
      <c r="T111" s="57"/>
    </row>
    <row r="112" spans="1:20" x14ac:dyDescent="0.25">
      <c r="A112" s="46" t="s">
        <v>218</v>
      </c>
      <c r="B112" s="47"/>
      <c r="C112" s="48"/>
      <c r="D112" s="49"/>
      <c r="E112" s="50"/>
      <c r="F112" s="50"/>
      <c r="G112" s="50"/>
      <c r="H112" s="50"/>
      <c r="I112" s="50"/>
      <c r="J112" s="50"/>
      <c r="K112" s="50"/>
      <c r="L112" s="58"/>
      <c r="M112" s="50"/>
      <c r="N112" s="50"/>
      <c r="O112" s="50"/>
      <c r="P112" s="50"/>
      <c r="Q112" s="50"/>
      <c r="R112" s="50"/>
      <c r="S112" s="50"/>
      <c r="T112" s="58"/>
    </row>
    <row r="113" spans="1:20" ht="15" customHeight="1" x14ac:dyDescent="0.25">
      <c r="A113" s="52" t="s">
        <v>218</v>
      </c>
      <c r="B113" s="53">
        <v>1</v>
      </c>
      <c r="C113" s="54" t="s">
        <v>60</v>
      </c>
      <c r="D113" s="55" t="str">
        <f>C113&amp;B113</f>
        <v>ECEAC1</v>
      </c>
      <c r="E113" s="56"/>
      <c r="F113" s="56"/>
      <c r="G113" s="56"/>
      <c r="H113" s="56"/>
      <c r="I113" s="56"/>
      <c r="J113" s="56"/>
      <c r="K113" s="56"/>
      <c r="L113" s="57"/>
      <c r="M113" s="56"/>
      <c r="N113" s="56"/>
      <c r="O113" s="56"/>
      <c r="P113" s="56"/>
      <c r="Q113" s="56"/>
      <c r="R113" s="56"/>
      <c r="S113" s="56"/>
      <c r="T113" s="57"/>
    </row>
    <row r="114" spans="1:20" x14ac:dyDescent="0.25">
      <c r="A114" s="46" t="s">
        <v>61</v>
      </c>
      <c r="B114" s="47"/>
      <c r="C114" s="48"/>
      <c r="D114" s="49"/>
      <c r="E114" s="50"/>
      <c r="F114" s="50"/>
      <c r="G114" s="50"/>
      <c r="H114" s="50"/>
      <c r="I114" s="50"/>
      <c r="J114" s="50"/>
      <c r="K114" s="50"/>
      <c r="L114" s="58"/>
      <c r="M114" s="50"/>
      <c r="N114" s="50"/>
      <c r="O114" s="50"/>
      <c r="P114" s="50"/>
      <c r="Q114" s="50"/>
      <c r="R114" s="50"/>
      <c r="S114" s="50"/>
      <c r="T114" s="58"/>
    </row>
    <row r="115" spans="1:20" ht="15" customHeight="1" x14ac:dyDescent="0.25">
      <c r="A115" s="52" t="s">
        <v>61</v>
      </c>
      <c r="B115" s="53">
        <v>1</v>
      </c>
      <c r="C115" s="54" t="s">
        <v>62</v>
      </c>
      <c r="D115" s="55" t="str">
        <f t="shared" ref="D115:D116" si="17">C115&amp;B115</f>
        <v>SOCWKD1</v>
      </c>
      <c r="E115" s="56"/>
      <c r="F115" s="56"/>
      <c r="G115" s="56"/>
      <c r="H115" s="56"/>
      <c r="I115" s="56"/>
      <c r="J115" s="56"/>
      <c r="K115" s="56"/>
      <c r="L115" s="57"/>
      <c r="M115" s="56"/>
      <c r="N115" s="56"/>
      <c r="O115" s="56"/>
      <c r="P115" s="56"/>
      <c r="Q115" s="56"/>
      <c r="R115" s="56"/>
      <c r="S115" s="56"/>
      <c r="T115" s="57"/>
    </row>
    <row r="116" spans="1:20" ht="15" customHeight="1" x14ac:dyDescent="0.25">
      <c r="A116" s="52"/>
      <c r="B116" s="53">
        <v>2</v>
      </c>
      <c r="C116" s="54" t="s">
        <v>62</v>
      </c>
      <c r="D116" s="55" t="str">
        <f t="shared" si="17"/>
        <v>SOCWKD2</v>
      </c>
      <c r="E116" s="56"/>
      <c r="F116" s="56"/>
      <c r="G116" s="56"/>
      <c r="H116" s="56"/>
      <c r="I116" s="56"/>
      <c r="J116" s="56"/>
      <c r="K116" s="56"/>
      <c r="L116" s="57"/>
      <c r="M116" s="56"/>
      <c r="N116" s="56"/>
      <c r="O116" s="56"/>
      <c r="P116" s="56"/>
      <c r="Q116" s="56"/>
      <c r="R116" s="56"/>
      <c r="S116" s="56"/>
      <c r="T116" s="57"/>
    </row>
    <row r="117" spans="1:20" ht="15" customHeight="1" x14ac:dyDescent="0.25">
      <c r="A117" s="173" t="s">
        <v>219</v>
      </c>
      <c r="B117" s="174"/>
      <c r="C117" s="59"/>
      <c r="D117" s="60"/>
      <c r="E117" s="61"/>
      <c r="F117" s="61"/>
      <c r="G117" s="61"/>
      <c r="H117" s="61"/>
      <c r="I117" s="61"/>
      <c r="J117" s="61"/>
      <c r="K117" s="61"/>
      <c r="L117" s="62"/>
      <c r="M117" s="61"/>
      <c r="N117" s="61"/>
      <c r="O117" s="61"/>
      <c r="P117" s="61"/>
      <c r="Q117" s="61"/>
      <c r="R117" s="61"/>
      <c r="S117" s="61"/>
      <c r="T117" s="62"/>
    </row>
    <row r="118" spans="1:20" x14ac:dyDescent="0.25">
      <c r="A118" s="46" t="s">
        <v>64</v>
      </c>
      <c r="B118" s="47"/>
      <c r="C118" s="48"/>
      <c r="D118" s="49"/>
      <c r="E118" s="50"/>
      <c r="F118" s="50"/>
      <c r="G118" s="50"/>
      <c r="H118" s="50"/>
      <c r="I118" s="50"/>
      <c r="J118" s="50"/>
      <c r="K118" s="50"/>
      <c r="L118" s="58"/>
      <c r="M118" s="50"/>
      <c r="N118" s="50"/>
      <c r="O118" s="50"/>
      <c r="P118" s="50"/>
      <c r="Q118" s="50"/>
      <c r="R118" s="50"/>
      <c r="S118" s="50"/>
      <c r="T118" s="58"/>
    </row>
    <row r="119" spans="1:20" ht="15" customHeight="1" x14ac:dyDescent="0.25">
      <c r="A119" s="52" t="s">
        <v>220</v>
      </c>
      <c r="B119" s="53">
        <v>1</v>
      </c>
      <c r="C119" s="54" t="s">
        <v>65</v>
      </c>
      <c r="D119" s="55" t="str">
        <f t="shared" ref="D119:D120" si="18">C119&amp;B119</f>
        <v>PCPC1</v>
      </c>
      <c r="E119" s="56"/>
      <c r="F119" s="56"/>
      <c r="G119" s="56"/>
      <c r="H119" s="56"/>
      <c r="I119" s="56"/>
      <c r="J119" s="56"/>
      <c r="K119" s="56"/>
      <c r="L119" s="57"/>
      <c r="M119" s="56"/>
      <c r="N119" s="56"/>
      <c r="O119" s="56"/>
      <c r="P119" s="56"/>
      <c r="Q119" s="56"/>
      <c r="R119" s="56"/>
      <c r="S119" s="56"/>
      <c r="T119" s="57"/>
    </row>
    <row r="120" spans="1:20" ht="15" customHeight="1" x14ac:dyDescent="0.25">
      <c r="A120" s="52"/>
      <c r="B120" s="53">
        <v>2</v>
      </c>
      <c r="C120" s="54" t="s">
        <v>65</v>
      </c>
      <c r="D120" s="55" t="str">
        <f t="shared" si="18"/>
        <v>PCPC2</v>
      </c>
      <c r="E120" s="56"/>
      <c r="F120" s="56"/>
      <c r="G120" s="56"/>
      <c r="H120" s="56"/>
      <c r="I120" s="56"/>
      <c r="J120" s="56"/>
      <c r="K120" s="56"/>
      <c r="L120" s="57"/>
      <c r="M120" s="56"/>
      <c r="N120" s="56"/>
      <c r="O120" s="56"/>
      <c r="P120" s="56"/>
      <c r="Q120" s="56"/>
      <c r="R120" s="56"/>
      <c r="S120" s="56"/>
      <c r="T120" s="57"/>
    </row>
    <row r="121" spans="1:20" x14ac:dyDescent="0.25">
      <c r="A121" s="46" t="s">
        <v>66</v>
      </c>
      <c r="B121" s="47"/>
      <c r="C121" s="48"/>
      <c r="D121" s="49"/>
      <c r="E121" s="50"/>
      <c r="F121" s="50"/>
      <c r="G121" s="50"/>
      <c r="H121" s="50"/>
      <c r="I121" s="50"/>
      <c r="J121" s="50"/>
      <c r="K121" s="50"/>
      <c r="L121" s="58"/>
      <c r="M121" s="50"/>
      <c r="N121" s="50"/>
      <c r="O121" s="50"/>
      <c r="P121" s="50"/>
      <c r="Q121" s="50"/>
      <c r="R121" s="50"/>
      <c r="S121" s="50"/>
      <c r="T121" s="58"/>
    </row>
    <row r="122" spans="1:20" ht="15" customHeight="1" x14ac:dyDescent="0.25">
      <c r="A122" s="52" t="s">
        <v>221</v>
      </c>
      <c r="B122" s="53">
        <v>2</v>
      </c>
      <c r="C122" s="54" t="s">
        <v>67</v>
      </c>
      <c r="D122" s="55" t="str">
        <f>C122&amp;B122</f>
        <v>ACP2</v>
      </c>
      <c r="E122" s="56"/>
      <c r="F122" s="56"/>
      <c r="G122" s="56"/>
      <c r="H122" s="56"/>
      <c r="I122" s="56"/>
      <c r="J122" s="56"/>
      <c r="K122" s="56"/>
      <c r="L122" s="57"/>
      <c r="M122" s="56"/>
      <c r="N122" s="56"/>
      <c r="O122" s="56"/>
      <c r="P122" s="56"/>
      <c r="Q122" s="56"/>
      <c r="R122" s="56"/>
      <c r="S122" s="56"/>
      <c r="T122" s="57"/>
    </row>
    <row r="123" spans="1:20" x14ac:dyDescent="0.25">
      <c r="A123" s="46" t="s">
        <v>222</v>
      </c>
      <c r="B123" s="47"/>
      <c r="C123" s="48"/>
      <c r="D123" s="49"/>
      <c r="E123" s="50"/>
      <c r="F123" s="50"/>
      <c r="G123" s="50"/>
      <c r="H123" s="50"/>
      <c r="I123" s="50"/>
      <c r="J123" s="50"/>
      <c r="K123" s="50"/>
      <c r="L123" s="58"/>
      <c r="M123" s="50"/>
      <c r="N123" s="50"/>
      <c r="O123" s="50"/>
      <c r="P123" s="50"/>
      <c r="Q123" s="50"/>
      <c r="R123" s="50"/>
      <c r="S123" s="50"/>
      <c r="T123" s="58"/>
    </row>
    <row r="124" spans="1:20" ht="15" customHeight="1" x14ac:dyDescent="0.25">
      <c r="A124" s="52" t="s">
        <v>223</v>
      </c>
      <c r="B124" s="53">
        <v>4</v>
      </c>
      <c r="C124" s="54"/>
      <c r="D124" s="55" t="str">
        <f>C124&amp;B124</f>
        <v>4</v>
      </c>
      <c r="E124" s="56"/>
      <c r="F124" s="56"/>
      <c r="G124" s="56"/>
      <c r="H124" s="56"/>
      <c r="I124" s="56"/>
      <c r="J124" s="56"/>
      <c r="K124" s="56"/>
      <c r="L124" s="57"/>
      <c r="M124" s="56"/>
      <c r="N124" s="56"/>
      <c r="O124" s="56"/>
      <c r="P124" s="56"/>
      <c r="Q124" s="56"/>
      <c r="R124" s="56"/>
      <c r="S124" s="56"/>
      <c r="T124" s="57"/>
    </row>
    <row r="125" spans="1:20" x14ac:dyDescent="0.25">
      <c r="A125" s="46" t="s">
        <v>224</v>
      </c>
      <c r="B125" s="47"/>
      <c r="C125" s="48"/>
      <c r="D125" s="49"/>
      <c r="E125" s="50"/>
      <c r="F125" s="50"/>
      <c r="G125" s="50"/>
      <c r="H125" s="50"/>
      <c r="I125" s="50"/>
      <c r="J125" s="50"/>
      <c r="K125" s="50"/>
      <c r="L125" s="58"/>
      <c r="M125" s="50"/>
      <c r="N125" s="50"/>
      <c r="O125" s="50"/>
      <c r="P125" s="50"/>
      <c r="Q125" s="50"/>
      <c r="R125" s="50"/>
      <c r="S125" s="50"/>
      <c r="T125" s="58"/>
    </row>
    <row r="126" spans="1:20" ht="15" customHeight="1" x14ac:dyDescent="0.25">
      <c r="A126" s="52" t="s">
        <v>68</v>
      </c>
      <c r="B126" s="53">
        <v>1</v>
      </c>
      <c r="C126" s="54" t="s">
        <v>69</v>
      </c>
      <c r="D126" s="55" t="str">
        <f>C126&amp;B126</f>
        <v>HCAC1</v>
      </c>
      <c r="E126" s="56"/>
      <c r="F126" s="56"/>
      <c r="G126" s="56"/>
      <c r="H126" s="56"/>
      <c r="I126" s="56"/>
      <c r="J126" s="56"/>
      <c r="K126" s="56"/>
      <c r="L126" s="57"/>
      <c r="M126" s="56"/>
      <c r="N126" s="56"/>
      <c r="O126" s="56"/>
      <c r="P126" s="56"/>
      <c r="Q126" s="56"/>
      <c r="R126" s="56"/>
      <c r="S126" s="56"/>
      <c r="T126" s="57"/>
    </row>
    <row r="127" spans="1:20" x14ac:dyDescent="0.25">
      <c r="A127" s="46" t="s">
        <v>70</v>
      </c>
      <c r="B127" s="47"/>
      <c r="C127" s="48"/>
      <c r="D127" s="49"/>
      <c r="E127" s="50"/>
      <c r="F127" s="50"/>
      <c r="G127" s="50"/>
      <c r="H127" s="50"/>
      <c r="I127" s="50"/>
      <c r="J127" s="50"/>
      <c r="K127" s="50"/>
      <c r="L127" s="58"/>
      <c r="M127" s="50"/>
      <c r="N127" s="50"/>
      <c r="O127" s="50"/>
      <c r="P127" s="50"/>
      <c r="Q127" s="50"/>
      <c r="R127" s="50"/>
      <c r="S127" s="50"/>
      <c r="T127" s="58"/>
    </row>
    <row r="128" spans="1:20" ht="15" customHeight="1" x14ac:dyDescent="0.25">
      <c r="A128" s="52" t="s">
        <v>70</v>
      </c>
      <c r="B128" s="53">
        <v>1</v>
      </c>
      <c r="C128" s="54" t="s">
        <v>71</v>
      </c>
      <c r="D128" s="55" t="str">
        <f t="shared" ref="D128:D129" si="19">C128&amp;B128</f>
        <v>PNR1</v>
      </c>
      <c r="E128" s="56"/>
      <c r="F128" s="56"/>
      <c r="G128" s="56"/>
      <c r="H128" s="56"/>
      <c r="I128" s="56"/>
      <c r="J128" s="56"/>
      <c r="K128" s="56"/>
      <c r="L128" s="57"/>
      <c r="M128" s="56"/>
      <c r="N128" s="56"/>
      <c r="O128" s="56"/>
      <c r="P128" s="56"/>
      <c r="Q128" s="56"/>
      <c r="R128" s="56"/>
      <c r="S128" s="56"/>
      <c r="T128" s="57"/>
    </row>
    <row r="129" spans="1:20" ht="15" customHeight="1" x14ac:dyDescent="0.25">
      <c r="A129" s="52"/>
      <c r="B129" s="53">
        <v>2</v>
      </c>
      <c r="C129" s="54" t="s">
        <v>71</v>
      </c>
      <c r="D129" s="55" t="str">
        <f t="shared" si="19"/>
        <v>PNR2</v>
      </c>
      <c r="E129" s="56"/>
      <c r="F129" s="56"/>
      <c r="G129" s="56"/>
      <c r="H129" s="56"/>
      <c r="I129" s="56"/>
      <c r="J129" s="56"/>
      <c r="K129" s="56"/>
      <c r="L129" s="57"/>
      <c r="M129" s="56"/>
      <c r="N129" s="56"/>
      <c r="O129" s="56"/>
      <c r="P129" s="56"/>
      <c r="Q129" s="56"/>
      <c r="R129" s="56"/>
      <c r="S129" s="56"/>
      <c r="T129" s="57"/>
    </row>
    <row r="130" spans="1:20" x14ac:dyDescent="0.25">
      <c r="A130" s="46" t="s">
        <v>72</v>
      </c>
      <c r="B130" s="47"/>
      <c r="C130" s="48"/>
      <c r="D130" s="49"/>
      <c r="E130" s="50"/>
      <c r="F130" s="50"/>
      <c r="G130" s="50"/>
      <c r="H130" s="50"/>
      <c r="I130" s="50"/>
      <c r="J130" s="50"/>
      <c r="K130" s="50"/>
      <c r="L130" s="58"/>
      <c r="M130" s="50"/>
      <c r="N130" s="50"/>
      <c r="O130" s="50"/>
      <c r="P130" s="50"/>
      <c r="Q130" s="50"/>
      <c r="R130" s="50"/>
      <c r="S130" s="50"/>
      <c r="T130" s="58"/>
    </row>
    <row r="131" spans="1:20" ht="15" customHeight="1" x14ac:dyDescent="0.25">
      <c r="A131" s="52" t="s">
        <v>225</v>
      </c>
      <c r="B131" s="53">
        <v>1</v>
      </c>
      <c r="C131" s="54" t="s">
        <v>73</v>
      </c>
      <c r="D131" s="55" t="str">
        <f t="shared" ref="D131:D133" si="20">C131&amp;B131</f>
        <v>BSCN1</v>
      </c>
      <c r="E131" s="56"/>
      <c r="F131" s="56"/>
      <c r="G131" s="56"/>
      <c r="H131" s="56"/>
      <c r="I131" s="56"/>
      <c r="J131" s="56"/>
      <c r="K131" s="56"/>
      <c r="L131" s="57"/>
      <c r="M131" s="56"/>
      <c r="N131" s="56"/>
      <c r="O131" s="56"/>
      <c r="P131" s="56"/>
      <c r="Q131" s="56"/>
      <c r="R131" s="56"/>
      <c r="S131" s="56"/>
      <c r="T131" s="57"/>
    </row>
    <row r="132" spans="1:20" ht="15" customHeight="1" x14ac:dyDescent="0.25">
      <c r="A132" s="52"/>
      <c r="B132" s="53">
        <v>2</v>
      </c>
      <c r="C132" s="54" t="s">
        <v>73</v>
      </c>
      <c r="D132" s="55" t="str">
        <f t="shared" si="20"/>
        <v>BSCN2</v>
      </c>
      <c r="E132" s="56"/>
      <c r="F132" s="56"/>
      <c r="G132" s="56"/>
      <c r="H132" s="56"/>
      <c r="I132" s="56"/>
      <c r="J132" s="56"/>
      <c r="K132" s="56"/>
      <c r="L132" s="57"/>
      <c r="M132" s="56"/>
      <c r="N132" s="56"/>
      <c r="O132" s="56"/>
      <c r="P132" s="56"/>
      <c r="Q132" s="56"/>
      <c r="R132" s="56"/>
      <c r="S132" s="56"/>
      <c r="T132" s="57"/>
    </row>
    <row r="133" spans="1:20" ht="15" customHeight="1" x14ac:dyDescent="0.25">
      <c r="A133" s="52"/>
      <c r="B133" s="53">
        <v>3</v>
      </c>
      <c r="C133" s="54" t="s">
        <v>226</v>
      </c>
      <c r="D133" s="55" t="str">
        <f t="shared" si="20"/>
        <v>BSCACN,BSCAFT,BSCAEE3</v>
      </c>
      <c r="E133" s="56"/>
      <c r="F133" s="56"/>
      <c r="G133" s="56"/>
      <c r="H133" s="56"/>
      <c r="I133" s="56"/>
      <c r="J133" s="56"/>
      <c r="K133" s="56"/>
      <c r="L133" s="57"/>
      <c r="M133" s="56"/>
      <c r="N133" s="56"/>
      <c r="O133" s="56"/>
      <c r="P133" s="56"/>
      <c r="Q133" s="56"/>
      <c r="R133" s="56"/>
      <c r="S133" s="56"/>
      <c r="T133" s="57"/>
    </row>
    <row r="134" spans="1:20" x14ac:dyDescent="0.25">
      <c r="A134" s="46" t="s">
        <v>227</v>
      </c>
      <c r="B134" s="47"/>
      <c r="C134" s="48"/>
      <c r="D134" s="49"/>
      <c r="E134" s="50"/>
      <c r="F134" s="50"/>
      <c r="G134" s="50"/>
      <c r="H134" s="50"/>
      <c r="I134" s="50"/>
      <c r="J134" s="50"/>
      <c r="K134" s="50"/>
      <c r="L134" s="58"/>
      <c r="M134" s="50"/>
      <c r="N134" s="50"/>
      <c r="O134" s="50"/>
      <c r="P134" s="50"/>
      <c r="Q134" s="50"/>
      <c r="R134" s="50"/>
      <c r="S134" s="50"/>
      <c r="T134" s="58"/>
    </row>
    <row r="135" spans="1:20" ht="15" customHeight="1" x14ac:dyDescent="0.25">
      <c r="A135" s="52" t="s">
        <v>227</v>
      </c>
      <c r="B135" s="53">
        <v>1</v>
      </c>
      <c r="C135" s="54" t="s">
        <v>152</v>
      </c>
      <c r="D135" s="55" t="str">
        <f>C135&amp;B135</f>
        <v>IENCN1</v>
      </c>
      <c r="E135" s="56"/>
      <c r="F135" s="56"/>
      <c r="G135" s="56"/>
      <c r="H135" s="56"/>
      <c r="I135" s="56"/>
      <c r="J135" s="56"/>
      <c r="K135" s="56"/>
      <c r="L135" s="57"/>
      <c r="M135" s="56"/>
      <c r="N135" s="56"/>
      <c r="O135" s="56"/>
      <c r="P135" s="56"/>
      <c r="Q135" s="56"/>
      <c r="R135" s="56"/>
      <c r="S135" s="56"/>
      <c r="T135" s="57"/>
    </row>
    <row r="136" spans="1:20" ht="15" customHeight="1" x14ac:dyDescent="0.25">
      <c r="A136" s="173" t="s">
        <v>228</v>
      </c>
      <c r="B136" s="174"/>
      <c r="C136" s="59"/>
      <c r="D136" s="60"/>
      <c r="E136" s="61"/>
      <c r="F136" s="61"/>
      <c r="G136" s="61"/>
      <c r="H136" s="61"/>
      <c r="I136" s="61"/>
      <c r="J136" s="61"/>
      <c r="K136" s="61"/>
      <c r="L136" s="62"/>
      <c r="M136" s="61"/>
      <c r="N136" s="61"/>
      <c r="O136" s="61"/>
      <c r="P136" s="61"/>
      <c r="Q136" s="61"/>
      <c r="R136" s="61"/>
      <c r="S136" s="61"/>
      <c r="T136" s="62"/>
    </row>
    <row r="137" spans="1:20" ht="15" customHeight="1" x14ac:dyDescent="0.25">
      <c r="A137" s="175" t="s">
        <v>229</v>
      </c>
      <c r="B137" s="176"/>
      <c r="C137" s="63"/>
      <c r="D137" s="64"/>
      <c r="E137" s="65"/>
      <c r="F137" s="65"/>
      <c r="G137" s="65"/>
      <c r="H137" s="65"/>
      <c r="I137" s="65"/>
      <c r="J137" s="65"/>
      <c r="K137" s="65"/>
      <c r="L137" s="66"/>
      <c r="M137" s="65"/>
      <c r="N137" s="65"/>
      <c r="O137" s="65"/>
      <c r="P137" s="65"/>
      <c r="Q137" s="65"/>
      <c r="R137" s="65"/>
      <c r="S137" s="65"/>
      <c r="T137" s="66"/>
    </row>
    <row r="138" spans="1:20" x14ac:dyDescent="0.25">
      <c r="A138" s="46" t="s">
        <v>230</v>
      </c>
      <c r="B138" s="47"/>
      <c r="C138" s="48"/>
      <c r="D138" s="49"/>
      <c r="E138" s="50"/>
      <c r="F138" s="50"/>
      <c r="G138" s="50"/>
      <c r="H138" s="50"/>
      <c r="I138" s="50"/>
      <c r="J138" s="50"/>
      <c r="K138" s="50"/>
      <c r="L138" s="58"/>
      <c r="M138" s="50"/>
      <c r="N138" s="50"/>
      <c r="O138" s="50"/>
      <c r="P138" s="50"/>
      <c r="Q138" s="50"/>
      <c r="R138" s="50"/>
      <c r="S138" s="50"/>
      <c r="T138" s="58"/>
    </row>
    <row r="139" spans="1:20" ht="15" customHeight="1" x14ac:dyDescent="0.25">
      <c r="A139" s="52" t="s">
        <v>231</v>
      </c>
      <c r="B139" s="53">
        <v>1</v>
      </c>
      <c r="C139" s="54" t="s">
        <v>232</v>
      </c>
      <c r="D139" s="55" t="str">
        <f t="shared" ref="D139:D161" si="21">C139&amp;B139</f>
        <v>ACARP1</v>
      </c>
      <c r="E139" s="56"/>
      <c r="F139" s="56"/>
      <c r="G139" s="56"/>
      <c r="H139" s="56"/>
      <c r="I139" s="56"/>
      <c r="J139" s="56"/>
      <c r="K139" s="56"/>
      <c r="L139" s="57"/>
      <c r="M139" s="56"/>
      <c r="N139" s="56"/>
      <c r="O139" s="56"/>
      <c r="P139" s="56"/>
      <c r="Q139" s="56"/>
      <c r="R139" s="56"/>
      <c r="S139" s="56"/>
      <c r="T139" s="57"/>
    </row>
    <row r="140" spans="1:20" ht="15" customHeight="1" x14ac:dyDescent="0.25">
      <c r="A140" s="52"/>
      <c r="B140" s="53">
        <v>2</v>
      </c>
      <c r="C140" s="54" t="s">
        <v>232</v>
      </c>
      <c r="D140" s="55" t="str">
        <f t="shared" si="21"/>
        <v>ACARP2</v>
      </c>
      <c r="E140" s="56"/>
      <c r="F140" s="56"/>
      <c r="G140" s="56"/>
      <c r="H140" s="56"/>
      <c r="I140" s="56"/>
      <c r="J140" s="56"/>
      <c r="K140" s="56"/>
      <c r="L140" s="57"/>
      <c r="M140" s="56"/>
      <c r="N140" s="56"/>
      <c r="O140" s="56"/>
      <c r="P140" s="56"/>
      <c r="Q140" s="56"/>
      <c r="R140" s="56"/>
      <c r="S140" s="56"/>
      <c r="T140" s="57"/>
    </row>
    <row r="141" spans="1:20" ht="15" customHeight="1" x14ac:dyDescent="0.25">
      <c r="A141" s="52"/>
      <c r="B141" s="53">
        <v>3</v>
      </c>
      <c r="C141" s="54" t="s">
        <v>232</v>
      </c>
      <c r="D141" s="55" t="str">
        <f t="shared" si="21"/>
        <v>ACARP3</v>
      </c>
      <c r="E141" s="56"/>
      <c r="F141" s="56"/>
      <c r="G141" s="56"/>
      <c r="H141" s="56"/>
      <c r="I141" s="56"/>
      <c r="J141" s="56"/>
      <c r="K141" s="56"/>
      <c r="L141" s="57"/>
      <c r="M141" s="56"/>
      <c r="N141" s="56"/>
      <c r="O141" s="56"/>
      <c r="P141" s="56"/>
      <c r="Q141" s="56"/>
      <c r="R141" s="56"/>
      <c r="S141" s="56"/>
      <c r="T141" s="57"/>
    </row>
    <row r="142" spans="1:20" ht="15" customHeight="1" x14ac:dyDescent="0.25">
      <c r="A142" s="52"/>
      <c r="B142" s="53">
        <v>4</v>
      </c>
      <c r="C142" s="54" t="s">
        <v>232</v>
      </c>
      <c r="D142" s="55" t="str">
        <f t="shared" si="21"/>
        <v>ACARP4</v>
      </c>
      <c r="E142" s="56"/>
      <c r="F142" s="56"/>
      <c r="G142" s="56"/>
      <c r="H142" s="56"/>
      <c r="I142" s="56"/>
      <c r="J142" s="56"/>
      <c r="K142" s="56"/>
      <c r="L142" s="57"/>
      <c r="M142" s="56"/>
      <c r="N142" s="56"/>
      <c r="O142" s="56"/>
      <c r="P142" s="56"/>
      <c r="Q142" s="56"/>
      <c r="R142" s="56"/>
      <c r="S142" s="56"/>
      <c r="T142" s="57"/>
    </row>
    <row r="143" spans="1:20" ht="15" customHeight="1" x14ac:dyDescent="0.25">
      <c r="A143" s="52" t="s">
        <v>233</v>
      </c>
      <c r="B143" s="53">
        <v>1</v>
      </c>
      <c r="C143" s="54" t="s">
        <v>234</v>
      </c>
      <c r="D143" s="55" t="str">
        <f t="shared" si="21"/>
        <v>AELEC1</v>
      </c>
      <c r="E143" s="56"/>
      <c r="F143" s="56"/>
      <c r="G143" s="56"/>
      <c r="H143" s="56"/>
      <c r="I143" s="56"/>
      <c r="J143" s="56"/>
      <c r="K143" s="56"/>
      <c r="L143" s="57"/>
      <c r="M143" s="56"/>
      <c r="N143" s="56"/>
      <c r="O143" s="56"/>
      <c r="P143" s="56"/>
      <c r="Q143" s="56"/>
      <c r="R143" s="56"/>
      <c r="S143" s="56"/>
      <c r="T143" s="57"/>
    </row>
    <row r="144" spans="1:20" ht="15" customHeight="1" x14ac:dyDescent="0.25">
      <c r="A144" s="52"/>
      <c r="B144" s="53">
        <v>2</v>
      </c>
      <c r="C144" s="54" t="s">
        <v>234</v>
      </c>
      <c r="D144" s="55" t="str">
        <f t="shared" si="21"/>
        <v>AELEC2</v>
      </c>
      <c r="E144" s="56"/>
      <c r="F144" s="56"/>
      <c r="G144" s="56"/>
      <c r="H144" s="56"/>
      <c r="I144" s="56"/>
      <c r="J144" s="56"/>
      <c r="K144" s="56"/>
      <c r="L144" s="57"/>
      <c r="M144" s="56"/>
      <c r="N144" s="56"/>
      <c r="O144" s="56"/>
      <c r="P144" s="56"/>
      <c r="Q144" s="56"/>
      <c r="R144" s="56"/>
      <c r="S144" s="56"/>
      <c r="T144" s="57"/>
    </row>
    <row r="145" spans="1:20" ht="15" customHeight="1" x14ac:dyDescent="0.25">
      <c r="A145" s="52"/>
      <c r="B145" s="53">
        <v>3</v>
      </c>
      <c r="C145" s="54" t="s">
        <v>234</v>
      </c>
      <c r="D145" s="55" t="str">
        <f t="shared" si="21"/>
        <v>AELEC3</v>
      </c>
      <c r="E145" s="56"/>
      <c r="F145" s="56"/>
      <c r="G145" s="56"/>
      <c r="H145" s="56"/>
      <c r="I145" s="56"/>
      <c r="J145" s="56"/>
      <c r="K145" s="56"/>
      <c r="L145" s="57"/>
      <c r="M145" s="56"/>
      <c r="N145" s="56"/>
      <c r="O145" s="56"/>
      <c r="P145" s="56"/>
      <c r="Q145" s="56"/>
      <c r="R145" s="56"/>
      <c r="S145" s="56"/>
      <c r="T145" s="57"/>
    </row>
    <row r="146" spans="1:20" ht="15" customHeight="1" x14ac:dyDescent="0.25">
      <c r="A146" s="52"/>
      <c r="B146" s="53">
        <v>4</v>
      </c>
      <c r="C146" s="54" t="s">
        <v>234</v>
      </c>
      <c r="D146" s="55" t="str">
        <f t="shared" si="21"/>
        <v>AELEC4</v>
      </c>
      <c r="E146" s="56"/>
      <c r="F146" s="56"/>
      <c r="G146" s="56"/>
      <c r="H146" s="56"/>
      <c r="I146" s="56"/>
      <c r="J146" s="56"/>
      <c r="K146" s="56"/>
      <c r="L146" s="57"/>
      <c r="M146" s="56"/>
      <c r="N146" s="56"/>
      <c r="O146" s="56"/>
      <c r="P146" s="56"/>
      <c r="Q146" s="56"/>
      <c r="R146" s="56"/>
      <c r="S146" s="56"/>
      <c r="T146" s="57"/>
    </row>
    <row r="147" spans="1:20" ht="15" customHeight="1" x14ac:dyDescent="0.25">
      <c r="A147" s="52" t="s">
        <v>235</v>
      </c>
      <c r="B147" s="53">
        <v>1</v>
      </c>
      <c r="C147" s="54" t="s">
        <v>236</v>
      </c>
      <c r="D147" s="55" t="str">
        <f t="shared" si="21"/>
        <v>AHD1</v>
      </c>
      <c r="E147" s="56"/>
      <c r="F147" s="56"/>
      <c r="G147" s="56"/>
      <c r="H147" s="56"/>
      <c r="I147" s="56"/>
      <c r="J147" s="56"/>
      <c r="K147" s="56"/>
      <c r="L147" s="57"/>
      <c r="M147" s="56"/>
      <c r="N147" s="56"/>
      <c r="O147" s="56"/>
      <c r="P147" s="56"/>
      <c r="Q147" s="56"/>
      <c r="R147" s="56"/>
      <c r="S147" s="56"/>
      <c r="T147" s="57"/>
    </row>
    <row r="148" spans="1:20" ht="15" customHeight="1" x14ac:dyDescent="0.25">
      <c r="A148" s="52"/>
      <c r="B148" s="53">
        <v>2</v>
      </c>
      <c r="C148" s="54" t="s">
        <v>236</v>
      </c>
      <c r="D148" s="55" t="str">
        <f t="shared" si="21"/>
        <v>AHD2</v>
      </c>
      <c r="E148" s="56"/>
      <c r="F148" s="56"/>
      <c r="G148" s="56"/>
      <c r="H148" s="56"/>
      <c r="I148" s="56"/>
      <c r="J148" s="56"/>
      <c r="K148" s="56"/>
      <c r="L148" s="57"/>
      <c r="M148" s="56"/>
      <c r="N148" s="56"/>
      <c r="O148" s="56"/>
      <c r="P148" s="56"/>
      <c r="Q148" s="56"/>
      <c r="R148" s="56"/>
      <c r="S148" s="56"/>
      <c r="T148" s="57"/>
    </row>
    <row r="149" spans="1:20" ht="15" customHeight="1" x14ac:dyDescent="0.25">
      <c r="A149" s="52"/>
      <c r="B149" s="53">
        <v>3</v>
      </c>
      <c r="C149" s="54" t="s">
        <v>236</v>
      </c>
      <c r="D149" s="55" t="str">
        <f t="shared" si="21"/>
        <v>AHD3</v>
      </c>
      <c r="E149" s="56"/>
      <c r="F149" s="56"/>
      <c r="G149" s="56"/>
      <c r="H149" s="56"/>
      <c r="I149" s="56"/>
      <c r="J149" s="56"/>
      <c r="K149" s="56"/>
      <c r="L149" s="57"/>
      <c r="M149" s="56"/>
      <c r="N149" s="56"/>
      <c r="O149" s="56"/>
      <c r="P149" s="56"/>
      <c r="Q149" s="56"/>
      <c r="R149" s="56"/>
      <c r="S149" s="56"/>
      <c r="T149" s="57"/>
    </row>
    <row r="150" spans="1:20" ht="15" customHeight="1" x14ac:dyDescent="0.25">
      <c r="A150" s="52"/>
      <c r="B150" s="53">
        <v>4</v>
      </c>
      <c r="C150" s="54" t="s">
        <v>236</v>
      </c>
      <c r="D150" s="55" t="str">
        <f t="shared" si="21"/>
        <v>AHD4</v>
      </c>
      <c r="E150" s="56"/>
      <c r="F150" s="56"/>
      <c r="G150" s="56"/>
      <c r="H150" s="56"/>
      <c r="I150" s="56"/>
      <c r="J150" s="56"/>
      <c r="K150" s="56"/>
      <c r="L150" s="57"/>
      <c r="M150" s="56"/>
      <c r="N150" s="56"/>
      <c r="O150" s="56"/>
      <c r="P150" s="56"/>
      <c r="Q150" s="56"/>
      <c r="R150" s="56"/>
      <c r="S150" s="56"/>
      <c r="T150" s="57"/>
    </row>
    <row r="151" spans="1:20" ht="15" customHeight="1" x14ac:dyDescent="0.25">
      <c r="A151" s="52" t="s">
        <v>237</v>
      </c>
      <c r="B151" s="53">
        <v>1</v>
      </c>
      <c r="C151" s="54" t="s">
        <v>238</v>
      </c>
      <c r="D151" s="55" t="str">
        <f t="shared" si="21"/>
        <v>AMILL1</v>
      </c>
      <c r="E151" s="56"/>
      <c r="F151" s="56"/>
      <c r="G151" s="56"/>
      <c r="H151" s="56"/>
      <c r="I151" s="56"/>
      <c r="J151" s="56"/>
      <c r="K151" s="56"/>
      <c r="L151" s="57"/>
      <c r="M151" s="56"/>
      <c r="N151" s="56"/>
      <c r="O151" s="56"/>
      <c r="P151" s="56"/>
      <c r="Q151" s="56"/>
      <c r="R151" s="56"/>
      <c r="S151" s="56"/>
      <c r="T151" s="57"/>
    </row>
    <row r="152" spans="1:20" ht="15" customHeight="1" x14ac:dyDescent="0.25">
      <c r="A152" s="52"/>
      <c r="B152" s="53">
        <v>2</v>
      </c>
      <c r="C152" s="54" t="s">
        <v>238</v>
      </c>
      <c r="D152" s="55" t="str">
        <f t="shared" si="21"/>
        <v>AMILL2</v>
      </c>
      <c r="E152" s="56"/>
      <c r="F152" s="56"/>
      <c r="G152" s="56"/>
      <c r="H152" s="56"/>
      <c r="I152" s="56"/>
      <c r="J152" s="56"/>
      <c r="K152" s="56"/>
      <c r="L152" s="57"/>
      <c r="M152" s="56"/>
      <c r="N152" s="56"/>
      <c r="O152" s="56"/>
      <c r="P152" s="56"/>
      <c r="Q152" s="56"/>
      <c r="R152" s="56"/>
      <c r="S152" s="56"/>
      <c r="T152" s="57"/>
    </row>
    <row r="153" spans="1:20" ht="15" customHeight="1" x14ac:dyDescent="0.25">
      <c r="A153" s="52"/>
      <c r="B153" s="53">
        <v>3</v>
      </c>
      <c r="C153" s="54" t="s">
        <v>238</v>
      </c>
      <c r="D153" s="55" t="str">
        <f t="shared" si="21"/>
        <v>AMILL3</v>
      </c>
      <c r="E153" s="56"/>
      <c r="F153" s="56"/>
      <c r="G153" s="56"/>
      <c r="H153" s="56"/>
      <c r="I153" s="56"/>
      <c r="J153" s="56"/>
      <c r="K153" s="56"/>
      <c r="L153" s="57"/>
      <c r="M153" s="56"/>
      <c r="N153" s="56"/>
      <c r="O153" s="56"/>
      <c r="P153" s="56"/>
      <c r="Q153" s="56"/>
      <c r="R153" s="56"/>
      <c r="S153" s="56"/>
      <c r="T153" s="57"/>
    </row>
    <row r="154" spans="1:20" ht="15" customHeight="1" x14ac:dyDescent="0.25">
      <c r="A154" s="52"/>
      <c r="B154" s="53">
        <v>4</v>
      </c>
      <c r="C154" s="54" t="s">
        <v>238</v>
      </c>
      <c r="D154" s="55" t="str">
        <f t="shared" si="21"/>
        <v>AMILL4</v>
      </c>
      <c r="E154" s="56"/>
      <c r="F154" s="56"/>
      <c r="G154" s="56"/>
      <c r="H154" s="56"/>
      <c r="I154" s="56"/>
      <c r="J154" s="56"/>
      <c r="K154" s="56"/>
      <c r="L154" s="57"/>
      <c r="M154" s="56"/>
      <c r="N154" s="56"/>
      <c r="O154" s="56"/>
      <c r="P154" s="56"/>
      <c r="Q154" s="56"/>
      <c r="R154" s="56"/>
      <c r="S154" s="56"/>
      <c r="T154" s="57"/>
    </row>
    <row r="155" spans="1:20" ht="15" customHeight="1" x14ac:dyDescent="0.25">
      <c r="A155" s="52" t="s">
        <v>239</v>
      </c>
      <c r="B155" s="53">
        <v>1</v>
      </c>
      <c r="C155" s="54" t="s">
        <v>240</v>
      </c>
      <c r="D155" s="55" t="str">
        <f t="shared" si="21"/>
        <v>ASTEAM1</v>
      </c>
      <c r="E155" s="56"/>
      <c r="F155" s="56"/>
      <c r="G155" s="56"/>
      <c r="H155" s="56"/>
      <c r="I155" s="56"/>
      <c r="J155" s="56"/>
      <c r="K155" s="56"/>
      <c r="L155" s="57"/>
      <c r="M155" s="56"/>
      <c r="N155" s="56"/>
      <c r="O155" s="56"/>
      <c r="P155" s="56"/>
      <c r="Q155" s="56"/>
      <c r="R155" s="56"/>
      <c r="S155" s="56"/>
      <c r="T155" s="57"/>
    </row>
    <row r="156" spans="1:20" ht="15" customHeight="1" x14ac:dyDescent="0.25">
      <c r="A156" s="52"/>
      <c r="B156" s="53">
        <v>2</v>
      </c>
      <c r="C156" s="54" t="s">
        <v>240</v>
      </c>
      <c r="D156" s="55" t="str">
        <f t="shared" si="21"/>
        <v>ASTEAM2</v>
      </c>
      <c r="E156" s="56"/>
      <c r="F156" s="56"/>
      <c r="G156" s="56"/>
      <c r="H156" s="56"/>
      <c r="I156" s="56"/>
      <c r="J156" s="56"/>
      <c r="K156" s="56"/>
      <c r="L156" s="57"/>
      <c r="M156" s="56"/>
      <c r="N156" s="56"/>
      <c r="O156" s="56"/>
      <c r="P156" s="56"/>
      <c r="Q156" s="56"/>
      <c r="R156" s="56"/>
      <c r="S156" s="56"/>
      <c r="T156" s="57"/>
    </row>
    <row r="157" spans="1:20" ht="15" customHeight="1" x14ac:dyDescent="0.25">
      <c r="A157" s="52"/>
      <c r="B157" s="53">
        <v>3</v>
      </c>
      <c r="C157" s="54" t="s">
        <v>240</v>
      </c>
      <c r="D157" s="55" t="str">
        <f t="shared" si="21"/>
        <v>ASTEAM3</v>
      </c>
      <c r="E157" s="56"/>
      <c r="F157" s="56"/>
      <c r="G157" s="56"/>
      <c r="H157" s="56"/>
      <c r="I157" s="56"/>
      <c r="J157" s="56"/>
      <c r="K157" s="56"/>
      <c r="L157" s="57"/>
      <c r="M157" s="56"/>
      <c r="N157" s="56"/>
      <c r="O157" s="56"/>
      <c r="P157" s="56"/>
      <c r="Q157" s="56"/>
      <c r="R157" s="56"/>
      <c r="S157" s="56"/>
      <c r="T157" s="57"/>
    </row>
    <row r="158" spans="1:20" ht="15" customHeight="1" x14ac:dyDescent="0.25">
      <c r="A158" s="52"/>
      <c r="B158" s="53">
        <v>4</v>
      </c>
      <c r="C158" s="54" t="s">
        <v>240</v>
      </c>
      <c r="D158" s="55" t="str">
        <f t="shared" si="21"/>
        <v>ASTEAM4</v>
      </c>
      <c r="E158" s="56"/>
      <c r="F158" s="56"/>
      <c r="G158" s="56"/>
      <c r="H158" s="56"/>
      <c r="I158" s="56"/>
      <c r="J158" s="56"/>
      <c r="K158" s="56"/>
      <c r="L158" s="57"/>
      <c r="M158" s="56"/>
      <c r="N158" s="56"/>
      <c r="O158" s="56"/>
      <c r="P158" s="56"/>
      <c r="Q158" s="56"/>
      <c r="R158" s="56"/>
      <c r="S158" s="56"/>
      <c r="T158" s="57"/>
    </row>
    <row r="159" spans="1:20" ht="15" customHeight="1" x14ac:dyDescent="0.25">
      <c r="A159" s="52" t="s">
        <v>241</v>
      </c>
      <c r="B159" s="53">
        <v>1</v>
      </c>
      <c r="C159" s="54" t="s">
        <v>242</v>
      </c>
      <c r="D159" s="55" t="str">
        <f t="shared" si="21"/>
        <v>AWELD1</v>
      </c>
      <c r="E159" s="56"/>
      <c r="F159" s="56"/>
      <c r="G159" s="56"/>
      <c r="H159" s="56"/>
      <c r="I159" s="56"/>
      <c r="J159" s="56"/>
      <c r="K159" s="56"/>
      <c r="L159" s="57"/>
      <c r="M159" s="56"/>
      <c r="N159" s="56"/>
      <c r="O159" s="56"/>
      <c r="P159" s="56"/>
      <c r="Q159" s="56"/>
      <c r="R159" s="56"/>
      <c r="S159" s="56"/>
      <c r="T159" s="57"/>
    </row>
    <row r="160" spans="1:20" ht="15" customHeight="1" x14ac:dyDescent="0.25">
      <c r="A160" s="52"/>
      <c r="B160" s="53">
        <v>2</v>
      </c>
      <c r="C160" s="54" t="s">
        <v>242</v>
      </c>
      <c r="D160" s="55" t="str">
        <f t="shared" si="21"/>
        <v>AWELD2</v>
      </c>
      <c r="E160" s="56"/>
      <c r="F160" s="56"/>
      <c r="G160" s="56"/>
      <c r="H160" s="56"/>
      <c r="I160" s="56"/>
      <c r="J160" s="56"/>
      <c r="K160" s="56"/>
      <c r="L160" s="57"/>
      <c r="M160" s="56"/>
      <c r="N160" s="56"/>
      <c r="O160" s="56"/>
      <c r="P160" s="56"/>
      <c r="Q160" s="56"/>
      <c r="R160" s="56"/>
      <c r="S160" s="56"/>
      <c r="T160" s="57"/>
    </row>
    <row r="161" spans="1:20" ht="15" customHeight="1" x14ac:dyDescent="0.25">
      <c r="A161" s="52"/>
      <c r="B161" s="53">
        <v>3</v>
      </c>
      <c r="C161" s="54" t="s">
        <v>242</v>
      </c>
      <c r="D161" s="55" t="str">
        <f t="shared" si="21"/>
        <v>AWELD3</v>
      </c>
      <c r="E161" s="56"/>
      <c r="F161" s="56"/>
      <c r="G161" s="56"/>
      <c r="H161" s="56"/>
      <c r="I161" s="56"/>
      <c r="J161" s="56"/>
      <c r="K161" s="56"/>
      <c r="L161" s="57"/>
      <c r="M161" s="56"/>
      <c r="N161" s="56"/>
      <c r="O161" s="56"/>
      <c r="P161" s="56"/>
      <c r="Q161" s="56"/>
      <c r="R161" s="56"/>
      <c r="S161" s="56"/>
      <c r="T161" s="57"/>
    </row>
    <row r="162" spans="1:20" ht="15" customHeight="1" x14ac:dyDescent="0.25">
      <c r="A162" s="173" t="s">
        <v>243</v>
      </c>
      <c r="B162" s="174"/>
      <c r="C162" s="59"/>
      <c r="D162" s="60"/>
      <c r="E162" s="61"/>
      <c r="F162" s="61"/>
      <c r="G162" s="61"/>
      <c r="H162" s="61"/>
      <c r="I162" s="61"/>
      <c r="J162" s="61"/>
      <c r="K162" s="61"/>
      <c r="L162" s="62"/>
      <c r="M162" s="61"/>
      <c r="N162" s="61"/>
      <c r="O162" s="61"/>
      <c r="P162" s="61"/>
      <c r="Q162" s="61"/>
      <c r="R162" s="61"/>
      <c r="S162" s="61"/>
      <c r="T162" s="62"/>
    </row>
    <row r="163" spans="1:20" x14ac:dyDescent="0.25">
      <c r="A163" s="46" t="s">
        <v>244</v>
      </c>
      <c r="B163" s="47"/>
      <c r="C163" s="48"/>
      <c r="D163" s="49"/>
      <c r="E163" s="50"/>
      <c r="F163" s="50"/>
      <c r="G163" s="50"/>
      <c r="H163" s="50"/>
      <c r="I163" s="50"/>
      <c r="J163" s="50"/>
      <c r="K163" s="50"/>
      <c r="L163" s="58"/>
      <c r="M163" s="50"/>
      <c r="N163" s="50"/>
      <c r="O163" s="50"/>
      <c r="P163" s="50"/>
      <c r="Q163" s="50"/>
      <c r="R163" s="50"/>
      <c r="S163" s="50"/>
      <c r="T163" s="58"/>
    </row>
    <row r="164" spans="1:20" ht="15" customHeight="1" x14ac:dyDescent="0.25">
      <c r="A164" s="52" t="s">
        <v>245</v>
      </c>
      <c r="B164" s="53">
        <v>1</v>
      </c>
      <c r="C164" s="54" t="s">
        <v>246</v>
      </c>
      <c r="D164" s="55" t="str">
        <f t="shared" ref="D164:D168" si="22">C164&amp;B164</f>
        <v>PACARP1</v>
      </c>
      <c r="E164" s="56"/>
      <c r="F164" s="56"/>
      <c r="G164" s="56"/>
      <c r="H164" s="56"/>
      <c r="I164" s="56"/>
      <c r="J164" s="56"/>
      <c r="K164" s="56"/>
      <c r="L164" s="57"/>
      <c r="M164" s="56"/>
      <c r="N164" s="56"/>
      <c r="O164" s="56"/>
      <c r="P164" s="56"/>
      <c r="Q164" s="56"/>
      <c r="R164" s="56"/>
      <c r="S164" s="56"/>
      <c r="T164" s="57"/>
    </row>
    <row r="165" spans="1:20" ht="15" customHeight="1" x14ac:dyDescent="0.25">
      <c r="A165" s="52" t="s">
        <v>162</v>
      </c>
      <c r="B165" s="53">
        <v>1</v>
      </c>
      <c r="C165" s="54" t="s">
        <v>51</v>
      </c>
      <c r="D165" s="55" t="str">
        <f t="shared" si="22"/>
        <v>PAELEC1</v>
      </c>
      <c r="E165" s="56"/>
      <c r="F165" s="56"/>
      <c r="G165" s="56"/>
      <c r="H165" s="56"/>
      <c r="I165" s="56"/>
      <c r="J165" s="56"/>
      <c r="K165" s="56"/>
      <c r="L165" s="57"/>
      <c r="M165" s="56"/>
      <c r="N165" s="56"/>
      <c r="O165" s="56"/>
      <c r="P165" s="56"/>
      <c r="Q165" s="56"/>
      <c r="R165" s="56"/>
      <c r="S165" s="56"/>
      <c r="T165" s="57"/>
    </row>
    <row r="166" spans="1:20" ht="15" customHeight="1" x14ac:dyDescent="0.25">
      <c r="A166" s="52" t="s">
        <v>163</v>
      </c>
      <c r="B166" s="53">
        <v>1</v>
      </c>
      <c r="C166" s="54" t="s">
        <v>164</v>
      </c>
      <c r="D166" s="55" t="str">
        <f t="shared" si="22"/>
        <v>PAWELD1</v>
      </c>
      <c r="E166" s="56"/>
      <c r="F166" s="56"/>
      <c r="G166" s="56"/>
      <c r="H166" s="56"/>
      <c r="I166" s="56"/>
      <c r="J166" s="56"/>
      <c r="K166" s="56"/>
      <c r="L166" s="57"/>
      <c r="M166" s="56"/>
      <c r="N166" s="56"/>
      <c r="O166" s="56"/>
      <c r="P166" s="56"/>
      <c r="Q166" s="56"/>
      <c r="R166" s="56"/>
      <c r="S166" s="56"/>
      <c r="T166" s="57"/>
    </row>
    <row r="167" spans="1:20" ht="15" customHeight="1" x14ac:dyDescent="0.25">
      <c r="A167" s="52" t="s">
        <v>165</v>
      </c>
      <c r="B167" s="53">
        <v>1</v>
      </c>
      <c r="C167" s="54" t="s">
        <v>52</v>
      </c>
      <c r="D167" s="55" t="str">
        <f t="shared" si="22"/>
        <v>PAHET1</v>
      </c>
      <c r="E167" s="56"/>
      <c r="F167" s="56"/>
      <c r="G167" s="56"/>
      <c r="H167" s="56"/>
      <c r="I167" s="56"/>
      <c r="J167" s="56"/>
      <c r="K167" s="56"/>
      <c r="L167" s="57"/>
      <c r="M167" s="56"/>
      <c r="N167" s="56"/>
      <c r="O167" s="56"/>
      <c r="P167" s="56"/>
      <c r="Q167" s="56"/>
      <c r="R167" s="56"/>
      <c r="S167" s="56"/>
      <c r="T167" s="57"/>
    </row>
    <row r="168" spans="1:20" ht="15" customHeight="1" x14ac:dyDescent="0.25">
      <c r="A168" s="52" t="s">
        <v>166</v>
      </c>
      <c r="B168" s="53">
        <v>1</v>
      </c>
      <c r="C168" s="54" t="s">
        <v>167</v>
      </c>
      <c r="D168" s="55" t="str">
        <f t="shared" si="22"/>
        <v>PAPLUM1</v>
      </c>
      <c r="E168" s="56"/>
      <c r="F168" s="56"/>
      <c r="G168" s="56"/>
      <c r="H168" s="56"/>
      <c r="I168" s="56"/>
      <c r="J168" s="56"/>
      <c r="K168" s="56"/>
      <c r="L168" s="57"/>
      <c r="M168" s="56"/>
      <c r="N168" s="56"/>
      <c r="O168" s="56"/>
      <c r="P168" s="56"/>
      <c r="Q168" s="56"/>
      <c r="R168" s="56"/>
      <c r="S168" s="56"/>
      <c r="T168" s="57"/>
    </row>
    <row r="169" spans="1:20" ht="15" customHeight="1" x14ac:dyDescent="0.25">
      <c r="A169" s="173" t="s">
        <v>247</v>
      </c>
      <c r="B169" s="174"/>
      <c r="C169" s="59"/>
      <c r="D169" s="60"/>
      <c r="E169" s="61"/>
      <c r="F169" s="61"/>
      <c r="G169" s="61"/>
      <c r="H169" s="61"/>
      <c r="I169" s="61"/>
      <c r="J169" s="61"/>
      <c r="K169" s="61"/>
      <c r="L169" s="62"/>
      <c r="M169" s="61"/>
      <c r="N169" s="61"/>
      <c r="O169" s="61"/>
      <c r="P169" s="61"/>
      <c r="Q169" s="61"/>
      <c r="R169" s="61"/>
      <c r="S169" s="61"/>
      <c r="T169" s="62"/>
    </row>
    <row r="170" spans="1:20" x14ac:dyDescent="0.25">
      <c r="A170" s="46" t="s">
        <v>39</v>
      </c>
      <c r="B170" s="47"/>
      <c r="C170" s="48"/>
      <c r="D170" s="49"/>
      <c r="E170" s="50"/>
      <c r="F170" s="50"/>
      <c r="G170" s="50"/>
      <c r="H170" s="50"/>
      <c r="I170" s="50"/>
      <c r="J170" s="50"/>
      <c r="K170" s="50"/>
      <c r="L170" s="58"/>
      <c r="M170" s="50"/>
      <c r="N170" s="50"/>
      <c r="O170" s="50"/>
      <c r="P170" s="50"/>
      <c r="Q170" s="50"/>
      <c r="R170" s="50"/>
      <c r="S170" s="50"/>
      <c r="T170" s="58"/>
    </row>
    <row r="171" spans="1:20" x14ac:dyDescent="0.25">
      <c r="A171" s="52" t="s">
        <v>248</v>
      </c>
      <c r="B171" s="53">
        <v>1</v>
      </c>
      <c r="C171" s="54" t="s">
        <v>50</v>
      </c>
      <c r="D171" s="55" t="str">
        <f t="shared" ref="D171:D180" si="23">C171&amp;B171</f>
        <v>POWCM41</v>
      </c>
      <c r="E171" s="56"/>
      <c r="F171" s="56"/>
      <c r="G171" s="56"/>
      <c r="H171" s="56"/>
      <c r="I171" s="56"/>
      <c r="J171" s="56"/>
      <c r="K171" s="56"/>
      <c r="L171" s="57"/>
      <c r="M171" s="56"/>
      <c r="N171" s="56"/>
      <c r="O171" s="56"/>
      <c r="P171" s="56"/>
      <c r="Q171" s="56"/>
      <c r="R171" s="56"/>
      <c r="S171" s="56"/>
      <c r="T171" s="57"/>
    </row>
    <row r="172" spans="1:20" x14ac:dyDescent="0.25">
      <c r="A172" s="52" t="s">
        <v>249</v>
      </c>
      <c r="B172" s="53">
        <v>1</v>
      </c>
      <c r="C172" s="54" t="s">
        <v>47</v>
      </c>
      <c r="D172" s="55" t="str">
        <f t="shared" si="23"/>
        <v>POWCM31</v>
      </c>
      <c r="E172" s="56"/>
      <c r="F172" s="56"/>
      <c r="G172" s="56"/>
      <c r="H172" s="56"/>
      <c r="I172" s="56"/>
      <c r="J172" s="56"/>
      <c r="K172" s="56"/>
      <c r="L172" s="57"/>
      <c r="M172" s="56"/>
      <c r="N172" s="56"/>
      <c r="O172" s="56"/>
      <c r="P172" s="56"/>
      <c r="Q172" s="56"/>
      <c r="R172" s="56"/>
      <c r="S172" s="56"/>
      <c r="T172" s="57"/>
    </row>
    <row r="173" spans="1:20" x14ac:dyDescent="0.25">
      <c r="A173" s="52" t="s">
        <v>250</v>
      </c>
      <c r="B173" s="53">
        <v>1</v>
      </c>
      <c r="C173" s="54" t="s">
        <v>45</v>
      </c>
      <c r="D173" s="55" t="str">
        <f t="shared" si="23"/>
        <v>POWCP41</v>
      </c>
      <c r="E173" s="56"/>
      <c r="F173" s="56"/>
      <c r="G173" s="56"/>
      <c r="H173" s="56"/>
      <c r="I173" s="56"/>
      <c r="J173" s="56"/>
      <c r="K173" s="56"/>
      <c r="L173" s="57"/>
      <c r="M173" s="56"/>
      <c r="N173" s="56"/>
      <c r="O173" s="56"/>
      <c r="P173" s="56"/>
      <c r="Q173" s="56"/>
      <c r="R173" s="56"/>
      <c r="S173" s="56"/>
      <c r="T173" s="57"/>
    </row>
    <row r="174" spans="1:20" x14ac:dyDescent="0.25">
      <c r="A174" s="52" t="s">
        <v>251</v>
      </c>
      <c r="B174" s="53">
        <v>1</v>
      </c>
      <c r="C174" s="54" t="s">
        <v>45</v>
      </c>
      <c r="D174" s="55" t="str">
        <f t="shared" si="23"/>
        <v>POWCP41</v>
      </c>
      <c r="E174" s="56"/>
      <c r="F174" s="56"/>
      <c r="G174" s="56"/>
      <c r="H174" s="56"/>
      <c r="I174" s="56"/>
      <c r="J174" s="56"/>
      <c r="K174" s="56"/>
      <c r="L174" s="57"/>
      <c r="M174" s="56"/>
      <c r="N174" s="56"/>
      <c r="O174" s="56"/>
      <c r="P174" s="56"/>
      <c r="Q174" s="56"/>
      <c r="R174" s="56"/>
      <c r="S174" s="56"/>
      <c r="T174" s="57"/>
    </row>
    <row r="175" spans="1:20" x14ac:dyDescent="0.25">
      <c r="A175" s="52" t="s">
        <v>252</v>
      </c>
      <c r="B175" s="53">
        <v>1</v>
      </c>
      <c r="C175" s="54" t="s">
        <v>169</v>
      </c>
      <c r="D175" s="55" t="str">
        <f t="shared" si="23"/>
        <v>POWCO41</v>
      </c>
      <c r="E175" s="56"/>
      <c r="F175" s="56"/>
      <c r="G175" s="56"/>
      <c r="H175" s="56"/>
      <c r="I175" s="56"/>
      <c r="J175" s="56"/>
      <c r="K175" s="56"/>
      <c r="L175" s="57"/>
      <c r="M175" s="56"/>
      <c r="N175" s="56"/>
      <c r="O175" s="56"/>
      <c r="P175" s="56"/>
      <c r="Q175" s="56"/>
      <c r="R175" s="56"/>
      <c r="S175" s="56"/>
      <c r="T175" s="57"/>
    </row>
    <row r="176" spans="1:20" x14ac:dyDescent="0.25">
      <c r="A176" s="52" t="s">
        <v>253</v>
      </c>
      <c r="B176" s="53">
        <v>1</v>
      </c>
      <c r="C176" s="54" t="s">
        <v>169</v>
      </c>
      <c r="D176" s="55" t="str">
        <f t="shared" si="23"/>
        <v>POWCO41</v>
      </c>
      <c r="E176" s="56"/>
      <c r="F176" s="56"/>
      <c r="G176" s="56"/>
      <c r="H176" s="56"/>
      <c r="I176" s="56"/>
      <c r="J176" s="56"/>
      <c r="K176" s="56"/>
      <c r="L176" s="57"/>
      <c r="M176" s="56"/>
      <c r="N176" s="56"/>
      <c r="O176" s="56"/>
      <c r="P176" s="56"/>
      <c r="Q176" s="56"/>
      <c r="R176" s="56"/>
      <c r="S176" s="56"/>
      <c r="T176" s="57"/>
    </row>
    <row r="177" spans="1:20" x14ac:dyDescent="0.25">
      <c r="A177" s="52" t="s">
        <v>254</v>
      </c>
      <c r="B177" s="53">
        <v>1</v>
      </c>
      <c r="C177" s="54" t="s">
        <v>41</v>
      </c>
      <c r="D177" s="55" t="str">
        <f t="shared" si="23"/>
        <v>POWCO31</v>
      </c>
      <c r="E177" s="56"/>
      <c r="F177" s="56"/>
      <c r="G177" s="56"/>
      <c r="H177" s="56"/>
      <c r="I177" s="56"/>
      <c r="J177" s="56"/>
      <c r="K177" s="56"/>
      <c r="L177" s="57"/>
      <c r="M177" s="56"/>
      <c r="N177" s="56"/>
      <c r="O177" s="56"/>
      <c r="P177" s="56"/>
      <c r="Q177" s="56"/>
      <c r="R177" s="56"/>
      <c r="S177" s="56"/>
      <c r="T177" s="57"/>
    </row>
    <row r="178" spans="1:20" x14ac:dyDescent="0.25">
      <c r="A178" s="52" t="s">
        <v>255</v>
      </c>
      <c r="B178" s="53">
        <v>1</v>
      </c>
      <c r="C178" s="54" t="s">
        <v>41</v>
      </c>
      <c r="D178" s="55" t="str">
        <f t="shared" si="23"/>
        <v>POWCO31</v>
      </c>
      <c r="E178" s="56"/>
      <c r="F178" s="56"/>
      <c r="G178" s="56"/>
      <c r="H178" s="56"/>
      <c r="I178" s="56"/>
      <c r="J178" s="56"/>
      <c r="K178" s="56"/>
      <c r="L178" s="57"/>
      <c r="M178" s="56"/>
      <c r="N178" s="56"/>
      <c r="O178" s="56"/>
      <c r="P178" s="56"/>
      <c r="Q178" s="56"/>
      <c r="R178" s="56"/>
      <c r="S178" s="56"/>
      <c r="T178" s="57"/>
    </row>
    <row r="179" spans="1:20" x14ac:dyDescent="0.25">
      <c r="A179" s="52" t="s">
        <v>256</v>
      </c>
      <c r="B179" s="53">
        <v>1</v>
      </c>
      <c r="C179" s="54" t="s">
        <v>143</v>
      </c>
      <c r="D179" s="55" t="str">
        <f t="shared" si="23"/>
        <v>PPET1</v>
      </c>
      <c r="E179" s="56"/>
      <c r="F179" s="56"/>
      <c r="G179" s="56"/>
      <c r="H179" s="56"/>
      <c r="I179" s="56"/>
      <c r="J179" s="56"/>
      <c r="K179" s="56"/>
      <c r="L179" s="57"/>
      <c r="M179" s="56"/>
      <c r="N179" s="56"/>
      <c r="O179" s="56"/>
      <c r="P179" s="56"/>
      <c r="Q179" s="56"/>
      <c r="R179" s="56"/>
      <c r="S179" s="56"/>
      <c r="T179" s="57"/>
    </row>
    <row r="180" spans="1:20" x14ac:dyDescent="0.25">
      <c r="A180" s="52"/>
      <c r="B180" s="53">
        <v>2</v>
      </c>
      <c r="C180" s="54" t="s">
        <v>143</v>
      </c>
      <c r="D180" s="55" t="str">
        <f t="shared" si="23"/>
        <v>PPET2</v>
      </c>
      <c r="E180" s="56"/>
      <c r="F180" s="56"/>
      <c r="G180" s="56"/>
      <c r="H180" s="56"/>
      <c r="I180" s="56"/>
      <c r="J180" s="56"/>
      <c r="K180" s="56"/>
      <c r="L180" s="57"/>
      <c r="M180" s="56"/>
      <c r="N180" s="56"/>
      <c r="O180" s="56"/>
      <c r="P180" s="56"/>
      <c r="Q180" s="56"/>
      <c r="R180" s="56"/>
      <c r="S180" s="56"/>
      <c r="T180" s="57"/>
    </row>
    <row r="181" spans="1:20" x14ac:dyDescent="0.25">
      <c r="A181" s="173" t="s">
        <v>257</v>
      </c>
      <c r="B181" s="174"/>
      <c r="C181" s="59"/>
      <c r="D181" s="60"/>
      <c r="E181" s="61"/>
      <c r="F181" s="61"/>
      <c r="G181" s="61"/>
      <c r="H181" s="61"/>
      <c r="I181" s="61"/>
      <c r="J181" s="61"/>
      <c r="K181" s="61"/>
      <c r="L181" s="62"/>
      <c r="M181" s="61"/>
      <c r="N181" s="61"/>
      <c r="O181" s="61"/>
      <c r="P181" s="61"/>
      <c r="Q181" s="61"/>
      <c r="R181" s="61"/>
      <c r="S181" s="61"/>
      <c r="T181" s="62"/>
    </row>
    <row r="182" spans="1:20" x14ac:dyDescent="0.25">
      <c r="A182" s="46" t="s">
        <v>258</v>
      </c>
      <c r="B182" s="47"/>
      <c r="C182" s="48"/>
      <c r="D182" s="49"/>
      <c r="E182" s="50"/>
      <c r="F182" s="50"/>
      <c r="G182" s="50"/>
      <c r="H182" s="50"/>
      <c r="I182" s="50"/>
      <c r="J182" s="50"/>
      <c r="K182" s="50"/>
      <c r="L182" s="58"/>
      <c r="M182" s="50"/>
      <c r="N182" s="50"/>
      <c r="O182" s="50"/>
      <c r="P182" s="50"/>
      <c r="Q182" s="50"/>
      <c r="R182" s="50"/>
      <c r="S182" s="50"/>
      <c r="T182" s="58"/>
    </row>
    <row r="183" spans="1:20" ht="15" customHeight="1" x14ac:dyDescent="0.25">
      <c r="A183" s="52" t="s">
        <v>259</v>
      </c>
      <c r="B183" s="53">
        <v>1</v>
      </c>
      <c r="C183" s="54" t="s">
        <v>330</v>
      </c>
      <c r="D183" s="55" t="str">
        <f t="shared" ref="D183:D184" si="24">C183&amp;B183</f>
        <v>placeholder welding id1</v>
      </c>
      <c r="E183" s="56"/>
      <c r="F183" s="56"/>
      <c r="G183" s="56"/>
      <c r="H183" s="56"/>
      <c r="I183" s="56"/>
      <c r="J183" s="56"/>
      <c r="K183" s="56"/>
      <c r="L183" s="57"/>
      <c r="M183" s="56"/>
      <c r="N183" s="56"/>
      <c r="O183" s="56"/>
      <c r="P183" s="56"/>
      <c r="Q183" s="56"/>
      <c r="R183" s="56"/>
      <c r="S183" s="56"/>
      <c r="T183" s="57"/>
    </row>
    <row r="184" spans="1:20" ht="15" customHeight="1" x14ac:dyDescent="0.25">
      <c r="A184" s="52"/>
      <c r="B184" s="53">
        <v>2</v>
      </c>
      <c r="C184" s="54" t="s">
        <v>330</v>
      </c>
      <c r="D184" s="55" t="str">
        <f t="shared" si="24"/>
        <v>placeholder welding id2</v>
      </c>
      <c r="E184" s="56"/>
      <c r="F184" s="56"/>
      <c r="G184" s="56"/>
      <c r="H184" s="56"/>
      <c r="I184" s="56"/>
      <c r="J184" s="56"/>
      <c r="K184" s="56"/>
      <c r="L184" s="57"/>
      <c r="M184" s="56"/>
      <c r="N184" s="56"/>
      <c r="O184" s="56"/>
      <c r="P184" s="56"/>
      <c r="Q184" s="56"/>
      <c r="R184" s="56"/>
      <c r="S184" s="56"/>
      <c r="T184" s="57"/>
    </row>
    <row r="185" spans="1:20" x14ac:dyDescent="0.25">
      <c r="A185" s="173" t="s">
        <v>260</v>
      </c>
      <c r="B185" s="174"/>
      <c r="C185" s="59"/>
      <c r="D185" s="60"/>
      <c r="E185" s="61"/>
      <c r="F185" s="61"/>
      <c r="G185" s="61"/>
      <c r="H185" s="61"/>
      <c r="I185" s="61"/>
      <c r="J185" s="61"/>
      <c r="K185" s="61"/>
      <c r="L185" s="62"/>
      <c r="M185" s="61"/>
      <c r="N185" s="61"/>
      <c r="O185" s="61"/>
      <c r="P185" s="61"/>
      <c r="Q185" s="61"/>
      <c r="R185" s="61"/>
      <c r="S185" s="61"/>
      <c r="T185" s="62"/>
    </row>
    <row r="186" spans="1:20" x14ac:dyDescent="0.25">
      <c r="A186" s="46" t="s">
        <v>261</v>
      </c>
      <c r="B186" s="47"/>
      <c r="C186" s="48"/>
      <c r="D186" s="49"/>
      <c r="E186" s="50"/>
      <c r="F186" s="50"/>
      <c r="G186" s="50"/>
      <c r="H186" s="50"/>
      <c r="I186" s="50"/>
      <c r="J186" s="50"/>
      <c r="K186" s="50"/>
      <c r="L186" s="58"/>
      <c r="M186" s="50"/>
      <c r="N186" s="50"/>
      <c r="O186" s="50"/>
      <c r="P186" s="50"/>
      <c r="Q186" s="50"/>
      <c r="R186" s="50"/>
      <c r="S186" s="50"/>
      <c r="T186" s="58"/>
    </row>
    <row r="187" spans="1:20" x14ac:dyDescent="0.25">
      <c r="A187" s="52" t="s">
        <v>262</v>
      </c>
      <c r="B187" s="53">
        <v>1</v>
      </c>
      <c r="C187" s="54" t="s">
        <v>263</v>
      </c>
      <c r="D187" s="55" t="str">
        <f t="shared" ref="D187:D189" si="25">C187&amp;B187</f>
        <v>DUALEL1</v>
      </c>
      <c r="E187" s="56"/>
      <c r="F187" s="56"/>
      <c r="G187" s="56"/>
      <c r="H187" s="56"/>
      <c r="I187" s="56"/>
      <c r="J187" s="56"/>
      <c r="K187" s="56"/>
      <c r="L187" s="57"/>
      <c r="M187" s="56"/>
      <c r="N187" s="56"/>
      <c r="O187" s="56"/>
      <c r="P187" s="56"/>
      <c r="Q187" s="56"/>
      <c r="R187" s="56"/>
      <c r="S187" s="56"/>
      <c r="T187" s="57"/>
    </row>
    <row r="188" spans="1:20" x14ac:dyDescent="0.25">
      <c r="A188" s="52" t="s">
        <v>264</v>
      </c>
      <c r="B188" s="53">
        <v>1</v>
      </c>
      <c r="C188" s="54" t="s">
        <v>265</v>
      </c>
      <c r="D188" s="55" t="str">
        <f t="shared" si="25"/>
        <v>DUALHE1</v>
      </c>
      <c r="E188" s="56"/>
      <c r="F188" s="56"/>
      <c r="G188" s="56"/>
      <c r="H188" s="56"/>
      <c r="I188" s="56"/>
      <c r="J188" s="56"/>
      <c r="K188" s="56"/>
      <c r="L188" s="57"/>
      <c r="M188" s="56"/>
      <c r="N188" s="56"/>
      <c r="O188" s="56"/>
      <c r="P188" s="56"/>
      <c r="Q188" s="56"/>
      <c r="R188" s="56"/>
      <c r="S188" s="56"/>
      <c r="T188" s="57"/>
    </row>
    <row r="189" spans="1:20" x14ac:dyDescent="0.25">
      <c r="A189" s="52" t="s">
        <v>266</v>
      </c>
      <c r="B189" s="53">
        <v>1</v>
      </c>
      <c r="C189" s="54" t="s">
        <v>267</v>
      </c>
      <c r="D189" s="55" t="str">
        <f t="shared" si="25"/>
        <v>DUALWE1</v>
      </c>
      <c r="E189" s="56"/>
      <c r="F189" s="56"/>
      <c r="G189" s="56"/>
      <c r="H189" s="56"/>
      <c r="I189" s="56"/>
      <c r="J189" s="56"/>
      <c r="K189" s="56"/>
      <c r="L189" s="57"/>
      <c r="M189" s="56"/>
      <c r="N189" s="56"/>
      <c r="O189" s="56"/>
      <c r="P189" s="56"/>
      <c r="Q189" s="56"/>
      <c r="R189" s="56"/>
      <c r="S189" s="56"/>
      <c r="T189" s="57"/>
    </row>
    <row r="190" spans="1:20" x14ac:dyDescent="0.25">
      <c r="A190" s="173" t="s">
        <v>268</v>
      </c>
      <c r="B190" s="174"/>
      <c r="C190" s="59"/>
      <c r="D190" s="60"/>
      <c r="E190" s="61"/>
      <c r="F190" s="61"/>
      <c r="G190" s="61"/>
      <c r="H190" s="61"/>
      <c r="I190" s="61"/>
      <c r="J190" s="61"/>
      <c r="K190" s="61"/>
      <c r="L190" s="62"/>
      <c r="M190" s="61"/>
      <c r="N190" s="61"/>
      <c r="O190" s="61"/>
      <c r="P190" s="61"/>
      <c r="Q190" s="61"/>
      <c r="R190" s="61"/>
      <c r="S190" s="61"/>
      <c r="T190" s="62"/>
    </row>
    <row r="191" spans="1:20" ht="15" customHeight="1" x14ac:dyDescent="0.25">
      <c r="A191" s="175" t="s">
        <v>269</v>
      </c>
      <c r="B191" s="176"/>
      <c r="C191" s="63"/>
      <c r="D191" s="64"/>
      <c r="E191" s="65"/>
      <c r="F191" s="65"/>
      <c r="G191" s="65"/>
      <c r="H191" s="65"/>
      <c r="I191" s="65"/>
      <c r="J191" s="65"/>
      <c r="K191" s="65"/>
      <c r="L191" s="66"/>
      <c r="M191" s="65"/>
      <c r="N191" s="65"/>
      <c r="O191" s="65"/>
      <c r="P191" s="65"/>
      <c r="Q191" s="65"/>
      <c r="R191" s="65"/>
      <c r="S191" s="65"/>
      <c r="T191" s="66"/>
    </row>
    <row r="192" spans="1:20" x14ac:dyDescent="0.25">
      <c r="A192" s="171" t="s">
        <v>131</v>
      </c>
      <c r="B192" s="172"/>
      <c r="C192" s="67"/>
      <c r="D192" s="68"/>
      <c r="E192" s="69"/>
      <c r="F192" s="69"/>
      <c r="G192" s="69"/>
      <c r="H192" s="69"/>
      <c r="I192" s="69"/>
      <c r="J192" s="69"/>
      <c r="K192" s="69"/>
      <c r="L192" s="70"/>
      <c r="M192" s="69"/>
      <c r="N192" s="69"/>
      <c r="O192" s="69"/>
      <c r="P192" s="69"/>
      <c r="Q192" s="69"/>
      <c r="R192" s="69"/>
      <c r="S192" s="69"/>
      <c r="T192" s="70"/>
    </row>
  </sheetData>
  <mergeCells count="28">
    <mergeCell ref="E1:L1"/>
    <mergeCell ref="M1:T1"/>
    <mergeCell ref="E2:F2"/>
    <mergeCell ref="G2:H2"/>
    <mergeCell ref="I2:J2"/>
    <mergeCell ref="K2:L2"/>
    <mergeCell ref="M2:N2"/>
    <mergeCell ref="O2:P2"/>
    <mergeCell ref="Q2:R2"/>
    <mergeCell ref="S2:T2"/>
    <mergeCell ref="A50:B50"/>
    <mergeCell ref="A1:A3"/>
    <mergeCell ref="B1:B3"/>
    <mergeCell ref="C1:C3"/>
    <mergeCell ref="D1:D3"/>
    <mergeCell ref="A42:B42"/>
    <mergeCell ref="A192:B192"/>
    <mergeCell ref="A98:B98"/>
    <mergeCell ref="A101:B101"/>
    <mergeCell ref="A117:B117"/>
    <mergeCell ref="A136:B136"/>
    <mergeCell ref="A137:B137"/>
    <mergeCell ref="A162:B162"/>
    <mergeCell ref="A169:B169"/>
    <mergeCell ref="A181:B181"/>
    <mergeCell ref="A185:B185"/>
    <mergeCell ref="A190:B190"/>
    <mergeCell ref="A191:B19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FDD49-231D-48E2-9B51-E8FBE0C5C756}">
  <sheetPr codeName="Sheet13">
    <tabColor rgb="FFFFFF00"/>
  </sheetPr>
  <dimension ref="A1:T192"/>
  <sheetViews>
    <sheetView zoomScale="80" zoomScaleNormal="80" workbookViewId="0">
      <selection activeCell="E4" sqref="E4:T192"/>
    </sheetView>
  </sheetViews>
  <sheetFormatPr defaultRowHeight="15" x14ac:dyDescent="0.25"/>
  <cols>
    <col min="1" max="1" width="60.7109375" customWidth="1"/>
    <col min="2" max="2" width="10.7109375" customWidth="1"/>
    <col min="3" max="3" width="24.7109375" bestFit="1" customWidth="1"/>
    <col min="4" max="4" width="24.85546875" bestFit="1" customWidth="1"/>
    <col min="5" max="20" width="9.140625" style="54"/>
  </cols>
  <sheetData>
    <row r="1" spans="1:20" ht="16.5" customHeight="1" x14ac:dyDescent="0.25">
      <c r="A1" s="177" t="s">
        <v>173</v>
      </c>
      <c r="B1" s="179" t="s">
        <v>32</v>
      </c>
      <c r="C1" s="181" t="s">
        <v>174</v>
      </c>
      <c r="D1" s="179" t="s">
        <v>175</v>
      </c>
      <c r="E1" s="183" t="s">
        <v>297</v>
      </c>
      <c r="F1" s="183"/>
      <c r="G1" s="183"/>
      <c r="H1" s="183"/>
      <c r="I1" s="183"/>
      <c r="J1" s="183"/>
      <c r="K1" s="183"/>
      <c r="L1" s="184"/>
      <c r="M1" s="183" t="s">
        <v>298</v>
      </c>
      <c r="N1" s="183"/>
      <c r="O1" s="183"/>
      <c r="P1" s="183"/>
      <c r="Q1" s="183"/>
      <c r="R1" s="183"/>
      <c r="S1" s="183"/>
      <c r="T1" s="184"/>
    </row>
    <row r="2" spans="1:20" x14ac:dyDescent="0.25">
      <c r="A2" s="177"/>
      <c r="B2" s="179"/>
      <c r="C2" s="181"/>
      <c r="D2" s="179"/>
      <c r="E2" s="185" t="s">
        <v>177</v>
      </c>
      <c r="F2" s="186"/>
      <c r="G2" s="186" t="s">
        <v>178</v>
      </c>
      <c r="H2" s="186"/>
      <c r="I2" s="186" t="s">
        <v>179</v>
      </c>
      <c r="J2" s="186"/>
      <c r="K2" s="186" t="s">
        <v>180</v>
      </c>
      <c r="L2" s="187"/>
      <c r="M2" s="185" t="s">
        <v>177</v>
      </c>
      <c r="N2" s="186"/>
      <c r="O2" s="186" t="s">
        <v>178</v>
      </c>
      <c r="P2" s="186"/>
      <c r="Q2" s="186" t="s">
        <v>179</v>
      </c>
      <c r="R2" s="186"/>
      <c r="S2" s="186" t="s">
        <v>180</v>
      </c>
      <c r="T2" s="187"/>
    </row>
    <row r="3" spans="1:20" ht="30" x14ac:dyDescent="0.25">
      <c r="A3" s="178"/>
      <c r="B3" s="180"/>
      <c r="C3" s="182"/>
      <c r="D3" s="180"/>
      <c r="E3" s="43" t="s">
        <v>181</v>
      </c>
      <c r="F3" s="43" t="s">
        <v>182</v>
      </c>
      <c r="G3" s="44" t="s">
        <v>181</v>
      </c>
      <c r="H3" s="43" t="s">
        <v>182</v>
      </c>
      <c r="I3" s="43" t="s">
        <v>181</v>
      </c>
      <c r="J3" s="43" t="s">
        <v>182</v>
      </c>
      <c r="K3" s="43" t="s">
        <v>181</v>
      </c>
      <c r="L3" s="45" t="s">
        <v>182</v>
      </c>
      <c r="M3" s="43" t="s">
        <v>181</v>
      </c>
      <c r="N3" s="43" t="s">
        <v>182</v>
      </c>
      <c r="O3" s="44" t="s">
        <v>181</v>
      </c>
      <c r="P3" s="43" t="s">
        <v>182</v>
      </c>
      <c r="Q3" s="43" t="s">
        <v>181</v>
      </c>
      <c r="R3" s="43" t="s">
        <v>182</v>
      </c>
      <c r="S3" s="43" t="s">
        <v>181</v>
      </c>
      <c r="T3" s="45" t="s">
        <v>182</v>
      </c>
    </row>
    <row r="4" spans="1:20" x14ac:dyDescent="0.25">
      <c r="A4" s="46" t="s">
        <v>176</v>
      </c>
      <c r="B4" s="47"/>
      <c r="C4" s="48"/>
      <c r="D4" s="49"/>
      <c r="E4" s="50"/>
      <c r="F4" s="50"/>
      <c r="G4" s="50"/>
      <c r="H4" s="50"/>
      <c r="I4" s="50"/>
      <c r="J4" s="50"/>
      <c r="K4" s="50"/>
      <c r="L4" s="51"/>
      <c r="M4" s="50"/>
      <c r="N4" s="50"/>
      <c r="O4" s="50"/>
      <c r="P4" s="50"/>
      <c r="Q4" s="50"/>
      <c r="R4" s="50"/>
      <c r="S4" s="50"/>
      <c r="T4" s="51"/>
    </row>
    <row r="5" spans="1:20" x14ac:dyDescent="0.25">
      <c r="A5" s="52" t="s">
        <v>183</v>
      </c>
      <c r="B5" s="53">
        <v>1</v>
      </c>
      <c r="C5" s="54" t="s">
        <v>184</v>
      </c>
      <c r="D5" s="55" t="str">
        <f>C5&amp;B5</f>
        <v>BAACTC1</v>
      </c>
      <c r="E5" s="56"/>
      <c r="F5" s="56"/>
      <c r="G5" s="56"/>
      <c r="H5" s="56"/>
      <c r="I5" s="56"/>
      <c r="J5" s="56"/>
      <c r="K5" s="56"/>
      <c r="L5" s="57"/>
      <c r="M5" s="56"/>
      <c r="N5" s="56"/>
      <c r="O5" s="56"/>
      <c r="P5" s="56"/>
      <c r="Q5" s="56"/>
      <c r="R5" s="56"/>
      <c r="S5" s="56"/>
      <c r="T5" s="57"/>
    </row>
    <row r="6" spans="1:20" x14ac:dyDescent="0.25">
      <c r="A6" s="52" t="s">
        <v>185</v>
      </c>
      <c r="B6" s="53">
        <v>1</v>
      </c>
      <c r="C6" s="54" t="s">
        <v>76</v>
      </c>
      <c r="D6" s="55" t="str">
        <f>C6&amp;B6</f>
        <v>BABUSC1</v>
      </c>
      <c r="E6" s="56"/>
      <c r="F6" s="56"/>
      <c r="G6" s="56"/>
      <c r="H6" s="56"/>
      <c r="I6" s="56"/>
      <c r="J6" s="56"/>
      <c r="K6" s="56"/>
      <c r="L6" s="57"/>
      <c r="M6" s="56"/>
      <c r="N6" s="56"/>
      <c r="O6" s="56"/>
      <c r="P6" s="56"/>
      <c r="Q6" s="56"/>
      <c r="R6" s="56"/>
      <c r="S6" s="56"/>
      <c r="T6" s="57"/>
    </row>
    <row r="7" spans="1:20" x14ac:dyDescent="0.25">
      <c r="A7" s="46" t="s">
        <v>186</v>
      </c>
      <c r="B7" s="47"/>
      <c r="C7" s="48"/>
      <c r="D7" s="49"/>
      <c r="E7" s="50"/>
      <c r="F7" s="50"/>
      <c r="G7" s="50"/>
      <c r="H7" s="50"/>
      <c r="I7" s="50"/>
      <c r="J7" s="50"/>
      <c r="K7" s="50"/>
      <c r="L7" s="58"/>
      <c r="M7" s="50"/>
      <c r="N7" s="50"/>
      <c r="O7" s="50"/>
      <c r="P7" s="50"/>
      <c r="Q7" s="50"/>
      <c r="R7" s="50"/>
      <c r="S7" s="50"/>
      <c r="T7" s="58"/>
    </row>
    <row r="8" spans="1:20" ht="15" customHeight="1" x14ac:dyDescent="0.25">
      <c r="A8" s="52" t="s">
        <v>183</v>
      </c>
      <c r="B8" s="53">
        <v>1</v>
      </c>
      <c r="C8" s="54" t="s">
        <v>77</v>
      </c>
      <c r="D8" s="55" t="str">
        <f t="shared" ref="D8:D19" si="0">C8&amp;B8</f>
        <v>BAACTD1</v>
      </c>
      <c r="E8" s="56"/>
      <c r="F8" s="56"/>
      <c r="G8" s="56"/>
      <c r="H8" s="56"/>
      <c r="I8" s="56"/>
      <c r="J8" s="56"/>
      <c r="K8" s="56"/>
      <c r="L8" s="57"/>
      <c r="M8" s="56"/>
      <c r="N8" s="56"/>
      <c r="O8" s="56"/>
      <c r="P8" s="56"/>
      <c r="Q8" s="56"/>
      <c r="R8" s="56"/>
      <c r="S8" s="56"/>
      <c r="T8" s="57"/>
    </row>
    <row r="9" spans="1:20" ht="15" customHeight="1" x14ac:dyDescent="0.25">
      <c r="A9" s="52"/>
      <c r="B9" s="53">
        <v>2</v>
      </c>
      <c r="C9" s="54" t="s">
        <v>77</v>
      </c>
      <c r="D9" s="55" t="str">
        <f t="shared" si="0"/>
        <v>BAACTD2</v>
      </c>
      <c r="E9" s="56"/>
      <c r="F9" s="56"/>
      <c r="G9" s="56"/>
      <c r="H9" s="56"/>
      <c r="I9" s="56"/>
      <c r="J9" s="56"/>
      <c r="K9" s="56"/>
      <c r="L9" s="57"/>
      <c r="M9" s="56"/>
      <c r="N9" s="56"/>
      <c r="O9" s="56"/>
      <c r="P9" s="56"/>
      <c r="Q9" s="56"/>
      <c r="R9" s="56"/>
      <c r="S9" s="56"/>
      <c r="T9" s="57"/>
    </row>
    <row r="10" spans="1:20" ht="15" customHeight="1" x14ac:dyDescent="0.25">
      <c r="A10" s="52" t="s">
        <v>185</v>
      </c>
      <c r="B10" s="53">
        <v>1</v>
      </c>
      <c r="C10" s="54" t="s">
        <v>78</v>
      </c>
      <c r="D10" s="55" t="str">
        <f t="shared" si="0"/>
        <v>BABUSD1</v>
      </c>
      <c r="E10" s="56"/>
      <c r="F10" s="56"/>
      <c r="G10" s="56"/>
      <c r="H10" s="56"/>
      <c r="I10" s="56"/>
      <c r="J10" s="56"/>
      <c r="K10" s="56"/>
      <c r="L10" s="57"/>
      <c r="M10" s="56"/>
      <c r="N10" s="56"/>
      <c r="O10" s="56"/>
      <c r="P10" s="56"/>
      <c r="Q10" s="56"/>
      <c r="R10" s="56"/>
      <c r="S10" s="56"/>
      <c r="T10" s="57"/>
    </row>
    <row r="11" spans="1:20" ht="15" customHeight="1" x14ac:dyDescent="0.25">
      <c r="A11" s="52"/>
      <c r="B11" s="53">
        <v>2</v>
      </c>
      <c r="C11" s="54" t="s">
        <v>78</v>
      </c>
      <c r="D11" s="55" t="str">
        <f t="shared" si="0"/>
        <v>BABUSD2</v>
      </c>
      <c r="E11" s="56"/>
      <c r="F11" s="56"/>
      <c r="G11" s="56"/>
      <c r="H11" s="56"/>
      <c r="I11" s="56"/>
      <c r="J11" s="56"/>
      <c r="K11" s="56"/>
      <c r="L11" s="57"/>
      <c r="M11" s="56"/>
      <c r="N11" s="56"/>
      <c r="O11" s="56"/>
      <c r="P11" s="56"/>
      <c r="Q11" s="56"/>
      <c r="R11" s="56"/>
      <c r="S11" s="56"/>
      <c r="T11" s="57"/>
    </row>
    <row r="12" spans="1:20" ht="15" customHeight="1" x14ac:dyDescent="0.25">
      <c r="A12" s="52" t="s">
        <v>187</v>
      </c>
      <c r="B12" s="53">
        <v>1</v>
      </c>
      <c r="C12" s="54" t="s">
        <v>79</v>
      </c>
      <c r="D12" s="55" t="str">
        <f t="shared" si="0"/>
        <v>BAESPM1</v>
      </c>
      <c r="E12" s="56"/>
      <c r="F12" s="56"/>
      <c r="G12" s="56"/>
      <c r="H12" s="56"/>
      <c r="I12" s="56"/>
      <c r="J12" s="56"/>
      <c r="K12" s="56"/>
      <c r="L12" s="57"/>
      <c r="M12" s="56"/>
      <c r="N12" s="56"/>
      <c r="O12" s="56"/>
      <c r="P12" s="56"/>
      <c r="Q12" s="56"/>
      <c r="R12" s="56"/>
      <c r="S12" s="56"/>
      <c r="T12" s="57"/>
    </row>
    <row r="13" spans="1:20" ht="15" customHeight="1" x14ac:dyDescent="0.25">
      <c r="A13" s="52"/>
      <c r="B13" s="53">
        <v>2</v>
      </c>
      <c r="C13" s="54" t="s">
        <v>79</v>
      </c>
      <c r="D13" s="55" t="str">
        <f t="shared" si="0"/>
        <v>BAESPM2</v>
      </c>
      <c r="E13" s="56"/>
      <c r="F13" s="56"/>
      <c r="G13" s="56"/>
      <c r="H13" s="56"/>
      <c r="I13" s="56"/>
      <c r="J13" s="56"/>
      <c r="K13" s="56"/>
      <c r="L13" s="57"/>
      <c r="M13" s="56"/>
      <c r="N13" s="56"/>
      <c r="O13" s="56"/>
      <c r="P13" s="56"/>
      <c r="Q13" s="56"/>
      <c r="R13" s="56"/>
      <c r="S13" s="56"/>
      <c r="T13" s="57"/>
    </row>
    <row r="14" spans="1:20" ht="15" customHeight="1" x14ac:dyDescent="0.25">
      <c r="A14" s="52" t="s">
        <v>153</v>
      </c>
      <c r="B14" s="53">
        <v>1</v>
      </c>
      <c r="C14" s="54" t="s">
        <v>135</v>
      </c>
      <c r="D14" s="55" t="str">
        <f t="shared" si="0"/>
        <v>BAHRMD1</v>
      </c>
      <c r="E14" s="56"/>
      <c r="F14" s="56"/>
      <c r="G14" s="56"/>
      <c r="H14" s="56"/>
      <c r="I14" s="56"/>
      <c r="J14" s="56"/>
      <c r="K14" s="56"/>
      <c r="L14" s="57"/>
      <c r="M14" s="56"/>
      <c r="N14" s="56"/>
      <c r="O14" s="56"/>
      <c r="P14" s="56"/>
      <c r="Q14" s="56"/>
      <c r="R14" s="56"/>
      <c r="S14" s="56"/>
      <c r="T14" s="57"/>
    </row>
    <row r="15" spans="1:20" ht="15" customHeight="1" x14ac:dyDescent="0.25">
      <c r="A15" s="52"/>
      <c r="B15" s="53">
        <v>2</v>
      </c>
      <c r="C15" s="54" t="s">
        <v>135</v>
      </c>
      <c r="D15" s="55" t="str">
        <f t="shared" si="0"/>
        <v>BAHRMD2</v>
      </c>
      <c r="E15" s="56"/>
      <c r="F15" s="56"/>
      <c r="G15" s="56"/>
      <c r="H15" s="56"/>
      <c r="I15" s="56"/>
      <c r="J15" s="56"/>
      <c r="K15" s="56"/>
      <c r="L15" s="57"/>
      <c r="M15" s="56"/>
      <c r="N15" s="56"/>
      <c r="O15" s="56"/>
      <c r="P15" s="56"/>
      <c r="Q15" s="56"/>
      <c r="R15" s="56"/>
      <c r="S15" s="56"/>
      <c r="T15" s="57"/>
    </row>
    <row r="16" spans="1:20" ht="15" customHeight="1" x14ac:dyDescent="0.25">
      <c r="A16" s="52" t="s">
        <v>188</v>
      </c>
      <c r="B16" s="53">
        <v>1</v>
      </c>
      <c r="C16" s="54" t="s">
        <v>149</v>
      </c>
      <c r="D16" s="55" t="str">
        <f t="shared" si="0"/>
        <v>GSCMD1</v>
      </c>
      <c r="E16" s="56"/>
      <c r="F16" s="56"/>
      <c r="G16" s="56"/>
      <c r="H16" s="56"/>
      <c r="I16" s="56"/>
      <c r="J16" s="56"/>
      <c r="K16" s="56"/>
      <c r="L16" s="57"/>
      <c r="M16" s="56"/>
      <c r="N16" s="56"/>
      <c r="O16" s="56"/>
      <c r="P16" s="56"/>
      <c r="Q16" s="56"/>
      <c r="R16" s="56"/>
      <c r="S16" s="56"/>
      <c r="T16" s="57"/>
    </row>
    <row r="17" spans="1:20" ht="15" customHeight="1" x14ac:dyDescent="0.25">
      <c r="A17" s="52"/>
      <c r="B17" s="53">
        <v>2</v>
      </c>
      <c r="C17" s="54" t="s">
        <v>149</v>
      </c>
      <c r="D17" s="55" t="str">
        <f t="shared" si="0"/>
        <v>GSCMD2</v>
      </c>
      <c r="E17" s="56"/>
      <c r="F17" s="56"/>
      <c r="G17" s="56"/>
      <c r="H17" s="56"/>
      <c r="I17" s="56"/>
      <c r="J17" s="56"/>
      <c r="K17" s="56"/>
      <c r="L17" s="57"/>
      <c r="M17" s="56"/>
      <c r="N17" s="56"/>
      <c r="O17" s="56"/>
      <c r="P17" s="56"/>
      <c r="Q17" s="56"/>
      <c r="R17" s="56"/>
      <c r="S17" s="56"/>
      <c r="T17" s="57"/>
    </row>
    <row r="18" spans="1:20" ht="15" customHeight="1" x14ac:dyDescent="0.25">
      <c r="A18" s="52" t="s">
        <v>189</v>
      </c>
      <c r="B18" s="53">
        <v>1</v>
      </c>
      <c r="C18" s="54" t="s">
        <v>155</v>
      </c>
      <c r="D18" s="55" t="str">
        <f t="shared" si="0"/>
        <v>DIGMD1</v>
      </c>
      <c r="E18" s="56"/>
      <c r="F18" s="56"/>
      <c r="G18" s="56"/>
      <c r="H18" s="56"/>
      <c r="I18" s="56"/>
      <c r="J18" s="56"/>
      <c r="K18" s="56"/>
      <c r="L18" s="57"/>
      <c r="M18" s="56"/>
      <c r="N18" s="56"/>
      <c r="O18" s="56"/>
      <c r="P18" s="56"/>
      <c r="Q18" s="56"/>
      <c r="R18" s="56"/>
      <c r="S18" s="56"/>
      <c r="T18" s="57"/>
    </row>
    <row r="19" spans="1:20" ht="15" customHeight="1" x14ac:dyDescent="0.25">
      <c r="A19" s="52"/>
      <c r="B19" s="53">
        <v>2</v>
      </c>
      <c r="C19" s="54" t="s">
        <v>155</v>
      </c>
      <c r="D19" s="55" t="str">
        <f t="shared" si="0"/>
        <v>DIGMD2</v>
      </c>
      <c r="E19" s="56"/>
      <c r="F19" s="56"/>
      <c r="G19" s="56"/>
      <c r="H19" s="56"/>
      <c r="I19" s="56"/>
      <c r="J19" s="56"/>
      <c r="K19" s="56"/>
      <c r="L19" s="57"/>
      <c r="M19" s="56"/>
      <c r="N19" s="56"/>
      <c r="O19" s="56"/>
      <c r="P19" s="56"/>
      <c r="Q19" s="56"/>
      <c r="R19" s="56"/>
      <c r="S19" s="56"/>
      <c r="T19" s="57"/>
    </row>
    <row r="20" spans="1:20" x14ac:dyDescent="0.25">
      <c r="A20" s="46" t="s">
        <v>190</v>
      </c>
      <c r="B20" s="47"/>
      <c r="C20" s="48"/>
      <c r="D20" s="49"/>
      <c r="E20" s="50"/>
      <c r="F20" s="50"/>
      <c r="G20" s="50"/>
      <c r="H20" s="50"/>
      <c r="I20" s="50"/>
      <c r="J20" s="50"/>
      <c r="K20" s="50"/>
      <c r="L20" s="58"/>
      <c r="M20" s="50"/>
      <c r="N20" s="50"/>
      <c r="O20" s="50"/>
      <c r="P20" s="50"/>
      <c r="Q20" s="50"/>
      <c r="R20" s="50"/>
      <c r="S20" s="50"/>
      <c r="T20" s="58"/>
    </row>
    <row r="21" spans="1:20" ht="15" customHeight="1" x14ac:dyDescent="0.25">
      <c r="A21" s="52" t="s">
        <v>183</v>
      </c>
      <c r="B21" s="53">
        <v>1</v>
      </c>
      <c r="C21" s="54" t="s">
        <v>81</v>
      </c>
      <c r="D21" s="55" t="str">
        <f t="shared" ref="D21:D24" si="1">C21&amp;B21</f>
        <v>BAATCO1</v>
      </c>
      <c r="E21" s="56"/>
      <c r="F21" s="56"/>
      <c r="G21" s="56"/>
      <c r="H21" s="56"/>
      <c r="I21" s="56"/>
      <c r="J21" s="56"/>
      <c r="K21" s="56"/>
      <c r="L21" s="57"/>
      <c r="M21" s="56"/>
      <c r="N21" s="56"/>
      <c r="O21" s="56"/>
      <c r="P21" s="56"/>
      <c r="Q21" s="56"/>
      <c r="R21" s="56"/>
      <c r="S21" s="56"/>
      <c r="T21" s="57"/>
    </row>
    <row r="22" spans="1:20" ht="15" customHeight="1" x14ac:dyDescent="0.25">
      <c r="A22" s="52"/>
      <c r="B22" s="53">
        <v>2</v>
      </c>
      <c r="C22" s="54" t="s">
        <v>81</v>
      </c>
      <c r="D22" s="55" t="str">
        <f t="shared" si="1"/>
        <v>BAATCO2</v>
      </c>
      <c r="E22" s="56"/>
      <c r="F22" s="56"/>
      <c r="G22" s="56"/>
      <c r="H22" s="56"/>
      <c r="I22" s="56"/>
      <c r="J22" s="56"/>
      <c r="K22" s="56"/>
      <c r="L22" s="57"/>
      <c r="M22" s="56"/>
      <c r="N22" s="56"/>
      <c r="O22" s="56"/>
      <c r="P22" s="56"/>
      <c r="Q22" s="56"/>
      <c r="R22" s="56"/>
      <c r="S22" s="56"/>
      <c r="T22" s="57"/>
    </row>
    <row r="23" spans="1:20" ht="15" customHeight="1" x14ac:dyDescent="0.25">
      <c r="A23" s="52" t="s">
        <v>185</v>
      </c>
      <c r="B23" s="53">
        <v>1</v>
      </c>
      <c r="C23" s="54" t="s">
        <v>83</v>
      </c>
      <c r="D23" s="55" t="str">
        <f t="shared" si="1"/>
        <v>BABSCO1</v>
      </c>
      <c r="E23" s="56"/>
      <c r="F23" s="56"/>
      <c r="G23" s="56"/>
      <c r="H23" s="56"/>
      <c r="I23" s="56"/>
      <c r="J23" s="56"/>
      <c r="K23" s="56"/>
      <c r="L23" s="57"/>
      <c r="M23" s="56"/>
      <c r="N23" s="56"/>
      <c r="O23" s="56"/>
      <c r="P23" s="56"/>
      <c r="Q23" s="56"/>
      <c r="R23" s="56"/>
      <c r="S23" s="56"/>
      <c r="T23" s="57"/>
    </row>
    <row r="24" spans="1:20" ht="15" customHeight="1" x14ac:dyDescent="0.25">
      <c r="A24" s="52"/>
      <c r="B24" s="53">
        <v>2</v>
      </c>
      <c r="C24" s="54" t="s">
        <v>83</v>
      </c>
      <c r="D24" s="55" t="str">
        <f t="shared" si="1"/>
        <v>BABSCO2</v>
      </c>
      <c r="E24" s="56"/>
      <c r="F24" s="56"/>
      <c r="G24" s="56"/>
      <c r="H24" s="56"/>
      <c r="I24" s="56"/>
      <c r="J24" s="56"/>
      <c r="K24" s="56"/>
      <c r="L24" s="57"/>
      <c r="M24" s="56"/>
      <c r="N24" s="56"/>
      <c r="O24" s="56"/>
      <c r="P24" s="56"/>
      <c r="Q24" s="56"/>
      <c r="R24" s="56"/>
      <c r="S24" s="56"/>
      <c r="T24" s="57"/>
    </row>
    <row r="25" spans="1:20" x14ac:dyDescent="0.25">
      <c r="A25" s="46" t="s">
        <v>191</v>
      </c>
      <c r="B25" s="47"/>
      <c r="C25" s="48"/>
      <c r="D25" s="49"/>
      <c r="E25" s="50"/>
      <c r="F25" s="50"/>
      <c r="G25" s="50"/>
      <c r="H25" s="50"/>
      <c r="I25" s="50"/>
      <c r="J25" s="50"/>
      <c r="K25" s="50"/>
      <c r="L25" s="58"/>
      <c r="M25" s="50"/>
      <c r="N25" s="50"/>
      <c r="O25" s="50"/>
      <c r="P25" s="50"/>
      <c r="Q25" s="50"/>
      <c r="R25" s="50"/>
      <c r="S25" s="50"/>
      <c r="T25" s="58"/>
    </row>
    <row r="26" spans="1:20" ht="15" customHeight="1" x14ac:dyDescent="0.25">
      <c r="A26" s="52" t="s">
        <v>192</v>
      </c>
      <c r="B26" s="53">
        <v>1</v>
      </c>
      <c r="C26" s="54" t="s">
        <v>85</v>
      </c>
      <c r="D26" s="55" t="str">
        <f t="shared" ref="D26:D29" si="2">C26&amp;B26</f>
        <v>NAO1</v>
      </c>
      <c r="E26" s="56"/>
      <c r="F26" s="56"/>
      <c r="G26" s="56"/>
      <c r="H26" s="56"/>
      <c r="I26" s="56"/>
      <c r="J26" s="56"/>
      <c r="K26" s="56"/>
      <c r="L26" s="57"/>
      <c r="M26" s="56"/>
      <c r="N26" s="56"/>
      <c r="O26" s="56"/>
      <c r="P26" s="56"/>
      <c r="Q26" s="56"/>
      <c r="R26" s="56"/>
      <c r="S26" s="56"/>
      <c r="T26" s="57"/>
    </row>
    <row r="27" spans="1:20" ht="15" customHeight="1" x14ac:dyDescent="0.25">
      <c r="A27" s="52"/>
      <c r="B27" s="53">
        <v>2</v>
      </c>
      <c r="C27" s="54" t="s">
        <v>85</v>
      </c>
      <c r="D27" s="55" t="str">
        <f t="shared" si="2"/>
        <v>NAO2</v>
      </c>
      <c r="E27" s="56"/>
      <c r="F27" s="56"/>
      <c r="G27" s="56"/>
      <c r="H27" s="56"/>
      <c r="I27" s="56"/>
      <c r="J27" s="56"/>
      <c r="K27" s="56"/>
      <c r="L27" s="57"/>
      <c r="M27" s="56"/>
      <c r="N27" s="56"/>
      <c r="O27" s="56"/>
      <c r="P27" s="56"/>
      <c r="Q27" s="56"/>
      <c r="R27" s="56"/>
      <c r="S27" s="56"/>
      <c r="T27" s="57"/>
    </row>
    <row r="28" spans="1:20" ht="15" customHeight="1" x14ac:dyDescent="0.25">
      <c r="A28" s="52" t="s">
        <v>193</v>
      </c>
      <c r="B28" s="53">
        <v>1</v>
      </c>
      <c r="C28" s="54" t="s">
        <v>84</v>
      </c>
      <c r="D28" s="55" t="str">
        <f t="shared" si="2"/>
        <v>ALO1</v>
      </c>
      <c r="E28" s="56"/>
      <c r="F28" s="56"/>
      <c r="G28" s="56"/>
      <c r="H28" s="56"/>
      <c r="I28" s="56"/>
      <c r="J28" s="56"/>
      <c r="K28" s="56"/>
      <c r="L28" s="57"/>
      <c r="M28" s="56"/>
      <c r="N28" s="56"/>
      <c r="O28" s="56"/>
      <c r="P28" s="56"/>
      <c r="Q28" s="56"/>
      <c r="R28" s="56"/>
      <c r="S28" s="56"/>
      <c r="T28" s="57"/>
    </row>
    <row r="29" spans="1:20" ht="15" customHeight="1" x14ac:dyDescent="0.25">
      <c r="A29" s="52"/>
      <c r="B29" s="53">
        <v>2</v>
      </c>
      <c r="C29" s="54" t="s">
        <v>84</v>
      </c>
      <c r="D29" s="55" t="str">
        <f t="shared" si="2"/>
        <v>ALO2</v>
      </c>
      <c r="E29" s="56"/>
      <c r="F29" s="56"/>
      <c r="G29" s="56"/>
      <c r="H29" s="56"/>
      <c r="I29" s="56"/>
      <c r="J29" s="56"/>
      <c r="K29" s="56"/>
      <c r="L29" s="57"/>
      <c r="M29" s="56"/>
      <c r="N29" s="56"/>
      <c r="O29" s="56"/>
      <c r="P29" s="56"/>
      <c r="Q29" s="56"/>
      <c r="R29" s="56"/>
      <c r="S29" s="56"/>
      <c r="T29" s="57"/>
    </row>
    <row r="30" spans="1:20" x14ac:dyDescent="0.25">
      <c r="A30" s="46" t="s">
        <v>194</v>
      </c>
      <c r="B30" s="47"/>
      <c r="C30" s="48"/>
      <c r="D30" s="49"/>
      <c r="E30" s="50"/>
      <c r="F30" s="50"/>
      <c r="G30" s="50"/>
      <c r="H30" s="50"/>
      <c r="I30" s="50"/>
      <c r="J30" s="50"/>
      <c r="K30" s="50"/>
      <c r="L30" s="58"/>
      <c r="M30" s="50"/>
      <c r="N30" s="50"/>
      <c r="O30" s="50"/>
      <c r="P30" s="50"/>
      <c r="Q30" s="50"/>
      <c r="R30" s="50"/>
      <c r="S30" s="50"/>
      <c r="T30" s="58"/>
    </row>
    <row r="31" spans="1:20" ht="15" customHeight="1" x14ac:dyDescent="0.25">
      <c r="A31" s="52" t="s">
        <v>194</v>
      </c>
      <c r="B31" s="53">
        <v>1</v>
      </c>
      <c r="C31" s="54" t="s">
        <v>195</v>
      </c>
      <c r="D31" s="55" t="str">
        <f t="shared" ref="D31:D34" si="3">C31&amp;B31</f>
        <v>HATM1</v>
      </c>
      <c r="E31" s="56"/>
      <c r="F31" s="56"/>
      <c r="G31" s="56"/>
      <c r="H31" s="56"/>
      <c r="I31" s="56"/>
      <c r="J31" s="56"/>
      <c r="K31" s="56"/>
      <c r="L31" s="57"/>
      <c r="M31" s="56"/>
      <c r="N31" s="56"/>
      <c r="O31" s="56"/>
      <c r="P31" s="56"/>
      <c r="Q31" s="56"/>
      <c r="R31" s="56"/>
      <c r="S31" s="56"/>
      <c r="T31" s="57"/>
    </row>
    <row r="32" spans="1:20" ht="15" customHeight="1" x14ac:dyDescent="0.25">
      <c r="A32" s="52"/>
      <c r="B32" s="53">
        <v>2</v>
      </c>
      <c r="C32" s="54" t="s">
        <v>195</v>
      </c>
      <c r="D32" s="55" t="str">
        <f t="shared" si="3"/>
        <v>HATM2</v>
      </c>
      <c r="E32" s="56"/>
      <c r="F32" s="56"/>
      <c r="G32" s="56"/>
      <c r="H32" s="56"/>
      <c r="I32" s="56"/>
      <c r="J32" s="56"/>
      <c r="K32" s="56"/>
      <c r="L32" s="57"/>
      <c r="M32" s="56"/>
      <c r="N32" s="56"/>
      <c r="O32" s="56"/>
      <c r="P32" s="56"/>
      <c r="Q32" s="56"/>
      <c r="R32" s="56"/>
      <c r="S32" s="56"/>
      <c r="T32" s="57"/>
    </row>
    <row r="33" spans="1:20" ht="15" customHeight="1" x14ac:dyDescent="0.25">
      <c r="A33" s="52" t="s">
        <v>156</v>
      </c>
      <c r="B33" s="53">
        <v>1</v>
      </c>
      <c r="C33" s="54" t="s">
        <v>136</v>
      </c>
      <c r="D33" s="55" t="str">
        <f t="shared" si="3"/>
        <v>HOSMNG1</v>
      </c>
      <c r="E33" s="56"/>
      <c r="F33" s="56"/>
      <c r="G33" s="56"/>
      <c r="H33" s="56"/>
      <c r="I33" s="56"/>
      <c r="J33" s="56"/>
      <c r="K33" s="56"/>
      <c r="L33" s="57"/>
      <c r="M33" s="56"/>
      <c r="N33" s="56"/>
      <c r="O33" s="56"/>
      <c r="P33" s="56"/>
      <c r="Q33" s="56"/>
      <c r="R33" s="56"/>
      <c r="S33" s="56"/>
      <c r="T33" s="57"/>
    </row>
    <row r="34" spans="1:20" ht="15" customHeight="1" x14ac:dyDescent="0.25">
      <c r="A34" s="52"/>
      <c r="B34" s="53">
        <v>2</v>
      </c>
      <c r="C34" s="54" t="s">
        <v>136</v>
      </c>
      <c r="D34" s="55" t="str">
        <f t="shared" si="3"/>
        <v>HOSMNG2</v>
      </c>
      <c r="E34" s="56"/>
      <c r="F34" s="56"/>
      <c r="G34" s="56"/>
      <c r="H34" s="56"/>
      <c r="I34" s="56"/>
      <c r="J34" s="56"/>
      <c r="K34" s="56"/>
      <c r="L34" s="57"/>
      <c r="M34" s="56"/>
      <c r="N34" s="56"/>
      <c r="O34" s="56"/>
      <c r="P34" s="56"/>
      <c r="Q34" s="56"/>
      <c r="R34" s="56"/>
      <c r="S34" s="56"/>
      <c r="T34" s="57"/>
    </row>
    <row r="35" spans="1:20" x14ac:dyDescent="0.25">
      <c r="A35" s="46" t="s">
        <v>86</v>
      </c>
      <c r="B35" s="47"/>
      <c r="C35" s="48"/>
      <c r="D35" s="49"/>
      <c r="E35" s="50"/>
      <c r="F35" s="50"/>
      <c r="G35" s="50"/>
      <c r="H35" s="50"/>
      <c r="I35" s="50"/>
      <c r="J35" s="50"/>
      <c r="K35" s="50"/>
      <c r="L35" s="58"/>
      <c r="M35" s="50"/>
      <c r="N35" s="50"/>
      <c r="O35" s="50"/>
      <c r="P35" s="50"/>
      <c r="Q35" s="50"/>
      <c r="R35" s="50"/>
      <c r="S35" s="50"/>
      <c r="T35" s="58"/>
    </row>
    <row r="36" spans="1:20" ht="15" customHeight="1" x14ac:dyDescent="0.25">
      <c r="A36" s="52" t="s">
        <v>86</v>
      </c>
      <c r="B36" s="53">
        <v>1</v>
      </c>
      <c r="C36" s="54" t="s">
        <v>87</v>
      </c>
      <c r="D36" s="55" t="str">
        <f>C36&amp;B36</f>
        <v>BAHRMC1</v>
      </c>
      <c r="E36" s="56"/>
      <c r="F36" s="56"/>
      <c r="G36" s="56"/>
      <c r="H36" s="56"/>
      <c r="I36" s="56"/>
      <c r="J36" s="56"/>
      <c r="K36" s="56"/>
      <c r="L36" s="57"/>
      <c r="M36" s="56"/>
      <c r="N36" s="56"/>
      <c r="O36" s="56"/>
      <c r="P36" s="56"/>
      <c r="Q36" s="56"/>
      <c r="R36" s="56"/>
      <c r="S36" s="56"/>
      <c r="T36" s="57"/>
    </row>
    <row r="37" spans="1:20" x14ac:dyDescent="0.25">
      <c r="A37" s="46" t="s">
        <v>157</v>
      </c>
      <c r="B37" s="47"/>
      <c r="C37" s="48"/>
      <c r="D37" s="49"/>
      <c r="E37" s="50"/>
      <c r="F37" s="50"/>
      <c r="G37" s="50"/>
      <c r="H37" s="50"/>
      <c r="I37" s="50"/>
      <c r="J37" s="50"/>
      <c r="K37" s="50"/>
      <c r="L37" s="58"/>
      <c r="M37" s="50"/>
      <c r="N37" s="50"/>
      <c r="O37" s="50"/>
      <c r="P37" s="50"/>
      <c r="Q37" s="50"/>
      <c r="R37" s="50"/>
      <c r="S37" s="50"/>
      <c r="T37" s="58"/>
    </row>
    <row r="38" spans="1:20" ht="15" customHeight="1" x14ac:dyDescent="0.25">
      <c r="A38" s="52" t="s">
        <v>196</v>
      </c>
      <c r="B38" s="53">
        <v>1</v>
      </c>
      <c r="C38" s="54" t="s">
        <v>88</v>
      </c>
      <c r="D38" s="55" t="str">
        <f>C38&amp;B38</f>
        <v>OFAC1</v>
      </c>
      <c r="E38" s="56"/>
      <c r="F38" s="56"/>
      <c r="G38" s="56"/>
      <c r="H38" s="56"/>
      <c r="I38" s="56"/>
      <c r="J38" s="56"/>
      <c r="K38" s="56"/>
      <c r="L38" s="57"/>
      <c r="M38" s="56"/>
      <c r="N38" s="56"/>
      <c r="O38" s="56"/>
      <c r="P38" s="56"/>
      <c r="Q38" s="56"/>
      <c r="R38" s="56"/>
      <c r="S38" s="56"/>
      <c r="T38" s="57"/>
    </row>
    <row r="39" spans="1:20" x14ac:dyDescent="0.25">
      <c r="A39" s="46" t="s">
        <v>197</v>
      </c>
      <c r="B39" s="47"/>
      <c r="C39" s="48"/>
      <c r="D39" s="49"/>
      <c r="E39" s="50"/>
      <c r="F39" s="50"/>
      <c r="G39" s="50"/>
      <c r="H39" s="50"/>
      <c r="I39" s="50"/>
      <c r="J39" s="50"/>
      <c r="K39" s="50"/>
      <c r="L39" s="58"/>
      <c r="M39" s="50"/>
      <c r="N39" s="50"/>
      <c r="O39" s="50"/>
      <c r="P39" s="50"/>
      <c r="Q39" s="50"/>
      <c r="R39" s="50"/>
      <c r="S39" s="50"/>
      <c r="T39" s="58"/>
    </row>
    <row r="40" spans="1:20" ht="15" customHeight="1" x14ac:dyDescent="0.25">
      <c r="A40" s="52" t="s">
        <v>197</v>
      </c>
      <c r="B40" s="53">
        <v>1</v>
      </c>
      <c r="C40" s="54"/>
      <c r="D40" s="55" t="str">
        <f t="shared" ref="D40:D41" si="4">C40&amp;B40</f>
        <v>1</v>
      </c>
      <c r="E40" s="56"/>
      <c r="F40" s="56"/>
      <c r="G40" s="56"/>
      <c r="H40" s="56"/>
      <c r="I40" s="56"/>
      <c r="J40" s="56"/>
      <c r="K40" s="56"/>
      <c r="L40" s="57"/>
      <c r="M40" s="56"/>
      <c r="N40" s="56"/>
      <c r="O40" s="56"/>
      <c r="P40" s="56"/>
      <c r="Q40" s="56"/>
      <c r="R40" s="56"/>
      <c r="S40" s="56"/>
      <c r="T40" s="57"/>
    </row>
    <row r="41" spans="1:20" ht="15" customHeight="1" x14ac:dyDescent="0.25">
      <c r="A41" s="52"/>
      <c r="B41" s="53">
        <v>2</v>
      </c>
      <c r="C41" s="54"/>
      <c r="D41" s="55" t="str">
        <f t="shared" si="4"/>
        <v>2</v>
      </c>
      <c r="E41" s="56"/>
      <c r="F41" s="56"/>
      <c r="G41" s="56"/>
      <c r="H41" s="56"/>
      <c r="I41" s="56"/>
      <c r="J41" s="56"/>
      <c r="K41" s="56"/>
      <c r="L41" s="57"/>
      <c r="M41" s="56"/>
      <c r="N41" s="56"/>
      <c r="O41" s="56"/>
      <c r="P41" s="56"/>
      <c r="Q41" s="56"/>
      <c r="R41" s="56"/>
      <c r="S41" s="56"/>
      <c r="T41" s="57"/>
    </row>
    <row r="42" spans="1:20" ht="15" customHeight="1" x14ac:dyDescent="0.25">
      <c r="A42" s="173" t="s">
        <v>198</v>
      </c>
      <c r="B42" s="174"/>
      <c r="C42" s="59"/>
      <c r="D42" s="60"/>
      <c r="E42" s="61"/>
      <c r="F42" s="61"/>
      <c r="G42" s="61"/>
      <c r="H42" s="61"/>
      <c r="I42" s="61"/>
      <c r="J42" s="61"/>
      <c r="K42" s="61"/>
      <c r="L42" s="62"/>
      <c r="M42" s="61"/>
      <c r="N42" s="61"/>
      <c r="O42" s="61"/>
      <c r="P42" s="61"/>
      <c r="Q42" s="61"/>
      <c r="R42" s="61"/>
      <c r="S42" s="61"/>
      <c r="T42" s="62"/>
    </row>
    <row r="43" spans="1:20" x14ac:dyDescent="0.25">
      <c r="A43" s="46" t="s">
        <v>199</v>
      </c>
      <c r="B43" s="47"/>
      <c r="C43" s="48"/>
      <c r="D43" s="49"/>
      <c r="E43" s="50"/>
      <c r="F43" s="50"/>
      <c r="G43" s="50"/>
      <c r="H43" s="50"/>
      <c r="I43" s="50"/>
      <c r="J43" s="50"/>
      <c r="K43" s="50"/>
      <c r="L43" s="58"/>
      <c r="M43" s="50"/>
      <c r="N43" s="50"/>
      <c r="O43" s="50"/>
      <c r="P43" s="50"/>
      <c r="Q43" s="50"/>
      <c r="R43" s="50"/>
      <c r="S43" s="50"/>
      <c r="T43" s="58"/>
    </row>
    <row r="44" spans="1:20" ht="15" customHeight="1" x14ac:dyDescent="0.25">
      <c r="A44" s="52" t="s">
        <v>199</v>
      </c>
      <c r="B44" s="53">
        <v>1</v>
      </c>
      <c r="C44" s="54" t="s">
        <v>99</v>
      </c>
      <c r="D44" s="55" t="str">
        <f>C44&amp;B44</f>
        <v>EAP1</v>
      </c>
      <c r="E44" s="56"/>
      <c r="F44" s="56"/>
      <c r="G44" s="56"/>
      <c r="H44" s="56"/>
      <c r="I44" s="56"/>
      <c r="J44" s="56"/>
      <c r="K44" s="56"/>
      <c r="L44" s="57"/>
      <c r="M44" s="56"/>
      <c r="N44" s="56"/>
      <c r="O44" s="56"/>
      <c r="P44" s="56"/>
      <c r="Q44" s="56"/>
      <c r="R44" s="56"/>
      <c r="S44" s="56"/>
      <c r="T44" s="57"/>
    </row>
    <row r="45" spans="1:20" x14ac:dyDescent="0.25">
      <c r="A45" s="46" t="s">
        <v>200</v>
      </c>
      <c r="B45" s="47"/>
      <c r="C45" s="48"/>
      <c r="D45" s="49"/>
      <c r="E45" s="50"/>
      <c r="F45" s="50"/>
      <c r="G45" s="50"/>
      <c r="H45" s="50"/>
      <c r="I45" s="50"/>
      <c r="J45" s="50"/>
      <c r="K45" s="50"/>
      <c r="L45" s="58"/>
      <c r="M45" s="50"/>
      <c r="N45" s="50"/>
      <c r="O45" s="50"/>
      <c r="P45" s="50"/>
      <c r="Q45" s="50"/>
      <c r="R45" s="50"/>
      <c r="S45" s="50"/>
      <c r="T45" s="58"/>
    </row>
    <row r="46" spans="1:20" ht="15" customHeight="1" x14ac:dyDescent="0.25">
      <c r="A46" s="52" t="s">
        <v>90</v>
      </c>
      <c r="B46" s="53">
        <v>1</v>
      </c>
      <c r="C46" s="54" t="s">
        <v>91</v>
      </c>
      <c r="D46" s="55" t="str">
        <f t="shared" ref="D46:D49" si="5">C46&amp;B46</f>
        <v>HSAFA1</v>
      </c>
      <c r="E46" s="56"/>
      <c r="F46" s="56"/>
      <c r="G46" s="56"/>
      <c r="H46" s="56"/>
      <c r="I46" s="56"/>
      <c r="J46" s="56"/>
      <c r="K46" s="56"/>
      <c r="L46" s="57"/>
      <c r="M46" s="56"/>
      <c r="N46" s="56"/>
      <c r="O46" s="56"/>
      <c r="P46" s="56"/>
      <c r="Q46" s="56"/>
      <c r="R46" s="56"/>
      <c r="S46" s="56"/>
      <c r="T46" s="57"/>
    </row>
    <row r="47" spans="1:20" ht="15" customHeight="1" x14ac:dyDescent="0.25">
      <c r="A47" s="52" t="s">
        <v>92</v>
      </c>
      <c r="B47" s="53">
        <v>1</v>
      </c>
      <c r="C47" s="54" t="s">
        <v>93</v>
      </c>
      <c r="D47" s="55" t="str">
        <f t="shared" si="5"/>
        <v>HSAD1</v>
      </c>
      <c r="E47" s="56"/>
      <c r="F47" s="56"/>
      <c r="G47" s="56"/>
      <c r="H47" s="56"/>
      <c r="I47" s="56"/>
      <c r="J47" s="56"/>
      <c r="K47" s="56"/>
      <c r="L47" s="57"/>
      <c r="M47" s="56"/>
      <c r="N47" s="56"/>
      <c r="O47" s="56"/>
      <c r="P47" s="56"/>
      <c r="Q47" s="56"/>
      <c r="R47" s="56"/>
      <c r="S47" s="56"/>
      <c r="T47" s="57"/>
    </row>
    <row r="48" spans="1:20" ht="15" customHeight="1" x14ac:dyDescent="0.25">
      <c r="A48" s="52" t="s">
        <v>96</v>
      </c>
      <c r="B48" s="53">
        <v>1</v>
      </c>
      <c r="C48" s="54" t="s">
        <v>97</v>
      </c>
      <c r="D48" s="55" t="str">
        <f t="shared" si="5"/>
        <v>HSGD1</v>
      </c>
      <c r="E48" s="56"/>
      <c r="F48" s="56"/>
      <c r="G48" s="56"/>
      <c r="H48" s="56"/>
      <c r="I48" s="56"/>
      <c r="J48" s="56"/>
      <c r="K48" s="56"/>
      <c r="L48" s="57"/>
      <c r="M48" s="56"/>
      <c r="N48" s="56"/>
      <c r="O48" s="56"/>
      <c r="P48" s="56"/>
      <c r="Q48" s="56"/>
      <c r="R48" s="56"/>
      <c r="S48" s="56"/>
      <c r="T48" s="57"/>
    </row>
    <row r="49" spans="1:20" ht="15" customHeight="1" x14ac:dyDescent="0.25">
      <c r="A49" s="52" t="s">
        <v>94</v>
      </c>
      <c r="B49" s="53">
        <v>1</v>
      </c>
      <c r="C49" s="54" t="s">
        <v>95</v>
      </c>
      <c r="D49" s="55" t="str">
        <f t="shared" si="5"/>
        <v>HSNP1</v>
      </c>
      <c r="E49" s="56"/>
      <c r="F49" s="56"/>
      <c r="G49" s="56"/>
      <c r="H49" s="56"/>
      <c r="I49" s="56"/>
      <c r="J49" s="56"/>
      <c r="K49" s="56"/>
      <c r="L49" s="57"/>
      <c r="M49" s="56"/>
      <c r="N49" s="56"/>
      <c r="O49" s="56"/>
      <c r="P49" s="56"/>
      <c r="Q49" s="56"/>
      <c r="R49" s="56"/>
      <c r="S49" s="56"/>
      <c r="T49" s="57"/>
    </row>
    <row r="50" spans="1:20" ht="15" customHeight="1" x14ac:dyDescent="0.25">
      <c r="A50" s="173" t="s">
        <v>201</v>
      </c>
      <c r="B50" s="174"/>
      <c r="C50" s="59"/>
      <c r="D50" s="60"/>
      <c r="E50" s="61"/>
      <c r="F50" s="61"/>
      <c r="G50" s="61"/>
      <c r="H50" s="61"/>
      <c r="I50" s="61"/>
      <c r="J50" s="61"/>
      <c r="K50" s="61"/>
      <c r="L50" s="62"/>
      <c r="M50" s="61"/>
      <c r="N50" s="61"/>
      <c r="O50" s="61"/>
      <c r="P50" s="61"/>
      <c r="Q50" s="61"/>
      <c r="R50" s="61"/>
      <c r="S50" s="61"/>
      <c r="T50" s="62"/>
    </row>
    <row r="51" spans="1:20" x14ac:dyDescent="0.25">
      <c r="A51" s="46" t="s">
        <v>202</v>
      </c>
      <c r="B51" s="47"/>
      <c r="C51" s="48"/>
      <c r="D51" s="49"/>
      <c r="E51" s="50"/>
      <c r="F51" s="50"/>
      <c r="G51" s="50"/>
      <c r="H51" s="50"/>
      <c r="I51" s="50"/>
      <c r="J51" s="50"/>
      <c r="K51" s="50"/>
      <c r="L51" s="58"/>
      <c r="M51" s="50"/>
      <c r="N51" s="50"/>
      <c r="O51" s="50"/>
      <c r="P51" s="50"/>
      <c r="Q51" s="50"/>
      <c r="R51" s="50"/>
      <c r="S51" s="50"/>
      <c r="T51" s="58"/>
    </row>
    <row r="52" spans="1:20" ht="15" customHeight="1" x14ac:dyDescent="0.25">
      <c r="A52" s="52" t="s">
        <v>203</v>
      </c>
      <c r="B52" s="53">
        <v>1</v>
      </c>
      <c r="C52" s="54" t="s">
        <v>107</v>
      </c>
      <c r="D52" s="55" t="str">
        <f t="shared" ref="D52:D53" si="6">C52&amp;B52</f>
        <v>ENVTD1</v>
      </c>
      <c r="E52" s="56"/>
      <c r="F52" s="56"/>
      <c r="G52" s="56"/>
      <c r="H52" s="56"/>
      <c r="I52" s="56"/>
      <c r="J52" s="56"/>
      <c r="K52" s="56"/>
      <c r="L52" s="57"/>
      <c r="M52" s="56"/>
      <c r="N52" s="56"/>
      <c r="O52" s="56"/>
      <c r="P52" s="56"/>
      <c r="Q52" s="56"/>
      <c r="R52" s="56"/>
      <c r="S52" s="56"/>
      <c r="T52" s="57"/>
    </row>
    <row r="53" spans="1:20" ht="15" customHeight="1" x14ac:dyDescent="0.25">
      <c r="A53" s="52"/>
      <c r="B53" s="53">
        <v>2</v>
      </c>
      <c r="C53" s="54" t="s">
        <v>107</v>
      </c>
      <c r="D53" s="55" t="str">
        <f t="shared" si="6"/>
        <v>ENVTD2</v>
      </c>
      <c r="E53" s="56"/>
      <c r="F53" s="56"/>
      <c r="G53" s="56"/>
      <c r="H53" s="56"/>
      <c r="I53" s="56"/>
      <c r="J53" s="56"/>
      <c r="K53" s="56"/>
      <c r="L53" s="57"/>
      <c r="M53" s="56"/>
      <c r="N53" s="56"/>
      <c r="O53" s="56"/>
      <c r="P53" s="56"/>
      <c r="Q53" s="56"/>
      <c r="R53" s="56"/>
      <c r="S53" s="56"/>
      <c r="T53" s="57"/>
    </row>
    <row r="54" spans="1:20" x14ac:dyDescent="0.25">
      <c r="A54" s="46" t="s">
        <v>106</v>
      </c>
      <c r="B54" s="47"/>
      <c r="C54" s="48"/>
      <c r="D54" s="49"/>
      <c r="E54" s="50"/>
      <c r="F54" s="50"/>
      <c r="G54" s="50"/>
      <c r="H54" s="50"/>
      <c r="I54" s="50"/>
      <c r="J54" s="50"/>
      <c r="K54" s="50"/>
      <c r="L54" s="58"/>
      <c r="M54" s="50"/>
      <c r="N54" s="50"/>
      <c r="O54" s="50"/>
      <c r="P54" s="50"/>
      <c r="Q54" s="50"/>
      <c r="R54" s="50"/>
      <c r="S54" s="50"/>
      <c r="T54" s="58"/>
    </row>
    <row r="55" spans="1:20" ht="15" customHeight="1" x14ac:dyDescent="0.25">
      <c r="A55" s="52" t="s">
        <v>106</v>
      </c>
      <c r="B55" s="53">
        <v>1</v>
      </c>
      <c r="C55" s="54" t="s">
        <v>150</v>
      </c>
      <c r="D55" s="55" t="str">
        <f t="shared" ref="D55:D56" si="7">C55&amp;B55</f>
        <v>ENVNC1</v>
      </c>
      <c r="E55" s="56"/>
      <c r="F55" s="56"/>
      <c r="G55" s="56"/>
      <c r="H55" s="56"/>
      <c r="I55" s="56"/>
      <c r="J55" s="56"/>
      <c r="K55" s="56"/>
      <c r="L55" s="57"/>
      <c r="M55" s="56"/>
      <c r="N55" s="56"/>
      <c r="O55" s="56"/>
      <c r="P55" s="56"/>
      <c r="Q55" s="56"/>
      <c r="R55" s="56"/>
      <c r="S55" s="56"/>
      <c r="T55" s="57"/>
    </row>
    <row r="56" spans="1:20" ht="15" customHeight="1" x14ac:dyDescent="0.25">
      <c r="A56" s="52"/>
      <c r="B56" s="53">
        <v>2</v>
      </c>
      <c r="C56" s="54" t="s">
        <v>150</v>
      </c>
      <c r="D56" s="55" t="str">
        <f t="shared" si="7"/>
        <v>ENVNC2</v>
      </c>
      <c r="E56" s="56"/>
      <c r="F56" s="56"/>
      <c r="G56" s="56"/>
      <c r="H56" s="56"/>
      <c r="I56" s="56"/>
      <c r="J56" s="56"/>
      <c r="K56" s="56"/>
      <c r="L56" s="57"/>
      <c r="M56" s="56"/>
      <c r="N56" s="56"/>
      <c r="O56" s="56"/>
      <c r="P56" s="56"/>
      <c r="Q56" s="56"/>
      <c r="R56" s="56"/>
      <c r="S56" s="56"/>
      <c r="T56" s="57"/>
    </row>
    <row r="57" spans="1:20" x14ac:dyDescent="0.25">
      <c r="A57" s="46" t="s">
        <v>114</v>
      </c>
      <c r="B57" s="47"/>
      <c r="C57" s="48"/>
      <c r="D57" s="49"/>
      <c r="E57" s="50"/>
      <c r="F57" s="50"/>
      <c r="G57" s="50"/>
      <c r="H57" s="50"/>
      <c r="I57" s="50"/>
      <c r="J57" s="50"/>
      <c r="K57" s="50"/>
      <c r="L57" s="58"/>
      <c r="M57" s="50"/>
      <c r="N57" s="50"/>
      <c r="O57" s="50"/>
      <c r="P57" s="50"/>
      <c r="Q57" s="50"/>
      <c r="R57" s="50"/>
      <c r="S57" s="50"/>
      <c r="T57" s="58"/>
    </row>
    <row r="58" spans="1:20" ht="15" customHeight="1" x14ac:dyDescent="0.25">
      <c r="A58" s="52" t="s">
        <v>114</v>
      </c>
      <c r="B58" s="53">
        <v>1</v>
      </c>
      <c r="C58" s="54" t="s">
        <v>115</v>
      </c>
      <c r="D58" s="55" t="str">
        <f t="shared" ref="D58:D59" si="8">C58&amp;B58</f>
        <v>UTARTS1</v>
      </c>
      <c r="E58" s="56"/>
      <c r="F58" s="56"/>
      <c r="G58" s="56"/>
      <c r="H58" s="56"/>
      <c r="I58" s="56"/>
      <c r="J58" s="56"/>
      <c r="K58" s="56"/>
      <c r="L58" s="57"/>
      <c r="M58" s="56"/>
      <c r="N58" s="56"/>
      <c r="O58" s="56"/>
      <c r="P58" s="56"/>
      <c r="Q58" s="56"/>
      <c r="R58" s="56"/>
      <c r="S58" s="56"/>
      <c r="T58" s="57"/>
    </row>
    <row r="59" spans="1:20" ht="15" customHeight="1" x14ac:dyDescent="0.25">
      <c r="A59" s="52"/>
      <c r="B59" s="53">
        <v>2</v>
      </c>
      <c r="C59" s="54" t="s">
        <v>115</v>
      </c>
      <c r="D59" s="55" t="str">
        <f t="shared" si="8"/>
        <v>UTARTS2</v>
      </c>
      <c r="E59" s="56"/>
      <c r="F59" s="56"/>
      <c r="G59" s="56"/>
      <c r="H59" s="56"/>
      <c r="I59" s="56"/>
      <c r="J59" s="56"/>
      <c r="K59" s="56"/>
      <c r="L59" s="57"/>
      <c r="M59" s="56"/>
      <c r="N59" s="56"/>
      <c r="O59" s="56"/>
      <c r="P59" s="56"/>
      <c r="Q59" s="56"/>
      <c r="R59" s="56"/>
      <c r="S59" s="56"/>
      <c r="T59" s="57"/>
    </row>
    <row r="60" spans="1:20" x14ac:dyDescent="0.25">
      <c r="A60" s="46" t="s">
        <v>116</v>
      </c>
      <c r="B60" s="47"/>
      <c r="C60" s="48"/>
      <c r="D60" s="49"/>
      <c r="E60" s="50"/>
      <c r="F60" s="50"/>
      <c r="G60" s="50"/>
      <c r="H60" s="50"/>
      <c r="I60" s="50"/>
      <c r="J60" s="50"/>
      <c r="K60" s="50"/>
      <c r="L60" s="58"/>
      <c r="M60" s="50"/>
      <c r="N60" s="50"/>
      <c r="O60" s="50"/>
      <c r="P60" s="50"/>
      <c r="Q60" s="50"/>
      <c r="R60" s="50"/>
      <c r="S60" s="50"/>
      <c r="T60" s="58"/>
    </row>
    <row r="61" spans="1:20" ht="15" customHeight="1" x14ac:dyDescent="0.25">
      <c r="A61" s="52" t="s">
        <v>116</v>
      </c>
      <c r="B61" s="53">
        <v>1</v>
      </c>
      <c r="C61" s="54" t="s">
        <v>117</v>
      </c>
      <c r="D61" s="55" t="str">
        <f t="shared" ref="D61:D62" si="9">C61&amp;B61</f>
        <v>UTCOMM1</v>
      </c>
      <c r="E61" s="56"/>
      <c r="F61" s="56"/>
      <c r="G61" s="56"/>
      <c r="H61" s="56"/>
      <c r="I61" s="56"/>
      <c r="J61" s="56"/>
      <c r="K61" s="56"/>
      <c r="L61" s="57"/>
      <c r="M61" s="56"/>
      <c r="N61" s="56"/>
      <c r="O61" s="56"/>
      <c r="P61" s="56"/>
      <c r="Q61" s="56"/>
      <c r="R61" s="56"/>
      <c r="S61" s="56"/>
      <c r="T61" s="57"/>
    </row>
    <row r="62" spans="1:20" ht="15" customHeight="1" x14ac:dyDescent="0.25">
      <c r="A62" s="52"/>
      <c r="B62" s="53">
        <v>2</v>
      </c>
      <c r="C62" s="54" t="s">
        <v>117</v>
      </c>
      <c r="D62" s="55" t="str">
        <f t="shared" si="9"/>
        <v>UTCOMM2</v>
      </c>
      <c r="E62" s="56"/>
      <c r="F62" s="56"/>
      <c r="G62" s="56"/>
      <c r="H62" s="56"/>
      <c r="I62" s="56"/>
      <c r="J62" s="56"/>
      <c r="K62" s="56"/>
      <c r="L62" s="57"/>
      <c r="M62" s="56"/>
      <c r="N62" s="56"/>
      <c r="O62" s="56"/>
      <c r="P62" s="56"/>
      <c r="Q62" s="56"/>
      <c r="R62" s="56"/>
      <c r="S62" s="56"/>
      <c r="T62" s="57"/>
    </row>
    <row r="63" spans="1:20" x14ac:dyDescent="0.25">
      <c r="A63" s="46" t="s">
        <v>118</v>
      </c>
      <c r="B63" s="47"/>
      <c r="C63" s="48"/>
      <c r="D63" s="49"/>
      <c r="E63" s="50"/>
      <c r="F63" s="50"/>
      <c r="G63" s="50"/>
      <c r="H63" s="50"/>
      <c r="I63" s="50"/>
      <c r="J63" s="50"/>
      <c r="K63" s="50"/>
      <c r="L63" s="58"/>
      <c r="M63" s="50"/>
      <c r="N63" s="50"/>
      <c r="O63" s="50"/>
      <c r="P63" s="50"/>
      <c r="Q63" s="50"/>
      <c r="R63" s="50"/>
      <c r="S63" s="50"/>
      <c r="T63" s="58"/>
    </row>
    <row r="64" spans="1:20" ht="15" customHeight="1" x14ac:dyDescent="0.25">
      <c r="A64" s="52" t="s">
        <v>118</v>
      </c>
      <c r="B64" s="53">
        <v>1</v>
      </c>
      <c r="C64" s="54" t="s">
        <v>119</v>
      </c>
      <c r="D64" s="55" t="str">
        <f>C64&amp;B64</f>
        <v>UTENG1</v>
      </c>
      <c r="E64" s="56"/>
      <c r="F64" s="56"/>
      <c r="G64" s="56"/>
      <c r="H64" s="56"/>
      <c r="I64" s="56"/>
      <c r="J64" s="56"/>
      <c r="K64" s="56"/>
      <c r="L64" s="57"/>
      <c r="M64" s="56"/>
      <c r="N64" s="56"/>
      <c r="O64" s="56"/>
      <c r="P64" s="56"/>
      <c r="Q64" s="56"/>
      <c r="R64" s="56"/>
      <c r="S64" s="56"/>
      <c r="T64" s="57"/>
    </row>
    <row r="65" spans="1:20" x14ac:dyDescent="0.25">
      <c r="A65" s="46" t="s">
        <v>120</v>
      </c>
      <c r="B65" s="47"/>
      <c r="C65" s="48"/>
      <c r="D65" s="49"/>
      <c r="E65" s="50"/>
      <c r="F65" s="50"/>
      <c r="G65" s="50"/>
      <c r="H65" s="50"/>
      <c r="I65" s="50"/>
      <c r="J65" s="50"/>
      <c r="K65" s="50"/>
      <c r="L65" s="58"/>
      <c r="M65" s="50"/>
      <c r="N65" s="50"/>
      <c r="O65" s="50"/>
      <c r="P65" s="50"/>
      <c r="Q65" s="50"/>
      <c r="R65" s="50"/>
      <c r="S65" s="50"/>
      <c r="T65" s="58"/>
    </row>
    <row r="66" spans="1:20" ht="15" customHeight="1" x14ac:dyDescent="0.25">
      <c r="A66" s="52" t="s">
        <v>120</v>
      </c>
      <c r="B66" s="53">
        <v>1</v>
      </c>
      <c r="C66" s="54" t="s">
        <v>121</v>
      </c>
      <c r="D66" s="55" t="str">
        <f t="shared" ref="D66:D67" si="10">C66&amp;B66</f>
        <v>UTSCGS1</v>
      </c>
      <c r="E66" s="56"/>
      <c r="F66" s="56"/>
      <c r="G66" s="56"/>
      <c r="H66" s="56"/>
      <c r="I66" s="56"/>
      <c r="J66" s="56"/>
      <c r="K66" s="56"/>
      <c r="L66" s="57"/>
      <c r="M66" s="56"/>
      <c r="N66" s="56"/>
      <c r="O66" s="56"/>
      <c r="P66" s="56"/>
      <c r="Q66" s="56"/>
      <c r="R66" s="56"/>
      <c r="S66" s="56"/>
      <c r="T66" s="57"/>
    </row>
    <row r="67" spans="1:20" ht="15" customHeight="1" x14ac:dyDescent="0.25">
      <c r="A67" s="52"/>
      <c r="B67" s="53">
        <v>2</v>
      </c>
      <c r="C67" s="54" t="s">
        <v>121</v>
      </c>
      <c r="D67" s="55" t="str">
        <f t="shared" si="10"/>
        <v>UTSCGS2</v>
      </c>
      <c r="E67" s="56"/>
      <c r="F67" s="56"/>
      <c r="G67" s="56"/>
      <c r="H67" s="56"/>
      <c r="I67" s="56"/>
      <c r="J67" s="56"/>
      <c r="K67" s="56"/>
      <c r="L67" s="57"/>
      <c r="M67" s="56"/>
      <c r="N67" s="56"/>
      <c r="O67" s="56"/>
      <c r="P67" s="56"/>
      <c r="Q67" s="56"/>
      <c r="R67" s="56"/>
      <c r="S67" s="56"/>
      <c r="T67" s="57"/>
    </row>
    <row r="68" spans="1:20" x14ac:dyDescent="0.25">
      <c r="A68" s="46" t="s">
        <v>122</v>
      </c>
      <c r="B68" s="47"/>
      <c r="C68" s="48"/>
      <c r="D68" s="49"/>
      <c r="E68" s="50"/>
      <c r="F68" s="50"/>
      <c r="G68" s="50"/>
      <c r="H68" s="50"/>
      <c r="I68" s="50"/>
      <c r="J68" s="50"/>
      <c r="K68" s="50"/>
      <c r="L68" s="58"/>
      <c r="M68" s="50"/>
      <c r="N68" s="50"/>
      <c r="O68" s="50"/>
      <c r="P68" s="50"/>
      <c r="Q68" s="50"/>
      <c r="R68" s="50"/>
      <c r="S68" s="50"/>
      <c r="T68" s="58"/>
    </row>
    <row r="69" spans="1:20" ht="15" customHeight="1" x14ac:dyDescent="0.25">
      <c r="A69" s="52" t="s">
        <v>122</v>
      </c>
      <c r="B69" s="53">
        <v>1</v>
      </c>
      <c r="C69" s="54" t="s">
        <v>123</v>
      </c>
      <c r="D69" s="55" t="str">
        <f t="shared" ref="D69:D70" si="11">C69&amp;B69</f>
        <v>UTSCWK1</v>
      </c>
      <c r="E69" s="56"/>
      <c r="F69" s="56"/>
      <c r="G69" s="56"/>
      <c r="H69" s="56"/>
      <c r="I69" s="56"/>
      <c r="J69" s="56"/>
      <c r="K69" s="56"/>
      <c r="L69" s="57"/>
      <c r="M69" s="56"/>
      <c r="N69" s="56"/>
      <c r="O69" s="56"/>
      <c r="P69" s="56"/>
      <c r="Q69" s="56"/>
      <c r="R69" s="56"/>
      <c r="S69" s="56"/>
      <c r="T69" s="57"/>
    </row>
    <row r="70" spans="1:20" ht="15" customHeight="1" x14ac:dyDescent="0.25">
      <c r="A70" s="52"/>
      <c r="B70" s="53">
        <v>2</v>
      </c>
      <c r="C70" s="54" t="s">
        <v>123</v>
      </c>
      <c r="D70" s="55" t="str">
        <f t="shared" si="11"/>
        <v>UTSCWK2</v>
      </c>
      <c r="E70" s="56"/>
      <c r="F70" s="56"/>
      <c r="G70" s="56"/>
      <c r="H70" s="56"/>
      <c r="I70" s="56"/>
      <c r="J70" s="56"/>
      <c r="K70" s="56"/>
      <c r="L70" s="57"/>
      <c r="M70" s="56"/>
      <c r="N70" s="56"/>
      <c r="O70" s="56"/>
      <c r="P70" s="56"/>
      <c r="Q70" s="56"/>
      <c r="R70" s="56"/>
      <c r="S70" s="56"/>
      <c r="T70" s="57"/>
    </row>
    <row r="71" spans="1:20" x14ac:dyDescent="0.25">
      <c r="A71" s="46" t="s">
        <v>204</v>
      </c>
      <c r="B71" s="47"/>
      <c r="C71" s="48"/>
      <c r="D71" s="49"/>
      <c r="E71" s="50"/>
      <c r="F71" s="50"/>
      <c r="G71" s="50"/>
      <c r="H71" s="50"/>
      <c r="I71" s="50"/>
      <c r="J71" s="50"/>
      <c r="K71" s="50"/>
      <c r="L71" s="58"/>
      <c r="M71" s="50"/>
      <c r="N71" s="50"/>
      <c r="O71" s="50"/>
      <c r="P71" s="50"/>
      <c r="Q71" s="50"/>
      <c r="R71" s="50"/>
      <c r="S71" s="50"/>
      <c r="T71" s="58"/>
    </row>
    <row r="72" spans="1:20" ht="15" customHeight="1" x14ac:dyDescent="0.25">
      <c r="A72" s="52" t="s">
        <v>205</v>
      </c>
      <c r="B72" s="53">
        <v>1</v>
      </c>
      <c r="C72" s="54" t="s">
        <v>101</v>
      </c>
      <c r="D72" s="55" t="str">
        <f t="shared" ref="D72:D75" si="12">C72&amp;B72</f>
        <v>UTELEM1</v>
      </c>
      <c r="E72" s="56"/>
      <c r="F72" s="56"/>
      <c r="G72" s="56"/>
      <c r="H72" s="56"/>
      <c r="I72" s="56"/>
      <c r="J72" s="56"/>
      <c r="K72" s="56"/>
      <c r="L72" s="57"/>
      <c r="M72" s="56"/>
      <c r="N72" s="56"/>
      <c r="O72" s="56"/>
      <c r="P72" s="56"/>
      <c r="Q72" s="56"/>
      <c r="R72" s="56"/>
      <c r="S72" s="56"/>
      <c r="T72" s="57"/>
    </row>
    <row r="73" spans="1:20" ht="15" customHeight="1" x14ac:dyDescent="0.25">
      <c r="A73" s="52"/>
      <c r="B73" s="53">
        <v>2</v>
      </c>
      <c r="C73" s="54" t="s">
        <v>101</v>
      </c>
      <c r="D73" s="55" t="str">
        <f t="shared" si="12"/>
        <v>UTELEM2</v>
      </c>
      <c r="E73" s="56"/>
      <c r="F73" s="56"/>
      <c r="G73" s="56"/>
      <c r="H73" s="56"/>
      <c r="I73" s="56"/>
      <c r="J73" s="56"/>
      <c r="K73" s="56"/>
      <c r="L73" s="57"/>
      <c r="M73" s="56"/>
      <c r="N73" s="56"/>
      <c r="O73" s="56"/>
      <c r="P73" s="56"/>
      <c r="Q73" s="56"/>
      <c r="R73" s="56"/>
      <c r="S73" s="56"/>
      <c r="T73" s="57"/>
    </row>
    <row r="74" spans="1:20" ht="15" customHeight="1" x14ac:dyDescent="0.25">
      <c r="A74" s="52" t="s">
        <v>206</v>
      </c>
      <c r="B74" s="53">
        <v>1</v>
      </c>
      <c r="C74" s="54" t="s">
        <v>103</v>
      </c>
      <c r="D74" s="55" t="str">
        <f t="shared" si="12"/>
        <v>UTSEC1</v>
      </c>
      <c r="E74" s="56"/>
      <c r="F74" s="56"/>
      <c r="G74" s="56"/>
      <c r="H74" s="56"/>
      <c r="I74" s="56"/>
      <c r="J74" s="56"/>
      <c r="K74" s="56"/>
      <c r="L74" s="57"/>
      <c r="M74" s="56"/>
      <c r="N74" s="56"/>
      <c r="O74" s="56"/>
      <c r="P74" s="56"/>
      <c r="Q74" s="56"/>
      <c r="R74" s="56"/>
      <c r="S74" s="56"/>
      <c r="T74" s="57"/>
    </row>
    <row r="75" spans="1:20" ht="15" customHeight="1" x14ac:dyDescent="0.25">
      <c r="A75" s="52"/>
      <c r="B75" s="53">
        <v>2</v>
      </c>
      <c r="C75" s="54" t="s">
        <v>103</v>
      </c>
      <c r="D75" s="55" t="str">
        <f t="shared" si="12"/>
        <v>UTSEC2</v>
      </c>
      <c r="E75" s="56"/>
      <c r="F75" s="56"/>
      <c r="G75" s="56"/>
      <c r="H75" s="56"/>
      <c r="I75" s="56"/>
      <c r="J75" s="56"/>
      <c r="K75" s="56"/>
      <c r="L75" s="57"/>
      <c r="M75" s="56"/>
      <c r="N75" s="56"/>
      <c r="O75" s="56"/>
      <c r="P75" s="56"/>
      <c r="Q75" s="56"/>
      <c r="R75" s="56"/>
      <c r="S75" s="56"/>
      <c r="T75" s="57"/>
    </row>
    <row r="76" spans="1:20" x14ac:dyDescent="0.25">
      <c r="A76" s="46" t="s">
        <v>124</v>
      </c>
      <c r="B76" s="47"/>
      <c r="C76" s="48"/>
      <c r="D76" s="49"/>
      <c r="E76" s="50"/>
      <c r="F76" s="50"/>
      <c r="G76" s="50"/>
      <c r="H76" s="50"/>
      <c r="I76" s="50"/>
      <c r="J76" s="50"/>
      <c r="K76" s="50"/>
      <c r="L76" s="58"/>
      <c r="M76" s="50"/>
      <c r="N76" s="50"/>
      <c r="O76" s="50"/>
      <c r="P76" s="50"/>
      <c r="Q76" s="50"/>
      <c r="R76" s="50"/>
      <c r="S76" s="50"/>
      <c r="T76" s="58"/>
    </row>
    <row r="77" spans="1:20" ht="15" customHeight="1" x14ac:dyDescent="0.25">
      <c r="A77" s="52" t="s">
        <v>124</v>
      </c>
      <c r="B77" s="53">
        <v>1</v>
      </c>
      <c r="C77" s="54" t="s">
        <v>125</v>
      </c>
      <c r="D77" s="55" t="str">
        <f>C77&amp;B77</f>
        <v>OPEN1</v>
      </c>
      <c r="E77" s="56"/>
      <c r="F77" s="56"/>
      <c r="G77" s="56"/>
      <c r="H77" s="56"/>
      <c r="I77" s="56"/>
      <c r="J77" s="56"/>
      <c r="K77" s="56"/>
      <c r="L77" s="57"/>
      <c r="M77" s="56"/>
      <c r="N77" s="56"/>
      <c r="O77" s="56"/>
      <c r="P77" s="56"/>
      <c r="Q77" s="56"/>
      <c r="R77" s="56"/>
      <c r="S77" s="56"/>
      <c r="T77" s="57"/>
    </row>
    <row r="78" spans="1:20" x14ac:dyDescent="0.25">
      <c r="A78" s="46" t="s">
        <v>207</v>
      </c>
      <c r="B78" s="47"/>
      <c r="C78" s="48"/>
      <c r="D78" s="49"/>
      <c r="E78" s="50"/>
      <c r="F78" s="50"/>
      <c r="G78" s="50"/>
      <c r="H78" s="50"/>
      <c r="I78" s="50"/>
      <c r="J78" s="50"/>
      <c r="K78" s="50"/>
      <c r="L78" s="58"/>
      <c r="M78" s="50"/>
      <c r="N78" s="50"/>
      <c r="O78" s="50"/>
      <c r="P78" s="50"/>
      <c r="Q78" s="50"/>
      <c r="R78" s="50"/>
      <c r="S78" s="50"/>
      <c r="T78" s="58"/>
    </row>
    <row r="79" spans="1:20" ht="15" customHeight="1" x14ac:dyDescent="0.25">
      <c r="A79" s="52" t="s">
        <v>207</v>
      </c>
      <c r="B79" s="53">
        <v>1</v>
      </c>
      <c r="C79" s="54" t="s">
        <v>113</v>
      </c>
      <c r="D79" s="55" t="str">
        <f t="shared" ref="D79:D80" si="13">C79&amp;B79</f>
        <v>GOVNSC1</v>
      </c>
      <c r="E79" s="56"/>
      <c r="F79" s="56"/>
      <c r="G79" s="56"/>
      <c r="H79" s="56"/>
      <c r="I79" s="56"/>
      <c r="J79" s="56"/>
      <c r="K79" s="56"/>
      <c r="L79" s="57"/>
      <c r="M79" s="56"/>
      <c r="N79" s="56"/>
      <c r="O79" s="56"/>
      <c r="P79" s="56"/>
      <c r="Q79" s="56"/>
      <c r="R79" s="56"/>
      <c r="S79" s="56"/>
      <c r="T79" s="57"/>
    </row>
    <row r="80" spans="1:20" ht="15" customHeight="1" x14ac:dyDescent="0.25">
      <c r="A80" s="52"/>
      <c r="B80" s="53">
        <v>2</v>
      </c>
      <c r="C80" s="54" t="s">
        <v>113</v>
      </c>
      <c r="D80" s="55" t="str">
        <f t="shared" si="13"/>
        <v>GOVNSC2</v>
      </c>
      <c r="E80" s="56"/>
      <c r="F80" s="56"/>
      <c r="G80" s="56"/>
      <c r="H80" s="56"/>
      <c r="I80" s="56"/>
      <c r="J80" s="56"/>
      <c r="K80" s="56"/>
      <c r="L80" s="57"/>
      <c r="M80" s="56"/>
      <c r="N80" s="56"/>
      <c r="O80" s="56"/>
      <c r="P80" s="56"/>
      <c r="Q80" s="56"/>
      <c r="R80" s="56"/>
      <c r="S80" s="56"/>
      <c r="T80" s="57"/>
    </row>
    <row r="81" spans="1:20" x14ac:dyDescent="0.25">
      <c r="A81" s="46" t="s">
        <v>160</v>
      </c>
      <c r="B81" s="47"/>
      <c r="C81" s="48"/>
      <c r="D81" s="49"/>
      <c r="E81" s="50"/>
      <c r="F81" s="50"/>
      <c r="G81" s="50"/>
      <c r="H81" s="50"/>
      <c r="I81" s="50"/>
      <c r="J81" s="50"/>
      <c r="K81" s="50"/>
      <c r="L81" s="58"/>
      <c r="M81" s="50"/>
      <c r="N81" s="50"/>
      <c r="O81" s="50"/>
      <c r="P81" s="50"/>
      <c r="Q81" s="50"/>
      <c r="R81" s="50"/>
      <c r="S81" s="50"/>
      <c r="T81" s="58"/>
    </row>
    <row r="82" spans="1:20" ht="15" customHeight="1" x14ac:dyDescent="0.25">
      <c r="A82" s="52" t="s">
        <v>160</v>
      </c>
      <c r="B82" s="53">
        <v>1</v>
      </c>
      <c r="C82" s="54" t="s">
        <v>104</v>
      </c>
      <c r="D82" s="55" t="str">
        <f>C82&amp;B82</f>
        <v>COMSCC1</v>
      </c>
      <c r="E82" s="56"/>
      <c r="F82" s="56"/>
      <c r="G82" s="56"/>
      <c r="H82" s="56"/>
      <c r="I82" s="56"/>
      <c r="J82" s="56"/>
      <c r="K82" s="56"/>
      <c r="L82" s="57"/>
      <c r="M82" s="56"/>
      <c r="N82" s="56"/>
      <c r="O82" s="56"/>
      <c r="P82" s="56"/>
      <c r="Q82" s="56"/>
      <c r="R82" s="56"/>
      <c r="S82" s="56"/>
      <c r="T82" s="57"/>
    </row>
    <row r="83" spans="1:20" x14ac:dyDescent="0.25">
      <c r="A83" s="46" t="s">
        <v>161</v>
      </c>
      <c r="B83" s="47"/>
      <c r="C83" s="48"/>
      <c r="D83" s="49"/>
      <c r="E83" s="50"/>
      <c r="F83" s="50"/>
      <c r="G83" s="50"/>
      <c r="H83" s="50"/>
      <c r="I83" s="50"/>
      <c r="J83" s="50"/>
      <c r="K83" s="50"/>
      <c r="L83" s="58"/>
      <c r="M83" s="50"/>
      <c r="N83" s="50"/>
      <c r="O83" s="50"/>
      <c r="P83" s="50"/>
      <c r="Q83" s="50"/>
      <c r="R83" s="50"/>
      <c r="S83" s="50"/>
      <c r="T83" s="58"/>
    </row>
    <row r="84" spans="1:20" ht="15" customHeight="1" x14ac:dyDescent="0.25">
      <c r="A84" s="52" t="s">
        <v>161</v>
      </c>
      <c r="B84" s="53">
        <v>1</v>
      </c>
      <c r="C84" s="54" t="s">
        <v>105</v>
      </c>
      <c r="D84" s="55" t="str">
        <f t="shared" ref="D84:D85" si="14">C84&amp;B84</f>
        <v>COMSCD1</v>
      </c>
      <c r="E84" s="56"/>
      <c r="F84" s="56"/>
      <c r="G84" s="56"/>
      <c r="H84" s="56"/>
      <c r="I84" s="56"/>
      <c r="J84" s="56"/>
      <c r="K84" s="56"/>
      <c r="L84" s="57"/>
      <c r="M84" s="56"/>
      <c r="N84" s="56"/>
      <c r="O84" s="56"/>
      <c r="P84" s="56"/>
      <c r="Q84" s="56"/>
      <c r="R84" s="56"/>
      <c r="S84" s="56"/>
      <c r="T84" s="57"/>
    </row>
    <row r="85" spans="1:20" ht="15" customHeight="1" x14ac:dyDescent="0.25">
      <c r="A85" s="52"/>
      <c r="B85" s="53">
        <v>2</v>
      </c>
      <c r="C85" s="54" t="s">
        <v>105</v>
      </c>
      <c r="D85" s="55" t="str">
        <f t="shared" si="14"/>
        <v>COMSCD2</v>
      </c>
      <c r="E85" s="56"/>
      <c r="F85" s="56"/>
      <c r="G85" s="56"/>
      <c r="H85" s="56"/>
      <c r="I85" s="56"/>
      <c r="J85" s="56"/>
      <c r="K85" s="56"/>
      <c r="L85" s="57"/>
      <c r="M85" s="56"/>
      <c r="N85" s="56"/>
      <c r="O85" s="56"/>
      <c r="P85" s="56"/>
      <c r="Q85" s="56"/>
      <c r="R85" s="56"/>
      <c r="S85" s="56"/>
      <c r="T85" s="57"/>
    </row>
    <row r="86" spans="1:20" x14ac:dyDescent="0.25">
      <c r="A86" s="46" t="s">
        <v>208</v>
      </c>
      <c r="B86" s="47"/>
      <c r="C86" s="48"/>
      <c r="D86" s="49"/>
      <c r="E86" s="50"/>
      <c r="F86" s="50"/>
      <c r="G86" s="50"/>
      <c r="H86" s="50"/>
      <c r="I86" s="50"/>
      <c r="J86" s="50"/>
      <c r="K86" s="50"/>
      <c r="L86" s="58"/>
      <c r="M86" s="50"/>
      <c r="N86" s="50"/>
      <c r="O86" s="50"/>
      <c r="P86" s="50"/>
      <c r="Q86" s="50"/>
      <c r="R86" s="50"/>
      <c r="S86" s="50"/>
      <c r="T86" s="58"/>
    </row>
    <row r="87" spans="1:20" ht="15" customHeight="1" x14ac:dyDescent="0.25">
      <c r="A87" s="52" t="s">
        <v>208</v>
      </c>
      <c r="B87" s="53">
        <v>1</v>
      </c>
      <c r="C87" s="54" t="s">
        <v>109</v>
      </c>
      <c r="D87" s="55" t="str">
        <f>C87&amp;B87</f>
        <v>GNARTC1</v>
      </c>
      <c r="E87" s="56"/>
      <c r="F87" s="56"/>
      <c r="G87" s="56"/>
      <c r="H87" s="56"/>
      <c r="I87" s="56"/>
      <c r="J87" s="56"/>
      <c r="K87" s="56"/>
      <c r="L87" s="57"/>
      <c r="M87" s="56"/>
      <c r="N87" s="56"/>
      <c r="O87" s="56"/>
      <c r="P87" s="56"/>
      <c r="Q87" s="56"/>
      <c r="R87" s="56"/>
      <c r="S87" s="56"/>
      <c r="T87" s="57"/>
    </row>
    <row r="88" spans="1:20" x14ac:dyDescent="0.25">
      <c r="A88" s="46" t="s">
        <v>209</v>
      </c>
      <c r="B88" s="47"/>
      <c r="C88" s="48"/>
      <c r="D88" s="49"/>
      <c r="E88" s="50"/>
      <c r="F88" s="50"/>
      <c r="G88" s="50"/>
      <c r="H88" s="50"/>
      <c r="I88" s="50"/>
      <c r="J88" s="50"/>
      <c r="K88" s="50"/>
      <c r="L88" s="58"/>
      <c r="M88" s="50"/>
      <c r="N88" s="50"/>
      <c r="O88" s="50"/>
      <c r="P88" s="50"/>
      <c r="Q88" s="50"/>
      <c r="R88" s="50"/>
      <c r="S88" s="50"/>
      <c r="T88" s="58"/>
    </row>
    <row r="89" spans="1:20" ht="15" customHeight="1" x14ac:dyDescent="0.25">
      <c r="A89" s="52" t="s">
        <v>209</v>
      </c>
      <c r="B89" s="53">
        <v>1</v>
      </c>
      <c r="C89" s="54" t="s">
        <v>111</v>
      </c>
      <c r="D89" s="55" t="str">
        <f>C89&amp;B89</f>
        <v>GNSCIC1</v>
      </c>
      <c r="E89" s="56"/>
      <c r="F89" s="56"/>
      <c r="G89" s="56"/>
      <c r="H89" s="56"/>
      <c r="I89" s="56"/>
      <c r="J89" s="56"/>
      <c r="K89" s="56"/>
      <c r="L89" s="57"/>
      <c r="M89" s="56"/>
      <c r="N89" s="56"/>
      <c r="O89" s="56"/>
      <c r="P89" s="56"/>
      <c r="Q89" s="56"/>
      <c r="R89" s="56"/>
      <c r="S89" s="56"/>
      <c r="T89" s="57"/>
    </row>
    <row r="90" spans="1:20" x14ac:dyDescent="0.25">
      <c r="A90" s="46" t="s">
        <v>210</v>
      </c>
      <c r="B90" s="47"/>
      <c r="C90" s="48"/>
      <c r="D90" s="49"/>
      <c r="E90" s="50"/>
      <c r="F90" s="50"/>
      <c r="G90" s="50"/>
      <c r="H90" s="50"/>
      <c r="I90" s="50"/>
      <c r="J90" s="50"/>
      <c r="K90" s="50"/>
      <c r="L90" s="58"/>
      <c r="M90" s="50"/>
      <c r="N90" s="50"/>
      <c r="O90" s="50"/>
      <c r="P90" s="50"/>
      <c r="Q90" s="50"/>
      <c r="R90" s="50"/>
      <c r="S90" s="50"/>
      <c r="T90" s="58"/>
    </row>
    <row r="91" spans="1:20" ht="15" customHeight="1" x14ac:dyDescent="0.25">
      <c r="A91" s="52" t="s">
        <v>211</v>
      </c>
      <c r="B91" s="53">
        <v>1</v>
      </c>
      <c r="C91" s="54" t="s">
        <v>158</v>
      </c>
      <c r="D91" s="55" t="str">
        <f>C91&amp;B91</f>
        <v>ANCPDC1</v>
      </c>
      <c r="E91" s="56"/>
      <c r="F91" s="56"/>
      <c r="G91" s="56"/>
      <c r="H91" s="56"/>
      <c r="I91" s="56"/>
      <c r="J91" s="56"/>
      <c r="K91" s="56"/>
      <c r="L91" s="57"/>
      <c r="M91" s="56"/>
      <c r="N91" s="56"/>
      <c r="O91" s="56"/>
      <c r="P91" s="56"/>
      <c r="Q91" s="56"/>
      <c r="R91" s="56"/>
      <c r="S91" s="56"/>
      <c r="T91" s="57"/>
    </row>
    <row r="92" spans="1:20" x14ac:dyDescent="0.25">
      <c r="A92" s="46" t="s">
        <v>212</v>
      </c>
      <c r="B92" s="47"/>
      <c r="C92" s="48"/>
      <c r="D92" s="49"/>
      <c r="E92" s="50"/>
      <c r="F92" s="50"/>
      <c r="G92" s="50"/>
      <c r="H92" s="50"/>
      <c r="I92" s="50"/>
      <c r="J92" s="50"/>
      <c r="K92" s="50"/>
      <c r="L92" s="58"/>
      <c r="M92" s="50"/>
      <c r="N92" s="50"/>
      <c r="O92" s="50"/>
      <c r="P92" s="50"/>
      <c r="Q92" s="50"/>
      <c r="R92" s="50"/>
      <c r="S92" s="50"/>
      <c r="T92" s="58"/>
    </row>
    <row r="93" spans="1:20" ht="15" customHeight="1" x14ac:dyDescent="0.25">
      <c r="A93" s="52" t="s">
        <v>147</v>
      </c>
      <c r="B93" s="53">
        <v>1</v>
      </c>
      <c r="C93" s="54" t="s">
        <v>146</v>
      </c>
      <c r="D93" s="55" t="str">
        <f>C93&amp;B93</f>
        <v>NSPDC1</v>
      </c>
      <c r="E93" s="56"/>
      <c r="F93" s="56"/>
      <c r="G93" s="56"/>
      <c r="H93" s="56"/>
      <c r="I93" s="56"/>
      <c r="J93" s="56"/>
      <c r="K93" s="56"/>
      <c r="L93" s="57"/>
      <c r="M93" s="56"/>
      <c r="N93" s="56"/>
      <c r="O93" s="56"/>
      <c r="P93" s="56"/>
      <c r="Q93" s="56"/>
      <c r="R93" s="56"/>
      <c r="S93" s="56"/>
      <c r="T93" s="57"/>
    </row>
    <row r="94" spans="1:20" x14ac:dyDescent="0.25">
      <c r="A94" s="46" t="s">
        <v>159</v>
      </c>
      <c r="B94" s="47"/>
      <c r="C94" s="48"/>
      <c r="D94" s="49"/>
      <c r="E94" s="50"/>
      <c r="F94" s="50"/>
      <c r="G94" s="50"/>
      <c r="H94" s="50"/>
      <c r="I94" s="50"/>
      <c r="J94" s="50"/>
      <c r="K94" s="50"/>
      <c r="L94" s="58"/>
      <c r="M94" s="50"/>
      <c r="N94" s="50"/>
      <c r="O94" s="50"/>
      <c r="P94" s="50"/>
      <c r="Q94" s="50"/>
      <c r="R94" s="50"/>
      <c r="S94" s="50"/>
      <c r="T94" s="58"/>
    </row>
    <row r="95" spans="1:20" ht="15" customHeight="1" x14ac:dyDescent="0.25">
      <c r="A95" s="52" t="s">
        <v>159</v>
      </c>
      <c r="B95" s="53">
        <v>1</v>
      </c>
      <c r="C95" s="54" t="s">
        <v>213</v>
      </c>
      <c r="D95" s="55" t="str">
        <f>C95&amp;B95</f>
        <v>AITS1</v>
      </c>
      <c r="E95" s="56"/>
      <c r="F95" s="56"/>
      <c r="G95" s="56"/>
      <c r="H95" s="56"/>
      <c r="I95" s="56"/>
      <c r="J95" s="56"/>
      <c r="K95" s="56"/>
      <c r="L95" s="57"/>
      <c r="M95" s="56"/>
      <c r="N95" s="56"/>
      <c r="O95" s="56"/>
      <c r="P95" s="56"/>
      <c r="Q95" s="56"/>
      <c r="R95" s="56"/>
      <c r="S95" s="56"/>
      <c r="T95" s="57"/>
    </row>
    <row r="96" spans="1:20" x14ac:dyDescent="0.25">
      <c r="A96" s="46" t="s">
        <v>214</v>
      </c>
      <c r="B96" s="47"/>
      <c r="C96" s="48"/>
      <c r="D96" s="49"/>
      <c r="E96" s="50"/>
      <c r="F96" s="50"/>
      <c r="G96" s="50"/>
      <c r="H96" s="50"/>
      <c r="I96" s="50"/>
      <c r="J96" s="50"/>
      <c r="K96" s="50"/>
      <c r="L96" s="58"/>
      <c r="M96" s="50"/>
      <c r="N96" s="50"/>
      <c r="O96" s="50"/>
      <c r="P96" s="50"/>
      <c r="Q96" s="50"/>
      <c r="R96" s="50"/>
      <c r="S96" s="50"/>
      <c r="T96" s="58"/>
    </row>
    <row r="97" spans="1:20" ht="15" customHeight="1" x14ac:dyDescent="0.25">
      <c r="A97" s="52" t="s">
        <v>215</v>
      </c>
      <c r="B97" s="53">
        <v>1</v>
      </c>
      <c r="C97" s="54"/>
      <c r="D97" s="55" t="str">
        <f>C97&amp;B97</f>
        <v>1</v>
      </c>
      <c r="E97" s="56"/>
      <c r="F97" s="56"/>
      <c r="G97" s="56"/>
      <c r="H97" s="56"/>
      <c r="I97" s="56"/>
      <c r="J97" s="56"/>
      <c r="K97" s="56"/>
      <c r="L97" s="57"/>
      <c r="M97" s="56"/>
      <c r="N97" s="56"/>
      <c r="O97" s="56"/>
      <c r="P97" s="56"/>
      <c r="Q97" s="56"/>
      <c r="R97" s="56"/>
      <c r="S97" s="56"/>
      <c r="T97" s="57"/>
    </row>
    <row r="98" spans="1:20" ht="15" customHeight="1" x14ac:dyDescent="0.25">
      <c r="A98" s="173" t="s">
        <v>216</v>
      </c>
      <c r="B98" s="174"/>
      <c r="C98" s="59"/>
      <c r="D98" s="60"/>
      <c r="E98" s="61"/>
      <c r="F98" s="61"/>
      <c r="G98" s="61"/>
      <c r="H98" s="61"/>
      <c r="I98" s="61"/>
      <c r="J98" s="61"/>
      <c r="K98" s="61"/>
      <c r="L98" s="62"/>
      <c r="M98" s="61"/>
      <c r="N98" s="61"/>
      <c r="O98" s="61"/>
      <c r="P98" s="61"/>
      <c r="Q98" s="61"/>
      <c r="R98" s="61"/>
      <c r="S98" s="61"/>
      <c r="T98" s="62"/>
    </row>
    <row r="99" spans="1:20" x14ac:dyDescent="0.25">
      <c r="A99" s="46" t="s">
        <v>127</v>
      </c>
      <c r="B99" s="47"/>
      <c r="C99" s="48"/>
      <c r="D99" s="49"/>
      <c r="E99" s="50"/>
      <c r="F99" s="50"/>
      <c r="G99" s="50"/>
      <c r="H99" s="50"/>
      <c r="I99" s="50"/>
      <c r="J99" s="50"/>
      <c r="K99" s="50"/>
      <c r="L99" s="58"/>
      <c r="M99" s="50"/>
      <c r="N99" s="50"/>
      <c r="O99" s="50"/>
      <c r="P99" s="50"/>
      <c r="Q99" s="50"/>
      <c r="R99" s="50"/>
      <c r="S99" s="50"/>
      <c r="T99" s="58"/>
    </row>
    <row r="100" spans="1:20" ht="15" customHeight="1" x14ac:dyDescent="0.25">
      <c r="A100" s="52" t="s">
        <v>127</v>
      </c>
      <c r="B100" s="53">
        <v>1</v>
      </c>
      <c r="C100" s="54" t="s">
        <v>128</v>
      </c>
      <c r="D100" s="55" t="str">
        <f>C100&amp;B100</f>
        <v>LINC131</v>
      </c>
      <c r="E100" s="56"/>
      <c r="F100" s="56"/>
      <c r="G100" s="56"/>
      <c r="H100" s="56"/>
      <c r="I100" s="56"/>
      <c r="J100" s="56"/>
      <c r="K100" s="56"/>
      <c r="L100" s="57"/>
      <c r="M100" s="56"/>
      <c r="N100" s="56"/>
      <c r="O100" s="56"/>
      <c r="P100" s="56"/>
      <c r="Q100" s="56"/>
      <c r="R100" s="56"/>
      <c r="S100" s="56"/>
      <c r="T100" s="57"/>
    </row>
    <row r="101" spans="1:20" ht="15" customHeight="1" x14ac:dyDescent="0.25">
      <c r="A101" s="175" t="s">
        <v>217</v>
      </c>
      <c r="B101" s="176"/>
      <c r="C101" s="63"/>
      <c r="D101" s="64"/>
      <c r="E101" s="65"/>
      <c r="F101" s="65"/>
      <c r="G101" s="65"/>
      <c r="H101" s="65"/>
      <c r="I101" s="65"/>
      <c r="J101" s="65"/>
      <c r="K101" s="65"/>
      <c r="L101" s="66"/>
      <c r="M101" s="65"/>
      <c r="N101" s="65"/>
      <c r="O101" s="65"/>
      <c r="P101" s="65"/>
      <c r="Q101" s="65"/>
      <c r="R101" s="65"/>
      <c r="S101" s="65"/>
      <c r="T101" s="66"/>
    </row>
    <row r="102" spans="1:20" x14ac:dyDescent="0.25">
      <c r="A102" s="46" t="s">
        <v>133</v>
      </c>
      <c r="B102" s="47"/>
      <c r="C102" s="48"/>
      <c r="D102" s="49"/>
      <c r="E102" s="50"/>
      <c r="F102" s="50"/>
      <c r="G102" s="50"/>
      <c r="H102" s="50"/>
      <c r="I102" s="50"/>
      <c r="J102" s="50"/>
      <c r="K102" s="50"/>
      <c r="L102" s="58"/>
      <c r="M102" s="50"/>
      <c r="N102" s="50"/>
      <c r="O102" s="50"/>
      <c r="P102" s="50"/>
      <c r="Q102" s="50"/>
      <c r="R102" s="50"/>
      <c r="S102" s="50"/>
      <c r="T102" s="58"/>
    </row>
    <row r="103" spans="1:20" ht="15" customHeight="1" x14ac:dyDescent="0.25">
      <c r="A103" s="52" t="s">
        <v>133</v>
      </c>
      <c r="B103" s="53">
        <v>1</v>
      </c>
      <c r="C103" s="54" t="s">
        <v>134</v>
      </c>
      <c r="D103" s="55" t="str">
        <f>C103&amp;B103</f>
        <v>AELCC1</v>
      </c>
      <c r="E103" s="56"/>
      <c r="F103" s="56"/>
      <c r="G103" s="56"/>
      <c r="H103" s="56"/>
      <c r="I103" s="56"/>
      <c r="J103" s="56"/>
      <c r="K103" s="56"/>
      <c r="L103" s="57"/>
      <c r="M103" s="56"/>
      <c r="N103" s="56"/>
      <c r="O103" s="56"/>
      <c r="P103" s="56"/>
      <c r="Q103" s="56"/>
      <c r="R103" s="56"/>
      <c r="S103" s="56"/>
      <c r="T103" s="57"/>
    </row>
    <row r="104" spans="1:20" x14ac:dyDescent="0.25">
      <c r="A104" s="46" t="s">
        <v>55</v>
      </c>
      <c r="B104" s="47"/>
      <c r="C104" s="48"/>
      <c r="D104" s="49"/>
      <c r="E104" s="50"/>
      <c r="F104" s="50"/>
      <c r="G104" s="50"/>
      <c r="H104" s="50"/>
      <c r="I104" s="50"/>
      <c r="J104" s="50"/>
      <c r="K104" s="50"/>
      <c r="L104" s="58"/>
      <c r="M104" s="50"/>
      <c r="N104" s="50"/>
      <c r="O104" s="50"/>
      <c r="P104" s="50"/>
      <c r="Q104" s="50"/>
      <c r="R104" s="50"/>
      <c r="S104" s="50"/>
      <c r="T104" s="58"/>
    </row>
    <row r="105" spans="1:20" ht="15" customHeight="1" x14ac:dyDescent="0.25">
      <c r="A105" s="52" t="s">
        <v>55</v>
      </c>
      <c r="B105" s="53">
        <v>1</v>
      </c>
      <c r="C105" s="54" t="s">
        <v>56</v>
      </c>
      <c r="D105" s="55" t="str">
        <f>C105&amp;B105</f>
        <v>ECCERT1</v>
      </c>
      <c r="E105" s="56"/>
      <c r="F105" s="56"/>
      <c r="G105" s="56"/>
      <c r="H105" s="56"/>
      <c r="I105" s="56"/>
      <c r="J105" s="56"/>
      <c r="K105" s="56"/>
      <c r="L105" s="57"/>
      <c r="M105" s="56"/>
      <c r="N105" s="56"/>
      <c r="O105" s="56"/>
      <c r="P105" s="56"/>
      <c r="Q105" s="56"/>
      <c r="R105" s="56"/>
      <c r="S105" s="56"/>
      <c r="T105" s="57"/>
    </row>
    <row r="106" spans="1:20" x14ac:dyDescent="0.25">
      <c r="A106" s="46" t="s">
        <v>57</v>
      </c>
      <c r="B106" s="47"/>
      <c r="C106" s="48"/>
      <c r="D106" s="49"/>
      <c r="E106" s="50"/>
      <c r="F106" s="50"/>
      <c r="G106" s="50"/>
      <c r="H106" s="50"/>
      <c r="I106" s="50"/>
      <c r="J106" s="50"/>
      <c r="K106" s="50"/>
      <c r="L106" s="58"/>
      <c r="M106" s="50"/>
      <c r="N106" s="50"/>
      <c r="O106" s="50"/>
      <c r="P106" s="50"/>
      <c r="Q106" s="50"/>
      <c r="R106" s="50"/>
      <c r="S106" s="50"/>
      <c r="T106" s="58"/>
    </row>
    <row r="107" spans="1:20" ht="15" customHeight="1" x14ac:dyDescent="0.25">
      <c r="A107" s="52" t="s">
        <v>57</v>
      </c>
      <c r="B107" s="53">
        <v>1</v>
      </c>
      <c r="C107" s="54" t="s">
        <v>58</v>
      </c>
      <c r="D107" s="55" t="str">
        <f t="shared" ref="D107:D108" si="15">C107&amp;B107</f>
        <v>ECDIP1</v>
      </c>
      <c r="E107" s="56"/>
      <c r="F107" s="56"/>
      <c r="G107" s="56"/>
      <c r="H107" s="56"/>
      <c r="I107" s="56"/>
      <c r="J107" s="56"/>
      <c r="K107" s="56"/>
      <c r="L107" s="57"/>
      <c r="M107" s="56"/>
      <c r="N107" s="56"/>
      <c r="O107" s="56"/>
      <c r="P107" s="56"/>
      <c r="Q107" s="56"/>
      <c r="R107" s="56"/>
      <c r="S107" s="56"/>
      <c r="T107" s="57"/>
    </row>
    <row r="108" spans="1:20" ht="15" customHeight="1" x14ac:dyDescent="0.25">
      <c r="A108" s="52"/>
      <c r="B108" s="53">
        <v>2</v>
      </c>
      <c r="C108" s="54" t="s">
        <v>58</v>
      </c>
      <c r="D108" s="55" t="str">
        <f t="shared" si="15"/>
        <v>ECDIP2</v>
      </c>
      <c r="E108" s="56"/>
      <c r="F108" s="56"/>
      <c r="G108" s="56"/>
      <c r="H108" s="56"/>
      <c r="I108" s="56"/>
      <c r="J108" s="56"/>
      <c r="K108" s="56"/>
      <c r="L108" s="57"/>
      <c r="M108" s="56"/>
      <c r="N108" s="56"/>
      <c r="O108" s="56"/>
      <c r="P108" s="56"/>
      <c r="Q108" s="56"/>
      <c r="R108" s="56"/>
      <c r="S108" s="56"/>
      <c r="T108" s="57"/>
    </row>
    <row r="109" spans="1:20" x14ac:dyDescent="0.25">
      <c r="A109" s="46" t="s">
        <v>144</v>
      </c>
      <c r="B109" s="47"/>
      <c r="C109" s="48"/>
      <c r="D109" s="49"/>
      <c r="E109" s="50"/>
      <c r="F109" s="50"/>
      <c r="G109" s="50"/>
      <c r="H109" s="50"/>
      <c r="I109" s="50"/>
      <c r="J109" s="50"/>
      <c r="K109" s="50"/>
      <c r="L109" s="58"/>
      <c r="M109" s="50"/>
      <c r="N109" s="50"/>
      <c r="O109" s="50"/>
      <c r="P109" s="50"/>
      <c r="Q109" s="50"/>
      <c r="R109" s="50"/>
      <c r="S109" s="50"/>
      <c r="T109" s="58"/>
    </row>
    <row r="110" spans="1:20" ht="15" customHeight="1" x14ac:dyDescent="0.25">
      <c r="A110" s="52" t="s">
        <v>144</v>
      </c>
      <c r="B110" s="53">
        <v>1</v>
      </c>
      <c r="C110" s="54" t="s">
        <v>145</v>
      </c>
      <c r="D110" s="55" t="str">
        <f t="shared" ref="D110:D111" si="16">C110&amp;B110</f>
        <v>CYCD1</v>
      </c>
      <c r="E110" s="56"/>
      <c r="F110" s="56"/>
      <c r="G110" s="56"/>
      <c r="H110" s="56"/>
      <c r="I110" s="56"/>
      <c r="J110" s="56"/>
      <c r="K110" s="56"/>
      <c r="L110" s="57"/>
      <c r="M110" s="56"/>
      <c r="N110" s="56"/>
      <c r="O110" s="56"/>
      <c r="P110" s="56"/>
      <c r="Q110" s="56"/>
      <c r="R110" s="56"/>
      <c r="S110" s="56"/>
      <c r="T110" s="57"/>
    </row>
    <row r="111" spans="1:20" ht="15" customHeight="1" x14ac:dyDescent="0.25">
      <c r="A111" s="52"/>
      <c r="B111" s="53">
        <v>2</v>
      </c>
      <c r="C111" s="54" t="s">
        <v>145</v>
      </c>
      <c r="D111" s="55" t="str">
        <f t="shared" si="16"/>
        <v>CYCD2</v>
      </c>
      <c r="E111" s="56"/>
      <c r="F111" s="56"/>
      <c r="G111" s="56"/>
      <c r="H111" s="56"/>
      <c r="I111" s="56"/>
      <c r="J111" s="56"/>
      <c r="K111" s="56"/>
      <c r="L111" s="57"/>
      <c r="M111" s="56"/>
      <c r="N111" s="56"/>
      <c r="O111" s="56"/>
      <c r="P111" s="56"/>
      <c r="Q111" s="56"/>
      <c r="R111" s="56"/>
      <c r="S111" s="56"/>
      <c r="T111" s="57"/>
    </row>
    <row r="112" spans="1:20" x14ac:dyDescent="0.25">
      <c r="A112" s="46" t="s">
        <v>218</v>
      </c>
      <c r="B112" s="47"/>
      <c r="C112" s="48"/>
      <c r="D112" s="49"/>
      <c r="E112" s="50"/>
      <c r="F112" s="50"/>
      <c r="G112" s="50"/>
      <c r="H112" s="50"/>
      <c r="I112" s="50"/>
      <c r="J112" s="50"/>
      <c r="K112" s="50"/>
      <c r="L112" s="58"/>
      <c r="M112" s="50"/>
      <c r="N112" s="50"/>
      <c r="O112" s="50"/>
      <c r="P112" s="50"/>
      <c r="Q112" s="50"/>
      <c r="R112" s="50"/>
      <c r="S112" s="50"/>
      <c r="T112" s="58"/>
    </row>
    <row r="113" spans="1:20" ht="15" customHeight="1" x14ac:dyDescent="0.25">
      <c r="A113" s="52" t="s">
        <v>218</v>
      </c>
      <c r="B113" s="53">
        <v>1</v>
      </c>
      <c r="C113" s="54" t="s">
        <v>60</v>
      </c>
      <c r="D113" s="55" t="str">
        <f>C113&amp;B113</f>
        <v>ECEAC1</v>
      </c>
      <c r="E113" s="56"/>
      <c r="F113" s="56"/>
      <c r="G113" s="56"/>
      <c r="H113" s="56"/>
      <c r="I113" s="56"/>
      <c r="J113" s="56"/>
      <c r="K113" s="56"/>
      <c r="L113" s="57"/>
      <c r="M113" s="56"/>
      <c r="N113" s="56"/>
      <c r="O113" s="56"/>
      <c r="P113" s="56"/>
      <c r="Q113" s="56"/>
      <c r="R113" s="56"/>
      <c r="S113" s="56"/>
      <c r="T113" s="57"/>
    </row>
    <row r="114" spans="1:20" x14ac:dyDescent="0.25">
      <c r="A114" s="46" t="s">
        <v>61</v>
      </c>
      <c r="B114" s="47"/>
      <c r="C114" s="48"/>
      <c r="D114" s="49"/>
      <c r="E114" s="50"/>
      <c r="F114" s="50"/>
      <c r="G114" s="50"/>
      <c r="H114" s="50"/>
      <c r="I114" s="50"/>
      <c r="J114" s="50"/>
      <c r="K114" s="50"/>
      <c r="L114" s="58"/>
      <c r="M114" s="50"/>
      <c r="N114" s="50"/>
      <c r="O114" s="50"/>
      <c r="P114" s="50"/>
      <c r="Q114" s="50"/>
      <c r="R114" s="50"/>
      <c r="S114" s="50"/>
      <c r="T114" s="58"/>
    </row>
    <row r="115" spans="1:20" ht="15" customHeight="1" x14ac:dyDescent="0.25">
      <c r="A115" s="52" t="s">
        <v>61</v>
      </c>
      <c r="B115" s="53">
        <v>1</v>
      </c>
      <c r="C115" s="54" t="s">
        <v>62</v>
      </c>
      <c r="D115" s="55" t="str">
        <f t="shared" ref="D115:D116" si="17">C115&amp;B115</f>
        <v>SOCWKD1</v>
      </c>
      <c r="E115" s="56"/>
      <c r="F115" s="56"/>
      <c r="G115" s="56"/>
      <c r="H115" s="56"/>
      <c r="I115" s="56"/>
      <c r="J115" s="56"/>
      <c r="K115" s="56"/>
      <c r="L115" s="57"/>
      <c r="M115" s="56"/>
      <c r="N115" s="56"/>
      <c r="O115" s="56"/>
      <c r="P115" s="56"/>
      <c r="Q115" s="56"/>
      <c r="R115" s="56"/>
      <c r="S115" s="56"/>
      <c r="T115" s="57"/>
    </row>
    <row r="116" spans="1:20" ht="15" customHeight="1" x14ac:dyDescent="0.25">
      <c r="A116" s="52"/>
      <c r="B116" s="53">
        <v>2</v>
      </c>
      <c r="C116" s="54" t="s">
        <v>62</v>
      </c>
      <c r="D116" s="55" t="str">
        <f t="shared" si="17"/>
        <v>SOCWKD2</v>
      </c>
      <c r="E116" s="56"/>
      <c r="F116" s="56"/>
      <c r="G116" s="56"/>
      <c r="H116" s="56"/>
      <c r="I116" s="56"/>
      <c r="J116" s="56"/>
      <c r="K116" s="56"/>
      <c r="L116" s="57"/>
      <c r="M116" s="56"/>
      <c r="N116" s="56"/>
      <c r="O116" s="56"/>
      <c r="P116" s="56"/>
      <c r="Q116" s="56"/>
      <c r="R116" s="56"/>
      <c r="S116" s="56"/>
      <c r="T116" s="57"/>
    </row>
    <row r="117" spans="1:20" ht="15" customHeight="1" x14ac:dyDescent="0.25">
      <c r="A117" s="173" t="s">
        <v>219</v>
      </c>
      <c r="B117" s="174"/>
      <c r="C117" s="59"/>
      <c r="D117" s="60"/>
      <c r="E117" s="61"/>
      <c r="F117" s="61"/>
      <c r="G117" s="61"/>
      <c r="H117" s="61"/>
      <c r="I117" s="61"/>
      <c r="J117" s="61"/>
      <c r="K117" s="61"/>
      <c r="L117" s="62"/>
      <c r="M117" s="61"/>
      <c r="N117" s="61"/>
      <c r="O117" s="61"/>
      <c r="P117" s="61"/>
      <c r="Q117" s="61"/>
      <c r="R117" s="61"/>
      <c r="S117" s="61"/>
      <c r="T117" s="62"/>
    </row>
    <row r="118" spans="1:20" x14ac:dyDescent="0.25">
      <c r="A118" s="46" t="s">
        <v>64</v>
      </c>
      <c r="B118" s="47"/>
      <c r="C118" s="48"/>
      <c r="D118" s="49"/>
      <c r="E118" s="50"/>
      <c r="F118" s="50"/>
      <c r="G118" s="50"/>
      <c r="H118" s="50"/>
      <c r="I118" s="50"/>
      <c r="J118" s="50"/>
      <c r="K118" s="50"/>
      <c r="L118" s="58"/>
      <c r="M118" s="50"/>
      <c r="N118" s="50"/>
      <c r="O118" s="50"/>
      <c r="P118" s="50"/>
      <c r="Q118" s="50"/>
      <c r="R118" s="50"/>
      <c r="S118" s="50"/>
      <c r="T118" s="58"/>
    </row>
    <row r="119" spans="1:20" ht="15" customHeight="1" x14ac:dyDescent="0.25">
      <c r="A119" s="52" t="s">
        <v>220</v>
      </c>
      <c r="B119" s="53">
        <v>1</v>
      </c>
      <c r="C119" s="54" t="s">
        <v>65</v>
      </c>
      <c r="D119" s="55" t="str">
        <f t="shared" ref="D119:D120" si="18">C119&amp;B119</f>
        <v>PCPC1</v>
      </c>
      <c r="E119" s="56"/>
      <c r="F119" s="56"/>
      <c r="G119" s="56"/>
      <c r="H119" s="56"/>
      <c r="I119" s="56"/>
      <c r="J119" s="56"/>
      <c r="K119" s="56"/>
      <c r="L119" s="57"/>
      <c r="M119" s="56"/>
      <c r="N119" s="56"/>
      <c r="O119" s="56"/>
      <c r="P119" s="56"/>
      <c r="Q119" s="56"/>
      <c r="R119" s="56"/>
      <c r="S119" s="56"/>
      <c r="T119" s="57"/>
    </row>
    <row r="120" spans="1:20" ht="15" customHeight="1" x14ac:dyDescent="0.25">
      <c r="A120" s="52"/>
      <c r="B120" s="53">
        <v>2</v>
      </c>
      <c r="C120" s="54" t="s">
        <v>65</v>
      </c>
      <c r="D120" s="55" t="str">
        <f t="shared" si="18"/>
        <v>PCPC2</v>
      </c>
      <c r="E120" s="56"/>
      <c r="F120" s="56"/>
      <c r="G120" s="56"/>
      <c r="H120" s="56"/>
      <c r="I120" s="56"/>
      <c r="J120" s="56"/>
      <c r="K120" s="56"/>
      <c r="L120" s="57"/>
      <c r="M120" s="56"/>
      <c r="N120" s="56"/>
      <c r="O120" s="56"/>
      <c r="P120" s="56"/>
      <c r="Q120" s="56"/>
      <c r="R120" s="56"/>
      <c r="S120" s="56"/>
      <c r="T120" s="57"/>
    </row>
    <row r="121" spans="1:20" x14ac:dyDescent="0.25">
      <c r="A121" s="46" t="s">
        <v>66</v>
      </c>
      <c r="B121" s="47"/>
      <c r="C121" s="48"/>
      <c r="D121" s="49"/>
      <c r="E121" s="50"/>
      <c r="F121" s="50"/>
      <c r="G121" s="50"/>
      <c r="H121" s="50"/>
      <c r="I121" s="50"/>
      <c r="J121" s="50"/>
      <c r="K121" s="50"/>
      <c r="L121" s="58"/>
      <c r="M121" s="50"/>
      <c r="N121" s="50"/>
      <c r="O121" s="50"/>
      <c r="P121" s="50"/>
      <c r="Q121" s="50"/>
      <c r="R121" s="50"/>
      <c r="S121" s="50"/>
      <c r="T121" s="58"/>
    </row>
    <row r="122" spans="1:20" ht="15" customHeight="1" x14ac:dyDescent="0.25">
      <c r="A122" s="52" t="s">
        <v>221</v>
      </c>
      <c r="B122" s="53">
        <v>2</v>
      </c>
      <c r="C122" s="54" t="s">
        <v>67</v>
      </c>
      <c r="D122" s="55" t="str">
        <f>C122&amp;B122</f>
        <v>ACP2</v>
      </c>
      <c r="E122" s="56"/>
      <c r="F122" s="56"/>
      <c r="G122" s="56"/>
      <c r="H122" s="56"/>
      <c r="I122" s="56"/>
      <c r="J122" s="56"/>
      <c r="K122" s="56"/>
      <c r="L122" s="57"/>
      <c r="M122" s="56"/>
      <c r="N122" s="56"/>
      <c r="O122" s="56"/>
      <c r="P122" s="56"/>
      <c r="Q122" s="56"/>
      <c r="R122" s="56"/>
      <c r="S122" s="56"/>
      <c r="T122" s="57"/>
    </row>
    <row r="123" spans="1:20" x14ac:dyDescent="0.25">
      <c r="A123" s="46" t="s">
        <v>222</v>
      </c>
      <c r="B123" s="47"/>
      <c r="C123" s="48"/>
      <c r="D123" s="49"/>
      <c r="E123" s="50"/>
      <c r="F123" s="50"/>
      <c r="G123" s="50"/>
      <c r="H123" s="50"/>
      <c r="I123" s="50"/>
      <c r="J123" s="50"/>
      <c r="K123" s="50"/>
      <c r="L123" s="58"/>
      <c r="M123" s="50"/>
      <c r="N123" s="50"/>
      <c r="O123" s="50"/>
      <c r="P123" s="50"/>
      <c r="Q123" s="50"/>
      <c r="R123" s="50"/>
      <c r="S123" s="50"/>
      <c r="T123" s="58"/>
    </row>
    <row r="124" spans="1:20" ht="15" customHeight="1" x14ac:dyDescent="0.25">
      <c r="A124" s="52" t="s">
        <v>223</v>
      </c>
      <c r="B124" s="53">
        <v>4</v>
      </c>
      <c r="C124" s="54"/>
      <c r="D124" s="55" t="str">
        <f>C124&amp;B124</f>
        <v>4</v>
      </c>
      <c r="E124" s="56"/>
      <c r="F124" s="56"/>
      <c r="G124" s="56"/>
      <c r="H124" s="56"/>
      <c r="I124" s="56"/>
      <c r="J124" s="56"/>
      <c r="K124" s="56"/>
      <c r="L124" s="57"/>
      <c r="M124" s="56"/>
      <c r="N124" s="56"/>
      <c r="O124" s="56"/>
      <c r="P124" s="56"/>
      <c r="Q124" s="56"/>
      <c r="R124" s="56"/>
      <c r="S124" s="56"/>
      <c r="T124" s="57"/>
    </row>
    <row r="125" spans="1:20" x14ac:dyDescent="0.25">
      <c r="A125" s="46" t="s">
        <v>224</v>
      </c>
      <c r="B125" s="47"/>
      <c r="C125" s="48"/>
      <c r="D125" s="49"/>
      <c r="E125" s="50"/>
      <c r="F125" s="50"/>
      <c r="G125" s="50"/>
      <c r="H125" s="50"/>
      <c r="I125" s="50"/>
      <c r="J125" s="50"/>
      <c r="K125" s="50"/>
      <c r="L125" s="58"/>
      <c r="M125" s="50"/>
      <c r="N125" s="50"/>
      <c r="O125" s="50"/>
      <c r="P125" s="50"/>
      <c r="Q125" s="50"/>
      <c r="R125" s="50"/>
      <c r="S125" s="50"/>
      <c r="T125" s="58"/>
    </row>
    <row r="126" spans="1:20" ht="15" customHeight="1" x14ac:dyDescent="0.25">
      <c r="A126" s="52" t="s">
        <v>68</v>
      </c>
      <c r="B126" s="53">
        <v>1</v>
      </c>
      <c r="C126" s="54" t="s">
        <v>69</v>
      </c>
      <c r="D126" s="55" t="str">
        <f>C126&amp;B126</f>
        <v>HCAC1</v>
      </c>
      <c r="E126" s="56"/>
      <c r="F126" s="56"/>
      <c r="G126" s="56"/>
      <c r="H126" s="56"/>
      <c r="I126" s="56"/>
      <c r="J126" s="56"/>
      <c r="K126" s="56"/>
      <c r="L126" s="57"/>
      <c r="M126" s="56"/>
      <c r="N126" s="56"/>
      <c r="O126" s="56"/>
      <c r="P126" s="56"/>
      <c r="Q126" s="56"/>
      <c r="R126" s="56"/>
      <c r="S126" s="56"/>
      <c r="T126" s="57"/>
    </row>
    <row r="127" spans="1:20" x14ac:dyDescent="0.25">
      <c r="A127" s="46" t="s">
        <v>70</v>
      </c>
      <c r="B127" s="47"/>
      <c r="C127" s="48"/>
      <c r="D127" s="49"/>
      <c r="E127" s="50"/>
      <c r="F127" s="50"/>
      <c r="G127" s="50"/>
      <c r="H127" s="50"/>
      <c r="I127" s="50"/>
      <c r="J127" s="50"/>
      <c r="K127" s="50"/>
      <c r="L127" s="58"/>
      <c r="M127" s="50"/>
      <c r="N127" s="50"/>
      <c r="O127" s="50"/>
      <c r="P127" s="50"/>
      <c r="Q127" s="50"/>
      <c r="R127" s="50"/>
      <c r="S127" s="50"/>
      <c r="T127" s="58"/>
    </row>
    <row r="128" spans="1:20" ht="15" customHeight="1" x14ac:dyDescent="0.25">
      <c r="A128" s="52" t="s">
        <v>70</v>
      </c>
      <c r="B128" s="53">
        <v>1</v>
      </c>
      <c r="C128" s="54" t="s">
        <v>71</v>
      </c>
      <c r="D128" s="55" t="str">
        <f t="shared" ref="D128:D129" si="19">C128&amp;B128</f>
        <v>PNR1</v>
      </c>
      <c r="E128" s="56"/>
      <c r="F128" s="56"/>
      <c r="G128" s="56"/>
      <c r="H128" s="56"/>
      <c r="I128" s="56"/>
      <c r="J128" s="56"/>
      <c r="K128" s="56"/>
      <c r="L128" s="57"/>
      <c r="M128" s="56"/>
      <c r="N128" s="56"/>
      <c r="O128" s="56"/>
      <c r="P128" s="56"/>
      <c r="Q128" s="56"/>
      <c r="R128" s="56"/>
      <c r="S128" s="56"/>
      <c r="T128" s="57"/>
    </row>
    <row r="129" spans="1:20" ht="15" customHeight="1" x14ac:dyDescent="0.25">
      <c r="A129" s="52"/>
      <c r="B129" s="53">
        <v>2</v>
      </c>
      <c r="C129" s="54" t="s">
        <v>71</v>
      </c>
      <c r="D129" s="55" t="str">
        <f t="shared" si="19"/>
        <v>PNR2</v>
      </c>
      <c r="E129" s="56"/>
      <c r="F129" s="56"/>
      <c r="G129" s="56"/>
      <c r="H129" s="56"/>
      <c r="I129" s="56"/>
      <c r="J129" s="56"/>
      <c r="K129" s="56"/>
      <c r="L129" s="57"/>
      <c r="M129" s="56"/>
      <c r="N129" s="56"/>
      <c r="O129" s="56"/>
      <c r="P129" s="56"/>
      <c r="Q129" s="56"/>
      <c r="R129" s="56"/>
      <c r="S129" s="56"/>
      <c r="T129" s="57"/>
    </row>
    <row r="130" spans="1:20" x14ac:dyDescent="0.25">
      <c r="A130" s="46" t="s">
        <v>72</v>
      </c>
      <c r="B130" s="47"/>
      <c r="C130" s="48"/>
      <c r="D130" s="49"/>
      <c r="E130" s="50"/>
      <c r="F130" s="50"/>
      <c r="G130" s="50"/>
      <c r="H130" s="50"/>
      <c r="I130" s="50"/>
      <c r="J130" s="50"/>
      <c r="K130" s="50"/>
      <c r="L130" s="58"/>
      <c r="M130" s="50"/>
      <c r="N130" s="50"/>
      <c r="O130" s="50"/>
      <c r="P130" s="50"/>
      <c r="Q130" s="50"/>
      <c r="R130" s="50"/>
      <c r="S130" s="50"/>
      <c r="T130" s="58"/>
    </row>
    <row r="131" spans="1:20" ht="15" customHeight="1" x14ac:dyDescent="0.25">
      <c r="A131" s="52" t="s">
        <v>225</v>
      </c>
      <c r="B131" s="53">
        <v>1</v>
      </c>
      <c r="C131" s="54" t="s">
        <v>73</v>
      </c>
      <c r="D131" s="55" t="str">
        <f t="shared" ref="D131:D133" si="20">C131&amp;B131</f>
        <v>BSCN1</v>
      </c>
      <c r="E131" s="56"/>
      <c r="F131" s="56"/>
      <c r="G131" s="56"/>
      <c r="H131" s="56"/>
      <c r="I131" s="56"/>
      <c r="J131" s="56"/>
      <c r="K131" s="56"/>
      <c r="L131" s="57"/>
      <c r="M131" s="56"/>
      <c r="N131" s="56"/>
      <c r="O131" s="56"/>
      <c r="P131" s="56"/>
      <c r="Q131" s="56"/>
      <c r="R131" s="56"/>
      <c r="S131" s="56"/>
      <c r="T131" s="57"/>
    </row>
    <row r="132" spans="1:20" ht="15" customHeight="1" x14ac:dyDescent="0.25">
      <c r="A132" s="52"/>
      <c r="B132" s="53">
        <v>2</v>
      </c>
      <c r="C132" s="54" t="s">
        <v>73</v>
      </c>
      <c r="D132" s="55" t="str">
        <f t="shared" si="20"/>
        <v>BSCN2</v>
      </c>
      <c r="E132" s="56"/>
      <c r="F132" s="56"/>
      <c r="G132" s="56"/>
      <c r="H132" s="56"/>
      <c r="I132" s="56"/>
      <c r="J132" s="56"/>
      <c r="K132" s="56"/>
      <c r="L132" s="57"/>
      <c r="M132" s="56"/>
      <c r="N132" s="56"/>
      <c r="O132" s="56"/>
      <c r="P132" s="56"/>
      <c r="Q132" s="56"/>
      <c r="R132" s="56"/>
      <c r="S132" s="56"/>
      <c r="T132" s="57"/>
    </row>
    <row r="133" spans="1:20" ht="15" customHeight="1" x14ac:dyDescent="0.25">
      <c r="A133" s="52"/>
      <c r="B133" s="53">
        <v>3</v>
      </c>
      <c r="C133" s="54" t="s">
        <v>226</v>
      </c>
      <c r="D133" s="55" t="str">
        <f t="shared" si="20"/>
        <v>BSCACN,BSCAFT,BSCAEE3</v>
      </c>
      <c r="E133" s="56"/>
      <c r="F133" s="56"/>
      <c r="G133" s="56"/>
      <c r="H133" s="56"/>
      <c r="I133" s="56"/>
      <c r="J133" s="56"/>
      <c r="K133" s="56"/>
      <c r="L133" s="57"/>
      <c r="M133" s="56"/>
      <c r="N133" s="56"/>
      <c r="O133" s="56"/>
      <c r="P133" s="56"/>
      <c r="Q133" s="56"/>
      <c r="R133" s="56"/>
      <c r="S133" s="56"/>
      <c r="T133" s="57"/>
    </row>
    <row r="134" spans="1:20" x14ac:dyDescent="0.25">
      <c r="A134" s="46" t="s">
        <v>227</v>
      </c>
      <c r="B134" s="47"/>
      <c r="C134" s="48"/>
      <c r="D134" s="49"/>
      <c r="E134" s="50"/>
      <c r="F134" s="50"/>
      <c r="G134" s="50"/>
      <c r="H134" s="50"/>
      <c r="I134" s="50"/>
      <c r="J134" s="50"/>
      <c r="K134" s="50"/>
      <c r="L134" s="58"/>
      <c r="M134" s="50"/>
      <c r="N134" s="50"/>
      <c r="O134" s="50"/>
      <c r="P134" s="50"/>
      <c r="Q134" s="50"/>
      <c r="R134" s="50"/>
      <c r="S134" s="50"/>
      <c r="T134" s="58"/>
    </row>
    <row r="135" spans="1:20" ht="15" customHeight="1" x14ac:dyDescent="0.25">
      <c r="A135" s="52" t="s">
        <v>227</v>
      </c>
      <c r="B135" s="53">
        <v>1</v>
      </c>
      <c r="C135" s="54" t="s">
        <v>152</v>
      </c>
      <c r="D135" s="55" t="str">
        <f>C135&amp;B135</f>
        <v>IENCN1</v>
      </c>
      <c r="E135" s="56"/>
      <c r="F135" s="56"/>
      <c r="G135" s="56"/>
      <c r="H135" s="56"/>
      <c r="I135" s="56"/>
      <c r="J135" s="56"/>
      <c r="K135" s="56"/>
      <c r="L135" s="57"/>
      <c r="M135" s="56"/>
      <c r="N135" s="56"/>
      <c r="O135" s="56"/>
      <c r="P135" s="56"/>
      <c r="Q135" s="56"/>
      <c r="R135" s="56"/>
      <c r="S135" s="56"/>
      <c r="T135" s="57"/>
    </row>
    <row r="136" spans="1:20" ht="15" customHeight="1" x14ac:dyDescent="0.25">
      <c r="A136" s="173" t="s">
        <v>228</v>
      </c>
      <c r="B136" s="174"/>
      <c r="C136" s="59"/>
      <c r="D136" s="60"/>
      <c r="E136" s="61"/>
      <c r="F136" s="61"/>
      <c r="G136" s="61"/>
      <c r="H136" s="61"/>
      <c r="I136" s="61"/>
      <c r="J136" s="61"/>
      <c r="K136" s="61"/>
      <c r="L136" s="62"/>
      <c r="M136" s="61"/>
      <c r="N136" s="61"/>
      <c r="O136" s="61"/>
      <c r="P136" s="61"/>
      <c r="Q136" s="61"/>
      <c r="R136" s="61"/>
      <c r="S136" s="61"/>
      <c r="T136" s="62"/>
    </row>
    <row r="137" spans="1:20" ht="15" customHeight="1" x14ac:dyDescent="0.25">
      <c r="A137" s="175" t="s">
        <v>229</v>
      </c>
      <c r="B137" s="176"/>
      <c r="C137" s="63"/>
      <c r="D137" s="64"/>
      <c r="E137" s="65"/>
      <c r="F137" s="65"/>
      <c r="G137" s="65"/>
      <c r="H137" s="65"/>
      <c r="I137" s="65"/>
      <c r="J137" s="65"/>
      <c r="K137" s="65"/>
      <c r="L137" s="66"/>
      <c r="M137" s="65"/>
      <c r="N137" s="65"/>
      <c r="O137" s="65"/>
      <c r="P137" s="65"/>
      <c r="Q137" s="65"/>
      <c r="R137" s="65"/>
      <c r="S137" s="65"/>
      <c r="T137" s="66"/>
    </row>
    <row r="138" spans="1:20" x14ac:dyDescent="0.25">
      <c r="A138" s="46" t="s">
        <v>230</v>
      </c>
      <c r="B138" s="47"/>
      <c r="C138" s="48"/>
      <c r="D138" s="49"/>
      <c r="E138" s="50"/>
      <c r="F138" s="50"/>
      <c r="G138" s="50"/>
      <c r="H138" s="50"/>
      <c r="I138" s="50"/>
      <c r="J138" s="50"/>
      <c r="K138" s="50"/>
      <c r="L138" s="58"/>
      <c r="M138" s="50"/>
      <c r="N138" s="50"/>
      <c r="O138" s="50"/>
      <c r="P138" s="50"/>
      <c r="Q138" s="50"/>
      <c r="R138" s="50"/>
      <c r="S138" s="50"/>
      <c r="T138" s="58"/>
    </row>
    <row r="139" spans="1:20" ht="15" customHeight="1" x14ac:dyDescent="0.25">
      <c r="A139" s="52" t="s">
        <v>231</v>
      </c>
      <c r="B139" s="53">
        <v>1</v>
      </c>
      <c r="C139" s="54" t="s">
        <v>232</v>
      </c>
      <c r="D139" s="55" t="str">
        <f t="shared" ref="D139:D161" si="21">C139&amp;B139</f>
        <v>ACARP1</v>
      </c>
      <c r="E139" s="56"/>
      <c r="F139" s="56"/>
      <c r="G139" s="56"/>
      <c r="H139" s="56"/>
      <c r="I139" s="56"/>
      <c r="J139" s="56"/>
      <c r="K139" s="56"/>
      <c r="L139" s="57"/>
      <c r="M139" s="56"/>
      <c r="N139" s="56"/>
      <c r="O139" s="56"/>
      <c r="P139" s="56"/>
      <c r="Q139" s="56"/>
      <c r="R139" s="56"/>
      <c r="S139" s="56"/>
      <c r="T139" s="57"/>
    </row>
    <row r="140" spans="1:20" ht="15" customHeight="1" x14ac:dyDescent="0.25">
      <c r="A140" s="52"/>
      <c r="B140" s="53">
        <v>2</v>
      </c>
      <c r="C140" s="54" t="s">
        <v>232</v>
      </c>
      <c r="D140" s="55" t="str">
        <f t="shared" si="21"/>
        <v>ACARP2</v>
      </c>
      <c r="E140" s="56"/>
      <c r="F140" s="56"/>
      <c r="G140" s="56"/>
      <c r="H140" s="56"/>
      <c r="I140" s="56"/>
      <c r="J140" s="56"/>
      <c r="K140" s="56"/>
      <c r="L140" s="57"/>
      <c r="M140" s="56"/>
      <c r="N140" s="56"/>
      <c r="O140" s="56"/>
      <c r="P140" s="56"/>
      <c r="Q140" s="56"/>
      <c r="R140" s="56"/>
      <c r="S140" s="56"/>
      <c r="T140" s="57"/>
    </row>
    <row r="141" spans="1:20" ht="15" customHeight="1" x14ac:dyDescent="0.25">
      <c r="A141" s="52"/>
      <c r="B141" s="53">
        <v>3</v>
      </c>
      <c r="C141" s="54" t="s">
        <v>232</v>
      </c>
      <c r="D141" s="55" t="str">
        <f t="shared" si="21"/>
        <v>ACARP3</v>
      </c>
      <c r="E141" s="56"/>
      <c r="F141" s="56"/>
      <c r="G141" s="56"/>
      <c r="H141" s="56"/>
      <c r="I141" s="56"/>
      <c r="J141" s="56"/>
      <c r="K141" s="56"/>
      <c r="L141" s="57"/>
      <c r="M141" s="56"/>
      <c r="N141" s="56"/>
      <c r="O141" s="56"/>
      <c r="P141" s="56"/>
      <c r="Q141" s="56"/>
      <c r="R141" s="56"/>
      <c r="S141" s="56"/>
      <c r="T141" s="57"/>
    </row>
    <row r="142" spans="1:20" ht="15" customHeight="1" x14ac:dyDescent="0.25">
      <c r="A142" s="52"/>
      <c r="B142" s="53">
        <v>4</v>
      </c>
      <c r="C142" s="54" t="s">
        <v>232</v>
      </c>
      <c r="D142" s="55" t="str">
        <f t="shared" si="21"/>
        <v>ACARP4</v>
      </c>
      <c r="E142" s="56"/>
      <c r="F142" s="56"/>
      <c r="G142" s="56"/>
      <c r="H142" s="56"/>
      <c r="I142" s="56"/>
      <c r="J142" s="56"/>
      <c r="K142" s="56"/>
      <c r="L142" s="57"/>
      <c r="M142" s="56"/>
      <c r="N142" s="56"/>
      <c r="O142" s="56"/>
      <c r="P142" s="56"/>
      <c r="Q142" s="56"/>
      <c r="R142" s="56"/>
      <c r="S142" s="56"/>
      <c r="T142" s="57"/>
    </row>
    <row r="143" spans="1:20" ht="15" customHeight="1" x14ac:dyDescent="0.25">
      <c r="A143" s="52" t="s">
        <v>233</v>
      </c>
      <c r="B143" s="53">
        <v>1</v>
      </c>
      <c r="C143" s="54" t="s">
        <v>234</v>
      </c>
      <c r="D143" s="55" t="str">
        <f t="shared" si="21"/>
        <v>AELEC1</v>
      </c>
      <c r="E143" s="56"/>
      <c r="F143" s="56"/>
      <c r="G143" s="56"/>
      <c r="H143" s="56"/>
      <c r="I143" s="56"/>
      <c r="J143" s="56"/>
      <c r="K143" s="56"/>
      <c r="L143" s="57"/>
      <c r="M143" s="56"/>
      <c r="N143" s="56"/>
      <c r="O143" s="56"/>
      <c r="P143" s="56"/>
      <c r="Q143" s="56"/>
      <c r="R143" s="56"/>
      <c r="S143" s="56"/>
      <c r="T143" s="57"/>
    </row>
    <row r="144" spans="1:20" ht="15" customHeight="1" x14ac:dyDescent="0.25">
      <c r="A144" s="52"/>
      <c r="B144" s="53">
        <v>2</v>
      </c>
      <c r="C144" s="54" t="s">
        <v>234</v>
      </c>
      <c r="D144" s="55" t="str">
        <f t="shared" si="21"/>
        <v>AELEC2</v>
      </c>
      <c r="E144" s="56"/>
      <c r="F144" s="56"/>
      <c r="G144" s="56"/>
      <c r="H144" s="56"/>
      <c r="I144" s="56"/>
      <c r="J144" s="56"/>
      <c r="K144" s="56"/>
      <c r="L144" s="57"/>
      <c r="M144" s="56"/>
      <c r="N144" s="56"/>
      <c r="O144" s="56"/>
      <c r="P144" s="56"/>
      <c r="Q144" s="56"/>
      <c r="R144" s="56"/>
      <c r="S144" s="56"/>
      <c r="T144" s="57"/>
    </row>
    <row r="145" spans="1:20" ht="15" customHeight="1" x14ac:dyDescent="0.25">
      <c r="A145" s="52"/>
      <c r="B145" s="53">
        <v>3</v>
      </c>
      <c r="C145" s="54" t="s">
        <v>234</v>
      </c>
      <c r="D145" s="55" t="str">
        <f t="shared" si="21"/>
        <v>AELEC3</v>
      </c>
      <c r="E145" s="56"/>
      <c r="F145" s="56"/>
      <c r="G145" s="56"/>
      <c r="H145" s="56"/>
      <c r="I145" s="56"/>
      <c r="J145" s="56"/>
      <c r="K145" s="56"/>
      <c r="L145" s="57"/>
      <c r="M145" s="56"/>
      <c r="N145" s="56"/>
      <c r="O145" s="56"/>
      <c r="P145" s="56"/>
      <c r="Q145" s="56"/>
      <c r="R145" s="56"/>
      <c r="S145" s="56"/>
      <c r="T145" s="57"/>
    </row>
    <row r="146" spans="1:20" ht="15" customHeight="1" x14ac:dyDescent="0.25">
      <c r="A146" s="52"/>
      <c r="B146" s="53">
        <v>4</v>
      </c>
      <c r="C146" s="54" t="s">
        <v>234</v>
      </c>
      <c r="D146" s="55" t="str">
        <f t="shared" si="21"/>
        <v>AELEC4</v>
      </c>
      <c r="E146" s="56"/>
      <c r="F146" s="56"/>
      <c r="G146" s="56"/>
      <c r="H146" s="56"/>
      <c r="I146" s="56"/>
      <c r="J146" s="56"/>
      <c r="K146" s="56"/>
      <c r="L146" s="57"/>
      <c r="M146" s="56"/>
      <c r="N146" s="56"/>
      <c r="O146" s="56"/>
      <c r="P146" s="56"/>
      <c r="Q146" s="56"/>
      <c r="R146" s="56"/>
      <c r="S146" s="56"/>
      <c r="T146" s="57"/>
    </row>
    <row r="147" spans="1:20" ht="15" customHeight="1" x14ac:dyDescent="0.25">
      <c r="A147" s="52" t="s">
        <v>235</v>
      </c>
      <c r="B147" s="53">
        <v>1</v>
      </c>
      <c r="C147" s="54" t="s">
        <v>236</v>
      </c>
      <c r="D147" s="55" t="str">
        <f t="shared" si="21"/>
        <v>AHD1</v>
      </c>
      <c r="E147" s="56"/>
      <c r="F147" s="56"/>
      <c r="G147" s="56"/>
      <c r="H147" s="56"/>
      <c r="I147" s="56"/>
      <c r="J147" s="56"/>
      <c r="K147" s="56"/>
      <c r="L147" s="57"/>
      <c r="M147" s="56"/>
      <c r="N147" s="56"/>
      <c r="O147" s="56"/>
      <c r="P147" s="56"/>
      <c r="Q147" s="56"/>
      <c r="R147" s="56"/>
      <c r="S147" s="56"/>
      <c r="T147" s="57"/>
    </row>
    <row r="148" spans="1:20" ht="15" customHeight="1" x14ac:dyDescent="0.25">
      <c r="A148" s="52"/>
      <c r="B148" s="53">
        <v>2</v>
      </c>
      <c r="C148" s="54" t="s">
        <v>236</v>
      </c>
      <c r="D148" s="55" t="str">
        <f t="shared" si="21"/>
        <v>AHD2</v>
      </c>
      <c r="E148" s="56"/>
      <c r="F148" s="56"/>
      <c r="G148" s="56"/>
      <c r="H148" s="56"/>
      <c r="I148" s="56"/>
      <c r="J148" s="56"/>
      <c r="K148" s="56"/>
      <c r="L148" s="57"/>
      <c r="M148" s="56"/>
      <c r="N148" s="56"/>
      <c r="O148" s="56"/>
      <c r="P148" s="56"/>
      <c r="Q148" s="56"/>
      <c r="R148" s="56"/>
      <c r="S148" s="56"/>
      <c r="T148" s="57"/>
    </row>
    <row r="149" spans="1:20" ht="15" customHeight="1" x14ac:dyDescent="0.25">
      <c r="A149" s="52"/>
      <c r="B149" s="53">
        <v>3</v>
      </c>
      <c r="C149" s="54" t="s">
        <v>236</v>
      </c>
      <c r="D149" s="55" t="str">
        <f t="shared" si="21"/>
        <v>AHD3</v>
      </c>
      <c r="E149" s="56"/>
      <c r="F149" s="56"/>
      <c r="G149" s="56"/>
      <c r="H149" s="56"/>
      <c r="I149" s="56"/>
      <c r="J149" s="56"/>
      <c r="K149" s="56"/>
      <c r="L149" s="57"/>
      <c r="M149" s="56"/>
      <c r="N149" s="56"/>
      <c r="O149" s="56"/>
      <c r="P149" s="56"/>
      <c r="Q149" s="56"/>
      <c r="R149" s="56"/>
      <c r="S149" s="56"/>
      <c r="T149" s="57"/>
    </row>
    <row r="150" spans="1:20" ht="15" customHeight="1" x14ac:dyDescent="0.25">
      <c r="A150" s="52"/>
      <c r="B150" s="53">
        <v>4</v>
      </c>
      <c r="C150" s="54" t="s">
        <v>236</v>
      </c>
      <c r="D150" s="55" t="str">
        <f t="shared" si="21"/>
        <v>AHD4</v>
      </c>
      <c r="E150" s="56"/>
      <c r="F150" s="56"/>
      <c r="G150" s="56"/>
      <c r="H150" s="56"/>
      <c r="I150" s="56"/>
      <c r="J150" s="56"/>
      <c r="K150" s="56"/>
      <c r="L150" s="57"/>
      <c r="M150" s="56"/>
      <c r="N150" s="56"/>
      <c r="O150" s="56"/>
      <c r="P150" s="56"/>
      <c r="Q150" s="56"/>
      <c r="R150" s="56"/>
      <c r="S150" s="56"/>
      <c r="T150" s="57"/>
    </row>
    <row r="151" spans="1:20" ht="15" customHeight="1" x14ac:dyDescent="0.25">
      <c r="A151" s="52" t="s">
        <v>237</v>
      </c>
      <c r="B151" s="53">
        <v>1</v>
      </c>
      <c r="C151" s="54" t="s">
        <v>238</v>
      </c>
      <c r="D151" s="55" t="str">
        <f t="shared" si="21"/>
        <v>AMILL1</v>
      </c>
      <c r="E151" s="56"/>
      <c r="F151" s="56"/>
      <c r="G151" s="56"/>
      <c r="H151" s="56"/>
      <c r="I151" s="56"/>
      <c r="J151" s="56"/>
      <c r="K151" s="56"/>
      <c r="L151" s="57"/>
      <c r="M151" s="56"/>
      <c r="N151" s="56"/>
      <c r="O151" s="56"/>
      <c r="P151" s="56"/>
      <c r="Q151" s="56"/>
      <c r="R151" s="56"/>
      <c r="S151" s="56"/>
      <c r="T151" s="57"/>
    </row>
    <row r="152" spans="1:20" ht="15" customHeight="1" x14ac:dyDescent="0.25">
      <c r="A152" s="52"/>
      <c r="B152" s="53">
        <v>2</v>
      </c>
      <c r="C152" s="54" t="s">
        <v>238</v>
      </c>
      <c r="D152" s="55" t="str">
        <f t="shared" si="21"/>
        <v>AMILL2</v>
      </c>
      <c r="E152" s="56"/>
      <c r="F152" s="56"/>
      <c r="G152" s="56"/>
      <c r="H152" s="56"/>
      <c r="I152" s="56"/>
      <c r="J152" s="56"/>
      <c r="K152" s="56"/>
      <c r="L152" s="57"/>
      <c r="M152" s="56"/>
      <c r="N152" s="56"/>
      <c r="O152" s="56"/>
      <c r="P152" s="56"/>
      <c r="Q152" s="56"/>
      <c r="R152" s="56"/>
      <c r="S152" s="56"/>
      <c r="T152" s="57"/>
    </row>
    <row r="153" spans="1:20" ht="15" customHeight="1" x14ac:dyDescent="0.25">
      <c r="A153" s="52"/>
      <c r="B153" s="53">
        <v>3</v>
      </c>
      <c r="C153" s="54" t="s">
        <v>238</v>
      </c>
      <c r="D153" s="55" t="str">
        <f t="shared" si="21"/>
        <v>AMILL3</v>
      </c>
      <c r="E153" s="56"/>
      <c r="F153" s="56"/>
      <c r="G153" s="56"/>
      <c r="H153" s="56"/>
      <c r="I153" s="56"/>
      <c r="J153" s="56"/>
      <c r="K153" s="56"/>
      <c r="L153" s="57"/>
      <c r="M153" s="56"/>
      <c r="N153" s="56"/>
      <c r="O153" s="56"/>
      <c r="P153" s="56"/>
      <c r="Q153" s="56"/>
      <c r="R153" s="56"/>
      <c r="S153" s="56"/>
      <c r="T153" s="57"/>
    </row>
    <row r="154" spans="1:20" ht="15" customHeight="1" x14ac:dyDescent="0.25">
      <c r="A154" s="52"/>
      <c r="B154" s="53">
        <v>4</v>
      </c>
      <c r="C154" s="54" t="s">
        <v>238</v>
      </c>
      <c r="D154" s="55" t="str">
        <f t="shared" si="21"/>
        <v>AMILL4</v>
      </c>
      <c r="E154" s="56"/>
      <c r="F154" s="56"/>
      <c r="G154" s="56"/>
      <c r="H154" s="56"/>
      <c r="I154" s="56"/>
      <c r="J154" s="56"/>
      <c r="K154" s="56"/>
      <c r="L154" s="57"/>
      <c r="M154" s="56"/>
      <c r="N154" s="56"/>
      <c r="O154" s="56"/>
      <c r="P154" s="56"/>
      <c r="Q154" s="56"/>
      <c r="R154" s="56"/>
      <c r="S154" s="56"/>
      <c r="T154" s="57"/>
    </row>
    <row r="155" spans="1:20" ht="15" customHeight="1" x14ac:dyDescent="0.25">
      <c r="A155" s="52" t="s">
        <v>239</v>
      </c>
      <c r="B155" s="53">
        <v>1</v>
      </c>
      <c r="C155" s="54" t="s">
        <v>240</v>
      </c>
      <c r="D155" s="55" t="str">
        <f t="shared" si="21"/>
        <v>ASTEAM1</v>
      </c>
      <c r="E155" s="56"/>
      <c r="F155" s="56"/>
      <c r="G155" s="56"/>
      <c r="H155" s="56"/>
      <c r="I155" s="56"/>
      <c r="J155" s="56"/>
      <c r="K155" s="56"/>
      <c r="L155" s="57"/>
      <c r="M155" s="56"/>
      <c r="N155" s="56"/>
      <c r="O155" s="56"/>
      <c r="P155" s="56"/>
      <c r="Q155" s="56"/>
      <c r="R155" s="56"/>
      <c r="S155" s="56"/>
      <c r="T155" s="57"/>
    </row>
    <row r="156" spans="1:20" ht="15" customHeight="1" x14ac:dyDescent="0.25">
      <c r="A156" s="52"/>
      <c r="B156" s="53">
        <v>2</v>
      </c>
      <c r="C156" s="54" t="s">
        <v>240</v>
      </c>
      <c r="D156" s="55" t="str">
        <f t="shared" si="21"/>
        <v>ASTEAM2</v>
      </c>
      <c r="E156" s="56"/>
      <c r="F156" s="56"/>
      <c r="G156" s="56"/>
      <c r="H156" s="56"/>
      <c r="I156" s="56"/>
      <c r="J156" s="56"/>
      <c r="K156" s="56"/>
      <c r="L156" s="57"/>
      <c r="M156" s="56"/>
      <c r="N156" s="56"/>
      <c r="O156" s="56"/>
      <c r="P156" s="56"/>
      <c r="Q156" s="56"/>
      <c r="R156" s="56"/>
      <c r="S156" s="56"/>
      <c r="T156" s="57"/>
    </row>
    <row r="157" spans="1:20" ht="15" customHeight="1" x14ac:dyDescent="0.25">
      <c r="A157" s="52"/>
      <c r="B157" s="53">
        <v>3</v>
      </c>
      <c r="C157" s="54" t="s">
        <v>240</v>
      </c>
      <c r="D157" s="55" t="str">
        <f t="shared" si="21"/>
        <v>ASTEAM3</v>
      </c>
      <c r="E157" s="56"/>
      <c r="F157" s="56"/>
      <c r="G157" s="56"/>
      <c r="H157" s="56"/>
      <c r="I157" s="56"/>
      <c r="J157" s="56"/>
      <c r="K157" s="56"/>
      <c r="L157" s="57"/>
      <c r="M157" s="56"/>
      <c r="N157" s="56"/>
      <c r="O157" s="56"/>
      <c r="P157" s="56"/>
      <c r="Q157" s="56"/>
      <c r="R157" s="56"/>
      <c r="S157" s="56"/>
      <c r="T157" s="57"/>
    </row>
    <row r="158" spans="1:20" ht="15" customHeight="1" x14ac:dyDescent="0.25">
      <c r="A158" s="52"/>
      <c r="B158" s="53">
        <v>4</v>
      </c>
      <c r="C158" s="54" t="s">
        <v>240</v>
      </c>
      <c r="D158" s="55" t="str">
        <f t="shared" si="21"/>
        <v>ASTEAM4</v>
      </c>
      <c r="E158" s="56"/>
      <c r="F158" s="56"/>
      <c r="G158" s="56"/>
      <c r="H158" s="56"/>
      <c r="I158" s="56"/>
      <c r="J158" s="56"/>
      <c r="K158" s="56"/>
      <c r="L158" s="57"/>
      <c r="M158" s="56"/>
      <c r="N158" s="56"/>
      <c r="O158" s="56"/>
      <c r="P158" s="56"/>
      <c r="Q158" s="56"/>
      <c r="R158" s="56"/>
      <c r="S158" s="56"/>
      <c r="T158" s="57"/>
    </row>
    <row r="159" spans="1:20" ht="15" customHeight="1" x14ac:dyDescent="0.25">
      <c r="A159" s="52" t="s">
        <v>241</v>
      </c>
      <c r="B159" s="53">
        <v>1</v>
      </c>
      <c r="C159" s="54" t="s">
        <v>242</v>
      </c>
      <c r="D159" s="55" t="str">
        <f t="shared" si="21"/>
        <v>AWELD1</v>
      </c>
      <c r="E159" s="56"/>
      <c r="F159" s="56"/>
      <c r="G159" s="56"/>
      <c r="H159" s="56"/>
      <c r="I159" s="56"/>
      <c r="J159" s="56"/>
      <c r="K159" s="56"/>
      <c r="L159" s="57"/>
      <c r="M159" s="56"/>
      <c r="N159" s="56"/>
      <c r="O159" s="56"/>
      <c r="P159" s="56"/>
      <c r="Q159" s="56"/>
      <c r="R159" s="56"/>
      <c r="S159" s="56"/>
      <c r="T159" s="57"/>
    </row>
    <row r="160" spans="1:20" ht="15" customHeight="1" x14ac:dyDescent="0.25">
      <c r="A160" s="52"/>
      <c r="B160" s="53">
        <v>2</v>
      </c>
      <c r="C160" s="54" t="s">
        <v>242</v>
      </c>
      <c r="D160" s="55" t="str">
        <f t="shared" si="21"/>
        <v>AWELD2</v>
      </c>
      <c r="E160" s="56"/>
      <c r="F160" s="56"/>
      <c r="G160" s="56"/>
      <c r="H160" s="56"/>
      <c r="I160" s="56"/>
      <c r="J160" s="56"/>
      <c r="K160" s="56"/>
      <c r="L160" s="57"/>
      <c r="M160" s="56"/>
      <c r="N160" s="56"/>
      <c r="O160" s="56"/>
      <c r="P160" s="56"/>
      <c r="Q160" s="56"/>
      <c r="R160" s="56"/>
      <c r="S160" s="56"/>
      <c r="T160" s="57"/>
    </row>
    <row r="161" spans="1:20" ht="15" customHeight="1" x14ac:dyDescent="0.25">
      <c r="A161" s="52"/>
      <c r="B161" s="53">
        <v>3</v>
      </c>
      <c r="C161" s="54" t="s">
        <v>242</v>
      </c>
      <c r="D161" s="55" t="str">
        <f t="shared" si="21"/>
        <v>AWELD3</v>
      </c>
      <c r="E161" s="56"/>
      <c r="F161" s="56"/>
      <c r="G161" s="56"/>
      <c r="H161" s="56"/>
      <c r="I161" s="56"/>
      <c r="J161" s="56"/>
      <c r="K161" s="56"/>
      <c r="L161" s="57"/>
      <c r="M161" s="56"/>
      <c r="N161" s="56"/>
      <c r="O161" s="56"/>
      <c r="P161" s="56"/>
      <c r="Q161" s="56"/>
      <c r="R161" s="56"/>
      <c r="S161" s="56"/>
      <c r="T161" s="57"/>
    </row>
    <row r="162" spans="1:20" ht="15" customHeight="1" x14ac:dyDescent="0.25">
      <c r="A162" s="173" t="s">
        <v>243</v>
      </c>
      <c r="B162" s="174"/>
      <c r="C162" s="59"/>
      <c r="D162" s="60"/>
      <c r="E162" s="61"/>
      <c r="F162" s="61"/>
      <c r="G162" s="61"/>
      <c r="H162" s="61"/>
      <c r="I162" s="61"/>
      <c r="J162" s="61"/>
      <c r="K162" s="61"/>
      <c r="L162" s="62"/>
      <c r="M162" s="61"/>
      <c r="N162" s="61"/>
      <c r="O162" s="61"/>
      <c r="P162" s="61"/>
      <c r="Q162" s="61"/>
      <c r="R162" s="61"/>
      <c r="S162" s="61"/>
      <c r="T162" s="62"/>
    </row>
    <row r="163" spans="1:20" x14ac:dyDescent="0.25">
      <c r="A163" s="46" t="s">
        <v>244</v>
      </c>
      <c r="B163" s="47"/>
      <c r="C163" s="48"/>
      <c r="D163" s="49"/>
      <c r="E163" s="50"/>
      <c r="F163" s="50"/>
      <c r="G163" s="50"/>
      <c r="H163" s="50"/>
      <c r="I163" s="50"/>
      <c r="J163" s="50"/>
      <c r="K163" s="50"/>
      <c r="L163" s="58"/>
      <c r="M163" s="50"/>
      <c r="N163" s="50"/>
      <c r="O163" s="50"/>
      <c r="P163" s="50"/>
      <c r="Q163" s="50"/>
      <c r="R163" s="50"/>
      <c r="S163" s="50"/>
      <c r="T163" s="58"/>
    </row>
    <row r="164" spans="1:20" ht="15" customHeight="1" x14ac:dyDescent="0.25">
      <c r="A164" s="52" t="s">
        <v>245</v>
      </c>
      <c r="B164" s="53">
        <v>1</v>
      </c>
      <c r="C164" s="54" t="s">
        <v>246</v>
      </c>
      <c r="D164" s="55" t="str">
        <f t="shared" ref="D164:D168" si="22">C164&amp;B164</f>
        <v>PACARP1</v>
      </c>
      <c r="E164" s="56"/>
      <c r="F164" s="56"/>
      <c r="G164" s="56"/>
      <c r="H164" s="56"/>
      <c r="I164" s="56"/>
      <c r="J164" s="56"/>
      <c r="K164" s="56"/>
      <c r="L164" s="57"/>
      <c r="M164" s="56"/>
      <c r="N164" s="56"/>
      <c r="O164" s="56"/>
      <c r="P164" s="56"/>
      <c r="Q164" s="56"/>
      <c r="R164" s="56"/>
      <c r="S164" s="56"/>
      <c r="T164" s="57"/>
    </row>
    <row r="165" spans="1:20" ht="15" customHeight="1" x14ac:dyDescent="0.25">
      <c r="A165" s="52" t="s">
        <v>162</v>
      </c>
      <c r="B165" s="53">
        <v>1</v>
      </c>
      <c r="C165" s="54" t="s">
        <v>51</v>
      </c>
      <c r="D165" s="55" t="str">
        <f t="shared" si="22"/>
        <v>PAELEC1</v>
      </c>
      <c r="E165" s="56"/>
      <c r="F165" s="56"/>
      <c r="G165" s="56"/>
      <c r="H165" s="56"/>
      <c r="I165" s="56"/>
      <c r="J165" s="56"/>
      <c r="K165" s="56"/>
      <c r="L165" s="57"/>
      <c r="M165" s="56"/>
      <c r="N165" s="56"/>
      <c r="O165" s="56"/>
      <c r="P165" s="56"/>
      <c r="Q165" s="56"/>
      <c r="R165" s="56"/>
      <c r="S165" s="56"/>
      <c r="T165" s="57"/>
    </row>
    <row r="166" spans="1:20" ht="15" customHeight="1" x14ac:dyDescent="0.25">
      <c r="A166" s="52" t="s">
        <v>163</v>
      </c>
      <c r="B166" s="53">
        <v>1</v>
      </c>
      <c r="C166" s="54" t="s">
        <v>164</v>
      </c>
      <c r="D166" s="55" t="str">
        <f t="shared" si="22"/>
        <v>PAWELD1</v>
      </c>
      <c r="E166" s="56"/>
      <c r="F166" s="56"/>
      <c r="G166" s="56"/>
      <c r="H166" s="56"/>
      <c r="I166" s="56"/>
      <c r="J166" s="56"/>
      <c r="K166" s="56"/>
      <c r="L166" s="57"/>
      <c r="M166" s="56"/>
      <c r="N166" s="56"/>
      <c r="O166" s="56"/>
      <c r="P166" s="56"/>
      <c r="Q166" s="56"/>
      <c r="R166" s="56"/>
      <c r="S166" s="56"/>
      <c r="T166" s="57"/>
    </row>
    <row r="167" spans="1:20" ht="15" customHeight="1" x14ac:dyDescent="0.25">
      <c r="A167" s="52" t="s">
        <v>165</v>
      </c>
      <c r="B167" s="53">
        <v>1</v>
      </c>
      <c r="C167" s="54" t="s">
        <v>52</v>
      </c>
      <c r="D167" s="55" t="str">
        <f t="shared" si="22"/>
        <v>PAHET1</v>
      </c>
      <c r="E167" s="56"/>
      <c r="F167" s="56"/>
      <c r="G167" s="56"/>
      <c r="H167" s="56"/>
      <c r="I167" s="56"/>
      <c r="J167" s="56"/>
      <c r="K167" s="56"/>
      <c r="L167" s="57"/>
      <c r="M167" s="56"/>
      <c r="N167" s="56"/>
      <c r="O167" s="56"/>
      <c r="P167" s="56"/>
      <c r="Q167" s="56"/>
      <c r="R167" s="56"/>
      <c r="S167" s="56"/>
      <c r="T167" s="57"/>
    </row>
    <row r="168" spans="1:20" ht="15" customHeight="1" x14ac:dyDescent="0.25">
      <c r="A168" s="52" t="s">
        <v>166</v>
      </c>
      <c r="B168" s="53">
        <v>1</v>
      </c>
      <c r="C168" s="54" t="s">
        <v>167</v>
      </c>
      <c r="D168" s="55" t="str">
        <f t="shared" si="22"/>
        <v>PAPLUM1</v>
      </c>
      <c r="E168" s="56"/>
      <c r="F168" s="56"/>
      <c r="G168" s="56"/>
      <c r="H168" s="56"/>
      <c r="I168" s="56"/>
      <c r="J168" s="56"/>
      <c r="K168" s="56"/>
      <c r="L168" s="57"/>
      <c r="M168" s="56"/>
      <c r="N168" s="56"/>
      <c r="O168" s="56"/>
      <c r="P168" s="56"/>
      <c r="Q168" s="56"/>
      <c r="R168" s="56"/>
      <c r="S168" s="56"/>
      <c r="T168" s="57"/>
    </row>
    <row r="169" spans="1:20" ht="15" customHeight="1" x14ac:dyDescent="0.25">
      <c r="A169" s="173" t="s">
        <v>247</v>
      </c>
      <c r="B169" s="174"/>
      <c r="C169" s="59"/>
      <c r="D169" s="60"/>
      <c r="E169" s="61"/>
      <c r="F169" s="61"/>
      <c r="G169" s="61"/>
      <c r="H169" s="61"/>
      <c r="I169" s="61"/>
      <c r="J169" s="61"/>
      <c r="K169" s="61"/>
      <c r="L169" s="62"/>
      <c r="M169" s="61"/>
      <c r="N169" s="61"/>
      <c r="O169" s="61"/>
      <c r="P169" s="61"/>
      <c r="Q169" s="61"/>
      <c r="R169" s="61"/>
      <c r="S169" s="61"/>
      <c r="T169" s="62"/>
    </row>
    <row r="170" spans="1:20" x14ac:dyDescent="0.25">
      <c r="A170" s="46" t="s">
        <v>39</v>
      </c>
      <c r="B170" s="47"/>
      <c r="C170" s="48"/>
      <c r="D170" s="49"/>
      <c r="E170" s="50"/>
      <c r="F170" s="50"/>
      <c r="G170" s="50"/>
      <c r="H170" s="50"/>
      <c r="I170" s="50"/>
      <c r="J170" s="50"/>
      <c r="K170" s="50"/>
      <c r="L170" s="58"/>
      <c r="M170" s="50"/>
      <c r="N170" s="50"/>
      <c r="O170" s="50"/>
      <c r="P170" s="50"/>
      <c r="Q170" s="50"/>
      <c r="R170" s="50"/>
      <c r="S170" s="50"/>
      <c r="T170" s="58"/>
    </row>
    <row r="171" spans="1:20" x14ac:dyDescent="0.25">
      <c r="A171" s="52" t="s">
        <v>248</v>
      </c>
      <c r="B171" s="53">
        <v>1</v>
      </c>
      <c r="C171" s="54" t="s">
        <v>50</v>
      </c>
      <c r="D171" s="55" t="str">
        <f t="shared" ref="D171:D180" si="23">C171&amp;B171</f>
        <v>POWCM41</v>
      </c>
      <c r="E171" s="56"/>
      <c r="F171" s="56"/>
      <c r="G171" s="56"/>
      <c r="H171" s="56"/>
      <c r="I171" s="56"/>
      <c r="J171" s="56"/>
      <c r="K171" s="56"/>
      <c r="L171" s="57"/>
      <c r="M171" s="56"/>
      <c r="N171" s="56"/>
      <c r="O171" s="56"/>
      <c r="P171" s="56"/>
      <c r="Q171" s="56"/>
      <c r="R171" s="56"/>
      <c r="S171" s="56"/>
      <c r="T171" s="57"/>
    </row>
    <row r="172" spans="1:20" x14ac:dyDescent="0.25">
      <c r="A172" s="52" t="s">
        <v>249</v>
      </c>
      <c r="B172" s="53">
        <v>1</v>
      </c>
      <c r="C172" s="54" t="s">
        <v>47</v>
      </c>
      <c r="D172" s="55" t="str">
        <f t="shared" si="23"/>
        <v>POWCM31</v>
      </c>
      <c r="E172" s="56"/>
      <c r="F172" s="56"/>
      <c r="G172" s="56"/>
      <c r="H172" s="56"/>
      <c r="I172" s="56"/>
      <c r="J172" s="56"/>
      <c r="K172" s="56"/>
      <c r="L172" s="57"/>
      <c r="M172" s="56"/>
      <c r="N172" s="56"/>
      <c r="O172" s="56"/>
      <c r="P172" s="56"/>
      <c r="Q172" s="56"/>
      <c r="R172" s="56"/>
      <c r="S172" s="56"/>
      <c r="T172" s="57"/>
    </row>
    <row r="173" spans="1:20" x14ac:dyDescent="0.25">
      <c r="A173" s="52" t="s">
        <v>250</v>
      </c>
      <c r="B173" s="53">
        <v>1</v>
      </c>
      <c r="C173" s="54" t="s">
        <v>45</v>
      </c>
      <c r="D173" s="55" t="str">
        <f t="shared" si="23"/>
        <v>POWCP41</v>
      </c>
      <c r="E173" s="56"/>
      <c r="F173" s="56"/>
      <c r="G173" s="56"/>
      <c r="H173" s="56"/>
      <c r="I173" s="56"/>
      <c r="J173" s="56"/>
      <c r="K173" s="56"/>
      <c r="L173" s="57"/>
      <c r="M173" s="56"/>
      <c r="N173" s="56"/>
      <c r="O173" s="56"/>
      <c r="P173" s="56"/>
      <c r="Q173" s="56"/>
      <c r="R173" s="56"/>
      <c r="S173" s="56"/>
      <c r="T173" s="57"/>
    </row>
    <row r="174" spans="1:20" x14ac:dyDescent="0.25">
      <c r="A174" s="52" t="s">
        <v>251</v>
      </c>
      <c r="B174" s="53">
        <v>1</v>
      </c>
      <c r="C174" s="54" t="s">
        <v>45</v>
      </c>
      <c r="D174" s="55" t="str">
        <f t="shared" si="23"/>
        <v>POWCP41</v>
      </c>
      <c r="E174" s="56"/>
      <c r="F174" s="56"/>
      <c r="G174" s="56"/>
      <c r="H174" s="56"/>
      <c r="I174" s="56"/>
      <c r="J174" s="56"/>
      <c r="K174" s="56"/>
      <c r="L174" s="57"/>
      <c r="M174" s="56"/>
      <c r="N174" s="56"/>
      <c r="O174" s="56"/>
      <c r="P174" s="56"/>
      <c r="Q174" s="56"/>
      <c r="R174" s="56"/>
      <c r="S174" s="56"/>
      <c r="T174" s="57"/>
    </row>
    <row r="175" spans="1:20" x14ac:dyDescent="0.25">
      <c r="A175" s="52" t="s">
        <v>252</v>
      </c>
      <c r="B175" s="53">
        <v>1</v>
      </c>
      <c r="C175" s="54" t="s">
        <v>169</v>
      </c>
      <c r="D175" s="55" t="str">
        <f t="shared" si="23"/>
        <v>POWCO41</v>
      </c>
      <c r="E175" s="56"/>
      <c r="F175" s="56"/>
      <c r="G175" s="56"/>
      <c r="H175" s="56"/>
      <c r="I175" s="56"/>
      <c r="J175" s="56"/>
      <c r="K175" s="56"/>
      <c r="L175" s="57"/>
      <c r="M175" s="56"/>
      <c r="N175" s="56"/>
      <c r="O175" s="56"/>
      <c r="P175" s="56"/>
      <c r="Q175" s="56"/>
      <c r="R175" s="56"/>
      <c r="S175" s="56"/>
      <c r="T175" s="57"/>
    </row>
    <row r="176" spans="1:20" x14ac:dyDescent="0.25">
      <c r="A176" s="52" t="s">
        <v>253</v>
      </c>
      <c r="B176" s="53">
        <v>1</v>
      </c>
      <c r="C176" s="54" t="s">
        <v>169</v>
      </c>
      <c r="D176" s="55" t="str">
        <f t="shared" si="23"/>
        <v>POWCO41</v>
      </c>
      <c r="E176" s="56"/>
      <c r="F176" s="56"/>
      <c r="G176" s="56"/>
      <c r="H176" s="56"/>
      <c r="I176" s="56"/>
      <c r="J176" s="56"/>
      <c r="K176" s="56"/>
      <c r="L176" s="57"/>
      <c r="M176" s="56"/>
      <c r="N176" s="56"/>
      <c r="O176" s="56"/>
      <c r="P176" s="56"/>
      <c r="Q176" s="56"/>
      <c r="R176" s="56"/>
      <c r="S176" s="56"/>
      <c r="T176" s="57"/>
    </row>
    <row r="177" spans="1:20" x14ac:dyDescent="0.25">
      <c r="A177" s="52" t="s">
        <v>254</v>
      </c>
      <c r="B177" s="53">
        <v>1</v>
      </c>
      <c r="C177" s="54" t="s">
        <v>41</v>
      </c>
      <c r="D177" s="55" t="str">
        <f t="shared" si="23"/>
        <v>POWCO31</v>
      </c>
      <c r="E177" s="56"/>
      <c r="F177" s="56"/>
      <c r="G177" s="56"/>
      <c r="H177" s="56"/>
      <c r="I177" s="56"/>
      <c r="J177" s="56"/>
      <c r="K177" s="56"/>
      <c r="L177" s="57"/>
      <c r="M177" s="56"/>
      <c r="N177" s="56"/>
      <c r="O177" s="56"/>
      <c r="P177" s="56"/>
      <c r="Q177" s="56"/>
      <c r="R177" s="56"/>
      <c r="S177" s="56"/>
      <c r="T177" s="57"/>
    </row>
    <row r="178" spans="1:20" x14ac:dyDescent="0.25">
      <c r="A178" s="52" t="s">
        <v>255</v>
      </c>
      <c r="B178" s="53">
        <v>1</v>
      </c>
      <c r="C178" s="54" t="s">
        <v>41</v>
      </c>
      <c r="D178" s="55" t="str">
        <f t="shared" si="23"/>
        <v>POWCO31</v>
      </c>
      <c r="E178" s="56"/>
      <c r="F178" s="56"/>
      <c r="G178" s="56"/>
      <c r="H178" s="56"/>
      <c r="I178" s="56"/>
      <c r="J178" s="56"/>
      <c r="K178" s="56"/>
      <c r="L178" s="57"/>
      <c r="M178" s="56"/>
      <c r="N178" s="56"/>
      <c r="O178" s="56"/>
      <c r="P178" s="56"/>
      <c r="Q178" s="56"/>
      <c r="R178" s="56"/>
      <c r="S178" s="56"/>
      <c r="T178" s="57"/>
    </row>
    <row r="179" spans="1:20" x14ac:dyDescent="0.25">
      <c r="A179" s="52" t="s">
        <v>256</v>
      </c>
      <c r="B179" s="53">
        <v>1</v>
      </c>
      <c r="C179" s="54" t="s">
        <v>143</v>
      </c>
      <c r="D179" s="55" t="str">
        <f t="shared" si="23"/>
        <v>PPET1</v>
      </c>
      <c r="E179" s="56"/>
      <c r="F179" s="56"/>
      <c r="G179" s="56"/>
      <c r="H179" s="56"/>
      <c r="I179" s="56"/>
      <c r="J179" s="56"/>
      <c r="K179" s="56"/>
      <c r="L179" s="57"/>
      <c r="M179" s="56"/>
      <c r="N179" s="56"/>
      <c r="O179" s="56"/>
      <c r="P179" s="56"/>
      <c r="Q179" s="56"/>
      <c r="R179" s="56"/>
      <c r="S179" s="56"/>
      <c r="T179" s="57"/>
    </row>
    <row r="180" spans="1:20" x14ac:dyDescent="0.25">
      <c r="A180" s="52"/>
      <c r="B180" s="53">
        <v>2</v>
      </c>
      <c r="C180" s="54" t="s">
        <v>143</v>
      </c>
      <c r="D180" s="55" t="str">
        <f t="shared" si="23"/>
        <v>PPET2</v>
      </c>
      <c r="E180" s="56"/>
      <c r="F180" s="56"/>
      <c r="G180" s="56"/>
      <c r="H180" s="56"/>
      <c r="I180" s="56"/>
      <c r="J180" s="56"/>
      <c r="K180" s="56"/>
      <c r="L180" s="57"/>
      <c r="M180" s="56"/>
      <c r="N180" s="56"/>
      <c r="O180" s="56"/>
      <c r="P180" s="56"/>
      <c r="Q180" s="56"/>
      <c r="R180" s="56"/>
      <c r="S180" s="56"/>
      <c r="T180" s="57"/>
    </row>
    <row r="181" spans="1:20" x14ac:dyDescent="0.25">
      <c r="A181" s="173" t="s">
        <v>257</v>
      </c>
      <c r="B181" s="174"/>
      <c r="C181" s="59"/>
      <c r="D181" s="60"/>
      <c r="E181" s="61"/>
      <c r="F181" s="61"/>
      <c r="G181" s="61"/>
      <c r="H181" s="61"/>
      <c r="I181" s="61"/>
      <c r="J181" s="61"/>
      <c r="K181" s="61"/>
      <c r="L181" s="62"/>
      <c r="M181" s="61"/>
      <c r="N181" s="61"/>
      <c r="O181" s="61"/>
      <c r="P181" s="61"/>
      <c r="Q181" s="61"/>
      <c r="R181" s="61"/>
      <c r="S181" s="61"/>
      <c r="T181" s="62"/>
    </row>
    <row r="182" spans="1:20" x14ac:dyDescent="0.25">
      <c r="A182" s="46" t="s">
        <v>258</v>
      </c>
      <c r="B182" s="47"/>
      <c r="C182" s="48"/>
      <c r="D182" s="49"/>
      <c r="E182" s="50"/>
      <c r="F182" s="50"/>
      <c r="G182" s="50"/>
      <c r="H182" s="50"/>
      <c r="I182" s="50"/>
      <c r="J182" s="50"/>
      <c r="K182" s="50"/>
      <c r="L182" s="58"/>
      <c r="M182" s="50"/>
      <c r="N182" s="50"/>
      <c r="O182" s="50"/>
      <c r="P182" s="50"/>
      <c r="Q182" s="50"/>
      <c r="R182" s="50"/>
      <c r="S182" s="50"/>
      <c r="T182" s="58"/>
    </row>
    <row r="183" spans="1:20" ht="15" customHeight="1" x14ac:dyDescent="0.25">
      <c r="A183" s="52" t="s">
        <v>259</v>
      </c>
      <c r="B183" s="53">
        <v>1</v>
      </c>
      <c r="C183" s="54" t="s">
        <v>330</v>
      </c>
      <c r="D183" s="55" t="str">
        <f t="shared" ref="D183:D184" si="24">C183&amp;B183</f>
        <v>placeholder welding id1</v>
      </c>
      <c r="E183" s="56"/>
      <c r="F183" s="56"/>
      <c r="G183" s="56"/>
      <c r="H183" s="56"/>
      <c r="I183" s="56"/>
      <c r="J183" s="56"/>
      <c r="K183" s="56"/>
      <c r="L183" s="57"/>
      <c r="M183" s="56"/>
      <c r="N183" s="56"/>
      <c r="O183" s="56"/>
      <c r="P183" s="56"/>
      <c r="Q183" s="56"/>
      <c r="R183" s="56"/>
      <c r="S183" s="56"/>
      <c r="T183" s="57"/>
    </row>
    <row r="184" spans="1:20" ht="15" customHeight="1" x14ac:dyDescent="0.25">
      <c r="A184" s="52"/>
      <c r="B184" s="53">
        <v>2</v>
      </c>
      <c r="C184" s="54" t="s">
        <v>330</v>
      </c>
      <c r="D184" s="55" t="str">
        <f t="shared" si="24"/>
        <v>placeholder welding id2</v>
      </c>
      <c r="E184" s="56"/>
      <c r="F184" s="56"/>
      <c r="G184" s="56"/>
      <c r="H184" s="56"/>
      <c r="I184" s="56"/>
      <c r="J184" s="56"/>
      <c r="K184" s="56"/>
      <c r="L184" s="57"/>
      <c r="M184" s="56"/>
      <c r="N184" s="56"/>
      <c r="O184" s="56"/>
      <c r="P184" s="56"/>
      <c r="Q184" s="56"/>
      <c r="R184" s="56"/>
      <c r="S184" s="56"/>
      <c r="T184" s="57"/>
    </row>
    <row r="185" spans="1:20" x14ac:dyDescent="0.25">
      <c r="A185" s="173" t="s">
        <v>260</v>
      </c>
      <c r="B185" s="174"/>
      <c r="C185" s="59"/>
      <c r="D185" s="60"/>
      <c r="E185" s="61"/>
      <c r="F185" s="61"/>
      <c r="G185" s="61"/>
      <c r="H185" s="61"/>
      <c r="I185" s="61"/>
      <c r="J185" s="61"/>
      <c r="K185" s="61"/>
      <c r="L185" s="62"/>
      <c r="M185" s="61"/>
      <c r="N185" s="61"/>
      <c r="O185" s="61"/>
      <c r="P185" s="61"/>
      <c r="Q185" s="61"/>
      <c r="R185" s="61"/>
      <c r="S185" s="61"/>
      <c r="T185" s="62"/>
    </row>
    <row r="186" spans="1:20" x14ac:dyDescent="0.25">
      <c r="A186" s="46" t="s">
        <v>261</v>
      </c>
      <c r="B186" s="47"/>
      <c r="C186" s="48"/>
      <c r="D186" s="49"/>
      <c r="E186" s="50"/>
      <c r="F186" s="50"/>
      <c r="G186" s="50"/>
      <c r="H186" s="50"/>
      <c r="I186" s="50"/>
      <c r="J186" s="50"/>
      <c r="K186" s="50"/>
      <c r="L186" s="58"/>
      <c r="M186" s="50"/>
      <c r="N186" s="50"/>
      <c r="O186" s="50"/>
      <c r="P186" s="50"/>
      <c r="Q186" s="50"/>
      <c r="R186" s="50"/>
      <c r="S186" s="50"/>
      <c r="T186" s="58"/>
    </row>
    <row r="187" spans="1:20" x14ac:dyDescent="0.25">
      <c r="A187" s="52" t="s">
        <v>262</v>
      </c>
      <c r="B187" s="53">
        <v>1</v>
      </c>
      <c r="C187" s="54" t="s">
        <v>263</v>
      </c>
      <c r="D187" s="55" t="str">
        <f t="shared" ref="D187:D189" si="25">C187&amp;B187</f>
        <v>DUALEL1</v>
      </c>
      <c r="E187" s="56"/>
      <c r="F187" s="56"/>
      <c r="G187" s="56"/>
      <c r="H187" s="56"/>
      <c r="I187" s="56"/>
      <c r="J187" s="56"/>
      <c r="K187" s="56"/>
      <c r="L187" s="57"/>
      <c r="M187" s="56"/>
      <c r="N187" s="56"/>
      <c r="O187" s="56"/>
      <c r="P187" s="56"/>
      <c r="Q187" s="56"/>
      <c r="R187" s="56"/>
      <c r="S187" s="56"/>
      <c r="T187" s="57"/>
    </row>
    <row r="188" spans="1:20" x14ac:dyDescent="0.25">
      <c r="A188" s="52" t="s">
        <v>264</v>
      </c>
      <c r="B188" s="53">
        <v>1</v>
      </c>
      <c r="C188" s="54" t="s">
        <v>265</v>
      </c>
      <c r="D188" s="55" t="str">
        <f t="shared" si="25"/>
        <v>DUALHE1</v>
      </c>
      <c r="E188" s="56"/>
      <c r="F188" s="56"/>
      <c r="G188" s="56"/>
      <c r="H188" s="56"/>
      <c r="I188" s="56"/>
      <c r="J188" s="56"/>
      <c r="K188" s="56"/>
      <c r="L188" s="57"/>
      <c r="M188" s="56"/>
      <c r="N188" s="56"/>
      <c r="O188" s="56"/>
      <c r="P188" s="56"/>
      <c r="Q188" s="56"/>
      <c r="R188" s="56"/>
      <c r="S188" s="56"/>
      <c r="T188" s="57"/>
    </row>
    <row r="189" spans="1:20" x14ac:dyDescent="0.25">
      <c r="A189" s="52" t="s">
        <v>266</v>
      </c>
      <c r="B189" s="53">
        <v>1</v>
      </c>
      <c r="C189" s="54" t="s">
        <v>267</v>
      </c>
      <c r="D189" s="55" t="str">
        <f t="shared" si="25"/>
        <v>DUALWE1</v>
      </c>
      <c r="E189" s="56"/>
      <c r="F189" s="56"/>
      <c r="G189" s="56"/>
      <c r="H189" s="56"/>
      <c r="I189" s="56"/>
      <c r="J189" s="56"/>
      <c r="K189" s="56"/>
      <c r="L189" s="57"/>
      <c r="M189" s="56"/>
      <c r="N189" s="56"/>
      <c r="O189" s="56"/>
      <c r="P189" s="56"/>
      <c r="Q189" s="56"/>
      <c r="R189" s="56"/>
      <c r="S189" s="56"/>
      <c r="T189" s="57"/>
    </row>
    <row r="190" spans="1:20" x14ac:dyDescent="0.25">
      <c r="A190" s="173" t="s">
        <v>268</v>
      </c>
      <c r="B190" s="174"/>
      <c r="C190" s="59"/>
      <c r="D190" s="60"/>
      <c r="E190" s="61"/>
      <c r="F190" s="61"/>
      <c r="G190" s="61"/>
      <c r="H190" s="61"/>
      <c r="I190" s="61"/>
      <c r="J190" s="61"/>
      <c r="K190" s="61"/>
      <c r="L190" s="62"/>
      <c r="M190" s="61"/>
      <c r="N190" s="61"/>
      <c r="O190" s="61"/>
      <c r="P190" s="61"/>
      <c r="Q190" s="61"/>
      <c r="R190" s="61"/>
      <c r="S190" s="61"/>
      <c r="T190" s="62"/>
    </row>
    <row r="191" spans="1:20" ht="15" customHeight="1" x14ac:dyDescent="0.25">
      <c r="A191" s="175" t="s">
        <v>269</v>
      </c>
      <c r="B191" s="176"/>
      <c r="C191" s="63"/>
      <c r="D191" s="64"/>
      <c r="E191" s="65"/>
      <c r="F191" s="65"/>
      <c r="G191" s="65"/>
      <c r="H191" s="65"/>
      <c r="I191" s="65"/>
      <c r="J191" s="65"/>
      <c r="K191" s="65"/>
      <c r="L191" s="66"/>
      <c r="M191" s="65"/>
      <c r="N191" s="65"/>
      <c r="O191" s="65"/>
      <c r="P191" s="65"/>
      <c r="Q191" s="65"/>
      <c r="R191" s="65"/>
      <c r="S191" s="65"/>
      <c r="T191" s="66"/>
    </row>
    <row r="192" spans="1:20" x14ac:dyDescent="0.25">
      <c r="A192" s="171" t="s">
        <v>131</v>
      </c>
      <c r="B192" s="172"/>
      <c r="C192" s="67"/>
      <c r="D192" s="68"/>
      <c r="E192" s="69"/>
      <c r="F192" s="69"/>
      <c r="G192" s="69"/>
      <c r="H192" s="69"/>
      <c r="I192" s="69"/>
      <c r="J192" s="69"/>
      <c r="K192" s="69"/>
      <c r="L192" s="70"/>
      <c r="M192" s="69"/>
      <c r="N192" s="69"/>
      <c r="O192" s="69"/>
      <c r="P192" s="69"/>
      <c r="Q192" s="69"/>
      <c r="R192" s="69"/>
      <c r="S192" s="69"/>
      <c r="T192" s="70"/>
    </row>
  </sheetData>
  <mergeCells count="28">
    <mergeCell ref="E1:L1"/>
    <mergeCell ref="M1:T1"/>
    <mergeCell ref="E2:F2"/>
    <mergeCell ref="G2:H2"/>
    <mergeCell ref="I2:J2"/>
    <mergeCell ref="K2:L2"/>
    <mergeCell ref="M2:N2"/>
    <mergeCell ref="O2:P2"/>
    <mergeCell ref="Q2:R2"/>
    <mergeCell ref="S2:T2"/>
    <mergeCell ref="A50:B50"/>
    <mergeCell ref="A1:A3"/>
    <mergeCell ref="B1:B3"/>
    <mergeCell ref="C1:C3"/>
    <mergeCell ref="D1:D3"/>
    <mergeCell ref="A42:B42"/>
    <mergeCell ref="A192:B192"/>
    <mergeCell ref="A98:B98"/>
    <mergeCell ref="A101:B101"/>
    <mergeCell ref="A117:B117"/>
    <mergeCell ref="A136:B136"/>
    <mergeCell ref="A137:B137"/>
    <mergeCell ref="A162:B162"/>
    <mergeCell ref="A169:B169"/>
    <mergeCell ref="A181:B181"/>
    <mergeCell ref="A185:B185"/>
    <mergeCell ref="A190:B190"/>
    <mergeCell ref="A191:B19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32957-D27D-49BE-8338-9989457B8792}">
  <sheetPr codeName="Sheet14">
    <tabColor rgb="FFFFFF00"/>
  </sheetPr>
  <dimension ref="A1:AD1"/>
  <sheetViews>
    <sheetView workbookViewId="0">
      <selection activeCell="G1" sqref="G1"/>
    </sheetView>
  </sheetViews>
  <sheetFormatPr defaultRowHeight="15" customHeight="1"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8F1F-9FCA-415A-A58C-DFEA582CE414}">
  <sheetPr codeName="Sheet15">
    <tabColor rgb="FFFFFF00"/>
  </sheetPr>
  <dimension ref="A1:AD1"/>
  <sheetViews>
    <sheetView workbookViewId="0">
      <selection activeCell="H23" sqref="H23"/>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D61D0-AAE2-469C-9950-62C0C450974B}">
  <sheetPr codeName="Sheet16">
    <tabColor rgb="FFFFFF00"/>
  </sheetPr>
  <dimension ref="A1:AD1"/>
  <sheetViews>
    <sheetView workbookViewId="0">
      <selection activeCell="K24" sqref="K24"/>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9FF79-06E4-4EA4-8854-C7C328D3B6B8}">
  <sheetPr codeName="Sheet17">
    <tabColor rgb="FFFFFF00"/>
  </sheetPr>
  <dimension ref="A1:AD1"/>
  <sheetViews>
    <sheetView workbookViewId="0">
      <selection activeCell="K1" sqref="K1"/>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B8465-EBF2-4633-B4AA-5F717BB96DA2}">
  <sheetPr codeName="Sheet18">
    <tabColor rgb="FFFFC000"/>
  </sheetPr>
  <dimension ref="A1:AD1"/>
  <sheetViews>
    <sheetView workbookViewId="0">
      <selection activeCell="A2" sqref="A2:XFD1048576"/>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9E4BB-9EBB-4C06-96EE-3AE4E0D8C2F0}">
  <sheetPr codeName="Sheet19">
    <tabColor rgb="FFFFC000"/>
  </sheetPr>
  <dimension ref="A1:AD1"/>
  <sheetViews>
    <sheetView workbookViewId="0">
      <selection activeCell="A2" sqref="A2:XFD1048576"/>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7ABED-0B36-40A4-925F-3104262F545A}">
  <sheetPr codeName="Sheet20">
    <tabColor rgb="FFFFC000"/>
  </sheetPr>
  <dimension ref="A1:AD1"/>
  <sheetViews>
    <sheetView workbookViewId="0">
      <selection activeCell="A2" sqref="A2:XFD1048576"/>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EB76C-6B47-40E2-87E5-6AF3F4A98902}">
  <sheetPr codeName="Sheet21">
    <tabColor rgb="FFFFC000"/>
  </sheetPr>
  <dimension ref="A1:AD1"/>
  <sheetViews>
    <sheetView workbookViewId="0">
      <selection activeCell="C14" sqref="C14"/>
    </sheetView>
  </sheetViews>
  <sheetFormatPr defaultRowHeight="15" x14ac:dyDescent="0.25"/>
  <cols>
    <col min="1" max="30" width="18.140625" style="52" customWidth="1"/>
  </cols>
  <sheetData>
    <row r="1" spans="1:30" ht="45.75" customHeight="1" x14ac:dyDescent="0.25">
      <c r="A1" s="72" t="s">
        <v>299</v>
      </c>
      <c r="B1" s="72" t="s">
        <v>29</v>
      </c>
      <c r="C1" s="72" t="s">
        <v>300</v>
      </c>
      <c r="D1" s="72" t="s">
        <v>301</v>
      </c>
      <c r="E1" s="72" t="s">
        <v>302</v>
      </c>
      <c r="F1" s="72" t="s">
        <v>303</v>
      </c>
      <c r="G1" s="72" t="s">
        <v>304</v>
      </c>
      <c r="H1" s="72" t="s">
        <v>305</v>
      </c>
      <c r="I1" s="72" t="s">
        <v>306</v>
      </c>
      <c r="J1" s="72" t="s">
        <v>307</v>
      </c>
      <c r="K1" s="72" t="s">
        <v>308</v>
      </c>
      <c r="L1" s="72" t="s">
        <v>309</v>
      </c>
      <c r="M1" s="72" t="s">
        <v>310</v>
      </c>
      <c r="N1" s="72" t="s">
        <v>311</v>
      </c>
      <c r="O1" s="72" t="s">
        <v>7</v>
      </c>
      <c r="P1" s="72" t="s">
        <v>321</v>
      </c>
      <c r="Q1" s="72" t="s">
        <v>312</v>
      </c>
      <c r="R1" s="72" t="s">
        <v>20</v>
      </c>
      <c r="S1" s="72" t="s">
        <v>313</v>
      </c>
      <c r="T1" s="72" t="s">
        <v>13</v>
      </c>
      <c r="U1" s="72" t="s">
        <v>11</v>
      </c>
      <c r="V1" s="72" t="s">
        <v>22</v>
      </c>
      <c r="W1" s="72" t="s">
        <v>24</v>
      </c>
      <c r="X1" s="72" t="s">
        <v>314</v>
      </c>
      <c r="Y1" s="72" t="s">
        <v>315</v>
      </c>
      <c r="Z1" s="72" t="s">
        <v>316</v>
      </c>
      <c r="AA1" s="72" t="s">
        <v>317</v>
      </c>
      <c r="AB1" s="72" t="s">
        <v>318</v>
      </c>
      <c r="AC1" s="72" t="s">
        <v>319</v>
      </c>
      <c r="AD1" s="72" t="s">
        <v>320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C3A3196D4D4943A1067C8E97FB29BB" ma:contentTypeVersion="14" ma:contentTypeDescription="Create a new document." ma:contentTypeScope="" ma:versionID="a0fe49ea0b62ca5732faa32370081606">
  <xsd:schema xmlns:xsd="http://www.w3.org/2001/XMLSchema" xmlns:xs="http://www.w3.org/2001/XMLSchema" xmlns:p="http://schemas.microsoft.com/office/2006/metadata/properties" xmlns:ns2="5e80f031-8b65-42a5-8493-43319737a55e" xmlns:ns3="d6c1a2fc-ca36-4c01-bf5c-04b7c5ffd235" targetNamespace="http://schemas.microsoft.com/office/2006/metadata/properties" ma:root="true" ma:fieldsID="d1a259840c0080add97bd3383515b885" ns2:_="" ns3:_="">
    <xsd:import namespace="5e80f031-8b65-42a5-8493-43319737a55e"/>
    <xsd:import namespace="d6c1a2fc-ca36-4c01-bf5c-04b7c5ffd23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80f031-8b65-42a5-8493-43319737a5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75b72d8-66f1-40b9-919d-96e534223008"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6c1a2fc-ca36-4c01-bf5c-04b7c5ffd23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35f6f17-b4b1-48cc-985c-cfede399b3ef}" ma:internalName="TaxCatchAll" ma:showField="CatchAllData" ma:web="d6c1a2fc-ca36-4c01-bf5c-04b7c5ffd235">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e80f031-8b65-42a5-8493-43319737a55e">
      <Terms xmlns="http://schemas.microsoft.com/office/infopath/2007/PartnerControls"/>
    </lcf76f155ced4ddcb4097134ff3c332f>
    <TaxCatchAll xmlns="d6c1a2fc-ca36-4c01-bf5c-04b7c5ffd23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5BFD11-A193-46AA-B1F4-49E037C77C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80f031-8b65-42a5-8493-43319737a55e"/>
    <ds:schemaRef ds:uri="d6c1a2fc-ca36-4c01-bf5c-04b7c5ffd2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C37BD5A-7C88-4E30-899C-AE68E5DE5537}">
  <ds:schemaRefs>
    <ds:schemaRef ds:uri="http://purl.org/dc/dcmitype/"/>
    <ds:schemaRef ds:uri="d6c1a2fc-ca36-4c01-bf5c-04b7c5ffd235"/>
    <ds:schemaRef ds:uri="http://purl.org/dc/elements/1.1/"/>
    <ds:schemaRef ds:uri="http://www.w3.org/XML/1998/namespace"/>
    <ds:schemaRef ds:uri="http://schemas.microsoft.com/office/infopath/2007/PartnerControls"/>
    <ds:schemaRef ds:uri="5e80f031-8b65-42a5-8493-43319737a55e"/>
    <ds:schemaRef ds:uri="http://schemas.microsoft.com/office/2006/documentManagement/types"/>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B79A3BB3-2557-4929-8803-E49484725C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Summary</vt:lpstr>
      <vt:lpstr>Business (Data) Glossary</vt:lpstr>
      <vt:lpstr>App Comparative Report Summary</vt:lpstr>
      <vt:lpstr>Summer {YrA} Apps By School</vt:lpstr>
      <vt:lpstr>Fall {YrA} Apps By School</vt:lpstr>
      <vt:lpstr>Winter {YrA} Apps By School</vt:lpstr>
      <vt:lpstr>Spring {YrA} Apps By School</vt:lpstr>
      <vt:lpstr>Summer {YrB} Apps By School</vt:lpstr>
      <vt:lpstr>Fall {YrB} Apps By School</vt:lpstr>
      <vt:lpstr>Winter {YrB} Apps By School</vt:lpstr>
      <vt:lpstr>Spring {YrB} Apps By School</vt:lpstr>
      <vt:lpstr>Budgeted Projections Dom HC</vt:lpstr>
      <vt:lpstr>Budgeted Projections Intl HC</vt:lpstr>
      <vt:lpstr>YearA-AppDetails Current Date</vt:lpstr>
      <vt:lpstr>YearA-AppDetails Current Date-1</vt:lpstr>
      <vt:lpstr>YearA-AppDetails Current Date-2</vt:lpstr>
      <vt:lpstr>YearA-AppDetails Current Date-3</vt:lpstr>
      <vt:lpstr>YearB-AppDetails Current Date</vt:lpstr>
      <vt:lpstr>YearB-AppDetails Current Date-1</vt:lpstr>
      <vt:lpstr>YearB-AppDetails Current Date-2</vt:lpstr>
      <vt:lpstr>YearB-AppDetails Current Date-3</vt:lpstr>
    </vt:vector>
  </TitlesOfParts>
  <Manager/>
  <Company>Keyano College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Nada Al-Khaladi</dc:creator>
  <cp:keywords/>
  <dc:description/>
  <cp:lastModifiedBy>Bill Guo</cp:lastModifiedBy>
  <cp:revision/>
  <dcterms:created xsi:type="dcterms:W3CDTF">2020-06-28T22:57:15Z</dcterms:created>
  <dcterms:modified xsi:type="dcterms:W3CDTF">2026-02-13T22:14:40Z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0x010100D5C3A3196D4D4943A1067C8E97FB29BB</vt:lpwstr>
  </property>
  <property fmtid="{D5CDD505-2E9C-101B-9397-08002B2CF9AE}" pid="3" name="MediaServiceImageTags">
    <vt:lpwstr/>
  </property>
</Properties>
</file>