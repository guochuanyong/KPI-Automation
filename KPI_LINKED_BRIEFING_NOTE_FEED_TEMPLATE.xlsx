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anomailca-my.sharepoint.com/personal/bill_guo_keyano_ca/Documents/Documents/KPI-Briefing-Note-Automation-Direct-Excel-Feed/"/>
    </mc:Choice>
  </mc:AlternateContent>
  <xr:revisionPtr revIDLastSave="1149" documentId="8_{7D9719B6-548D-411C-AAF1-4B743671A15D}" xr6:coauthVersionLast="47" xr6:coauthVersionMax="47" xr10:uidLastSave="{03170CF9-F06B-42C5-91BB-B781D0EEDF95}"/>
  <bookViews>
    <workbookView xWindow="-120" yWindow="-120" windowWidth="29040" windowHeight="15720" xr2:uid="{183A7783-5208-499B-8241-0383F92FDDF4}"/>
  </bookViews>
  <sheets>
    <sheet name="Briefing Note Feed" sheetId="1" r:id="rId1"/>
    <sheet name="FLE Campus" sheetId="4" r:id="rId2"/>
    <sheet name="Budgeted Projections FLE" sheetId="9" r:id="rId3"/>
    <sheet name="Budgeted Projections Total HC" sheetId="10" r:id="rId4"/>
    <sheet name="Budgeted Projections Dom HC" sheetId="13" r:id="rId5"/>
    <sheet name="Budgeted Projections Intl HC" sheetId="11" r:id="rId6"/>
    <sheet name="YearA-AppDetails Current Year" sheetId="2" r:id="rId7"/>
    <sheet name="YearA-AppDetails Current Year-1" sheetId="5" r:id="rId8"/>
    <sheet name="YearB-AppDetails Current Year" sheetId="3" r:id="rId9"/>
    <sheet name="YearB-AppDetails Current Year-1" sheetId="8" r:id="rId10"/>
  </sheets>
  <definedNames>
    <definedName name="_xlnm._FilterDatabase" localSheetId="1" hidden="1">'FLE Campus'!$A$1:$AD$5267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B127" i="1" a="1"/>
  <c r="B127" i="1" s="1"/>
  <c r="B125" i="1" a="1"/>
  <c r="B125" i="1" s="1"/>
  <c r="B123" i="1" a="1"/>
  <c r="B123" i="1" s="1"/>
  <c r="B121" i="1" a="1"/>
  <c r="B121" i="1" s="1"/>
  <c r="B119" i="1" a="1"/>
  <c r="B119" i="1" s="1"/>
  <c r="B117" i="1" a="1"/>
  <c r="B117" i="1" s="1"/>
  <c r="B115" i="1" a="1"/>
  <c r="B115" i="1" s="1"/>
  <c r="B113" i="1" a="1"/>
  <c r="B113" i="1" s="1"/>
  <c r="B111" i="1" a="1"/>
  <c r="B111" i="1" s="1"/>
  <c r="B109" i="1" a="1"/>
  <c r="B109" i="1" s="1"/>
  <c r="B107" i="1" a="1"/>
  <c r="B107" i="1" s="1"/>
  <c r="B105" i="1" a="1"/>
  <c r="B105" i="1" s="1"/>
  <c r="B103" i="1" a="1"/>
  <c r="B103" i="1" s="1"/>
  <c r="B101" i="1" a="1"/>
  <c r="B101" i="1" s="1"/>
  <c r="B99" i="1" a="1"/>
  <c r="B99" i="1" s="1"/>
  <c r="B97" i="1" a="1"/>
  <c r="B97" i="1" s="1"/>
  <c r="B95" i="1" a="1"/>
  <c r="B95" i="1" s="1"/>
  <c r="B93" i="1" a="1"/>
  <c r="B93" i="1" s="1"/>
  <c r="B90" i="1" a="1"/>
  <c r="B90" i="1" s="1"/>
  <c r="B87" i="1" a="1"/>
  <c r="B87" i="1" s="1"/>
  <c r="B84" i="1" a="1"/>
  <c r="B84" i="1" s="1"/>
  <c r="B129" i="1" a="1"/>
  <c r="B129" i="1" s="1"/>
  <c r="B81" i="1" a="1"/>
  <c r="B81" i="1" s="1"/>
  <c r="B78" i="1" a="1"/>
  <c r="B78" i="1" s="1"/>
  <c r="B75" i="1" a="1"/>
  <c r="B75" i="1" s="1"/>
  <c r="B73" i="1" a="1"/>
  <c r="B73" i="1" s="1"/>
  <c r="B72" i="1" a="1"/>
  <c r="B72" i="1" s="1"/>
  <c r="B71" i="1" a="1"/>
  <c r="B71" i="1" s="1"/>
  <c r="G62" i="1" a="1"/>
  <c r="G62" i="1" s="1"/>
  <c r="G61" i="1" a="1"/>
  <c r="G61" i="1" s="1"/>
  <c r="G60" i="1" a="1"/>
  <c r="G60" i="1" s="1"/>
  <c r="G59" i="1" a="1"/>
  <c r="G59" i="1" s="1"/>
  <c r="G58" i="1" a="1"/>
  <c r="G58" i="1" s="1"/>
  <c r="G57" i="1" a="1"/>
  <c r="G57" i="1" s="1"/>
  <c r="G56" i="1" a="1"/>
  <c r="G56" i="1" s="1"/>
  <c r="G55" i="1" a="1"/>
  <c r="G55" i="1" s="1"/>
  <c r="G54" i="1" a="1"/>
  <c r="G54" i="1" s="1"/>
  <c r="G53" i="1" a="1"/>
  <c r="G53" i="1" s="1"/>
  <c r="F82" i="1"/>
  <c r="F81" i="1"/>
  <c r="F80" i="1"/>
  <c r="F79" i="1"/>
  <c r="B128" i="1"/>
  <c r="B126" i="1"/>
  <c r="B124" i="1"/>
  <c r="B122" i="1"/>
  <c r="B120" i="1"/>
  <c r="B118" i="1"/>
  <c r="B116" i="1"/>
  <c r="B114" i="1"/>
  <c r="B112" i="1"/>
  <c r="B110" i="1"/>
  <c r="B108" i="1"/>
  <c r="B106" i="1"/>
  <c r="B104" i="1"/>
  <c r="B102" i="1"/>
  <c r="B100" i="1"/>
  <c r="B98" i="1"/>
  <c r="B96" i="1"/>
  <c r="B94" i="1"/>
  <c r="B92" i="1"/>
  <c r="B89" i="1"/>
  <c r="B86" i="1"/>
  <c r="B83" i="1"/>
  <c r="B80" i="1"/>
  <c r="B77" i="1"/>
  <c r="B74" i="1"/>
  <c r="D189" i="9"/>
  <c r="D188" i="9"/>
  <c r="D187" i="9"/>
  <c r="D184" i="9"/>
  <c r="D183" i="9"/>
  <c r="D180" i="9"/>
  <c r="D179" i="9"/>
  <c r="D178" i="9"/>
  <c r="D177" i="9"/>
  <c r="D176" i="9"/>
  <c r="D175" i="9"/>
  <c r="D174" i="9"/>
  <c r="D173" i="9"/>
  <c r="D172" i="9"/>
  <c r="D171" i="9"/>
  <c r="D168" i="9"/>
  <c r="D167" i="9"/>
  <c r="D166" i="9"/>
  <c r="D165" i="9"/>
  <c r="D164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5" i="9"/>
  <c r="D133" i="9"/>
  <c r="D132" i="9"/>
  <c r="D131" i="9"/>
  <c r="D129" i="9"/>
  <c r="D128" i="9"/>
  <c r="D126" i="9"/>
  <c r="D124" i="9"/>
  <c r="D122" i="9"/>
  <c r="D120" i="9"/>
  <c r="D119" i="9"/>
  <c r="D116" i="9"/>
  <c r="D115" i="9"/>
  <c r="D113" i="9"/>
  <c r="D111" i="9"/>
  <c r="D110" i="9"/>
  <c r="D108" i="9"/>
  <c r="D107" i="9"/>
  <c r="D105" i="9"/>
  <c r="D103" i="9"/>
  <c r="D100" i="9"/>
  <c r="D97" i="9"/>
  <c r="D95" i="9"/>
  <c r="D93" i="9"/>
  <c r="D91" i="9"/>
  <c r="D89" i="9"/>
  <c r="D87" i="9"/>
  <c r="D85" i="9"/>
  <c r="D84" i="9"/>
  <c r="D82" i="9"/>
  <c r="D80" i="9"/>
  <c r="D79" i="9"/>
  <c r="D77" i="9"/>
  <c r="D75" i="9"/>
  <c r="D74" i="9"/>
  <c r="D73" i="9"/>
  <c r="D72" i="9"/>
  <c r="D70" i="9"/>
  <c r="D69" i="9"/>
  <c r="D67" i="9"/>
  <c r="D66" i="9"/>
  <c r="D64" i="9"/>
  <c r="D62" i="9"/>
  <c r="D61" i="9"/>
  <c r="D59" i="9"/>
  <c r="D58" i="9"/>
  <c r="D56" i="9"/>
  <c r="D55" i="9"/>
  <c r="D53" i="9"/>
  <c r="D52" i="9"/>
  <c r="D49" i="9"/>
  <c r="D48" i="9"/>
  <c r="D47" i="9"/>
  <c r="D46" i="9"/>
  <c r="D44" i="9"/>
  <c r="D41" i="9"/>
  <c r="D40" i="9"/>
  <c r="D38" i="9"/>
  <c r="D36" i="9"/>
  <c r="D34" i="9"/>
  <c r="D33" i="9"/>
  <c r="D32" i="9"/>
  <c r="D31" i="9"/>
  <c r="D29" i="9"/>
  <c r="D28" i="9"/>
  <c r="D27" i="9"/>
  <c r="D26" i="9"/>
  <c r="D24" i="9"/>
  <c r="D23" i="9"/>
  <c r="D22" i="9"/>
  <c r="D21" i="9"/>
  <c r="D19" i="9"/>
  <c r="D18" i="9"/>
  <c r="D17" i="9"/>
  <c r="D16" i="9"/>
  <c r="D15" i="9"/>
  <c r="D14" i="9"/>
  <c r="D13" i="9"/>
  <c r="D12" i="9"/>
  <c r="D11" i="9"/>
  <c r="D10" i="9"/>
  <c r="D9" i="9"/>
  <c r="D8" i="9"/>
  <c r="D6" i="9"/>
  <c r="D5" i="9"/>
  <c r="D88" i="1" l="1"/>
  <c r="F57" i="1" a="1"/>
  <c r="F57" i="1" s="1"/>
  <c r="F62" i="1" a="1"/>
  <c r="F62" i="1" s="1"/>
  <c r="F60" i="1" a="1"/>
  <c r="F60" i="1" s="1"/>
  <c r="F61" i="1" a="1"/>
  <c r="F61" i="1" s="1"/>
  <c r="F59" i="1" a="1"/>
  <c r="F59" i="1" s="1"/>
  <c r="F58" i="1" a="1"/>
  <c r="F58" i="1" s="1"/>
  <c r="F56" i="1" a="1"/>
  <c r="F56" i="1" s="1"/>
  <c r="F55" i="1" a="1"/>
  <c r="F55" i="1" s="1"/>
  <c r="F53" i="1" a="1"/>
  <c r="F53" i="1" s="1"/>
  <c r="G82" i="1" a="1"/>
  <c r="G82" i="1" s="1"/>
  <c r="G81" i="1" a="1"/>
  <c r="G81" i="1" s="1"/>
  <c r="B91" i="1"/>
  <c r="G79" i="1" a="1"/>
  <c r="G79" i="1" s="1"/>
  <c r="G80" i="1" a="1"/>
  <c r="G80" i="1" s="1"/>
  <c r="F54" i="1" a="1"/>
  <c r="F54" i="1" s="1"/>
  <c r="D89" i="1" l="1"/>
  <c r="H82" i="1"/>
  <c r="H81" i="1"/>
  <c r="H80" i="1"/>
  <c r="H79" i="1"/>
  <c r="J54" i="1"/>
  <c r="B88" i="1"/>
  <c r="B85" i="1"/>
  <c r="B82" i="1"/>
  <c r="B79" i="1"/>
  <c r="J53" i="1"/>
  <c r="D73" i="1"/>
  <c r="A126" i="1"/>
  <c r="K62" i="1"/>
  <c r="K61" i="1"/>
  <c r="K57" i="1"/>
  <c r="K56" i="1"/>
  <c r="K55" i="1"/>
  <c r="K54" i="1"/>
  <c r="K53" i="1"/>
  <c r="J62" i="1"/>
  <c r="J61" i="1"/>
  <c r="J57" i="1"/>
  <c r="J56" i="1"/>
  <c r="J55" i="1"/>
  <c r="J60" i="1"/>
  <c r="K58" i="1"/>
  <c r="A74" i="1" l="1"/>
  <c r="A75" i="1"/>
  <c r="A95" i="1"/>
  <c r="A107" i="1"/>
  <c r="A119" i="1"/>
  <c r="A96" i="1"/>
  <c r="A108" i="1"/>
  <c r="A120" i="1"/>
  <c r="A97" i="1"/>
  <c r="A109" i="1"/>
  <c r="A121" i="1"/>
  <c r="A98" i="1"/>
  <c r="A110" i="1"/>
  <c r="A122" i="1"/>
  <c r="A99" i="1"/>
  <c r="A111" i="1"/>
  <c r="A123" i="1"/>
  <c r="A100" i="1"/>
  <c r="A112" i="1"/>
  <c r="A124" i="1"/>
  <c r="A89" i="1"/>
  <c r="A101" i="1"/>
  <c r="A113" i="1"/>
  <c r="A125" i="1"/>
  <c r="D72" i="1"/>
  <c r="D75" i="1"/>
  <c r="A90" i="1"/>
  <c r="A102" i="1"/>
  <c r="A114" i="1"/>
  <c r="A80" i="1"/>
  <c r="D87" i="1"/>
  <c r="A91" i="1"/>
  <c r="A103" i="1"/>
  <c r="A115" i="1"/>
  <c r="A127" i="1"/>
  <c r="A92" i="1"/>
  <c r="A104" i="1"/>
  <c r="A116" i="1"/>
  <c r="A128" i="1"/>
  <c r="A93" i="1"/>
  <c r="A105" i="1"/>
  <c r="A117" i="1"/>
  <c r="A129" i="1"/>
  <c r="A94" i="1"/>
  <c r="A106" i="1"/>
  <c r="A118" i="1"/>
  <c r="B76" i="1"/>
  <c r="D65" i="1" s="1"/>
  <c r="A88" i="1"/>
  <c r="A78" i="1"/>
  <c r="A77" i="1"/>
  <c r="A82" i="1"/>
  <c r="A83" i="1"/>
  <c r="A84" i="1"/>
  <c r="D66" i="1"/>
  <c r="A79" i="1"/>
  <c r="A81" i="1"/>
  <c r="D67" i="1"/>
  <c r="A85" i="1"/>
  <c r="D68" i="1"/>
  <c r="A86" i="1"/>
  <c r="A87" i="1"/>
  <c r="K59" i="1"/>
  <c r="J58" i="1"/>
  <c r="K60" i="1"/>
  <c r="J59" i="1"/>
  <c r="D48" i="1"/>
  <c r="D49" i="1"/>
  <c r="F50" i="1"/>
  <c r="A76" i="1"/>
  <c r="D6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<sst xmlns="http://schemas.openxmlformats.org/spreadsheetml/2006/main" count="1727" uniqueCount="449">
  <si>
    <t>Feed Description</t>
  </si>
  <si>
    <t>Feed Tables</t>
  </si>
  <si>
    <t>Prepared for</t>
  </si>
  <si>
    <t>Title</t>
  </si>
  <si>
    <t>Date prepared</t>
  </si>
  <si>
    <t>Prepared by</t>
  </si>
  <si>
    <t>Department</t>
  </si>
  <si>
    <t>Date of data extraction</t>
  </si>
  <si>
    <t>Population</t>
  </si>
  <si>
    <t>% Change</t>
  </si>
  <si>
    <t>Total Applications</t>
  </si>
  <si>
    <t>International</t>
  </si>
  <si>
    <t>Domestic</t>
  </si>
  <si>
    <t>Fall 2025</t>
  </si>
  <si>
    <t>Winter 2026</t>
  </si>
  <si>
    <t>Winter 2025</t>
  </si>
  <si>
    <t>Fall 2024</t>
  </si>
  <si>
    <t>Fall 2025 Applications</t>
  </si>
  <si>
    <t>Winter 2026 Applications</t>
  </si>
  <si>
    <t>2026-27 Applications Comparison - Point in Time</t>
  </si>
  <si>
    <t>Feed Values</t>
  </si>
  <si>
    <t>YearA Fall 2025 unique applicants</t>
  </si>
  <si>
    <t>YearA Fall 2025 total applications</t>
  </si>
  <si>
    <t>YearA Fall 2025 accepted applications</t>
  </si>
  <si>
    <t>YearA Fall 2025 unique international applicants</t>
  </si>
  <si>
    <t>YearA Fall 2025 total international applications</t>
  </si>
  <si>
    <t>YearA Fall 2025 unique domestic applicants</t>
  </si>
  <si>
    <t>YearA Fall 2025 total domestic applications</t>
  </si>
  <si>
    <t>YearA Fall 2024 unique applicants</t>
  </si>
  <si>
    <t>YearA Fall 2024 total applications</t>
  </si>
  <si>
    <t>YearA Fall 2024 accepted applications</t>
  </si>
  <si>
    <t>YearA Fall 2024 unique international applicants</t>
  </si>
  <si>
    <t>YearA Fall 2024 total international applications</t>
  </si>
  <si>
    <t>YearA Fall 2024 unique domestic applicants</t>
  </si>
  <si>
    <t>YearA Fall 2024 total domestic applications</t>
  </si>
  <si>
    <t>YearA Winter 2025 unique applicants</t>
  </si>
  <si>
    <t>YearA Winter 2025 total applications</t>
  </si>
  <si>
    <t>YearA Winter 2025 accepted applications</t>
  </si>
  <si>
    <t>YearA Winter 2025 unique international applicants</t>
  </si>
  <si>
    <t>YearA Winter 2025 total international applications</t>
  </si>
  <si>
    <t>YearA Winter 2025 unique domestic applicants</t>
  </si>
  <si>
    <t>YearA Winter 2025 total domestic applications</t>
  </si>
  <si>
    <t>YearA Winter 2024 unique applicants</t>
  </si>
  <si>
    <t>YearA Winter 2024 total applications</t>
  </si>
  <si>
    <t>YearA Winter 2024 accepted applications</t>
  </si>
  <si>
    <t>YearA Winter 2024 unique international applicants</t>
  </si>
  <si>
    <t>YearA Winter 2024 total international applications</t>
  </si>
  <si>
    <t>YearA Winter 2024 unique domestic applicants</t>
  </si>
  <si>
    <t>YearA Winter 2024 total domestic applications</t>
  </si>
  <si>
    <t>Category</t>
  </si>
  <si>
    <t>2024-10-02 (2024-25)</t>
  </si>
  <si>
    <t>% Change in UHC</t>
  </si>
  <si>
    <t>% Change in FLE</t>
  </si>
  <si>
    <t>UHC</t>
  </si>
  <si>
    <t>FLE</t>
  </si>
  <si>
    <t>By Demographic</t>
  </si>
  <si>
    <t>Total Domestic &amp; International</t>
  </si>
  <si>
    <t>Indigenous</t>
  </si>
  <si>
    <t>Apprenticeship</t>
  </si>
  <si>
    <t>By Credential</t>
  </si>
  <si>
    <t>Certificate</t>
  </si>
  <si>
    <t>Diploma</t>
  </si>
  <si>
    <t>Non-Credential</t>
  </si>
  <si>
    <t>By Term</t>
  </si>
  <si>
    <t>Fall</t>
  </si>
  <si>
    <t>Winter</t>
  </si>
  <si>
    <t>(to unlock and modify sheet, password is 123)</t>
  </si>
  <si>
    <t>*Enrolment Actuals vs Projections (this section excludes Power Engineering CML, LINC, and Apprenticeship)</t>
  </si>
  <si>
    <t>It is important to note the following:</t>
  </si>
  <si>
    <t>Enrolment</t>
  </si>
  <si>
    <t>Status</t>
  </si>
  <si>
    <t>Projected</t>
  </si>
  <si>
    <t>Actual</t>
  </si>
  <si>
    <t>% Projections</t>
  </si>
  <si>
    <t>Achieved</t>
  </si>
  <si>
    <t>Full time</t>
  </si>
  <si>
    <t>Part time</t>
  </si>
  <si>
    <t>International Students</t>
  </si>
  <si>
    <t>Indigenous Students</t>
  </si>
  <si>
    <t>PEOPLE_CODE_ID</t>
  </si>
  <si>
    <t>BIRTH_DATE</t>
  </si>
  <si>
    <t>AGE</t>
  </si>
  <si>
    <t>ACADEMIC_YEAR</t>
  </si>
  <si>
    <t>ACADEMIC_TERM</t>
  </si>
  <si>
    <t>ACADEMIC_PERIOD</t>
  </si>
  <si>
    <t>ACADEMIC_SESSION</t>
  </si>
  <si>
    <t>DEGREE</t>
  </si>
  <si>
    <t>DEPARTMENT</t>
  </si>
  <si>
    <t>CURRICULUM</t>
  </si>
  <si>
    <t>CREDENTIAL_TYPE</t>
  </si>
  <si>
    <t>CLASS_LEVEL</t>
  </si>
  <si>
    <t>FULL_PART</t>
  </si>
  <si>
    <t>FULL_PART_DISP_WITHDRAWN</t>
  </si>
  <si>
    <t>FULL_PART_NON_WITHDRAWN</t>
  </si>
  <si>
    <t>MATCHING</t>
  </si>
  <si>
    <t>ORG_CODE_ID</t>
  </si>
  <si>
    <t>ORG_NAME_1</t>
  </si>
  <si>
    <t>STATUS</t>
  </si>
  <si>
    <t>CODE_XVAL</t>
  </si>
  <si>
    <t>LONG_DESC</t>
  </si>
  <si>
    <t>PROGRAM_START_DATE</t>
  </si>
  <si>
    <t>PROGRAM_END_DATE</t>
  </si>
  <si>
    <t>ENROLL_SEPARATION</t>
  </si>
  <si>
    <t>CREDITS</t>
  </si>
  <si>
    <t>HERITAGE</t>
  </si>
  <si>
    <t>GENDER_IDENTITY</t>
  </si>
  <si>
    <t>LEGAL</t>
  </si>
  <si>
    <t>CITIZENSHIP</t>
  </si>
  <si>
    <t>Enrolment Academic Year Range</t>
  </si>
  <si>
    <t>Apprenticeship Electrician - None</t>
  </si>
  <si>
    <t>Apprenticeship Heavy Equipment Technician - 1st, 2nd, 3rd, and 4th year</t>
  </si>
  <si>
    <t>Apprenticeship Millwright - None</t>
  </si>
  <si>
    <t>Apprenticeship Steamfitter/Pipefitter - None</t>
  </si>
  <si>
    <t>Apprenticeship Welder - 1st year</t>
  </si>
  <si>
    <t>Placeholder page end</t>
  </si>
  <si>
    <t>Applications Updates</t>
  </si>
  <si>
    <t>Enrolment Min Academic Year</t>
  </si>
  <si>
    <t>Enrolment Min Academic Year Plus 1</t>
  </si>
  <si>
    <t>YearA Applications Min Academic Year</t>
  </si>
  <si>
    <t>YearA Applications Min Academic Year+1</t>
  </si>
  <si>
    <t>YearA Applications Academic Year Range</t>
  </si>
  <si>
    <t>BABUSC</t>
  </si>
  <si>
    <t>ALO</t>
  </si>
  <si>
    <t>1</t>
  </si>
  <si>
    <t>BAACTD</t>
  </si>
  <si>
    <t>2</t>
  </si>
  <si>
    <t>BAATCO</t>
  </si>
  <si>
    <t>BABSCO</t>
  </si>
  <si>
    <t>BABUSD</t>
  </si>
  <si>
    <t>BAESPM</t>
  </si>
  <si>
    <t>BAHRMC</t>
  </si>
  <si>
    <t>BAHRMD</t>
  </si>
  <si>
    <t>4</t>
  </si>
  <si>
    <t>HOSMNG</t>
  </si>
  <si>
    <t>HSAD</t>
  </si>
  <si>
    <t>HSGD</t>
  </si>
  <si>
    <t>HSNP</t>
  </si>
  <si>
    <t>LINC13</t>
  </si>
  <si>
    <t>AELCC</t>
  </si>
  <si>
    <t>CYCD</t>
  </si>
  <si>
    <t>ECCERT</t>
  </si>
  <si>
    <t>Early Learning and Child Care</t>
  </si>
  <si>
    <t>ECDIP</t>
  </si>
  <si>
    <t>ECEAC</t>
  </si>
  <si>
    <t>Educational Assistant</t>
  </si>
  <si>
    <t>UTELEM</t>
  </si>
  <si>
    <t>UTSEC</t>
  </si>
  <si>
    <t>ENVNC</t>
  </si>
  <si>
    <t>ENVTD</t>
  </si>
  <si>
    <t>SOCWKD</t>
  </si>
  <si>
    <t>Social Work Diploma</t>
  </si>
  <si>
    <t>BSCN</t>
  </si>
  <si>
    <t>HCAC</t>
  </si>
  <si>
    <t>Health Care Aide</t>
  </si>
  <si>
    <t>IENCN</t>
  </si>
  <si>
    <t>PNR</t>
  </si>
  <si>
    <t>Practical Nurse</t>
  </si>
  <si>
    <t>COMSCC</t>
  </si>
  <si>
    <t>COMSCD</t>
  </si>
  <si>
    <t>GNARTC</t>
  </si>
  <si>
    <t>GNSCIC</t>
  </si>
  <si>
    <t>GOVNSC</t>
  </si>
  <si>
    <t>OPEN</t>
  </si>
  <si>
    <t>Open Studies</t>
  </si>
  <si>
    <t>UTARTS</t>
  </si>
  <si>
    <t>UTCOMM</t>
  </si>
  <si>
    <t>UTENG</t>
  </si>
  <si>
    <t>UTSCGS</t>
  </si>
  <si>
    <t>UTSCWK</t>
  </si>
  <si>
    <t>AELEC</t>
  </si>
  <si>
    <t>AHD</t>
  </si>
  <si>
    <t>AMILL</t>
  </si>
  <si>
    <t>ASTEAM</t>
  </si>
  <si>
    <t>AWELD</t>
  </si>
  <si>
    <t>POWCM3</t>
  </si>
  <si>
    <t>POWCM4</t>
  </si>
  <si>
    <t>POWCO3</t>
  </si>
  <si>
    <t>POWCP4</t>
  </si>
  <si>
    <t>ACP</t>
  </si>
  <si>
    <t>Advanced Care Paramedic</t>
  </si>
  <si>
    <t>PCPC</t>
  </si>
  <si>
    <t>Primary Care Paramedic</t>
  </si>
  <si>
    <t>HSAFA</t>
  </si>
  <si>
    <t>Academic Foundations</t>
  </si>
  <si>
    <t>AITS</t>
  </si>
  <si>
    <t>Programs</t>
  </si>
  <si>
    <t>Year of Study</t>
  </si>
  <si>
    <t>Power Campus Program ID</t>
  </si>
  <si>
    <t>ProgramID &amp; Year of Study</t>
  </si>
  <si>
    <t>2025/26</t>
  </si>
  <si>
    <t>Domestic FLE</t>
  </si>
  <si>
    <t>International FLE</t>
  </si>
  <si>
    <t>Total FLE</t>
  </si>
  <si>
    <t>Business Administration Certificate</t>
  </si>
  <si>
    <t>Accounting</t>
  </si>
  <si>
    <t>BAACTC</t>
  </si>
  <si>
    <t>Business (Management)</t>
  </si>
  <si>
    <t>Business Administration Diploma</t>
  </si>
  <si>
    <t>Esport  (Management)</t>
  </si>
  <si>
    <t>Human Resources Management Diploma</t>
  </si>
  <si>
    <t>Global Supply Chain</t>
  </si>
  <si>
    <t>GSCMD</t>
  </si>
  <si>
    <t>Digital Marketing</t>
  </si>
  <si>
    <t>DIGMD</t>
  </si>
  <si>
    <t>Business Administration Diploma Co-op</t>
  </si>
  <si>
    <t>Business Aviation Diploma</t>
  </si>
  <si>
    <t>Northern Aviation Operations</t>
  </si>
  <si>
    <t>NAO</t>
  </si>
  <si>
    <t>Airline Operations</t>
  </si>
  <si>
    <t>Hospitality and Tourism Management Diploma</t>
  </si>
  <si>
    <t>HATM</t>
  </si>
  <si>
    <t>Hospitality Management Diploma</t>
  </si>
  <si>
    <t>Human Resources Management Certificate</t>
  </si>
  <si>
    <t>Office Administration Certificate</t>
  </si>
  <si>
    <t>Office Administration</t>
  </si>
  <si>
    <t>OFAC</t>
  </si>
  <si>
    <t>Executive Admin Professional</t>
  </si>
  <si>
    <t>Business Studies Total</t>
  </si>
  <si>
    <t>English for Academic Purpose</t>
  </si>
  <si>
    <t>EAP</t>
  </si>
  <si>
    <t>Upgrading</t>
  </si>
  <si>
    <t>Advanced High School Equivalency</t>
  </si>
  <si>
    <t>General High School Equivalency</t>
  </si>
  <si>
    <t>College Preparation</t>
  </si>
  <si>
    <t>Academic Upgrading Total</t>
  </si>
  <si>
    <t>Environmental Technology Coop Diploma</t>
  </si>
  <si>
    <t>Environmental Technology Co-op Diploma</t>
  </si>
  <si>
    <t>Environmental Technology Diploma</t>
  </si>
  <si>
    <t>UT: Bachelor of Arts</t>
  </si>
  <si>
    <t>UT: Bachelor of Commerce</t>
  </si>
  <si>
    <t>UT: Bachelor of Engineering</t>
  </si>
  <si>
    <t>UT: Bachelor of Science</t>
  </si>
  <si>
    <t>UT: Bachelor of Social Work</t>
  </si>
  <si>
    <t>UT: Bachelor of Education</t>
  </si>
  <si>
    <t>Elementary</t>
  </si>
  <si>
    <t>Secondary</t>
  </si>
  <si>
    <t>Governance and Civil Studies</t>
  </si>
  <si>
    <t>Computer Systems Technology Certificate</t>
  </si>
  <si>
    <t>Computer Systems Technology Diploma</t>
  </si>
  <si>
    <t>General Arts</t>
  </si>
  <si>
    <t>General Science</t>
  </si>
  <si>
    <t>Advanced Network &amp; Cybersecurity Post Diploma</t>
  </si>
  <si>
    <t>Advanced Network &amp; Cybersecurity</t>
  </si>
  <si>
    <t>ANCPDC</t>
  </si>
  <si>
    <t>Network Security Post Diploma</t>
  </si>
  <si>
    <t>Network Security</t>
  </si>
  <si>
    <t>NSPDC</t>
  </si>
  <si>
    <t>Applied IT Specialist</t>
  </si>
  <si>
    <t>Art &amp; Design</t>
  </si>
  <si>
    <t>Digital Design &amp; Multimedia Certificate</t>
  </si>
  <si>
    <t>University Studies &amp; Environmental Sciences Total</t>
  </si>
  <si>
    <t>Language Instruction for Newcomers to Canada (LINC)</t>
  </si>
  <si>
    <t>School of University Studies, Career Programs &amp; Academic Upgrading Total</t>
  </si>
  <si>
    <t>Applied Early Learning and Child Care Certificate</t>
  </si>
  <si>
    <t>Early Learning and Child Care Certificate</t>
  </si>
  <si>
    <t>Early Learning and Child Care Diploma</t>
  </si>
  <si>
    <t>Child and Youth Care Diploma</t>
  </si>
  <si>
    <t>Early Learning &amp; Childcare and Human Services Total</t>
  </si>
  <si>
    <t>Primary Care Paramedic*</t>
  </si>
  <si>
    <t>Advanced Care Paramedic*</t>
  </si>
  <si>
    <t>Bachelor of Paramedicine</t>
  </si>
  <si>
    <t>Bachelor of Paramedicine*</t>
  </si>
  <si>
    <t>Health Care Aid</t>
  </si>
  <si>
    <t>UT: Bachelor of Nursing</t>
  </si>
  <si>
    <t>Nursing</t>
  </si>
  <si>
    <t>BSCACN,BSCAFT,BSCAEE</t>
  </si>
  <si>
    <t>IEN Bridge to Canadian Nursing</t>
  </si>
  <si>
    <t>Nursing and Allied Health Total</t>
  </si>
  <si>
    <t>School of Health &amp; Human Services Total</t>
  </si>
  <si>
    <t>Apprenticeship**</t>
  </si>
  <si>
    <t>Carpenter</t>
  </si>
  <si>
    <t>ACARP</t>
  </si>
  <si>
    <t>Electrician</t>
  </si>
  <si>
    <t>Heavy Equipment Technician</t>
  </si>
  <si>
    <t>Millwright</t>
  </si>
  <si>
    <t>Steamfitter/Pipefitter/Gasfitter</t>
  </si>
  <si>
    <t>Welder</t>
  </si>
  <si>
    <t>Apprenticeship Total</t>
  </si>
  <si>
    <t>Pre-Employment</t>
  </si>
  <si>
    <t>Pre-employment Carpentry</t>
  </si>
  <si>
    <t>PACARP</t>
  </si>
  <si>
    <t>Pre-employment Electrician</t>
  </si>
  <si>
    <t>PAELEC</t>
  </si>
  <si>
    <t>Pre-employment Welder</t>
  </si>
  <si>
    <t>PAWELD</t>
  </si>
  <si>
    <t>Pre-employment Heavy Equipment Technician</t>
  </si>
  <si>
    <t>PAHET</t>
  </si>
  <si>
    <t>Pre-employment Plumber</t>
  </si>
  <si>
    <t>PAPLUM</t>
  </si>
  <si>
    <t>Pre-employment Total</t>
  </si>
  <si>
    <t>Power Engineering</t>
  </si>
  <si>
    <t>Power CML 4th Class</t>
  </si>
  <si>
    <t>Power CML 3rd Class</t>
  </si>
  <si>
    <t>Power Engineering Comprehensive 4th Class, Full-time Class</t>
  </si>
  <si>
    <t>Power Engineering Comprehensive 4th Class, Power Lab</t>
  </si>
  <si>
    <t>Power Engineering Co-op 4th Class, Full-time Class</t>
  </si>
  <si>
    <t>POWCO4</t>
  </si>
  <si>
    <t>Power Engineering Co-op 4th Class, Co-op</t>
  </si>
  <si>
    <t>Power Engineering Co-op 3rd Class, Full-time Class</t>
  </si>
  <si>
    <t>Power Engineering Co-op 3rd Class, Co-op</t>
  </si>
  <si>
    <t>Power &amp; Process Technologies</t>
  </si>
  <si>
    <t>PPET</t>
  </si>
  <si>
    <t>Power Engineering Total</t>
  </si>
  <si>
    <t>Welding</t>
  </si>
  <si>
    <t>Welding Diploma*</t>
  </si>
  <si>
    <t>Welding Total</t>
  </si>
  <si>
    <t>Dual Credit Trades</t>
  </si>
  <si>
    <t>Dual Credit - Electrician*</t>
  </si>
  <si>
    <t>DUALEL</t>
  </si>
  <si>
    <t>Dual Credit - Heavy Equipment Technician*</t>
  </si>
  <si>
    <t>DUALHE</t>
  </si>
  <si>
    <t>Dual Credit - Welder*</t>
  </si>
  <si>
    <t>DUALWE</t>
  </si>
  <si>
    <t>Dual Credit Trades Total</t>
  </si>
  <si>
    <t>School of Trades and Heavy Industrial Total</t>
  </si>
  <si>
    <t>Keyano College Total</t>
  </si>
  <si>
    <t xml:space="preserve">Summer </t>
  </si>
  <si>
    <t xml:space="preserve">Winter </t>
  </si>
  <si>
    <t>Spring</t>
  </si>
  <si>
    <t>Part-time</t>
  </si>
  <si>
    <t>Full-time</t>
  </si>
  <si>
    <t>BAACTC1</t>
  </si>
  <si>
    <t>BABUSC1</t>
  </si>
  <si>
    <t>BAACTD1</t>
  </si>
  <si>
    <t>BAACTD2</t>
  </si>
  <si>
    <t>BABUSD1</t>
  </si>
  <si>
    <t>BABUSD2</t>
  </si>
  <si>
    <t>BAESPM1</t>
  </si>
  <si>
    <t>BAESPM2</t>
  </si>
  <si>
    <t>BAHRMD1</t>
  </si>
  <si>
    <t>BAHRMD2</t>
  </si>
  <si>
    <t>GSCMD1</t>
  </si>
  <si>
    <t>GSCMD2</t>
  </si>
  <si>
    <t>DIGMD1</t>
  </si>
  <si>
    <t>DIGMD2</t>
  </si>
  <si>
    <t>BAATCO1</t>
  </si>
  <si>
    <t>BAATCO2</t>
  </si>
  <si>
    <t>BABSCO1</t>
  </si>
  <si>
    <t>BABSCO2</t>
  </si>
  <si>
    <t>NAO1</t>
  </si>
  <si>
    <t>NAO2</t>
  </si>
  <si>
    <t>ALO1</t>
  </si>
  <si>
    <t>ALO2</t>
  </si>
  <si>
    <t>HATM1</t>
  </si>
  <si>
    <t>HATM2</t>
  </si>
  <si>
    <t>HOSMNG1</t>
  </si>
  <si>
    <t>HOSMNG2</t>
  </si>
  <si>
    <t>BAHRMC1</t>
  </si>
  <si>
    <t>OFAC1</t>
  </si>
  <si>
    <t>EAP1</t>
  </si>
  <si>
    <t>HSAFA1</t>
  </si>
  <si>
    <t>HSAD1</t>
  </si>
  <si>
    <t>HSGD1</t>
  </si>
  <si>
    <t>HSNP1</t>
  </si>
  <si>
    <t>ENVTD1</t>
  </si>
  <si>
    <t>ENVTD2</t>
  </si>
  <si>
    <t>ENVNC1</t>
  </si>
  <si>
    <t>ENVNC2</t>
  </si>
  <si>
    <t>UTARTS1</t>
  </si>
  <si>
    <t>UTARTS2</t>
  </si>
  <si>
    <t>UTCOMM1</t>
  </si>
  <si>
    <t>UTCOMM2</t>
  </si>
  <si>
    <t>UTENG1</t>
  </si>
  <si>
    <t>UTSCGS1</t>
  </si>
  <si>
    <t>UTSCGS2</t>
  </si>
  <si>
    <t>UTSCWK1</t>
  </si>
  <si>
    <t>UTSCWK2</t>
  </si>
  <si>
    <t>UTELEM1</t>
  </si>
  <si>
    <t>UTELEM2</t>
  </si>
  <si>
    <t>UTSEC1</t>
  </si>
  <si>
    <t>UTSEC2</t>
  </si>
  <si>
    <t>OPEN1</t>
  </si>
  <si>
    <t>GOVNSC1</t>
  </si>
  <si>
    <t>GOVNSC2</t>
  </si>
  <si>
    <t>COMSCC1</t>
  </si>
  <si>
    <t>COMSCD1</t>
  </si>
  <si>
    <t>COMSCD2</t>
  </si>
  <si>
    <t>GNARTC1</t>
  </si>
  <si>
    <t>GNSCIC1</t>
  </si>
  <si>
    <t>ANCPDC1</t>
  </si>
  <si>
    <t>NSPDC1</t>
  </si>
  <si>
    <t>AITS1</t>
  </si>
  <si>
    <t>LINC131</t>
  </si>
  <si>
    <t>AELCC1</t>
  </si>
  <si>
    <t>ECCERT1</t>
  </si>
  <si>
    <t>ECDIP1</t>
  </si>
  <si>
    <t>ECDIP2</t>
  </si>
  <si>
    <t>CYCD1</t>
  </si>
  <si>
    <t>CYCD2</t>
  </si>
  <si>
    <t>ECEAC1</t>
  </si>
  <si>
    <t>SOCWKD1</t>
  </si>
  <si>
    <t>SOCWKD2</t>
  </si>
  <si>
    <t>PCPC1</t>
  </si>
  <si>
    <t>PCPC2</t>
  </si>
  <si>
    <t>ACP2</t>
  </si>
  <si>
    <t>HCAC1</t>
  </si>
  <si>
    <t>PNR1</t>
  </si>
  <si>
    <t>PNR2</t>
  </si>
  <si>
    <t>BSCN1</t>
  </si>
  <si>
    <t>BSCN2</t>
  </si>
  <si>
    <t>BSCACN,BSCAFT,BSCAEE3</t>
  </si>
  <si>
    <t>IENCN1</t>
  </si>
  <si>
    <t>ACARP1</t>
  </si>
  <si>
    <t>ACARP2</t>
  </si>
  <si>
    <t>ACARP3</t>
  </si>
  <si>
    <t>ACARP4</t>
  </si>
  <si>
    <t>AELEC1</t>
  </si>
  <si>
    <t>AELEC2</t>
  </si>
  <si>
    <t>AELEC3</t>
  </si>
  <si>
    <t>AELEC4</t>
  </si>
  <si>
    <t>AHD1</t>
  </si>
  <si>
    <t>AHD2</t>
  </si>
  <si>
    <t>AHD3</t>
  </si>
  <si>
    <t>AHD4</t>
  </si>
  <si>
    <t>AMILL1</t>
  </si>
  <si>
    <t>AMILL2</t>
  </si>
  <si>
    <t>AMILL3</t>
  </si>
  <si>
    <t>AMILL4</t>
  </si>
  <si>
    <t>ASTEAM1</t>
  </si>
  <si>
    <t>ASTEAM2</t>
  </si>
  <si>
    <t>ASTEAM3</t>
  </si>
  <si>
    <t>ASTEAM4</t>
  </si>
  <si>
    <t>AWELD1</t>
  </si>
  <si>
    <t>AWELD2</t>
  </si>
  <si>
    <t>AWELD3</t>
  </si>
  <si>
    <t>PACARP1</t>
  </si>
  <si>
    <t>PAELEC1</t>
  </si>
  <si>
    <t>PAWELD1</t>
  </si>
  <si>
    <t>PAHET1</t>
  </si>
  <si>
    <t>PAPLUM1</t>
  </si>
  <si>
    <t>POWCM41</t>
  </si>
  <si>
    <t>POWCM31</t>
  </si>
  <si>
    <t>POWCP41</t>
  </si>
  <si>
    <t>POWCO41</t>
  </si>
  <si>
    <t>POWCO31</t>
  </si>
  <si>
    <t>PPET1</t>
  </si>
  <si>
    <t>PPET2</t>
  </si>
  <si>
    <t>DUALEL1</t>
  </si>
  <si>
    <t>DUALHE1</t>
  </si>
  <si>
    <t>DUALWE1</t>
  </si>
  <si>
    <t>2026/27</t>
  </si>
  <si>
    <t>2025-26 formula placeholder</t>
  </si>
  <si>
    <t>2025 formula placeholder</t>
  </si>
  <si>
    <t>2026 formula placeholder</t>
  </si>
  <si>
    <t xml:space="preserve">As for Winter 2026, the projected unique headcount is 0, and as of October 1, 2025, the actual unique headcount is 0; this indicates a 0% of the projection achieved for the semester. The following Programs have achieved or surpassed their projection: </t>
  </si>
  <si>
    <t>As of October 1, 2025, there are 0 unique international students with FLE 0 with high enrolment numbers in Business Administration Diploma – Management. Increased numbers are visible in Business Administration Diploma - Accounting, Business Administration Diploma - Management Co-op, Business Administration Diploma - Human Resources Management, and Early Learning and Child Care Diploma.</t>
  </si>
  <si>
    <t>As of October 1, 2025, there are 0 unique Indigenous students with FLE 0 with high enrolment in Apprenticeship - Heavy Equipment Technician.</t>
  </si>
  <si>
    <t>Current Indigenous FLE represents 0'% of the actual Keyano College total FLE.</t>
  </si>
  <si>
    <t>Current International FLE represents 0% of the actual Keyano College total FLE.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</si>
</sst>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Times New Roman"/>
      <family val="1"/>
    </font>
    <font>
      <b/>
      <u/>
      <sz val="11"/>
      <color theme="1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53D64"/>
        <bgColor theme="4" tint="0.79998168889431442"/>
      </patternFill>
    </fill>
    <fill>
      <patternFill patternType="solid">
        <fgColor rgb="FF153D6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7" fillId="0" borderId="4" xfId="0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left"/>
    </xf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Alignment="1">
      <alignment horizontal="left"/>
    </xf>
    <xf numFmtId="0" fontId="6" fillId="3" borderId="3" xfId="0" applyNumberFormat="1" applyFont="1" applyFill="1" applyBorder="1" applyAlignment="1">
      <alignment vertical="center"/>
    </xf>
    <xf numFmtId="0" fontId="7" fillId="4" borderId="4" xfId="0" applyNumberFormat="1" applyFont="1" applyFill="1" applyBorder="1" applyAlignment="1">
      <alignment horizontal="center" vertical="center" wrapText="1"/>
    </xf>
    <xf numFmtId="0" fontId="7" fillId="5" borderId="4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Border="1" applyAlignment="1">
      <alignment vertical="center"/>
    </xf>
    <xf numFmtId="0" fontId="7" fillId="0" borderId="4" xfId="0" applyNumberFormat="1" applyFont="1" applyBorder="1" applyAlignment="1">
      <alignment horizontal="center" vertical="center"/>
    </xf>
    <xf numFmtId="0" fontId="9" fillId="0" borderId="0" xfId="0" applyNumberFormat="1" applyFont="1"/>
    <xf numFmtId="0" fontId="0" fillId="0" borderId="6" xfId="0" applyNumberFormat="1" applyBorder="1" applyAlignment="1">
      <alignment horizontal="left"/>
    </xf>
    <xf numFmtId="49" fontId="2" fillId="6" borderId="0" xfId="0" applyNumberFormat="1" applyFont="1" applyFill="1" applyAlignment="1">
      <alignment horizontal="left"/>
    </xf>
    <xf numFmtId="49" fontId="0" fillId="6" borderId="0" xfId="0" applyNumberFormat="1" applyFill="1" applyAlignment="1">
      <alignment horizontal="left"/>
    </xf>
    <xf numFmtId="49" fontId="0" fillId="6" borderId="6" xfId="0" applyNumberFormat="1" applyFill="1" applyBorder="1" applyAlignment="1">
      <alignment horizontal="left"/>
    </xf>
    <xf numFmtId="0" fontId="8" fillId="0" borderId="0" xfId="0" applyFont="1" applyAlignment="1">
      <alignment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/>
    <xf numFmtId="49" fontId="0" fillId="0" borderId="0" xfId="0" applyNumberFormat="1"/>
    <xf numFmtId="0" fontId="13" fillId="8" borderId="0" xfId="0" applyFont="1" applyFill="1" applyAlignment="1">
      <alignment vertical="center"/>
    </xf>
    <xf numFmtId="0" fontId="0" fillId="8" borderId="0" xfId="0" applyNumberFormat="1" applyFill="1"/>
    <xf numFmtId="0" fontId="6" fillId="3" borderId="9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0" fontId="2" fillId="8" borderId="4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/>
    <xf numFmtId="0" fontId="4" fillId="0" borderId="5" xfId="0" applyNumberFormat="1" applyFont="1" applyBorder="1" applyAlignment="1">
      <alignment vertical="center"/>
    </xf>
    <xf numFmtId="0" fontId="0" fillId="0" borderId="0" xfId="0" applyNumberFormat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0" fontId="1" fillId="11" borderId="0" xfId="0" applyFont="1" applyFill="1" applyAlignment="1">
      <alignment horizontal="left"/>
    </xf>
    <xf numFmtId="0" fontId="0" fillId="11" borderId="22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16" xfId="0" applyFill="1" applyBorder="1" applyAlignment="1">
      <alignment horizontal="center"/>
    </xf>
    <xf numFmtId="164" fontId="0" fillId="11" borderId="16" xfId="0" applyNumberFormat="1" applyFill="1" applyBorder="1" applyAlignment="1">
      <alignment horizontal="center"/>
    </xf>
    <xf numFmtId="164" fontId="0" fillId="11" borderId="23" xfId="0" applyNumberFormat="1" applyFill="1" applyBorder="1" applyAlignment="1">
      <alignment horizontal="center"/>
    </xf>
    <xf numFmtId="164" fontId="0" fillId="11" borderId="24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2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11" borderId="25" xfId="0" applyNumberFormat="1" applyFill="1" applyBorder="1" applyAlignment="1">
      <alignment horizontal="center"/>
    </xf>
    <xf numFmtId="0" fontId="14" fillId="10" borderId="0" xfId="0" applyFont="1" applyFill="1" applyAlignment="1">
      <alignment horizontal="right"/>
    </xf>
    <xf numFmtId="0" fontId="14" fillId="10" borderId="16" xfId="0" applyFont="1" applyFill="1" applyBorder="1" applyAlignment="1">
      <alignment horizontal="right"/>
    </xf>
    <xf numFmtId="164" fontId="15" fillId="10" borderId="16" xfId="0" applyNumberFormat="1" applyFont="1" applyFill="1" applyBorder="1" applyAlignment="1">
      <alignment horizontal="center"/>
    </xf>
    <xf numFmtId="164" fontId="15" fillId="10" borderId="25" xfId="0" applyNumberFormat="1" applyFont="1" applyFill="1" applyBorder="1" applyAlignment="1">
      <alignment horizontal="center"/>
    </xf>
    <xf numFmtId="0" fontId="14" fillId="12" borderId="0" xfId="0" applyFont="1" applyFill="1" applyAlignment="1">
      <alignment horizontal="right"/>
    </xf>
    <xf numFmtId="0" fontId="14" fillId="12" borderId="16" xfId="0" applyFont="1" applyFill="1" applyBorder="1" applyAlignment="1">
      <alignment horizontal="right"/>
    </xf>
    <xf numFmtId="164" fontId="15" fillId="12" borderId="16" xfId="0" applyNumberFormat="1" applyFont="1" applyFill="1" applyBorder="1" applyAlignment="1">
      <alignment horizontal="center"/>
    </xf>
    <xf numFmtId="164" fontId="15" fillId="12" borderId="25" xfId="0" applyNumberFormat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4" fillId="13" borderId="0" xfId="0" applyFont="1" applyFill="1" applyAlignment="1">
      <alignment horizontal="right"/>
    </xf>
    <xf numFmtId="0" fontId="14" fillId="13" borderId="16" xfId="0" applyFont="1" applyFill="1" applyBorder="1" applyAlignment="1">
      <alignment horizontal="right"/>
    </xf>
    <xf numFmtId="164" fontId="15" fillId="13" borderId="16" xfId="0" applyNumberFormat="1" applyFont="1" applyFill="1" applyBorder="1" applyAlignment="1">
      <alignment horizontal="center"/>
    </xf>
    <xf numFmtId="164" fontId="15" fillId="13" borderId="25" xfId="0" applyNumberFormat="1" applyFont="1" applyFill="1" applyBorder="1" applyAlignment="1">
      <alignment horizontal="center"/>
    </xf>
    <xf numFmtId="0" fontId="16" fillId="0" borderId="26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164" fontId="0" fillId="0" borderId="0" xfId="0" applyNumberFormat="1" applyAlignment="1">
      <alignment horizontal="center"/>
    </xf>
    <xf numFmtId="0" fontId="16" fillId="0" borderId="0" xfId="0" applyFont="1" applyAlignment="1">
      <alignment vertical="top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10" borderId="17" xfId="0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15" fillId="10" borderId="23" xfId="0" applyFont="1" applyFill="1" applyBorder="1" applyAlignment="1">
      <alignment horizontal="center"/>
    </xf>
    <xf numFmtId="0" fontId="15" fillId="10" borderId="25" xfId="0" applyFont="1" applyFill="1" applyBorder="1" applyAlignment="1">
      <alignment horizontal="center"/>
    </xf>
    <xf numFmtId="0" fontId="15" fillId="12" borderId="23" xfId="0" applyFont="1" applyFill="1" applyBorder="1" applyAlignment="1">
      <alignment horizontal="center"/>
    </xf>
    <xf numFmtId="0" fontId="15" fillId="12" borderId="25" xfId="0" applyFont="1" applyFill="1" applyBorder="1" applyAlignment="1">
      <alignment horizontal="center"/>
    </xf>
    <xf numFmtId="0" fontId="14" fillId="13" borderId="6" xfId="0" applyFont="1" applyFill="1" applyBorder="1" applyAlignment="1">
      <alignment horizontal="right"/>
    </xf>
    <xf numFmtId="0" fontId="14" fillId="13" borderId="21" xfId="0" applyFont="1" applyFill="1" applyBorder="1" applyAlignment="1">
      <alignment horizontal="right"/>
    </xf>
    <xf numFmtId="0" fontId="15" fillId="13" borderId="29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 wrapText="1"/>
    </xf>
    <xf numFmtId="0" fontId="11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6" fillId="3" borderId="14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17" xfId="0" applyFont="1" applyFill="1" applyBorder="1" applyAlignment="1">
      <alignment horizontal="center"/>
    </xf>
    <xf numFmtId="0" fontId="14" fillId="10" borderId="18" xfId="0" applyFont="1" applyFill="1" applyBorder="1" applyAlignment="1">
      <alignment horizontal="center"/>
    </xf>
    <xf numFmtId="0" fontId="14" fillId="10" borderId="19" xfId="0" applyFont="1" applyFill="1" applyBorder="1" applyAlignment="1">
      <alignment horizontal="center"/>
    </xf>
    <xf numFmtId="164" fontId="14" fillId="10" borderId="17" xfId="0" applyNumberFormat="1" applyFont="1" applyFill="1" applyBorder="1" applyAlignment="1">
      <alignment horizontal="center" vertical="center" wrapText="1"/>
    </xf>
    <xf numFmtId="164" fontId="14" fillId="10" borderId="18" xfId="0" applyNumberFormat="1" applyFont="1" applyFill="1" applyBorder="1" applyAlignment="1">
      <alignment horizontal="center" vertical="center" wrapText="1"/>
    </xf>
    <xf numFmtId="164" fontId="14" fillId="10" borderId="20" xfId="0" applyNumberFormat="1" applyFont="1" applyFill="1" applyBorder="1" applyAlignment="1">
      <alignment horizontal="center" vertical="center" wrapText="1"/>
    </xf>
    <xf numFmtId="0" fontId="14" fillId="10" borderId="0" xfId="0" applyFont="1" applyFill="1" applyAlignment="1">
      <alignment horizontal="right"/>
    </xf>
    <xf numFmtId="0" fontId="14" fillId="10" borderId="22" xfId="0" applyFont="1" applyFill="1" applyBorder="1" applyAlignment="1">
      <alignment horizontal="right"/>
    </xf>
    <xf numFmtId="0" fontId="14" fillId="9" borderId="0" xfId="0" applyFont="1" applyFill="1" applyAlignment="1">
      <alignment horizontal="left" vertical="center"/>
    </xf>
    <xf numFmtId="0" fontId="14" fillId="9" borderId="6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right"/>
    </xf>
    <xf numFmtId="0" fontId="14" fillId="12" borderId="22" xfId="0" applyFont="1" applyFill="1" applyBorder="1" applyAlignment="1">
      <alignment horizontal="right"/>
    </xf>
    <xf numFmtId="0" fontId="14" fillId="13" borderId="0" xfId="0" applyFont="1" applyFill="1" applyAlignment="1">
      <alignment horizontal="right"/>
    </xf>
    <xf numFmtId="0" fontId="14" fillId="13" borderId="22" xfId="0" applyFont="1" applyFill="1" applyBorder="1" applyAlignment="1">
      <alignment horizontal="right"/>
    </xf>
    <xf numFmtId="0" fontId="14" fillId="10" borderId="27" xfId="0" applyFont="1" applyFill="1" applyBorder="1" applyAlignment="1">
      <alignment horizontal="center"/>
    </xf>
    <xf numFmtId="0" fontId="14" fillId="10" borderId="20" xfId="0" applyFont="1" applyFill="1" applyBorder="1" applyAlignment="1">
      <alignment horizontal="center"/>
    </xf>
    <xf numFmtId="0" fontId="14" fillId="10" borderId="17" xfId="0" applyFont="1" applyFill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right"/>
    </xf>
    <xf numFmtId="0" fontId="14" fillId="13" borderId="28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F798-3BD1-45F0-A036-E4DB25049E9C}">
  <dimension ref="A1:AL129"/>
  <sheetViews>
    <sheetView tabSelected="1" workbookViewId="0">
      <selection activeCell="C9" sqref="C9"/>
    </sheetView>
  </sheetViews>
  <sheetFormatPr defaultRowHeight="15" x14ac:dyDescent="0.25"/>
  <cols>
    <col min="1" max="1" width="84.28515625" style="6" bestFit="1" customWidth="1"/>
    <col min="2" max="2" width="35.42578125" style="6" bestFit="1" customWidth="1"/>
    <col min="3" max="3" width="9.140625" style="4"/>
    <col min="4" max="4" width="17" style="4" bestFit="1" customWidth="1"/>
    <col min="5" max="5" width="28.5703125" style="4" bestFit="1" customWidth="1"/>
    <col min="6" max="13" width="15.7109375" style="4" customWidth="1"/>
    <col min="14" max="16384" width="9.140625" style="4"/>
  </cols>
  <sheetData>
    <row r="1" spans="1:38" x14ac:dyDescent="0.25">
      <c r="A1" s="3" t="s">
        <v>0</v>
      </c>
      <c r="B1" s="3" t="s">
        <v>20</v>
      </c>
      <c r="D1" s="5" t="s">
        <v>1</v>
      </c>
      <c r="E1" s="4" t="s">
        <v>66</v>
      </c>
      <c r="AL1" s="4" t="s">
        <v>114</v>
      </c>
    </row>
    <row r="2" spans="1:38" ht="19.5" thickBot="1" x14ac:dyDescent="0.3">
      <c r="A2" s="6" t="s">
        <v>2</v>
      </c>
      <c r="B2" s="14"/>
      <c r="D2" s="112" t="s">
        <v>115</v>
      </c>
      <c r="E2" s="112"/>
      <c r="F2" s="112"/>
      <c r="G2" s="112"/>
      <c r="H2" s="112"/>
      <c r="I2" s="112"/>
      <c r="J2" s="112"/>
    </row>
    <row r="3" spans="1:38" ht="15.75" thickBot="1" x14ac:dyDescent="0.3">
      <c r="A3" s="6" t="s">
        <v>3</v>
      </c>
      <c r="B3" s="14"/>
      <c r="D3" s="110" t="str">
        <f>B9&amp;" Applications Comparison - Point in Time"</f>
        <v>2025-26 formula placeholder Applications Comparison - Point in Time</v>
      </c>
      <c r="E3" s="111"/>
      <c r="F3" s="111"/>
      <c r="G3" s="111"/>
      <c r="H3" s="111"/>
      <c r="I3" s="111"/>
      <c r="J3" s="111"/>
    </row>
    <row r="4" spans="1:38" ht="15.75" thickBot="1" x14ac:dyDescent="0.3">
      <c r="A4" s="6" t="s">
        <v>4</v>
      </c>
      <c r="B4" s="15"/>
      <c r="D4" s="7" t="s">
        <v>8</v>
      </c>
      <c r="E4" s="9" t="s">
        <v>13</v>
      </c>
      <c r="F4" s="9" t="s">
        <v>16</v>
      </c>
      <c r="G4" s="9" t="s">
        <v>9</v>
      </c>
      <c r="H4" s="8" t="s">
        <v>14</v>
      </c>
      <c r="I4" s="8" t="s">
        <v>15</v>
      </c>
      <c r="J4" s="8" t="s">
        <v>9</v>
      </c>
    </row>
    <row r="5" spans="1:38" ht="15.75" thickBot="1" x14ac:dyDescent="0.3">
      <c r="A5" s="6" t="s">
        <v>5</v>
      </c>
      <c r="B5" s="15"/>
      <c r="D5" s="10" t="s">
        <v>10</v>
      </c>
      <c r="E5" s="11"/>
      <c r="F5" s="11"/>
      <c r="G5" s="11"/>
      <c r="H5" s="11"/>
      <c r="I5" s="11"/>
      <c r="J5" s="11"/>
    </row>
    <row r="6" spans="1:38" ht="15.75" thickBot="1" x14ac:dyDescent="0.3">
      <c r="A6" s="6" t="s">
        <v>3</v>
      </c>
      <c r="B6" s="15"/>
      <c r="D6" s="10" t="s">
        <v>11</v>
      </c>
      <c r="E6" s="11"/>
      <c r="F6" s="11"/>
      <c r="G6" s="11"/>
      <c r="H6" s="11"/>
      <c r="I6" s="11"/>
      <c r="J6" s="11"/>
    </row>
    <row r="7" spans="1:38" ht="15.75" thickBot="1" x14ac:dyDescent="0.3">
      <c r="A7" s="6" t="s">
        <v>6</v>
      </c>
      <c r="B7" s="15"/>
      <c r="D7" s="10" t="s">
        <v>12</v>
      </c>
      <c r="E7" s="11"/>
      <c r="F7" s="11"/>
      <c r="G7" s="11"/>
      <c r="H7" s="11"/>
      <c r="I7" s="11"/>
      <c r="J7" s="11"/>
    </row>
    <row r="8" spans="1:38" x14ac:dyDescent="0.25">
      <c r="A8" s="13" t="s">
        <v>7</v>
      </c>
      <c r="B8" s="16"/>
    </row>
    <row r="9" spans="1:38" x14ac:dyDescent="0.25">
      <c r="A9" s="36" t="s">
        <v>120</v>
      </c>
      <c r="B9" s="37" t="s">
        <v>441</v>
      </c>
      <c r="D9" s="12"/>
    </row>
    <row r="10" spans="1:38" x14ac:dyDescent="0.25">
      <c r="A10" s="6" t="s">
        <v>118</v>
      </c>
      <c r="B10" s="6" t="s">
        <v>442</v>
      </c>
    </row>
    <row r="11" spans="1:38" x14ac:dyDescent="0.25">
      <c r="A11" s="6" t="s">
        <v>119</v>
      </c>
      <c r="B11" s="6" t="s">
        <v>443</v>
      </c>
    </row>
    <row r="12" spans="1:38" x14ac:dyDescent="0.25">
      <c r="A12" s="6" t="s">
        <v>21</v>
      </c>
    </row>
    <row r="13" spans="1:38" x14ac:dyDescent="0.25">
      <c r="A13" s="6" t="s">
        <v>22</v>
      </c>
    </row>
    <row r="14" spans="1:38" x14ac:dyDescent="0.25">
      <c r="A14" s="6" t="s">
        <v>23</v>
      </c>
      <c r="D14" s="12"/>
    </row>
    <row r="15" spans="1:38" x14ac:dyDescent="0.25">
      <c r="A15" s="6" t="s">
        <v>24</v>
      </c>
    </row>
    <row r="16" spans="1:38" x14ac:dyDescent="0.25">
      <c r="A16" s="6" t="s">
        <v>25</v>
      </c>
    </row>
    <row r="17" spans="1:10" x14ac:dyDescent="0.25">
      <c r="A17" s="6" t="s">
        <v>26</v>
      </c>
    </row>
    <row r="18" spans="1:10" x14ac:dyDescent="0.25">
      <c r="A18" s="6" t="s">
        <v>27</v>
      </c>
    </row>
    <row r="19" spans="1:10" x14ac:dyDescent="0.25">
      <c r="A19" s="6" t="s">
        <v>28</v>
      </c>
      <c r="D19" s="12"/>
    </row>
    <row r="20" spans="1:10" x14ac:dyDescent="0.25">
      <c r="A20" s="6" t="s">
        <v>29</v>
      </c>
    </row>
    <row r="21" spans="1:10" x14ac:dyDescent="0.25">
      <c r="A21" s="6" t="s">
        <v>30</v>
      </c>
    </row>
    <row r="22" spans="1:10" x14ac:dyDescent="0.25">
      <c r="A22" s="6" t="s">
        <v>31</v>
      </c>
    </row>
    <row r="23" spans="1:10" x14ac:dyDescent="0.25">
      <c r="A23" s="6" t="s">
        <v>32</v>
      </c>
    </row>
    <row r="24" spans="1:10" x14ac:dyDescent="0.25">
      <c r="A24" s="6" t="s">
        <v>33</v>
      </c>
    </row>
    <row r="25" spans="1:10" ht="15.75" customHeight="1" thickBot="1" x14ac:dyDescent="0.3">
      <c r="A25" s="6" t="s">
        <v>34</v>
      </c>
      <c r="D25" s="35"/>
      <c r="E25" s="35"/>
      <c r="F25" s="35"/>
      <c r="G25" s="35"/>
      <c r="H25" s="35"/>
      <c r="I25" s="35"/>
      <c r="J25" s="35"/>
    </row>
    <row r="26" spans="1:10" ht="15.75" thickBot="1" x14ac:dyDescent="0.3">
      <c r="A26" s="6" t="s">
        <v>35</v>
      </c>
      <c r="D26" s="110" t="s">
        <v>19</v>
      </c>
      <c r="E26" s="111"/>
      <c r="F26" s="111"/>
      <c r="G26" s="111"/>
      <c r="H26" s="111"/>
      <c r="I26" s="111"/>
      <c r="J26" s="111"/>
    </row>
    <row r="27" spans="1:10" ht="15.75" thickBot="1" x14ac:dyDescent="0.3">
      <c r="A27" s="6" t="s">
        <v>36</v>
      </c>
      <c r="D27" s="7" t="s">
        <v>8</v>
      </c>
      <c r="E27" s="9" t="s">
        <v>13</v>
      </c>
      <c r="F27" s="9" t="s">
        <v>16</v>
      </c>
      <c r="G27" s="9" t="s">
        <v>9</v>
      </c>
      <c r="H27" s="8" t="s">
        <v>14</v>
      </c>
      <c r="I27" s="8" t="s">
        <v>15</v>
      </c>
      <c r="J27" s="8" t="s">
        <v>9</v>
      </c>
    </row>
    <row r="28" spans="1:10" ht="15.75" thickBot="1" x14ac:dyDescent="0.3">
      <c r="A28" s="6" t="s">
        <v>37</v>
      </c>
      <c r="D28" s="10" t="s">
        <v>10</v>
      </c>
      <c r="E28" s="11"/>
      <c r="F28" s="11"/>
      <c r="G28" s="11"/>
      <c r="H28" s="11"/>
      <c r="I28" s="11"/>
      <c r="J28" s="11"/>
    </row>
    <row r="29" spans="1:10" ht="15.75" thickBot="1" x14ac:dyDescent="0.3">
      <c r="A29" s="6" t="s">
        <v>38</v>
      </c>
      <c r="D29" s="10" t="s">
        <v>11</v>
      </c>
      <c r="E29" s="11"/>
      <c r="F29" s="11"/>
      <c r="G29" s="11"/>
      <c r="H29" s="11"/>
      <c r="I29" s="11"/>
      <c r="J29" s="11"/>
    </row>
    <row r="30" spans="1:10" ht="15.75" thickBot="1" x14ac:dyDescent="0.3">
      <c r="A30" s="6" t="s">
        <v>39</v>
      </c>
      <c r="D30" s="10" t="s">
        <v>12</v>
      </c>
      <c r="E30" s="11"/>
      <c r="F30" s="11"/>
      <c r="G30" s="11"/>
      <c r="H30" s="11"/>
      <c r="I30" s="11"/>
      <c r="J30" s="11"/>
    </row>
    <row r="31" spans="1:10" x14ac:dyDescent="0.25">
      <c r="A31" s="6" t="s">
        <v>40</v>
      </c>
    </row>
    <row r="32" spans="1:10" x14ac:dyDescent="0.25">
      <c r="A32" s="6" t="s">
        <v>41</v>
      </c>
      <c r="D32" s="12" t="s">
        <v>17</v>
      </c>
    </row>
    <row r="33" spans="1:12" x14ac:dyDescent="0.25">
      <c r="A33" s="6" t="s">
        <v>42</v>
      </c>
    </row>
    <row r="34" spans="1:12" x14ac:dyDescent="0.25">
      <c r="A34" s="6" t="s">
        <v>43</v>
      </c>
    </row>
    <row r="35" spans="1:12" x14ac:dyDescent="0.25">
      <c r="A35" s="6" t="s">
        <v>44</v>
      </c>
    </row>
    <row r="36" spans="1:12" x14ac:dyDescent="0.25">
      <c r="A36" s="6" t="s">
        <v>45</v>
      </c>
    </row>
    <row r="37" spans="1:12" x14ac:dyDescent="0.25">
      <c r="A37" s="6" t="s">
        <v>46</v>
      </c>
      <c r="D37" s="12" t="s">
        <v>18</v>
      </c>
    </row>
    <row r="38" spans="1:12" x14ac:dyDescent="0.25">
      <c r="A38" s="6" t="s">
        <v>47</v>
      </c>
    </row>
    <row r="39" spans="1:12" x14ac:dyDescent="0.25">
      <c r="A39" s="13" t="s">
        <v>48</v>
      </c>
      <c r="B39" s="13"/>
    </row>
    <row r="40" spans="1:12" x14ac:dyDescent="0.25">
      <c r="A40" s="36" t="s">
        <v>120</v>
      </c>
    </row>
    <row r="41" spans="1:12" x14ac:dyDescent="0.25">
      <c r="A41" s="6" t="s">
        <v>118</v>
      </c>
    </row>
    <row r="42" spans="1:12" x14ac:dyDescent="0.25">
      <c r="A42" s="6" t="s">
        <v>119</v>
      </c>
    </row>
    <row r="43" spans="1:12" x14ac:dyDescent="0.25">
      <c r="A43" s="6" t="s">
        <v>21</v>
      </c>
    </row>
    <row r="44" spans="1:12" x14ac:dyDescent="0.25">
      <c r="A44" s="6" t="s">
        <v>22</v>
      </c>
    </row>
    <row r="45" spans="1:12" x14ac:dyDescent="0.25">
      <c r="A45" s="6" t="s">
        <v>23</v>
      </c>
    </row>
    <row r="46" spans="1:12" x14ac:dyDescent="0.25">
      <c r="A46" s="6" t="s">
        <v>24</v>
      </c>
    </row>
    <row r="47" spans="1:12" x14ac:dyDescent="0.25">
      <c r="A47" s="6" t="s">
        <v>25</v>
      </c>
    </row>
    <row r="48" spans="1:12" ht="19.5" thickBot="1" x14ac:dyDescent="0.3">
      <c r="A48" s="6" t="s">
        <v>26</v>
      </c>
      <c r="D48" s="89" t="e">
        <f>B71&amp;" Enrolment Updates"</f>
        <v>#VALUE!</v>
      </c>
      <c r="E48" s="89"/>
      <c r="F48" s="89"/>
      <c r="G48" s="89"/>
      <c r="H48" s="89"/>
      <c r="I48" s="89"/>
      <c r="J48" s="89"/>
      <c r="K48" s="89"/>
      <c r="L48"/>
    </row>
    <row r="49" spans="1:12" ht="15.75" thickBot="1" x14ac:dyDescent="0.3">
      <c r="A49" s="6" t="s">
        <v>27</v>
      </c>
      <c r="D49" s="125" t="e">
        <f>B71&amp;" Year Start Enrolment Comparison -Point in Time"</f>
        <v>#VALUE!</v>
      </c>
      <c r="E49" s="126"/>
      <c r="F49" s="126"/>
      <c r="G49" s="126"/>
      <c r="H49" s="126"/>
      <c r="I49" s="126"/>
      <c r="J49" s="126"/>
      <c r="K49" s="127"/>
      <c r="L49" s="17"/>
    </row>
    <row r="50" spans="1:12" x14ac:dyDescent="0.25">
      <c r="A50" s="6" t="s">
        <v>28</v>
      </c>
      <c r="D50" s="90" t="s">
        <v>49</v>
      </c>
      <c r="E50" s="91"/>
      <c r="F50" s="96" t="e">
        <f>TEXT(DATEVALUE(B8), "YYYY-MM-DD")&amp;" ("&amp;B71&amp;")"</f>
        <v>#VALUE!</v>
      </c>
      <c r="G50" s="97"/>
      <c r="H50" s="100" t="s">
        <v>50</v>
      </c>
      <c r="I50" s="101"/>
      <c r="J50" s="104" t="s">
        <v>51</v>
      </c>
      <c r="K50" s="107" t="s">
        <v>52</v>
      </c>
      <c r="L50" s="17"/>
    </row>
    <row r="51" spans="1:12" ht="15.75" thickBot="1" x14ac:dyDescent="0.3">
      <c r="A51" s="6" t="s">
        <v>29</v>
      </c>
      <c r="D51" s="92"/>
      <c r="E51" s="93"/>
      <c r="F51" s="98"/>
      <c r="G51" s="99"/>
      <c r="H51" s="102"/>
      <c r="I51" s="103"/>
      <c r="J51" s="105"/>
      <c r="K51" s="108"/>
      <c r="L51" s="17"/>
    </row>
    <row r="52" spans="1:12" ht="15.75" thickBot="1" x14ac:dyDescent="0.3">
      <c r="A52" s="6" t="s">
        <v>30</v>
      </c>
      <c r="D52" s="94"/>
      <c r="E52" s="95"/>
      <c r="F52" s="18" t="s">
        <v>53</v>
      </c>
      <c r="G52" s="18" t="s">
        <v>54</v>
      </c>
      <c r="H52" s="18" t="s">
        <v>53</v>
      </c>
      <c r="I52" s="18" t="s">
        <v>54</v>
      </c>
      <c r="J52" s="106"/>
      <c r="K52" s="109"/>
      <c r="L52" s="17"/>
    </row>
    <row r="53" spans="1:12" ht="15.75" thickBot="1" x14ac:dyDescent="0.3">
      <c r="A53" s="6" t="s">
        <v>31</v>
      </c>
      <c r="D53" s="86" t="s">
        <v>55</v>
      </c>
      <c r="E53" s="19" t="s">
        <v>56</v>
      </c>
      <c r="F53" s="1" cm="1">
        <f t="array" ref="F53">SUM(--(LEN(IFERROR(
_xlfn.UNIQUE(
_xlfn._xlws.FILTER(
'FLE Campus'!A:A,
('FLE Campus'!A:A&lt;&gt;"")*
('FLE Campus'!A:A&lt;&gt;"PEOPLE_CODE_ID")*
(('FLE Campus'!M:M="FULL")+('FLE Campus'!M:M="PART"))
)),""))&gt;0))</f>
        <v>0</v>
      </c>
      <c r="G53" s="1" t="str" cm="1">
        <f t="array" ref="G53">_xlfn.LET(
_xlpm.x, _xlfn._xlws.FILTER(
'FLE Campus'!Q:Q,
('FLE Campus'!Q:Q&lt;&gt;"")*
('FLE Campus'!Q:Q&lt;&gt;"FLE")*
(('FLE Campus'!M:M="FULL")+('FLE Campus'!M:M="PART"))
),
TEXT(IFERROR(SUM(N(_xlpm.x)), 0), "0.000")
)</f>
        <v>0.000</v>
      </c>
      <c r="H53" s="20"/>
      <c r="I53" s="20"/>
      <c r="J53" s="2" t="str">
        <f>IFERROR(TEXT(ROUND((F53-H53)/H53*100,1),"0.0")&amp;"%","N/A")</f>
        <v>N/A</v>
      </c>
      <c r="K53" s="2" t="str">
        <f>IFERROR(TEXT(ROUND((G53-I53)/I53*100,1),"0.0")&amp;"%","N/A")</f>
        <v>N/A</v>
      </c>
      <c r="L53" s="17"/>
    </row>
    <row r="54" spans="1:12" ht="15.75" thickBot="1" x14ac:dyDescent="0.3">
      <c r="A54" s="6" t="s">
        <v>32</v>
      </c>
      <c r="D54" s="87"/>
      <c r="E54" s="19" t="s">
        <v>11</v>
      </c>
      <c r="F54" s="1" cm="1">
        <f t="array" ref="F54">SUM(--(LEN(IFERROR(
_xlfn.UNIQUE(
_xlfn._xlws.FILTER(
'FLE Campus'!A:A,
('FLE Campus'!A:A&lt;&gt;"")*
('FLE Campus'!A:A&lt;&gt;"PEOPLE_CODE_ID")*
(('FLE Campus'!M:M="FULL")+('FLE Campus'!M:M="PART"))*
(('FLE Campus'!AC:AC="Student Visa")+('FLE Campus'!AC:AC="Other Visa"))
)),""))&gt;0))</f>
        <v>0</v>
      </c>
      <c r="G54" s="1" t="str" cm="1">
        <f t="array" ref="G54">_xlfn.LET(
_xlpm.x, _xlfn._xlws.FILTER(
'FLE Campus'!Q:Q,
('FLE Campus'!Q:Q&lt;&gt;"")*
('FLE Campus'!Q:Q&lt;&gt;"FLE")*
(('FLE Campus'!M:M="FULL")+('FLE Campus'!M:M="PART"))*
(('FLE Campus'!AC:AC="Student Visa")+('FLE Campus'!AC:AC="Other Visa"))
),
TEXT(IFERROR(SUM(N(_xlpm.x)), 0), "0.000")
)</f>
        <v>0.000</v>
      </c>
      <c r="H54" s="20"/>
      <c r="I54" s="20"/>
      <c r="J54" s="2" t="str">
        <f t="shared" ref="J54:J62" si="0">IFERROR(TEXT(ROUND((F54-H54)/H54*100,1),"0.0")&amp;"%","N/A")</f>
        <v>N/A</v>
      </c>
      <c r="K54" s="2" t="str">
        <f t="shared" ref="K54:K62" si="1">IFERROR(TEXT(ROUND((G54-I54)/I54*100,1),"0.0")&amp;"%","N/A")</f>
        <v>N/A</v>
      </c>
      <c r="L54" s="17"/>
    </row>
    <row r="55" spans="1:12" ht="15.75" thickBot="1" x14ac:dyDescent="0.3">
      <c r="A55" s="6" t="s">
        <v>33</v>
      </c>
      <c r="D55" s="87"/>
      <c r="E55" s="19" t="s">
        <v>12</v>
      </c>
      <c r="F55" s="1" cm="1">
        <f t="array" ref="F55">SUM(--(LEN(IFERROR(
_xlfn.UNIQUE(
_xlfn._xlws.FILTER(
'FLE Campus'!A:A,
('FLE Campus'!A:A&lt;&gt;"")*
('FLE Campus'!A:A&lt;&gt;"PEOPLE_CODE_ID")*
(('FLE Campus'!M:M="FULL")+('FLE Campus'!M:M="PART"))*
(('FLE Campus'!AC:AC="Canadian")+('FLE Campus'!AC:AC="Permanent Resident")+('FLE Campus'!AC:AC="Refugee"))
)),""))&gt;0))</f>
        <v>0</v>
      </c>
      <c r="G55" s="1" t="str" cm="1">
        <f t="array" ref="G55">_xlfn.LET(
_xlpm.x, _xlfn._xlws.FILTER(
'FLE Campus'!Q:Q,
('FLE Campus'!Q:Q&lt;&gt;"")*
('FLE Campus'!Q:Q&lt;&gt;"FLE")*
(('FLE Campus'!M:M="FULL")+('FLE Campus'!M:M="PART"))*
(('FLE Campus'!AC:AC="Canadian")+('FLE Campus'!AC:AC="Permanent Resident")+('FLE Campus'!AC:AC="Refugee"))
),
TEXT(IFERROR(SUM(N(_xlpm.x)), 0), "0.000")
)</f>
        <v>0.000</v>
      </c>
      <c r="H55" s="20"/>
      <c r="I55" s="20"/>
      <c r="J55" s="2" t="str">
        <f t="shared" si="0"/>
        <v>N/A</v>
      </c>
      <c r="K55" s="2" t="str">
        <f t="shared" si="1"/>
        <v>N/A</v>
      </c>
      <c r="L55" s="17"/>
    </row>
    <row r="56" spans="1:12" ht="15.75" thickBot="1" x14ac:dyDescent="0.3">
      <c r="A56" s="6" t="s">
        <v>34</v>
      </c>
      <c r="D56" s="87"/>
      <c r="E56" s="19" t="s">
        <v>57</v>
      </c>
      <c r="F56" s="1" cm="1">
        <f t="array" ref="F56">SUM(--(LEN(IFERROR(
_xlfn.UNIQUE(
_xlfn._xlws.FILTER(
'FLE Campus'!A:A,
('FLE Campus'!A:A&lt;&gt;"")*
('FLE Campus'!A:A&lt;&gt;"PEOPLE_CODE_ID")*
(('FLE Campus'!M:M="FULL")+('FLE Campus'!M:M="PART"))*
(('FLE Campus'!AA:AA="Inuit")+('FLE Campus'!AA:AA="Metis")+('FLE Campus'!AA:AA="Non Status")+('FLE Campus'!AA:AA="Status Indian"))
)),""))&gt;0))</f>
        <v>0</v>
      </c>
      <c r="G56" s="1" t="str" cm="1">
        <f t="array" ref="G56">_xlfn.LET(
_xlpm.x, _xlfn._xlws.FILTER(
'FLE Campus'!Q:Q,
('FLE Campus'!Q:Q&lt;&gt;"")*
('FLE Campus'!Q:Q&lt;&gt;"FLE")*
(('FLE Campus'!M:M="FULL")+('FLE Campus'!M:M="PART"))*
(('FLE Campus'!AA:AA="Inuit")+('FLE Campus'!AA:AA="Metis")+('FLE Campus'!AA:AA="Non Status")+('FLE Campus'!AA:AA="Status Indian"))
),
TEXT(IFERROR(SUM(N(_xlpm.x)), 0), "0.000")
)</f>
        <v>0.000</v>
      </c>
      <c r="H56" s="20"/>
      <c r="I56" s="20"/>
      <c r="J56" s="2" t="str">
        <f t="shared" si="0"/>
        <v>N/A</v>
      </c>
      <c r="K56" s="2" t="str">
        <f t="shared" si="1"/>
        <v>N/A</v>
      </c>
      <c r="L56" s="17"/>
    </row>
    <row r="57" spans="1:12" ht="15.75" thickBot="1" x14ac:dyDescent="0.3">
      <c r="A57" s="6" t="s">
        <v>35</v>
      </c>
      <c r="D57" s="88"/>
      <c r="E57" s="19" t="s">
        <v>58</v>
      </c>
      <c r="F57" s="1" cm="1">
        <f t="array" ref="F57">SUM(--(LEN(IFERROR(
_xlfn.UNIQUE(
_xlfn._xlws.FILTER(
'FLE Campus'!A:A,
('FLE Campus'!A:A&lt;&gt;"")*
('FLE Campus'!A:A&lt;&gt;"PEOPLE_CODE_ID")*
(('FLE Campus'!M:M="FULL")+('FLE Campus'!M:M="PART"))*
(('FLE Campus'!J:J="AELEC")+('FLE Campus'!J:J="AHD")+('FLE Campus'!J:J="AMILL")+('FLE Campus'!J:J="ASTEAM")+('FLE Campus'!J:J="AWELD"))
)),""))&gt;0))</f>
        <v>0</v>
      </c>
      <c r="G57" s="1" t="str" cm="1">
        <f t="array" ref="G57">_xlfn.LET(
_xlpm.x, _xlfn._xlws.FILTER(
'FLE Campus'!Q:Q,
('FLE Campus'!Q:Q&lt;&gt;"")*
('FLE Campus'!Q:Q&lt;&gt;"FLE")*
(('FLE Campus'!M:M="FULL")+('FLE Campus'!M:M="PART"))*
(('FLE Campus'!J:J="AELEC")+('FLE Campus'!J:J="AHD")+('FLE Campus'!J:J="AMILL")+('FLE Campus'!J:J="ASTEAM")+('FLE Campus'!J:J="AWELD"))
),
TEXT(IFERROR(SUM(N(_xlpm.x)), 0), "0.000")
)</f>
        <v>0.000</v>
      </c>
      <c r="H57" s="20"/>
      <c r="I57" s="20"/>
      <c r="J57" s="2" t="str">
        <f t="shared" si="0"/>
        <v>N/A</v>
      </c>
      <c r="K57" s="2" t="str">
        <f t="shared" si="1"/>
        <v>N/A</v>
      </c>
      <c r="L57" s="17"/>
    </row>
    <row r="58" spans="1:12" ht="15.75" thickBot="1" x14ac:dyDescent="0.3">
      <c r="A58" s="6" t="s">
        <v>36</v>
      </c>
      <c r="D58" s="86" t="s">
        <v>59</v>
      </c>
      <c r="E58" s="19" t="s">
        <v>60</v>
      </c>
      <c r="F58" s="1" cm="1">
        <f t="array" ref="F58">SUM(--(LEN(IFERROR(
_xlfn.UNIQUE(
_xlfn._xlws.FILTER(
'FLE Campus'!A:A,
('FLE Campus'!A:A&lt;&gt;"")*
('FLE Campus'!A:A&lt;&gt;"PEOPLE_CODE_ID")*
(('FLE Campus'!M:M="FULL")+('FLE Campus'!M:M="PART"))*
('FLE Campus'!K:K="Certificate")
)),""))&gt;0))</f>
        <v>0</v>
      </c>
      <c r="G58" s="1" t="str" cm="1">
        <f t="array" ref="G58">_xlfn.LET(
_xlpm.x, _xlfn._xlws.FILTER(
'FLE Campus'!Q:Q,
('FLE Campus'!Q:Q&lt;&gt;"")*
('FLE Campus'!Q:Q&lt;&gt;"FLE")*
(('FLE Campus'!M:M="FULL")+('FLE Campus'!M:M="PART"))*
('FLE Campus'!K:K="Certificate")
),
TEXT(IFERROR(SUM(N(_xlpm.x)), 0), "0.000")
)</f>
        <v>0.000</v>
      </c>
      <c r="H58" s="20"/>
      <c r="I58" s="20"/>
      <c r="J58" s="2" t="str">
        <f t="shared" si="0"/>
        <v>N/A</v>
      </c>
      <c r="K58" s="2" t="str">
        <f t="shared" si="1"/>
        <v>N/A</v>
      </c>
      <c r="L58" s="17"/>
    </row>
    <row r="59" spans="1:12" ht="15.75" thickBot="1" x14ac:dyDescent="0.3">
      <c r="A59" s="6" t="s">
        <v>37</v>
      </c>
      <c r="D59" s="87"/>
      <c r="E59" s="19" t="s">
        <v>61</v>
      </c>
      <c r="F59" s="1" cm="1">
        <f t="array" ref="F59">SUM(--(LEN(IFERROR(
_xlfn.UNIQUE(
_xlfn._xlws.FILTER(
'FLE Campus'!A:A,
('FLE Campus'!A:A&lt;&gt;"") *
('FLE Campus'!A:A&lt;&gt;"PEOPLE_CODE_ID") *
(('FLE Campus'!M:M="FULL")+('FLE Campus'!M:M="PART"))*
('FLE Campus'!K:K="Diploma")
)),""))&gt;0))</f>
        <v>0</v>
      </c>
      <c r="G59" s="1" t="str" cm="1">
        <f t="array" ref="G59">_xlfn.LET(
_xlpm.x, _xlfn._xlws.FILTER(
'FLE Campus'!Q:Q,
('FLE Campus'!Q:Q&lt;&gt;"")*
('FLE Campus'!Q:Q&lt;&gt;"FLE")*
(('FLE Campus'!M:M="FULL")+('FLE Campus'!M:M="PART"))*
('FLE Campus'!K:K="Diploma")
),
TEXT(IFERROR(SUM(N(_xlpm.x)), 0), "0.000")
)</f>
        <v>0.000</v>
      </c>
      <c r="H59" s="20"/>
      <c r="I59" s="20"/>
      <c r="J59" s="2" t="str">
        <f t="shared" si="0"/>
        <v>N/A</v>
      </c>
      <c r="K59" s="2" t="str">
        <f t="shared" si="1"/>
        <v>N/A</v>
      </c>
      <c r="L59" s="17"/>
    </row>
    <row r="60" spans="1:12" ht="15.75" thickBot="1" x14ac:dyDescent="0.3">
      <c r="A60" s="6" t="s">
        <v>38</v>
      </c>
      <c r="D60" s="88"/>
      <c r="E60" s="19" t="s">
        <v>62</v>
      </c>
      <c r="F60" s="1" cm="1">
        <f t="array" ref="F60">SUM(--(LEN(IFERROR(
_xlfn.UNIQUE(
_xlfn._xlws.FILTER(
'FLE Campus'!A:A,
('FLE Campus'!A:A&lt;&gt;"")*
('FLE Campus'!A:A&lt;&gt;"PEOPLE_CODE_ID")*
(('FLE Campus'!M:M="FULL")+('FLE Campus'!M:M="PART"))*
('FLE Campus'!K:K="Non-credential")
)),""))&gt;0))</f>
        <v>0</v>
      </c>
      <c r="G60" s="1" t="str" cm="1">
        <f t="array" ref="G60">_xlfn.LET(
_xlpm.x, _xlfn._xlws.FILTER(
'FLE Campus'!Q:Q,
('FLE Campus'!Q:Q&lt;&gt;"")*
('FLE Campus'!Q:Q&lt;&gt;"FLE")*
(('FLE Campus'!M:M="FULL")+('FLE Campus'!M:M="PART"))*
('FLE Campus'!K:K="Non-credential")
),
TEXT(IFERROR(SUM(N(_xlpm.x)), 0), "0.000")
)</f>
        <v>0.000</v>
      </c>
      <c r="H60" s="20"/>
      <c r="I60" s="20"/>
      <c r="J60" s="2" t="str">
        <f t="shared" si="0"/>
        <v>N/A</v>
      </c>
      <c r="K60" s="2" t="str">
        <f t="shared" si="1"/>
        <v>N/A</v>
      </c>
      <c r="L60" s="17"/>
    </row>
    <row r="61" spans="1:12" ht="15.75" thickBot="1" x14ac:dyDescent="0.3">
      <c r="A61" s="6" t="s">
        <v>39</v>
      </c>
      <c r="D61" s="120" t="s">
        <v>63</v>
      </c>
      <c r="E61" s="19" t="s">
        <v>64</v>
      </c>
      <c r="F61" s="1" cm="1">
        <f t="array" ref="F61">SUM(--(LEN(IFERROR(
_xlfn.UNIQUE(
_xlfn._xlws.FILTER(
'FLE Campus'!A:A,
('FLE Campus'!A:A&lt;&gt;"")*
('FLE Campus'!A:A&lt;&gt;"PEOPLE_CODE_ID")*
(('FLE Campus'!M:M="FULL")+('FLE Campus'!M:M="PART"))*
('FLE Campus'!E:E="FALL")
)),""))&gt;0))</f>
        <v>0</v>
      </c>
      <c r="G61" s="1" t="str" cm="1">
        <f t="array" ref="G61">_xlfn.LET(
_xlpm.x, _xlfn._xlws.FILTER(
'FLE Campus'!Q:Q,
('FLE Campus'!Q:Q&lt;&gt;"")*
('FLE Campus'!Q:Q&lt;&gt;"FLE")*
(('FLE Campus'!M:M="FULL")+('FLE Campus'!M:M="PART"))*
('FLE Campus'!E:E="FALL")
),
TEXT(IFERROR(SUM(N(_xlpm.x)), 0), "0.000")
)</f>
        <v>0.000</v>
      </c>
      <c r="H61" s="20"/>
      <c r="I61" s="20"/>
      <c r="J61" s="2" t="str">
        <f t="shared" si="0"/>
        <v>N/A</v>
      </c>
      <c r="K61" s="2" t="str">
        <f t="shared" si="1"/>
        <v>N/A</v>
      </c>
      <c r="L61" s="17"/>
    </row>
    <row r="62" spans="1:12" ht="15.75" thickBot="1" x14ac:dyDescent="0.3">
      <c r="A62" s="6" t="s">
        <v>40</v>
      </c>
      <c r="D62" s="121"/>
      <c r="E62" s="19" t="s">
        <v>65</v>
      </c>
      <c r="F62" s="1" cm="1">
        <f t="array" ref="F62">SUM(--(LEN(IFERROR(
_xlfn.UNIQUE(
_xlfn._xlws.FILTER(
'FLE Campus'!A:A,
('FLE Campus'!A:A&lt;&gt;"")*
('FLE Campus'!A:A&lt;&gt;"PEOPLE_CODE_ID")*
(('FLE Campus'!M:M="FULL")+('FLE Campus'!M:M="PART"))*
('FLE Campus'!E:E="WINTER")
)),""))&gt;0))</f>
        <v>0</v>
      </c>
      <c r="G62" s="1" t="str" cm="1">
        <f t="array" ref="G62">_xlfn.LET(
_xlpm.x, _xlfn._xlws.FILTER(
'FLE Campus'!Q:Q,
('FLE Campus'!Q:Q&lt;&gt;"")*
('FLE Campus'!Q:Q&lt;&gt;"FLE")*
(('FLE Campus'!M:M="FULL")+('FLE Campus'!M:M="PART"))*
('FLE Campus'!E:E="WINTER")
),
TEXT(IFERROR(SUM(N(_xlpm.x)), 0), "0.000")
)</f>
        <v>0.000</v>
      </c>
      <c r="H62" s="20"/>
      <c r="I62" s="20"/>
      <c r="J62" s="2" t="str">
        <f t="shared" si="0"/>
        <v>N/A</v>
      </c>
      <c r="K62" s="2" t="str">
        <f t="shared" si="1"/>
        <v>N/A</v>
      </c>
      <c r="L62" s="17"/>
    </row>
    <row r="63" spans="1:12" x14ac:dyDescent="0.25">
      <c r="A63" s="6" t="s">
        <v>41</v>
      </c>
    </row>
    <row r="64" spans="1:12" x14ac:dyDescent="0.25">
      <c r="A64" s="6" t="s">
        <v>42</v>
      </c>
      <c r="D64" s="4" t="e">
        <f>"The budgeted projection FLE for the "&amp;B71&amp;" academic year is "&amp;B74&amp;". As of "&amp;B8&amp;", the actual FLE is "&amp;B75&amp;"; this indicates a "&amp;B76&amp;" of the budgeted projection achieved for the whole academic year."</f>
        <v>#VALUE!</v>
      </c>
    </row>
    <row r="65" spans="1:11" x14ac:dyDescent="0.25">
      <c r="A65" s="6" t="s">
        <v>43</v>
      </c>
      <c r="D65" s="4" t="e">
        <f>"Fall "&amp;B72&amp;" (Part-time) *: The budgeted projection part-time headcount for Fall "&amp;B72&amp;" is "&amp;B74&amp;". As of "&amp;B8&amp;", the actual headcount is "&amp;B75&amp;", this indicates a "&amp;B76&amp;" of the budgeted projection achieved for the semester."</f>
        <v>#VALUE!</v>
      </c>
    </row>
    <row r="66" spans="1:11" x14ac:dyDescent="0.25">
      <c r="A66" s="6" t="s">
        <v>44</v>
      </c>
      <c r="D66" s="4" t="e">
        <f>"Fall "&amp;B72&amp;" (Full-time) *: The budgeted projection part-time headcount for Fall "&amp;B72&amp;" is "&amp;B80&amp;". As of "&amp;B8&amp;", the actual headcount is "&amp;B81&amp;", this indicates a "&amp;B82&amp;" of the budgeted projection achieved for the semester."</f>
        <v>#VALUE!</v>
      </c>
    </row>
    <row r="67" spans="1:11" x14ac:dyDescent="0.25">
      <c r="A67" s="6" t="s">
        <v>45</v>
      </c>
      <c r="D67" s="4" t="e">
        <f>"Winter "&amp;B73&amp;" (Part-time) *: The budgeted projection part-time headcount for Winter "&amp;B73&amp;" is "&amp;B83&amp;". As of "&amp;B8&amp;", the actual headcount is "&amp;B84&amp;", this indicates a "&amp;B85&amp;" of the budgeted projection achieved for the semester."</f>
        <v>#VALUE!</v>
      </c>
    </row>
    <row r="68" spans="1:11" x14ac:dyDescent="0.25">
      <c r="A68" s="6" t="s">
        <v>46</v>
      </c>
      <c r="D68" s="4" t="e">
        <f>"Winter "&amp;B73&amp;" (Full-time) *: The budgeted projection part-time headcount for Winter "&amp;B73&amp;" is "&amp;B86&amp;". As of "&amp;B8&amp;", the actual headcount is "&amp;B87&amp;", this indicates a "&amp;B88&amp;" of the budgeted projection achieved for the semester."</f>
        <v>#VALUE!</v>
      </c>
    </row>
    <row r="69" spans="1:11" x14ac:dyDescent="0.25">
      <c r="A69" s="6" t="s">
        <v>47</v>
      </c>
      <c r="D69" s="4" t="s">
        <v>67</v>
      </c>
    </row>
    <row r="70" spans="1:11" x14ac:dyDescent="0.25">
      <c r="A70" s="13" t="s">
        <v>48</v>
      </c>
      <c r="B70" s="13"/>
    </row>
    <row r="71" spans="1:11" x14ac:dyDescent="0.25">
      <c r="A71" s="6" t="s">
        <v>108</v>
      </c>
      <c r="B71" s="6" t="e" cm="1">
        <f t="array" ref="B71">MIN(
IFERROR(
VALUE(
_xlfn._xlws.FILTER(
'FLE Campus'!D:D,
('FLE Campus'!D:D&lt;&gt;"")*(ROW('FLE Campus'!D:D)&lt;&gt;1)
)
),
""
)
)
&amp;"-"&amp;
RIGHT(
MIN(
IFERROR(
VALUE(
_xlfn._xlws.FILTER(
'FLE Campus'!D:D,
('FLE Campus'!D:D&lt;&gt;"")*(ROW('FLE Campus'!D:D)&lt;&gt;1)
)
),
""
)
)+1,2)</f>
        <v>#VALUE!</v>
      </c>
      <c r="D71" s="4" t="s">
        <v>68</v>
      </c>
    </row>
    <row r="72" spans="1:11" x14ac:dyDescent="0.25">
      <c r="A72" s="6" t="s">
        <v>116</v>
      </c>
      <c r="B72" s="6" t="e" cm="1">
        <f t="array" ref="B72">MIN(
IFERROR(
VALUE(
_xlfn._xlws.FILTER(
'FLE Campus'!D:D,
('FLE Campus'!D:D&lt;&gt;"")*(ROW('FLE Campus'!D:D)&lt;&gt;1)
)
),
""
)
)</f>
        <v>#VALUE!</v>
      </c>
      <c r="D72" s="4" t="e">
        <f>"Enrolment is ongoing for the "&amp;B71&amp;" academic year."</f>
        <v>#VALUE!</v>
      </c>
    </row>
    <row r="73" spans="1:11" x14ac:dyDescent="0.25">
      <c r="A73" s="6" t="s">
        <v>117</v>
      </c>
      <c r="B73" s="6" t="e" cm="1">
        <f t="array" ref="B73">MIN(
IFERROR(
VALUE(
_xlfn._xlws.FILTER(
'FLE Campus'!D:D,
('FLE Campus'!D:D&lt;&gt;"")*(ROW('FLE Campus'!D:D)&lt;&gt;1)
)
),
 ""
)
)+1</f>
        <v>#VALUE!</v>
      </c>
      <c r="D73" s="4" t="e">
        <f>"LINC registration takes place in early September with twice-a-month registration until the last intake in May "&amp;B73&amp;"."</f>
        <v>#VALUE!</v>
      </c>
    </row>
    <row r="74" spans="1:11" x14ac:dyDescent="0.25">
      <c r="A74" s="6" t="e">
        <f>"Budgeted FLE For "&amp;B71</f>
        <v>#VALUE!</v>
      </c>
      <c r="B74" s="84">
        <f>ROUND(N('Budgeted Projections FLE'!G192),3)</f>
        <v>0</v>
      </c>
    </row>
    <row r="75" spans="1:11" ht="15.75" thickBot="1" x14ac:dyDescent="0.3">
      <c r="A75" s="6" t="e">
        <f>"Actual FLE For "&amp;B71</f>
        <v>#VALUE!</v>
      </c>
      <c r="B75" s="6" t="str" cm="1">
        <f t="array" ref="B75">_xlfn.LET(
_xlpm.x, _xlfn._xlws.FILTER(
'FLE Campus'!Q:Q,
('FLE Campus'!Q:Q&lt;&gt;"")*
('FLE Campus'!Q:Q&lt;&gt;"FLE")*
(('FLE Campus'!M:M="FULL")+('FLE Campus'!M:M="PART"))
),
TEXT(IFERROR(SUM(N(_xlpm.x)), 0), "0.000")
)</f>
        <v>0.000</v>
      </c>
      <c r="D75" s="118" t="e">
        <f>B71&amp;" Enrolments Projections Progress by Headcount *"</f>
        <v>#VALUE!</v>
      </c>
      <c r="E75" s="119"/>
      <c r="F75" s="119"/>
      <c r="G75" s="119"/>
      <c r="H75" s="119"/>
      <c r="I75" s="119"/>
      <c r="J75" s="119"/>
      <c r="K75" s="119"/>
    </row>
    <row r="76" spans="1:11" ht="15.75" thickBot="1" x14ac:dyDescent="0.3">
      <c r="A76" s="6" t="e">
        <f>"% Budgeted FLE Achieved For "&amp;B71&amp;" (with conditional surpass text)"</f>
        <v>#VALUE!</v>
      </c>
      <c r="B76" s="6" t="e">
        <f>IF(
VALUE(B75)&lt;=VALUE(B74),
TEXT(ROUND(VALUE(B75)/VALUE(B74)*100,1),"0.0")&amp;"%",
TEXT(ROUND(((VALUE(B75)-VALUE(B74))/VALUE(B74))*100,1),"0.0")&amp;"% surpass"
)</f>
        <v>#DIV/0!</v>
      </c>
      <c r="D76" s="113" t="s">
        <v>8</v>
      </c>
      <c r="E76" s="26" t="s">
        <v>69</v>
      </c>
      <c r="F76" s="115" t="s">
        <v>64</v>
      </c>
      <c r="G76" s="116"/>
      <c r="H76" s="117"/>
      <c r="I76" s="115" t="s">
        <v>65</v>
      </c>
      <c r="J76" s="116"/>
      <c r="K76" s="117"/>
    </row>
    <row r="77" spans="1:11" ht="15" customHeight="1" x14ac:dyDescent="0.25">
      <c r="A77" s="6" t="e">
        <f>"Budgeted Part-time Headcount For Fall "&amp;$B$72</f>
        <v>#VALUE!</v>
      </c>
      <c r="B77" s="84">
        <f>N('Budgeted Projections Total HC'!G192)
-N('Budgeted Projections Total HC'!G100)
-N('Budgeted Projections Total HC'!G162)
-N('Budgeted Projections Total HC'!G171)
-N('Budgeted Projections Total HC'!G172)</f>
        <v>0</v>
      </c>
      <c r="D77" s="124"/>
      <c r="E77" s="26" t="s">
        <v>70</v>
      </c>
      <c r="F77" s="122" t="s">
        <v>71</v>
      </c>
      <c r="G77" s="122" t="s">
        <v>72</v>
      </c>
      <c r="H77" s="26" t="s">
        <v>73</v>
      </c>
      <c r="I77" s="122" t="s">
        <v>71</v>
      </c>
      <c r="J77" s="122" t="s">
        <v>72</v>
      </c>
      <c r="K77" s="26" t="s">
        <v>73</v>
      </c>
    </row>
    <row r="78" spans="1:11" ht="15.75" customHeight="1" thickBot="1" x14ac:dyDescent="0.3">
      <c r="A78" s="6" t="e">
        <f>"Actual Part-time Headcount For Fall "&amp;$B$72</f>
        <v>#VALUE!</v>
      </c>
      <c r="B78" s="6" cm="1">
        <f t="array" ref="B78">SUM(--(LEN(IFERROR(
_xlfn._xlws.FILTER(
'FLE Campus'!A:A,
('FLE Campus'!A:A&lt;&gt;"")*
('FLE Campus'!A:A&lt;&gt;"PEOPLE_CODE_ID")*
('FLE Campus'!M:M="PART")*
('FLE Campus'!E:E="FALL")*
ISNA(
MATCH(
TRIM('FLE Campus'!J:J),
{"AELEC","AHD","AMILL","ASTEAM","AWELD","LINC13","POWCM3","POWCM4"},
0
)
)),""))&gt;0))</f>
        <v>0</v>
      </c>
      <c r="D78" s="114"/>
      <c r="E78" s="27"/>
      <c r="F78" s="123"/>
      <c r="G78" s="123"/>
      <c r="H78" s="28" t="s">
        <v>74</v>
      </c>
      <c r="I78" s="123"/>
      <c r="J78" s="123"/>
      <c r="K78" s="28" t="s">
        <v>74</v>
      </c>
    </row>
    <row r="79" spans="1:11" ht="15.75" thickBot="1" x14ac:dyDescent="0.3">
      <c r="A79" s="6" t="e">
        <f>"% Budgeted Part-time Headcount Achieved For Fall "&amp;$B$72&amp;" (with conditional surpass text)"</f>
        <v>#VALUE!</v>
      </c>
      <c r="B79" s="6" t="e">
        <f>IF(
VALUE(B78)&lt;=VALUE(B77),
TEXT(ROUND(VALUE(B78)/VALUE(B77)*100,1),"0.0")&amp;"%",
TEXT(ROUND(((VALUE(B78)-VALUE(B77))/VALUE(B77))*100,1),"0.0")&amp;"% surpass"
)</f>
        <v>#DIV/0!</v>
      </c>
      <c r="D79" s="113" t="s">
        <v>11</v>
      </c>
      <c r="E79" s="29" t="s">
        <v>75</v>
      </c>
      <c r="F79" s="32">
        <f>N('Budgeted Projections Intl HC'!H192)
-N('Budgeted Projections Intl HC'!H100)
-N('Budgeted Projections Intl HC'!H162)
-N('Budgeted Projections Intl HC'!H171)
-N('Budgeted Projections Intl HC'!H172)</f>
        <v>0</v>
      </c>
      <c r="G79" s="32" cm="1">
        <f t="array" ref="G79">SUM(--(LEN(IFERROR(
_xlfn._xlws.FILTER(
'FLE Campus'!A:A,
('FLE Campus'!A:A&lt;&gt;"")*
('FLE Campus'!A:A&lt;&gt;"PEOPLE_CODE_ID")*
('FLE Campus'!M:M="FULL")*
('FLE Campus'!E:E="FALL")*
(('FLE Campus'!AC:AC="Student Visa")+('FLE Campus'!AC:AC="Other Visa"))*
ISNA(
MATCH(
TRIM('FLE Campus'!J:J),
{"AELEC","AHD","AMILL","ASTEAM","AWELD","LINC13","POWCM3","POWCM4"},
0
)
)),""))&gt;0))</f>
        <v>0</v>
      </c>
      <c r="H79" s="33" t="str">
        <f>IFERROR(TEXT(ROUND(G79/F79*100,1),"0.0")&amp;"%","N/A")</f>
        <v>N/A</v>
      </c>
      <c r="I79" s="31"/>
      <c r="J79" s="31"/>
      <c r="K79" s="30"/>
    </row>
    <row r="80" spans="1:11" ht="15.75" thickBot="1" x14ac:dyDescent="0.3">
      <c r="A80" s="6" t="e">
        <f>"Budgeted Full-time Headcount For Fall "&amp;$B$72</f>
        <v>#VALUE!</v>
      </c>
      <c r="B80" s="84">
        <f>N('Budgeted Projections Total HC'!H192)
-N('Budgeted Projections Total HC'!H100)
-N('Budgeted Projections Total HC'!H162)
-N('Budgeted Projections Total HC'!H171)
-N('Budgeted Projections Total HC'!H172)</f>
        <v>0</v>
      </c>
      <c r="D80" s="114"/>
      <c r="E80" s="29" t="s">
        <v>76</v>
      </c>
      <c r="F80" s="32">
        <f>N('Budgeted Projections Intl HC'!G192)
-N('Budgeted Projections Intl HC'!G100)
-N('Budgeted Projections Intl HC'!G162)
-N('Budgeted Projections Intl HC'!G171)
-N('Budgeted Projections Intl HC'!G172)</f>
        <v>0</v>
      </c>
      <c r="G80" s="32" cm="1">
        <f t="array" ref="G80">SUM(--(LEN(IFERROR(
_xlfn._xlws.FILTER(
'FLE Campus'!A:A,
('FLE Campus'!A:A&lt;&gt;"")*
('FLE Campus'!A:A&lt;&gt;"PEOPLE_CODE_ID")*
('FLE Campus'!M:M="PART")*
('FLE Campus'!E:E="FALL")*
(('FLE Campus'!AC:AC="Student Visa")+('FLE Campus'!AC:AC="Other Visa"))*
ISNA(
MATCH(
TRIM('FLE Campus'!J:J),
{"AELEC","AHD","AMILL","ASTEAM","AWELD","LINC13","POWCM3","POWCM4"},
0
)
)),""))&gt;0))</f>
        <v>0</v>
      </c>
      <c r="H80" s="33" t="str">
        <f t="shared" ref="H80:H82" si="2">IFERROR(TEXT(ROUND(G80/F80*100,1),"0.0")&amp;"%","N/A")</f>
        <v>N/A</v>
      </c>
      <c r="I80" s="31"/>
      <c r="J80" s="31"/>
      <c r="K80" s="30"/>
    </row>
    <row r="81" spans="1:11" ht="15.75" thickBot="1" x14ac:dyDescent="0.3">
      <c r="A81" s="6" t="e">
        <f>"Actual Full-time Headcount For Fall "&amp;$B$72</f>
        <v>#VALUE!</v>
      </c>
      <c r="B81" s="6" cm="1">
        <f t="array" ref="B81">SUM(--(LEN(IFERROR(
_xlfn._xlws.FILTER(
'FLE Campus'!A:A,
('FLE Campus'!A:A&lt;&gt;"")*
('FLE Campus'!A:A&lt;&gt;"PEOPLE_CODE_ID")*
('FLE Campus'!M:M="FULL")*
('FLE Campus'!E:E="FALL")*
ISNA(
MATCH(
TRIM('FLE Campus'!J:J),
{"AELEC","AHD","AMILL","ASTEAM","AWELD","LINC13","POWCM3","POWCM4"},
0
)
)),""))&gt;0))</f>
        <v>0</v>
      </c>
      <c r="D81" s="113" t="s">
        <v>12</v>
      </c>
      <c r="E81" s="29" t="s">
        <v>75</v>
      </c>
      <c r="F81" s="32">
        <f>N('Budgeted Projections Dom HC'!H192)
-N('Budgeted Projections Dom HC'!H100)
-N('Budgeted Projections Dom HC'!H162)
-N('Budgeted Projections Dom HC'!H171)
-N('Budgeted Projections Dom HC'!H172)</f>
        <v>0</v>
      </c>
      <c r="G81" s="32" cm="1">
        <f t="array" ref="G81">SUM(--(LEN(IFERROR(
_xlfn._xlws.FILTER(
'FLE Campus'!A:A,
('FLE Campus'!A:A&lt;&gt;"")*
('FLE Campus'!A:A&lt;&gt;"PEOPLE_CODE_ID")*
('FLE Campus'!M:M="FULL")*
('FLE Campus'!E:E="FALL")*
(('FLE Campus'!AC:AC="Canadian")+('FLE Campus'!AC:AC="Permanent Resident")+('FLE Campus'!AC:AC="Refugee"))*
ISNA(
MATCH(
TRIM('FLE Campus'!J:J),
{"AELEC","AHD","AMILL","ASTEAM","AWELD","LINC13","POWCM3","POWCM4"},
0
)
)),""))&gt;0))</f>
        <v>0</v>
      </c>
      <c r="H81" s="33" t="str">
        <f t="shared" si="2"/>
        <v>N/A</v>
      </c>
      <c r="I81" s="31"/>
      <c r="J81" s="31"/>
      <c r="K81" s="30"/>
    </row>
    <row r="82" spans="1:11" ht="15.75" thickBot="1" x14ac:dyDescent="0.3">
      <c r="A82" s="6" t="e">
        <f>"% Budgeted Full-time Headcount Achieved For Fall "&amp;$B$72&amp;" (with conditional surpass text)"</f>
        <v>#VALUE!</v>
      </c>
      <c r="B82" s="6" t="e">
        <f>IF(
VALUE(B81)&lt;=VALUE(B80),
TEXT(ROUND(VALUE(B81)/VALUE(B80)*100,1),"0.0")&amp;"%",
TEXT(ROUND(((VALUE(B81)-VALUE(B80))/VALUE(B80))*100,1),"0.0")&amp;"% surpass"
)</f>
        <v>#DIV/0!</v>
      </c>
      <c r="D82" s="114"/>
      <c r="E82" s="29" t="s">
        <v>76</v>
      </c>
      <c r="F82" s="32">
        <f>N('Budgeted Projections Dom HC'!G192)
-N('Budgeted Projections Dom HC'!G100)
-N('Budgeted Projections Dom HC'!G162)
-N('Budgeted Projections Dom HC'!G171)
-N('Budgeted Projections Dom HC'!G172)</f>
        <v>0</v>
      </c>
      <c r="G82" s="32" cm="1">
        <f t="array" ref="G82">SUM(--(LEN(IFERROR(
_xlfn._xlws.FILTER(
'FLE Campus'!A:A,
('FLE Campus'!A:A&lt;&gt;"")*
('FLE Campus'!A:A&lt;&gt;"PEOPLE_CODE_ID")*
('FLE Campus'!M:M="PART")*
('FLE Campus'!E:E="FALL")*
(('FLE Campus'!AC:AC="Canadian")+('FLE Campus'!AC:AC="Permanent Resident")+('FLE Campus'!AC:AC="Refugee"))*
ISNA(
MATCH(
TRIM('FLE Campus'!J:J),
{"AELEC","AHD","AMILL","ASTEAM","AWELD","LINC13","POWCM3","POWCM4"},
0
)
)),""))&gt;0))</f>
        <v>0</v>
      </c>
      <c r="H82" s="33" t="str">
        <f t="shared" si="2"/>
        <v>N/A</v>
      </c>
      <c r="I82" s="31"/>
      <c r="J82" s="31"/>
      <c r="K82" s="30"/>
    </row>
    <row r="83" spans="1:11" x14ac:dyDescent="0.25">
      <c r="A83" s="6" t="e">
        <f>"Budgeted Part-time Headcount For Winter "&amp;$B$73</f>
        <v>#VALUE!</v>
      </c>
      <c r="B83" s="84">
        <f>N('Budgeted Projections Total HC'!I192)
-N('Budgeted Projections Total HC'!I100)
-N('Budgeted Projections Total HC'!I162)
-N('Budgeted Projections Total HC'!I171)
-N('Budgeted Projections Total HC'!I172)</f>
        <v>0</v>
      </c>
      <c r="E83" s="24" t="s">
        <v>67</v>
      </c>
    </row>
    <row r="84" spans="1:11" x14ac:dyDescent="0.25">
      <c r="A84" s="6" t="e">
        <f>"Actual Part-time Headcount For Winter "&amp;$B$73</f>
        <v>#VALUE!</v>
      </c>
      <c r="B84" s="6" cm="1">
        <f t="array" ref="B84">SUM(--(LEN(IFERROR(
_xlfn._xlws.FILTER(
'FLE Campus'!A:A,
('FLE Campus'!A:A&lt;&gt;"")*
('FLE Campus'!A:A&lt;&gt;"PEOPLE_CODE_ID")*
('FLE Campus'!M:M="PART")*
('FLE Campus'!E:E="WINTER")*
ISNA(
MATCH(
TRIM('FLE Campus'!J:J),
{"AELEC","AHD","AMILL","ASTEAM","AWELD","LINC13","POWCM3","POWCM4"},
0
)
)),""))&gt;0))</f>
        <v>0</v>
      </c>
    </row>
    <row r="85" spans="1:11" x14ac:dyDescent="0.25">
      <c r="A85" s="6" t="e">
        <f>"% Budgeted Part-time Headcount Achieved For Winter "&amp;$B$73&amp;" (with conditional surpass text)"</f>
        <v>#VALUE!</v>
      </c>
      <c r="B85" s="6" t="e">
        <f>IF(
VALUE(B84)&lt;=VALUE(B83),
TEXT(ROUND(VALUE(B84)/VALUE(B83)*100,1),"0.0")&amp;"%",
TEXT(ROUND(((VALUE(B84)-VALUE(B83))/VALUE(B83))*100,1),"0.0")&amp;"% surpass"
)</f>
        <v>#DIV/0!</v>
      </c>
    </row>
    <row r="86" spans="1:11" x14ac:dyDescent="0.25">
      <c r="A86" s="6" t="e">
        <f>"Budgeted Full-time Headcount For Winter "&amp;$B$73</f>
        <v>#VALUE!</v>
      </c>
      <c r="B86" s="84">
        <f>N('Budgeted Projections Total HC'!J192)
-N('Budgeted Projections Total HC'!J100)
-N('Budgeted Projections Total HC'!J162)
-N('Budgeted Projections Total HC'!J171)
-N('Budgeted Projections Total HC'!J172)</f>
        <v>0</v>
      </c>
      <c r="D86" s="12" t="s">
        <v>58</v>
      </c>
    </row>
    <row r="87" spans="1:11" x14ac:dyDescent="0.25">
      <c r="A87" s="6" t="e">
        <f>"Actual Full-time Headcount For Winter "&amp;$B$73</f>
        <v>#VALUE!</v>
      </c>
      <c r="B87" s="6" cm="1">
        <f t="array" ref="B87">SUM(--(LEN(IFERROR(
_xlfn._xlws.FILTER(
'FLE Campus'!A:A,
('FLE Campus'!A:A&lt;&gt;"")*
('FLE Campus'!A:A&lt;&gt;"PEOPLE_CODE_ID")*
('FLE Campus'!M:M="FULL")*
('FLE Campus'!E:E="WINTER")*
ISNA(
MATCH(
TRIM('FLE Campus'!J:J),
{"AELEC","AHD","AMILL","ASTEAM","AWELD","LINC13","POWCM3","POWCM4"},
0
)
)),""))&gt;0))</f>
        <v>0</v>
      </c>
      <c r="D87" s="34" t="e">
        <f>"The budgeted projection headcount for Fall "&amp;B72&amp;" is "&amp;B89&amp;". As of "&amp;B8&amp;", the actual headcount is "&amp;B90&amp;"; this indicates a "&amp;B91&amp;" of the budgeted projection achieved for the semester. The following programs have achieved or surpassed their projection:"</f>
        <v>#VALUE!</v>
      </c>
    </row>
    <row r="88" spans="1:11" x14ac:dyDescent="0.25">
      <c r="A88" s="6" t="e">
        <f>"% Budgeted Full-time Headcount Achieved For Winter "&amp;$B$73&amp;" (with conditional surpass text)"</f>
        <v>#VALUE!</v>
      </c>
      <c r="B88" s="6" t="e">
        <f>IF(
VALUE(B87)&lt;=VALUE(B86),
TEXT(ROUND(VALUE(B87)/VALUE(B86)*100,1),"0.0")&amp;"%",
TEXT(ROUND(((VALUE(B87)-VALUE(B86))/VALUE(B86))*100,1),"0.0")&amp;"% surpass"
)</f>
        <v>#DIV/0!</v>
      </c>
      <c r="D88" s="34" t="str">
        <f>"Apprenticeship Electrician - "&amp;
IF(TRIM(_xlfn.LET(
_xlpm.rawtxt,
IF(VALUE(B93)&gt;=B92,"1st Year, ","")&amp;
IF(VALUE(B95)&gt;=B94,"2nd Year, ","")&amp;
IF(VALUE(B97)&gt;=B96,"3rd Year, ","")&amp;
IF(VALUE(B99)&gt;=B98,"4th Year, ",""),
_xlpm.cleanedtxt,
IF(RIGHT(_xlpm.rawtxt,2)=", ",LEFT(_xlpm.rawtxt,LEN(_xlpm.rawtxt)-2),
IF(RIGHT(_xlpm.rawtxt,1)=",",LEFT(_xlpm.rawtxt,LEN(_xlpm.rawtxt)-1),_xlpm.rawtxt)
),
TRIM(_xlpm.cleanedtxt))
)="","None",
_xlfn.LET(
_xlpm.rawtxt,
IF(VALUE(B93)&gt;=B92,"1st Year, ","")&amp;
IF(VALUE(B95)&gt;=B94,"2nd Year, ","")&amp;
IF(VALUE(B97)&gt;=B96,"3rd Year, ","")&amp;
IF(VALUE(B99)&gt;=B98,"4th Year, ",""),
_xlpm.cleanedtxt,
IF(RIGHT(_xlpm.rawtxt,2)=", ",LEFT(_xlpm.rawtxt,LEN(_xlpm.rawtxt)-2),
IF(RIGHT(_xlpm.rawtxt,1)=",",LEFT(_xlpm.rawtxt,LEN(_xlpm.rawtxt)-1),_xlpm.rawtxt)
),
TRIM(_xlpm.cleanedtxt)))</f>
        <v>Apprenticeship Electrician - 1st Year, 2nd Year, 3rd Year, 4th Year</v>
      </c>
    </row>
    <row r="89" spans="1:11" x14ac:dyDescent="0.25">
      <c r="A89" s="6" t="e">
        <f>"Budgeted Apprenticeship Headcount For Fall "&amp;$B$72</f>
        <v>#VALUE!</v>
      </c>
      <c r="B89" s="84">
        <f>N('Budgeted Projections Total HC'!H162)</f>
        <v>0</v>
      </c>
      <c r="D89" s="34" t="str">
        <f>"Apprenticeship Heavy Equipment Technician - "&amp;
IF(TRIM(_xlfn.LET(
_xlpm.rawtxt,
IF(VALUE(B101)&gt;=B100,"1st Year, ","")&amp;
IF(VALUE(B103)&gt;=B102,"2nd Year, ","")&amp;
IF(VALUE(B105)&gt;=B104,"3rd Year, ","")&amp;
IF(VALUE(B107)&gt;=B106,"4th Year, ",""),
_xlpm.cleanedtxt,
IF(RIGHT(_xlpm.rawtxt,2)=", ",LEFT(_xlpm.rawtxt,LEN(_xlpm.rawtxt)-2),
IF(RIGHT(_xlpm.rawtxt,1)=",",LEFT(_xlpm.rawtxt,LEN(_xlpm.rawtxt)-1),_xlpm.rawtxt)
),
TRIM(_xlpm.cleanedtxt))
)="","None",
_xlfn.LET(
_xlpm.rawtxt,
IF(VALUE(B101)&gt;=B100,"1st Year, ","")&amp;
IF(VALUE(B103)&gt;=B102,"2nd Year, ","")&amp;
IF(VALUE(B105)&gt;=B104,"3rd Year, ","")&amp;
IF(VALUE(B107)&gt;=B106,"4th Year, ",""),
_xlpm.cleanedtxt,
IF(RIGHT(_xlpm.rawtxt,2)=", ",LEFT(_xlpm.rawtxt,LEN(_xlpm.rawtxt)-2),
IF(RIGHT(_xlpm.rawtxt,1)=",",LEFT(_xlpm.rawtxt,LEN(_xlpm.rawtxt)-1),_xlpm.rawtxt)
),
TRIM(_xlpm.cleanedtxt)))</f>
        <v>Apprenticeship Heavy Equipment Technician - 1st Year, 2nd Year, 3rd Year, 4th Year</v>
      </c>
    </row>
    <row r="90" spans="1:11" x14ac:dyDescent="0.25">
      <c r="A90" s="6" t="e">
        <f>"Actual Apprenticeship Headcount For Fall "&amp;$B$72</f>
        <v>#VALUE!</v>
      </c>
      <c r="B90" s="6" cm="1">
        <f t="array" ref="B90">SUM(--(LEN(IFERROR(
_xlfn._xlws.FILTER(
'FLE Campus'!A:A,
('FLE Campus'!A:A&lt;&gt;"")*
('FLE Campus'!A:A&lt;&gt;"PEOPLE_CODE_ID")*
(('FLE Campus'!M:M="FULL")+('FLE Campus'!M:M="PART"))*
('FLE Campus'!E:E="FALL")*
ISNUMBER(
MATCH(
TRIM('FLE Campus'!J:J),
{"AELEC","AHD","AMILL","ASTEAM","AWELD"},
0
)
)),""))&gt;0))</f>
        <v>0</v>
      </c>
      <c r="D90" s="25" t="s">
        <v>111</v>
      </c>
    </row>
    <row r="91" spans="1:11" x14ac:dyDescent="0.25">
      <c r="A91" s="6" t="e">
        <f>"% Budgeted Apprenticeship Headcount Achieved For Fall "&amp;$B$72&amp;" (with conditional surpass text)"</f>
        <v>#VALUE!</v>
      </c>
      <c r="B91" s="6" t="e">
        <f>IF(
VALUE(B90)&lt;=VALUE(B89),
TEXT(ROUND(VALUE(B90)/VALUE(B89)*100,1),"0.0")&amp;"%",
TEXT(ROUND(((VALUE(B90)-VALUE(B89))/VALUE(B89))*100,1),"0.0")&amp;"% surpass"
)</f>
        <v>#DIV/0!</v>
      </c>
      <c r="D91" s="25" t="s">
        <v>112</v>
      </c>
    </row>
    <row r="92" spans="1:11" x14ac:dyDescent="0.25">
      <c r="A92" s="6" t="e">
        <f>"Budgeted Apprenticeship Electrician Year 1 Headcount For Fall "&amp;$B$72</f>
        <v>#VALUE!</v>
      </c>
      <c r="B92" s="84">
        <f>N('Budgeted Projections Total HC'!H143)</f>
        <v>0</v>
      </c>
      <c r="D92" s="25" t="s">
        <v>113</v>
      </c>
    </row>
    <row r="93" spans="1:11" x14ac:dyDescent="0.25">
      <c r="A93" s="6" t="e">
        <f>"Actual Apprenticeship Electrician Year 1 Headcount For Fall "&amp;$B$72</f>
        <v>#VALUE!</v>
      </c>
      <c r="B93" s="85" cm="1">
        <f t="array" ref="B93">SUM(--(LEN(IFERROR(
_xlfn._xlws.FILTER(
'FLE Campus'!A:A,
('FLE Campus'!A:A&lt;&gt;"")*
('FLE Campus'!A:A&lt;&gt;"PEOPLE_CODE_ID")*
(('FLE Campus'!M:M="FULL")+('FLE Campus'!M:M="PART"))*
('FLE Campus'!E:E="FALL")*
(('FLE Campus'!L:L="1")+('FLE Campus'!L:L=1))*
ISNUMBER(
MATCH(
TRIM('FLE Campus'!J:J),
{"AELEC"},
0
)
)),""))&gt;0))</f>
        <v>0</v>
      </c>
    </row>
    <row r="94" spans="1:11" x14ac:dyDescent="0.25">
      <c r="A94" s="6" t="e">
        <f>"Budgeted Apprenticeship Electrician Year 2 Headcount For Fall "&amp;$B$72</f>
        <v>#VALUE!</v>
      </c>
      <c r="B94" s="84">
        <f>N('Budgeted Projections Total HC'!H144)</f>
        <v>0</v>
      </c>
      <c r="D94" s="25" t="s">
        <v>444</v>
      </c>
    </row>
    <row r="95" spans="1:11" x14ac:dyDescent="0.25">
      <c r="A95" s="6" t="e">
        <f>"Actual Apprenticeship Electrician Year 2 Headcount For Fall "&amp;$B$72</f>
        <v>#VALUE!</v>
      </c>
      <c r="B95" s="85" cm="1">
        <f t="array" ref="B95">SUM(--(LEN(IFERROR(
_xlfn._xlws.FILTER(
'FLE Campus'!A:A,
('FLE Campus'!A:A&lt;&gt;"")*
('FLE Campus'!A:A&lt;&gt;"PEOPLE_CODE_ID")*
(('FLE Campus'!M:M="FULL")+('FLE Campus'!M:M="PART"))*
('FLE Campus'!E:E="FALL")*
(('FLE Campus'!L:L="2")+('FLE Campus'!L:L=2))*
ISNUMBER(
MATCH(
TRIM('FLE Campus'!J:J),
{"AELEC"},
0
)
)),""))&gt;0))</f>
        <v>0</v>
      </c>
      <c r="D95" s="25" t="s">
        <v>109</v>
      </c>
    </row>
    <row r="96" spans="1:11" x14ac:dyDescent="0.25">
      <c r="A96" s="6" t="e">
        <f>"Budgeted Apprenticeship Electrician Year 3 Headcount For Fall "&amp;$B$72</f>
        <v>#VALUE!</v>
      </c>
      <c r="B96" s="84">
        <f>N('Budgeted Projections Total HC'!H145)</f>
        <v>0</v>
      </c>
      <c r="D96" s="25" t="s">
        <v>110</v>
      </c>
    </row>
    <row r="97" spans="1:4" x14ac:dyDescent="0.25">
      <c r="A97" s="6" t="e">
        <f>"Actual Apprenticeship Electrician Year 3 Headcount For Fall "&amp;$B$72</f>
        <v>#VALUE!</v>
      </c>
      <c r="B97" s="85" cm="1">
        <f t="array" ref="B97">SUM(--(LEN(IFERROR(
_xlfn._xlws.FILTER(
'FLE Campus'!A:A,
('FLE Campus'!A:A&lt;&gt;"")*
('FLE Campus'!A:A&lt;&gt;"PEOPLE_CODE_ID")*
(('FLE Campus'!M:M="FULL")+('FLE Campus'!M:M="PART"))*
('FLE Campus'!E:E="FALL")*
(('FLE Campus'!L:L="3")+('FLE Campus'!L:L=3))*
ISNUMBER(
MATCH(
TRIM('FLE Campus'!J:J),
{"AELEC"},
0
)
)),""))&gt;0))</f>
        <v>0</v>
      </c>
      <c r="D97" s="25" t="s">
        <v>111</v>
      </c>
    </row>
    <row r="98" spans="1:4" x14ac:dyDescent="0.25">
      <c r="A98" s="6" t="e">
        <f>"Budgeted Apprenticeship Electrician Year 4 Headcount For Fall "&amp;$B$72</f>
        <v>#VALUE!</v>
      </c>
      <c r="B98" s="84">
        <f>N('Budgeted Projections Total HC'!H146)</f>
        <v>0</v>
      </c>
      <c r="D98" s="25" t="s">
        <v>112</v>
      </c>
    </row>
    <row r="99" spans="1:4" x14ac:dyDescent="0.25">
      <c r="A99" s="6" t="e">
        <f>"Actual Apprenticeship Electrician Year 4 Headcount For Fall "&amp;$B$72</f>
        <v>#VALUE!</v>
      </c>
      <c r="B99" s="85" cm="1">
        <f t="array" ref="B99">SUM(--(LEN(IFERROR(
_xlfn._xlws.FILTER(
'FLE Campus'!A:A,
('FLE Campus'!A:A&lt;&gt;"")*
('FLE Campus'!A:A&lt;&gt;"PEOPLE_CODE_ID")*
(('FLE Campus'!M:M="FULL")+('FLE Campus'!M:M="PART"))*
('FLE Campus'!E:E="FALL")*
(('FLE Campus'!L:L="4")+('FLE Campus'!L:L=4))*
ISNUMBER(
MATCH(
TRIM('FLE Campus'!J:J),
{"AELEC"},
0
)
)),""))&gt;0))</f>
        <v>0</v>
      </c>
      <c r="D99" s="25" t="s">
        <v>113</v>
      </c>
    </row>
    <row r="100" spans="1:4" x14ac:dyDescent="0.25">
      <c r="A100" s="6" t="e">
        <f>"Budgeted Apprenticeship Heavy Equipment Technician Year 1 Headcount For Fall "&amp;$B$72</f>
        <v>#VALUE!</v>
      </c>
      <c r="B100" s="84">
        <f>N('Budgeted Projections Total HC'!H147)</f>
        <v>0</v>
      </c>
    </row>
    <row r="101" spans="1:4" x14ac:dyDescent="0.25">
      <c r="A101" s="6" t="e">
        <f>"Actual Apprenticeship Heavy Equipment Technician Year 1 Headcount For Fall "&amp;$B$72</f>
        <v>#VALUE!</v>
      </c>
      <c r="B101" s="85" cm="1">
        <f t="array" ref="B101">SUM(--(LEN(IFERROR(
_xlfn._xlws.FILTER(
'FLE Campus'!A:A,
('FLE Campus'!A:A&lt;&gt;"")*
('FLE Campus'!A:A&lt;&gt;"PEOPLE_CODE_ID")*
(('FLE Campus'!M:M="FULL")+('FLE Campus'!M:M="PART"))*
('FLE Campus'!E:E="FALL")*
(('FLE Campus'!L:L="1")+('FLE Campus'!L:L=1))*
ISNUMBER(
MATCH(
TRIM('FLE Campus'!J:J),
{"AHD"},
0
)
)),""))&gt;0))</f>
        <v>0</v>
      </c>
      <c r="D101" s="12" t="s">
        <v>77</v>
      </c>
    </row>
    <row r="102" spans="1:4" x14ac:dyDescent="0.25">
      <c r="A102" s="6" t="e">
        <f>"Budgeted Apprenticeship Heavy Equipment Technician Year 2 Headcount For Fall "&amp;$B$72</f>
        <v>#VALUE!</v>
      </c>
      <c r="B102" s="84">
        <f>N('Budgeted Projections Total HC'!H148)</f>
        <v>0</v>
      </c>
      <c r="D102" s="25" t="s">
        <v>445</v>
      </c>
    </row>
    <row r="103" spans="1:4" x14ac:dyDescent="0.25">
      <c r="A103" s="6" t="e">
        <f>"Actual Apprenticeship Heavy Equipment Technician Year 2 Headcount For Fall "&amp;$B$72</f>
        <v>#VALUE!</v>
      </c>
      <c r="B103" s="85" cm="1">
        <f t="array" ref="B103">SUM(--(LEN(IFERROR(
_xlfn._xlws.FILTER(
'FLE Campus'!A:A,
('FLE Campus'!A:A&lt;&gt;"")*
('FLE Campus'!A:A&lt;&gt;"PEOPLE_CODE_ID")*
(('FLE Campus'!M:M="FULL")+('FLE Campus'!M:M="PART"))*
('FLE Campus'!E:E="FALL")*
(('FLE Campus'!L:L="2")+('FLE Campus'!L:L=2))*
ISNUMBER(
MATCH(
TRIM('FLE Campus'!J:J),
{"AHD"},
0
)
)),""))&gt;0))</f>
        <v>0</v>
      </c>
      <c r="D103" s="25" t="s">
        <v>448</v>
      </c>
    </row>
    <row r="104" spans="1:4" x14ac:dyDescent="0.25">
      <c r="A104" s="6" t="e">
        <f>"Budgeted Apprenticeship Heavy Equipment Technician Year 3 Headcount For Fall "&amp;$B$72</f>
        <v>#VALUE!</v>
      </c>
      <c r="B104" s="84">
        <f>N('Budgeted Projections Total HC'!H149)</f>
        <v>0</v>
      </c>
    </row>
    <row r="105" spans="1:4" x14ac:dyDescent="0.25">
      <c r="A105" s="6" t="e">
        <f>"Actual Apprenticeship Heavy Equipment Technician Year 3 Headcount For Fall "&amp;$B$72</f>
        <v>#VALUE!</v>
      </c>
      <c r="B105" s="85" cm="1">
        <f t="array" ref="B105">SUM(--(LEN(IFERROR(
_xlfn._xlws.FILTER(
'FLE Campus'!A:A,
('FLE Campus'!A:A&lt;&gt;"")*
('FLE Campus'!A:A&lt;&gt;"PEOPLE_CODE_ID")*
(('FLE Campus'!M:M="FULL")+('FLE Campus'!M:M="PART"))*
('FLE Campus'!E:E="FALL")*
(('FLE Campus'!L:L="3")+('FLE Campus'!L:L=3))*
ISNUMBER(
MATCH(
TRIM('FLE Campus'!J:J),
{"AHD"},
0
)
)),""))&gt;0))</f>
        <v>0</v>
      </c>
      <c r="D105" s="12" t="s">
        <v>78</v>
      </c>
    </row>
    <row r="106" spans="1:4" x14ac:dyDescent="0.25">
      <c r="A106" s="6" t="e">
        <f>"Budgeted Apprenticeship Heavy Equipment Technician Year 4 Headcount For Fall "&amp;$B$72</f>
        <v>#VALUE!</v>
      </c>
      <c r="B106" s="84">
        <f>N('Budgeted Projections Total HC'!H150)</f>
        <v>0</v>
      </c>
      <c r="D106" s="25" t="s">
        <v>446</v>
      </c>
    </row>
    <row r="107" spans="1:4" x14ac:dyDescent="0.25">
      <c r="A107" s="6" t="e">
        <f>"Actual Apprenticeship Heavy Equipment Technician Year 4 Headcount For Fall "&amp;$B$72</f>
        <v>#VALUE!</v>
      </c>
      <c r="B107" s="85" cm="1">
        <f t="array" ref="B107">SUM(--(LEN(IFERROR(
_xlfn._xlws.FILTER(
'FLE Campus'!A:A,
('FLE Campus'!A:A&lt;&gt;"")*
('FLE Campus'!A:A&lt;&gt;"PEOPLE_CODE_ID")*
(('FLE Campus'!M:M="FULL")+('FLE Campus'!M:M="PART"))*
('FLE Campus'!E:E="FALL")*
(('FLE Campus'!L:L="4")+('FLE Campus'!L:L=4))*
ISNUMBER(
MATCH(
TRIM('FLE Campus'!J:J),
{"AHD"},
0
)
)),""))&gt;0))</f>
        <v>0</v>
      </c>
      <c r="D107" s="25" t="s">
        <v>447</v>
      </c>
    </row>
    <row r="108" spans="1:4" x14ac:dyDescent="0.25">
      <c r="A108" s="6" t="e">
        <f>"Budgeted Apprenticeship Millwright Year 1 Headcount For Fall "&amp;$B$72</f>
        <v>#VALUE!</v>
      </c>
      <c r="B108" s="84">
        <f>N('Budgeted Projections Total HC'!H151)</f>
        <v>0</v>
      </c>
    </row>
    <row r="109" spans="1:4" x14ac:dyDescent="0.25">
      <c r="A109" s="6" t="e">
        <f>"Actual Apprenticeship Millwright Year 1 Headcount For Fall "&amp;$B$72</f>
        <v>#VALUE!</v>
      </c>
      <c r="B109" s="85" cm="1">
        <f t="array" ref="B109">SUM(--(LEN(IFERROR(
_xlfn._xlws.FILTER(
'FLE Campus'!A:A,
('FLE Campus'!A:A&lt;&gt;"")*
('FLE Campus'!A:A&lt;&gt;"PEOPLE_CODE_ID")*
(('FLE Campus'!M:M="FULL")+('FLE Campus'!M:M="PART"))*
('FLE Campus'!E:E="FALL")*
(('FLE Campus'!L:L="1")+('FLE Campus'!L:L=1))*
ISNUMBER(
MATCH(
TRIM('FLE Campus'!J:J),
{"AMILL"},
0
)
)),""))&gt;0))</f>
        <v>0</v>
      </c>
    </row>
    <row r="110" spans="1:4" x14ac:dyDescent="0.25">
      <c r="A110" s="6" t="e">
        <f>"Budgeted Apprenticeship Millwright Year 2 Headcount For Fall "&amp;$B$72</f>
        <v>#VALUE!</v>
      </c>
      <c r="B110" s="84">
        <f>N('Budgeted Projections Total HC'!H152)</f>
        <v>0</v>
      </c>
    </row>
    <row r="111" spans="1:4" x14ac:dyDescent="0.25">
      <c r="A111" s="6" t="e">
        <f>"Actual Apprenticeship Millwright Year 2 Headcount For Fall "&amp;$B$72</f>
        <v>#VALUE!</v>
      </c>
      <c r="B111" s="85" cm="1">
        <f t="array" ref="B111">SUM(--(LEN(IFERROR(
_xlfn._xlws.FILTER(
'FLE Campus'!A:A,
('FLE Campus'!A:A&lt;&gt;"")*
('FLE Campus'!A:A&lt;&gt;"PEOPLE_CODE_ID")*
(('FLE Campus'!M:M="FULL")+('FLE Campus'!M:M="PART"))*
('FLE Campus'!E:E="FALL")*
(('FLE Campus'!L:L="2")+('FLE Campus'!L:L=2))*
ISNUMBER(
MATCH(
TRIM('FLE Campus'!J:J),
{"AMILL"},
0
)
)),""))&gt;0))</f>
        <v>0</v>
      </c>
    </row>
    <row r="112" spans="1:4" x14ac:dyDescent="0.25">
      <c r="A112" s="6" t="e">
        <f>"Budgeted Apprenticeship Millwright Year 3 Headcount For Fall "&amp;$B$72</f>
        <v>#VALUE!</v>
      </c>
      <c r="B112" s="84">
        <f>N('Budgeted Projections Total HC'!H153)</f>
        <v>0</v>
      </c>
    </row>
    <row r="113" spans="1:2" x14ac:dyDescent="0.25">
      <c r="A113" s="6" t="e">
        <f>"Actual Apprenticeship Millwright Year 3 Headcount For Fall "&amp;$B$72</f>
        <v>#VALUE!</v>
      </c>
      <c r="B113" s="85" cm="1">
        <f t="array" ref="B113">SUM(--(LEN(IFERROR(
_xlfn._xlws.FILTER(
'FLE Campus'!A:A,
('FLE Campus'!A:A&lt;&gt;"")*
('FLE Campus'!A:A&lt;&gt;"PEOPLE_CODE_ID")*
(('FLE Campus'!M:M="FULL")+('FLE Campus'!M:M="PART"))*
('FLE Campus'!E:E="FALL")*
(('FLE Campus'!L:L="3")+('FLE Campus'!L:L=3))*
ISNUMBER(
MATCH(
TRIM('FLE Campus'!J:J),
{"AMILL"},
0
)
)),""))&gt;0))</f>
        <v>0</v>
      </c>
    </row>
    <row r="114" spans="1:2" x14ac:dyDescent="0.25">
      <c r="A114" s="6" t="e">
        <f>"Budgeted Apprenticeship Millwright Year 4 Headcount For Fall "&amp;$B$72</f>
        <v>#VALUE!</v>
      </c>
      <c r="B114" s="84">
        <f>N('Budgeted Projections Total HC'!H154)</f>
        <v>0</v>
      </c>
    </row>
    <row r="115" spans="1:2" x14ac:dyDescent="0.25">
      <c r="A115" s="6" t="e">
        <f>"Actual Apprenticeship Millwright Year 4 Headcount For Fall "&amp;$B$72</f>
        <v>#VALUE!</v>
      </c>
      <c r="B115" s="85" cm="1">
        <f t="array" ref="B115">SUM(--(LEN(IFERROR(
_xlfn._xlws.FILTER(
'FLE Campus'!A:A,
('FLE Campus'!A:A&lt;&gt;"")*
('FLE Campus'!A:A&lt;&gt;"PEOPLE_CODE_ID")*
(('FLE Campus'!M:M="FULL")+('FLE Campus'!M:M="PART"))*
('FLE Campus'!E:E="FALL")*
(('FLE Campus'!L:L="4")+('FLE Campus'!L:L=4))*
ISNUMBER(
MATCH(
TRIM('FLE Campus'!J:J),
{"AMILL"},
0
)
)),""))&gt;0))</f>
        <v>0</v>
      </c>
    </row>
    <row r="116" spans="1:2" x14ac:dyDescent="0.25">
      <c r="A116" s="6" t="e">
        <f>"Budgeted Apprenticeship Steamfitter/Pipefitter Year 1 Headcount For Fall "&amp;$B$72</f>
        <v>#VALUE!</v>
      </c>
      <c r="B116" s="84">
        <f>N('Budgeted Projections Total HC'!H155)</f>
        <v>0</v>
      </c>
    </row>
    <row r="117" spans="1:2" x14ac:dyDescent="0.25">
      <c r="A117" s="6" t="e">
        <f>"Actual Apprenticeship Steamfitter/Pipefitter Year 1 Headcount For Fall "&amp;$B$72</f>
        <v>#VALUE!</v>
      </c>
      <c r="B117" s="85" cm="1">
        <f t="array" ref="B117">SUM(--(LEN(IFERROR(
_xlfn._xlws.FILTER(
'FLE Campus'!A:A,
('FLE Campus'!A:A&lt;&gt;"")*
('FLE Campus'!A:A&lt;&gt;"PEOPLE_CODE_ID")*
(('FLE Campus'!M:M="FULL")+('FLE Campus'!M:M="PART"))*
('FLE Campus'!E:E="FALL")*
(('FLE Campus'!L:L="1")+('FLE Campus'!L:L=1))*
ISNUMBER(
MATCH(
TRIM('FLE Campus'!J:J),
{"ASTEAM"},
0
)
)),""))&gt;0))</f>
        <v>0</v>
      </c>
    </row>
    <row r="118" spans="1:2" x14ac:dyDescent="0.25">
      <c r="A118" s="6" t="e">
        <f>"Budgeted Apprenticeship Steamfitter/Pipefitter Year 2 Headcount For Fall "&amp;$B$72</f>
        <v>#VALUE!</v>
      </c>
      <c r="B118" s="84">
        <f>N('Budgeted Projections Total HC'!H156)</f>
        <v>0</v>
      </c>
    </row>
    <row r="119" spans="1:2" x14ac:dyDescent="0.25">
      <c r="A119" s="6" t="e">
        <f>"Actual Apprenticeship Steamfitter/Pipefitter Year 2 Headcount For Fall "&amp;$B$72</f>
        <v>#VALUE!</v>
      </c>
      <c r="B119" s="85" cm="1">
        <f t="array" ref="B119">SUM(--(LEN(IFERROR(
_xlfn._xlws.FILTER(
'FLE Campus'!A:A,
('FLE Campus'!A:A&lt;&gt;"")*
('FLE Campus'!A:A&lt;&gt;"PEOPLE_CODE_ID")*
(('FLE Campus'!M:M="FULL")+('FLE Campus'!M:M="PART"))*
('FLE Campus'!E:E="FALL")*
(('FLE Campus'!L:L="2")+('FLE Campus'!L:L=2))*
ISNUMBER(
MATCH(
TRIM('FLE Campus'!J:J),
{"ASTEAM"},
0
)
)),""))&gt;0))</f>
        <v>0</v>
      </c>
    </row>
    <row r="120" spans="1:2" x14ac:dyDescent="0.25">
      <c r="A120" s="6" t="e">
        <f>"Budgeted Apprenticeship Steamfitter/Pipefitter Year 3 Headcount For Fall "&amp;$B$72</f>
        <v>#VALUE!</v>
      </c>
      <c r="B120" s="84">
        <f>N('Budgeted Projections Total HC'!H157)</f>
        <v>0</v>
      </c>
    </row>
    <row r="121" spans="1:2" x14ac:dyDescent="0.25">
      <c r="A121" s="6" t="e">
        <f>"Actual Apprenticeship Steamfitter/Pipefitter Year 3 Headcount For Fall "&amp;$B$72</f>
        <v>#VALUE!</v>
      </c>
      <c r="B121" s="85" cm="1">
        <f t="array" ref="B121">SUM(--(LEN(IFERROR(
_xlfn._xlws.FILTER(
'FLE Campus'!A:A,
('FLE Campus'!A:A&lt;&gt;"")*
('FLE Campus'!A:A&lt;&gt;"PEOPLE_CODE_ID")*
(('FLE Campus'!M:M="FULL")+('FLE Campus'!M:M="PART"))*
('FLE Campus'!E:E="FALL")*
(('FLE Campus'!L:L="3")+('FLE Campus'!L:L=3))*
ISNUMBER(
MATCH(
TRIM('FLE Campus'!J:J),
{"ASTEAM"},
0
)
)),""))&gt;0))</f>
        <v>0</v>
      </c>
    </row>
    <row r="122" spans="1:2" x14ac:dyDescent="0.25">
      <c r="A122" s="6" t="e">
        <f>"Budgeted Apprenticeship Steamfitter/Pipefitter Year 4 Headcount For Fall "&amp;$B$72</f>
        <v>#VALUE!</v>
      </c>
      <c r="B122" s="84">
        <f>N('Budgeted Projections Total HC'!H158)</f>
        <v>0</v>
      </c>
    </row>
    <row r="123" spans="1:2" x14ac:dyDescent="0.25">
      <c r="A123" s="6" t="e">
        <f>"Actual Apprenticeship Steamfitter/Pipefitter Year 4 Headcount For Fall "&amp;$B$72</f>
        <v>#VALUE!</v>
      </c>
      <c r="B123" s="85" cm="1">
        <f t="array" ref="B123">SUM(--(LEN(IFERROR(
_xlfn._xlws.FILTER(
'FLE Campus'!A:A,
('FLE Campus'!A:A&lt;&gt;"")*
('FLE Campus'!A:A&lt;&gt;"PEOPLE_CODE_ID")*
(('FLE Campus'!M:M="FULL")+('FLE Campus'!M:M="PART"))*
('FLE Campus'!E:E="FALL")*
(('FLE Campus'!L:L="4")+('FLE Campus'!L:L=4))*
ISNUMBER(
MATCH(
TRIM('FLE Campus'!J:J),
{"ASTEAM"},
0
)
)),""))&gt;0))</f>
        <v>0</v>
      </c>
    </row>
    <row r="124" spans="1:2" x14ac:dyDescent="0.25">
      <c r="A124" s="6" t="e">
        <f>"Budgeted Apprenticeship Welder Year 1 Headcount For Fall "&amp;$B$72</f>
        <v>#VALUE!</v>
      </c>
      <c r="B124" s="84">
        <f>N('Budgeted Projections Total HC'!H159)</f>
        <v>0</v>
      </c>
    </row>
    <row r="125" spans="1:2" x14ac:dyDescent="0.25">
      <c r="A125" s="6" t="e">
        <f>"Actual Apprenticeship Welder Year 1 Headcount For Fall "&amp;$B$72</f>
        <v>#VALUE!</v>
      </c>
      <c r="B125" s="85" cm="1">
        <f t="array" ref="B125">SUM(--(LEN(IFERROR(
_xlfn._xlws.FILTER(
'FLE Campus'!A:A,
('FLE Campus'!A:A&lt;&gt;"")*
('FLE Campus'!A:A&lt;&gt;"PEOPLE_CODE_ID")*
(('FLE Campus'!M:M="FULL")+('FLE Campus'!M:M="PART"))*
('FLE Campus'!E:E="FALL")*
(('FLE Campus'!L:L="1")+('FLE Campus'!L:L=1))*
ISNUMBER(
MATCH(
TRIM('FLE Campus'!J:J),
{"AWELD"},
0
)
)),""))&gt;0))</f>
        <v>0</v>
      </c>
    </row>
    <row r="126" spans="1:2" x14ac:dyDescent="0.25">
      <c r="A126" s="6" t="e">
        <f>"Budgeted Apprenticeship Welder Year 2 Headcount For Fall "&amp;$B$72</f>
        <v>#VALUE!</v>
      </c>
      <c r="B126" s="84">
        <f>N('Budgeted Projections Total HC'!H160)</f>
        <v>0</v>
      </c>
    </row>
    <row r="127" spans="1:2" x14ac:dyDescent="0.25">
      <c r="A127" s="6" t="e">
        <f>"Actual Apprenticeship Welder Year 2 Headcount For Fall "&amp;$B$72</f>
        <v>#VALUE!</v>
      </c>
      <c r="B127" s="85" cm="1">
        <f t="array" ref="B127">SUM(--(LEN(IFERROR(
_xlfn._xlws.FILTER(
'FLE Campus'!A:A,
('FLE Campus'!A:A&lt;&gt;"")*
('FLE Campus'!A:A&lt;&gt;"PEOPLE_CODE_ID")*
(('FLE Campus'!M:M="FULL")+('FLE Campus'!M:M="PART"))*
('FLE Campus'!E:E="FALL")*
(('FLE Campus'!L:L="2")+('FLE Campus'!L:L=2))*
ISNUMBER(
MATCH(
TRIM('FLE Campus'!J:J),
{"AWELD"},
0
)
)),""))&gt;0))</f>
        <v>0</v>
      </c>
    </row>
    <row r="128" spans="1:2" x14ac:dyDescent="0.25">
      <c r="A128" s="6" t="e">
        <f>"Budgeted Apprenticeship Welder Year 3 Headcount For Fall "&amp;$B$72</f>
        <v>#VALUE!</v>
      </c>
      <c r="B128" s="84">
        <f>N('Budgeted Projections Total HC'!H161)</f>
        <v>0</v>
      </c>
    </row>
    <row r="129" spans="1:2" x14ac:dyDescent="0.25">
      <c r="A129" s="6" t="e">
        <f>"Actual Apprenticeship Welder Year 3 Headcount For Fall "&amp;$B$72</f>
        <v>#VALUE!</v>
      </c>
      <c r="B129" s="85" cm="1">
        <f t="array" ref="B129">SUM(--(LEN(IFERROR(
_xlfn._xlws.FILTER(
'FLE Campus'!A:A,
('FLE Campus'!A:A&lt;&gt;"")*
('FLE Campus'!A:A&lt;&gt;"PEOPLE_CODE_ID")*
(('FLE Campus'!M:M="FULL")+('FLE Campus'!M:M="PART"))*
('FLE Campus'!E:E="FALL")*
(('FLE Campus'!L:L="3")+('FLE Campus'!L:L=3))*
ISNUMBER(
MATCH(
TRIM('FLE Campus'!J:J),
{"AWELD"},
0
)
)),""))&gt;0))</f>
        <v>0</v>
      </c>
    </row>
  </sheetData>
  <mergeCells count="23">
    <mergeCell ref="D26:J26"/>
    <mergeCell ref="D2:J2"/>
    <mergeCell ref="D3:J3"/>
    <mergeCell ref="D79:D80"/>
    <mergeCell ref="D81:D82"/>
    <mergeCell ref="I76:K76"/>
    <mergeCell ref="D75:K75"/>
    <mergeCell ref="D58:D60"/>
    <mergeCell ref="D61:D62"/>
    <mergeCell ref="F77:F78"/>
    <mergeCell ref="I77:I78"/>
    <mergeCell ref="D76:D78"/>
    <mergeCell ref="F76:H76"/>
    <mergeCell ref="G77:G78"/>
    <mergeCell ref="J77:J78"/>
    <mergeCell ref="D49:K49"/>
    <mergeCell ref="D53:D57"/>
    <mergeCell ref="D48:K48"/>
    <mergeCell ref="D50:E52"/>
    <mergeCell ref="F50:G51"/>
    <mergeCell ref="H50:I51"/>
    <mergeCell ref="J50:J52"/>
    <mergeCell ref="K50:K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65A7-5614-48C0-993E-B886DCF75EFB}">
  <sheetPr>
    <tabColor rgb="FFFFFF00"/>
  </sheetPr>
  <dimension ref="A1:AD5267"/>
  <sheetViews>
    <sheetView workbookViewId="0">
      <selection activeCell="A2" sqref="A2:XFD5267"/>
    </sheetView>
  </sheetViews>
  <sheetFormatPr defaultRowHeight="15" x14ac:dyDescent="0.25"/>
  <cols>
    <col min="1" max="1" width="16.140625" bestFit="1" customWidth="1"/>
    <col min="4" max="4" width="17.5703125" bestFit="1" customWidth="1"/>
    <col min="5" max="5" width="18" bestFit="1" customWidth="1"/>
    <col min="13" max="13" width="16.7109375" customWidth="1"/>
  </cols>
  <sheetData>
    <row r="1" spans="1:30" x14ac:dyDescent="0.25">
      <c r="A1" t="s">
        <v>79</v>
      </c>
      <c r="B1" t="s">
        <v>80</v>
      </c>
      <c r="C1" s="2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54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</row>
    <row r="2" spans="1:30" x14ac:dyDescent="0.25">
      <c r="B2" s="22"/>
      <c r="C2" s="21"/>
      <c r="L2" s="23"/>
    </row>
    <row r="3" spans="1:30" x14ac:dyDescent="0.25">
      <c r="B3" s="22"/>
      <c r="C3" s="21"/>
      <c r="W3" s="22"/>
      <c r="X3" s="22"/>
    </row>
    <row r="4" spans="1:30" x14ac:dyDescent="0.25">
      <c r="B4" s="22"/>
      <c r="C4" s="21"/>
      <c r="W4" s="22"/>
      <c r="X4" s="22"/>
    </row>
    <row r="5" spans="1:30" x14ac:dyDescent="0.25">
      <c r="B5" s="22"/>
      <c r="C5" s="21"/>
      <c r="W5" s="22"/>
      <c r="X5" s="22"/>
    </row>
    <row r="6" spans="1:30" x14ac:dyDescent="0.25">
      <c r="B6" s="22"/>
      <c r="C6" s="21"/>
      <c r="W6" s="22"/>
      <c r="X6" s="22"/>
    </row>
    <row r="7" spans="1:30" x14ac:dyDescent="0.25">
      <c r="B7" s="22"/>
      <c r="C7" s="21"/>
      <c r="W7" s="22"/>
      <c r="X7" s="22"/>
    </row>
    <row r="8" spans="1:30" x14ac:dyDescent="0.25">
      <c r="B8" s="22"/>
      <c r="C8" s="21"/>
      <c r="W8" s="22"/>
      <c r="X8" s="22"/>
    </row>
    <row r="9" spans="1:30" x14ac:dyDescent="0.25">
      <c r="B9" s="22"/>
      <c r="C9" s="21"/>
      <c r="W9" s="22"/>
      <c r="X9" s="22"/>
    </row>
    <row r="10" spans="1:30" x14ac:dyDescent="0.25">
      <c r="B10" s="22"/>
      <c r="C10" s="21"/>
      <c r="W10" s="22"/>
      <c r="X10" s="22"/>
    </row>
    <row r="11" spans="1:30" x14ac:dyDescent="0.25">
      <c r="B11" s="22"/>
      <c r="C11" s="21"/>
      <c r="W11" s="22"/>
      <c r="X11" s="22"/>
    </row>
    <row r="12" spans="1:30" x14ac:dyDescent="0.25">
      <c r="B12" s="22"/>
      <c r="C12" s="21"/>
      <c r="W12" s="22"/>
      <c r="X12" s="22"/>
    </row>
    <row r="13" spans="1:30" x14ac:dyDescent="0.25">
      <c r="B13" s="22"/>
      <c r="C13" s="21"/>
      <c r="W13" s="22"/>
      <c r="X13" s="22"/>
    </row>
    <row r="14" spans="1:30" x14ac:dyDescent="0.25">
      <c r="B14" s="22"/>
      <c r="C14" s="21"/>
      <c r="W14" s="22"/>
      <c r="X14" s="22"/>
    </row>
    <row r="15" spans="1:30" x14ac:dyDescent="0.25">
      <c r="B15" s="22"/>
      <c r="C15" s="21"/>
      <c r="W15" s="22"/>
      <c r="X15" s="22"/>
    </row>
    <row r="16" spans="1:30" x14ac:dyDescent="0.25">
      <c r="B16" s="22"/>
      <c r="C16" s="21"/>
      <c r="W16" s="22"/>
      <c r="X16" s="22"/>
    </row>
    <row r="17" spans="2:24" x14ac:dyDescent="0.25">
      <c r="B17" s="22"/>
      <c r="C17" s="21"/>
      <c r="W17" s="22"/>
      <c r="X17" s="22"/>
    </row>
    <row r="18" spans="2:24" x14ac:dyDescent="0.25">
      <c r="B18" s="22"/>
      <c r="C18" s="21"/>
      <c r="W18" s="22"/>
      <c r="X18" s="22"/>
    </row>
    <row r="19" spans="2:24" x14ac:dyDescent="0.25">
      <c r="B19" s="22"/>
      <c r="C19" s="21"/>
      <c r="W19" s="22"/>
      <c r="X19" s="22"/>
    </row>
    <row r="20" spans="2:24" x14ac:dyDescent="0.25">
      <c r="B20" s="22"/>
      <c r="C20" s="21"/>
      <c r="W20" s="22"/>
      <c r="X20" s="22"/>
    </row>
    <row r="21" spans="2:24" x14ac:dyDescent="0.25">
      <c r="B21" s="22"/>
      <c r="C21" s="21"/>
      <c r="W21" s="22"/>
      <c r="X21" s="22"/>
    </row>
    <row r="22" spans="2:24" x14ac:dyDescent="0.25">
      <c r="B22" s="22"/>
      <c r="C22" s="21"/>
      <c r="W22" s="22"/>
      <c r="X22" s="22"/>
    </row>
    <row r="23" spans="2:24" x14ac:dyDescent="0.25">
      <c r="B23" s="22"/>
      <c r="C23" s="21"/>
      <c r="W23" s="22"/>
      <c r="X23" s="22"/>
    </row>
    <row r="24" spans="2:24" x14ac:dyDescent="0.25">
      <c r="B24" s="22"/>
      <c r="C24" s="21"/>
      <c r="W24" s="22"/>
      <c r="X24" s="22"/>
    </row>
    <row r="25" spans="2:24" x14ac:dyDescent="0.25">
      <c r="B25" s="22"/>
      <c r="C25" s="21"/>
      <c r="W25" s="22"/>
      <c r="X25" s="22"/>
    </row>
    <row r="26" spans="2:24" x14ac:dyDescent="0.25">
      <c r="B26" s="22"/>
      <c r="C26" s="21"/>
      <c r="W26" s="22"/>
      <c r="X26" s="22"/>
    </row>
    <row r="27" spans="2:24" x14ac:dyDescent="0.25">
      <c r="B27" s="22"/>
      <c r="C27" s="21"/>
      <c r="W27" s="22"/>
      <c r="X27" s="22"/>
    </row>
    <row r="28" spans="2:24" x14ac:dyDescent="0.25">
      <c r="B28" s="22"/>
      <c r="C28" s="21"/>
      <c r="W28" s="22"/>
      <c r="X28" s="22"/>
    </row>
    <row r="29" spans="2:24" x14ac:dyDescent="0.25">
      <c r="B29" s="22"/>
      <c r="C29" s="21"/>
      <c r="W29" s="22"/>
      <c r="X29" s="22"/>
    </row>
    <row r="30" spans="2:24" x14ac:dyDescent="0.25">
      <c r="B30" s="22"/>
      <c r="C30" s="21"/>
      <c r="W30" s="22"/>
      <c r="X30" s="22"/>
    </row>
    <row r="31" spans="2:24" x14ac:dyDescent="0.25">
      <c r="B31" s="22"/>
      <c r="C31" s="21"/>
      <c r="W31" s="22"/>
      <c r="X31" s="22"/>
    </row>
    <row r="32" spans="2:24" x14ac:dyDescent="0.25">
      <c r="B32" s="22"/>
      <c r="C32" s="21"/>
      <c r="W32" s="22"/>
      <c r="X32" s="22"/>
    </row>
    <row r="33" spans="2:24" x14ac:dyDescent="0.25">
      <c r="B33" s="22"/>
      <c r="C33" s="21"/>
      <c r="W33" s="22"/>
      <c r="X33" s="22"/>
    </row>
    <row r="34" spans="2:24" x14ac:dyDescent="0.25">
      <c r="B34" s="22"/>
      <c r="C34" s="21"/>
      <c r="W34" s="22"/>
      <c r="X34" s="22"/>
    </row>
    <row r="35" spans="2:24" x14ac:dyDescent="0.25">
      <c r="B35" s="22"/>
      <c r="C35" s="21"/>
      <c r="W35" s="22"/>
      <c r="X35" s="22"/>
    </row>
    <row r="36" spans="2:24" x14ac:dyDescent="0.25">
      <c r="B36" s="22"/>
      <c r="C36" s="21"/>
      <c r="W36" s="22"/>
      <c r="X36" s="22"/>
    </row>
    <row r="37" spans="2:24" x14ac:dyDescent="0.25">
      <c r="B37" s="22"/>
      <c r="C37" s="21"/>
      <c r="W37" s="22"/>
      <c r="X37" s="22"/>
    </row>
    <row r="38" spans="2:24" x14ac:dyDescent="0.25">
      <c r="B38" s="22"/>
      <c r="C38" s="21"/>
      <c r="W38" s="22"/>
      <c r="X38" s="22"/>
    </row>
    <row r="39" spans="2:24" x14ac:dyDescent="0.25">
      <c r="B39" s="22"/>
      <c r="C39" s="21"/>
      <c r="W39" s="22"/>
      <c r="X39" s="22"/>
    </row>
    <row r="40" spans="2:24" x14ac:dyDescent="0.25">
      <c r="B40" s="22"/>
      <c r="C40" s="21"/>
      <c r="W40" s="22"/>
      <c r="X40" s="22"/>
    </row>
    <row r="41" spans="2:24" x14ac:dyDescent="0.25">
      <c r="B41" s="22"/>
      <c r="C41" s="21"/>
      <c r="W41" s="22"/>
      <c r="X41" s="22"/>
    </row>
    <row r="42" spans="2:24" x14ac:dyDescent="0.25">
      <c r="B42" s="22"/>
      <c r="C42" s="21"/>
      <c r="W42" s="22"/>
      <c r="X42" s="22"/>
    </row>
    <row r="43" spans="2:24" x14ac:dyDescent="0.25">
      <c r="B43" s="22"/>
      <c r="C43" s="21"/>
      <c r="W43" s="22"/>
      <c r="X43" s="22"/>
    </row>
    <row r="44" spans="2:24" x14ac:dyDescent="0.25">
      <c r="B44" s="22"/>
      <c r="C44" s="21"/>
      <c r="W44" s="22"/>
      <c r="X44" s="22"/>
    </row>
    <row r="45" spans="2:24" x14ac:dyDescent="0.25">
      <c r="B45" s="22"/>
      <c r="C45" s="21"/>
      <c r="W45" s="22"/>
      <c r="X45" s="22"/>
    </row>
    <row r="46" spans="2:24" x14ac:dyDescent="0.25">
      <c r="B46" s="22"/>
      <c r="C46" s="21"/>
      <c r="W46" s="22"/>
      <c r="X46" s="22"/>
    </row>
    <row r="47" spans="2:24" x14ac:dyDescent="0.25">
      <c r="B47" s="22"/>
      <c r="C47" s="21"/>
      <c r="W47" s="22"/>
      <c r="X47" s="22"/>
    </row>
    <row r="48" spans="2:24" x14ac:dyDescent="0.25">
      <c r="B48" s="22"/>
      <c r="C48" s="21"/>
      <c r="W48" s="22"/>
      <c r="X48" s="22"/>
    </row>
    <row r="49" spans="2:24" x14ac:dyDescent="0.25">
      <c r="B49" s="22"/>
      <c r="C49" s="21"/>
      <c r="W49" s="22"/>
      <c r="X49" s="22"/>
    </row>
    <row r="50" spans="2:24" x14ac:dyDescent="0.25">
      <c r="B50" s="22"/>
      <c r="C50" s="21"/>
      <c r="W50" s="22"/>
      <c r="X50" s="22"/>
    </row>
    <row r="51" spans="2:24" x14ac:dyDescent="0.25">
      <c r="B51" s="22"/>
      <c r="C51" s="21"/>
      <c r="W51" s="22"/>
      <c r="X51" s="22"/>
    </row>
    <row r="52" spans="2:24" x14ac:dyDescent="0.25">
      <c r="B52" s="22"/>
      <c r="C52" s="21"/>
      <c r="W52" s="22"/>
      <c r="X52" s="22"/>
    </row>
    <row r="53" spans="2:24" x14ac:dyDescent="0.25">
      <c r="B53" s="22"/>
      <c r="C53" s="21"/>
      <c r="W53" s="22"/>
      <c r="X53" s="22"/>
    </row>
    <row r="54" spans="2:24" x14ac:dyDescent="0.25">
      <c r="B54" s="22"/>
      <c r="C54" s="21"/>
      <c r="W54" s="22"/>
      <c r="X54" s="22"/>
    </row>
    <row r="55" spans="2:24" x14ac:dyDescent="0.25">
      <c r="B55" s="22"/>
      <c r="C55" s="21"/>
      <c r="W55" s="22"/>
      <c r="X55" s="22"/>
    </row>
    <row r="56" spans="2:24" x14ac:dyDescent="0.25">
      <c r="B56" s="22"/>
      <c r="C56" s="21"/>
      <c r="W56" s="22"/>
      <c r="X56" s="22"/>
    </row>
    <row r="57" spans="2:24" x14ac:dyDescent="0.25">
      <c r="B57" s="22"/>
      <c r="C57" s="21"/>
      <c r="W57" s="22"/>
      <c r="X57" s="22"/>
    </row>
    <row r="58" spans="2:24" x14ac:dyDescent="0.25">
      <c r="B58" s="22"/>
      <c r="C58" s="21"/>
      <c r="W58" s="22"/>
      <c r="X58" s="22"/>
    </row>
    <row r="59" spans="2:24" x14ac:dyDescent="0.25">
      <c r="B59" s="22"/>
      <c r="C59" s="21"/>
      <c r="W59" s="22"/>
      <c r="X59" s="22"/>
    </row>
    <row r="60" spans="2:24" x14ac:dyDescent="0.25">
      <c r="B60" s="22"/>
      <c r="C60" s="21"/>
      <c r="W60" s="22"/>
      <c r="X60" s="22"/>
    </row>
    <row r="61" spans="2:24" x14ac:dyDescent="0.25">
      <c r="B61" s="22"/>
      <c r="C61" s="21"/>
      <c r="W61" s="22"/>
      <c r="X61" s="22"/>
    </row>
    <row r="62" spans="2:24" x14ac:dyDescent="0.25">
      <c r="B62" s="22"/>
      <c r="C62" s="21"/>
      <c r="W62" s="22"/>
      <c r="X62" s="22"/>
    </row>
    <row r="63" spans="2:24" x14ac:dyDescent="0.25">
      <c r="B63" s="22"/>
      <c r="C63" s="21"/>
      <c r="W63" s="22"/>
      <c r="X63" s="22"/>
    </row>
    <row r="64" spans="2:24" x14ac:dyDescent="0.25">
      <c r="B64" s="22"/>
      <c r="C64" s="21"/>
      <c r="W64" s="22"/>
      <c r="X64" s="22"/>
    </row>
    <row r="65" spans="2:24" x14ac:dyDescent="0.25">
      <c r="B65" s="22"/>
      <c r="C65" s="21"/>
      <c r="W65" s="22"/>
      <c r="X65" s="22"/>
    </row>
    <row r="66" spans="2:24" x14ac:dyDescent="0.25">
      <c r="B66" s="22"/>
      <c r="C66" s="21"/>
      <c r="W66" s="22"/>
      <c r="X66" s="22"/>
    </row>
    <row r="67" spans="2:24" x14ac:dyDescent="0.25">
      <c r="B67" s="22"/>
      <c r="C67" s="21"/>
      <c r="W67" s="22"/>
      <c r="X67" s="22"/>
    </row>
    <row r="68" spans="2:24" x14ac:dyDescent="0.25">
      <c r="B68" s="22"/>
      <c r="C68" s="21"/>
      <c r="W68" s="22"/>
      <c r="X68" s="22"/>
    </row>
    <row r="69" spans="2:24" x14ac:dyDescent="0.25">
      <c r="B69" s="22"/>
      <c r="C69" s="21"/>
      <c r="W69" s="22"/>
      <c r="X69" s="22"/>
    </row>
    <row r="70" spans="2:24" x14ac:dyDescent="0.25">
      <c r="B70" s="22"/>
      <c r="C70" s="21"/>
      <c r="W70" s="22"/>
      <c r="X70" s="22"/>
    </row>
    <row r="71" spans="2:24" x14ac:dyDescent="0.25">
      <c r="B71" s="22"/>
      <c r="C71" s="21"/>
      <c r="W71" s="22"/>
      <c r="X71" s="22"/>
    </row>
    <row r="72" spans="2:24" x14ac:dyDescent="0.25">
      <c r="B72" s="22"/>
      <c r="C72" s="21"/>
      <c r="W72" s="22"/>
      <c r="X72" s="22"/>
    </row>
    <row r="73" spans="2:24" x14ac:dyDescent="0.25">
      <c r="B73" s="22"/>
      <c r="C73" s="21"/>
      <c r="W73" s="22"/>
      <c r="X73" s="22"/>
    </row>
    <row r="74" spans="2:24" x14ac:dyDescent="0.25">
      <c r="B74" s="22"/>
      <c r="C74" s="21"/>
      <c r="W74" s="22"/>
      <c r="X74" s="22"/>
    </row>
    <row r="75" spans="2:24" x14ac:dyDescent="0.25">
      <c r="B75" s="22"/>
      <c r="C75" s="21"/>
      <c r="W75" s="22"/>
      <c r="X75" s="22"/>
    </row>
    <row r="76" spans="2:24" x14ac:dyDescent="0.25">
      <c r="B76" s="22"/>
      <c r="C76" s="21"/>
      <c r="W76" s="22"/>
      <c r="X76" s="22"/>
    </row>
    <row r="77" spans="2:24" x14ac:dyDescent="0.25">
      <c r="B77" s="22"/>
      <c r="C77" s="21"/>
      <c r="W77" s="22"/>
      <c r="X77" s="22"/>
    </row>
    <row r="78" spans="2:24" x14ac:dyDescent="0.25">
      <c r="B78" s="22"/>
      <c r="C78" s="21"/>
      <c r="W78" s="22"/>
      <c r="X78" s="22"/>
    </row>
    <row r="79" spans="2:24" x14ac:dyDescent="0.25">
      <c r="B79" s="22"/>
      <c r="C79" s="21"/>
      <c r="W79" s="22"/>
      <c r="X79" s="22"/>
    </row>
    <row r="80" spans="2:24" x14ac:dyDescent="0.25">
      <c r="B80" s="22"/>
      <c r="C80" s="21"/>
      <c r="W80" s="22"/>
      <c r="X80" s="22"/>
    </row>
    <row r="81" spans="2:24" x14ac:dyDescent="0.25">
      <c r="B81" s="22"/>
      <c r="C81" s="21"/>
      <c r="W81" s="22"/>
      <c r="X81" s="22"/>
    </row>
    <row r="82" spans="2:24" x14ac:dyDescent="0.25">
      <c r="B82" s="22"/>
      <c r="C82" s="21"/>
      <c r="W82" s="22"/>
      <c r="X82" s="22"/>
    </row>
    <row r="83" spans="2:24" x14ac:dyDescent="0.25">
      <c r="B83" s="22"/>
      <c r="C83" s="21"/>
      <c r="W83" s="22"/>
      <c r="X83" s="22"/>
    </row>
    <row r="84" spans="2:24" x14ac:dyDescent="0.25">
      <c r="B84" s="22"/>
      <c r="C84" s="21"/>
      <c r="W84" s="22"/>
      <c r="X84" s="22"/>
    </row>
    <row r="85" spans="2:24" x14ac:dyDescent="0.25">
      <c r="B85" s="22"/>
      <c r="C85" s="21"/>
      <c r="W85" s="22"/>
      <c r="X85" s="22"/>
    </row>
    <row r="86" spans="2:24" x14ac:dyDescent="0.25">
      <c r="B86" s="22"/>
      <c r="C86" s="21"/>
      <c r="W86" s="22"/>
      <c r="X86" s="22"/>
    </row>
    <row r="87" spans="2:24" x14ac:dyDescent="0.25">
      <c r="B87" s="22"/>
      <c r="C87" s="21"/>
      <c r="W87" s="22"/>
      <c r="X87" s="22"/>
    </row>
    <row r="88" spans="2:24" x14ac:dyDescent="0.25">
      <c r="B88" s="22"/>
      <c r="C88" s="21"/>
      <c r="W88" s="22"/>
      <c r="X88" s="22"/>
    </row>
    <row r="89" spans="2:24" x14ac:dyDescent="0.25">
      <c r="B89" s="22"/>
      <c r="C89" s="21"/>
      <c r="W89" s="22"/>
      <c r="X89" s="22"/>
    </row>
    <row r="90" spans="2:24" x14ac:dyDescent="0.25">
      <c r="B90" s="22"/>
      <c r="C90" s="21"/>
      <c r="W90" s="22"/>
      <c r="X90" s="22"/>
    </row>
    <row r="91" spans="2:24" x14ac:dyDescent="0.25">
      <c r="B91" s="22"/>
      <c r="C91" s="21"/>
      <c r="W91" s="22"/>
      <c r="X91" s="22"/>
    </row>
    <row r="92" spans="2:24" x14ac:dyDescent="0.25">
      <c r="B92" s="22"/>
      <c r="C92" s="21"/>
      <c r="W92" s="22"/>
      <c r="X92" s="22"/>
    </row>
    <row r="93" spans="2:24" x14ac:dyDescent="0.25">
      <c r="B93" s="22"/>
      <c r="C93" s="21"/>
      <c r="W93" s="22"/>
      <c r="X93" s="22"/>
    </row>
    <row r="94" spans="2:24" x14ac:dyDescent="0.25">
      <c r="B94" s="22"/>
      <c r="C94" s="21"/>
      <c r="W94" s="22"/>
      <c r="X94" s="22"/>
    </row>
    <row r="95" spans="2:24" x14ac:dyDescent="0.25">
      <c r="B95" s="22"/>
      <c r="C95" s="21"/>
      <c r="W95" s="22"/>
      <c r="X95" s="22"/>
    </row>
    <row r="96" spans="2:24" x14ac:dyDescent="0.25">
      <c r="B96" s="22"/>
      <c r="C96" s="21"/>
      <c r="W96" s="22"/>
      <c r="X96" s="22"/>
    </row>
    <row r="97" spans="2:24" x14ac:dyDescent="0.25">
      <c r="B97" s="22"/>
      <c r="C97" s="21"/>
      <c r="W97" s="22"/>
      <c r="X97" s="22"/>
    </row>
    <row r="98" spans="2:24" x14ac:dyDescent="0.25">
      <c r="B98" s="22"/>
      <c r="C98" s="21"/>
      <c r="W98" s="22"/>
      <c r="X98" s="22"/>
    </row>
    <row r="99" spans="2:24" x14ac:dyDescent="0.25">
      <c r="B99" s="22"/>
      <c r="C99" s="21"/>
      <c r="W99" s="22"/>
      <c r="X99" s="22"/>
    </row>
    <row r="100" spans="2:24" x14ac:dyDescent="0.25">
      <c r="B100" s="22"/>
      <c r="C100" s="21"/>
      <c r="W100" s="22"/>
      <c r="X100" s="22"/>
    </row>
    <row r="101" spans="2:24" x14ac:dyDescent="0.25">
      <c r="B101" s="22"/>
      <c r="C101" s="21"/>
      <c r="W101" s="22"/>
      <c r="X101" s="22"/>
    </row>
    <row r="102" spans="2:24" x14ac:dyDescent="0.25">
      <c r="B102" s="22"/>
      <c r="C102" s="21"/>
      <c r="W102" s="22"/>
      <c r="X102" s="22"/>
    </row>
    <row r="103" spans="2:24" x14ac:dyDescent="0.25">
      <c r="B103" s="22"/>
      <c r="C103" s="21"/>
      <c r="W103" s="22"/>
      <c r="X103" s="22"/>
    </row>
    <row r="104" spans="2:24" x14ac:dyDescent="0.25">
      <c r="B104" s="22"/>
      <c r="C104" s="21"/>
      <c r="W104" s="22"/>
      <c r="X104" s="22"/>
    </row>
    <row r="105" spans="2:24" x14ac:dyDescent="0.25">
      <c r="B105" s="22"/>
      <c r="C105" s="21"/>
      <c r="W105" s="22"/>
      <c r="X105" s="22"/>
    </row>
    <row r="106" spans="2:24" x14ac:dyDescent="0.25">
      <c r="B106" s="22"/>
      <c r="C106" s="21"/>
      <c r="W106" s="22"/>
      <c r="X106" s="22"/>
    </row>
    <row r="107" spans="2:24" x14ac:dyDescent="0.25">
      <c r="B107" s="22"/>
      <c r="C107" s="21"/>
      <c r="W107" s="22"/>
      <c r="X107" s="22"/>
    </row>
    <row r="108" spans="2:24" x14ac:dyDescent="0.25">
      <c r="B108" s="22"/>
      <c r="C108" s="21"/>
      <c r="W108" s="22"/>
      <c r="X108" s="22"/>
    </row>
    <row r="109" spans="2:24" x14ac:dyDescent="0.25">
      <c r="B109" s="22"/>
      <c r="C109" s="21"/>
      <c r="W109" s="22"/>
      <c r="X109" s="22"/>
    </row>
    <row r="110" spans="2:24" x14ac:dyDescent="0.25">
      <c r="B110" s="22"/>
      <c r="C110" s="21"/>
      <c r="W110" s="22"/>
      <c r="X110" s="22"/>
    </row>
    <row r="111" spans="2:24" x14ac:dyDescent="0.25">
      <c r="B111" s="22"/>
      <c r="C111" s="21"/>
      <c r="W111" s="22"/>
      <c r="X111" s="22"/>
    </row>
    <row r="112" spans="2:24" x14ac:dyDescent="0.25">
      <c r="B112" s="22"/>
      <c r="C112" s="21"/>
      <c r="W112" s="22"/>
      <c r="X112" s="22"/>
    </row>
    <row r="113" spans="2:24" x14ac:dyDescent="0.25">
      <c r="B113" s="22"/>
      <c r="C113" s="21"/>
      <c r="W113" s="22"/>
      <c r="X113" s="22"/>
    </row>
    <row r="114" spans="2:24" x14ac:dyDescent="0.25">
      <c r="B114" s="22"/>
      <c r="C114" s="21"/>
      <c r="W114" s="22"/>
      <c r="X114" s="22"/>
    </row>
    <row r="115" spans="2:24" x14ac:dyDescent="0.25">
      <c r="B115" s="22"/>
      <c r="C115" s="21"/>
      <c r="W115" s="22"/>
      <c r="X115" s="22"/>
    </row>
    <row r="116" spans="2:24" x14ac:dyDescent="0.25">
      <c r="B116" s="22"/>
      <c r="C116" s="21"/>
      <c r="W116" s="22"/>
      <c r="X116" s="22"/>
    </row>
    <row r="117" spans="2:24" x14ac:dyDescent="0.25">
      <c r="B117" s="22"/>
      <c r="C117" s="21"/>
      <c r="W117" s="22"/>
      <c r="X117" s="22"/>
    </row>
    <row r="118" spans="2:24" x14ac:dyDescent="0.25">
      <c r="B118" s="22"/>
      <c r="C118" s="21"/>
      <c r="W118" s="22"/>
      <c r="X118" s="22"/>
    </row>
    <row r="119" spans="2:24" x14ac:dyDescent="0.25">
      <c r="B119" s="22"/>
      <c r="C119" s="21"/>
      <c r="W119" s="22"/>
      <c r="X119" s="22"/>
    </row>
    <row r="120" spans="2:24" x14ac:dyDescent="0.25">
      <c r="B120" s="22"/>
      <c r="C120" s="21"/>
      <c r="W120" s="22"/>
      <c r="X120" s="22"/>
    </row>
    <row r="121" spans="2:24" x14ac:dyDescent="0.25">
      <c r="B121" s="22"/>
      <c r="C121" s="21"/>
      <c r="W121" s="22"/>
      <c r="X121" s="22"/>
    </row>
    <row r="122" spans="2:24" x14ac:dyDescent="0.25">
      <c r="B122" s="22"/>
      <c r="C122" s="21"/>
      <c r="W122" s="22"/>
      <c r="X122" s="22"/>
    </row>
    <row r="123" spans="2:24" x14ac:dyDescent="0.25">
      <c r="B123" s="22"/>
      <c r="C123" s="21"/>
      <c r="W123" s="22"/>
      <c r="X123" s="22"/>
    </row>
    <row r="124" spans="2:24" x14ac:dyDescent="0.25">
      <c r="B124" s="22"/>
      <c r="C124" s="21"/>
      <c r="W124" s="22"/>
      <c r="X124" s="22"/>
    </row>
    <row r="125" spans="2:24" x14ac:dyDescent="0.25">
      <c r="B125" s="22"/>
      <c r="C125" s="21"/>
      <c r="W125" s="22"/>
      <c r="X125" s="22"/>
    </row>
    <row r="126" spans="2:24" x14ac:dyDescent="0.25">
      <c r="B126" s="22"/>
      <c r="C126" s="21"/>
      <c r="W126" s="22"/>
      <c r="X126" s="22"/>
    </row>
    <row r="127" spans="2:24" x14ac:dyDescent="0.25">
      <c r="B127" s="22"/>
      <c r="C127" s="21"/>
      <c r="W127" s="22"/>
      <c r="X127" s="22"/>
    </row>
    <row r="128" spans="2:24" x14ac:dyDescent="0.25">
      <c r="B128" s="22"/>
      <c r="C128" s="21"/>
      <c r="W128" s="22"/>
      <c r="X128" s="22"/>
    </row>
    <row r="129" spans="2:24" x14ac:dyDescent="0.25">
      <c r="B129" s="22"/>
      <c r="C129" s="21"/>
      <c r="W129" s="22"/>
      <c r="X129" s="22"/>
    </row>
    <row r="130" spans="2:24" x14ac:dyDescent="0.25">
      <c r="B130" s="22"/>
      <c r="C130" s="21"/>
      <c r="W130" s="22"/>
      <c r="X130" s="22"/>
    </row>
    <row r="131" spans="2:24" x14ac:dyDescent="0.25">
      <c r="B131" s="22"/>
      <c r="C131" s="21"/>
      <c r="W131" s="22"/>
      <c r="X131" s="22"/>
    </row>
    <row r="132" spans="2:24" x14ac:dyDescent="0.25">
      <c r="B132" s="22"/>
      <c r="C132" s="21"/>
      <c r="W132" s="22"/>
      <c r="X132" s="22"/>
    </row>
    <row r="133" spans="2:24" x14ac:dyDescent="0.25">
      <c r="B133" s="22"/>
      <c r="C133" s="21"/>
      <c r="W133" s="22"/>
      <c r="X133" s="22"/>
    </row>
    <row r="134" spans="2:24" x14ac:dyDescent="0.25">
      <c r="B134" s="22"/>
      <c r="C134" s="21"/>
      <c r="W134" s="22"/>
      <c r="X134" s="22"/>
    </row>
    <row r="135" spans="2:24" x14ac:dyDescent="0.25">
      <c r="B135" s="22"/>
      <c r="C135" s="21"/>
      <c r="W135" s="22"/>
      <c r="X135" s="22"/>
    </row>
    <row r="136" spans="2:24" x14ac:dyDescent="0.25">
      <c r="B136" s="22"/>
      <c r="C136" s="21"/>
      <c r="W136" s="22"/>
      <c r="X136" s="22"/>
    </row>
    <row r="137" spans="2:24" x14ac:dyDescent="0.25">
      <c r="B137" s="22"/>
      <c r="C137" s="21"/>
      <c r="W137" s="22"/>
      <c r="X137" s="22"/>
    </row>
    <row r="138" spans="2:24" x14ac:dyDescent="0.25">
      <c r="B138" s="22"/>
      <c r="C138" s="21"/>
      <c r="W138" s="22"/>
      <c r="X138" s="22"/>
    </row>
    <row r="139" spans="2:24" x14ac:dyDescent="0.25">
      <c r="B139" s="22"/>
      <c r="C139" s="21"/>
      <c r="W139" s="22"/>
      <c r="X139" s="22"/>
    </row>
    <row r="140" spans="2:24" x14ac:dyDescent="0.25">
      <c r="B140" s="22"/>
      <c r="C140" s="21"/>
      <c r="W140" s="22"/>
      <c r="X140" s="22"/>
    </row>
    <row r="141" spans="2:24" x14ac:dyDescent="0.25">
      <c r="B141" s="22"/>
      <c r="C141" s="21"/>
      <c r="W141" s="22"/>
      <c r="X141" s="22"/>
    </row>
    <row r="142" spans="2:24" x14ac:dyDescent="0.25">
      <c r="B142" s="22"/>
      <c r="C142" s="21"/>
      <c r="W142" s="22"/>
      <c r="X142" s="22"/>
    </row>
    <row r="143" spans="2:24" x14ac:dyDescent="0.25">
      <c r="B143" s="22"/>
      <c r="C143" s="21"/>
      <c r="W143" s="22"/>
      <c r="X143" s="22"/>
    </row>
    <row r="144" spans="2:24" x14ac:dyDescent="0.25">
      <c r="B144" s="22"/>
      <c r="C144" s="21"/>
      <c r="W144" s="22"/>
      <c r="X144" s="22"/>
    </row>
    <row r="145" spans="2:24" x14ac:dyDescent="0.25">
      <c r="B145" s="22"/>
      <c r="C145" s="21"/>
      <c r="W145" s="22"/>
      <c r="X145" s="22"/>
    </row>
    <row r="146" spans="2:24" x14ac:dyDescent="0.25">
      <c r="B146" s="22"/>
      <c r="C146" s="21"/>
      <c r="W146" s="22"/>
      <c r="X146" s="22"/>
    </row>
    <row r="147" spans="2:24" x14ac:dyDescent="0.25">
      <c r="B147" s="22"/>
      <c r="C147" s="21"/>
      <c r="W147" s="22"/>
      <c r="X147" s="22"/>
    </row>
    <row r="148" spans="2:24" x14ac:dyDescent="0.25">
      <c r="B148" s="22"/>
      <c r="C148" s="21"/>
      <c r="W148" s="22"/>
      <c r="X148" s="22"/>
    </row>
    <row r="149" spans="2:24" x14ac:dyDescent="0.25">
      <c r="B149" s="22"/>
      <c r="C149" s="21"/>
      <c r="W149" s="22"/>
      <c r="X149" s="22"/>
    </row>
    <row r="150" spans="2:24" x14ac:dyDescent="0.25">
      <c r="B150" s="22"/>
      <c r="C150" s="21"/>
      <c r="W150" s="22"/>
      <c r="X150" s="22"/>
    </row>
    <row r="151" spans="2:24" x14ac:dyDescent="0.25">
      <c r="B151" s="22"/>
      <c r="C151" s="21"/>
      <c r="W151" s="22"/>
      <c r="X151" s="22"/>
    </row>
    <row r="152" spans="2:24" x14ac:dyDescent="0.25">
      <c r="B152" s="22"/>
      <c r="C152" s="21"/>
      <c r="W152" s="22"/>
      <c r="X152" s="22"/>
    </row>
    <row r="153" spans="2:24" x14ac:dyDescent="0.25">
      <c r="B153" s="22"/>
      <c r="C153" s="21"/>
      <c r="W153" s="22"/>
      <c r="X153" s="22"/>
    </row>
    <row r="154" spans="2:24" x14ac:dyDescent="0.25">
      <c r="B154" s="22"/>
      <c r="C154" s="21"/>
      <c r="W154" s="22"/>
      <c r="X154" s="22"/>
    </row>
    <row r="155" spans="2:24" x14ac:dyDescent="0.25">
      <c r="B155" s="22"/>
      <c r="C155" s="21"/>
      <c r="W155" s="22"/>
      <c r="X155" s="22"/>
    </row>
    <row r="156" spans="2:24" x14ac:dyDescent="0.25">
      <c r="B156" s="22"/>
      <c r="C156" s="21"/>
      <c r="W156" s="22"/>
      <c r="X156" s="22"/>
    </row>
    <row r="157" spans="2:24" x14ac:dyDescent="0.25">
      <c r="B157" s="22"/>
      <c r="C157" s="21"/>
      <c r="W157" s="22"/>
      <c r="X157" s="22"/>
    </row>
    <row r="158" spans="2:24" x14ac:dyDescent="0.25">
      <c r="B158" s="22"/>
      <c r="C158" s="21"/>
      <c r="W158" s="22"/>
      <c r="X158" s="22"/>
    </row>
    <row r="159" spans="2:24" x14ac:dyDescent="0.25">
      <c r="B159" s="22"/>
      <c r="C159" s="21"/>
      <c r="W159" s="22"/>
      <c r="X159" s="22"/>
    </row>
    <row r="160" spans="2:24" x14ac:dyDescent="0.25">
      <c r="B160" s="22"/>
      <c r="C160" s="21"/>
      <c r="W160" s="22"/>
      <c r="X160" s="22"/>
    </row>
    <row r="161" spans="2:24" x14ac:dyDescent="0.25">
      <c r="B161" s="22"/>
      <c r="C161" s="21"/>
      <c r="W161" s="22"/>
      <c r="X161" s="22"/>
    </row>
    <row r="162" spans="2:24" x14ac:dyDescent="0.25">
      <c r="B162" s="22"/>
      <c r="C162" s="21"/>
      <c r="W162" s="22"/>
      <c r="X162" s="22"/>
    </row>
    <row r="163" spans="2:24" x14ac:dyDescent="0.25">
      <c r="B163" s="22"/>
      <c r="C163" s="21"/>
      <c r="W163" s="22"/>
      <c r="X163" s="22"/>
    </row>
    <row r="164" spans="2:24" x14ac:dyDescent="0.25">
      <c r="B164" s="22"/>
      <c r="C164" s="21"/>
    </row>
    <row r="165" spans="2:24" x14ac:dyDescent="0.25">
      <c r="B165" s="22"/>
      <c r="C165" s="21"/>
    </row>
    <row r="166" spans="2:24" x14ac:dyDescent="0.25">
      <c r="B166" s="22"/>
      <c r="C166" s="21"/>
      <c r="W166" s="22"/>
      <c r="X166" s="22"/>
    </row>
    <row r="167" spans="2:24" x14ac:dyDescent="0.25">
      <c r="B167" s="22"/>
      <c r="C167" s="21"/>
    </row>
    <row r="168" spans="2:24" x14ac:dyDescent="0.25">
      <c r="B168" s="22"/>
      <c r="C168" s="21"/>
      <c r="W168" s="22"/>
      <c r="X168" s="22"/>
    </row>
    <row r="169" spans="2:24" x14ac:dyDescent="0.25">
      <c r="B169" s="22"/>
      <c r="C169" s="21"/>
      <c r="W169" s="22"/>
      <c r="X169" s="22"/>
    </row>
    <row r="170" spans="2:24" x14ac:dyDescent="0.25">
      <c r="B170" s="22"/>
      <c r="C170" s="21"/>
      <c r="W170" s="22"/>
      <c r="X170" s="22"/>
    </row>
    <row r="171" spans="2:24" x14ac:dyDescent="0.25">
      <c r="B171" s="22"/>
      <c r="C171" s="21"/>
      <c r="W171" s="22"/>
      <c r="X171" s="22"/>
    </row>
    <row r="172" spans="2:24" x14ac:dyDescent="0.25">
      <c r="B172" s="22"/>
      <c r="C172" s="21"/>
      <c r="W172" s="22"/>
      <c r="X172" s="22"/>
    </row>
    <row r="173" spans="2:24" x14ac:dyDescent="0.25">
      <c r="B173" s="22"/>
      <c r="C173" s="21"/>
      <c r="W173" s="22"/>
      <c r="X173" s="22"/>
    </row>
    <row r="174" spans="2:24" x14ac:dyDescent="0.25">
      <c r="B174" s="22"/>
      <c r="C174" s="21"/>
    </row>
    <row r="175" spans="2:24" x14ac:dyDescent="0.25">
      <c r="B175" s="22"/>
      <c r="C175" s="21"/>
    </row>
    <row r="176" spans="2:24" x14ac:dyDescent="0.25">
      <c r="B176" s="22"/>
      <c r="C176" s="21"/>
    </row>
    <row r="177" spans="2:24" x14ac:dyDescent="0.25">
      <c r="B177" s="22"/>
      <c r="C177" s="21"/>
      <c r="W177" s="22"/>
      <c r="X177" s="22"/>
    </row>
    <row r="178" spans="2:24" x14ac:dyDescent="0.25">
      <c r="B178" s="22"/>
      <c r="C178" s="21"/>
    </row>
    <row r="179" spans="2:24" x14ac:dyDescent="0.25">
      <c r="B179" s="22"/>
      <c r="C179" s="21"/>
      <c r="W179" s="22"/>
      <c r="X179" s="22"/>
    </row>
    <row r="180" spans="2:24" x14ac:dyDescent="0.25">
      <c r="B180" s="22"/>
      <c r="C180" s="21"/>
      <c r="W180" s="22"/>
      <c r="X180" s="22"/>
    </row>
    <row r="181" spans="2:24" x14ac:dyDescent="0.25">
      <c r="B181" s="22"/>
      <c r="C181" s="21"/>
      <c r="W181" s="22"/>
      <c r="X181" s="22"/>
    </row>
    <row r="182" spans="2:24" x14ac:dyDescent="0.25">
      <c r="B182" s="22"/>
      <c r="C182" s="21"/>
      <c r="W182" s="22"/>
      <c r="X182" s="22"/>
    </row>
    <row r="183" spans="2:24" x14ac:dyDescent="0.25">
      <c r="B183" s="22"/>
      <c r="C183" s="21"/>
      <c r="W183" s="22"/>
      <c r="X183" s="22"/>
    </row>
    <row r="184" spans="2:24" x14ac:dyDescent="0.25">
      <c r="B184" s="22"/>
      <c r="C184" s="21"/>
      <c r="W184" s="22"/>
      <c r="X184" s="22"/>
    </row>
    <row r="185" spans="2:24" x14ac:dyDescent="0.25">
      <c r="B185" s="22"/>
      <c r="C185" s="21"/>
      <c r="W185" s="22"/>
      <c r="X185" s="22"/>
    </row>
    <row r="186" spans="2:24" x14ac:dyDescent="0.25">
      <c r="B186" s="22"/>
      <c r="C186" s="21"/>
      <c r="W186" s="22"/>
      <c r="X186" s="22"/>
    </row>
    <row r="187" spans="2:24" x14ac:dyDescent="0.25">
      <c r="B187" s="22"/>
      <c r="C187" s="21"/>
      <c r="W187" s="22"/>
      <c r="X187" s="22"/>
    </row>
    <row r="188" spans="2:24" x14ac:dyDescent="0.25">
      <c r="B188" s="22"/>
      <c r="C188" s="21"/>
      <c r="W188" s="22"/>
      <c r="X188" s="22"/>
    </row>
    <row r="189" spans="2:24" x14ac:dyDescent="0.25">
      <c r="B189" s="22"/>
      <c r="C189" s="21"/>
      <c r="W189" s="22"/>
      <c r="X189" s="22"/>
    </row>
    <row r="190" spans="2:24" x14ac:dyDescent="0.25">
      <c r="B190" s="22"/>
      <c r="C190" s="21"/>
      <c r="W190" s="22"/>
      <c r="X190" s="22"/>
    </row>
    <row r="191" spans="2:24" x14ac:dyDescent="0.25">
      <c r="B191" s="22"/>
      <c r="C191" s="21"/>
      <c r="W191" s="22"/>
      <c r="X191" s="22"/>
    </row>
    <row r="192" spans="2:24" x14ac:dyDescent="0.25">
      <c r="B192" s="22"/>
      <c r="C192" s="21"/>
      <c r="W192" s="22"/>
      <c r="X192" s="22"/>
    </row>
    <row r="193" spans="2:24" x14ac:dyDescent="0.25">
      <c r="B193" s="22"/>
      <c r="C193" s="21"/>
      <c r="W193" s="22"/>
      <c r="X193" s="22"/>
    </row>
    <row r="194" spans="2:24" x14ac:dyDescent="0.25">
      <c r="B194" s="22"/>
      <c r="C194" s="21"/>
      <c r="W194" s="22"/>
      <c r="X194" s="22"/>
    </row>
    <row r="195" spans="2:24" x14ac:dyDescent="0.25">
      <c r="B195" s="22"/>
      <c r="C195" s="21"/>
      <c r="W195" s="22"/>
      <c r="X195" s="22"/>
    </row>
    <row r="196" spans="2:24" x14ac:dyDescent="0.25">
      <c r="B196" s="22"/>
      <c r="C196" s="21"/>
      <c r="W196" s="22"/>
      <c r="X196" s="22"/>
    </row>
    <row r="197" spans="2:24" x14ac:dyDescent="0.25">
      <c r="B197" s="22"/>
      <c r="C197" s="21"/>
      <c r="W197" s="22"/>
      <c r="X197" s="22"/>
    </row>
    <row r="198" spans="2:24" x14ac:dyDescent="0.25">
      <c r="B198" s="22"/>
      <c r="C198" s="21"/>
    </row>
    <row r="199" spans="2:24" x14ac:dyDescent="0.25">
      <c r="B199" s="22"/>
      <c r="C199" s="21"/>
      <c r="W199" s="22"/>
      <c r="X199" s="22"/>
    </row>
    <row r="200" spans="2:24" x14ac:dyDescent="0.25">
      <c r="B200" s="22"/>
      <c r="C200" s="21"/>
      <c r="W200" s="22"/>
      <c r="X200" s="22"/>
    </row>
    <row r="201" spans="2:24" x14ac:dyDescent="0.25">
      <c r="B201" s="22"/>
      <c r="C201" s="21"/>
      <c r="W201" s="22"/>
      <c r="X201" s="22"/>
    </row>
    <row r="202" spans="2:24" x14ac:dyDescent="0.25">
      <c r="B202" s="22"/>
      <c r="C202" s="21"/>
      <c r="W202" s="22"/>
      <c r="X202" s="22"/>
    </row>
    <row r="203" spans="2:24" x14ac:dyDescent="0.25">
      <c r="B203" s="22"/>
      <c r="C203" s="21"/>
      <c r="W203" s="22"/>
      <c r="X203" s="22"/>
    </row>
    <row r="204" spans="2:24" x14ac:dyDescent="0.25">
      <c r="B204" s="22"/>
      <c r="C204" s="21"/>
      <c r="W204" s="22"/>
      <c r="X204" s="22"/>
    </row>
    <row r="205" spans="2:24" x14ac:dyDescent="0.25">
      <c r="B205" s="22"/>
      <c r="C205" s="21"/>
      <c r="W205" s="22"/>
      <c r="X205" s="22"/>
    </row>
    <row r="206" spans="2:24" x14ac:dyDescent="0.25">
      <c r="B206" s="22"/>
      <c r="C206" s="21"/>
      <c r="W206" s="22"/>
      <c r="X206" s="22"/>
    </row>
    <row r="207" spans="2:24" x14ac:dyDescent="0.25">
      <c r="B207" s="22"/>
      <c r="C207" s="21"/>
      <c r="W207" s="22"/>
      <c r="X207" s="22"/>
    </row>
    <row r="208" spans="2:24" x14ac:dyDescent="0.25">
      <c r="B208" s="22"/>
      <c r="C208" s="21"/>
      <c r="W208" s="22"/>
      <c r="X208" s="22"/>
    </row>
    <row r="209" spans="2:24" x14ac:dyDescent="0.25">
      <c r="B209" s="22"/>
      <c r="C209" s="21"/>
      <c r="W209" s="22"/>
      <c r="X209" s="22"/>
    </row>
    <row r="210" spans="2:24" x14ac:dyDescent="0.25">
      <c r="B210" s="22"/>
      <c r="C210" s="21"/>
      <c r="W210" s="22"/>
      <c r="X210" s="22"/>
    </row>
    <row r="211" spans="2:24" x14ac:dyDescent="0.25">
      <c r="B211" s="22"/>
      <c r="C211" s="21"/>
      <c r="W211" s="22"/>
      <c r="X211" s="22"/>
    </row>
    <row r="212" spans="2:24" x14ac:dyDescent="0.25">
      <c r="B212" s="22"/>
      <c r="C212" s="21"/>
      <c r="W212" s="22"/>
      <c r="X212" s="22"/>
    </row>
    <row r="213" spans="2:24" x14ac:dyDescent="0.25">
      <c r="B213" s="22"/>
      <c r="C213" s="21"/>
      <c r="W213" s="22"/>
      <c r="X213" s="22"/>
    </row>
    <row r="214" spans="2:24" x14ac:dyDescent="0.25">
      <c r="B214" s="22"/>
      <c r="C214" s="21"/>
      <c r="W214" s="22"/>
      <c r="X214" s="22"/>
    </row>
    <row r="215" spans="2:24" x14ac:dyDescent="0.25">
      <c r="B215" s="22"/>
      <c r="C215" s="21"/>
      <c r="W215" s="22"/>
      <c r="X215" s="22"/>
    </row>
    <row r="216" spans="2:24" x14ac:dyDescent="0.25">
      <c r="B216" s="22"/>
      <c r="C216" s="21"/>
      <c r="W216" s="22"/>
      <c r="X216" s="22"/>
    </row>
    <row r="217" spans="2:24" x14ac:dyDescent="0.25">
      <c r="B217" s="22"/>
      <c r="C217" s="21"/>
      <c r="W217" s="22"/>
      <c r="X217" s="22"/>
    </row>
    <row r="218" spans="2:24" x14ac:dyDescent="0.25">
      <c r="B218" s="22"/>
      <c r="C218" s="21"/>
      <c r="W218" s="22"/>
      <c r="X218" s="22"/>
    </row>
    <row r="219" spans="2:24" x14ac:dyDescent="0.25">
      <c r="B219" s="22"/>
      <c r="C219" s="21"/>
      <c r="W219" s="22"/>
      <c r="X219" s="22"/>
    </row>
    <row r="220" spans="2:24" x14ac:dyDescent="0.25">
      <c r="B220" s="22"/>
      <c r="C220" s="21"/>
      <c r="W220" s="22"/>
      <c r="X220" s="22"/>
    </row>
    <row r="221" spans="2:24" x14ac:dyDescent="0.25">
      <c r="B221" s="22"/>
      <c r="C221" s="21"/>
      <c r="W221" s="22"/>
      <c r="X221" s="22"/>
    </row>
    <row r="222" spans="2:24" x14ac:dyDescent="0.25">
      <c r="B222" s="22"/>
      <c r="C222" s="21"/>
      <c r="W222" s="22"/>
      <c r="X222" s="22"/>
    </row>
    <row r="223" spans="2:24" x14ac:dyDescent="0.25">
      <c r="B223" s="22"/>
      <c r="C223" s="21"/>
      <c r="W223" s="22"/>
      <c r="X223" s="22"/>
    </row>
    <row r="224" spans="2:24" x14ac:dyDescent="0.25">
      <c r="B224" s="22"/>
      <c r="C224" s="21"/>
      <c r="W224" s="22"/>
      <c r="X224" s="22"/>
    </row>
    <row r="225" spans="2:24" x14ac:dyDescent="0.25">
      <c r="B225" s="22"/>
      <c r="C225" s="21"/>
      <c r="W225" s="22"/>
      <c r="X225" s="22"/>
    </row>
    <row r="226" spans="2:24" x14ac:dyDescent="0.25">
      <c r="B226" s="22"/>
      <c r="C226" s="21"/>
      <c r="W226" s="22"/>
      <c r="X226" s="22"/>
    </row>
    <row r="227" spans="2:24" x14ac:dyDescent="0.25">
      <c r="B227" s="22"/>
      <c r="C227" s="21"/>
      <c r="W227" s="22"/>
      <c r="X227" s="22"/>
    </row>
    <row r="228" spans="2:24" x14ac:dyDescent="0.25">
      <c r="B228" s="22"/>
      <c r="C228" s="21"/>
      <c r="W228" s="22"/>
      <c r="X228" s="22"/>
    </row>
    <row r="229" spans="2:24" x14ac:dyDescent="0.25">
      <c r="B229" s="22"/>
      <c r="C229" s="21"/>
      <c r="W229" s="22"/>
      <c r="X229" s="22"/>
    </row>
    <row r="230" spans="2:24" x14ac:dyDescent="0.25">
      <c r="B230" s="22"/>
      <c r="C230" s="21"/>
      <c r="W230" s="22"/>
      <c r="X230" s="22"/>
    </row>
    <row r="231" spans="2:24" x14ac:dyDescent="0.25">
      <c r="B231" s="22"/>
      <c r="C231" s="21"/>
      <c r="W231" s="22"/>
      <c r="X231" s="22"/>
    </row>
    <row r="232" spans="2:24" x14ac:dyDescent="0.25">
      <c r="B232" s="22"/>
      <c r="C232" s="21"/>
      <c r="W232" s="22"/>
      <c r="X232" s="22"/>
    </row>
    <row r="233" spans="2:24" x14ac:dyDescent="0.25">
      <c r="B233" s="22"/>
      <c r="C233" s="21"/>
      <c r="W233" s="22"/>
      <c r="X233" s="22"/>
    </row>
    <row r="234" spans="2:24" x14ac:dyDescent="0.25">
      <c r="B234" s="22"/>
      <c r="C234" s="21"/>
      <c r="W234" s="22"/>
      <c r="X234" s="22"/>
    </row>
    <row r="235" spans="2:24" x14ac:dyDescent="0.25">
      <c r="B235" s="22"/>
      <c r="C235" s="21"/>
      <c r="W235" s="22"/>
      <c r="X235" s="22"/>
    </row>
    <row r="236" spans="2:24" x14ac:dyDescent="0.25">
      <c r="B236" s="22"/>
      <c r="C236" s="21"/>
      <c r="W236" s="22"/>
      <c r="X236" s="22"/>
    </row>
    <row r="237" spans="2:24" x14ac:dyDescent="0.25">
      <c r="B237" s="22"/>
      <c r="C237" s="21"/>
      <c r="W237" s="22"/>
      <c r="X237" s="22"/>
    </row>
    <row r="238" spans="2:24" x14ac:dyDescent="0.25">
      <c r="B238" s="22"/>
      <c r="C238" s="21"/>
      <c r="W238" s="22"/>
      <c r="X238" s="22"/>
    </row>
    <row r="239" spans="2:24" x14ac:dyDescent="0.25">
      <c r="B239" s="22"/>
      <c r="C239" s="21"/>
      <c r="W239" s="22"/>
      <c r="X239" s="22"/>
    </row>
    <row r="240" spans="2:24" x14ac:dyDescent="0.25">
      <c r="B240" s="22"/>
      <c r="C240" s="21"/>
      <c r="W240" s="22"/>
      <c r="X240" s="22"/>
    </row>
    <row r="241" spans="2:24" x14ac:dyDescent="0.25">
      <c r="B241" s="22"/>
      <c r="C241" s="21"/>
      <c r="W241" s="22"/>
      <c r="X241" s="22"/>
    </row>
    <row r="242" spans="2:24" x14ac:dyDescent="0.25">
      <c r="B242" s="22"/>
      <c r="C242" s="21"/>
      <c r="W242" s="22"/>
      <c r="X242" s="22"/>
    </row>
    <row r="243" spans="2:24" x14ac:dyDescent="0.25">
      <c r="B243" s="22"/>
      <c r="C243" s="21"/>
      <c r="W243" s="22"/>
      <c r="X243" s="22"/>
    </row>
    <row r="244" spans="2:24" x14ac:dyDescent="0.25">
      <c r="B244" s="22"/>
      <c r="C244" s="21"/>
      <c r="W244" s="22"/>
      <c r="X244" s="22"/>
    </row>
    <row r="245" spans="2:24" x14ac:dyDescent="0.25">
      <c r="B245" s="22"/>
      <c r="C245" s="21"/>
      <c r="W245" s="22"/>
      <c r="X245" s="22"/>
    </row>
    <row r="246" spans="2:24" x14ac:dyDescent="0.25">
      <c r="B246" s="22"/>
      <c r="C246" s="21"/>
      <c r="W246" s="22"/>
      <c r="X246" s="22"/>
    </row>
    <row r="247" spans="2:24" x14ac:dyDescent="0.25">
      <c r="B247" s="22"/>
      <c r="C247" s="21"/>
      <c r="W247" s="22"/>
      <c r="X247" s="22"/>
    </row>
    <row r="248" spans="2:24" x14ac:dyDescent="0.25">
      <c r="B248" s="22"/>
      <c r="C248" s="21"/>
      <c r="W248" s="22"/>
      <c r="X248" s="22"/>
    </row>
    <row r="249" spans="2:24" x14ac:dyDescent="0.25">
      <c r="B249" s="22"/>
      <c r="C249" s="21"/>
      <c r="W249" s="22"/>
      <c r="X249" s="22"/>
    </row>
    <row r="250" spans="2:24" x14ac:dyDescent="0.25">
      <c r="B250" s="22"/>
      <c r="C250" s="21"/>
      <c r="W250" s="22"/>
      <c r="X250" s="22"/>
    </row>
    <row r="251" spans="2:24" x14ac:dyDescent="0.25">
      <c r="B251" s="22"/>
      <c r="C251" s="21"/>
      <c r="W251" s="22"/>
      <c r="X251" s="22"/>
    </row>
    <row r="252" spans="2:24" x14ac:dyDescent="0.25">
      <c r="B252" s="22"/>
      <c r="C252" s="21"/>
      <c r="W252" s="22"/>
      <c r="X252" s="22"/>
    </row>
    <row r="253" spans="2:24" x14ac:dyDescent="0.25">
      <c r="B253" s="22"/>
      <c r="C253" s="21"/>
      <c r="W253" s="22"/>
      <c r="X253" s="22"/>
    </row>
    <row r="254" spans="2:24" x14ac:dyDescent="0.25">
      <c r="B254" s="22"/>
      <c r="C254" s="21"/>
      <c r="W254" s="22"/>
      <c r="X254" s="22"/>
    </row>
    <row r="255" spans="2:24" x14ac:dyDescent="0.25">
      <c r="B255" s="22"/>
      <c r="C255" s="21"/>
      <c r="W255" s="22"/>
      <c r="X255" s="22"/>
    </row>
    <row r="256" spans="2:24" x14ac:dyDescent="0.25">
      <c r="B256" s="22"/>
      <c r="C256" s="21"/>
      <c r="W256" s="22"/>
      <c r="X256" s="22"/>
    </row>
    <row r="257" spans="2:24" x14ac:dyDescent="0.25">
      <c r="B257" s="22"/>
      <c r="C257" s="21"/>
      <c r="W257" s="22"/>
      <c r="X257" s="22"/>
    </row>
    <row r="258" spans="2:24" x14ac:dyDescent="0.25">
      <c r="B258" s="22"/>
      <c r="C258" s="21"/>
      <c r="W258" s="22"/>
      <c r="X258" s="22"/>
    </row>
    <row r="259" spans="2:24" x14ac:dyDescent="0.25">
      <c r="B259" s="22"/>
      <c r="C259" s="21"/>
      <c r="W259" s="22"/>
      <c r="X259" s="22"/>
    </row>
    <row r="260" spans="2:24" x14ac:dyDescent="0.25">
      <c r="B260" s="22"/>
      <c r="C260" s="21"/>
      <c r="W260" s="22"/>
      <c r="X260" s="22"/>
    </row>
    <row r="261" spans="2:24" x14ac:dyDescent="0.25">
      <c r="B261" s="22"/>
      <c r="C261" s="21"/>
      <c r="W261" s="22"/>
      <c r="X261" s="22"/>
    </row>
    <row r="262" spans="2:24" x14ac:dyDescent="0.25">
      <c r="B262" s="22"/>
      <c r="C262" s="21"/>
      <c r="W262" s="22"/>
      <c r="X262" s="22"/>
    </row>
    <row r="263" spans="2:24" x14ac:dyDescent="0.25">
      <c r="B263" s="22"/>
      <c r="C263" s="21"/>
      <c r="W263" s="22"/>
      <c r="X263" s="22"/>
    </row>
    <row r="264" spans="2:24" x14ac:dyDescent="0.25">
      <c r="B264" s="22"/>
      <c r="C264" s="21"/>
      <c r="W264" s="22"/>
      <c r="X264" s="22"/>
    </row>
    <row r="265" spans="2:24" x14ac:dyDescent="0.25">
      <c r="B265" s="22"/>
      <c r="C265" s="21"/>
      <c r="W265" s="22"/>
      <c r="X265" s="22"/>
    </row>
    <row r="266" spans="2:24" x14ac:dyDescent="0.25">
      <c r="B266" s="22"/>
      <c r="C266" s="21"/>
      <c r="W266" s="22"/>
      <c r="X266" s="22"/>
    </row>
    <row r="267" spans="2:24" x14ac:dyDescent="0.25">
      <c r="B267" s="22"/>
      <c r="C267" s="21"/>
      <c r="W267" s="22"/>
      <c r="X267" s="22"/>
    </row>
    <row r="268" spans="2:24" x14ac:dyDescent="0.25">
      <c r="B268" s="22"/>
      <c r="C268" s="21"/>
      <c r="W268" s="22"/>
      <c r="X268" s="22"/>
    </row>
    <row r="269" spans="2:24" x14ac:dyDescent="0.25">
      <c r="B269" s="22"/>
      <c r="C269" s="21"/>
      <c r="W269" s="22"/>
      <c r="X269" s="22"/>
    </row>
    <row r="270" spans="2:24" x14ac:dyDescent="0.25">
      <c r="B270" s="22"/>
      <c r="C270" s="21"/>
      <c r="W270" s="22"/>
      <c r="X270" s="22"/>
    </row>
    <row r="271" spans="2:24" x14ac:dyDescent="0.25">
      <c r="B271" s="22"/>
      <c r="C271" s="21"/>
      <c r="W271" s="22"/>
      <c r="X271" s="22"/>
    </row>
    <row r="272" spans="2:24" x14ac:dyDescent="0.25">
      <c r="B272" s="22"/>
      <c r="C272" s="21"/>
      <c r="W272" s="22"/>
      <c r="X272" s="22"/>
    </row>
    <row r="273" spans="2:24" x14ac:dyDescent="0.25">
      <c r="B273" s="22"/>
      <c r="C273" s="21"/>
      <c r="W273" s="22"/>
      <c r="X273" s="22"/>
    </row>
    <row r="274" spans="2:24" x14ac:dyDescent="0.25">
      <c r="B274" s="22"/>
      <c r="C274" s="21"/>
      <c r="W274" s="22"/>
      <c r="X274" s="22"/>
    </row>
    <row r="275" spans="2:24" x14ac:dyDescent="0.25">
      <c r="B275" s="22"/>
      <c r="C275" s="21"/>
      <c r="W275" s="22"/>
      <c r="X275" s="22"/>
    </row>
    <row r="276" spans="2:24" x14ac:dyDescent="0.25">
      <c r="B276" s="22"/>
      <c r="C276" s="21"/>
      <c r="W276" s="22"/>
      <c r="X276" s="22"/>
    </row>
    <row r="277" spans="2:24" x14ac:dyDescent="0.25">
      <c r="B277" s="22"/>
      <c r="C277" s="21"/>
      <c r="W277" s="22"/>
      <c r="X277" s="22"/>
    </row>
    <row r="278" spans="2:24" x14ac:dyDescent="0.25">
      <c r="B278" s="22"/>
      <c r="C278" s="21"/>
      <c r="W278" s="22"/>
      <c r="X278" s="22"/>
    </row>
    <row r="279" spans="2:24" x14ac:dyDescent="0.25">
      <c r="B279" s="22"/>
      <c r="C279" s="21"/>
      <c r="W279" s="22"/>
      <c r="X279" s="22"/>
    </row>
    <row r="280" spans="2:24" x14ac:dyDescent="0.25">
      <c r="B280" s="22"/>
      <c r="C280" s="21"/>
      <c r="W280" s="22"/>
      <c r="X280" s="22"/>
    </row>
    <row r="281" spans="2:24" x14ac:dyDescent="0.25">
      <c r="B281" s="22"/>
      <c r="C281" s="21"/>
      <c r="W281" s="22"/>
      <c r="X281" s="22"/>
    </row>
    <row r="282" spans="2:24" x14ac:dyDescent="0.25">
      <c r="B282" s="22"/>
      <c r="C282" s="21"/>
      <c r="W282" s="22"/>
      <c r="X282" s="22"/>
    </row>
    <row r="283" spans="2:24" x14ac:dyDescent="0.25">
      <c r="B283" s="22"/>
      <c r="C283" s="21"/>
      <c r="W283" s="22"/>
      <c r="X283" s="22"/>
    </row>
    <row r="284" spans="2:24" x14ac:dyDescent="0.25">
      <c r="B284" s="22"/>
      <c r="C284" s="21"/>
      <c r="W284" s="22"/>
      <c r="X284" s="22"/>
    </row>
    <row r="285" spans="2:24" x14ac:dyDescent="0.25">
      <c r="B285" s="22"/>
      <c r="C285" s="21"/>
      <c r="W285" s="22"/>
      <c r="X285" s="22"/>
    </row>
    <row r="286" spans="2:24" x14ac:dyDescent="0.25">
      <c r="B286" s="22"/>
      <c r="C286" s="21"/>
      <c r="W286" s="22"/>
      <c r="X286" s="22"/>
    </row>
    <row r="287" spans="2:24" x14ac:dyDescent="0.25">
      <c r="B287" s="22"/>
      <c r="C287" s="21"/>
      <c r="W287" s="22"/>
      <c r="X287" s="22"/>
    </row>
    <row r="288" spans="2:24" x14ac:dyDescent="0.25">
      <c r="B288" s="22"/>
      <c r="C288" s="21"/>
      <c r="W288" s="22"/>
      <c r="X288" s="22"/>
    </row>
    <row r="289" spans="2:24" x14ac:dyDescent="0.25">
      <c r="B289" s="22"/>
      <c r="C289" s="21"/>
      <c r="W289" s="22"/>
      <c r="X289" s="22"/>
    </row>
    <row r="290" spans="2:24" x14ac:dyDescent="0.25">
      <c r="B290" s="22"/>
      <c r="C290" s="21"/>
      <c r="W290" s="22"/>
      <c r="X290" s="22"/>
    </row>
    <row r="291" spans="2:24" x14ac:dyDescent="0.25">
      <c r="B291" s="22"/>
      <c r="C291" s="21"/>
      <c r="W291" s="22"/>
      <c r="X291" s="22"/>
    </row>
    <row r="292" spans="2:24" x14ac:dyDescent="0.25">
      <c r="B292" s="22"/>
      <c r="C292" s="21"/>
      <c r="W292" s="22"/>
      <c r="X292" s="22"/>
    </row>
    <row r="293" spans="2:24" x14ac:dyDescent="0.25">
      <c r="B293" s="22"/>
      <c r="C293" s="21"/>
      <c r="W293" s="22"/>
      <c r="X293" s="22"/>
    </row>
    <row r="294" spans="2:24" x14ac:dyDescent="0.25">
      <c r="B294" s="22"/>
      <c r="C294" s="21"/>
      <c r="W294" s="22"/>
      <c r="X294" s="22"/>
    </row>
    <row r="295" spans="2:24" x14ac:dyDescent="0.25">
      <c r="B295" s="22"/>
      <c r="C295" s="21"/>
      <c r="W295" s="22"/>
      <c r="X295" s="22"/>
    </row>
    <row r="296" spans="2:24" x14ac:dyDescent="0.25">
      <c r="B296" s="22"/>
      <c r="C296" s="21"/>
      <c r="W296" s="22"/>
      <c r="X296" s="22"/>
    </row>
    <row r="297" spans="2:24" x14ac:dyDescent="0.25">
      <c r="B297" s="22"/>
      <c r="C297" s="21"/>
      <c r="W297" s="22"/>
      <c r="X297" s="22"/>
    </row>
    <row r="298" spans="2:24" x14ac:dyDescent="0.25">
      <c r="B298" s="22"/>
      <c r="C298" s="21"/>
      <c r="W298" s="22"/>
      <c r="X298" s="22"/>
    </row>
    <row r="299" spans="2:24" x14ac:dyDescent="0.25">
      <c r="B299" s="22"/>
      <c r="C299" s="21"/>
      <c r="W299" s="22"/>
      <c r="X299" s="22"/>
    </row>
    <row r="300" spans="2:24" x14ac:dyDescent="0.25">
      <c r="B300" s="22"/>
      <c r="C300" s="21"/>
      <c r="W300" s="22"/>
      <c r="X300" s="22"/>
    </row>
    <row r="301" spans="2:24" x14ac:dyDescent="0.25">
      <c r="B301" s="22"/>
      <c r="C301" s="21"/>
      <c r="W301" s="22"/>
      <c r="X301" s="22"/>
    </row>
    <row r="302" spans="2:24" x14ac:dyDescent="0.25">
      <c r="B302" s="22"/>
      <c r="C302" s="21"/>
      <c r="W302" s="22"/>
      <c r="X302" s="22"/>
    </row>
    <row r="303" spans="2:24" x14ac:dyDescent="0.25">
      <c r="B303" s="22"/>
      <c r="C303" s="21"/>
      <c r="W303" s="22"/>
      <c r="X303" s="22"/>
    </row>
    <row r="304" spans="2:24" x14ac:dyDescent="0.25">
      <c r="B304" s="22"/>
      <c r="C304" s="21"/>
      <c r="W304" s="22"/>
      <c r="X304" s="22"/>
    </row>
    <row r="305" spans="2:24" x14ac:dyDescent="0.25">
      <c r="B305" s="22"/>
      <c r="C305" s="21"/>
      <c r="W305" s="22"/>
      <c r="X305" s="22"/>
    </row>
    <row r="306" spans="2:24" x14ac:dyDescent="0.25">
      <c r="B306" s="22"/>
      <c r="C306" s="21"/>
      <c r="W306" s="22"/>
      <c r="X306" s="22"/>
    </row>
    <row r="307" spans="2:24" x14ac:dyDescent="0.25">
      <c r="B307" s="22"/>
      <c r="C307" s="21"/>
      <c r="W307" s="22"/>
      <c r="X307" s="22"/>
    </row>
    <row r="308" spans="2:24" x14ac:dyDescent="0.25">
      <c r="B308" s="22"/>
      <c r="C308" s="21"/>
      <c r="W308" s="22"/>
      <c r="X308" s="22"/>
    </row>
    <row r="309" spans="2:24" x14ac:dyDescent="0.25">
      <c r="B309" s="22"/>
      <c r="C309" s="21"/>
      <c r="W309" s="22"/>
      <c r="X309" s="22"/>
    </row>
    <row r="310" spans="2:24" x14ac:dyDescent="0.25">
      <c r="B310" s="22"/>
      <c r="C310" s="21"/>
      <c r="W310" s="22"/>
      <c r="X310" s="22"/>
    </row>
    <row r="311" spans="2:24" x14ac:dyDescent="0.25">
      <c r="B311" s="22"/>
      <c r="C311" s="21"/>
      <c r="W311" s="22"/>
      <c r="X311" s="22"/>
    </row>
    <row r="312" spans="2:24" x14ac:dyDescent="0.25">
      <c r="B312" s="22"/>
      <c r="C312" s="21"/>
      <c r="W312" s="22"/>
      <c r="X312" s="22"/>
    </row>
    <row r="313" spans="2:24" x14ac:dyDescent="0.25">
      <c r="B313" s="22"/>
      <c r="C313" s="21"/>
      <c r="W313" s="22"/>
      <c r="X313" s="22"/>
    </row>
    <row r="314" spans="2:24" x14ac:dyDescent="0.25">
      <c r="B314" s="22"/>
      <c r="C314" s="21"/>
      <c r="W314" s="22"/>
      <c r="X314" s="22"/>
    </row>
    <row r="315" spans="2:24" x14ac:dyDescent="0.25">
      <c r="B315" s="22"/>
      <c r="C315" s="21"/>
      <c r="W315" s="22"/>
      <c r="X315" s="22"/>
    </row>
    <row r="316" spans="2:24" x14ac:dyDescent="0.25">
      <c r="B316" s="22"/>
      <c r="C316" s="21"/>
      <c r="W316" s="22"/>
      <c r="X316" s="22"/>
    </row>
    <row r="317" spans="2:24" x14ac:dyDescent="0.25">
      <c r="B317" s="22"/>
      <c r="C317" s="21"/>
      <c r="W317" s="22"/>
      <c r="X317" s="22"/>
    </row>
    <row r="318" spans="2:24" x14ac:dyDescent="0.25">
      <c r="B318" s="22"/>
      <c r="C318" s="21"/>
      <c r="W318" s="22"/>
      <c r="X318" s="22"/>
    </row>
    <row r="319" spans="2:24" x14ac:dyDescent="0.25">
      <c r="B319" s="22"/>
      <c r="C319" s="21"/>
      <c r="W319" s="22"/>
      <c r="X319" s="22"/>
    </row>
    <row r="320" spans="2:24" x14ac:dyDescent="0.25">
      <c r="B320" s="22"/>
      <c r="C320" s="21"/>
      <c r="W320" s="22"/>
      <c r="X320" s="22"/>
    </row>
    <row r="321" spans="2:24" x14ac:dyDescent="0.25">
      <c r="B321" s="22"/>
      <c r="C321" s="21"/>
      <c r="W321" s="22"/>
      <c r="X321" s="22"/>
    </row>
    <row r="322" spans="2:24" x14ac:dyDescent="0.25">
      <c r="B322" s="22"/>
      <c r="C322" s="21"/>
      <c r="W322" s="22"/>
      <c r="X322" s="22"/>
    </row>
    <row r="323" spans="2:24" x14ac:dyDescent="0.25">
      <c r="B323" s="22"/>
      <c r="C323" s="21"/>
      <c r="W323" s="22"/>
      <c r="X323" s="22"/>
    </row>
    <row r="324" spans="2:24" x14ac:dyDescent="0.25">
      <c r="B324" s="22"/>
      <c r="C324" s="21"/>
      <c r="W324" s="22"/>
      <c r="X324" s="22"/>
    </row>
    <row r="325" spans="2:24" x14ac:dyDescent="0.25">
      <c r="B325" s="22"/>
      <c r="C325" s="21"/>
      <c r="W325" s="22"/>
      <c r="X325" s="22"/>
    </row>
    <row r="326" spans="2:24" x14ac:dyDescent="0.25">
      <c r="B326" s="22"/>
      <c r="C326" s="21"/>
      <c r="W326" s="22"/>
      <c r="X326" s="22"/>
    </row>
    <row r="327" spans="2:24" x14ac:dyDescent="0.25">
      <c r="B327" s="22"/>
      <c r="C327" s="21"/>
      <c r="W327" s="22"/>
      <c r="X327" s="22"/>
    </row>
    <row r="328" spans="2:24" x14ac:dyDescent="0.25">
      <c r="B328" s="22"/>
      <c r="C328" s="21"/>
      <c r="W328" s="22"/>
      <c r="X328" s="22"/>
    </row>
    <row r="329" spans="2:24" x14ac:dyDescent="0.25">
      <c r="B329" s="22"/>
      <c r="C329" s="21"/>
      <c r="W329" s="22"/>
      <c r="X329" s="22"/>
    </row>
    <row r="330" spans="2:24" x14ac:dyDescent="0.25">
      <c r="B330" s="22"/>
      <c r="C330" s="21"/>
      <c r="W330" s="22"/>
      <c r="X330" s="22"/>
    </row>
    <row r="331" spans="2:24" x14ac:dyDescent="0.25">
      <c r="B331" s="22"/>
      <c r="C331" s="21"/>
      <c r="W331" s="22"/>
      <c r="X331" s="22"/>
    </row>
    <row r="332" spans="2:24" x14ac:dyDescent="0.25">
      <c r="B332" s="22"/>
      <c r="C332" s="21"/>
      <c r="W332" s="22"/>
      <c r="X332" s="22"/>
    </row>
    <row r="333" spans="2:24" x14ac:dyDescent="0.25">
      <c r="B333" s="22"/>
      <c r="C333" s="21"/>
      <c r="W333" s="22"/>
      <c r="X333" s="22"/>
    </row>
    <row r="334" spans="2:24" x14ac:dyDescent="0.25">
      <c r="B334" s="22"/>
      <c r="C334" s="21"/>
      <c r="W334" s="22"/>
      <c r="X334" s="22"/>
    </row>
    <row r="335" spans="2:24" x14ac:dyDescent="0.25">
      <c r="B335" s="22"/>
      <c r="C335" s="21"/>
      <c r="W335" s="22"/>
      <c r="X335" s="22"/>
    </row>
    <row r="336" spans="2:24" x14ac:dyDescent="0.25">
      <c r="B336" s="22"/>
      <c r="C336" s="21"/>
      <c r="W336" s="22"/>
      <c r="X336" s="22"/>
    </row>
    <row r="337" spans="2:24" x14ac:dyDescent="0.25">
      <c r="B337" s="22"/>
      <c r="C337" s="21"/>
      <c r="W337" s="22"/>
      <c r="X337" s="22"/>
    </row>
    <row r="338" spans="2:24" x14ac:dyDescent="0.25">
      <c r="B338" s="22"/>
      <c r="C338" s="21"/>
      <c r="W338" s="22"/>
      <c r="X338" s="22"/>
    </row>
    <row r="339" spans="2:24" x14ac:dyDescent="0.25">
      <c r="B339" s="22"/>
      <c r="C339" s="21"/>
      <c r="W339" s="22"/>
      <c r="X339" s="22"/>
    </row>
    <row r="340" spans="2:24" x14ac:dyDescent="0.25">
      <c r="B340" s="22"/>
      <c r="C340" s="21"/>
      <c r="W340" s="22"/>
      <c r="X340" s="22"/>
    </row>
    <row r="341" spans="2:24" x14ac:dyDescent="0.25">
      <c r="B341" s="22"/>
      <c r="C341" s="21"/>
      <c r="W341" s="22"/>
      <c r="X341" s="22"/>
    </row>
    <row r="342" spans="2:24" x14ac:dyDescent="0.25">
      <c r="B342" s="22"/>
      <c r="C342" s="21"/>
      <c r="W342" s="22"/>
      <c r="X342" s="22"/>
    </row>
    <row r="343" spans="2:24" x14ac:dyDescent="0.25">
      <c r="B343" s="22"/>
      <c r="C343" s="21"/>
      <c r="W343" s="22"/>
      <c r="X343" s="22"/>
    </row>
    <row r="344" spans="2:24" x14ac:dyDescent="0.25">
      <c r="B344" s="22"/>
      <c r="C344" s="21"/>
      <c r="W344" s="22"/>
      <c r="X344" s="22"/>
    </row>
    <row r="345" spans="2:24" x14ac:dyDescent="0.25">
      <c r="B345" s="22"/>
      <c r="C345" s="21"/>
      <c r="W345" s="22"/>
      <c r="X345" s="22"/>
    </row>
    <row r="346" spans="2:24" x14ac:dyDescent="0.25">
      <c r="B346" s="22"/>
      <c r="C346" s="21"/>
      <c r="W346" s="22"/>
      <c r="X346" s="22"/>
    </row>
    <row r="347" spans="2:24" x14ac:dyDescent="0.25">
      <c r="B347" s="22"/>
      <c r="C347" s="21"/>
      <c r="W347" s="22"/>
      <c r="X347" s="22"/>
    </row>
    <row r="348" spans="2:24" x14ac:dyDescent="0.25">
      <c r="B348" s="22"/>
      <c r="C348" s="21"/>
      <c r="W348" s="22"/>
      <c r="X348" s="22"/>
    </row>
    <row r="349" spans="2:24" x14ac:dyDescent="0.25">
      <c r="B349" s="22"/>
      <c r="C349" s="21"/>
      <c r="W349" s="22"/>
      <c r="X349" s="22"/>
    </row>
    <row r="350" spans="2:24" x14ac:dyDescent="0.25">
      <c r="B350" s="22"/>
      <c r="C350" s="21"/>
      <c r="W350" s="22"/>
      <c r="X350" s="22"/>
    </row>
    <row r="351" spans="2:24" x14ac:dyDescent="0.25">
      <c r="B351" s="22"/>
      <c r="C351" s="21"/>
      <c r="W351" s="22"/>
      <c r="X351" s="22"/>
    </row>
    <row r="352" spans="2:24" x14ac:dyDescent="0.25">
      <c r="B352" s="22"/>
      <c r="C352" s="21"/>
      <c r="W352" s="22"/>
      <c r="X352" s="22"/>
    </row>
    <row r="353" spans="2:24" x14ac:dyDescent="0.25">
      <c r="B353" s="22"/>
      <c r="C353" s="21"/>
      <c r="W353" s="22"/>
      <c r="X353" s="22"/>
    </row>
    <row r="354" spans="2:24" x14ac:dyDescent="0.25">
      <c r="B354" s="22"/>
      <c r="C354" s="21"/>
      <c r="W354" s="22"/>
      <c r="X354" s="22"/>
    </row>
    <row r="355" spans="2:24" x14ac:dyDescent="0.25">
      <c r="B355" s="22"/>
      <c r="C355" s="21"/>
      <c r="W355" s="22"/>
      <c r="X355" s="22"/>
    </row>
    <row r="356" spans="2:24" x14ac:dyDescent="0.25">
      <c r="B356" s="22"/>
      <c r="C356" s="21"/>
      <c r="W356" s="22"/>
      <c r="X356" s="22"/>
    </row>
    <row r="357" spans="2:24" x14ac:dyDescent="0.25">
      <c r="B357" s="22"/>
      <c r="C357" s="21"/>
      <c r="W357" s="22"/>
      <c r="X357" s="22"/>
    </row>
    <row r="358" spans="2:24" x14ac:dyDescent="0.25">
      <c r="B358" s="22"/>
      <c r="C358" s="21"/>
      <c r="W358" s="22"/>
      <c r="X358" s="22"/>
    </row>
    <row r="359" spans="2:24" x14ac:dyDescent="0.25">
      <c r="B359" s="22"/>
      <c r="C359" s="21"/>
      <c r="W359" s="22"/>
      <c r="X359" s="22"/>
    </row>
    <row r="360" spans="2:24" x14ac:dyDescent="0.25">
      <c r="B360" s="22"/>
      <c r="C360" s="21"/>
      <c r="W360" s="22"/>
      <c r="X360" s="22"/>
    </row>
    <row r="361" spans="2:24" x14ac:dyDescent="0.25">
      <c r="B361" s="22"/>
      <c r="C361" s="21"/>
      <c r="W361" s="22"/>
      <c r="X361" s="22"/>
    </row>
    <row r="362" spans="2:24" x14ac:dyDescent="0.25">
      <c r="B362" s="22"/>
      <c r="C362" s="21"/>
      <c r="W362" s="22"/>
      <c r="X362" s="22"/>
    </row>
    <row r="363" spans="2:24" x14ac:dyDescent="0.25">
      <c r="B363" s="22"/>
      <c r="C363" s="21"/>
      <c r="W363" s="22"/>
      <c r="X363" s="22"/>
    </row>
    <row r="364" spans="2:24" x14ac:dyDescent="0.25">
      <c r="B364" s="22"/>
      <c r="C364" s="21"/>
      <c r="W364" s="22"/>
      <c r="X364" s="22"/>
    </row>
    <row r="365" spans="2:24" x14ac:dyDescent="0.25">
      <c r="B365" s="22"/>
      <c r="C365" s="21"/>
      <c r="W365" s="22"/>
      <c r="X365" s="22"/>
    </row>
    <row r="366" spans="2:24" x14ac:dyDescent="0.25">
      <c r="B366" s="22"/>
      <c r="C366" s="21"/>
      <c r="W366" s="22"/>
      <c r="X366" s="22"/>
    </row>
    <row r="367" spans="2:24" x14ac:dyDescent="0.25">
      <c r="B367" s="22"/>
      <c r="C367" s="21"/>
      <c r="W367" s="22"/>
      <c r="X367" s="22"/>
    </row>
    <row r="368" spans="2:24" x14ac:dyDescent="0.25">
      <c r="B368" s="22"/>
      <c r="C368" s="21"/>
      <c r="W368" s="22"/>
      <c r="X368" s="22"/>
    </row>
    <row r="369" spans="2:24" x14ac:dyDescent="0.25">
      <c r="B369" s="22"/>
      <c r="C369" s="21"/>
      <c r="W369" s="22"/>
      <c r="X369" s="22"/>
    </row>
    <row r="370" spans="2:24" x14ac:dyDescent="0.25">
      <c r="B370" s="22"/>
      <c r="C370" s="21"/>
      <c r="W370" s="22"/>
      <c r="X370" s="22"/>
    </row>
    <row r="371" spans="2:24" x14ac:dyDescent="0.25">
      <c r="B371" s="22"/>
      <c r="C371" s="21"/>
      <c r="W371" s="22"/>
      <c r="X371" s="22"/>
    </row>
    <row r="372" spans="2:24" x14ac:dyDescent="0.25">
      <c r="B372" s="22"/>
      <c r="C372" s="21"/>
      <c r="W372" s="22"/>
      <c r="X372" s="22"/>
    </row>
    <row r="373" spans="2:24" x14ac:dyDescent="0.25">
      <c r="B373" s="22"/>
      <c r="C373" s="21"/>
      <c r="W373" s="22"/>
      <c r="X373" s="22"/>
    </row>
    <row r="374" spans="2:24" x14ac:dyDescent="0.25">
      <c r="B374" s="22"/>
      <c r="C374" s="21"/>
      <c r="W374" s="22"/>
      <c r="X374" s="22"/>
    </row>
    <row r="375" spans="2:24" x14ac:dyDescent="0.25">
      <c r="B375" s="22"/>
      <c r="C375" s="21"/>
      <c r="W375" s="22"/>
      <c r="X375" s="22"/>
    </row>
    <row r="376" spans="2:24" x14ac:dyDescent="0.25">
      <c r="B376" s="22"/>
      <c r="C376" s="21"/>
      <c r="W376" s="22"/>
      <c r="X376" s="22"/>
    </row>
    <row r="377" spans="2:24" x14ac:dyDescent="0.25">
      <c r="B377" s="22"/>
      <c r="C377" s="21"/>
      <c r="W377" s="22"/>
      <c r="X377" s="22"/>
    </row>
    <row r="378" spans="2:24" x14ac:dyDescent="0.25">
      <c r="B378" s="22"/>
      <c r="C378" s="21"/>
      <c r="W378" s="22"/>
      <c r="X378" s="22"/>
    </row>
    <row r="379" spans="2:24" x14ac:dyDescent="0.25">
      <c r="B379" s="22"/>
      <c r="C379" s="21"/>
      <c r="W379" s="22"/>
      <c r="X379" s="22"/>
    </row>
    <row r="380" spans="2:24" x14ac:dyDescent="0.25">
      <c r="B380" s="22"/>
      <c r="C380" s="21"/>
      <c r="W380" s="22"/>
      <c r="X380" s="22"/>
    </row>
    <row r="381" spans="2:24" x14ac:dyDescent="0.25">
      <c r="B381" s="22"/>
      <c r="C381" s="21"/>
      <c r="W381" s="22"/>
      <c r="X381" s="22"/>
    </row>
    <row r="382" spans="2:24" x14ac:dyDescent="0.25">
      <c r="B382" s="22"/>
      <c r="C382" s="21"/>
      <c r="W382" s="22"/>
      <c r="X382" s="22"/>
    </row>
    <row r="383" spans="2:24" x14ac:dyDescent="0.25">
      <c r="B383" s="22"/>
      <c r="C383" s="21"/>
      <c r="W383" s="22"/>
      <c r="X383" s="22"/>
    </row>
    <row r="384" spans="2:24" x14ac:dyDescent="0.25">
      <c r="B384" s="22"/>
      <c r="C384" s="21"/>
      <c r="W384" s="22"/>
      <c r="X384" s="22"/>
    </row>
    <row r="385" spans="2:24" x14ac:dyDescent="0.25">
      <c r="B385" s="22"/>
      <c r="C385" s="21"/>
      <c r="W385" s="22"/>
      <c r="X385" s="22"/>
    </row>
    <row r="386" spans="2:24" x14ac:dyDescent="0.25">
      <c r="B386" s="22"/>
      <c r="C386" s="21"/>
      <c r="W386" s="22"/>
      <c r="X386" s="22"/>
    </row>
    <row r="387" spans="2:24" x14ac:dyDescent="0.25">
      <c r="B387" s="22"/>
      <c r="C387" s="21"/>
      <c r="W387" s="22"/>
      <c r="X387" s="22"/>
    </row>
    <row r="388" spans="2:24" x14ac:dyDescent="0.25">
      <c r="B388" s="22"/>
      <c r="C388" s="21"/>
      <c r="W388" s="22"/>
      <c r="X388" s="22"/>
    </row>
    <row r="389" spans="2:24" x14ac:dyDescent="0.25">
      <c r="B389" s="22"/>
      <c r="C389" s="21"/>
      <c r="W389" s="22"/>
      <c r="X389" s="22"/>
    </row>
    <row r="390" spans="2:24" x14ac:dyDescent="0.25">
      <c r="B390" s="22"/>
      <c r="C390" s="21"/>
      <c r="W390" s="22"/>
      <c r="X390" s="22"/>
    </row>
    <row r="391" spans="2:24" x14ac:dyDescent="0.25">
      <c r="B391" s="22"/>
      <c r="C391" s="21"/>
      <c r="W391" s="22"/>
      <c r="X391" s="22"/>
    </row>
    <row r="392" spans="2:24" x14ac:dyDescent="0.25">
      <c r="B392" s="22"/>
      <c r="C392" s="21"/>
      <c r="W392" s="22"/>
      <c r="X392" s="22"/>
    </row>
    <row r="393" spans="2:24" x14ac:dyDescent="0.25">
      <c r="B393" s="22"/>
      <c r="C393" s="21"/>
      <c r="W393" s="22"/>
      <c r="X393" s="22"/>
    </row>
    <row r="394" spans="2:24" x14ac:dyDescent="0.25">
      <c r="B394" s="22"/>
      <c r="C394" s="21"/>
      <c r="W394" s="22"/>
      <c r="X394" s="22"/>
    </row>
    <row r="395" spans="2:24" x14ac:dyDescent="0.25">
      <c r="B395" s="22"/>
      <c r="C395" s="21"/>
      <c r="W395" s="22"/>
      <c r="X395" s="22"/>
    </row>
    <row r="396" spans="2:24" x14ac:dyDescent="0.25">
      <c r="B396" s="22"/>
      <c r="C396" s="21"/>
      <c r="W396" s="22"/>
      <c r="X396" s="22"/>
    </row>
    <row r="397" spans="2:24" x14ac:dyDescent="0.25">
      <c r="B397" s="22"/>
      <c r="C397" s="21"/>
      <c r="W397" s="22"/>
      <c r="X397" s="22"/>
    </row>
    <row r="398" spans="2:24" x14ac:dyDescent="0.25">
      <c r="B398" s="22"/>
      <c r="C398" s="21"/>
      <c r="W398" s="22"/>
      <c r="X398" s="22"/>
    </row>
    <row r="399" spans="2:24" x14ac:dyDescent="0.25">
      <c r="B399" s="22"/>
      <c r="C399" s="21"/>
      <c r="W399" s="22"/>
      <c r="X399" s="22"/>
    </row>
    <row r="400" spans="2:24" x14ac:dyDescent="0.25">
      <c r="B400" s="22"/>
      <c r="C400" s="21"/>
      <c r="W400" s="22"/>
      <c r="X400" s="22"/>
    </row>
    <row r="401" spans="2:24" x14ac:dyDescent="0.25">
      <c r="B401" s="22"/>
      <c r="C401" s="21"/>
      <c r="W401" s="22"/>
      <c r="X401" s="22"/>
    </row>
    <row r="402" spans="2:24" x14ac:dyDescent="0.25">
      <c r="B402" s="22"/>
      <c r="C402" s="21"/>
      <c r="W402" s="22"/>
      <c r="X402" s="22"/>
    </row>
    <row r="403" spans="2:24" x14ac:dyDescent="0.25">
      <c r="B403" s="22"/>
      <c r="C403" s="21"/>
      <c r="W403" s="22"/>
      <c r="X403" s="22"/>
    </row>
    <row r="404" spans="2:24" x14ac:dyDescent="0.25">
      <c r="B404" s="22"/>
      <c r="C404" s="21"/>
      <c r="W404" s="22"/>
      <c r="X404" s="22"/>
    </row>
    <row r="405" spans="2:24" x14ac:dyDescent="0.25">
      <c r="B405" s="22"/>
      <c r="C405" s="21"/>
      <c r="W405" s="22"/>
      <c r="X405" s="22"/>
    </row>
    <row r="406" spans="2:24" x14ac:dyDescent="0.25">
      <c r="B406" s="22"/>
      <c r="C406" s="21"/>
      <c r="W406" s="22"/>
      <c r="X406" s="22"/>
    </row>
    <row r="407" spans="2:24" x14ac:dyDescent="0.25">
      <c r="B407" s="22"/>
      <c r="C407" s="21"/>
      <c r="W407" s="22"/>
      <c r="X407" s="22"/>
    </row>
    <row r="408" spans="2:24" x14ac:dyDescent="0.25">
      <c r="B408" s="22"/>
      <c r="C408" s="21"/>
      <c r="W408" s="22"/>
      <c r="X408" s="22"/>
    </row>
    <row r="409" spans="2:24" x14ac:dyDescent="0.25">
      <c r="B409" s="22"/>
      <c r="C409" s="21"/>
      <c r="W409" s="22"/>
      <c r="X409" s="22"/>
    </row>
    <row r="410" spans="2:24" x14ac:dyDescent="0.25">
      <c r="B410" s="22"/>
      <c r="C410" s="21"/>
      <c r="W410" s="22"/>
      <c r="X410" s="22"/>
    </row>
    <row r="411" spans="2:24" x14ac:dyDescent="0.25">
      <c r="B411" s="22"/>
      <c r="C411" s="21"/>
      <c r="W411" s="22"/>
      <c r="X411" s="22"/>
    </row>
    <row r="412" spans="2:24" x14ac:dyDescent="0.25">
      <c r="B412" s="22"/>
      <c r="C412" s="21"/>
      <c r="W412" s="22"/>
      <c r="X412" s="22"/>
    </row>
    <row r="413" spans="2:24" x14ac:dyDescent="0.25">
      <c r="B413" s="22"/>
      <c r="C413" s="21"/>
      <c r="W413" s="22"/>
      <c r="X413" s="22"/>
    </row>
    <row r="414" spans="2:24" x14ac:dyDescent="0.25">
      <c r="B414" s="22"/>
      <c r="C414" s="21"/>
      <c r="W414" s="22"/>
      <c r="X414" s="22"/>
    </row>
    <row r="415" spans="2:24" x14ac:dyDescent="0.25">
      <c r="B415" s="22"/>
      <c r="C415" s="21"/>
      <c r="W415" s="22"/>
      <c r="X415" s="22"/>
    </row>
    <row r="416" spans="2:24" x14ac:dyDescent="0.25">
      <c r="B416" s="22"/>
      <c r="C416" s="21"/>
      <c r="W416" s="22"/>
      <c r="X416" s="22"/>
    </row>
    <row r="417" spans="2:24" x14ac:dyDescent="0.25">
      <c r="B417" s="22"/>
      <c r="C417" s="21"/>
      <c r="W417" s="22"/>
      <c r="X417" s="22"/>
    </row>
    <row r="418" spans="2:24" x14ac:dyDescent="0.25">
      <c r="B418" s="22"/>
      <c r="C418" s="21"/>
      <c r="W418" s="22"/>
      <c r="X418" s="22"/>
    </row>
    <row r="419" spans="2:24" x14ac:dyDescent="0.25">
      <c r="B419" s="22"/>
      <c r="C419" s="21"/>
      <c r="W419" s="22"/>
      <c r="X419" s="22"/>
    </row>
    <row r="420" spans="2:24" x14ac:dyDescent="0.25">
      <c r="B420" s="22"/>
      <c r="C420" s="21"/>
      <c r="W420" s="22"/>
      <c r="X420" s="22"/>
    </row>
    <row r="421" spans="2:24" x14ac:dyDescent="0.25">
      <c r="B421" s="22"/>
      <c r="C421" s="21"/>
      <c r="W421" s="22"/>
      <c r="X421" s="22"/>
    </row>
    <row r="422" spans="2:24" x14ac:dyDescent="0.25">
      <c r="B422" s="22"/>
      <c r="C422" s="21"/>
      <c r="W422" s="22"/>
      <c r="X422" s="22"/>
    </row>
    <row r="423" spans="2:24" x14ac:dyDescent="0.25">
      <c r="B423" s="22"/>
      <c r="C423" s="21"/>
      <c r="W423" s="22"/>
      <c r="X423" s="22"/>
    </row>
    <row r="424" spans="2:24" x14ac:dyDescent="0.25">
      <c r="B424" s="22"/>
      <c r="C424" s="21"/>
      <c r="W424" s="22"/>
      <c r="X424" s="22"/>
    </row>
    <row r="425" spans="2:24" x14ac:dyDescent="0.25">
      <c r="B425" s="22"/>
      <c r="C425" s="21"/>
      <c r="W425" s="22"/>
      <c r="X425" s="22"/>
    </row>
    <row r="426" spans="2:24" x14ac:dyDescent="0.25">
      <c r="B426" s="22"/>
      <c r="C426" s="21"/>
      <c r="W426" s="22"/>
      <c r="X426" s="22"/>
    </row>
    <row r="427" spans="2:24" x14ac:dyDescent="0.25">
      <c r="B427" s="22"/>
      <c r="C427" s="21"/>
      <c r="W427" s="22"/>
      <c r="X427" s="22"/>
    </row>
    <row r="428" spans="2:24" x14ac:dyDescent="0.25">
      <c r="B428" s="22"/>
      <c r="C428" s="21"/>
      <c r="W428" s="22"/>
      <c r="X428" s="22"/>
    </row>
    <row r="429" spans="2:24" x14ac:dyDescent="0.25">
      <c r="B429" s="22"/>
      <c r="C429" s="21"/>
      <c r="W429" s="22"/>
      <c r="X429" s="22"/>
    </row>
    <row r="430" spans="2:24" x14ac:dyDescent="0.25">
      <c r="B430" s="22"/>
      <c r="C430" s="21"/>
      <c r="W430" s="22"/>
      <c r="X430" s="22"/>
    </row>
    <row r="431" spans="2:24" x14ac:dyDescent="0.25">
      <c r="B431" s="22"/>
      <c r="C431" s="21"/>
      <c r="W431" s="22"/>
      <c r="X431" s="22"/>
    </row>
    <row r="432" spans="2:24" x14ac:dyDescent="0.25">
      <c r="B432" s="22"/>
      <c r="C432" s="21"/>
      <c r="W432" s="22"/>
      <c r="X432" s="22"/>
    </row>
    <row r="433" spans="2:24" x14ac:dyDescent="0.25">
      <c r="B433" s="22"/>
      <c r="C433" s="21"/>
      <c r="W433" s="22"/>
      <c r="X433" s="22"/>
    </row>
    <row r="434" spans="2:24" x14ac:dyDescent="0.25">
      <c r="B434" s="22"/>
      <c r="C434" s="21"/>
      <c r="W434" s="22"/>
      <c r="X434" s="22"/>
    </row>
    <row r="435" spans="2:24" x14ac:dyDescent="0.25">
      <c r="B435" s="22"/>
      <c r="C435" s="21"/>
      <c r="W435" s="22"/>
      <c r="X435" s="22"/>
    </row>
    <row r="436" spans="2:24" x14ac:dyDescent="0.25">
      <c r="B436" s="22"/>
      <c r="C436" s="21"/>
      <c r="W436" s="22"/>
      <c r="X436" s="22"/>
    </row>
    <row r="437" spans="2:24" x14ac:dyDescent="0.25">
      <c r="B437" s="22"/>
      <c r="C437" s="21"/>
      <c r="W437" s="22"/>
      <c r="X437" s="22"/>
    </row>
    <row r="438" spans="2:24" x14ac:dyDescent="0.25">
      <c r="B438" s="22"/>
      <c r="C438" s="21"/>
      <c r="W438" s="22"/>
      <c r="X438" s="22"/>
    </row>
    <row r="439" spans="2:24" x14ac:dyDescent="0.25">
      <c r="B439" s="22"/>
      <c r="C439" s="21"/>
      <c r="W439" s="22"/>
      <c r="X439" s="22"/>
    </row>
    <row r="440" spans="2:24" x14ac:dyDescent="0.25">
      <c r="B440" s="22"/>
      <c r="C440" s="21"/>
      <c r="W440" s="22"/>
      <c r="X440" s="22"/>
    </row>
    <row r="441" spans="2:24" x14ac:dyDescent="0.25">
      <c r="B441" s="22"/>
      <c r="C441" s="21"/>
      <c r="W441" s="22"/>
      <c r="X441" s="22"/>
    </row>
    <row r="442" spans="2:24" x14ac:dyDescent="0.25">
      <c r="B442" s="22"/>
      <c r="C442" s="21"/>
      <c r="W442" s="22"/>
      <c r="X442" s="22"/>
    </row>
    <row r="443" spans="2:24" x14ac:dyDescent="0.25">
      <c r="B443" s="22"/>
      <c r="C443" s="21"/>
      <c r="W443" s="22"/>
      <c r="X443" s="22"/>
    </row>
    <row r="444" spans="2:24" x14ac:dyDescent="0.25">
      <c r="B444" s="22"/>
      <c r="C444" s="21"/>
      <c r="W444" s="22"/>
      <c r="X444" s="22"/>
    </row>
    <row r="445" spans="2:24" x14ac:dyDescent="0.25">
      <c r="B445" s="22"/>
      <c r="C445" s="21"/>
      <c r="W445" s="22"/>
      <c r="X445" s="22"/>
    </row>
    <row r="446" spans="2:24" x14ac:dyDescent="0.25">
      <c r="B446" s="22"/>
      <c r="C446" s="21"/>
      <c r="W446" s="22"/>
      <c r="X446" s="22"/>
    </row>
    <row r="447" spans="2:24" x14ac:dyDescent="0.25">
      <c r="B447" s="22"/>
      <c r="C447" s="21"/>
      <c r="W447" s="22"/>
      <c r="X447" s="22"/>
    </row>
    <row r="448" spans="2:24" x14ac:dyDescent="0.25">
      <c r="B448" s="22"/>
      <c r="C448" s="21"/>
      <c r="W448" s="22"/>
      <c r="X448" s="22"/>
    </row>
    <row r="449" spans="2:24" x14ac:dyDescent="0.25">
      <c r="B449" s="22"/>
      <c r="C449" s="21"/>
      <c r="W449" s="22"/>
      <c r="X449" s="22"/>
    </row>
    <row r="450" spans="2:24" x14ac:dyDescent="0.25">
      <c r="B450" s="22"/>
      <c r="C450" s="21"/>
      <c r="W450" s="22"/>
      <c r="X450" s="22"/>
    </row>
    <row r="451" spans="2:24" x14ac:dyDescent="0.25">
      <c r="B451" s="22"/>
      <c r="C451" s="21"/>
      <c r="W451" s="22"/>
      <c r="X451" s="22"/>
    </row>
    <row r="452" spans="2:24" x14ac:dyDescent="0.25">
      <c r="B452" s="22"/>
      <c r="C452" s="21"/>
      <c r="W452" s="22"/>
      <c r="X452" s="22"/>
    </row>
    <row r="453" spans="2:24" x14ac:dyDescent="0.25">
      <c r="B453" s="22"/>
      <c r="C453" s="21"/>
      <c r="W453" s="22"/>
      <c r="X453" s="22"/>
    </row>
    <row r="454" spans="2:24" x14ac:dyDescent="0.25">
      <c r="B454" s="22"/>
      <c r="C454" s="21"/>
      <c r="W454" s="22"/>
      <c r="X454" s="22"/>
    </row>
    <row r="455" spans="2:24" x14ac:dyDescent="0.25">
      <c r="B455" s="22"/>
      <c r="C455" s="21"/>
      <c r="W455" s="22"/>
      <c r="X455" s="22"/>
    </row>
    <row r="456" spans="2:24" x14ac:dyDescent="0.25">
      <c r="B456" s="22"/>
      <c r="C456" s="21"/>
      <c r="W456" s="22"/>
      <c r="X456" s="22"/>
    </row>
    <row r="457" spans="2:24" x14ac:dyDescent="0.25">
      <c r="B457" s="22"/>
      <c r="C457" s="21"/>
      <c r="W457" s="22"/>
      <c r="X457" s="22"/>
    </row>
    <row r="458" spans="2:24" x14ac:dyDescent="0.25">
      <c r="B458" s="22"/>
      <c r="C458" s="21"/>
      <c r="W458" s="22"/>
      <c r="X458" s="22"/>
    </row>
    <row r="459" spans="2:24" x14ac:dyDescent="0.25">
      <c r="B459" s="22"/>
      <c r="C459" s="21"/>
      <c r="W459" s="22"/>
      <c r="X459" s="22"/>
    </row>
    <row r="460" spans="2:24" x14ac:dyDescent="0.25">
      <c r="B460" s="22"/>
      <c r="C460" s="21"/>
      <c r="W460" s="22"/>
      <c r="X460" s="22"/>
    </row>
    <row r="461" spans="2:24" x14ac:dyDescent="0.25">
      <c r="B461" s="22"/>
      <c r="C461" s="21"/>
      <c r="W461" s="22"/>
      <c r="X461" s="22"/>
    </row>
    <row r="462" spans="2:24" x14ac:dyDescent="0.25">
      <c r="B462" s="22"/>
      <c r="C462" s="21"/>
      <c r="W462" s="22"/>
      <c r="X462" s="22"/>
    </row>
    <row r="463" spans="2:24" x14ac:dyDescent="0.25">
      <c r="B463" s="22"/>
      <c r="C463" s="21"/>
      <c r="W463" s="22"/>
      <c r="X463" s="22"/>
    </row>
    <row r="464" spans="2:24" x14ac:dyDescent="0.25">
      <c r="B464" s="22"/>
      <c r="C464" s="21"/>
      <c r="W464" s="22"/>
      <c r="X464" s="22"/>
    </row>
    <row r="465" spans="2:24" x14ac:dyDescent="0.25">
      <c r="B465" s="22"/>
      <c r="C465" s="21"/>
      <c r="W465" s="22"/>
      <c r="X465" s="22"/>
    </row>
    <row r="466" spans="2:24" x14ac:dyDescent="0.25">
      <c r="B466" s="22"/>
      <c r="C466" s="21"/>
      <c r="W466" s="22"/>
      <c r="X466" s="22"/>
    </row>
    <row r="467" spans="2:24" x14ac:dyDescent="0.25">
      <c r="B467" s="22"/>
      <c r="C467" s="21"/>
      <c r="W467" s="22"/>
      <c r="X467" s="22"/>
    </row>
    <row r="468" spans="2:24" x14ac:dyDescent="0.25">
      <c r="B468" s="22"/>
      <c r="C468" s="21"/>
      <c r="W468" s="22"/>
      <c r="X468" s="22"/>
    </row>
    <row r="469" spans="2:24" x14ac:dyDescent="0.25">
      <c r="B469" s="22"/>
      <c r="C469" s="21"/>
      <c r="W469" s="22"/>
      <c r="X469" s="22"/>
    </row>
    <row r="470" spans="2:24" x14ac:dyDescent="0.25">
      <c r="B470" s="22"/>
      <c r="C470" s="21"/>
      <c r="W470" s="22"/>
      <c r="X470" s="22"/>
    </row>
    <row r="471" spans="2:24" x14ac:dyDescent="0.25">
      <c r="B471" s="22"/>
      <c r="C471" s="21"/>
      <c r="W471" s="22"/>
      <c r="X471" s="22"/>
    </row>
    <row r="472" spans="2:24" x14ac:dyDescent="0.25">
      <c r="B472" s="22"/>
      <c r="C472" s="21"/>
      <c r="W472" s="22"/>
      <c r="X472" s="22"/>
    </row>
    <row r="473" spans="2:24" x14ac:dyDescent="0.25">
      <c r="B473" s="22"/>
      <c r="C473" s="21"/>
      <c r="W473" s="22"/>
      <c r="X473" s="22"/>
    </row>
    <row r="474" spans="2:24" x14ac:dyDescent="0.25">
      <c r="B474" s="22"/>
      <c r="C474" s="21"/>
      <c r="W474" s="22"/>
      <c r="X474" s="22"/>
    </row>
    <row r="475" spans="2:24" x14ac:dyDescent="0.25">
      <c r="B475" s="22"/>
      <c r="C475" s="21"/>
      <c r="W475" s="22"/>
      <c r="X475" s="22"/>
    </row>
    <row r="476" spans="2:24" x14ac:dyDescent="0.25">
      <c r="B476" s="22"/>
      <c r="C476" s="21"/>
      <c r="W476" s="22"/>
      <c r="X476" s="22"/>
    </row>
    <row r="477" spans="2:24" x14ac:dyDescent="0.25">
      <c r="B477" s="22"/>
      <c r="C477" s="21"/>
      <c r="W477" s="22"/>
      <c r="X477" s="22"/>
    </row>
    <row r="478" spans="2:24" x14ac:dyDescent="0.25">
      <c r="B478" s="22"/>
      <c r="C478" s="21"/>
      <c r="W478" s="22"/>
      <c r="X478" s="22"/>
    </row>
    <row r="479" spans="2:24" x14ac:dyDescent="0.25">
      <c r="B479" s="22"/>
      <c r="C479" s="21"/>
      <c r="W479" s="22"/>
      <c r="X479" s="22"/>
    </row>
    <row r="480" spans="2:24" x14ac:dyDescent="0.25">
      <c r="B480" s="22"/>
      <c r="C480" s="21"/>
      <c r="W480" s="22"/>
      <c r="X480" s="22"/>
    </row>
    <row r="481" spans="2:24" x14ac:dyDescent="0.25">
      <c r="B481" s="22"/>
      <c r="C481" s="21"/>
      <c r="W481" s="22"/>
      <c r="X481" s="22"/>
    </row>
    <row r="482" spans="2:24" x14ac:dyDescent="0.25">
      <c r="B482" s="22"/>
      <c r="C482" s="21"/>
      <c r="W482" s="22"/>
      <c r="X482" s="22"/>
    </row>
    <row r="483" spans="2:24" x14ac:dyDescent="0.25">
      <c r="B483" s="22"/>
      <c r="C483" s="21"/>
      <c r="W483" s="22"/>
      <c r="X483" s="22"/>
    </row>
    <row r="484" spans="2:24" x14ac:dyDescent="0.25">
      <c r="B484" s="22"/>
      <c r="C484" s="21"/>
      <c r="W484" s="22"/>
      <c r="X484" s="22"/>
    </row>
    <row r="485" spans="2:24" x14ac:dyDescent="0.25">
      <c r="B485" s="22"/>
      <c r="C485" s="21"/>
      <c r="W485" s="22"/>
      <c r="X485" s="22"/>
    </row>
    <row r="486" spans="2:24" x14ac:dyDescent="0.25">
      <c r="B486" s="22"/>
      <c r="C486" s="21"/>
      <c r="W486" s="22"/>
      <c r="X486" s="22"/>
    </row>
    <row r="487" spans="2:24" x14ac:dyDescent="0.25">
      <c r="B487" s="22"/>
      <c r="C487" s="21"/>
      <c r="W487" s="22"/>
      <c r="X487" s="22"/>
    </row>
    <row r="488" spans="2:24" x14ac:dyDescent="0.25">
      <c r="B488" s="22"/>
      <c r="C488" s="21"/>
      <c r="W488" s="22"/>
      <c r="X488" s="22"/>
    </row>
    <row r="489" spans="2:24" x14ac:dyDescent="0.25">
      <c r="B489" s="22"/>
      <c r="C489" s="21"/>
      <c r="W489" s="22"/>
      <c r="X489" s="22"/>
    </row>
    <row r="490" spans="2:24" x14ac:dyDescent="0.25">
      <c r="B490" s="22"/>
      <c r="C490" s="21"/>
      <c r="W490" s="22"/>
      <c r="X490" s="22"/>
    </row>
    <row r="491" spans="2:24" x14ac:dyDescent="0.25">
      <c r="B491" s="22"/>
      <c r="C491" s="21"/>
      <c r="W491" s="22"/>
      <c r="X491" s="22"/>
    </row>
    <row r="492" spans="2:24" x14ac:dyDescent="0.25">
      <c r="B492" s="22"/>
      <c r="C492" s="21"/>
      <c r="W492" s="22"/>
      <c r="X492" s="22"/>
    </row>
    <row r="493" spans="2:24" x14ac:dyDescent="0.25">
      <c r="B493" s="22"/>
      <c r="C493" s="21"/>
      <c r="W493" s="22"/>
      <c r="X493" s="22"/>
    </row>
    <row r="494" spans="2:24" x14ac:dyDescent="0.25">
      <c r="B494" s="22"/>
      <c r="C494" s="21"/>
      <c r="W494" s="22"/>
      <c r="X494" s="22"/>
    </row>
    <row r="495" spans="2:24" x14ac:dyDescent="0.25">
      <c r="B495" s="22"/>
      <c r="C495" s="21"/>
      <c r="W495" s="22"/>
      <c r="X495" s="22"/>
    </row>
    <row r="496" spans="2:24" x14ac:dyDescent="0.25">
      <c r="B496" s="22"/>
      <c r="C496" s="21"/>
      <c r="W496" s="22"/>
      <c r="X496" s="22"/>
    </row>
    <row r="497" spans="2:24" x14ac:dyDescent="0.25">
      <c r="B497" s="22"/>
      <c r="C497" s="21"/>
      <c r="W497" s="22"/>
      <c r="X497" s="22"/>
    </row>
    <row r="498" spans="2:24" x14ac:dyDescent="0.25">
      <c r="B498" s="22"/>
      <c r="C498" s="21"/>
      <c r="W498" s="22"/>
      <c r="X498" s="22"/>
    </row>
    <row r="499" spans="2:24" x14ac:dyDescent="0.25">
      <c r="B499" s="22"/>
      <c r="C499" s="21"/>
      <c r="W499" s="22"/>
      <c r="X499" s="22"/>
    </row>
    <row r="500" spans="2:24" x14ac:dyDescent="0.25">
      <c r="B500" s="22"/>
      <c r="C500" s="21"/>
      <c r="W500" s="22"/>
      <c r="X500" s="22"/>
    </row>
    <row r="501" spans="2:24" x14ac:dyDescent="0.25">
      <c r="B501" s="22"/>
      <c r="C501" s="21"/>
      <c r="W501" s="22"/>
      <c r="X501" s="22"/>
    </row>
    <row r="502" spans="2:24" x14ac:dyDescent="0.25">
      <c r="B502" s="22"/>
      <c r="C502" s="21"/>
      <c r="W502" s="22"/>
      <c r="X502" s="22"/>
    </row>
    <row r="503" spans="2:24" x14ac:dyDescent="0.25">
      <c r="B503" s="22"/>
      <c r="C503" s="21"/>
      <c r="W503" s="22"/>
      <c r="X503" s="22"/>
    </row>
    <row r="504" spans="2:24" x14ac:dyDescent="0.25">
      <c r="B504" s="22"/>
      <c r="C504" s="21"/>
      <c r="W504" s="22"/>
      <c r="X504" s="22"/>
    </row>
    <row r="505" spans="2:24" x14ac:dyDescent="0.25">
      <c r="B505" s="22"/>
      <c r="C505" s="21"/>
      <c r="W505" s="22"/>
      <c r="X505" s="22"/>
    </row>
    <row r="506" spans="2:24" x14ac:dyDescent="0.25">
      <c r="B506" s="22"/>
      <c r="C506" s="21"/>
      <c r="W506" s="22"/>
      <c r="X506" s="22"/>
    </row>
    <row r="507" spans="2:24" x14ac:dyDescent="0.25">
      <c r="B507" s="22"/>
      <c r="C507" s="21"/>
      <c r="W507" s="22"/>
      <c r="X507" s="22"/>
    </row>
    <row r="508" spans="2:24" x14ac:dyDescent="0.25">
      <c r="B508" s="22"/>
      <c r="C508" s="21"/>
      <c r="W508" s="22"/>
      <c r="X508" s="22"/>
    </row>
    <row r="509" spans="2:24" x14ac:dyDescent="0.25">
      <c r="B509" s="22"/>
      <c r="C509" s="21"/>
      <c r="W509" s="22"/>
      <c r="X509" s="22"/>
    </row>
    <row r="510" spans="2:24" x14ac:dyDescent="0.25">
      <c r="B510" s="22"/>
      <c r="C510" s="21"/>
      <c r="W510" s="22"/>
      <c r="X510" s="22"/>
    </row>
    <row r="511" spans="2:24" x14ac:dyDescent="0.25">
      <c r="B511" s="22"/>
      <c r="C511" s="21"/>
      <c r="W511" s="22"/>
      <c r="X511" s="22"/>
    </row>
    <row r="512" spans="2:24" x14ac:dyDescent="0.25">
      <c r="B512" s="22"/>
      <c r="C512" s="21"/>
      <c r="W512" s="22"/>
      <c r="X512" s="22"/>
    </row>
    <row r="513" spans="2:24" x14ac:dyDescent="0.25">
      <c r="B513" s="22"/>
      <c r="C513" s="21"/>
      <c r="W513" s="22"/>
      <c r="X513" s="22"/>
    </row>
    <row r="514" spans="2:24" x14ac:dyDescent="0.25">
      <c r="B514" s="22"/>
      <c r="C514" s="21"/>
      <c r="W514" s="22"/>
      <c r="X514" s="22"/>
    </row>
    <row r="515" spans="2:24" x14ac:dyDescent="0.25">
      <c r="B515" s="22"/>
      <c r="C515" s="21"/>
      <c r="W515" s="22"/>
      <c r="X515" s="22"/>
    </row>
    <row r="516" spans="2:24" x14ac:dyDescent="0.25">
      <c r="B516" s="22"/>
      <c r="C516" s="21"/>
      <c r="W516" s="22"/>
      <c r="X516" s="22"/>
    </row>
    <row r="517" spans="2:24" x14ac:dyDescent="0.25">
      <c r="B517" s="22"/>
      <c r="C517" s="21"/>
      <c r="W517" s="22"/>
      <c r="X517" s="22"/>
    </row>
    <row r="518" spans="2:24" x14ac:dyDescent="0.25">
      <c r="B518" s="22"/>
      <c r="C518" s="21"/>
      <c r="W518" s="22"/>
      <c r="X518" s="22"/>
    </row>
    <row r="519" spans="2:24" x14ac:dyDescent="0.25">
      <c r="B519" s="22"/>
      <c r="C519" s="21"/>
      <c r="W519" s="22"/>
      <c r="X519" s="22"/>
    </row>
    <row r="520" spans="2:24" x14ac:dyDescent="0.25">
      <c r="B520" s="22"/>
      <c r="C520" s="21"/>
      <c r="W520" s="22"/>
      <c r="X520" s="22"/>
    </row>
    <row r="521" spans="2:24" x14ac:dyDescent="0.25">
      <c r="B521" s="22"/>
      <c r="C521" s="21"/>
      <c r="W521" s="22"/>
      <c r="X521" s="22"/>
    </row>
    <row r="522" spans="2:24" x14ac:dyDescent="0.25">
      <c r="B522" s="22"/>
      <c r="C522" s="21"/>
      <c r="W522" s="22"/>
      <c r="X522" s="22"/>
    </row>
    <row r="523" spans="2:24" x14ac:dyDescent="0.25">
      <c r="B523" s="22"/>
      <c r="C523" s="21"/>
      <c r="W523" s="22"/>
      <c r="X523" s="22"/>
    </row>
    <row r="524" spans="2:24" x14ac:dyDescent="0.25">
      <c r="B524" s="22"/>
      <c r="C524" s="21"/>
      <c r="W524" s="22"/>
      <c r="X524" s="22"/>
    </row>
    <row r="525" spans="2:24" x14ac:dyDescent="0.25">
      <c r="B525" s="22"/>
      <c r="C525" s="21"/>
      <c r="W525" s="22"/>
      <c r="X525" s="22"/>
    </row>
    <row r="526" spans="2:24" x14ac:dyDescent="0.25">
      <c r="B526" s="22"/>
      <c r="C526" s="21"/>
      <c r="W526" s="22"/>
      <c r="X526" s="22"/>
    </row>
    <row r="527" spans="2:24" x14ac:dyDescent="0.25">
      <c r="B527" s="22"/>
      <c r="C527" s="21"/>
      <c r="W527" s="22"/>
      <c r="X527" s="22"/>
    </row>
    <row r="528" spans="2:24" x14ac:dyDescent="0.25">
      <c r="B528" s="22"/>
      <c r="C528" s="21"/>
      <c r="W528" s="22"/>
      <c r="X528" s="22"/>
    </row>
    <row r="529" spans="2:24" x14ac:dyDescent="0.25">
      <c r="B529" s="22"/>
      <c r="C529" s="21"/>
      <c r="W529" s="22"/>
      <c r="X529" s="22"/>
    </row>
    <row r="530" spans="2:24" x14ac:dyDescent="0.25">
      <c r="B530" s="22"/>
      <c r="C530" s="21"/>
      <c r="W530" s="22"/>
      <c r="X530" s="22"/>
    </row>
    <row r="531" spans="2:24" x14ac:dyDescent="0.25">
      <c r="B531" s="22"/>
      <c r="C531" s="21"/>
      <c r="W531" s="22"/>
      <c r="X531" s="22"/>
    </row>
    <row r="532" spans="2:24" x14ac:dyDescent="0.25">
      <c r="B532" s="22"/>
      <c r="C532" s="21"/>
      <c r="W532" s="22"/>
      <c r="X532" s="22"/>
    </row>
    <row r="533" spans="2:24" x14ac:dyDescent="0.25">
      <c r="B533" s="22"/>
      <c r="C533" s="21"/>
      <c r="W533" s="22"/>
      <c r="X533" s="22"/>
    </row>
    <row r="534" spans="2:24" x14ac:dyDescent="0.25">
      <c r="B534" s="22"/>
      <c r="C534" s="21"/>
      <c r="W534" s="22"/>
      <c r="X534" s="22"/>
    </row>
    <row r="535" spans="2:24" x14ac:dyDescent="0.25">
      <c r="B535" s="22"/>
      <c r="C535" s="21"/>
      <c r="W535" s="22"/>
      <c r="X535" s="22"/>
    </row>
    <row r="536" spans="2:24" x14ac:dyDescent="0.25">
      <c r="B536" s="22"/>
      <c r="C536" s="21"/>
      <c r="W536" s="22"/>
      <c r="X536" s="22"/>
    </row>
    <row r="537" spans="2:24" x14ac:dyDescent="0.25">
      <c r="B537" s="22"/>
      <c r="C537" s="21"/>
      <c r="W537" s="22"/>
      <c r="X537" s="22"/>
    </row>
    <row r="538" spans="2:24" x14ac:dyDescent="0.25">
      <c r="B538" s="22"/>
      <c r="C538" s="21"/>
      <c r="W538" s="22"/>
      <c r="X538" s="22"/>
    </row>
    <row r="539" spans="2:24" x14ac:dyDescent="0.25">
      <c r="B539" s="22"/>
      <c r="C539" s="21"/>
      <c r="W539" s="22"/>
      <c r="X539" s="22"/>
    </row>
    <row r="540" spans="2:24" x14ac:dyDescent="0.25">
      <c r="B540" s="22"/>
      <c r="C540" s="21"/>
      <c r="W540" s="22"/>
      <c r="X540" s="22"/>
    </row>
    <row r="541" spans="2:24" x14ac:dyDescent="0.25">
      <c r="B541" s="22"/>
      <c r="C541" s="21"/>
      <c r="W541" s="22"/>
      <c r="X541" s="22"/>
    </row>
    <row r="542" spans="2:24" x14ac:dyDescent="0.25">
      <c r="B542" s="22"/>
      <c r="C542" s="21"/>
      <c r="W542" s="22"/>
      <c r="X542" s="22"/>
    </row>
    <row r="543" spans="2:24" x14ac:dyDescent="0.25">
      <c r="B543" s="22"/>
      <c r="C543" s="21"/>
      <c r="W543" s="22"/>
      <c r="X543" s="22"/>
    </row>
    <row r="544" spans="2:24" x14ac:dyDescent="0.25">
      <c r="B544" s="22"/>
      <c r="C544" s="21"/>
      <c r="W544" s="22"/>
      <c r="X544" s="22"/>
    </row>
    <row r="545" spans="2:24" x14ac:dyDescent="0.25">
      <c r="B545" s="22"/>
      <c r="C545" s="21"/>
      <c r="W545" s="22"/>
      <c r="X545" s="22"/>
    </row>
    <row r="546" spans="2:24" x14ac:dyDescent="0.25">
      <c r="B546" s="22"/>
      <c r="C546" s="21"/>
      <c r="W546" s="22"/>
      <c r="X546" s="22"/>
    </row>
    <row r="547" spans="2:24" x14ac:dyDescent="0.25">
      <c r="B547" s="22"/>
      <c r="C547" s="21"/>
      <c r="W547" s="22"/>
      <c r="X547" s="22"/>
    </row>
    <row r="548" spans="2:24" x14ac:dyDescent="0.25">
      <c r="B548" s="22"/>
      <c r="C548" s="21"/>
      <c r="W548" s="22"/>
      <c r="X548" s="22"/>
    </row>
    <row r="549" spans="2:24" x14ac:dyDescent="0.25">
      <c r="B549" s="22"/>
      <c r="C549" s="21"/>
      <c r="W549" s="22"/>
      <c r="X549" s="22"/>
    </row>
    <row r="550" spans="2:24" x14ac:dyDescent="0.25">
      <c r="B550" s="22"/>
      <c r="C550" s="21"/>
      <c r="W550" s="22"/>
      <c r="X550" s="22"/>
    </row>
    <row r="551" spans="2:24" x14ac:dyDescent="0.25">
      <c r="B551" s="22"/>
      <c r="C551" s="21"/>
      <c r="W551" s="22"/>
      <c r="X551" s="22"/>
    </row>
    <row r="552" spans="2:24" x14ac:dyDescent="0.25">
      <c r="B552" s="22"/>
      <c r="C552" s="21"/>
      <c r="W552" s="22"/>
      <c r="X552" s="22"/>
    </row>
    <row r="553" spans="2:24" x14ac:dyDescent="0.25">
      <c r="B553" s="22"/>
      <c r="C553" s="21"/>
      <c r="W553" s="22"/>
      <c r="X553" s="22"/>
    </row>
    <row r="554" spans="2:24" x14ac:dyDescent="0.25">
      <c r="B554" s="22"/>
      <c r="C554" s="21"/>
      <c r="W554" s="22"/>
      <c r="X554" s="22"/>
    </row>
    <row r="555" spans="2:24" x14ac:dyDescent="0.25">
      <c r="B555" s="22"/>
      <c r="C555" s="21"/>
      <c r="W555" s="22"/>
      <c r="X555" s="22"/>
    </row>
    <row r="556" spans="2:24" x14ac:dyDescent="0.25">
      <c r="B556" s="22"/>
      <c r="C556" s="21"/>
      <c r="W556" s="22"/>
      <c r="X556" s="22"/>
    </row>
    <row r="557" spans="2:24" x14ac:dyDescent="0.25">
      <c r="B557" s="22"/>
      <c r="C557" s="21"/>
      <c r="W557" s="22"/>
      <c r="X557" s="22"/>
    </row>
    <row r="558" spans="2:24" x14ac:dyDescent="0.25">
      <c r="B558" s="22"/>
      <c r="C558" s="21"/>
      <c r="W558" s="22"/>
      <c r="X558" s="22"/>
    </row>
    <row r="559" spans="2:24" x14ac:dyDescent="0.25">
      <c r="B559" s="22"/>
      <c r="C559" s="21"/>
      <c r="W559" s="22"/>
      <c r="X559" s="22"/>
    </row>
    <row r="560" spans="2:24" x14ac:dyDescent="0.25">
      <c r="B560" s="22"/>
      <c r="C560" s="21"/>
      <c r="W560" s="22"/>
      <c r="X560" s="22"/>
    </row>
    <row r="561" spans="2:24" x14ac:dyDescent="0.25">
      <c r="B561" s="22"/>
      <c r="C561" s="21"/>
      <c r="W561" s="22"/>
      <c r="X561" s="22"/>
    </row>
    <row r="562" spans="2:24" x14ac:dyDescent="0.25">
      <c r="B562" s="22"/>
      <c r="C562" s="21"/>
      <c r="W562" s="22"/>
      <c r="X562" s="22"/>
    </row>
    <row r="563" spans="2:24" x14ac:dyDescent="0.25">
      <c r="B563" s="22"/>
      <c r="C563" s="21"/>
      <c r="W563" s="22"/>
      <c r="X563" s="22"/>
    </row>
    <row r="564" spans="2:24" x14ac:dyDescent="0.25">
      <c r="B564" s="22"/>
      <c r="C564" s="21"/>
      <c r="W564" s="22"/>
      <c r="X564" s="22"/>
    </row>
    <row r="565" spans="2:24" x14ac:dyDescent="0.25">
      <c r="B565" s="22"/>
      <c r="C565" s="21"/>
      <c r="W565" s="22"/>
      <c r="X565" s="22"/>
    </row>
    <row r="566" spans="2:24" x14ac:dyDescent="0.25">
      <c r="B566" s="22"/>
      <c r="C566" s="21"/>
      <c r="W566" s="22"/>
      <c r="X566" s="22"/>
    </row>
    <row r="567" spans="2:24" x14ac:dyDescent="0.25">
      <c r="B567" s="22"/>
      <c r="C567" s="21"/>
      <c r="W567" s="22"/>
      <c r="X567" s="22"/>
    </row>
    <row r="568" spans="2:24" x14ac:dyDescent="0.25">
      <c r="B568" s="22"/>
      <c r="C568" s="21"/>
      <c r="W568" s="22"/>
      <c r="X568" s="22"/>
    </row>
    <row r="569" spans="2:24" x14ac:dyDescent="0.25">
      <c r="B569" s="22"/>
      <c r="C569" s="21"/>
      <c r="W569" s="22"/>
      <c r="X569" s="22"/>
    </row>
    <row r="570" spans="2:24" x14ac:dyDescent="0.25">
      <c r="B570" s="22"/>
      <c r="C570" s="21"/>
      <c r="W570" s="22"/>
      <c r="X570" s="22"/>
    </row>
    <row r="571" spans="2:24" x14ac:dyDescent="0.25">
      <c r="B571" s="22"/>
      <c r="C571" s="21"/>
      <c r="W571" s="22"/>
      <c r="X571" s="22"/>
    </row>
    <row r="572" spans="2:24" x14ac:dyDescent="0.25">
      <c r="B572" s="22"/>
      <c r="C572" s="21"/>
      <c r="W572" s="22"/>
      <c r="X572" s="22"/>
    </row>
    <row r="573" spans="2:24" x14ac:dyDescent="0.25">
      <c r="B573" s="22"/>
      <c r="C573" s="21"/>
      <c r="W573" s="22"/>
      <c r="X573" s="22"/>
    </row>
    <row r="574" spans="2:24" x14ac:dyDescent="0.25">
      <c r="B574" s="22"/>
      <c r="C574" s="21"/>
      <c r="W574" s="22"/>
      <c r="X574" s="22"/>
    </row>
    <row r="575" spans="2:24" x14ac:dyDescent="0.25">
      <c r="B575" s="22"/>
      <c r="C575" s="21"/>
      <c r="W575" s="22"/>
      <c r="X575" s="22"/>
    </row>
    <row r="576" spans="2:24" x14ac:dyDescent="0.25">
      <c r="B576" s="22"/>
      <c r="C576" s="21"/>
      <c r="W576" s="22"/>
      <c r="X576" s="22"/>
    </row>
    <row r="577" spans="2:24" x14ac:dyDescent="0.25">
      <c r="B577" s="22"/>
      <c r="C577" s="21"/>
      <c r="W577" s="22"/>
      <c r="X577" s="22"/>
    </row>
    <row r="578" spans="2:24" x14ac:dyDescent="0.25">
      <c r="B578" s="22"/>
      <c r="C578" s="21"/>
      <c r="W578" s="22"/>
      <c r="X578" s="22"/>
    </row>
    <row r="579" spans="2:24" x14ac:dyDescent="0.25">
      <c r="B579" s="22"/>
      <c r="C579" s="21"/>
      <c r="W579" s="22"/>
      <c r="X579" s="22"/>
    </row>
    <row r="580" spans="2:24" x14ac:dyDescent="0.25">
      <c r="B580" s="22"/>
      <c r="C580" s="21"/>
      <c r="W580" s="22"/>
      <c r="X580" s="22"/>
    </row>
    <row r="581" spans="2:24" x14ac:dyDescent="0.25">
      <c r="B581" s="22"/>
      <c r="C581" s="21"/>
      <c r="W581" s="22"/>
      <c r="X581" s="22"/>
    </row>
    <row r="582" spans="2:24" x14ac:dyDescent="0.25">
      <c r="B582" s="22"/>
      <c r="C582" s="21"/>
      <c r="W582" s="22"/>
      <c r="X582" s="22"/>
    </row>
    <row r="583" spans="2:24" x14ac:dyDescent="0.25">
      <c r="B583" s="22"/>
      <c r="C583" s="21"/>
      <c r="W583" s="22"/>
      <c r="X583" s="22"/>
    </row>
    <row r="584" spans="2:24" x14ac:dyDescent="0.25">
      <c r="B584" s="22"/>
      <c r="C584" s="21"/>
      <c r="W584" s="22"/>
      <c r="X584" s="22"/>
    </row>
    <row r="585" spans="2:24" x14ac:dyDescent="0.25">
      <c r="B585" s="22"/>
      <c r="C585" s="21"/>
      <c r="W585" s="22"/>
      <c r="X585" s="22"/>
    </row>
    <row r="586" spans="2:24" x14ac:dyDescent="0.25">
      <c r="B586" s="22"/>
      <c r="C586" s="21"/>
      <c r="W586" s="22"/>
      <c r="X586" s="22"/>
    </row>
    <row r="587" spans="2:24" x14ac:dyDescent="0.25">
      <c r="B587" s="22"/>
      <c r="C587" s="21"/>
      <c r="W587" s="22"/>
      <c r="X587" s="22"/>
    </row>
    <row r="588" spans="2:24" x14ac:dyDescent="0.25">
      <c r="B588" s="22"/>
      <c r="C588" s="21"/>
      <c r="W588" s="22"/>
      <c r="X588" s="22"/>
    </row>
    <row r="589" spans="2:24" x14ac:dyDescent="0.25">
      <c r="B589" s="22"/>
      <c r="C589" s="21"/>
      <c r="W589" s="22"/>
      <c r="X589" s="22"/>
    </row>
    <row r="590" spans="2:24" x14ac:dyDescent="0.25">
      <c r="B590" s="22"/>
      <c r="C590" s="21"/>
      <c r="W590" s="22"/>
      <c r="X590" s="22"/>
    </row>
    <row r="591" spans="2:24" x14ac:dyDescent="0.25">
      <c r="B591" s="22"/>
      <c r="C591" s="21"/>
      <c r="W591" s="22"/>
      <c r="X591" s="22"/>
    </row>
    <row r="592" spans="2:24" x14ac:dyDescent="0.25">
      <c r="B592" s="22"/>
      <c r="C592" s="21"/>
      <c r="W592" s="22"/>
      <c r="X592" s="22"/>
    </row>
    <row r="593" spans="2:24" x14ac:dyDescent="0.25">
      <c r="B593" s="22"/>
      <c r="C593" s="21"/>
      <c r="W593" s="22"/>
      <c r="X593" s="22"/>
    </row>
    <row r="594" spans="2:24" x14ac:dyDescent="0.25">
      <c r="B594" s="22"/>
      <c r="C594" s="21"/>
      <c r="W594" s="22"/>
      <c r="X594" s="22"/>
    </row>
    <row r="595" spans="2:24" x14ac:dyDescent="0.25">
      <c r="B595" s="22"/>
      <c r="C595" s="21"/>
      <c r="W595" s="22"/>
      <c r="X595" s="22"/>
    </row>
    <row r="596" spans="2:24" x14ac:dyDescent="0.25">
      <c r="B596" s="22"/>
      <c r="C596" s="21"/>
      <c r="W596" s="22"/>
      <c r="X596" s="22"/>
    </row>
    <row r="597" spans="2:24" x14ac:dyDescent="0.25">
      <c r="B597" s="22"/>
      <c r="C597" s="21"/>
      <c r="W597" s="22"/>
      <c r="X597" s="22"/>
    </row>
    <row r="598" spans="2:24" x14ac:dyDescent="0.25">
      <c r="B598" s="22"/>
      <c r="C598" s="21"/>
      <c r="W598" s="22"/>
      <c r="X598" s="22"/>
    </row>
    <row r="599" spans="2:24" x14ac:dyDescent="0.25">
      <c r="B599" s="22"/>
      <c r="C599" s="21"/>
      <c r="W599" s="22"/>
      <c r="X599" s="22"/>
    </row>
    <row r="600" spans="2:24" x14ac:dyDescent="0.25">
      <c r="B600" s="22"/>
      <c r="C600" s="21"/>
      <c r="W600" s="22"/>
      <c r="X600" s="22"/>
    </row>
    <row r="601" spans="2:24" x14ac:dyDescent="0.25">
      <c r="B601" s="22"/>
      <c r="C601" s="21"/>
      <c r="W601" s="22"/>
      <c r="X601" s="22"/>
    </row>
    <row r="602" spans="2:24" x14ac:dyDescent="0.25">
      <c r="B602" s="22"/>
      <c r="C602" s="21"/>
      <c r="W602" s="22"/>
      <c r="X602" s="22"/>
    </row>
    <row r="603" spans="2:24" x14ac:dyDescent="0.25">
      <c r="B603" s="22"/>
      <c r="C603" s="21"/>
      <c r="W603" s="22"/>
      <c r="X603" s="22"/>
    </row>
    <row r="604" spans="2:24" x14ac:dyDescent="0.25">
      <c r="B604" s="22"/>
      <c r="C604" s="21"/>
      <c r="W604" s="22"/>
      <c r="X604" s="22"/>
    </row>
    <row r="605" spans="2:24" x14ac:dyDescent="0.25">
      <c r="B605" s="22"/>
      <c r="C605" s="21"/>
      <c r="W605" s="22"/>
      <c r="X605" s="22"/>
    </row>
    <row r="606" spans="2:24" x14ac:dyDescent="0.25">
      <c r="B606" s="22"/>
      <c r="C606" s="21"/>
      <c r="W606" s="22"/>
      <c r="X606" s="22"/>
    </row>
    <row r="607" spans="2:24" x14ac:dyDescent="0.25">
      <c r="B607" s="22"/>
      <c r="C607" s="21"/>
      <c r="W607" s="22"/>
      <c r="X607" s="22"/>
    </row>
    <row r="608" spans="2:24" x14ac:dyDescent="0.25">
      <c r="B608" s="22"/>
      <c r="C608" s="21"/>
      <c r="W608" s="22"/>
      <c r="X608" s="22"/>
    </row>
    <row r="609" spans="2:24" x14ac:dyDescent="0.25">
      <c r="B609" s="22"/>
      <c r="C609" s="21"/>
      <c r="W609" s="22"/>
      <c r="X609" s="22"/>
    </row>
    <row r="610" spans="2:24" x14ac:dyDescent="0.25">
      <c r="B610" s="22"/>
      <c r="C610" s="21"/>
      <c r="W610" s="22"/>
      <c r="X610" s="22"/>
    </row>
    <row r="611" spans="2:24" x14ac:dyDescent="0.25">
      <c r="B611" s="22"/>
      <c r="C611" s="21"/>
      <c r="W611" s="22"/>
      <c r="X611" s="22"/>
    </row>
    <row r="612" spans="2:24" x14ac:dyDescent="0.25">
      <c r="B612" s="22"/>
      <c r="C612" s="21"/>
      <c r="W612" s="22"/>
      <c r="X612" s="22"/>
    </row>
    <row r="613" spans="2:24" x14ac:dyDescent="0.25">
      <c r="B613" s="22"/>
      <c r="C613" s="21"/>
      <c r="W613" s="22"/>
      <c r="X613" s="22"/>
    </row>
    <row r="614" spans="2:24" x14ac:dyDescent="0.25">
      <c r="B614" s="22"/>
      <c r="C614" s="21"/>
      <c r="W614" s="22"/>
      <c r="X614" s="22"/>
    </row>
    <row r="615" spans="2:24" x14ac:dyDescent="0.25">
      <c r="B615" s="22"/>
      <c r="C615" s="21"/>
      <c r="W615" s="22"/>
      <c r="X615" s="22"/>
    </row>
    <row r="616" spans="2:24" x14ac:dyDescent="0.25">
      <c r="B616" s="22"/>
      <c r="C616" s="21"/>
      <c r="W616" s="22"/>
      <c r="X616" s="22"/>
    </row>
    <row r="617" spans="2:24" x14ac:dyDescent="0.25">
      <c r="B617" s="22"/>
      <c r="C617" s="21"/>
      <c r="W617" s="22"/>
      <c r="X617" s="22"/>
    </row>
    <row r="618" spans="2:24" x14ac:dyDescent="0.25">
      <c r="B618" s="22"/>
      <c r="C618" s="21"/>
      <c r="W618" s="22"/>
      <c r="X618" s="22"/>
    </row>
    <row r="619" spans="2:24" x14ac:dyDescent="0.25">
      <c r="B619" s="22"/>
      <c r="C619" s="21"/>
      <c r="W619" s="22"/>
      <c r="X619" s="22"/>
    </row>
    <row r="620" spans="2:24" x14ac:dyDescent="0.25">
      <c r="B620" s="22"/>
      <c r="C620" s="21"/>
      <c r="W620" s="22"/>
      <c r="X620" s="22"/>
    </row>
    <row r="621" spans="2:24" x14ac:dyDescent="0.25">
      <c r="B621" s="22"/>
      <c r="C621" s="21"/>
      <c r="W621" s="22"/>
      <c r="X621" s="22"/>
    </row>
    <row r="622" spans="2:24" x14ac:dyDescent="0.25">
      <c r="B622" s="22"/>
      <c r="C622" s="21"/>
      <c r="W622" s="22"/>
      <c r="X622" s="22"/>
    </row>
    <row r="623" spans="2:24" x14ac:dyDescent="0.25">
      <c r="B623" s="22"/>
      <c r="C623" s="21"/>
      <c r="W623" s="22"/>
      <c r="X623" s="22"/>
    </row>
    <row r="624" spans="2:24" x14ac:dyDescent="0.25">
      <c r="B624" s="22"/>
      <c r="C624" s="21"/>
      <c r="W624" s="22"/>
      <c r="X624" s="22"/>
    </row>
    <row r="625" spans="2:24" x14ac:dyDescent="0.25">
      <c r="B625" s="22"/>
      <c r="C625" s="21"/>
      <c r="W625" s="22"/>
      <c r="X625" s="22"/>
    </row>
    <row r="626" spans="2:24" x14ac:dyDescent="0.25">
      <c r="B626" s="22"/>
      <c r="C626" s="21"/>
      <c r="W626" s="22"/>
      <c r="X626" s="22"/>
    </row>
    <row r="627" spans="2:24" x14ac:dyDescent="0.25">
      <c r="B627" s="22"/>
      <c r="C627" s="21"/>
      <c r="W627" s="22"/>
      <c r="X627" s="22"/>
    </row>
    <row r="628" spans="2:24" x14ac:dyDescent="0.25">
      <c r="B628" s="22"/>
      <c r="C628" s="21"/>
      <c r="W628" s="22"/>
      <c r="X628" s="22"/>
    </row>
    <row r="629" spans="2:24" x14ac:dyDescent="0.25">
      <c r="B629" s="22"/>
      <c r="C629" s="21"/>
      <c r="W629" s="22"/>
      <c r="X629" s="22"/>
    </row>
    <row r="630" spans="2:24" x14ac:dyDescent="0.25">
      <c r="B630" s="22"/>
      <c r="C630" s="21"/>
      <c r="W630" s="22"/>
      <c r="X630" s="22"/>
    </row>
    <row r="631" spans="2:24" x14ac:dyDescent="0.25">
      <c r="B631" s="22"/>
      <c r="C631" s="21"/>
      <c r="W631" s="22"/>
      <c r="X631" s="22"/>
    </row>
    <row r="632" spans="2:24" x14ac:dyDescent="0.25">
      <c r="B632" s="22"/>
      <c r="C632" s="21"/>
      <c r="W632" s="22"/>
      <c r="X632" s="22"/>
    </row>
    <row r="633" spans="2:24" x14ac:dyDescent="0.25">
      <c r="B633" s="22"/>
      <c r="C633" s="21"/>
      <c r="W633" s="22"/>
      <c r="X633" s="22"/>
    </row>
    <row r="634" spans="2:24" x14ac:dyDescent="0.25">
      <c r="B634" s="22"/>
      <c r="C634" s="21"/>
      <c r="W634" s="22"/>
      <c r="X634" s="22"/>
    </row>
    <row r="635" spans="2:24" x14ac:dyDescent="0.25">
      <c r="B635" s="22"/>
      <c r="C635" s="21"/>
      <c r="W635" s="22"/>
      <c r="X635" s="22"/>
    </row>
    <row r="636" spans="2:24" x14ac:dyDescent="0.25">
      <c r="B636" s="22"/>
      <c r="C636" s="21"/>
      <c r="W636" s="22"/>
      <c r="X636" s="22"/>
    </row>
    <row r="637" spans="2:24" x14ac:dyDescent="0.25">
      <c r="B637" s="22"/>
      <c r="C637" s="21"/>
      <c r="W637" s="22"/>
      <c r="X637" s="22"/>
    </row>
    <row r="638" spans="2:24" x14ac:dyDescent="0.25">
      <c r="B638" s="22"/>
      <c r="C638" s="21"/>
      <c r="W638" s="22"/>
      <c r="X638" s="22"/>
    </row>
    <row r="639" spans="2:24" x14ac:dyDescent="0.25">
      <c r="B639" s="22"/>
      <c r="C639" s="21"/>
      <c r="W639" s="22"/>
      <c r="X639" s="22"/>
    </row>
    <row r="640" spans="2:24" x14ac:dyDescent="0.25">
      <c r="B640" s="22"/>
      <c r="C640" s="21"/>
      <c r="W640" s="22"/>
      <c r="X640" s="22"/>
    </row>
    <row r="641" spans="2:24" x14ac:dyDescent="0.25">
      <c r="B641" s="22"/>
      <c r="C641" s="21"/>
      <c r="W641" s="22"/>
      <c r="X641" s="22"/>
    </row>
    <row r="642" spans="2:24" x14ac:dyDescent="0.25">
      <c r="B642" s="22"/>
      <c r="C642" s="21"/>
      <c r="W642" s="22"/>
      <c r="X642" s="22"/>
    </row>
    <row r="643" spans="2:24" x14ac:dyDescent="0.25">
      <c r="B643" s="22"/>
      <c r="C643" s="21"/>
      <c r="W643" s="22"/>
      <c r="X643" s="22"/>
    </row>
    <row r="644" spans="2:24" x14ac:dyDescent="0.25">
      <c r="B644" s="22"/>
      <c r="C644" s="21"/>
      <c r="W644" s="22"/>
      <c r="X644" s="22"/>
    </row>
    <row r="645" spans="2:24" x14ac:dyDescent="0.25">
      <c r="B645" s="22"/>
      <c r="C645" s="21"/>
      <c r="W645" s="22"/>
      <c r="X645" s="22"/>
    </row>
    <row r="646" spans="2:24" x14ac:dyDescent="0.25">
      <c r="B646" s="22"/>
      <c r="C646" s="21"/>
      <c r="W646" s="22"/>
      <c r="X646" s="22"/>
    </row>
    <row r="647" spans="2:24" x14ac:dyDescent="0.25">
      <c r="B647" s="22"/>
      <c r="C647" s="21"/>
      <c r="W647" s="22"/>
      <c r="X647" s="22"/>
    </row>
    <row r="648" spans="2:24" x14ac:dyDescent="0.25">
      <c r="B648" s="22"/>
      <c r="C648" s="21"/>
      <c r="W648" s="22"/>
      <c r="X648" s="22"/>
    </row>
    <row r="649" spans="2:24" x14ac:dyDescent="0.25">
      <c r="B649" s="22"/>
      <c r="C649" s="21"/>
      <c r="W649" s="22"/>
      <c r="X649" s="22"/>
    </row>
    <row r="650" spans="2:24" x14ac:dyDescent="0.25">
      <c r="B650" s="22"/>
      <c r="C650" s="21"/>
      <c r="W650" s="22"/>
      <c r="X650" s="22"/>
    </row>
    <row r="651" spans="2:24" x14ac:dyDescent="0.25">
      <c r="B651" s="22"/>
      <c r="C651" s="21"/>
      <c r="W651" s="22"/>
      <c r="X651" s="22"/>
    </row>
    <row r="652" spans="2:24" x14ac:dyDescent="0.25">
      <c r="B652" s="22"/>
      <c r="C652" s="21"/>
      <c r="W652" s="22"/>
      <c r="X652" s="22"/>
    </row>
    <row r="653" spans="2:24" x14ac:dyDescent="0.25">
      <c r="B653" s="22"/>
      <c r="C653" s="21"/>
      <c r="W653" s="22"/>
      <c r="X653" s="22"/>
    </row>
    <row r="654" spans="2:24" x14ac:dyDescent="0.25">
      <c r="B654" s="22"/>
      <c r="C654" s="21"/>
      <c r="W654" s="22"/>
      <c r="X654" s="22"/>
    </row>
    <row r="655" spans="2:24" x14ac:dyDescent="0.25">
      <c r="B655" s="22"/>
      <c r="C655" s="21"/>
      <c r="W655" s="22"/>
      <c r="X655" s="22"/>
    </row>
    <row r="656" spans="2:24" x14ac:dyDescent="0.25">
      <c r="B656" s="22"/>
      <c r="C656" s="21"/>
      <c r="W656" s="22"/>
      <c r="X656" s="22"/>
    </row>
    <row r="657" spans="2:24" x14ac:dyDescent="0.25">
      <c r="B657" s="22"/>
      <c r="C657" s="21"/>
      <c r="W657" s="22"/>
      <c r="X657" s="22"/>
    </row>
    <row r="658" spans="2:24" x14ac:dyDescent="0.25">
      <c r="B658" s="22"/>
      <c r="C658" s="21"/>
      <c r="W658" s="22"/>
      <c r="X658" s="22"/>
    </row>
    <row r="659" spans="2:24" x14ac:dyDescent="0.25">
      <c r="B659" s="22"/>
      <c r="C659" s="21"/>
      <c r="W659" s="22"/>
      <c r="X659" s="22"/>
    </row>
    <row r="660" spans="2:24" x14ac:dyDescent="0.25">
      <c r="B660" s="22"/>
      <c r="C660" s="21"/>
      <c r="W660" s="22"/>
      <c r="X660" s="22"/>
    </row>
    <row r="661" spans="2:24" x14ac:dyDescent="0.25">
      <c r="B661" s="22"/>
      <c r="C661" s="21"/>
      <c r="W661" s="22"/>
      <c r="X661" s="22"/>
    </row>
    <row r="662" spans="2:24" x14ac:dyDescent="0.25">
      <c r="B662" s="22"/>
      <c r="C662" s="21"/>
      <c r="W662" s="22"/>
      <c r="X662" s="22"/>
    </row>
    <row r="663" spans="2:24" x14ac:dyDescent="0.25">
      <c r="B663" s="22"/>
      <c r="C663" s="21"/>
      <c r="W663" s="22"/>
      <c r="X663" s="22"/>
    </row>
    <row r="664" spans="2:24" x14ac:dyDescent="0.25">
      <c r="B664" s="22"/>
      <c r="C664" s="21"/>
      <c r="W664" s="22"/>
      <c r="X664" s="22"/>
    </row>
    <row r="665" spans="2:24" x14ac:dyDescent="0.25">
      <c r="B665" s="22"/>
      <c r="C665" s="21"/>
      <c r="W665" s="22"/>
      <c r="X665" s="22"/>
    </row>
    <row r="666" spans="2:24" x14ac:dyDescent="0.25">
      <c r="B666" s="22"/>
      <c r="C666" s="21"/>
      <c r="W666" s="22"/>
      <c r="X666" s="22"/>
    </row>
    <row r="667" spans="2:24" x14ac:dyDescent="0.25">
      <c r="B667" s="22"/>
      <c r="C667" s="21"/>
      <c r="W667" s="22"/>
      <c r="X667" s="22"/>
    </row>
    <row r="668" spans="2:24" x14ac:dyDescent="0.25">
      <c r="B668" s="22"/>
      <c r="C668" s="21"/>
      <c r="W668" s="22"/>
      <c r="X668" s="22"/>
    </row>
    <row r="669" spans="2:24" x14ac:dyDescent="0.25">
      <c r="B669" s="22"/>
      <c r="C669" s="21"/>
      <c r="W669" s="22"/>
      <c r="X669" s="22"/>
    </row>
    <row r="670" spans="2:24" x14ac:dyDescent="0.25">
      <c r="B670" s="22"/>
      <c r="C670" s="21"/>
      <c r="W670" s="22"/>
      <c r="X670" s="22"/>
    </row>
    <row r="671" spans="2:24" x14ac:dyDescent="0.25">
      <c r="B671" s="22"/>
      <c r="C671" s="21"/>
      <c r="W671" s="22"/>
      <c r="X671" s="22"/>
    </row>
    <row r="672" spans="2:24" x14ac:dyDescent="0.25">
      <c r="B672" s="22"/>
      <c r="C672" s="21"/>
      <c r="W672" s="22"/>
      <c r="X672" s="22"/>
    </row>
    <row r="673" spans="2:24" x14ac:dyDescent="0.25">
      <c r="B673" s="22"/>
      <c r="C673" s="21"/>
      <c r="W673" s="22"/>
      <c r="X673" s="22"/>
    </row>
    <row r="674" spans="2:24" x14ac:dyDescent="0.25">
      <c r="B674" s="22"/>
      <c r="C674" s="21"/>
      <c r="W674" s="22"/>
      <c r="X674" s="22"/>
    </row>
    <row r="675" spans="2:24" x14ac:dyDescent="0.25">
      <c r="B675" s="22"/>
      <c r="C675" s="21"/>
      <c r="W675" s="22"/>
      <c r="X675" s="22"/>
    </row>
    <row r="676" spans="2:24" x14ac:dyDescent="0.25">
      <c r="B676" s="22"/>
      <c r="C676" s="21"/>
      <c r="W676" s="22"/>
      <c r="X676" s="22"/>
    </row>
    <row r="677" spans="2:24" x14ac:dyDescent="0.25">
      <c r="B677" s="22"/>
      <c r="C677" s="21"/>
      <c r="W677" s="22"/>
      <c r="X677" s="22"/>
    </row>
    <row r="678" spans="2:24" x14ac:dyDescent="0.25">
      <c r="B678" s="22"/>
      <c r="C678" s="21"/>
      <c r="W678" s="22"/>
      <c r="X678" s="22"/>
    </row>
    <row r="679" spans="2:24" x14ac:dyDescent="0.25">
      <c r="B679" s="22"/>
      <c r="C679" s="21"/>
      <c r="W679" s="22"/>
      <c r="X679" s="22"/>
    </row>
    <row r="680" spans="2:24" x14ac:dyDescent="0.25">
      <c r="B680" s="22"/>
      <c r="C680" s="21"/>
      <c r="W680" s="22"/>
      <c r="X680" s="22"/>
    </row>
    <row r="681" spans="2:24" x14ac:dyDescent="0.25">
      <c r="B681" s="22"/>
      <c r="C681" s="21"/>
      <c r="W681" s="22"/>
      <c r="X681" s="22"/>
    </row>
    <row r="682" spans="2:24" x14ac:dyDescent="0.25">
      <c r="B682" s="22"/>
      <c r="C682" s="21"/>
      <c r="W682" s="22"/>
      <c r="X682" s="22"/>
    </row>
    <row r="683" spans="2:24" x14ac:dyDescent="0.25">
      <c r="B683" s="22"/>
      <c r="C683" s="21"/>
      <c r="W683" s="22"/>
      <c r="X683" s="22"/>
    </row>
    <row r="684" spans="2:24" x14ac:dyDescent="0.25">
      <c r="B684" s="22"/>
      <c r="C684" s="21"/>
      <c r="W684" s="22"/>
      <c r="X684" s="22"/>
    </row>
    <row r="685" spans="2:24" x14ac:dyDescent="0.25">
      <c r="B685" s="22"/>
      <c r="C685" s="21"/>
      <c r="W685" s="22"/>
      <c r="X685" s="22"/>
    </row>
    <row r="686" spans="2:24" x14ac:dyDescent="0.25">
      <c r="B686" s="22"/>
      <c r="C686" s="21"/>
      <c r="W686" s="22"/>
      <c r="X686" s="22"/>
    </row>
    <row r="687" spans="2:24" x14ac:dyDescent="0.25">
      <c r="B687" s="22"/>
      <c r="C687" s="21"/>
      <c r="W687" s="22"/>
      <c r="X687" s="22"/>
    </row>
    <row r="688" spans="2:24" x14ac:dyDescent="0.25">
      <c r="B688" s="22"/>
      <c r="C688" s="21"/>
      <c r="W688" s="22"/>
      <c r="X688" s="22"/>
    </row>
    <row r="689" spans="2:24" x14ac:dyDescent="0.25">
      <c r="B689" s="22"/>
      <c r="C689" s="21"/>
      <c r="W689" s="22"/>
      <c r="X689" s="22"/>
    </row>
    <row r="690" spans="2:24" x14ac:dyDescent="0.25">
      <c r="B690" s="22"/>
      <c r="C690" s="21"/>
      <c r="W690" s="22"/>
      <c r="X690" s="22"/>
    </row>
    <row r="691" spans="2:24" x14ac:dyDescent="0.25">
      <c r="B691" s="22"/>
      <c r="C691" s="21"/>
      <c r="W691" s="22"/>
      <c r="X691" s="22"/>
    </row>
    <row r="692" spans="2:24" x14ac:dyDescent="0.25">
      <c r="B692" s="22"/>
      <c r="C692" s="21"/>
      <c r="W692" s="22"/>
      <c r="X692" s="22"/>
    </row>
    <row r="693" spans="2:24" x14ac:dyDescent="0.25">
      <c r="B693" s="22"/>
      <c r="C693" s="21"/>
      <c r="W693" s="22"/>
      <c r="X693" s="22"/>
    </row>
    <row r="694" spans="2:24" x14ac:dyDescent="0.25">
      <c r="B694" s="22"/>
      <c r="C694" s="21"/>
      <c r="W694" s="22"/>
      <c r="X694" s="22"/>
    </row>
    <row r="695" spans="2:24" x14ac:dyDescent="0.25">
      <c r="B695" s="22"/>
      <c r="C695" s="21"/>
      <c r="W695" s="22"/>
      <c r="X695" s="22"/>
    </row>
    <row r="696" spans="2:24" x14ac:dyDescent="0.25">
      <c r="B696" s="22"/>
      <c r="C696" s="21"/>
      <c r="W696" s="22"/>
      <c r="X696" s="22"/>
    </row>
    <row r="697" spans="2:24" x14ac:dyDescent="0.25">
      <c r="B697" s="22"/>
      <c r="C697" s="21"/>
      <c r="W697" s="22"/>
      <c r="X697" s="22"/>
    </row>
    <row r="698" spans="2:24" x14ac:dyDescent="0.25">
      <c r="B698" s="22"/>
      <c r="C698" s="21"/>
      <c r="W698" s="22"/>
      <c r="X698" s="22"/>
    </row>
    <row r="699" spans="2:24" x14ac:dyDescent="0.25">
      <c r="B699" s="22"/>
      <c r="C699" s="21"/>
      <c r="W699" s="22"/>
      <c r="X699" s="22"/>
    </row>
    <row r="700" spans="2:24" x14ac:dyDescent="0.25">
      <c r="B700" s="22"/>
      <c r="C700" s="21"/>
      <c r="W700" s="22"/>
      <c r="X700" s="22"/>
    </row>
    <row r="701" spans="2:24" x14ac:dyDescent="0.25">
      <c r="B701" s="22"/>
      <c r="C701" s="21"/>
      <c r="W701" s="22"/>
      <c r="X701" s="22"/>
    </row>
    <row r="702" spans="2:24" x14ac:dyDescent="0.25">
      <c r="B702" s="22"/>
      <c r="C702" s="21"/>
      <c r="W702" s="22"/>
      <c r="X702" s="22"/>
    </row>
    <row r="703" spans="2:24" x14ac:dyDescent="0.25">
      <c r="B703" s="22"/>
      <c r="C703" s="21"/>
      <c r="W703" s="22"/>
      <c r="X703" s="22"/>
    </row>
    <row r="704" spans="2:24" x14ac:dyDescent="0.25">
      <c r="B704" s="22"/>
      <c r="C704" s="21"/>
      <c r="W704" s="22"/>
      <c r="X704" s="22"/>
    </row>
    <row r="705" spans="2:24" x14ac:dyDescent="0.25">
      <c r="B705" s="22"/>
      <c r="C705" s="21"/>
      <c r="W705" s="22"/>
      <c r="X705" s="22"/>
    </row>
    <row r="706" spans="2:24" x14ac:dyDescent="0.25">
      <c r="B706" s="22"/>
      <c r="C706" s="21"/>
      <c r="W706" s="22"/>
      <c r="X706" s="22"/>
    </row>
    <row r="707" spans="2:24" x14ac:dyDescent="0.25">
      <c r="B707" s="22"/>
      <c r="C707" s="21"/>
      <c r="W707" s="22"/>
      <c r="X707" s="22"/>
    </row>
    <row r="708" spans="2:24" x14ac:dyDescent="0.25">
      <c r="B708" s="22"/>
      <c r="C708" s="21"/>
      <c r="W708" s="22"/>
      <c r="X708" s="22"/>
    </row>
    <row r="709" spans="2:24" x14ac:dyDescent="0.25">
      <c r="B709" s="22"/>
      <c r="C709" s="21"/>
      <c r="W709" s="22"/>
      <c r="X709" s="22"/>
    </row>
    <row r="710" spans="2:24" x14ac:dyDescent="0.25">
      <c r="B710" s="22"/>
      <c r="C710" s="21"/>
      <c r="W710" s="22"/>
      <c r="X710" s="22"/>
    </row>
    <row r="711" spans="2:24" x14ac:dyDescent="0.25">
      <c r="B711" s="22"/>
      <c r="C711" s="21"/>
      <c r="W711" s="22"/>
      <c r="X711" s="22"/>
    </row>
    <row r="712" spans="2:24" x14ac:dyDescent="0.25">
      <c r="B712" s="22"/>
      <c r="C712" s="21"/>
      <c r="W712" s="22"/>
      <c r="X712" s="22"/>
    </row>
    <row r="713" spans="2:24" x14ac:dyDescent="0.25">
      <c r="B713" s="22"/>
      <c r="C713" s="21"/>
      <c r="W713" s="22"/>
      <c r="X713" s="22"/>
    </row>
    <row r="714" spans="2:24" x14ac:dyDescent="0.25">
      <c r="B714" s="22"/>
      <c r="C714" s="21"/>
      <c r="W714" s="22"/>
      <c r="X714" s="22"/>
    </row>
    <row r="715" spans="2:24" x14ac:dyDescent="0.25">
      <c r="B715" s="22"/>
      <c r="C715" s="21"/>
      <c r="W715" s="22"/>
      <c r="X715" s="22"/>
    </row>
    <row r="716" spans="2:24" x14ac:dyDescent="0.25">
      <c r="B716" s="22"/>
      <c r="C716" s="21"/>
      <c r="W716" s="22"/>
      <c r="X716" s="22"/>
    </row>
    <row r="717" spans="2:24" x14ac:dyDescent="0.25">
      <c r="B717" s="22"/>
      <c r="C717" s="21"/>
      <c r="W717" s="22"/>
      <c r="X717" s="22"/>
    </row>
    <row r="718" spans="2:24" x14ac:dyDescent="0.25">
      <c r="B718" s="22"/>
      <c r="C718" s="21"/>
      <c r="W718" s="22"/>
      <c r="X718" s="22"/>
    </row>
    <row r="719" spans="2:24" x14ac:dyDescent="0.25">
      <c r="B719" s="22"/>
      <c r="C719" s="21"/>
      <c r="W719" s="22"/>
      <c r="X719" s="22"/>
    </row>
    <row r="720" spans="2:24" x14ac:dyDescent="0.25">
      <c r="B720" s="22"/>
      <c r="C720" s="21"/>
      <c r="W720" s="22"/>
      <c r="X720" s="22"/>
    </row>
    <row r="721" spans="2:24" x14ac:dyDescent="0.25">
      <c r="B721" s="22"/>
      <c r="C721" s="21"/>
      <c r="W721" s="22"/>
      <c r="X721" s="22"/>
    </row>
    <row r="722" spans="2:24" x14ac:dyDescent="0.25">
      <c r="B722" s="22"/>
      <c r="C722" s="21"/>
      <c r="W722" s="22"/>
      <c r="X722" s="22"/>
    </row>
    <row r="723" spans="2:24" x14ac:dyDescent="0.25">
      <c r="B723" s="22"/>
      <c r="C723" s="21"/>
      <c r="W723" s="22"/>
      <c r="X723" s="22"/>
    </row>
    <row r="724" spans="2:24" x14ac:dyDescent="0.25">
      <c r="B724" s="22"/>
      <c r="C724" s="21"/>
      <c r="W724" s="22"/>
      <c r="X724" s="22"/>
    </row>
    <row r="725" spans="2:24" x14ac:dyDescent="0.25">
      <c r="B725" s="22"/>
      <c r="C725" s="21"/>
      <c r="W725" s="22"/>
      <c r="X725" s="22"/>
    </row>
    <row r="726" spans="2:24" x14ac:dyDescent="0.25">
      <c r="B726" s="22"/>
      <c r="C726" s="21"/>
      <c r="W726" s="22"/>
      <c r="X726" s="22"/>
    </row>
    <row r="727" spans="2:24" x14ac:dyDescent="0.25">
      <c r="B727" s="22"/>
      <c r="C727" s="21"/>
      <c r="W727" s="22"/>
      <c r="X727" s="22"/>
    </row>
    <row r="728" spans="2:24" x14ac:dyDescent="0.25">
      <c r="B728" s="22"/>
      <c r="C728" s="21"/>
      <c r="W728" s="22"/>
      <c r="X728" s="22"/>
    </row>
    <row r="729" spans="2:24" x14ac:dyDescent="0.25">
      <c r="B729" s="22"/>
      <c r="C729" s="21"/>
      <c r="W729" s="22"/>
      <c r="X729" s="22"/>
    </row>
    <row r="730" spans="2:24" x14ac:dyDescent="0.25">
      <c r="B730" s="22"/>
      <c r="C730" s="21"/>
      <c r="W730" s="22"/>
      <c r="X730" s="22"/>
    </row>
    <row r="731" spans="2:24" x14ac:dyDescent="0.25">
      <c r="B731" s="22"/>
      <c r="C731" s="21"/>
      <c r="W731" s="22"/>
      <c r="X731" s="22"/>
    </row>
    <row r="732" spans="2:24" x14ac:dyDescent="0.25">
      <c r="B732" s="22"/>
      <c r="C732" s="21"/>
      <c r="W732" s="22"/>
      <c r="X732" s="22"/>
    </row>
    <row r="733" spans="2:24" x14ac:dyDescent="0.25">
      <c r="B733" s="22"/>
      <c r="C733" s="21"/>
      <c r="W733" s="22"/>
      <c r="X733" s="22"/>
    </row>
    <row r="734" spans="2:24" x14ac:dyDescent="0.25">
      <c r="B734" s="22"/>
      <c r="C734" s="21"/>
      <c r="W734" s="22"/>
      <c r="X734" s="22"/>
    </row>
    <row r="735" spans="2:24" x14ac:dyDescent="0.25">
      <c r="B735" s="22"/>
      <c r="C735" s="21"/>
      <c r="W735" s="22"/>
      <c r="X735" s="22"/>
    </row>
    <row r="736" spans="2:24" x14ac:dyDescent="0.25">
      <c r="B736" s="22"/>
      <c r="C736" s="21"/>
      <c r="W736" s="22"/>
      <c r="X736" s="22"/>
    </row>
    <row r="737" spans="2:24" x14ac:dyDescent="0.25">
      <c r="B737" s="22"/>
      <c r="C737" s="21"/>
      <c r="W737" s="22"/>
      <c r="X737" s="22"/>
    </row>
    <row r="738" spans="2:24" x14ac:dyDescent="0.25">
      <c r="B738" s="22"/>
      <c r="C738" s="21"/>
      <c r="W738" s="22"/>
      <c r="X738" s="22"/>
    </row>
    <row r="739" spans="2:24" x14ac:dyDescent="0.25">
      <c r="B739" s="22"/>
      <c r="C739" s="21"/>
      <c r="W739" s="22"/>
      <c r="X739" s="22"/>
    </row>
    <row r="740" spans="2:24" x14ac:dyDescent="0.25">
      <c r="B740" s="22"/>
      <c r="C740" s="21"/>
      <c r="W740" s="22"/>
      <c r="X740" s="22"/>
    </row>
    <row r="741" spans="2:24" x14ac:dyDescent="0.25">
      <c r="B741" s="22"/>
      <c r="C741" s="21"/>
      <c r="W741" s="22"/>
      <c r="X741" s="22"/>
    </row>
    <row r="742" spans="2:24" x14ac:dyDescent="0.25">
      <c r="B742" s="22"/>
      <c r="C742" s="21"/>
      <c r="W742" s="22"/>
      <c r="X742" s="22"/>
    </row>
    <row r="743" spans="2:24" x14ac:dyDescent="0.25">
      <c r="B743" s="22"/>
      <c r="C743" s="21"/>
      <c r="W743" s="22"/>
      <c r="X743" s="22"/>
    </row>
    <row r="744" spans="2:24" x14ac:dyDescent="0.25">
      <c r="B744" s="22"/>
      <c r="C744" s="21"/>
      <c r="W744" s="22"/>
      <c r="X744" s="22"/>
    </row>
    <row r="745" spans="2:24" x14ac:dyDescent="0.25">
      <c r="B745" s="22"/>
      <c r="C745" s="21"/>
      <c r="W745" s="22"/>
      <c r="X745" s="22"/>
    </row>
    <row r="746" spans="2:24" x14ac:dyDescent="0.25">
      <c r="B746" s="22"/>
      <c r="C746" s="21"/>
      <c r="W746" s="22"/>
      <c r="X746" s="22"/>
    </row>
    <row r="747" spans="2:24" x14ac:dyDescent="0.25">
      <c r="B747" s="22"/>
      <c r="C747" s="21"/>
      <c r="W747" s="22"/>
      <c r="X747" s="22"/>
    </row>
    <row r="748" spans="2:24" x14ac:dyDescent="0.25">
      <c r="B748" s="22"/>
      <c r="C748" s="21"/>
      <c r="W748" s="22"/>
      <c r="X748" s="22"/>
    </row>
    <row r="749" spans="2:24" x14ac:dyDescent="0.25">
      <c r="B749" s="22"/>
      <c r="C749" s="21"/>
      <c r="W749" s="22"/>
      <c r="X749" s="22"/>
    </row>
    <row r="750" spans="2:24" x14ac:dyDescent="0.25">
      <c r="B750" s="22"/>
      <c r="C750" s="21"/>
      <c r="W750" s="22"/>
      <c r="X750" s="22"/>
    </row>
    <row r="751" spans="2:24" x14ac:dyDescent="0.25">
      <c r="B751" s="22"/>
      <c r="C751" s="21"/>
      <c r="W751" s="22"/>
      <c r="X751" s="22"/>
    </row>
    <row r="752" spans="2:24" x14ac:dyDescent="0.25">
      <c r="B752" s="22"/>
      <c r="C752" s="21"/>
      <c r="W752" s="22"/>
      <c r="X752" s="22"/>
    </row>
    <row r="753" spans="2:24" x14ac:dyDescent="0.25">
      <c r="B753" s="22"/>
      <c r="C753" s="21"/>
      <c r="W753" s="22"/>
      <c r="X753" s="22"/>
    </row>
    <row r="754" spans="2:24" x14ac:dyDescent="0.25">
      <c r="B754" s="22"/>
      <c r="C754" s="21"/>
      <c r="W754" s="22"/>
      <c r="X754" s="22"/>
    </row>
    <row r="755" spans="2:24" x14ac:dyDescent="0.25">
      <c r="B755" s="22"/>
      <c r="C755" s="21"/>
      <c r="W755" s="22"/>
      <c r="X755" s="22"/>
    </row>
    <row r="756" spans="2:24" x14ac:dyDescent="0.25">
      <c r="B756" s="22"/>
      <c r="C756" s="21"/>
      <c r="W756" s="22"/>
      <c r="X756" s="22"/>
    </row>
    <row r="757" spans="2:24" x14ac:dyDescent="0.25">
      <c r="B757" s="22"/>
      <c r="C757" s="21"/>
      <c r="W757" s="22"/>
      <c r="X757" s="22"/>
    </row>
    <row r="758" spans="2:24" x14ac:dyDescent="0.25">
      <c r="B758" s="22"/>
      <c r="C758" s="21"/>
      <c r="W758" s="22"/>
      <c r="X758" s="22"/>
    </row>
    <row r="759" spans="2:24" x14ac:dyDescent="0.25">
      <c r="B759" s="22"/>
      <c r="C759" s="21"/>
      <c r="W759" s="22"/>
      <c r="X759" s="22"/>
    </row>
    <row r="760" spans="2:24" x14ac:dyDescent="0.25">
      <c r="B760" s="22"/>
      <c r="C760" s="21"/>
      <c r="W760" s="22"/>
      <c r="X760" s="22"/>
    </row>
    <row r="761" spans="2:24" x14ac:dyDescent="0.25">
      <c r="B761" s="22"/>
      <c r="C761" s="21"/>
      <c r="W761" s="22"/>
      <c r="X761" s="22"/>
    </row>
    <row r="762" spans="2:24" x14ac:dyDescent="0.25">
      <c r="B762" s="22"/>
      <c r="C762" s="21"/>
      <c r="W762" s="22"/>
      <c r="X762" s="22"/>
    </row>
    <row r="763" spans="2:24" x14ac:dyDescent="0.25">
      <c r="B763" s="22"/>
      <c r="C763" s="21"/>
      <c r="W763" s="22"/>
      <c r="X763" s="22"/>
    </row>
    <row r="764" spans="2:24" x14ac:dyDescent="0.25">
      <c r="B764" s="22"/>
      <c r="C764" s="21"/>
      <c r="W764" s="22"/>
      <c r="X764" s="22"/>
    </row>
    <row r="765" spans="2:24" x14ac:dyDescent="0.25">
      <c r="B765" s="22"/>
      <c r="C765" s="21"/>
      <c r="W765" s="22"/>
      <c r="X765" s="22"/>
    </row>
    <row r="766" spans="2:24" x14ac:dyDescent="0.25">
      <c r="B766" s="22"/>
      <c r="C766" s="21"/>
      <c r="W766" s="22"/>
      <c r="X766" s="22"/>
    </row>
    <row r="767" spans="2:24" x14ac:dyDescent="0.25">
      <c r="B767" s="22"/>
      <c r="C767" s="21"/>
      <c r="W767" s="22"/>
      <c r="X767" s="22"/>
    </row>
    <row r="768" spans="2:24" x14ac:dyDescent="0.25">
      <c r="B768" s="22"/>
      <c r="C768" s="21"/>
      <c r="W768" s="22"/>
      <c r="X768" s="22"/>
    </row>
    <row r="769" spans="2:24" x14ac:dyDescent="0.25">
      <c r="B769" s="22"/>
      <c r="C769" s="21"/>
      <c r="W769" s="22"/>
      <c r="X769" s="22"/>
    </row>
    <row r="770" spans="2:24" x14ac:dyDescent="0.25">
      <c r="B770" s="22"/>
      <c r="C770" s="21"/>
      <c r="W770" s="22"/>
      <c r="X770" s="22"/>
    </row>
    <row r="771" spans="2:24" x14ac:dyDescent="0.25">
      <c r="B771" s="22"/>
      <c r="C771" s="21"/>
      <c r="W771" s="22"/>
      <c r="X771" s="22"/>
    </row>
    <row r="772" spans="2:24" x14ac:dyDescent="0.25">
      <c r="B772" s="22"/>
      <c r="C772" s="21"/>
      <c r="W772" s="22"/>
      <c r="X772" s="22"/>
    </row>
    <row r="773" spans="2:24" x14ac:dyDescent="0.25">
      <c r="B773" s="22"/>
      <c r="C773" s="21"/>
      <c r="W773" s="22"/>
      <c r="X773" s="22"/>
    </row>
    <row r="774" spans="2:24" x14ac:dyDescent="0.25">
      <c r="B774" s="22"/>
      <c r="C774" s="21"/>
      <c r="W774" s="22"/>
      <c r="X774" s="22"/>
    </row>
    <row r="775" spans="2:24" x14ac:dyDescent="0.25">
      <c r="B775" s="22"/>
      <c r="C775" s="21"/>
      <c r="W775" s="22"/>
      <c r="X775" s="22"/>
    </row>
    <row r="776" spans="2:24" x14ac:dyDescent="0.25">
      <c r="B776" s="22"/>
      <c r="C776" s="21"/>
      <c r="W776" s="22"/>
      <c r="X776" s="22"/>
    </row>
    <row r="777" spans="2:24" x14ac:dyDescent="0.25">
      <c r="B777" s="22"/>
      <c r="C777" s="21"/>
      <c r="W777" s="22"/>
      <c r="X777" s="22"/>
    </row>
    <row r="778" spans="2:24" x14ac:dyDescent="0.25">
      <c r="B778" s="22"/>
      <c r="C778" s="21"/>
      <c r="W778" s="22"/>
      <c r="X778" s="22"/>
    </row>
    <row r="779" spans="2:24" x14ac:dyDescent="0.25">
      <c r="B779" s="22"/>
      <c r="C779" s="21"/>
      <c r="W779" s="22"/>
      <c r="X779" s="22"/>
    </row>
    <row r="780" spans="2:24" x14ac:dyDescent="0.25">
      <c r="B780" s="22"/>
      <c r="C780" s="21"/>
      <c r="W780" s="22"/>
      <c r="X780" s="22"/>
    </row>
    <row r="781" spans="2:24" x14ac:dyDescent="0.25">
      <c r="B781" s="22"/>
      <c r="C781" s="21"/>
      <c r="W781" s="22"/>
      <c r="X781" s="22"/>
    </row>
    <row r="782" spans="2:24" x14ac:dyDescent="0.25">
      <c r="B782" s="22"/>
      <c r="C782" s="21"/>
      <c r="W782" s="22"/>
      <c r="X782" s="22"/>
    </row>
    <row r="783" spans="2:24" x14ac:dyDescent="0.25">
      <c r="B783" s="22"/>
      <c r="C783" s="21"/>
      <c r="W783" s="22"/>
      <c r="X783" s="22"/>
    </row>
    <row r="784" spans="2:24" x14ac:dyDescent="0.25">
      <c r="B784" s="22"/>
      <c r="C784" s="21"/>
      <c r="W784" s="22"/>
      <c r="X784" s="22"/>
    </row>
    <row r="785" spans="2:24" x14ac:dyDescent="0.25">
      <c r="B785" s="22"/>
      <c r="C785" s="21"/>
      <c r="W785" s="22"/>
      <c r="X785" s="22"/>
    </row>
    <row r="786" spans="2:24" x14ac:dyDescent="0.25">
      <c r="B786" s="22"/>
      <c r="C786" s="21"/>
      <c r="W786" s="22"/>
      <c r="X786" s="22"/>
    </row>
    <row r="787" spans="2:24" x14ac:dyDescent="0.25">
      <c r="B787" s="22"/>
      <c r="C787" s="21"/>
      <c r="W787" s="22"/>
      <c r="X787" s="22"/>
    </row>
    <row r="788" spans="2:24" x14ac:dyDescent="0.25">
      <c r="B788" s="22"/>
      <c r="C788" s="21"/>
      <c r="W788" s="22"/>
      <c r="X788" s="22"/>
    </row>
    <row r="789" spans="2:24" x14ac:dyDescent="0.25">
      <c r="B789" s="22"/>
      <c r="C789" s="21"/>
      <c r="W789" s="22"/>
      <c r="X789" s="22"/>
    </row>
    <row r="790" spans="2:24" x14ac:dyDescent="0.25">
      <c r="B790" s="22"/>
      <c r="C790" s="21"/>
      <c r="W790" s="22"/>
      <c r="X790" s="22"/>
    </row>
    <row r="791" spans="2:24" x14ac:dyDescent="0.25">
      <c r="B791" s="22"/>
      <c r="C791" s="21"/>
      <c r="W791" s="22"/>
      <c r="X791" s="22"/>
    </row>
    <row r="792" spans="2:24" x14ac:dyDescent="0.25">
      <c r="B792" s="22"/>
      <c r="C792" s="21"/>
      <c r="W792" s="22"/>
      <c r="X792" s="22"/>
    </row>
    <row r="793" spans="2:24" x14ac:dyDescent="0.25">
      <c r="B793" s="22"/>
      <c r="C793" s="21"/>
      <c r="W793" s="22"/>
      <c r="X793" s="22"/>
    </row>
    <row r="794" spans="2:24" x14ac:dyDescent="0.25">
      <c r="B794" s="22"/>
      <c r="C794" s="21"/>
      <c r="W794" s="22"/>
      <c r="X794" s="22"/>
    </row>
    <row r="795" spans="2:24" x14ac:dyDescent="0.25">
      <c r="B795" s="22"/>
      <c r="C795" s="21"/>
      <c r="W795" s="22"/>
      <c r="X795" s="22"/>
    </row>
    <row r="796" spans="2:24" x14ac:dyDescent="0.25">
      <c r="B796" s="22"/>
      <c r="C796" s="21"/>
      <c r="W796" s="22"/>
      <c r="X796" s="22"/>
    </row>
    <row r="797" spans="2:24" x14ac:dyDescent="0.25">
      <c r="B797" s="22"/>
      <c r="C797" s="21"/>
      <c r="W797" s="22"/>
      <c r="X797" s="22"/>
    </row>
    <row r="798" spans="2:24" x14ac:dyDescent="0.25">
      <c r="B798" s="22"/>
      <c r="C798" s="21"/>
      <c r="W798" s="22"/>
      <c r="X798" s="22"/>
    </row>
    <row r="799" spans="2:24" x14ac:dyDescent="0.25">
      <c r="B799" s="22"/>
      <c r="C799" s="21"/>
      <c r="W799" s="22"/>
      <c r="X799" s="22"/>
    </row>
    <row r="800" spans="2:24" x14ac:dyDescent="0.25">
      <c r="B800" s="22"/>
      <c r="C800" s="21"/>
      <c r="W800" s="22"/>
      <c r="X800" s="22"/>
    </row>
    <row r="801" spans="2:24" x14ac:dyDescent="0.25">
      <c r="B801" s="22"/>
      <c r="C801" s="21"/>
      <c r="W801" s="22"/>
      <c r="X801" s="22"/>
    </row>
    <row r="802" spans="2:24" x14ac:dyDescent="0.25">
      <c r="B802" s="22"/>
      <c r="C802" s="21"/>
      <c r="W802" s="22"/>
      <c r="X802" s="22"/>
    </row>
    <row r="803" spans="2:24" x14ac:dyDescent="0.25">
      <c r="B803" s="22"/>
      <c r="C803" s="21"/>
      <c r="W803" s="22"/>
      <c r="X803" s="22"/>
    </row>
    <row r="804" spans="2:24" x14ac:dyDescent="0.25">
      <c r="B804" s="22"/>
      <c r="C804" s="21"/>
      <c r="W804" s="22"/>
      <c r="X804" s="22"/>
    </row>
    <row r="805" spans="2:24" x14ac:dyDescent="0.25">
      <c r="B805" s="22"/>
      <c r="C805" s="21"/>
      <c r="W805" s="22"/>
      <c r="X805" s="22"/>
    </row>
    <row r="806" spans="2:24" x14ac:dyDescent="0.25">
      <c r="B806" s="22"/>
      <c r="C806" s="21"/>
      <c r="W806" s="22"/>
      <c r="X806" s="22"/>
    </row>
    <row r="807" spans="2:24" x14ac:dyDescent="0.25">
      <c r="B807" s="22"/>
      <c r="C807" s="21"/>
      <c r="W807" s="22"/>
      <c r="X807" s="22"/>
    </row>
    <row r="808" spans="2:24" x14ac:dyDescent="0.25">
      <c r="B808" s="22"/>
      <c r="C808" s="21"/>
      <c r="W808" s="22"/>
      <c r="X808" s="22"/>
    </row>
    <row r="809" spans="2:24" x14ac:dyDescent="0.25">
      <c r="B809" s="22"/>
      <c r="C809" s="21"/>
      <c r="W809" s="22"/>
      <c r="X809" s="22"/>
    </row>
    <row r="810" spans="2:24" x14ac:dyDescent="0.25">
      <c r="B810" s="22"/>
      <c r="C810" s="21"/>
      <c r="W810" s="22"/>
      <c r="X810" s="22"/>
    </row>
    <row r="811" spans="2:24" x14ac:dyDescent="0.25">
      <c r="B811" s="22"/>
      <c r="C811" s="21"/>
      <c r="W811" s="22"/>
      <c r="X811" s="22"/>
    </row>
    <row r="812" spans="2:24" x14ac:dyDescent="0.25">
      <c r="B812" s="22"/>
      <c r="C812" s="21"/>
      <c r="W812" s="22"/>
      <c r="X812" s="22"/>
    </row>
    <row r="813" spans="2:24" x14ac:dyDescent="0.25">
      <c r="B813" s="22"/>
      <c r="C813" s="21"/>
      <c r="W813" s="22"/>
      <c r="X813" s="22"/>
    </row>
    <row r="814" spans="2:24" x14ac:dyDescent="0.25">
      <c r="B814" s="22"/>
      <c r="C814" s="21"/>
      <c r="W814" s="22"/>
      <c r="X814" s="22"/>
    </row>
    <row r="815" spans="2:24" x14ac:dyDescent="0.25">
      <c r="B815" s="22"/>
      <c r="C815" s="21"/>
      <c r="W815" s="22"/>
      <c r="X815" s="22"/>
    </row>
    <row r="816" spans="2:24" x14ac:dyDescent="0.25">
      <c r="B816" s="22"/>
      <c r="C816" s="21"/>
      <c r="W816" s="22"/>
      <c r="X816" s="22"/>
    </row>
    <row r="817" spans="2:24" x14ac:dyDescent="0.25">
      <c r="B817" s="22"/>
      <c r="C817" s="21"/>
      <c r="W817" s="22"/>
      <c r="X817" s="22"/>
    </row>
    <row r="818" spans="2:24" x14ac:dyDescent="0.25">
      <c r="B818" s="22"/>
      <c r="C818" s="21"/>
      <c r="W818" s="22"/>
      <c r="X818" s="22"/>
    </row>
    <row r="819" spans="2:24" x14ac:dyDescent="0.25">
      <c r="B819" s="22"/>
      <c r="C819" s="21"/>
      <c r="W819" s="22"/>
      <c r="X819" s="22"/>
    </row>
    <row r="820" spans="2:24" x14ac:dyDescent="0.25">
      <c r="B820" s="22"/>
      <c r="C820" s="21"/>
      <c r="W820" s="22"/>
      <c r="X820" s="22"/>
    </row>
    <row r="821" spans="2:24" x14ac:dyDescent="0.25">
      <c r="B821" s="22"/>
      <c r="C821" s="21"/>
      <c r="W821" s="22"/>
      <c r="X821" s="22"/>
    </row>
    <row r="822" spans="2:24" x14ac:dyDescent="0.25">
      <c r="B822" s="22"/>
      <c r="C822" s="21"/>
      <c r="W822" s="22"/>
      <c r="X822" s="22"/>
    </row>
    <row r="823" spans="2:24" x14ac:dyDescent="0.25">
      <c r="B823" s="22"/>
      <c r="C823" s="21"/>
      <c r="W823" s="22"/>
      <c r="X823" s="22"/>
    </row>
    <row r="824" spans="2:24" x14ac:dyDescent="0.25">
      <c r="B824" s="22"/>
      <c r="C824" s="21"/>
      <c r="W824" s="22"/>
      <c r="X824" s="22"/>
    </row>
    <row r="825" spans="2:24" x14ac:dyDescent="0.25">
      <c r="B825" s="22"/>
      <c r="C825" s="21"/>
      <c r="W825" s="22"/>
      <c r="X825" s="22"/>
    </row>
    <row r="826" spans="2:24" x14ac:dyDescent="0.25">
      <c r="B826" s="22"/>
      <c r="C826" s="21"/>
      <c r="W826" s="22"/>
      <c r="X826" s="22"/>
    </row>
    <row r="827" spans="2:24" x14ac:dyDescent="0.25">
      <c r="B827" s="22"/>
      <c r="C827" s="21"/>
      <c r="W827" s="22"/>
      <c r="X827" s="22"/>
    </row>
    <row r="828" spans="2:24" x14ac:dyDescent="0.25">
      <c r="B828" s="22"/>
      <c r="C828" s="21"/>
      <c r="W828" s="22"/>
      <c r="X828" s="22"/>
    </row>
    <row r="829" spans="2:24" x14ac:dyDescent="0.25">
      <c r="B829" s="22"/>
      <c r="C829" s="21"/>
      <c r="W829" s="22"/>
      <c r="X829" s="22"/>
    </row>
    <row r="830" spans="2:24" x14ac:dyDescent="0.25">
      <c r="B830" s="22"/>
      <c r="C830" s="21"/>
      <c r="W830" s="22"/>
      <c r="X830" s="22"/>
    </row>
    <row r="831" spans="2:24" x14ac:dyDescent="0.25">
      <c r="B831" s="22"/>
      <c r="C831" s="21"/>
      <c r="W831" s="22"/>
      <c r="X831" s="22"/>
    </row>
    <row r="832" spans="2:24" x14ac:dyDescent="0.25">
      <c r="B832" s="22"/>
      <c r="C832" s="21"/>
      <c r="W832" s="22"/>
      <c r="X832" s="22"/>
    </row>
    <row r="833" spans="2:24" x14ac:dyDescent="0.25">
      <c r="B833" s="22"/>
      <c r="C833" s="21"/>
      <c r="W833" s="22"/>
      <c r="X833" s="22"/>
    </row>
    <row r="834" spans="2:24" x14ac:dyDescent="0.25">
      <c r="B834" s="22"/>
      <c r="C834" s="21"/>
      <c r="W834" s="22"/>
      <c r="X834" s="22"/>
    </row>
    <row r="835" spans="2:24" x14ac:dyDescent="0.25">
      <c r="B835" s="22"/>
      <c r="C835" s="21"/>
      <c r="W835" s="22"/>
      <c r="X835" s="22"/>
    </row>
    <row r="836" spans="2:24" x14ac:dyDescent="0.25">
      <c r="B836" s="22"/>
      <c r="C836" s="21"/>
      <c r="W836" s="22"/>
      <c r="X836" s="22"/>
    </row>
    <row r="837" spans="2:24" x14ac:dyDescent="0.25">
      <c r="B837" s="22"/>
      <c r="C837" s="21"/>
      <c r="W837" s="22"/>
      <c r="X837" s="22"/>
    </row>
    <row r="838" spans="2:24" x14ac:dyDescent="0.25">
      <c r="B838" s="22"/>
      <c r="C838" s="21"/>
      <c r="W838" s="22"/>
      <c r="X838" s="22"/>
    </row>
    <row r="839" spans="2:24" x14ac:dyDescent="0.25">
      <c r="B839" s="22"/>
      <c r="C839" s="21"/>
      <c r="W839" s="22"/>
      <c r="X839" s="22"/>
    </row>
    <row r="840" spans="2:24" x14ac:dyDescent="0.25">
      <c r="B840" s="22"/>
      <c r="C840" s="21"/>
      <c r="W840" s="22"/>
      <c r="X840" s="22"/>
    </row>
    <row r="841" spans="2:24" x14ac:dyDescent="0.25">
      <c r="B841" s="22"/>
      <c r="C841" s="21"/>
      <c r="W841" s="22"/>
      <c r="X841" s="22"/>
    </row>
    <row r="842" spans="2:24" x14ac:dyDescent="0.25">
      <c r="B842" s="22"/>
      <c r="C842" s="21"/>
      <c r="W842" s="22"/>
      <c r="X842" s="22"/>
    </row>
    <row r="843" spans="2:24" x14ac:dyDescent="0.25">
      <c r="B843" s="22"/>
      <c r="C843" s="21"/>
      <c r="W843" s="22"/>
      <c r="X843" s="22"/>
    </row>
    <row r="844" spans="2:24" x14ac:dyDescent="0.25">
      <c r="B844" s="22"/>
      <c r="C844" s="21"/>
      <c r="W844" s="22"/>
      <c r="X844" s="22"/>
    </row>
    <row r="845" spans="2:24" x14ac:dyDescent="0.25">
      <c r="B845" s="22"/>
      <c r="C845" s="21"/>
      <c r="W845" s="22"/>
      <c r="X845" s="22"/>
    </row>
    <row r="846" spans="2:24" x14ac:dyDescent="0.25">
      <c r="B846" s="22"/>
      <c r="C846" s="21"/>
      <c r="W846" s="22"/>
      <c r="X846" s="22"/>
    </row>
    <row r="847" spans="2:24" x14ac:dyDescent="0.25">
      <c r="B847" s="22"/>
      <c r="C847" s="21"/>
      <c r="W847" s="22"/>
      <c r="X847" s="22"/>
    </row>
    <row r="848" spans="2:24" x14ac:dyDescent="0.25">
      <c r="B848" s="22"/>
      <c r="C848" s="21"/>
      <c r="W848" s="22"/>
      <c r="X848" s="22"/>
    </row>
    <row r="849" spans="2:24" x14ac:dyDescent="0.25">
      <c r="B849" s="22"/>
      <c r="C849" s="21"/>
      <c r="W849" s="22"/>
      <c r="X849" s="22"/>
    </row>
    <row r="850" spans="2:24" x14ac:dyDescent="0.25">
      <c r="B850" s="22"/>
      <c r="C850" s="21"/>
      <c r="W850" s="22"/>
      <c r="X850" s="22"/>
    </row>
    <row r="851" spans="2:24" x14ac:dyDescent="0.25">
      <c r="B851" s="22"/>
      <c r="C851" s="21"/>
      <c r="W851" s="22"/>
      <c r="X851" s="22"/>
    </row>
    <row r="852" spans="2:24" x14ac:dyDescent="0.25">
      <c r="B852" s="22"/>
      <c r="C852" s="21"/>
      <c r="W852" s="22"/>
      <c r="X852" s="22"/>
    </row>
    <row r="853" spans="2:24" x14ac:dyDescent="0.25">
      <c r="B853" s="22"/>
      <c r="C853" s="21"/>
      <c r="W853" s="22"/>
      <c r="X853" s="22"/>
    </row>
    <row r="854" spans="2:24" x14ac:dyDescent="0.25">
      <c r="B854" s="22"/>
      <c r="C854" s="21"/>
      <c r="W854" s="22"/>
      <c r="X854" s="22"/>
    </row>
    <row r="855" spans="2:24" x14ac:dyDescent="0.25">
      <c r="B855" s="22"/>
      <c r="C855" s="21"/>
      <c r="W855" s="22"/>
      <c r="X855" s="22"/>
    </row>
    <row r="856" spans="2:24" x14ac:dyDescent="0.25">
      <c r="B856" s="22"/>
      <c r="C856" s="21"/>
      <c r="W856" s="22"/>
      <c r="X856" s="22"/>
    </row>
    <row r="857" spans="2:24" x14ac:dyDescent="0.25">
      <c r="B857" s="22"/>
      <c r="C857" s="21"/>
      <c r="W857" s="22"/>
      <c r="X857" s="22"/>
    </row>
    <row r="858" spans="2:24" x14ac:dyDescent="0.25">
      <c r="B858" s="22"/>
      <c r="C858" s="21"/>
      <c r="W858" s="22"/>
      <c r="X858" s="22"/>
    </row>
    <row r="859" spans="2:24" x14ac:dyDescent="0.25">
      <c r="B859" s="22"/>
      <c r="C859" s="21"/>
      <c r="W859" s="22"/>
      <c r="X859" s="22"/>
    </row>
    <row r="860" spans="2:24" x14ac:dyDescent="0.25">
      <c r="B860" s="22"/>
      <c r="C860" s="21"/>
      <c r="W860" s="22"/>
      <c r="X860" s="22"/>
    </row>
    <row r="861" spans="2:24" x14ac:dyDescent="0.25">
      <c r="B861" s="22"/>
      <c r="C861" s="21"/>
      <c r="W861" s="22"/>
      <c r="X861" s="22"/>
    </row>
    <row r="862" spans="2:24" x14ac:dyDescent="0.25">
      <c r="B862" s="22"/>
      <c r="C862" s="21"/>
      <c r="W862" s="22"/>
      <c r="X862" s="22"/>
    </row>
    <row r="863" spans="2:24" x14ac:dyDescent="0.25">
      <c r="B863" s="22"/>
      <c r="C863" s="21"/>
      <c r="W863" s="22"/>
      <c r="X863" s="22"/>
    </row>
    <row r="864" spans="2:24" x14ac:dyDescent="0.25">
      <c r="B864" s="22"/>
      <c r="C864" s="21"/>
      <c r="W864" s="22"/>
      <c r="X864" s="22"/>
    </row>
    <row r="865" spans="2:24" x14ac:dyDescent="0.25">
      <c r="B865" s="22"/>
      <c r="C865" s="21"/>
      <c r="W865" s="22"/>
      <c r="X865" s="22"/>
    </row>
    <row r="866" spans="2:24" x14ac:dyDescent="0.25">
      <c r="B866" s="22"/>
      <c r="C866" s="21"/>
      <c r="W866" s="22"/>
      <c r="X866" s="22"/>
    </row>
    <row r="867" spans="2:24" x14ac:dyDescent="0.25">
      <c r="B867" s="22"/>
      <c r="C867" s="21"/>
      <c r="W867" s="22"/>
      <c r="X867" s="22"/>
    </row>
    <row r="868" spans="2:24" x14ac:dyDescent="0.25">
      <c r="B868" s="22"/>
      <c r="C868" s="21"/>
      <c r="W868" s="22"/>
      <c r="X868" s="22"/>
    </row>
    <row r="869" spans="2:24" x14ac:dyDescent="0.25">
      <c r="B869" s="22"/>
      <c r="C869" s="21"/>
      <c r="W869" s="22"/>
      <c r="X869" s="22"/>
    </row>
    <row r="870" spans="2:24" x14ac:dyDescent="0.25">
      <c r="B870" s="22"/>
      <c r="C870" s="21"/>
      <c r="W870" s="22"/>
      <c r="X870" s="22"/>
    </row>
    <row r="871" spans="2:24" x14ac:dyDescent="0.25">
      <c r="B871" s="22"/>
      <c r="C871" s="21"/>
      <c r="W871" s="22"/>
      <c r="X871" s="22"/>
    </row>
    <row r="872" spans="2:24" x14ac:dyDescent="0.25">
      <c r="B872" s="22"/>
      <c r="C872" s="21"/>
      <c r="W872" s="22"/>
      <c r="X872" s="22"/>
    </row>
    <row r="873" spans="2:24" x14ac:dyDescent="0.25">
      <c r="B873" s="22"/>
      <c r="C873" s="21"/>
      <c r="W873" s="22"/>
      <c r="X873" s="22"/>
    </row>
    <row r="874" spans="2:24" x14ac:dyDescent="0.25">
      <c r="B874" s="22"/>
      <c r="C874" s="21"/>
      <c r="W874" s="22"/>
      <c r="X874" s="22"/>
    </row>
    <row r="875" spans="2:24" x14ac:dyDescent="0.25">
      <c r="B875" s="22"/>
      <c r="C875" s="21"/>
      <c r="W875" s="22"/>
      <c r="X875" s="22"/>
    </row>
    <row r="876" spans="2:24" x14ac:dyDescent="0.25">
      <c r="B876" s="22"/>
      <c r="C876" s="21"/>
      <c r="W876" s="22"/>
      <c r="X876" s="22"/>
    </row>
    <row r="877" spans="2:24" x14ac:dyDescent="0.25">
      <c r="B877" s="22"/>
      <c r="C877" s="21"/>
      <c r="W877" s="22"/>
      <c r="X877" s="22"/>
    </row>
    <row r="878" spans="2:24" x14ac:dyDescent="0.25">
      <c r="B878" s="22"/>
      <c r="C878" s="21"/>
      <c r="W878" s="22"/>
      <c r="X878" s="22"/>
    </row>
    <row r="879" spans="2:24" x14ac:dyDescent="0.25">
      <c r="B879" s="22"/>
      <c r="C879" s="21"/>
      <c r="W879" s="22"/>
      <c r="X879" s="22"/>
    </row>
    <row r="880" spans="2:24" x14ac:dyDescent="0.25">
      <c r="B880" s="22"/>
      <c r="C880" s="21"/>
      <c r="W880" s="22"/>
      <c r="X880" s="22"/>
    </row>
    <row r="881" spans="2:24" x14ac:dyDescent="0.25">
      <c r="B881" s="22"/>
      <c r="C881" s="21"/>
      <c r="W881" s="22"/>
      <c r="X881" s="22"/>
    </row>
    <row r="882" spans="2:24" x14ac:dyDescent="0.25">
      <c r="B882" s="22"/>
      <c r="C882" s="21"/>
      <c r="W882" s="22"/>
      <c r="X882" s="22"/>
    </row>
    <row r="883" spans="2:24" x14ac:dyDescent="0.25">
      <c r="B883" s="22"/>
      <c r="C883" s="21"/>
      <c r="W883" s="22"/>
      <c r="X883" s="22"/>
    </row>
    <row r="884" spans="2:24" x14ac:dyDescent="0.25">
      <c r="B884" s="22"/>
      <c r="C884" s="21"/>
      <c r="W884" s="22"/>
      <c r="X884" s="22"/>
    </row>
    <row r="885" spans="2:24" x14ac:dyDescent="0.25">
      <c r="B885" s="22"/>
      <c r="C885" s="21"/>
      <c r="W885" s="22"/>
      <c r="X885" s="22"/>
    </row>
    <row r="886" spans="2:24" x14ac:dyDescent="0.25">
      <c r="B886" s="22"/>
      <c r="C886" s="21"/>
      <c r="W886" s="22"/>
      <c r="X886" s="22"/>
    </row>
    <row r="887" spans="2:24" x14ac:dyDescent="0.25">
      <c r="B887" s="22"/>
      <c r="C887" s="21"/>
      <c r="W887" s="22"/>
      <c r="X887" s="22"/>
    </row>
    <row r="888" spans="2:24" x14ac:dyDescent="0.25">
      <c r="B888" s="22"/>
      <c r="C888" s="21"/>
      <c r="W888" s="22"/>
      <c r="X888" s="22"/>
    </row>
    <row r="889" spans="2:24" x14ac:dyDescent="0.25">
      <c r="B889" s="22"/>
      <c r="C889" s="21"/>
      <c r="W889" s="22"/>
      <c r="X889" s="22"/>
    </row>
    <row r="890" spans="2:24" x14ac:dyDescent="0.25">
      <c r="B890" s="22"/>
      <c r="C890" s="21"/>
      <c r="W890" s="22"/>
      <c r="X890" s="22"/>
    </row>
    <row r="891" spans="2:24" x14ac:dyDescent="0.25">
      <c r="B891" s="22"/>
      <c r="C891" s="21"/>
      <c r="W891" s="22"/>
      <c r="X891" s="22"/>
    </row>
    <row r="892" spans="2:24" x14ac:dyDescent="0.25">
      <c r="B892" s="22"/>
      <c r="C892" s="21"/>
      <c r="W892" s="22"/>
      <c r="X892" s="22"/>
    </row>
    <row r="893" spans="2:24" x14ac:dyDescent="0.25">
      <c r="B893" s="22"/>
      <c r="C893" s="21"/>
      <c r="W893" s="22"/>
      <c r="X893" s="22"/>
    </row>
    <row r="894" spans="2:24" x14ac:dyDescent="0.25">
      <c r="B894" s="22"/>
      <c r="C894" s="21"/>
      <c r="W894" s="22"/>
      <c r="X894" s="22"/>
    </row>
    <row r="895" spans="2:24" x14ac:dyDescent="0.25">
      <c r="B895" s="22"/>
      <c r="C895" s="21"/>
      <c r="W895" s="22"/>
      <c r="X895" s="22"/>
    </row>
    <row r="896" spans="2:24" x14ac:dyDescent="0.25">
      <c r="B896" s="22"/>
      <c r="C896" s="21"/>
      <c r="W896" s="22"/>
      <c r="X896" s="22"/>
    </row>
    <row r="897" spans="2:24" x14ac:dyDescent="0.25">
      <c r="B897" s="22"/>
      <c r="C897" s="21"/>
      <c r="W897" s="22"/>
      <c r="X897" s="22"/>
    </row>
    <row r="898" spans="2:24" x14ac:dyDescent="0.25">
      <c r="B898" s="22"/>
      <c r="C898" s="21"/>
      <c r="W898" s="22"/>
      <c r="X898" s="22"/>
    </row>
    <row r="899" spans="2:24" x14ac:dyDescent="0.25">
      <c r="B899" s="22"/>
      <c r="C899" s="21"/>
      <c r="W899" s="22"/>
      <c r="X899" s="22"/>
    </row>
    <row r="900" spans="2:24" x14ac:dyDescent="0.25">
      <c r="B900" s="22"/>
      <c r="C900" s="21"/>
      <c r="W900" s="22"/>
      <c r="X900" s="22"/>
    </row>
    <row r="901" spans="2:24" x14ac:dyDescent="0.25">
      <c r="B901" s="22"/>
      <c r="C901" s="21"/>
      <c r="W901" s="22"/>
      <c r="X901" s="22"/>
    </row>
    <row r="902" spans="2:24" x14ac:dyDescent="0.25">
      <c r="B902" s="22"/>
      <c r="C902" s="21"/>
      <c r="W902" s="22"/>
      <c r="X902" s="22"/>
    </row>
    <row r="903" spans="2:24" x14ac:dyDescent="0.25">
      <c r="B903" s="22"/>
      <c r="C903" s="21"/>
      <c r="W903" s="22"/>
      <c r="X903" s="22"/>
    </row>
    <row r="904" spans="2:24" x14ac:dyDescent="0.25">
      <c r="B904" s="22"/>
      <c r="C904" s="21"/>
      <c r="W904" s="22"/>
      <c r="X904" s="22"/>
    </row>
    <row r="905" spans="2:24" x14ac:dyDescent="0.25">
      <c r="B905" s="22"/>
      <c r="C905" s="21"/>
      <c r="W905" s="22"/>
      <c r="X905" s="22"/>
    </row>
    <row r="906" spans="2:24" x14ac:dyDescent="0.25">
      <c r="B906" s="22"/>
      <c r="C906" s="21"/>
      <c r="W906" s="22"/>
      <c r="X906" s="22"/>
    </row>
    <row r="907" spans="2:24" x14ac:dyDescent="0.25">
      <c r="B907" s="22"/>
      <c r="C907" s="21"/>
      <c r="W907" s="22"/>
      <c r="X907" s="22"/>
    </row>
    <row r="908" spans="2:24" x14ac:dyDescent="0.25">
      <c r="B908" s="22"/>
      <c r="C908" s="21"/>
      <c r="W908" s="22"/>
      <c r="X908" s="22"/>
    </row>
    <row r="909" spans="2:24" x14ac:dyDescent="0.25">
      <c r="B909" s="22"/>
      <c r="C909" s="21"/>
      <c r="W909" s="22"/>
      <c r="X909" s="22"/>
    </row>
    <row r="910" spans="2:24" x14ac:dyDescent="0.25">
      <c r="B910" s="22"/>
      <c r="C910" s="21"/>
      <c r="W910" s="22"/>
      <c r="X910" s="22"/>
    </row>
    <row r="911" spans="2:24" x14ac:dyDescent="0.25">
      <c r="B911" s="22"/>
      <c r="C911" s="21"/>
      <c r="W911" s="22"/>
      <c r="X911" s="22"/>
    </row>
    <row r="912" spans="2:24" x14ac:dyDescent="0.25">
      <c r="B912" s="22"/>
      <c r="C912" s="21"/>
      <c r="W912" s="22"/>
      <c r="X912" s="22"/>
    </row>
    <row r="913" spans="2:24" x14ac:dyDescent="0.25">
      <c r="B913" s="22"/>
      <c r="C913" s="21"/>
      <c r="W913" s="22"/>
      <c r="X913" s="22"/>
    </row>
    <row r="914" spans="2:24" x14ac:dyDescent="0.25">
      <c r="B914" s="22"/>
      <c r="C914" s="21"/>
      <c r="W914" s="22"/>
      <c r="X914" s="22"/>
    </row>
    <row r="915" spans="2:24" x14ac:dyDescent="0.25">
      <c r="B915" s="22"/>
      <c r="C915" s="21"/>
      <c r="W915" s="22"/>
      <c r="X915" s="22"/>
    </row>
    <row r="916" spans="2:24" x14ac:dyDescent="0.25">
      <c r="B916" s="22"/>
      <c r="C916" s="21"/>
      <c r="W916" s="22"/>
      <c r="X916" s="22"/>
    </row>
    <row r="917" spans="2:24" x14ac:dyDescent="0.25">
      <c r="B917" s="22"/>
      <c r="C917" s="21"/>
      <c r="W917" s="22"/>
      <c r="X917" s="22"/>
    </row>
    <row r="918" spans="2:24" x14ac:dyDescent="0.25">
      <c r="B918" s="22"/>
      <c r="C918" s="21"/>
      <c r="W918" s="22"/>
      <c r="X918" s="22"/>
    </row>
    <row r="919" spans="2:24" x14ac:dyDescent="0.25">
      <c r="B919" s="22"/>
      <c r="C919" s="21"/>
      <c r="W919" s="22"/>
      <c r="X919" s="22"/>
    </row>
    <row r="920" spans="2:24" x14ac:dyDescent="0.25">
      <c r="B920" s="22"/>
      <c r="C920" s="21"/>
      <c r="W920" s="22"/>
      <c r="X920" s="22"/>
    </row>
    <row r="921" spans="2:24" x14ac:dyDescent="0.25">
      <c r="B921" s="22"/>
      <c r="C921" s="21"/>
      <c r="W921" s="22"/>
      <c r="X921" s="22"/>
    </row>
    <row r="922" spans="2:24" x14ac:dyDescent="0.25">
      <c r="B922" s="22"/>
      <c r="C922" s="21"/>
      <c r="W922" s="22"/>
      <c r="X922" s="22"/>
    </row>
    <row r="923" spans="2:24" x14ac:dyDescent="0.25">
      <c r="B923" s="22"/>
      <c r="C923" s="21"/>
      <c r="W923" s="22"/>
      <c r="X923" s="22"/>
    </row>
    <row r="924" spans="2:24" x14ac:dyDescent="0.25">
      <c r="B924" s="22"/>
      <c r="C924" s="21"/>
      <c r="W924" s="22"/>
      <c r="X924" s="22"/>
    </row>
    <row r="925" spans="2:24" x14ac:dyDescent="0.25">
      <c r="B925" s="22"/>
      <c r="C925" s="21"/>
      <c r="W925" s="22"/>
      <c r="X925" s="22"/>
    </row>
    <row r="926" spans="2:24" x14ac:dyDescent="0.25">
      <c r="B926" s="22"/>
      <c r="C926" s="21"/>
      <c r="W926" s="22"/>
      <c r="X926" s="22"/>
    </row>
    <row r="927" spans="2:24" x14ac:dyDescent="0.25">
      <c r="B927" s="22"/>
      <c r="C927" s="21"/>
      <c r="W927" s="22"/>
      <c r="X927" s="22"/>
    </row>
    <row r="928" spans="2:24" x14ac:dyDescent="0.25">
      <c r="B928" s="22"/>
      <c r="C928" s="21"/>
      <c r="W928" s="22"/>
      <c r="X928" s="22"/>
    </row>
    <row r="929" spans="2:24" x14ac:dyDescent="0.25">
      <c r="B929" s="22"/>
      <c r="C929" s="21"/>
      <c r="W929" s="22"/>
      <c r="X929" s="22"/>
    </row>
    <row r="930" spans="2:24" x14ac:dyDescent="0.25">
      <c r="B930" s="22"/>
      <c r="C930" s="21"/>
      <c r="W930" s="22"/>
      <c r="X930" s="22"/>
    </row>
    <row r="931" spans="2:24" x14ac:dyDescent="0.25">
      <c r="B931" s="22"/>
      <c r="C931" s="21"/>
      <c r="W931" s="22"/>
      <c r="X931" s="22"/>
    </row>
    <row r="932" spans="2:24" x14ac:dyDescent="0.25">
      <c r="B932" s="22"/>
      <c r="C932" s="21"/>
      <c r="W932" s="22"/>
      <c r="X932" s="22"/>
    </row>
    <row r="933" spans="2:24" x14ac:dyDescent="0.25">
      <c r="B933" s="22"/>
      <c r="C933" s="21"/>
      <c r="W933" s="22"/>
      <c r="X933" s="22"/>
    </row>
    <row r="934" spans="2:24" x14ac:dyDescent="0.25">
      <c r="B934" s="22"/>
      <c r="C934" s="21"/>
      <c r="W934" s="22"/>
      <c r="X934" s="22"/>
    </row>
    <row r="935" spans="2:24" x14ac:dyDescent="0.25">
      <c r="B935" s="22"/>
      <c r="C935" s="21"/>
      <c r="W935" s="22"/>
      <c r="X935" s="22"/>
    </row>
    <row r="936" spans="2:24" x14ac:dyDescent="0.25">
      <c r="B936" s="22"/>
      <c r="C936" s="21"/>
      <c r="W936" s="22"/>
      <c r="X936" s="22"/>
    </row>
    <row r="937" spans="2:24" x14ac:dyDescent="0.25">
      <c r="B937" s="22"/>
      <c r="C937" s="21"/>
      <c r="W937" s="22"/>
      <c r="X937" s="22"/>
    </row>
    <row r="938" spans="2:24" x14ac:dyDescent="0.25">
      <c r="B938" s="22"/>
      <c r="C938" s="21"/>
      <c r="W938" s="22"/>
      <c r="X938" s="22"/>
    </row>
    <row r="939" spans="2:24" x14ac:dyDescent="0.25">
      <c r="B939" s="22"/>
      <c r="C939" s="21"/>
      <c r="W939" s="22"/>
      <c r="X939" s="22"/>
    </row>
    <row r="940" spans="2:24" x14ac:dyDescent="0.25">
      <c r="B940" s="22"/>
      <c r="C940" s="21"/>
      <c r="W940" s="22"/>
      <c r="X940" s="22"/>
    </row>
    <row r="941" spans="2:24" x14ac:dyDescent="0.25">
      <c r="B941" s="22"/>
      <c r="C941" s="21"/>
      <c r="W941" s="22"/>
      <c r="X941" s="22"/>
    </row>
    <row r="942" spans="2:24" x14ac:dyDescent="0.25">
      <c r="B942" s="22"/>
      <c r="C942" s="21"/>
      <c r="W942" s="22"/>
      <c r="X942" s="22"/>
    </row>
    <row r="943" spans="2:24" x14ac:dyDescent="0.25">
      <c r="B943" s="22"/>
      <c r="C943" s="21"/>
      <c r="W943" s="22"/>
      <c r="X943" s="22"/>
    </row>
    <row r="944" spans="2:24" x14ac:dyDescent="0.25">
      <c r="B944" s="22"/>
      <c r="C944" s="21"/>
      <c r="W944" s="22"/>
      <c r="X944" s="22"/>
    </row>
    <row r="945" spans="2:24" x14ac:dyDescent="0.25">
      <c r="B945" s="22"/>
      <c r="C945" s="21"/>
      <c r="W945" s="22"/>
      <c r="X945" s="22"/>
    </row>
    <row r="946" spans="2:24" x14ac:dyDescent="0.25">
      <c r="B946" s="22"/>
      <c r="C946" s="21"/>
      <c r="W946" s="22"/>
      <c r="X946" s="22"/>
    </row>
    <row r="947" spans="2:24" x14ac:dyDescent="0.25">
      <c r="B947" s="22"/>
      <c r="C947" s="21"/>
      <c r="W947" s="22"/>
      <c r="X947" s="22"/>
    </row>
    <row r="948" spans="2:24" x14ac:dyDescent="0.25">
      <c r="B948" s="22"/>
      <c r="C948" s="21"/>
      <c r="W948" s="22"/>
      <c r="X948" s="22"/>
    </row>
    <row r="949" spans="2:24" x14ac:dyDescent="0.25">
      <c r="B949" s="22"/>
      <c r="C949" s="21"/>
      <c r="W949" s="22"/>
      <c r="X949" s="22"/>
    </row>
    <row r="950" spans="2:24" x14ac:dyDescent="0.25">
      <c r="B950" s="22"/>
      <c r="C950" s="21"/>
      <c r="W950" s="22"/>
      <c r="X950" s="22"/>
    </row>
    <row r="951" spans="2:24" x14ac:dyDescent="0.25">
      <c r="B951" s="22"/>
      <c r="C951" s="21"/>
      <c r="W951" s="22"/>
      <c r="X951" s="22"/>
    </row>
    <row r="952" spans="2:24" x14ac:dyDescent="0.25">
      <c r="B952" s="22"/>
      <c r="C952" s="21"/>
      <c r="W952" s="22"/>
      <c r="X952" s="22"/>
    </row>
    <row r="953" spans="2:24" x14ac:dyDescent="0.25">
      <c r="B953" s="22"/>
      <c r="C953" s="21"/>
      <c r="W953" s="22"/>
      <c r="X953" s="22"/>
    </row>
    <row r="954" spans="2:24" x14ac:dyDescent="0.25">
      <c r="B954" s="22"/>
      <c r="C954" s="21"/>
      <c r="W954" s="22"/>
      <c r="X954" s="22"/>
    </row>
    <row r="955" spans="2:24" x14ac:dyDescent="0.25">
      <c r="B955" s="22"/>
      <c r="C955" s="21"/>
      <c r="W955" s="22"/>
      <c r="X955" s="22"/>
    </row>
    <row r="956" spans="2:24" x14ac:dyDescent="0.25">
      <c r="B956" s="22"/>
      <c r="C956" s="21"/>
      <c r="W956" s="22"/>
      <c r="X956" s="22"/>
    </row>
    <row r="957" spans="2:24" x14ac:dyDescent="0.25">
      <c r="B957" s="22"/>
      <c r="C957" s="21"/>
      <c r="W957" s="22"/>
      <c r="X957" s="22"/>
    </row>
    <row r="958" spans="2:24" x14ac:dyDescent="0.25">
      <c r="B958" s="22"/>
      <c r="C958" s="21"/>
      <c r="W958" s="22"/>
      <c r="X958" s="22"/>
    </row>
    <row r="959" spans="2:24" x14ac:dyDescent="0.25">
      <c r="B959" s="22"/>
      <c r="C959" s="21"/>
      <c r="W959" s="22"/>
      <c r="X959" s="22"/>
    </row>
    <row r="960" spans="2:24" x14ac:dyDescent="0.25">
      <c r="B960" s="22"/>
      <c r="C960" s="21"/>
      <c r="W960" s="22"/>
      <c r="X960" s="22"/>
    </row>
    <row r="961" spans="2:24" x14ac:dyDescent="0.25">
      <c r="B961" s="22"/>
      <c r="C961" s="21"/>
      <c r="W961" s="22"/>
      <c r="X961" s="22"/>
    </row>
    <row r="962" spans="2:24" x14ac:dyDescent="0.25">
      <c r="B962" s="22"/>
      <c r="C962" s="21"/>
      <c r="W962" s="22"/>
      <c r="X962" s="22"/>
    </row>
    <row r="963" spans="2:24" x14ac:dyDescent="0.25">
      <c r="B963" s="22"/>
      <c r="C963" s="21"/>
      <c r="W963" s="22"/>
      <c r="X963" s="22"/>
    </row>
    <row r="964" spans="2:24" x14ac:dyDescent="0.25">
      <c r="B964" s="22"/>
      <c r="C964" s="21"/>
      <c r="W964" s="22"/>
      <c r="X964" s="22"/>
    </row>
    <row r="965" spans="2:24" x14ac:dyDescent="0.25">
      <c r="B965" s="22"/>
      <c r="C965" s="21"/>
      <c r="W965" s="22"/>
      <c r="X965" s="22"/>
    </row>
    <row r="966" spans="2:24" x14ac:dyDescent="0.25">
      <c r="B966" s="22"/>
      <c r="C966" s="21"/>
      <c r="W966" s="22"/>
      <c r="X966" s="22"/>
    </row>
    <row r="967" spans="2:24" x14ac:dyDescent="0.25">
      <c r="B967" s="22"/>
      <c r="C967" s="21"/>
      <c r="W967" s="22"/>
      <c r="X967" s="22"/>
    </row>
    <row r="968" spans="2:24" x14ac:dyDescent="0.25">
      <c r="B968" s="22"/>
      <c r="C968" s="21"/>
      <c r="W968" s="22"/>
      <c r="X968" s="22"/>
    </row>
    <row r="969" spans="2:24" x14ac:dyDescent="0.25">
      <c r="B969" s="22"/>
      <c r="C969" s="21"/>
      <c r="W969" s="22"/>
      <c r="X969" s="22"/>
    </row>
    <row r="970" spans="2:24" x14ac:dyDescent="0.25">
      <c r="B970" s="22"/>
      <c r="C970" s="21"/>
      <c r="W970" s="22"/>
      <c r="X970" s="22"/>
    </row>
    <row r="971" spans="2:24" x14ac:dyDescent="0.25">
      <c r="B971" s="22"/>
      <c r="C971" s="21"/>
      <c r="W971" s="22"/>
      <c r="X971" s="22"/>
    </row>
    <row r="972" spans="2:24" x14ac:dyDescent="0.25">
      <c r="B972" s="22"/>
      <c r="C972" s="21"/>
      <c r="W972" s="22"/>
      <c r="X972" s="22"/>
    </row>
    <row r="973" spans="2:24" x14ac:dyDescent="0.25">
      <c r="B973" s="22"/>
      <c r="C973" s="21"/>
      <c r="W973" s="22"/>
      <c r="X973" s="22"/>
    </row>
    <row r="974" spans="2:24" x14ac:dyDescent="0.25">
      <c r="B974" s="22"/>
      <c r="C974" s="21"/>
      <c r="W974" s="22"/>
      <c r="X974" s="22"/>
    </row>
    <row r="975" spans="2:24" x14ac:dyDescent="0.25">
      <c r="B975" s="22"/>
      <c r="C975" s="21"/>
      <c r="W975" s="22"/>
      <c r="X975" s="22"/>
    </row>
    <row r="976" spans="2:24" x14ac:dyDescent="0.25">
      <c r="B976" s="22"/>
      <c r="C976" s="21"/>
      <c r="W976" s="22"/>
      <c r="X976" s="22"/>
    </row>
    <row r="977" spans="2:24" x14ac:dyDescent="0.25">
      <c r="B977" s="22"/>
      <c r="C977" s="21"/>
      <c r="W977" s="22"/>
      <c r="X977" s="22"/>
    </row>
    <row r="978" spans="2:24" x14ac:dyDescent="0.25">
      <c r="B978" s="22"/>
      <c r="C978" s="21"/>
      <c r="W978" s="22"/>
      <c r="X978" s="22"/>
    </row>
    <row r="979" spans="2:24" x14ac:dyDescent="0.25">
      <c r="B979" s="22"/>
      <c r="C979" s="21"/>
      <c r="W979" s="22"/>
      <c r="X979" s="22"/>
    </row>
    <row r="980" spans="2:24" x14ac:dyDescent="0.25">
      <c r="B980" s="22"/>
      <c r="C980" s="21"/>
      <c r="W980" s="22"/>
      <c r="X980" s="22"/>
    </row>
    <row r="981" spans="2:24" x14ac:dyDescent="0.25">
      <c r="B981" s="22"/>
      <c r="C981" s="21"/>
      <c r="W981" s="22"/>
      <c r="X981" s="22"/>
    </row>
    <row r="982" spans="2:24" x14ac:dyDescent="0.25">
      <c r="B982" s="22"/>
      <c r="C982" s="21"/>
      <c r="W982" s="22"/>
      <c r="X982" s="22"/>
    </row>
    <row r="983" spans="2:24" x14ac:dyDescent="0.25">
      <c r="B983" s="22"/>
      <c r="C983" s="21"/>
      <c r="W983" s="22"/>
      <c r="X983" s="22"/>
    </row>
    <row r="984" spans="2:24" x14ac:dyDescent="0.25">
      <c r="B984" s="22"/>
      <c r="C984" s="21"/>
      <c r="W984" s="22"/>
      <c r="X984" s="22"/>
    </row>
    <row r="985" spans="2:24" x14ac:dyDescent="0.25">
      <c r="B985" s="22"/>
      <c r="C985" s="21"/>
      <c r="W985" s="22"/>
      <c r="X985" s="22"/>
    </row>
    <row r="986" spans="2:24" x14ac:dyDescent="0.25">
      <c r="B986" s="22"/>
      <c r="C986" s="21"/>
      <c r="W986" s="22"/>
      <c r="X986" s="22"/>
    </row>
    <row r="987" spans="2:24" x14ac:dyDescent="0.25">
      <c r="B987" s="22"/>
      <c r="C987" s="21"/>
      <c r="W987" s="22"/>
      <c r="X987" s="22"/>
    </row>
    <row r="988" spans="2:24" x14ac:dyDescent="0.25">
      <c r="B988" s="22"/>
      <c r="C988" s="21"/>
      <c r="W988" s="22"/>
      <c r="X988" s="22"/>
    </row>
    <row r="989" spans="2:24" x14ac:dyDescent="0.25">
      <c r="B989" s="22"/>
      <c r="C989" s="21"/>
      <c r="W989" s="22"/>
      <c r="X989" s="22"/>
    </row>
    <row r="990" spans="2:24" x14ac:dyDescent="0.25">
      <c r="B990" s="22"/>
      <c r="C990" s="21"/>
      <c r="W990" s="22"/>
      <c r="X990" s="22"/>
    </row>
    <row r="991" spans="2:24" x14ac:dyDescent="0.25">
      <c r="B991" s="22"/>
      <c r="C991" s="21"/>
      <c r="W991" s="22"/>
      <c r="X991" s="22"/>
    </row>
    <row r="992" spans="2:24" x14ac:dyDescent="0.25">
      <c r="B992" s="22"/>
      <c r="C992" s="21"/>
      <c r="W992" s="22"/>
      <c r="X992" s="22"/>
    </row>
    <row r="993" spans="2:24" x14ac:dyDescent="0.25">
      <c r="B993" s="22"/>
      <c r="C993" s="21"/>
      <c r="W993" s="22"/>
      <c r="X993" s="22"/>
    </row>
    <row r="994" spans="2:24" x14ac:dyDescent="0.25">
      <c r="B994" s="22"/>
      <c r="C994" s="21"/>
      <c r="W994" s="22"/>
      <c r="X994" s="22"/>
    </row>
    <row r="995" spans="2:24" x14ac:dyDescent="0.25">
      <c r="B995" s="22"/>
      <c r="C995" s="21"/>
      <c r="W995" s="22"/>
      <c r="X995" s="22"/>
    </row>
    <row r="996" spans="2:24" x14ac:dyDescent="0.25">
      <c r="B996" s="22"/>
      <c r="C996" s="21"/>
      <c r="W996" s="22"/>
      <c r="X996" s="22"/>
    </row>
    <row r="997" spans="2:24" x14ac:dyDescent="0.25">
      <c r="B997" s="22"/>
      <c r="C997" s="21"/>
      <c r="W997" s="22"/>
      <c r="X997" s="22"/>
    </row>
    <row r="998" spans="2:24" x14ac:dyDescent="0.25">
      <c r="B998" s="22"/>
      <c r="C998" s="21"/>
      <c r="W998" s="22"/>
      <c r="X998" s="22"/>
    </row>
    <row r="999" spans="2:24" x14ac:dyDescent="0.25">
      <c r="B999" s="22"/>
      <c r="C999" s="21"/>
      <c r="W999" s="22"/>
      <c r="X999" s="22"/>
    </row>
    <row r="1000" spans="2:24" x14ac:dyDescent="0.25">
      <c r="B1000" s="22"/>
      <c r="C1000" s="21"/>
      <c r="W1000" s="22"/>
      <c r="X1000" s="22"/>
    </row>
    <row r="1001" spans="2:24" x14ac:dyDescent="0.25">
      <c r="B1001" s="22"/>
      <c r="C1001" s="21"/>
      <c r="W1001" s="22"/>
      <c r="X1001" s="22"/>
    </row>
    <row r="1002" spans="2:24" x14ac:dyDescent="0.25">
      <c r="B1002" s="22"/>
      <c r="C1002" s="21"/>
      <c r="W1002" s="22"/>
      <c r="X1002" s="22"/>
    </row>
    <row r="1003" spans="2:24" x14ac:dyDescent="0.25">
      <c r="B1003" s="22"/>
      <c r="C1003" s="21"/>
      <c r="W1003" s="22"/>
      <c r="X1003" s="22"/>
    </row>
    <row r="1004" spans="2:24" x14ac:dyDescent="0.25">
      <c r="B1004" s="22"/>
      <c r="C1004" s="21"/>
      <c r="W1004" s="22"/>
      <c r="X1004" s="22"/>
    </row>
    <row r="1005" spans="2:24" x14ac:dyDescent="0.25">
      <c r="B1005" s="22"/>
      <c r="C1005" s="21"/>
      <c r="W1005" s="22"/>
      <c r="X1005" s="22"/>
    </row>
    <row r="1006" spans="2:24" x14ac:dyDescent="0.25">
      <c r="B1006" s="22"/>
      <c r="C1006" s="21"/>
      <c r="W1006" s="22"/>
      <c r="X1006" s="22"/>
    </row>
    <row r="1007" spans="2:24" x14ac:dyDescent="0.25">
      <c r="B1007" s="22"/>
      <c r="C1007" s="21"/>
      <c r="W1007" s="22"/>
      <c r="X1007" s="22"/>
    </row>
    <row r="1008" spans="2:24" x14ac:dyDescent="0.25">
      <c r="B1008" s="22"/>
      <c r="C1008" s="21"/>
      <c r="W1008" s="22"/>
      <c r="X1008" s="22"/>
    </row>
    <row r="1009" spans="2:24" x14ac:dyDescent="0.25">
      <c r="B1009" s="22"/>
      <c r="C1009" s="21"/>
      <c r="W1009" s="22"/>
      <c r="X1009" s="22"/>
    </row>
    <row r="1010" spans="2:24" x14ac:dyDescent="0.25">
      <c r="B1010" s="22"/>
      <c r="C1010" s="21"/>
      <c r="W1010" s="22"/>
      <c r="X1010" s="22"/>
    </row>
    <row r="1011" spans="2:24" x14ac:dyDescent="0.25">
      <c r="B1011" s="22"/>
      <c r="C1011" s="21"/>
      <c r="W1011" s="22"/>
      <c r="X1011" s="22"/>
    </row>
    <row r="1012" spans="2:24" x14ac:dyDescent="0.25">
      <c r="B1012" s="22"/>
      <c r="C1012" s="21"/>
      <c r="W1012" s="22"/>
      <c r="X1012" s="22"/>
    </row>
    <row r="1013" spans="2:24" x14ac:dyDescent="0.25">
      <c r="B1013" s="22"/>
      <c r="C1013" s="21"/>
      <c r="W1013" s="22"/>
      <c r="X1013" s="22"/>
    </row>
    <row r="1014" spans="2:24" x14ac:dyDescent="0.25">
      <c r="B1014" s="22"/>
      <c r="C1014" s="21"/>
      <c r="W1014" s="22"/>
      <c r="X1014" s="22"/>
    </row>
    <row r="1015" spans="2:24" x14ac:dyDescent="0.25">
      <c r="B1015" s="22"/>
      <c r="C1015" s="21"/>
      <c r="W1015" s="22"/>
      <c r="X1015" s="22"/>
    </row>
    <row r="1016" spans="2:24" x14ac:dyDescent="0.25">
      <c r="B1016" s="22"/>
      <c r="C1016" s="21"/>
      <c r="W1016" s="22"/>
      <c r="X1016" s="22"/>
    </row>
    <row r="1017" spans="2:24" x14ac:dyDescent="0.25">
      <c r="B1017" s="22"/>
      <c r="C1017" s="21"/>
      <c r="W1017" s="22"/>
      <c r="X1017" s="22"/>
    </row>
    <row r="1018" spans="2:24" x14ac:dyDescent="0.25">
      <c r="B1018" s="22"/>
      <c r="C1018" s="21"/>
      <c r="W1018" s="22"/>
      <c r="X1018" s="22"/>
    </row>
    <row r="1019" spans="2:24" x14ac:dyDescent="0.25">
      <c r="B1019" s="22"/>
      <c r="C1019" s="21"/>
      <c r="W1019" s="22"/>
      <c r="X1019" s="22"/>
    </row>
    <row r="1020" spans="2:24" x14ac:dyDescent="0.25">
      <c r="B1020" s="22"/>
      <c r="C1020" s="21"/>
      <c r="W1020" s="22"/>
      <c r="X1020" s="22"/>
    </row>
    <row r="1021" spans="2:24" x14ac:dyDescent="0.25">
      <c r="B1021" s="22"/>
      <c r="C1021" s="21"/>
      <c r="W1021" s="22"/>
      <c r="X1021" s="22"/>
    </row>
    <row r="1022" spans="2:24" x14ac:dyDescent="0.25">
      <c r="B1022" s="22"/>
      <c r="C1022" s="21"/>
      <c r="W1022" s="22"/>
      <c r="X1022" s="22"/>
    </row>
    <row r="1023" spans="2:24" x14ac:dyDescent="0.25">
      <c r="B1023" s="22"/>
      <c r="C1023" s="21"/>
      <c r="W1023" s="22"/>
      <c r="X1023" s="22"/>
    </row>
    <row r="1024" spans="2:24" x14ac:dyDescent="0.25">
      <c r="B1024" s="22"/>
      <c r="C1024" s="21"/>
      <c r="W1024" s="22"/>
      <c r="X1024" s="22"/>
    </row>
    <row r="1025" spans="2:24" x14ac:dyDescent="0.25">
      <c r="B1025" s="22"/>
      <c r="C1025" s="21"/>
      <c r="W1025" s="22"/>
      <c r="X1025" s="22"/>
    </row>
    <row r="1026" spans="2:24" x14ac:dyDescent="0.25">
      <c r="B1026" s="22"/>
      <c r="C1026" s="21"/>
      <c r="W1026" s="22"/>
      <c r="X1026" s="22"/>
    </row>
    <row r="1027" spans="2:24" x14ac:dyDescent="0.25">
      <c r="B1027" s="22"/>
      <c r="C1027" s="21"/>
      <c r="W1027" s="22"/>
      <c r="X1027" s="22"/>
    </row>
    <row r="1028" spans="2:24" x14ac:dyDescent="0.25">
      <c r="B1028" s="22"/>
      <c r="C1028" s="21"/>
      <c r="W1028" s="22"/>
      <c r="X1028" s="22"/>
    </row>
    <row r="1029" spans="2:24" x14ac:dyDescent="0.25">
      <c r="B1029" s="22"/>
      <c r="C1029" s="21"/>
      <c r="W1029" s="22"/>
      <c r="X1029" s="22"/>
    </row>
    <row r="1030" spans="2:24" x14ac:dyDescent="0.25">
      <c r="B1030" s="22"/>
      <c r="C1030" s="21"/>
      <c r="W1030" s="22"/>
      <c r="X1030" s="22"/>
    </row>
    <row r="1031" spans="2:24" x14ac:dyDescent="0.25">
      <c r="B1031" s="22"/>
      <c r="C1031" s="21"/>
      <c r="W1031" s="22"/>
      <c r="X1031" s="22"/>
    </row>
    <row r="1032" spans="2:24" x14ac:dyDescent="0.25">
      <c r="B1032" s="22"/>
      <c r="C1032" s="21"/>
      <c r="W1032" s="22"/>
      <c r="X1032" s="22"/>
    </row>
    <row r="1033" spans="2:24" x14ac:dyDescent="0.25">
      <c r="B1033" s="22"/>
      <c r="C1033" s="21"/>
      <c r="W1033" s="22"/>
      <c r="X1033" s="22"/>
    </row>
    <row r="1034" spans="2:24" x14ac:dyDescent="0.25">
      <c r="B1034" s="22"/>
      <c r="C1034" s="21"/>
      <c r="W1034" s="22"/>
      <c r="X1034" s="22"/>
    </row>
    <row r="1035" spans="2:24" x14ac:dyDescent="0.25">
      <c r="B1035" s="22"/>
      <c r="C1035" s="21"/>
      <c r="W1035" s="22"/>
      <c r="X1035" s="22"/>
    </row>
    <row r="1036" spans="2:24" x14ac:dyDescent="0.25">
      <c r="B1036" s="22"/>
      <c r="C1036" s="21"/>
      <c r="W1036" s="22"/>
      <c r="X1036" s="22"/>
    </row>
    <row r="1037" spans="2:24" x14ac:dyDescent="0.25">
      <c r="B1037" s="22"/>
      <c r="C1037" s="21"/>
      <c r="W1037" s="22"/>
      <c r="X1037" s="22"/>
    </row>
    <row r="1038" spans="2:24" x14ac:dyDescent="0.25">
      <c r="B1038" s="22"/>
      <c r="C1038" s="21"/>
      <c r="W1038" s="22"/>
      <c r="X1038" s="22"/>
    </row>
    <row r="1039" spans="2:24" x14ac:dyDescent="0.25">
      <c r="B1039" s="22"/>
      <c r="C1039" s="21"/>
      <c r="W1039" s="22"/>
      <c r="X1039" s="22"/>
    </row>
    <row r="1040" spans="2:24" x14ac:dyDescent="0.25">
      <c r="B1040" s="22"/>
      <c r="C1040" s="21"/>
      <c r="W1040" s="22"/>
      <c r="X1040" s="22"/>
    </row>
    <row r="1041" spans="2:24" x14ac:dyDescent="0.25">
      <c r="B1041" s="22"/>
      <c r="C1041" s="21"/>
      <c r="W1041" s="22"/>
      <c r="X1041" s="22"/>
    </row>
    <row r="1042" spans="2:24" x14ac:dyDescent="0.25">
      <c r="B1042" s="22"/>
      <c r="C1042" s="21"/>
      <c r="W1042" s="22"/>
      <c r="X1042" s="22"/>
    </row>
    <row r="1043" spans="2:24" x14ac:dyDescent="0.25">
      <c r="B1043" s="22"/>
      <c r="C1043" s="21"/>
      <c r="W1043" s="22"/>
      <c r="X1043" s="22"/>
    </row>
    <row r="1044" spans="2:24" x14ac:dyDescent="0.25">
      <c r="B1044" s="22"/>
      <c r="C1044" s="21"/>
      <c r="W1044" s="22"/>
      <c r="X1044" s="22"/>
    </row>
    <row r="1045" spans="2:24" x14ac:dyDescent="0.25">
      <c r="B1045" s="22"/>
      <c r="C1045" s="21"/>
      <c r="W1045" s="22"/>
      <c r="X1045" s="22"/>
    </row>
    <row r="1046" spans="2:24" x14ac:dyDescent="0.25">
      <c r="B1046" s="22"/>
      <c r="C1046" s="21"/>
      <c r="W1046" s="22"/>
      <c r="X1046" s="22"/>
    </row>
    <row r="1047" spans="2:24" x14ac:dyDescent="0.25">
      <c r="B1047" s="22"/>
      <c r="C1047" s="21"/>
      <c r="W1047" s="22"/>
      <c r="X1047" s="22"/>
    </row>
    <row r="1048" spans="2:24" x14ac:dyDescent="0.25">
      <c r="B1048" s="22"/>
      <c r="C1048" s="21"/>
      <c r="W1048" s="22"/>
      <c r="X1048" s="22"/>
    </row>
    <row r="1049" spans="2:24" x14ac:dyDescent="0.25">
      <c r="B1049" s="22"/>
      <c r="C1049" s="21"/>
      <c r="W1049" s="22"/>
      <c r="X1049" s="22"/>
    </row>
    <row r="1050" spans="2:24" x14ac:dyDescent="0.25">
      <c r="B1050" s="22"/>
      <c r="C1050" s="21"/>
      <c r="W1050" s="22"/>
      <c r="X1050" s="22"/>
    </row>
    <row r="1051" spans="2:24" x14ac:dyDescent="0.25">
      <c r="B1051" s="22"/>
      <c r="C1051" s="21"/>
      <c r="W1051" s="22"/>
      <c r="X1051" s="22"/>
    </row>
    <row r="1052" spans="2:24" x14ac:dyDescent="0.25">
      <c r="B1052" s="22"/>
      <c r="C1052" s="21"/>
      <c r="W1052" s="22"/>
      <c r="X1052" s="22"/>
    </row>
    <row r="1053" spans="2:24" x14ac:dyDescent="0.25">
      <c r="B1053" s="22"/>
      <c r="C1053" s="21"/>
      <c r="W1053" s="22"/>
      <c r="X1053" s="22"/>
    </row>
    <row r="1054" spans="2:24" x14ac:dyDescent="0.25">
      <c r="B1054" s="22"/>
      <c r="C1054" s="21"/>
      <c r="W1054" s="22"/>
      <c r="X1054" s="22"/>
    </row>
    <row r="1055" spans="2:24" x14ac:dyDescent="0.25">
      <c r="B1055" s="22"/>
      <c r="C1055" s="21"/>
      <c r="W1055" s="22"/>
      <c r="X1055" s="22"/>
    </row>
    <row r="1056" spans="2:24" x14ac:dyDescent="0.25">
      <c r="B1056" s="22"/>
      <c r="C1056" s="21"/>
      <c r="W1056" s="22"/>
      <c r="X1056" s="22"/>
    </row>
    <row r="1057" spans="2:24" x14ac:dyDescent="0.25">
      <c r="B1057" s="22"/>
      <c r="C1057" s="21"/>
      <c r="W1057" s="22"/>
      <c r="X1057" s="22"/>
    </row>
    <row r="1058" spans="2:24" x14ac:dyDescent="0.25">
      <c r="B1058" s="22"/>
      <c r="C1058" s="21"/>
      <c r="W1058" s="22"/>
      <c r="X1058" s="22"/>
    </row>
    <row r="1059" spans="2:24" x14ac:dyDescent="0.25">
      <c r="B1059" s="22"/>
      <c r="C1059" s="21"/>
      <c r="W1059" s="22"/>
      <c r="X1059" s="22"/>
    </row>
    <row r="1060" spans="2:24" x14ac:dyDescent="0.25">
      <c r="B1060" s="22"/>
      <c r="C1060" s="21"/>
      <c r="W1060" s="22"/>
      <c r="X1060" s="22"/>
    </row>
    <row r="1061" spans="2:24" x14ac:dyDescent="0.25">
      <c r="B1061" s="22"/>
      <c r="C1061" s="21"/>
      <c r="W1061" s="22"/>
      <c r="X1061" s="22"/>
    </row>
    <row r="1062" spans="2:24" x14ac:dyDescent="0.25">
      <c r="B1062" s="22"/>
      <c r="C1062" s="21"/>
      <c r="W1062" s="22"/>
      <c r="X1062" s="22"/>
    </row>
    <row r="1063" spans="2:24" x14ac:dyDescent="0.25">
      <c r="B1063" s="22"/>
      <c r="C1063" s="21"/>
      <c r="W1063" s="22"/>
      <c r="X1063" s="22"/>
    </row>
    <row r="1064" spans="2:24" x14ac:dyDescent="0.25">
      <c r="B1064" s="22"/>
      <c r="C1064" s="21"/>
      <c r="W1064" s="22"/>
      <c r="X1064" s="22"/>
    </row>
    <row r="1065" spans="2:24" x14ac:dyDescent="0.25">
      <c r="B1065" s="22"/>
      <c r="C1065" s="21"/>
      <c r="W1065" s="22"/>
      <c r="X1065" s="22"/>
    </row>
    <row r="1066" spans="2:24" x14ac:dyDescent="0.25">
      <c r="B1066" s="22"/>
      <c r="C1066" s="21"/>
      <c r="W1066" s="22"/>
      <c r="X1066" s="22"/>
    </row>
    <row r="1067" spans="2:24" x14ac:dyDescent="0.25">
      <c r="B1067" s="22"/>
      <c r="C1067" s="21"/>
      <c r="W1067" s="22"/>
      <c r="X1067" s="22"/>
    </row>
    <row r="1068" spans="2:24" x14ac:dyDescent="0.25">
      <c r="B1068" s="22"/>
      <c r="C1068" s="21"/>
      <c r="W1068" s="22"/>
      <c r="X1068" s="22"/>
    </row>
    <row r="1069" spans="2:24" x14ac:dyDescent="0.25">
      <c r="B1069" s="22"/>
      <c r="C1069" s="21"/>
      <c r="W1069" s="22"/>
      <c r="X1069" s="22"/>
    </row>
    <row r="1070" spans="2:24" x14ac:dyDescent="0.25">
      <c r="B1070" s="22"/>
      <c r="C1070" s="21"/>
      <c r="W1070" s="22"/>
      <c r="X1070" s="22"/>
    </row>
    <row r="1071" spans="2:24" x14ac:dyDescent="0.25">
      <c r="B1071" s="22"/>
      <c r="C1071" s="21"/>
      <c r="W1071" s="22"/>
      <c r="X1071" s="22"/>
    </row>
    <row r="1072" spans="2:24" x14ac:dyDescent="0.25">
      <c r="B1072" s="22"/>
      <c r="C1072" s="21"/>
      <c r="W1072" s="22"/>
      <c r="X1072" s="22"/>
    </row>
    <row r="1073" spans="2:24" x14ac:dyDescent="0.25">
      <c r="B1073" s="22"/>
      <c r="C1073" s="21"/>
      <c r="W1073" s="22"/>
      <c r="X1073" s="22"/>
    </row>
    <row r="1074" spans="2:24" x14ac:dyDescent="0.25">
      <c r="B1074" s="22"/>
      <c r="C1074" s="21"/>
      <c r="W1074" s="22"/>
      <c r="X1074" s="22"/>
    </row>
    <row r="1075" spans="2:24" x14ac:dyDescent="0.25">
      <c r="B1075" s="22"/>
      <c r="C1075" s="21"/>
      <c r="W1075" s="22"/>
      <c r="X1075" s="22"/>
    </row>
    <row r="1076" spans="2:24" x14ac:dyDescent="0.25">
      <c r="B1076" s="22"/>
      <c r="C1076" s="21"/>
      <c r="W1076" s="22"/>
      <c r="X1076" s="22"/>
    </row>
    <row r="1077" spans="2:24" x14ac:dyDescent="0.25">
      <c r="B1077" s="22"/>
      <c r="C1077" s="21"/>
      <c r="W1077" s="22"/>
      <c r="X1077" s="22"/>
    </row>
    <row r="1078" spans="2:24" x14ac:dyDescent="0.25">
      <c r="B1078" s="22"/>
      <c r="C1078" s="21"/>
      <c r="W1078" s="22"/>
      <c r="X1078" s="22"/>
    </row>
    <row r="1079" spans="2:24" x14ac:dyDescent="0.25">
      <c r="B1079" s="22"/>
      <c r="C1079" s="21"/>
      <c r="W1079" s="22"/>
      <c r="X1079" s="22"/>
    </row>
    <row r="1080" spans="2:24" x14ac:dyDescent="0.25">
      <c r="B1080" s="22"/>
      <c r="C1080" s="21"/>
      <c r="W1080" s="22"/>
      <c r="X1080" s="22"/>
    </row>
    <row r="1081" spans="2:24" x14ac:dyDescent="0.25">
      <c r="B1081" s="22"/>
      <c r="C1081" s="21"/>
      <c r="W1081" s="22"/>
      <c r="X1081" s="22"/>
    </row>
    <row r="1082" spans="2:24" x14ac:dyDescent="0.25">
      <c r="B1082" s="22"/>
      <c r="C1082" s="21"/>
      <c r="W1082" s="22"/>
      <c r="X1082" s="22"/>
    </row>
    <row r="1083" spans="2:24" x14ac:dyDescent="0.25">
      <c r="B1083" s="22"/>
      <c r="C1083" s="21"/>
      <c r="W1083" s="22"/>
      <c r="X1083" s="22"/>
    </row>
    <row r="1084" spans="2:24" x14ac:dyDescent="0.25">
      <c r="B1084" s="22"/>
      <c r="C1084" s="21"/>
      <c r="W1084" s="22"/>
      <c r="X1084" s="22"/>
    </row>
    <row r="1085" spans="2:24" x14ac:dyDescent="0.25">
      <c r="B1085" s="22"/>
      <c r="C1085" s="21"/>
      <c r="W1085" s="22"/>
      <c r="X1085" s="22"/>
    </row>
    <row r="1086" spans="2:24" x14ac:dyDescent="0.25">
      <c r="B1086" s="22"/>
      <c r="C1086" s="21"/>
      <c r="W1086" s="22"/>
      <c r="X1086" s="22"/>
    </row>
    <row r="1087" spans="2:24" x14ac:dyDescent="0.25">
      <c r="B1087" s="22"/>
      <c r="C1087" s="21"/>
      <c r="W1087" s="22"/>
      <c r="X1087" s="22"/>
    </row>
    <row r="1088" spans="2:24" x14ac:dyDescent="0.25">
      <c r="B1088" s="22"/>
      <c r="C1088" s="21"/>
      <c r="W1088" s="22"/>
      <c r="X1088" s="22"/>
    </row>
    <row r="1089" spans="2:24" x14ac:dyDescent="0.25">
      <c r="B1089" s="22"/>
      <c r="C1089" s="21"/>
      <c r="W1089" s="22"/>
      <c r="X1089" s="22"/>
    </row>
    <row r="1090" spans="2:24" x14ac:dyDescent="0.25">
      <c r="B1090" s="22"/>
      <c r="C1090" s="21"/>
      <c r="W1090" s="22"/>
      <c r="X1090" s="22"/>
    </row>
    <row r="1091" spans="2:24" x14ac:dyDescent="0.25">
      <c r="B1091" s="22"/>
      <c r="C1091" s="21"/>
      <c r="W1091" s="22"/>
      <c r="X1091" s="22"/>
    </row>
    <row r="1092" spans="2:24" x14ac:dyDescent="0.25">
      <c r="B1092" s="22"/>
      <c r="C1092" s="21"/>
      <c r="W1092" s="22"/>
      <c r="X1092" s="22"/>
    </row>
    <row r="1093" spans="2:24" x14ac:dyDescent="0.25">
      <c r="B1093" s="22"/>
      <c r="C1093" s="21"/>
      <c r="W1093" s="22"/>
      <c r="X1093" s="22"/>
    </row>
    <row r="1094" spans="2:24" x14ac:dyDescent="0.25">
      <c r="B1094" s="22"/>
      <c r="C1094" s="21"/>
      <c r="W1094" s="22"/>
      <c r="X1094" s="22"/>
    </row>
    <row r="1095" spans="2:24" x14ac:dyDescent="0.25">
      <c r="B1095" s="22"/>
      <c r="C1095" s="21"/>
      <c r="W1095" s="22"/>
      <c r="X1095" s="22"/>
    </row>
    <row r="1096" spans="2:24" x14ac:dyDescent="0.25">
      <c r="B1096" s="22"/>
      <c r="C1096" s="21"/>
      <c r="W1096" s="22"/>
      <c r="X1096" s="22"/>
    </row>
    <row r="1097" spans="2:24" x14ac:dyDescent="0.25">
      <c r="B1097" s="22"/>
      <c r="C1097" s="21"/>
      <c r="W1097" s="22"/>
      <c r="X1097" s="22"/>
    </row>
    <row r="1098" spans="2:24" x14ac:dyDescent="0.25">
      <c r="B1098" s="22"/>
      <c r="C1098" s="21"/>
      <c r="W1098" s="22"/>
      <c r="X1098" s="22"/>
    </row>
    <row r="1099" spans="2:24" x14ac:dyDescent="0.25">
      <c r="B1099" s="22"/>
      <c r="C1099" s="21"/>
      <c r="W1099" s="22"/>
      <c r="X1099" s="22"/>
    </row>
    <row r="1100" spans="2:24" x14ac:dyDescent="0.25">
      <c r="B1100" s="22"/>
      <c r="C1100" s="21"/>
      <c r="W1100" s="22"/>
      <c r="X1100" s="22"/>
    </row>
    <row r="1101" spans="2:24" x14ac:dyDescent="0.25">
      <c r="B1101" s="22"/>
      <c r="C1101" s="21"/>
      <c r="W1101" s="22"/>
      <c r="X1101" s="22"/>
    </row>
    <row r="1102" spans="2:24" x14ac:dyDescent="0.25">
      <c r="B1102" s="22"/>
      <c r="C1102" s="21"/>
      <c r="W1102" s="22"/>
      <c r="X1102" s="22"/>
    </row>
    <row r="1103" spans="2:24" x14ac:dyDescent="0.25">
      <c r="B1103" s="22"/>
      <c r="C1103" s="21"/>
      <c r="W1103" s="22"/>
      <c r="X1103" s="22"/>
    </row>
    <row r="1104" spans="2:24" x14ac:dyDescent="0.25">
      <c r="B1104" s="22"/>
      <c r="C1104" s="21"/>
      <c r="W1104" s="22"/>
      <c r="X1104" s="22"/>
    </row>
    <row r="1105" spans="2:24" x14ac:dyDescent="0.25">
      <c r="B1105" s="22"/>
      <c r="C1105" s="21"/>
      <c r="W1105" s="22"/>
      <c r="X1105" s="22"/>
    </row>
    <row r="1106" spans="2:24" x14ac:dyDescent="0.25">
      <c r="B1106" s="22"/>
      <c r="C1106" s="21"/>
      <c r="W1106" s="22"/>
      <c r="X1106" s="22"/>
    </row>
    <row r="1107" spans="2:24" x14ac:dyDescent="0.25">
      <c r="B1107" s="22"/>
      <c r="C1107" s="21"/>
      <c r="W1107" s="22"/>
      <c r="X1107" s="22"/>
    </row>
    <row r="1108" spans="2:24" x14ac:dyDescent="0.25">
      <c r="B1108" s="22"/>
      <c r="C1108" s="21"/>
      <c r="W1108" s="22"/>
      <c r="X1108" s="22"/>
    </row>
    <row r="1109" spans="2:24" x14ac:dyDescent="0.25">
      <c r="B1109" s="22"/>
      <c r="C1109" s="21"/>
      <c r="W1109" s="22"/>
      <c r="X1109" s="22"/>
    </row>
    <row r="1110" spans="2:24" x14ac:dyDescent="0.25">
      <c r="B1110" s="22"/>
      <c r="C1110" s="21"/>
      <c r="W1110" s="22"/>
      <c r="X1110" s="22"/>
    </row>
    <row r="1111" spans="2:24" x14ac:dyDescent="0.25">
      <c r="B1111" s="22"/>
      <c r="C1111" s="21"/>
      <c r="W1111" s="22"/>
      <c r="X1111" s="22"/>
    </row>
    <row r="1112" spans="2:24" x14ac:dyDescent="0.25">
      <c r="B1112" s="22"/>
      <c r="C1112" s="21"/>
      <c r="W1112" s="22"/>
      <c r="X1112" s="22"/>
    </row>
    <row r="1113" spans="2:24" x14ac:dyDescent="0.25">
      <c r="B1113" s="22"/>
      <c r="C1113" s="21"/>
      <c r="W1113" s="22"/>
      <c r="X1113" s="22"/>
    </row>
    <row r="1114" spans="2:24" x14ac:dyDescent="0.25">
      <c r="B1114" s="22"/>
      <c r="C1114" s="21"/>
      <c r="W1114" s="22"/>
      <c r="X1114" s="22"/>
    </row>
    <row r="1115" spans="2:24" x14ac:dyDescent="0.25">
      <c r="B1115" s="22"/>
      <c r="C1115" s="21"/>
      <c r="W1115" s="22"/>
      <c r="X1115" s="22"/>
    </row>
    <row r="1116" spans="2:24" x14ac:dyDescent="0.25">
      <c r="B1116" s="22"/>
      <c r="C1116" s="21"/>
      <c r="W1116" s="22"/>
      <c r="X1116" s="22"/>
    </row>
    <row r="1117" spans="2:24" x14ac:dyDescent="0.25">
      <c r="B1117" s="22"/>
      <c r="C1117" s="21"/>
      <c r="W1117" s="22"/>
      <c r="X1117" s="22"/>
    </row>
    <row r="1118" spans="2:24" x14ac:dyDescent="0.25">
      <c r="B1118" s="22"/>
      <c r="C1118" s="21"/>
      <c r="W1118" s="22"/>
      <c r="X1118" s="22"/>
    </row>
    <row r="1119" spans="2:24" x14ac:dyDescent="0.25">
      <c r="B1119" s="22"/>
      <c r="C1119" s="21"/>
      <c r="W1119" s="22"/>
      <c r="X1119" s="22"/>
    </row>
    <row r="1120" spans="2:24" x14ac:dyDescent="0.25">
      <c r="B1120" s="22"/>
      <c r="C1120" s="21"/>
      <c r="W1120" s="22"/>
      <c r="X1120" s="22"/>
    </row>
    <row r="1121" spans="2:24" x14ac:dyDescent="0.25">
      <c r="B1121" s="22"/>
      <c r="C1121" s="21"/>
      <c r="W1121" s="22"/>
      <c r="X1121" s="22"/>
    </row>
    <row r="1122" spans="2:24" x14ac:dyDescent="0.25">
      <c r="B1122" s="22"/>
      <c r="C1122" s="21"/>
      <c r="W1122" s="22"/>
      <c r="X1122" s="22"/>
    </row>
    <row r="1123" spans="2:24" x14ac:dyDescent="0.25">
      <c r="B1123" s="22"/>
      <c r="C1123" s="21"/>
      <c r="W1123" s="22"/>
      <c r="X1123" s="22"/>
    </row>
    <row r="1124" spans="2:24" x14ac:dyDescent="0.25">
      <c r="B1124" s="22"/>
      <c r="C1124" s="21"/>
      <c r="W1124" s="22"/>
      <c r="X1124" s="22"/>
    </row>
    <row r="1125" spans="2:24" x14ac:dyDescent="0.25">
      <c r="B1125" s="22"/>
      <c r="C1125" s="21"/>
      <c r="W1125" s="22"/>
      <c r="X1125" s="22"/>
    </row>
    <row r="1126" spans="2:24" x14ac:dyDescent="0.25">
      <c r="B1126" s="22"/>
      <c r="C1126" s="21"/>
      <c r="W1126" s="22"/>
      <c r="X1126" s="22"/>
    </row>
    <row r="1127" spans="2:24" x14ac:dyDescent="0.25">
      <c r="B1127" s="22"/>
      <c r="C1127" s="21"/>
      <c r="W1127" s="22"/>
      <c r="X1127" s="22"/>
    </row>
    <row r="1128" spans="2:24" x14ac:dyDescent="0.25">
      <c r="B1128" s="22"/>
      <c r="C1128" s="21"/>
      <c r="W1128" s="22"/>
      <c r="X1128" s="22"/>
    </row>
    <row r="1129" spans="2:24" x14ac:dyDescent="0.25">
      <c r="B1129" s="22"/>
      <c r="C1129" s="21"/>
      <c r="W1129" s="22"/>
      <c r="X1129" s="22"/>
    </row>
    <row r="1130" spans="2:24" x14ac:dyDescent="0.25">
      <c r="B1130" s="22"/>
      <c r="C1130" s="21"/>
      <c r="W1130" s="22"/>
      <c r="X1130" s="22"/>
    </row>
    <row r="1131" spans="2:24" x14ac:dyDescent="0.25">
      <c r="B1131" s="22"/>
      <c r="C1131" s="21"/>
      <c r="W1131" s="22"/>
      <c r="X1131" s="22"/>
    </row>
    <row r="1132" spans="2:24" x14ac:dyDescent="0.25">
      <c r="B1132" s="22"/>
      <c r="C1132" s="21"/>
      <c r="W1132" s="22"/>
      <c r="X1132" s="22"/>
    </row>
    <row r="1133" spans="2:24" x14ac:dyDescent="0.25">
      <c r="B1133" s="22"/>
      <c r="C1133" s="21"/>
      <c r="W1133" s="22"/>
      <c r="X1133" s="22"/>
    </row>
    <row r="1134" spans="2:24" x14ac:dyDescent="0.25">
      <c r="B1134" s="22"/>
      <c r="C1134" s="21"/>
      <c r="W1134" s="22"/>
      <c r="X1134" s="22"/>
    </row>
    <row r="1135" spans="2:24" x14ac:dyDescent="0.25">
      <c r="B1135" s="22"/>
      <c r="C1135" s="21"/>
      <c r="W1135" s="22"/>
      <c r="X1135" s="22"/>
    </row>
    <row r="1136" spans="2:24" x14ac:dyDescent="0.25">
      <c r="B1136" s="22"/>
      <c r="C1136" s="21"/>
      <c r="W1136" s="22"/>
      <c r="X1136" s="22"/>
    </row>
    <row r="1137" spans="2:24" x14ac:dyDescent="0.25">
      <c r="B1137" s="22"/>
      <c r="C1137" s="21"/>
      <c r="W1137" s="22"/>
      <c r="X1137" s="22"/>
    </row>
    <row r="1138" spans="2:24" x14ac:dyDescent="0.25">
      <c r="B1138" s="22"/>
      <c r="C1138" s="21"/>
      <c r="W1138" s="22"/>
      <c r="X1138" s="22"/>
    </row>
    <row r="1139" spans="2:24" x14ac:dyDescent="0.25">
      <c r="B1139" s="22"/>
      <c r="C1139" s="21"/>
      <c r="W1139" s="22"/>
      <c r="X1139" s="22"/>
    </row>
    <row r="1140" spans="2:24" x14ac:dyDescent="0.25">
      <c r="B1140" s="22"/>
      <c r="C1140" s="21"/>
      <c r="W1140" s="22"/>
      <c r="X1140" s="22"/>
    </row>
    <row r="1141" spans="2:24" x14ac:dyDescent="0.25">
      <c r="B1141" s="22"/>
      <c r="C1141" s="21"/>
      <c r="W1141" s="22"/>
      <c r="X1141" s="22"/>
    </row>
    <row r="1142" spans="2:24" x14ac:dyDescent="0.25">
      <c r="B1142" s="22"/>
      <c r="C1142" s="21"/>
      <c r="W1142" s="22"/>
      <c r="X1142" s="22"/>
    </row>
    <row r="1143" spans="2:24" x14ac:dyDescent="0.25">
      <c r="B1143" s="22"/>
      <c r="C1143" s="21"/>
      <c r="W1143" s="22"/>
      <c r="X1143" s="22"/>
    </row>
    <row r="1144" spans="2:24" x14ac:dyDescent="0.25">
      <c r="B1144" s="22"/>
      <c r="C1144" s="21"/>
      <c r="W1144" s="22"/>
      <c r="X1144" s="22"/>
    </row>
    <row r="1145" spans="2:24" x14ac:dyDescent="0.25">
      <c r="B1145" s="22"/>
      <c r="C1145" s="21"/>
      <c r="W1145" s="22"/>
      <c r="X1145" s="22"/>
    </row>
    <row r="1146" spans="2:24" x14ac:dyDescent="0.25">
      <c r="B1146" s="22"/>
      <c r="C1146" s="21"/>
      <c r="W1146" s="22"/>
      <c r="X1146" s="22"/>
    </row>
    <row r="1147" spans="2:24" x14ac:dyDescent="0.25">
      <c r="B1147" s="22"/>
      <c r="C1147" s="21"/>
      <c r="W1147" s="22"/>
      <c r="X1147" s="22"/>
    </row>
    <row r="1148" spans="2:24" x14ac:dyDescent="0.25">
      <c r="B1148" s="22"/>
      <c r="C1148" s="21"/>
      <c r="W1148" s="22"/>
      <c r="X1148" s="22"/>
    </row>
    <row r="1149" spans="2:24" x14ac:dyDescent="0.25">
      <c r="B1149" s="22"/>
      <c r="C1149" s="21"/>
      <c r="W1149" s="22"/>
      <c r="X1149" s="22"/>
    </row>
    <row r="1150" spans="2:24" x14ac:dyDescent="0.25">
      <c r="B1150" s="22"/>
      <c r="C1150" s="21"/>
      <c r="W1150" s="22"/>
      <c r="X1150" s="22"/>
    </row>
    <row r="1151" spans="2:24" x14ac:dyDescent="0.25">
      <c r="B1151" s="22"/>
      <c r="C1151" s="21"/>
      <c r="W1151" s="22"/>
      <c r="X1151" s="22"/>
    </row>
    <row r="1152" spans="2:24" x14ac:dyDescent="0.25">
      <c r="B1152" s="22"/>
      <c r="C1152" s="21"/>
      <c r="W1152" s="22"/>
      <c r="X1152" s="22"/>
    </row>
    <row r="1153" spans="2:24" x14ac:dyDescent="0.25">
      <c r="B1153" s="22"/>
      <c r="C1153" s="21"/>
      <c r="W1153" s="22"/>
      <c r="X1153" s="22"/>
    </row>
    <row r="1154" spans="2:24" x14ac:dyDescent="0.25">
      <c r="B1154" s="22"/>
      <c r="C1154" s="21"/>
      <c r="W1154" s="22"/>
      <c r="X1154" s="22"/>
    </row>
    <row r="1155" spans="2:24" x14ac:dyDescent="0.25">
      <c r="B1155" s="22"/>
      <c r="C1155" s="21"/>
      <c r="W1155" s="22"/>
      <c r="X1155" s="22"/>
    </row>
    <row r="1156" spans="2:24" x14ac:dyDescent="0.25">
      <c r="B1156" s="22"/>
      <c r="C1156" s="21"/>
      <c r="W1156" s="22"/>
      <c r="X1156" s="22"/>
    </row>
    <row r="1157" spans="2:24" x14ac:dyDescent="0.25">
      <c r="B1157" s="22"/>
      <c r="C1157" s="21"/>
      <c r="W1157" s="22"/>
      <c r="X1157" s="22"/>
    </row>
    <row r="1158" spans="2:24" x14ac:dyDescent="0.25">
      <c r="B1158" s="22"/>
      <c r="C1158" s="21"/>
      <c r="W1158" s="22"/>
      <c r="X1158" s="22"/>
    </row>
    <row r="1159" spans="2:24" x14ac:dyDescent="0.25">
      <c r="B1159" s="22"/>
      <c r="C1159" s="21"/>
      <c r="W1159" s="22"/>
      <c r="X1159" s="22"/>
    </row>
    <row r="1160" spans="2:24" x14ac:dyDescent="0.25">
      <c r="B1160" s="22"/>
      <c r="C1160" s="21"/>
      <c r="W1160" s="22"/>
      <c r="X1160" s="22"/>
    </row>
    <row r="1161" spans="2:24" x14ac:dyDescent="0.25">
      <c r="B1161" s="22"/>
      <c r="C1161" s="21"/>
      <c r="W1161" s="22"/>
      <c r="X1161" s="22"/>
    </row>
    <row r="1162" spans="2:24" x14ac:dyDescent="0.25">
      <c r="B1162" s="22"/>
      <c r="C1162" s="21"/>
      <c r="W1162" s="22"/>
      <c r="X1162" s="22"/>
    </row>
    <row r="1163" spans="2:24" x14ac:dyDescent="0.25">
      <c r="B1163" s="22"/>
      <c r="C1163" s="21"/>
      <c r="W1163" s="22"/>
      <c r="X1163" s="22"/>
    </row>
    <row r="1164" spans="2:24" x14ac:dyDescent="0.25">
      <c r="B1164" s="22"/>
      <c r="C1164" s="21"/>
      <c r="W1164" s="22"/>
      <c r="X1164" s="22"/>
    </row>
    <row r="1165" spans="2:24" x14ac:dyDescent="0.25">
      <c r="B1165" s="22"/>
      <c r="C1165" s="21"/>
      <c r="W1165" s="22"/>
      <c r="X1165" s="22"/>
    </row>
    <row r="1166" spans="2:24" x14ac:dyDescent="0.25">
      <c r="B1166" s="22"/>
      <c r="C1166" s="21"/>
    </row>
    <row r="1167" spans="2:24" x14ac:dyDescent="0.25">
      <c r="B1167" s="22"/>
      <c r="C1167" s="21"/>
      <c r="W1167" s="22"/>
      <c r="X1167" s="22"/>
    </row>
    <row r="1168" spans="2:24" x14ac:dyDescent="0.25">
      <c r="B1168" s="22"/>
      <c r="C1168" s="21"/>
      <c r="W1168" s="22"/>
      <c r="X1168" s="22"/>
    </row>
    <row r="1169" spans="2:24" x14ac:dyDescent="0.25">
      <c r="B1169" s="22"/>
      <c r="C1169" s="21"/>
      <c r="W1169" s="22"/>
      <c r="X1169" s="22"/>
    </row>
    <row r="1170" spans="2:24" x14ac:dyDescent="0.25">
      <c r="B1170" s="22"/>
      <c r="C1170" s="21"/>
      <c r="W1170" s="22"/>
      <c r="X1170" s="22"/>
    </row>
    <row r="1171" spans="2:24" x14ac:dyDescent="0.25">
      <c r="B1171" s="22"/>
      <c r="C1171" s="21"/>
      <c r="W1171" s="22"/>
      <c r="X1171" s="22"/>
    </row>
    <row r="1172" spans="2:24" x14ac:dyDescent="0.25">
      <c r="B1172" s="22"/>
      <c r="C1172" s="21"/>
      <c r="W1172" s="22"/>
      <c r="X1172" s="22"/>
    </row>
    <row r="1173" spans="2:24" x14ac:dyDescent="0.25">
      <c r="B1173" s="22"/>
      <c r="C1173" s="21"/>
      <c r="W1173" s="22"/>
      <c r="X1173" s="22"/>
    </row>
    <row r="1174" spans="2:24" x14ac:dyDescent="0.25">
      <c r="B1174" s="22"/>
      <c r="C1174" s="21"/>
      <c r="W1174" s="22"/>
      <c r="X1174" s="22"/>
    </row>
    <row r="1175" spans="2:24" x14ac:dyDescent="0.25">
      <c r="B1175" s="22"/>
      <c r="C1175" s="21"/>
      <c r="W1175" s="22"/>
      <c r="X1175" s="22"/>
    </row>
    <row r="1176" spans="2:24" x14ac:dyDescent="0.25">
      <c r="B1176" s="22"/>
      <c r="C1176" s="21"/>
      <c r="W1176" s="22"/>
      <c r="X1176" s="22"/>
    </row>
    <row r="1177" spans="2:24" x14ac:dyDescent="0.25">
      <c r="B1177" s="22"/>
      <c r="C1177" s="21"/>
      <c r="W1177" s="22"/>
      <c r="X1177" s="22"/>
    </row>
    <row r="1178" spans="2:24" x14ac:dyDescent="0.25">
      <c r="B1178" s="22"/>
      <c r="C1178" s="21"/>
      <c r="W1178" s="22"/>
      <c r="X1178" s="22"/>
    </row>
    <row r="1179" spans="2:24" x14ac:dyDescent="0.25">
      <c r="B1179" s="22"/>
      <c r="C1179" s="21"/>
      <c r="W1179" s="22"/>
      <c r="X1179" s="22"/>
    </row>
    <row r="1180" spans="2:24" x14ac:dyDescent="0.25">
      <c r="B1180" s="22"/>
      <c r="C1180" s="21"/>
      <c r="W1180" s="22"/>
      <c r="X1180" s="22"/>
    </row>
    <row r="1181" spans="2:24" x14ac:dyDescent="0.25">
      <c r="B1181" s="22"/>
      <c r="C1181" s="21"/>
      <c r="W1181" s="22"/>
      <c r="X1181" s="22"/>
    </row>
    <row r="1182" spans="2:24" x14ac:dyDescent="0.25">
      <c r="B1182" s="22"/>
      <c r="C1182" s="21"/>
      <c r="W1182" s="22"/>
      <c r="X1182" s="22"/>
    </row>
    <row r="1183" spans="2:24" x14ac:dyDescent="0.25">
      <c r="B1183" s="22"/>
      <c r="C1183" s="21"/>
      <c r="W1183" s="22"/>
      <c r="X1183" s="22"/>
    </row>
    <row r="1184" spans="2:24" x14ac:dyDescent="0.25">
      <c r="B1184" s="22"/>
      <c r="C1184" s="21"/>
      <c r="W1184" s="22"/>
      <c r="X1184" s="22"/>
    </row>
    <row r="1185" spans="2:24" x14ac:dyDescent="0.25">
      <c r="B1185" s="22"/>
      <c r="C1185" s="21"/>
      <c r="W1185" s="22"/>
      <c r="X1185" s="22"/>
    </row>
    <row r="1186" spans="2:24" x14ac:dyDescent="0.25">
      <c r="B1186" s="22"/>
      <c r="C1186" s="21"/>
      <c r="W1186" s="22"/>
      <c r="X1186" s="22"/>
    </row>
    <row r="1187" spans="2:24" x14ac:dyDescent="0.25">
      <c r="B1187" s="22"/>
      <c r="C1187" s="21"/>
      <c r="W1187" s="22"/>
      <c r="X1187" s="22"/>
    </row>
    <row r="1188" spans="2:24" x14ac:dyDescent="0.25">
      <c r="B1188" s="22"/>
      <c r="C1188" s="21"/>
      <c r="W1188" s="22"/>
      <c r="X1188" s="22"/>
    </row>
    <row r="1189" spans="2:24" x14ac:dyDescent="0.25">
      <c r="B1189" s="22"/>
      <c r="C1189" s="21"/>
      <c r="W1189" s="22"/>
      <c r="X1189" s="22"/>
    </row>
    <row r="1190" spans="2:24" x14ac:dyDescent="0.25">
      <c r="B1190" s="22"/>
      <c r="C1190" s="21"/>
      <c r="W1190" s="22"/>
      <c r="X1190" s="22"/>
    </row>
    <row r="1191" spans="2:24" x14ac:dyDescent="0.25">
      <c r="B1191" s="22"/>
      <c r="C1191" s="21"/>
      <c r="W1191" s="22"/>
      <c r="X1191" s="22"/>
    </row>
    <row r="1192" spans="2:24" x14ac:dyDescent="0.25">
      <c r="B1192" s="22"/>
      <c r="C1192" s="21"/>
      <c r="W1192" s="22"/>
      <c r="X1192" s="22"/>
    </row>
    <row r="1193" spans="2:24" x14ac:dyDescent="0.25">
      <c r="B1193" s="22"/>
      <c r="C1193" s="21"/>
      <c r="W1193" s="22"/>
      <c r="X1193" s="22"/>
    </row>
    <row r="1194" spans="2:24" x14ac:dyDescent="0.25">
      <c r="B1194" s="22"/>
      <c r="C1194" s="21"/>
      <c r="W1194" s="22"/>
      <c r="X1194" s="22"/>
    </row>
    <row r="1195" spans="2:24" x14ac:dyDescent="0.25">
      <c r="B1195" s="22"/>
      <c r="C1195" s="21"/>
      <c r="W1195" s="22"/>
      <c r="X1195" s="22"/>
    </row>
    <row r="1196" spans="2:24" x14ac:dyDescent="0.25">
      <c r="B1196" s="22"/>
      <c r="C1196" s="21"/>
      <c r="W1196" s="22"/>
      <c r="X1196" s="22"/>
    </row>
    <row r="1197" spans="2:24" x14ac:dyDescent="0.25">
      <c r="B1197" s="22"/>
      <c r="C1197" s="21"/>
      <c r="W1197" s="22"/>
      <c r="X1197" s="22"/>
    </row>
    <row r="1198" spans="2:24" x14ac:dyDescent="0.25">
      <c r="B1198" s="22"/>
      <c r="C1198" s="21"/>
      <c r="W1198" s="22"/>
      <c r="X1198" s="22"/>
    </row>
    <row r="1199" spans="2:24" x14ac:dyDescent="0.25">
      <c r="B1199" s="22"/>
      <c r="C1199" s="21"/>
      <c r="W1199" s="22"/>
      <c r="X1199" s="22"/>
    </row>
    <row r="1200" spans="2:24" x14ac:dyDescent="0.25">
      <c r="B1200" s="22"/>
      <c r="C1200" s="21"/>
      <c r="W1200" s="22"/>
      <c r="X1200" s="22"/>
    </row>
    <row r="1201" spans="2:24" x14ac:dyDescent="0.25">
      <c r="B1201" s="22"/>
      <c r="C1201" s="21"/>
      <c r="W1201" s="22"/>
      <c r="X1201" s="22"/>
    </row>
    <row r="1202" spans="2:24" x14ac:dyDescent="0.25">
      <c r="B1202" s="22"/>
      <c r="C1202" s="21"/>
      <c r="W1202" s="22"/>
      <c r="X1202" s="22"/>
    </row>
    <row r="1203" spans="2:24" x14ac:dyDescent="0.25">
      <c r="B1203" s="22"/>
      <c r="C1203" s="21"/>
      <c r="W1203" s="22"/>
      <c r="X1203" s="22"/>
    </row>
    <row r="1204" spans="2:24" x14ac:dyDescent="0.25">
      <c r="B1204" s="22"/>
      <c r="C1204" s="21"/>
      <c r="W1204" s="22"/>
      <c r="X1204" s="22"/>
    </row>
    <row r="1205" spans="2:24" x14ac:dyDescent="0.25">
      <c r="B1205" s="22"/>
      <c r="C1205" s="21"/>
      <c r="W1205" s="22"/>
      <c r="X1205" s="22"/>
    </row>
    <row r="1206" spans="2:24" x14ac:dyDescent="0.25">
      <c r="B1206" s="22"/>
      <c r="C1206" s="21"/>
      <c r="W1206" s="22"/>
      <c r="X1206" s="22"/>
    </row>
    <row r="1207" spans="2:24" x14ac:dyDescent="0.25">
      <c r="B1207" s="22"/>
      <c r="C1207" s="21"/>
      <c r="W1207" s="22"/>
      <c r="X1207" s="22"/>
    </row>
    <row r="1208" spans="2:24" x14ac:dyDescent="0.25">
      <c r="B1208" s="22"/>
      <c r="C1208" s="21"/>
      <c r="W1208" s="22"/>
      <c r="X1208" s="22"/>
    </row>
    <row r="1209" spans="2:24" x14ac:dyDescent="0.25">
      <c r="B1209" s="22"/>
      <c r="C1209" s="21"/>
      <c r="W1209" s="22"/>
      <c r="X1209" s="22"/>
    </row>
    <row r="1210" spans="2:24" x14ac:dyDescent="0.25">
      <c r="B1210" s="22"/>
      <c r="C1210" s="21"/>
      <c r="W1210" s="22"/>
      <c r="X1210" s="22"/>
    </row>
    <row r="1211" spans="2:24" x14ac:dyDescent="0.25">
      <c r="B1211" s="22"/>
      <c r="C1211" s="21"/>
      <c r="W1211" s="22"/>
      <c r="X1211" s="22"/>
    </row>
    <row r="1212" spans="2:24" x14ac:dyDescent="0.25">
      <c r="B1212" s="22"/>
      <c r="C1212" s="21"/>
      <c r="W1212" s="22"/>
      <c r="X1212" s="22"/>
    </row>
    <row r="1213" spans="2:24" x14ac:dyDescent="0.25">
      <c r="B1213" s="22"/>
      <c r="C1213" s="21"/>
      <c r="W1213" s="22"/>
      <c r="X1213" s="22"/>
    </row>
    <row r="1214" spans="2:24" x14ac:dyDescent="0.25">
      <c r="B1214" s="22"/>
      <c r="C1214" s="21"/>
      <c r="W1214" s="22"/>
      <c r="X1214" s="22"/>
    </row>
    <row r="1215" spans="2:24" x14ac:dyDescent="0.25">
      <c r="B1215" s="22"/>
      <c r="C1215" s="21"/>
      <c r="W1215" s="22"/>
      <c r="X1215" s="22"/>
    </row>
    <row r="1216" spans="2:24" x14ac:dyDescent="0.25">
      <c r="B1216" s="22"/>
      <c r="C1216" s="21"/>
      <c r="W1216" s="22"/>
      <c r="X1216" s="22"/>
    </row>
    <row r="1217" spans="2:24" x14ac:dyDescent="0.25">
      <c r="B1217" s="22"/>
      <c r="C1217" s="21"/>
      <c r="W1217" s="22"/>
      <c r="X1217" s="22"/>
    </row>
    <row r="1218" spans="2:24" x14ac:dyDescent="0.25">
      <c r="B1218" s="22"/>
      <c r="C1218" s="21"/>
      <c r="W1218" s="22"/>
      <c r="X1218" s="22"/>
    </row>
    <row r="1219" spans="2:24" x14ac:dyDescent="0.25">
      <c r="B1219" s="22"/>
      <c r="C1219" s="21"/>
      <c r="W1219" s="22"/>
      <c r="X1219" s="22"/>
    </row>
    <row r="1220" spans="2:24" x14ac:dyDescent="0.25">
      <c r="B1220" s="22"/>
      <c r="C1220" s="21"/>
      <c r="W1220" s="22"/>
      <c r="X1220" s="22"/>
    </row>
    <row r="1221" spans="2:24" x14ac:dyDescent="0.25">
      <c r="B1221" s="22"/>
      <c r="C1221" s="21"/>
      <c r="W1221" s="22"/>
      <c r="X1221" s="22"/>
    </row>
    <row r="1222" spans="2:24" x14ac:dyDescent="0.25">
      <c r="B1222" s="22"/>
      <c r="C1222" s="21"/>
      <c r="W1222" s="22"/>
      <c r="X1222" s="22"/>
    </row>
    <row r="1223" spans="2:24" x14ac:dyDescent="0.25">
      <c r="B1223" s="22"/>
      <c r="C1223" s="21"/>
      <c r="W1223" s="22"/>
      <c r="X1223" s="22"/>
    </row>
    <row r="1224" spans="2:24" x14ac:dyDescent="0.25">
      <c r="B1224" s="22"/>
      <c r="C1224" s="21"/>
      <c r="W1224" s="22"/>
      <c r="X1224" s="22"/>
    </row>
    <row r="1225" spans="2:24" x14ac:dyDescent="0.25">
      <c r="B1225" s="22"/>
      <c r="C1225" s="21"/>
      <c r="W1225" s="22"/>
      <c r="X1225" s="22"/>
    </row>
    <row r="1226" spans="2:24" x14ac:dyDescent="0.25">
      <c r="B1226" s="22"/>
      <c r="C1226" s="21"/>
      <c r="W1226" s="22"/>
      <c r="X1226" s="22"/>
    </row>
    <row r="1227" spans="2:24" x14ac:dyDescent="0.25">
      <c r="B1227" s="22"/>
      <c r="C1227" s="21"/>
      <c r="W1227" s="22"/>
      <c r="X1227" s="22"/>
    </row>
    <row r="1228" spans="2:24" x14ac:dyDescent="0.25">
      <c r="B1228" s="22"/>
      <c r="C1228" s="21"/>
      <c r="W1228" s="22"/>
      <c r="X1228" s="22"/>
    </row>
    <row r="1229" spans="2:24" x14ac:dyDescent="0.25">
      <c r="B1229" s="22"/>
      <c r="C1229" s="21"/>
      <c r="W1229" s="22"/>
      <c r="X1229" s="22"/>
    </row>
    <row r="1230" spans="2:24" x14ac:dyDescent="0.25">
      <c r="B1230" s="22"/>
      <c r="C1230" s="21"/>
      <c r="W1230" s="22"/>
      <c r="X1230" s="22"/>
    </row>
    <row r="1231" spans="2:24" x14ac:dyDescent="0.25">
      <c r="B1231" s="22"/>
      <c r="C1231" s="21"/>
      <c r="W1231" s="22"/>
      <c r="X1231" s="22"/>
    </row>
    <row r="1232" spans="2:24" x14ac:dyDescent="0.25">
      <c r="B1232" s="22"/>
      <c r="C1232" s="21"/>
      <c r="W1232" s="22"/>
      <c r="X1232" s="22"/>
    </row>
    <row r="1233" spans="2:24" x14ac:dyDescent="0.25">
      <c r="B1233" s="22"/>
      <c r="C1233" s="21"/>
      <c r="W1233" s="22"/>
      <c r="X1233" s="22"/>
    </row>
    <row r="1234" spans="2:24" x14ac:dyDescent="0.25">
      <c r="B1234" s="22"/>
      <c r="C1234" s="21"/>
      <c r="W1234" s="22"/>
      <c r="X1234" s="22"/>
    </row>
    <row r="1235" spans="2:24" x14ac:dyDescent="0.25">
      <c r="B1235" s="22"/>
      <c r="C1235" s="21"/>
      <c r="W1235" s="22"/>
      <c r="X1235" s="22"/>
    </row>
    <row r="1236" spans="2:24" x14ac:dyDescent="0.25">
      <c r="B1236" s="22"/>
      <c r="C1236" s="21"/>
      <c r="W1236" s="22"/>
      <c r="X1236" s="22"/>
    </row>
    <row r="1237" spans="2:24" x14ac:dyDescent="0.25">
      <c r="B1237" s="22"/>
      <c r="C1237" s="21"/>
      <c r="W1237" s="22"/>
      <c r="X1237" s="22"/>
    </row>
    <row r="1238" spans="2:24" x14ac:dyDescent="0.25">
      <c r="B1238" s="22"/>
      <c r="C1238" s="21"/>
      <c r="W1238" s="22"/>
      <c r="X1238" s="22"/>
    </row>
    <row r="1239" spans="2:24" x14ac:dyDescent="0.25">
      <c r="B1239" s="22"/>
      <c r="C1239" s="21"/>
      <c r="W1239" s="22"/>
      <c r="X1239" s="22"/>
    </row>
    <row r="1240" spans="2:24" x14ac:dyDescent="0.25">
      <c r="B1240" s="22"/>
      <c r="C1240" s="21"/>
      <c r="W1240" s="22"/>
      <c r="X1240" s="22"/>
    </row>
    <row r="1241" spans="2:24" x14ac:dyDescent="0.25">
      <c r="B1241" s="22"/>
      <c r="C1241" s="21"/>
      <c r="W1241" s="22"/>
      <c r="X1241" s="22"/>
    </row>
    <row r="1242" spans="2:24" x14ac:dyDescent="0.25">
      <c r="B1242" s="22"/>
      <c r="C1242" s="21"/>
      <c r="W1242" s="22"/>
      <c r="X1242" s="22"/>
    </row>
    <row r="1243" spans="2:24" x14ac:dyDescent="0.25">
      <c r="B1243" s="22"/>
      <c r="C1243" s="21"/>
      <c r="W1243" s="22"/>
      <c r="X1243" s="22"/>
    </row>
    <row r="1244" spans="2:24" x14ac:dyDescent="0.25">
      <c r="B1244" s="22"/>
      <c r="C1244" s="21"/>
      <c r="W1244" s="22"/>
      <c r="X1244" s="22"/>
    </row>
    <row r="1245" spans="2:24" x14ac:dyDescent="0.25">
      <c r="B1245" s="22"/>
      <c r="C1245" s="21"/>
      <c r="W1245" s="22"/>
      <c r="X1245" s="22"/>
    </row>
    <row r="1246" spans="2:24" x14ac:dyDescent="0.25">
      <c r="B1246" s="22"/>
      <c r="C1246" s="21"/>
      <c r="W1246" s="22"/>
      <c r="X1246" s="22"/>
    </row>
    <row r="1247" spans="2:24" x14ac:dyDescent="0.25">
      <c r="B1247" s="22"/>
      <c r="C1247" s="21"/>
      <c r="W1247" s="22"/>
      <c r="X1247" s="22"/>
    </row>
    <row r="1248" spans="2:24" x14ac:dyDescent="0.25">
      <c r="B1248" s="22"/>
      <c r="C1248" s="21"/>
      <c r="W1248" s="22"/>
      <c r="X1248" s="22"/>
    </row>
    <row r="1249" spans="2:24" x14ac:dyDescent="0.25">
      <c r="B1249" s="22"/>
      <c r="C1249" s="21"/>
      <c r="W1249" s="22"/>
      <c r="X1249" s="22"/>
    </row>
    <row r="1250" spans="2:24" x14ac:dyDescent="0.25">
      <c r="B1250" s="22"/>
      <c r="C1250" s="21"/>
      <c r="W1250" s="22"/>
      <c r="X1250" s="22"/>
    </row>
    <row r="1251" spans="2:24" x14ac:dyDescent="0.25">
      <c r="B1251" s="22"/>
      <c r="C1251" s="21"/>
      <c r="W1251" s="22"/>
      <c r="X1251" s="22"/>
    </row>
    <row r="1252" spans="2:24" x14ac:dyDescent="0.25">
      <c r="B1252" s="22"/>
      <c r="C1252" s="21"/>
      <c r="W1252" s="22"/>
      <c r="X1252" s="22"/>
    </row>
    <row r="1253" spans="2:24" x14ac:dyDescent="0.25">
      <c r="B1253" s="22"/>
      <c r="C1253" s="21"/>
      <c r="W1253" s="22"/>
      <c r="X1253" s="22"/>
    </row>
    <row r="1254" spans="2:24" x14ac:dyDescent="0.25">
      <c r="B1254" s="22"/>
      <c r="C1254" s="21"/>
      <c r="W1254" s="22"/>
      <c r="X1254" s="22"/>
    </row>
    <row r="1255" spans="2:24" x14ac:dyDescent="0.25">
      <c r="B1255" s="22"/>
      <c r="C1255" s="21"/>
      <c r="W1255" s="22"/>
      <c r="X1255" s="22"/>
    </row>
    <row r="1256" spans="2:24" x14ac:dyDescent="0.25">
      <c r="B1256" s="22"/>
      <c r="C1256" s="21"/>
      <c r="W1256" s="22"/>
      <c r="X1256" s="22"/>
    </row>
    <row r="1257" spans="2:24" x14ac:dyDescent="0.25">
      <c r="B1257" s="22"/>
      <c r="C1257" s="21"/>
      <c r="W1257" s="22"/>
      <c r="X1257" s="22"/>
    </row>
    <row r="1258" spans="2:24" x14ac:dyDescent="0.25">
      <c r="B1258" s="22"/>
      <c r="C1258" s="21"/>
      <c r="W1258" s="22"/>
      <c r="X1258" s="22"/>
    </row>
    <row r="1259" spans="2:24" x14ac:dyDescent="0.25">
      <c r="B1259" s="22"/>
      <c r="C1259" s="21"/>
      <c r="W1259" s="22"/>
      <c r="X1259" s="22"/>
    </row>
    <row r="1260" spans="2:24" x14ac:dyDescent="0.25">
      <c r="B1260" s="22"/>
      <c r="C1260" s="21"/>
      <c r="W1260" s="22"/>
      <c r="X1260" s="22"/>
    </row>
    <row r="1261" spans="2:24" x14ac:dyDescent="0.25">
      <c r="B1261" s="22"/>
      <c r="C1261" s="21"/>
      <c r="W1261" s="22"/>
      <c r="X1261" s="22"/>
    </row>
    <row r="1262" spans="2:24" x14ac:dyDescent="0.25">
      <c r="B1262" s="22"/>
      <c r="C1262" s="21"/>
      <c r="W1262" s="22"/>
      <c r="X1262" s="22"/>
    </row>
    <row r="1263" spans="2:24" x14ac:dyDescent="0.25">
      <c r="B1263" s="22"/>
      <c r="C1263" s="21"/>
      <c r="W1263" s="22"/>
      <c r="X1263" s="22"/>
    </row>
    <row r="1264" spans="2:24" x14ac:dyDescent="0.25">
      <c r="B1264" s="22"/>
      <c r="C1264" s="21"/>
      <c r="W1264" s="22"/>
      <c r="X1264" s="22"/>
    </row>
    <row r="1265" spans="2:24" x14ac:dyDescent="0.25">
      <c r="B1265" s="22"/>
      <c r="C1265" s="21"/>
      <c r="W1265" s="22"/>
      <c r="X1265" s="22"/>
    </row>
    <row r="1266" spans="2:24" x14ac:dyDescent="0.25">
      <c r="B1266" s="22"/>
      <c r="C1266" s="21"/>
      <c r="W1266" s="22"/>
      <c r="X1266" s="22"/>
    </row>
    <row r="1267" spans="2:24" x14ac:dyDescent="0.25">
      <c r="B1267" s="22"/>
      <c r="C1267" s="21"/>
      <c r="W1267" s="22"/>
      <c r="X1267" s="22"/>
    </row>
    <row r="1268" spans="2:24" x14ac:dyDescent="0.25">
      <c r="B1268" s="22"/>
      <c r="C1268" s="21"/>
      <c r="W1268" s="22"/>
      <c r="X1268" s="22"/>
    </row>
    <row r="1269" spans="2:24" x14ac:dyDescent="0.25">
      <c r="B1269" s="22"/>
      <c r="C1269" s="21"/>
      <c r="W1269" s="22"/>
      <c r="X1269" s="22"/>
    </row>
    <row r="1270" spans="2:24" x14ac:dyDescent="0.25">
      <c r="B1270" s="22"/>
      <c r="C1270" s="21"/>
      <c r="W1270" s="22"/>
      <c r="X1270" s="22"/>
    </row>
    <row r="1271" spans="2:24" x14ac:dyDescent="0.25">
      <c r="B1271" s="22"/>
      <c r="C1271" s="21"/>
      <c r="W1271" s="22"/>
      <c r="X1271" s="22"/>
    </row>
    <row r="1272" spans="2:24" x14ac:dyDescent="0.25">
      <c r="B1272" s="22"/>
      <c r="C1272" s="21"/>
      <c r="W1272" s="22"/>
      <c r="X1272" s="22"/>
    </row>
    <row r="1273" spans="2:24" x14ac:dyDescent="0.25">
      <c r="B1273" s="22"/>
      <c r="C1273" s="21"/>
      <c r="W1273" s="22"/>
      <c r="X1273" s="22"/>
    </row>
    <row r="1274" spans="2:24" x14ac:dyDescent="0.25">
      <c r="B1274" s="22"/>
      <c r="C1274" s="21"/>
      <c r="W1274" s="22"/>
      <c r="X1274" s="22"/>
    </row>
    <row r="1275" spans="2:24" x14ac:dyDescent="0.25">
      <c r="B1275" s="22"/>
      <c r="C1275" s="21"/>
      <c r="W1275" s="22"/>
      <c r="X1275" s="22"/>
    </row>
    <row r="1276" spans="2:24" x14ac:dyDescent="0.25">
      <c r="B1276" s="22"/>
      <c r="C1276" s="21"/>
      <c r="W1276" s="22"/>
      <c r="X1276" s="22"/>
    </row>
    <row r="1277" spans="2:24" x14ac:dyDescent="0.25">
      <c r="B1277" s="22"/>
      <c r="C1277" s="21"/>
      <c r="W1277" s="22"/>
      <c r="X1277" s="22"/>
    </row>
    <row r="1278" spans="2:24" x14ac:dyDescent="0.25">
      <c r="B1278" s="22"/>
      <c r="C1278" s="21"/>
      <c r="W1278" s="22"/>
      <c r="X1278" s="22"/>
    </row>
    <row r="1279" spans="2:24" x14ac:dyDescent="0.25">
      <c r="B1279" s="22"/>
      <c r="C1279" s="21"/>
      <c r="W1279" s="22"/>
      <c r="X1279" s="22"/>
    </row>
    <row r="1280" spans="2:24" x14ac:dyDescent="0.25">
      <c r="B1280" s="22"/>
      <c r="C1280" s="21"/>
      <c r="W1280" s="22"/>
      <c r="X1280" s="22"/>
    </row>
    <row r="1281" spans="2:24" x14ac:dyDescent="0.25">
      <c r="B1281" s="22"/>
      <c r="C1281" s="21"/>
      <c r="W1281" s="22"/>
      <c r="X1281" s="22"/>
    </row>
    <row r="1282" spans="2:24" x14ac:dyDescent="0.25">
      <c r="B1282" s="22"/>
      <c r="C1282" s="21"/>
      <c r="W1282" s="22"/>
      <c r="X1282" s="22"/>
    </row>
    <row r="1283" spans="2:24" x14ac:dyDescent="0.25">
      <c r="B1283" s="22"/>
      <c r="C1283" s="21"/>
      <c r="W1283" s="22"/>
      <c r="X1283" s="22"/>
    </row>
    <row r="1284" spans="2:24" x14ac:dyDescent="0.25">
      <c r="B1284" s="22"/>
      <c r="C1284" s="21"/>
      <c r="W1284" s="22"/>
      <c r="X1284" s="22"/>
    </row>
    <row r="1285" spans="2:24" x14ac:dyDescent="0.25">
      <c r="B1285" s="22"/>
      <c r="C1285" s="21"/>
      <c r="W1285" s="22"/>
      <c r="X1285" s="22"/>
    </row>
    <row r="1286" spans="2:24" x14ac:dyDescent="0.25">
      <c r="B1286" s="22"/>
      <c r="C1286" s="21"/>
      <c r="W1286" s="22"/>
      <c r="X1286" s="22"/>
    </row>
    <row r="1287" spans="2:24" x14ac:dyDescent="0.25">
      <c r="B1287" s="22"/>
      <c r="C1287" s="21"/>
      <c r="W1287" s="22"/>
      <c r="X1287" s="22"/>
    </row>
    <row r="1288" spans="2:24" x14ac:dyDescent="0.25">
      <c r="B1288" s="22"/>
      <c r="C1288" s="21"/>
      <c r="W1288" s="22"/>
      <c r="X1288" s="22"/>
    </row>
    <row r="1289" spans="2:24" x14ac:dyDescent="0.25">
      <c r="B1289" s="22"/>
      <c r="C1289" s="21"/>
      <c r="W1289" s="22"/>
      <c r="X1289" s="22"/>
    </row>
    <row r="1290" spans="2:24" x14ac:dyDescent="0.25">
      <c r="B1290" s="22"/>
      <c r="C1290" s="21"/>
      <c r="W1290" s="22"/>
      <c r="X1290" s="22"/>
    </row>
    <row r="1291" spans="2:24" x14ac:dyDescent="0.25">
      <c r="B1291" s="22"/>
      <c r="C1291" s="21"/>
      <c r="W1291" s="22"/>
      <c r="X1291" s="22"/>
    </row>
    <row r="1292" spans="2:24" x14ac:dyDescent="0.25">
      <c r="B1292" s="22"/>
      <c r="C1292" s="21"/>
      <c r="W1292" s="22"/>
      <c r="X1292" s="22"/>
    </row>
    <row r="1293" spans="2:24" x14ac:dyDescent="0.25">
      <c r="B1293" s="22"/>
      <c r="C1293" s="21"/>
      <c r="W1293" s="22"/>
      <c r="X1293" s="22"/>
    </row>
    <row r="1294" spans="2:24" x14ac:dyDescent="0.25">
      <c r="B1294" s="22"/>
      <c r="C1294" s="21"/>
      <c r="W1294" s="22"/>
      <c r="X1294" s="22"/>
    </row>
    <row r="1295" spans="2:24" x14ac:dyDescent="0.25">
      <c r="B1295" s="22"/>
      <c r="C1295" s="21"/>
      <c r="W1295" s="22"/>
      <c r="X1295" s="22"/>
    </row>
    <row r="1296" spans="2:24" x14ac:dyDescent="0.25">
      <c r="B1296" s="22"/>
      <c r="C1296" s="21"/>
      <c r="W1296" s="22"/>
      <c r="X1296" s="22"/>
    </row>
    <row r="1297" spans="2:24" x14ac:dyDescent="0.25">
      <c r="B1297" s="22"/>
      <c r="C1297" s="21"/>
      <c r="W1297" s="22"/>
      <c r="X1297" s="22"/>
    </row>
    <row r="1298" spans="2:24" x14ac:dyDescent="0.25">
      <c r="B1298" s="22"/>
      <c r="C1298" s="21"/>
      <c r="W1298" s="22"/>
      <c r="X1298" s="22"/>
    </row>
    <row r="1299" spans="2:24" x14ac:dyDescent="0.25">
      <c r="B1299" s="22"/>
      <c r="C1299" s="21"/>
      <c r="W1299" s="22"/>
      <c r="X1299" s="22"/>
    </row>
    <row r="1300" spans="2:24" x14ac:dyDescent="0.25">
      <c r="B1300" s="22"/>
      <c r="C1300" s="21"/>
      <c r="W1300" s="22"/>
      <c r="X1300" s="22"/>
    </row>
    <row r="1301" spans="2:24" x14ac:dyDescent="0.25">
      <c r="B1301" s="22"/>
      <c r="C1301" s="21"/>
      <c r="W1301" s="22"/>
      <c r="X1301" s="22"/>
    </row>
    <row r="1302" spans="2:24" x14ac:dyDescent="0.25">
      <c r="B1302" s="22"/>
      <c r="C1302" s="21"/>
      <c r="W1302" s="22"/>
      <c r="X1302" s="22"/>
    </row>
    <row r="1303" spans="2:24" x14ac:dyDescent="0.25">
      <c r="B1303" s="22"/>
      <c r="C1303" s="21"/>
      <c r="W1303" s="22"/>
      <c r="X1303" s="22"/>
    </row>
    <row r="1304" spans="2:24" x14ac:dyDescent="0.25">
      <c r="B1304" s="22"/>
      <c r="C1304" s="21"/>
      <c r="W1304" s="22"/>
      <c r="X1304" s="22"/>
    </row>
    <row r="1305" spans="2:24" x14ac:dyDescent="0.25">
      <c r="B1305" s="22"/>
      <c r="C1305" s="21"/>
      <c r="W1305" s="22"/>
      <c r="X1305" s="22"/>
    </row>
    <row r="1306" spans="2:24" x14ac:dyDescent="0.25">
      <c r="B1306" s="22"/>
      <c r="C1306" s="21"/>
      <c r="W1306" s="22"/>
      <c r="X1306" s="22"/>
    </row>
    <row r="1307" spans="2:24" x14ac:dyDescent="0.25">
      <c r="B1307" s="22"/>
      <c r="C1307" s="21"/>
      <c r="W1307" s="22"/>
      <c r="X1307" s="22"/>
    </row>
    <row r="1308" spans="2:24" x14ac:dyDescent="0.25">
      <c r="B1308" s="22"/>
      <c r="C1308" s="21"/>
      <c r="W1308" s="22"/>
      <c r="X1308" s="22"/>
    </row>
    <row r="1309" spans="2:24" x14ac:dyDescent="0.25">
      <c r="B1309" s="22"/>
      <c r="C1309" s="21"/>
      <c r="W1309" s="22"/>
      <c r="X1309" s="22"/>
    </row>
    <row r="1310" spans="2:24" x14ac:dyDescent="0.25">
      <c r="B1310" s="22"/>
      <c r="C1310" s="21"/>
      <c r="W1310" s="22"/>
      <c r="X1310" s="22"/>
    </row>
    <row r="1311" spans="2:24" x14ac:dyDescent="0.25">
      <c r="B1311" s="22"/>
      <c r="C1311" s="21"/>
      <c r="W1311" s="22"/>
      <c r="X1311" s="22"/>
    </row>
    <row r="1312" spans="2:24" x14ac:dyDescent="0.25">
      <c r="B1312" s="22"/>
      <c r="C1312" s="21"/>
      <c r="W1312" s="22"/>
      <c r="X1312" s="22"/>
    </row>
    <row r="1313" spans="2:24" x14ac:dyDescent="0.25">
      <c r="B1313" s="22"/>
      <c r="C1313" s="21"/>
      <c r="W1313" s="22"/>
      <c r="X1313" s="22"/>
    </row>
    <row r="1314" spans="2:24" x14ac:dyDescent="0.25">
      <c r="B1314" s="22"/>
      <c r="C1314" s="21"/>
      <c r="W1314" s="22"/>
      <c r="X1314" s="22"/>
    </row>
    <row r="1315" spans="2:24" x14ac:dyDescent="0.25">
      <c r="B1315" s="22"/>
      <c r="C1315" s="21"/>
      <c r="W1315" s="22"/>
      <c r="X1315" s="22"/>
    </row>
    <row r="1316" spans="2:24" x14ac:dyDescent="0.25">
      <c r="B1316" s="22"/>
      <c r="C1316" s="21"/>
      <c r="W1316" s="22"/>
      <c r="X1316" s="22"/>
    </row>
    <row r="1317" spans="2:24" x14ac:dyDescent="0.25">
      <c r="B1317" s="22"/>
      <c r="C1317" s="21"/>
      <c r="W1317" s="22"/>
      <c r="X1317" s="22"/>
    </row>
    <row r="1318" spans="2:24" x14ac:dyDescent="0.25">
      <c r="B1318" s="22"/>
      <c r="C1318" s="21"/>
      <c r="W1318" s="22"/>
      <c r="X1318" s="22"/>
    </row>
    <row r="1319" spans="2:24" x14ac:dyDescent="0.25">
      <c r="B1319" s="22"/>
      <c r="C1319" s="21"/>
      <c r="W1319" s="22"/>
      <c r="X1319" s="22"/>
    </row>
    <row r="1320" spans="2:24" x14ac:dyDescent="0.25">
      <c r="B1320" s="22"/>
      <c r="C1320" s="21"/>
      <c r="W1320" s="22"/>
      <c r="X1320" s="22"/>
    </row>
    <row r="1321" spans="2:24" x14ac:dyDescent="0.25">
      <c r="B1321" s="22"/>
      <c r="C1321" s="21"/>
      <c r="W1321" s="22"/>
      <c r="X1321" s="22"/>
    </row>
    <row r="1322" spans="2:24" x14ac:dyDescent="0.25">
      <c r="B1322" s="22"/>
      <c r="C1322" s="21"/>
      <c r="W1322" s="22"/>
      <c r="X1322" s="22"/>
    </row>
    <row r="1323" spans="2:24" x14ac:dyDescent="0.25">
      <c r="B1323" s="22"/>
      <c r="C1323" s="21"/>
      <c r="W1323" s="22"/>
      <c r="X1323" s="22"/>
    </row>
    <row r="1324" spans="2:24" x14ac:dyDescent="0.25">
      <c r="B1324" s="22"/>
      <c r="C1324" s="21"/>
      <c r="W1324" s="22"/>
      <c r="X1324" s="22"/>
    </row>
    <row r="1325" spans="2:24" x14ac:dyDescent="0.25">
      <c r="B1325" s="22"/>
      <c r="C1325" s="21"/>
      <c r="W1325" s="22"/>
      <c r="X1325" s="22"/>
    </row>
    <row r="1326" spans="2:24" x14ac:dyDescent="0.25">
      <c r="B1326" s="22"/>
      <c r="C1326" s="21"/>
      <c r="W1326" s="22"/>
      <c r="X1326" s="22"/>
    </row>
    <row r="1327" spans="2:24" x14ac:dyDescent="0.25">
      <c r="B1327" s="22"/>
      <c r="C1327" s="21"/>
      <c r="W1327" s="22"/>
      <c r="X1327" s="22"/>
    </row>
    <row r="1328" spans="2:24" x14ac:dyDescent="0.25">
      <c r="B1328" s="22"/>
      <c r="C1328" s="21"/>
      <c r="W1328" s="22"/>
      <c r="X1328" s="22"/>
    </row>
    <row r="1329" spans="2:24" x14ac:dyDescent="0.25">
      <c r="B1329" s="22"/>
      <c r="C1329" s="21"/>
      <c r="W1329" s="22"/>
      <c r="X1329" s="22"/>
    </row>
    <row r="1330" spans="2:24" x14ac:dyDescent="0.25">
      <c r="B1330" s="22"/>
      <c r="C1330" s="21"/>
      <c r="W1330" s="22"/>
      <c r="X1330" s="22"/>
    </row>
    <row r="1331" spans="2:24" x14ac:dyDescent="0.25">
      <c r="B1331" s="22"/>
      <c r="C1331" s="21"/>
      <c r="W1331" s="22"/>
      <c r="X1331" s="22"/>
    </row>
    <row r="1332" spans="2:24" x14ac:dyDescent="0.25">
      <c r="B1332" s="22"/>
      <c r="C1332" s="21"/>
      <c r="W1332" s="22"/>
      <c r="X1332" s="22"/>
    </row>
    <row r="1333" spans="2:24" x14ac:dyDescent="0.25">
      <c r="B1333" s="22"/>
      <c r="C1333" s="21"/>
      <c r="W1333" s="22"/>
      <c r="X1333" s="22"/>
    </row>
    <row r="1334" spans="2:24" x14ac:dyDescent="0.25">
      <c r="B1334" s="22"/>
      <c r="C1334" s="21"/>
      <c r="W1334" s="22"/>
      <c r="X1334" s="22"/>
    </row>
    <row r="1335" spans="2:24" x14ac:dyDescent="0.25">
      <c r="B1335" s="22"/>
      <c r="C1335" s="21"/>
      <c r="W1335" s="22"/>
      <c r="X1335" s="22"/>
    </row>
    <row r="1336" spans="2:24" x14ac:dyDescent="0.25">
      <c r="B1336" s="22"/>
      <c r="C1336" s="21"/>
      <c r="W1336" s="22"/>
      <c r="X1336" s="22"/>
    </row>
    <row r="1337" spans="2:24" x14ac:dyDescent="0.25">
      <c r="B1337" s="22"/>
      <c r="C1337" s="21"/>
      <c r="W1337" s="22"/>
      <c r="X1337" s="22"/>
    </row>
    <row r="1338" spans="2:24" x14ac:dyDescent="0.25">
      <c r="B1338" s="22"/>
      <c r="C1338" s="21"/>
      <c r="W1338" s="22"/>
      <c r="X1338" s="22"/>
    </row>
    <row r="1339" spans="2:24" x14ac:dyDescent="0.25">
      <c r="B1339" s="22"/>
      <c r="C1339" s="21"/>
      <c r="W1339" s="22"/>
      <c r="X1339" s="22"/>
    </row>
    <row r="1340" spans="2:24" x14ac:dyDescent="0.25">
      <c r="B1340" s="22"/>
      <c r="C1340" s="21"/>
      <c r="W1340" s="22"/>
      <c r="X1340" s="22"/>
    </row>
    <row r="1341" spans="2:24" x14ac:dyDescent="0.25">
      <c r="B1341" s="22"/>
      <c r="C1341" s="21"/>
      <c r="W1341" s="22"/>
      <c r="X1341" s="22"/>
    </row>
    <row r="1342" spans="2:24" x14ac:dyDescent="0.25">
      <c r="B1342" s="22"/>
      <c r="C1342" s="21"/>
      <c r="W1342" s="22"/>
      <c r="X1342" s="22"/>
    </row>
    <row r="1343" spans="2:24" x14ac:dyDescent="0.25">
      <c r="B1343" s="22"/>
      <c r="C1343" s="21"/>
      <c r="W1343" s="22"/>
      <c r="X1343" s="22"/>
    </row>
    <row r="1344" spans="2:24" x14ac:dyDescent="0.25">
      <c r="B1344" s="22"/>
      <c r="C1344" s="21"/>
      <c r="W1344" s="22"/>
      <c r="X1344" s="22"/>
    </row>
    <row r="1345" spans="2:24" x14ac:dyDescent="0.25">
      <c r="B1345" s="22"/>
      <c r="C1345" s="21"/>
      <c r="W1345" s="22"/>
      <c r="X1345" s="22"/>
    </row>
    <row r="1346" spans="2:24" x14ac:dyDescent="0.25">
      <c r="B1346" s="22"/>
      <c r="C1346" s="21"/>
      <c r="W1346" s="22"/>
      <c r="X1346" s="22"/>
    </row>
    <row r="1347" spans="2:24" x14ac:dyDescent="0.25">
      <c r="B1347" s="22"/>
      <c r="C1347" s="21"/>
      <c r="W1347" s="22"/>
      <c r="X1347" s="22"/>
    </row>
    <row r="1348" spans="2:24" x14ac:dyDescent="0.25">
      <c r="B1348" s="22"/>
      <c r="C1348" s="21"/>
      <c r="W1348" s="22"/>
      <c r="X1348" s="22"/>
    </row>
    <row r="1349" spans="2:24" x14ac:dyDescent="0.25">
      <c r="B1349" s="22"/>
      <c r="C1349" s="21"/>
      <c r="W1349" s="22"/>
      <c r="X1349" s="22"/>
    </row>
    <row r="1350" spans="2:24" x14ac:dyDescent="0.25">
      <c r="B1350" s="22"/>
      <c r="C1350" s="21"/>
      <c r="W1350" s="22"/>
      <c r="X1350" s="22"/>
    </row>
    <row r="1351" spans="2:24" x14ac:dyDescent="0.25">
      <c r="B1351" s="22"/>
      <c r="C1351" s="21"/>
      <c r="W1351" s="22"/>
      <c r="X1351" s="22"/>
    </row>
    <row r="1352" spans="2:24" x14ac:dyDescent="0.25">
      <c r="B1352" s="22"/>
      <c r="C1352" s="21"/>
      <c r="W1352" s="22"/>
      <c r="X1352" s="22"/>
    </row>
    <row r="1353" spans="2:24" x14ac:dyDescent="0.25">
      <c r="B1353" s="22"/>
      <c r="C1353" s="21"/>
      <c r="W1353" s="22"/>
      <c r="X1353" s="22"/>
    </row>
    <row r="1354" spans="2:24" x14ac:dyDescent="0.25">
      <c r="B1354" s="22"/>
      <c r="C1354" s="21"/>
      <c r="W1354" s="22"/>
      <c r="X1354" s="22"/>
    </row>
    <row r="1355" spans="2:24" x14ac:dyDescent="0.25">
      <c r="B1355" s="22"/>
      <c r="C1355" s="21"/>
      <c r="W1355" s="22"/>
      <c r="X1355" s="22"/>
    </row>
    <row r="1356" spans="2:24" x14ac:dyDescent="0.25">
      <c r="B1356" s="22"/>
      <c r="C1356" s="21"/>
      <c r="W1356" s="22"/>
      <c r="X1356" s="22"/>
    </row>
    <row r="1357" spans="2:24" x14ac:dyDescent="0.25">
      <c r="B1357" s="22"/>
      <c r="C1357" s="21"/>
      <c r="W1357" s="22"/>
      <c r="X1357" s="22"/>
    </row>
    <row r="1358" spans="2:24" x14ac:dyDescent="0.25">
      <c r="B1358" s="22"/>
      <c r="C1358" s="21"/>
      <c r="W1358" s="22"/>
      <c r="X1358" s="22"/>
    </row>
    <row r="1359" spans="2:24" x14ac:dyDescent="0.25">
      <c r="B1359" s="22"/>
      <c r="C1359" s="21"/>
      <c r="W1359" s="22"/>
      <c r="X1359" s="22"/>
    </row>
    <row r="1360" spans="2:24" x14ac:dyDescent="0.25">
      <c r="B1360" s="22"/>
      <c r="C1360" s="21"/>
      <c r="W1360" s="22"/>
      <c r="X1360" s="22"/>
    </row>
    <row r="1361" spans="2:24" x14ac:dyDescent="0.25">
      <c r="B1361" s="22"/>
      <c r="C1361" s="21"/>
      <c r="W1361" s="22"/>
      <c r="X1361" s="22"/>
    </row>
    <row r="1362" spans="2:24" x14ac:dyDescent="0.25">
      <c r="B1362" s="22"/>
      <c r="C1362" s="21"/>
      <c r="W1362" s="22"/>
      <c r="X1362" s="22"/>
    </row>
    <row r="1363" spans="2:24" x14ac:dyDescent="0.25">
      <c r="B1363" s="22"/>
      <c r="C1363" s="21"/>
      <c r="W1363" s="22"/>
      <c r="X1363" s="22"/>
    </row>
    <row r="1364" spans="2:24" x14ac:dyDescent="0.25">
      <c r="B1364" s="22"/>
      <c r="C1364" s="21"/>
      <c r="W1364" s="22"/>
      <c r="X1364" s="22"/>
    </row>
    <row r="1365" spans="2:24" x14ac:dyDescent="0.25">
      <c r="B1365" s="22"/>
      <c r="C1365" s="21"/>
      <c r="W1365" s="22"/>
      <c r="X1365" s="22"/>
    </row>
    <row r="1366" spans="2:24" x14ac:dyDescent="0.25">
      <c r="B1366" s="22"/>
      <c r="C1366" s="21"/>
      <c r="W1366" s="22"/>
      <c r="X1366" s="22"/>
    </row>
    <row r="1367" spans="2:24" x14ac:dyDescent="0.25">
      <c r="B1367" s="22"/>
      <c r="C1367" s="21"/>
      <c r="W1367" s="22"/>
      <c r="X1367" s="22"/>
    </row>
    <row r="1368" spans="2:24" x14ac:dyDescent="0.25">
      <c r="B1368" s="22"/>
      <c r="C1368" s="21"/>
      <c r="W1368" s="22"/>
      <c r="X1368" s="22"/>
    </row>
    <row r="1369" spans="2:24" x14ac:dyDescent="0.25">
      <c r="B1369" s="22"/>
      <c r="C1369" s="21"/>
      <c r="W1369" s="22"/>
      <c r="X1369" s="22"/>
    </row>
    <row r="1370" spans="2:24" x14ac:dyDescent="0.25">
      <c r="B1370" s="22"/>
      <c r="C1370" s="21"/>
      <c r="W1370" s="22"/>
      <c r="X1370" s="22"/>
    </row>
    <row r="1371" spans="2:24" x14ac:dyDescent="0.25">
      <c r="B1371" s="22"/>
      <c r="C1371" s="21"/>
      <c r="W1371" s="22"/>
      <c r="X1371" s="22"/>
    </row>
    <row r="1372" spans="2:24" x14ac:dyDescent="0.25">
      <c r="B1372" s="22"/>
      <c r="C1372" s="21"/>
      <c r="W1372" s="22"/>
      <c r="X1372" s="22"/>
    </row>
    <row r="1373" spans="2:24" x14ac:dyDescent="0.25">
      <c r="B1373" s="22"/>
      <c r="C1373" s="21"/>
      <c r="W1373" s="22"/>
      <c r="X1373" s="22"/>
    </row>
    <row r="1374" spans="2:24" x14ac:dyDescent="0.25">
      <c r="B1374" s="22"/>
      <c r="C1374" s="21"/>
      <c r="W1374" s="22"/>
      <c r="X1374" s="22"/>
    </row>
    <row r="1375" spans="2:24" x14ac:dyDescent="0.25">
      <c r="B1375" s="22"/>
      <c r="C1375" s="21"/>
      <c r="W1375" s="22"/>
      <c r="X1375" s="22"/>
    </row>
    <row r="1376" spans="2:24" x14ac:dyDescent="0.25">
      <c r="B1376" s="22"/>
      <c r="C1376" s="21"/>
      <c r="W1376" s="22"/>
      <c r="X1376" s="22"/>
    </row>
    <row r="1377" spans="2:24" x14ac:dyDescent="0.25">
      <c r="B1377" s="22"/>
      <c r="C1377" s="21"/>
      <c r="W1377" s="22"/>
      <c r="X1377" s="22"/>
    </row>
    <row r="1378" spans="2:24" x14ac:dyDescent="0.25">
      <c r="B1378" s="22"/>
      <c r="C1378" s="21"/>
      <c r="W1378" s="22"/>
      <c r="X1378" s="22"/>
    </row>
    <row r="1379" spans="2:24" x14ac:dyDescent="0.25">
      <c r="B1379" s="22"/>
      <c r="C1379" s="21"/>
      <c r="W1379" s="22"/>
      <c r="X1379" s="22"/>
    </row>
    <row r="1380" spans="2:24" x14ac:dyDescent="0.25">
      <c r="B1380" s="22"/>
      <c r="C1380" s="21"/>
      <c r="W1380" s="22"/>
      <c r="X1380" s="22"/>
    </row>
    <row r="1381" spans="2:24" x14ac:dyDescent="0.25">
      <c r="B1381" s="22"/>
      <c r="C1381" s="21"/>
      <c r="W1381" s="22"/>
      <c r="X1381" s="22"/>
    </row>
    <row r="1382" spans="2:24" x14ac:dyDescent="0.25">
      <c r="B1382" s="22"/>
      <c r="C1382" s="21"/>
      <c r="W1382" s="22"/>
      <c r="X1382" s="22"/>
    </row>
    <row r="1383" spans="2:24" x14ac:dyDescent="0.25">
      <c r="B1383" s="22"/>
      <c r="C1383" s="21"/>
      <c r="W1383" s="22"/>
      <c r="X1383" s="22"/>
    </row>
    <row r="1384" spans="2:24" x14ac:dyDescent="0.25">
      <c r="B1384" s="22"/>
      <c r="C1384" s="21"/>
      <c r="W1384" s="22"/>
      <c r="X1384" s="22"/>
    </row>
    <row r="1385" spans="2:24" x14ac:dyDescent="0.25">
      <c r="B1385" s="22"/>
      <c r="C1385" s="21"/>
      <c r="W1385" s="22"/>
      <c r="X1385" s="22"/>
    </row>
    <row r="1386" spans="2:24" x14ac:dyDescent="0.25">
      <c r="B1386" s="22"/>
      <c r="C1386" s="21"/>
      <c r="W1386" s="22"/>
      <c r="X1386" s="22"/>
    </row>
    <row r="1387" spans="2:24" x14ac:dyDescent="0.25">
      <c r="B1387" s="22"/>
      <c r="C1387" s="21"/>
      <c r="W1387" s="22"/>
      <c r="X1387" s="22"/>
    </row>
    <row r="1388" spans="2:24" x14ac:dyDescent="0.25">
      <c r="B1388" s="22"/>
      <c r="C1388" s="21"/>
      <c r="W1388" s="22"/>
      <c r="X1388" s="22"/>
    </row>
    <row r="1389" spans="2:24" x14ac:dyDescent="0.25">
      <c r="B1389" s="22"/>
      <c r="C1389" s="21"/>
      <c r="W1389" s="22"/>
      <c r="X1389" s="22"/>
    </row>
    <row r="1390" spans="2:24" x14ac:dyDescent="0.25">
      <c r="B1390" s="22"/>
      <c r="C1390" s="21"/>
      <c r="W1390" s="22"/>
      <c r="X1390" s="22"/>
    </row>
    <row r="1391" spans="2:24" x14ac:dyDescent="0.25">
      <c r="B1391" s="22"/>
      <c r="C1391" s="21"/>
      <c r="W1391" s="22"/>
      <c r="X1391" s="22"/>
    </row>
    <row r="1392" spans="2:24" x14ac:dyDescent="0.25">
      <c r="B1392" s="22"/>
      <c r="C1392" s="21"/>
      <c r="W1392" s="22"/>
      <c r="X1392" s="22"/>
    </row>
    <row r="1393" spans="2:24" x14ac:dyDescent="0.25">
      <c r="B1393" s="22"/>
      <c r="C1393" s="21"/>
      <c r="W1393" s="22"/>
      <c r="X1393" s="22"/>
    </row>
    <row r="1394" spans="2:24" x14ac:dyDescent="0.25">
      <c r="B1394" s="22"/>
      <c r="C1394" s="21"/>
      <c r="W1394" s="22"/>
      <c r="X1394" s="22"/>
    </row>
    <row r="1395" spans="2:24" x14ac:dyDescent="0.25">
      <c r="B1395" s="22"/>
      <c r="C1395" s="21"/>
      <c r="W1395" s="22"/>
      <c r="X1395" s="22"/>
    </row>
    <row r="1396" spans="2:24" x14ac:dyDescent="0.25">
      <c r="B1396" s="22"/>
      <c r="C1396" s="21"/>
      <c r="W1396" s="22"/>
      <c r="X1396" s="22"/>
    </row>
    <row r="1397" spans="2:24" x14ac:dyDescent="0.25">
      <c r="B1397" s="22"/>
      <c r="C1397" s="21"/>
      <c r="W1397" s="22"/>
      <c r="X1397" s="22"/>
    </row>
    <row r="1398" spans="2:24" x14ac:dyDescent="0.25">
      <c r="B1398" s="22"/>
      <c r="C1398" s="21"/>
      <c r="W1398" s="22"/>
      <c r="X1398" s="22"/>
    </row>
    <row r="1399" spans="2:24" x14ac:dyDescent="0.25">
      <c r="B1399" s="22"/>
      <c r="C1399" s="21"/>
      <c r="W1399" s="22"/>
      <c r="X1399" s="22"/>
    </row>
    <row r="1400" spans="2:24" x14ac:dyDescent="0.25">
      <c r="B1400" s="22"/>
      <c r="C1400" s="21"/>
      <c r="W1400" s="22"/>
      <c r="X1400" s="22"/>
    </row>
    <row r="1401" spans="2:24" x14ac:dyDescent="0.25">
      <c r="B1401" s="22"/>
      <c r="C1401" s="21"/>
      <c r="W1401" s="22"/>
      <c r="X1401" s="22"/>
    </row>
    <row r="1402" spans="2:24" x14ac:dyDescent="0.25">
      <c r="B1402" s="22"/>
      <c r="C1402" s="21"/>
      <c r="W1402" s="22"/>
      <c r="X1402" s="22"/>
    </row>
    <row r="1403" spans="2:24" x14ac:dyDescent="0.25">
      <c r="B1403" s="22"/>
      <c r="C1403" s="21"/>
      <c r="W1403" s="22"/>
      <c r="X1403" s="22"/>
    </row>
    <row r="1404" spans="2:24" x14ac:dyDescent="0.25">
      <c r="B1404" s="22"/>
      <c r="C1404" s="21"/>
      <c r="W1404" s="22"/>
      <c r="X1404" s="22"/>
    </row>
    <row r="1405" spans="2:24" x14ac:dyDescent="0.25">
      <c r="B1405" s="22"/>
      <c r="C1405" s="21"/>
      <c r="W1405" s="22"/>
      <c r="X1405" s="22"/>
    </row>
    <row r="1406" spans="2:24" x14ac:dyDescent="0.25">
      <c r="B1406" s="22"/>
      <c r="C1406" s="21"/>
      <c r="W1406" s="22"/>
      <c r="X1406" s="22"/>
    </row>
    <row r="1407" spans="2:24" x14ac:dyDescent="0.25">
      <c r="B1407" s="22"/>
      <c r="C1407" s="21"/>
      <c r="W1407" s="22"/>
      <c r="X1407" s="22"/>
    </row>
    <row r="1408" spans="2:24" x14ac:dyDescent="0.25">
      <c r="B1408" s="22"/>
      <c r="C1408" s="21"/>
      <c r="W1408" s="22"/>
      <c r="X1408" s="22"/>
    </row>
    <row r="1409" spans="2:24" x14ac:dyDescent="0.25">
      <c r="B1409" s="22"/>
      <c r="C1409" s="21"/>
      <c r="W1409" s="22"/>
      <c r="X1409" s="22"/>
    </row>
    <row r="1410" spans="2:24" x14ac:dyDescent="0.25">
      <c r="B1410" s="22"/>
      <c r="C1410" s="21"/>
      <c r="W1410" s="22"/>
      <c r="X1410" s="22"/>
    </row>
    <row r="1411" spans="2:24" x14ac:dyDescent="0.25">
      <c r="B1411" s="22"/>
      <c r="C1411" s="21"/>
      <c r="W1411" s="22"/>
      <c r="X1411" s="22"/>
    </row>
    <row r="1412" spans="2:24" x14ac:dyDescent="0.25">
      <c r="B1412" s="22"/>
      <c r="C1412" s="21"/>
      <c r="W1412" s="22"/>
      <c r="X1412" s="22"/>
    </row>
    <row r="1413" spans="2:24" x14ac:dyDescent="0.25">
      <c r="B1413" s="22"/>
      <c r="C1413" s="21"/>
      <c r="W1413" s="22"/>
      <c r="X1413" s="22"/>
    </row>
    <row r="1414" spans="2:24" x14ac:dyDescent="0.25">
      <c r="B1414" s="22"/>
      <c r="C1414" s="21"/>
      <c r="W1414" s="22"/>
      <c r="X1414" s="22"/>
    </row>
    <row r="1415" spans="2:24" x14ac:dyDescent="0.25">
      <c r="B1415" s="22"/>
      <c r="C1415" s="21"/>
      <c r="W1415" s="22"/>
      <c r="X1415" s="22"/>
    </row>
    <row r="1416" spans="2:24" x14ac:dyDescent="0.25">
      <c r="B1416" s="22"/>
      <c r="C1416" s="21"/>
      <c r="W1416" s="22"/>
      <c r="X1416" s="22"/>
    </row>
    <row r="1417" spans="2:24" x14ac:dyDescent="0.25">
      <c r="B1417" s="22"/>
      <c r="C1417" s="21"/>
      <c r="W1417" s="22"/>
      <c r="X1417" s="22"/>
    </row>
    <row r="1418" spans="2:24" x14ac:dyDescent="0.25">
      <c r="B1418" s="22"/>
      <c r="C1418" s="21"/>
      <c r="W1418" s="22"/>
      <c r="X1418" s="22"/>
    </row>
    <row r="1419" spans="2:24" x14ac:dyDescent="0.25">
      <c r="B1419" s="22"/>
      <c r="C1419" s="21"/>
      <c r="W1419" s="22"/>
      <c r="X1419" s="22"/>
    </row>
    <row r="1420" spans="2:24" x14ac:dyDescent="0.25">
      <c r="B1420" s="22"/>
      <c r="C1420" s="21"/>
      <c r="W1420" s="22"/>
      <c r="X1420" s="22"/>
    </row>
    <row r="1421" spans="2:24" x14ac:dyDescent="0.25">
      <c r="B1421" s="22"/>
      <c r="C1421" s="21"/>
      <c r="W1421" s="22"/>
      <c r="X1421" s="22"/>
    </row>
    <row r="1422" spans="2:24" x14ac:dyDescent="0.25">
      <c r="B1422" s="22"/>
      <c r="C1422" s="21"/>
      <c r="W1422" s="22"/>
      <c r="X1422" s="22"/>
    </row>
    <row r="1423" spans="2:24" x14ac:dyDescent="0.25">
      <c r="B1423" s="22"/>
      <c r="C1423" s="21"/>
      <c r="W1423" s="22"/>
      <c r="X1423" s="22"/>
    </row>
    <row r="1424" spans="2:24" x14ac:dyDescent="0.25">
      <c r="B1424" s="22"/>
      <c r="C1424" s="21"/>
      <c r="W1424" s="22"/>
      <c r="X1424" s="22"/>
    </row>
    <row r="1425" spans="2:24" x14ac:dyDescent="0.25">
      <c r="B1425" s="22"/>
      <c r="C1425" s="21"/>
      <c r="W1425" s="22"/>
      <c r="X1425" s="22"/>
    </row>
    <row r="1426" spans="2:24" x14ac:dyDescent="0.25">
      <c r="B1426" s="22"/>
      <c r="C1426" s="21"/>
      <c r="W1426" s="22"/>
      <c r="X1426" s="22"/>
    </row>
    <row r="1427" spans="2:24" x14ac:dyDescent="0.25">
      <c r="B1427" s="22"/>
      <c r="C1427" s="21"/>
      <c r="W1427" s="22"/>
      <c r="X1427" s="22"/>
    </row>
    <row r="1428" spans="2:24" x14ac:dyDescent="0.25">
      <c r="B1428" s="22"/>
      <c r="C1428" s="21"/>
      <c r="W1428" s="22"/>
      <c r="X1428" s="22"/>
    </row>
    <row r="1429" spans="2:24" x14ac:dyDescent="0.25">
      <c r="B1429" s="22"/>
      <c r="C1429" s="21"/>
      <c r="W1429" s="22"/>
      <c r="X1429" s="22"/>
    </row>
    <row r="1430" spans="2:24" x14ac:dyDescent="0.25">
      <c r="B1430" s="22"/>
      <c r="C1430" s="21"/>
      <c r="W1430" s="22"/>
      <c r="X1430" s="22"/>
    </row>
    <row r="1431" spans="2:24" x14ac:dyDescent="0.25">
      <c r="B1431" s="22"/>
      <c r="C1431" s="21"/>
      <c r="W1431" s="22"/>
      <c r="X1431" s="22"/>
    </row>
    <row r="1432" spans="2:24" x14ac:dyDescent="0.25">
      <c r="B1432" s="22"/>
      <c r="C1432" s="21"/>
      <c r="W1432" s="22"/>
      <c r="X1432" s="22"/>
    </row>
    <row r="1433" spans="2:24" x14ac:dyDescent="0.25">
      <c r="B1433" s="22"/>
      <c r="C1433" s="21"/>
      <c r="W1433" s="22"/>
      <c r="X1433" s="22"/>
    </row>
    <row r="1434" spans="2:24" x14ac:dyDescent="0.25">
      <c r="B1434" s="22"/>
      <c r="C1434" s="21"/>
      <c r="W1434" s="22"/>
      <c r="X1434" s="22"/>
    </row>
    <row r="1435" spans="2:24" x14ac:dyDescent="0.25">
      <c r="B1435" s="22"/>
      <c r="C1435" s="21"/>
      <c r="W1435" s="22"/>
      <c r="X1435" s="22"/>
    </row>
    <row r="1436" spans="2:24" x14ac:dyDescent="0.25">
      <c r="B1436" s="22"/>
      <c r="C1436" s="21"/>
      <c r="W1436" s="22"/>
      <c r="X1436" s="22"/>
    </row>
    <row r="1437" spans="2:24" x14ac:dyDescent="0.25">
      <c r="B1437" s="22"/>
      <c r="C1437" s="21"/>
      <c r="W1437" s="22"/>
      <c r="X1437" s="22"/>
    </row>
    <row r="1438" spans="2:24" x14ac:dyDescent="0.25">
      <c r="B1438" s="22"/>
      <c r="C1438" s="21"/>
      <c r="W1438" s="22"/>
      <c r="X1438" s="22"/>
    </row>
    <row r="1439" spans="2:24" x14ac:dyDescent="0.25">
      <c r="B1439" s="22"/>
      <c r="C1439" s="21"/>
      <c r="W1439" s="22"/>
      <c r="X1439" s="22"/>
    </row>
    <row r="1440" spans="2:24" x14ac:dyDescent="0.25">
      <c r="B1440" s="22"/>
      <c r="C1440" s="21"/>
      <c r="W1440" s="22"/>
      <c r="X1440" s="22"/>
    </row>
    <row r="1441" spans="2:24" x14ac:dyDescent="0.25">
      <c r="B1441" s="22"/>
      <c r="C1441" s="21"/>
      <c r="W1441" s="22"/>
      <c r="X1441" s="22"/>
    </row>
    <row r="1442" spans="2:24" x14ac:dyDescent="0.25">
      <c r="B1442" s="22"/>
      <c r="C1442" s="21"/>
      <c r="W1442" s="22"/>
      <c r="X1442" s="22"/>
    </row>
    <row r="1443" spans="2:24" x14ac:dyDescent="0.25">
      <c r="B1443" s="22"/>
      <c r="C1443" s="21"/>
      <c r="W1443" s="22"/>
      <c r="X1443" s="22"/>
    </row>
    <row r="1444" spans="2:24" x14ac:dyDescent="0.25">
      <c r="B1444" s="22"/>
      <c r="C1444" s="21"/>
      <c r="W1444" s="22"/>
      <c r="X1444" s="22"/>
    </row>
    <row r="1445" spans="2:24" x14ac:dyDescent="0.25">
      <c r="B1445" s="22"/>
      <c r="C1445" s="21"/>
      <c r="W1445" s="22"/>
      <c r="X1445" s="22"/>
    </row>
    <row r="1446" spans="2:24" x14ac:dyDescent="0.25">
      <c r="B1446" s="22"/>
      <c r="C1446" s="21"/>
      <c r="W1446" s="22"/>
      <c r="X1446" s="22"/>
    </row>
    <row r="1447" spans="2:24" x14ac:dyDescent="0.25">
      <c r="B1447" s="22"/>
      <c r="C1447" s="21"/>
      <c r="W1447" s="22"/>
      <c r="X1447" s="22"/>
    </row>
    <row r="1448" spans="2:24" x14ac:dyDescent="0.25">
      <c r="B1448" s="22"/>
      <c r="C1448" s="21"/>
      <c r="W1448" s="22"/>
      <c r="X1448" s="22"/>
    </row>
    <row r="1449" spans="2:24" x14ac:dyDescent="0.25">
      <c r="B1449" s="22"/>
      <c r="C1449" s="21"/>
      <c r="W1449" s="22"/>
      <c r="X1449" s="22"/>
    </row>
    <row r="1450" spans="2:24" x14ac:dyDescent="0.25">
      <c r="B1450" s="22"/>
      <c r="C1450" s="21"/>
      <c r="W1450" s="22"/>
      <c r="X1450" s="22"/>
    </row>
    <row r="1451" spans="2:24" x14ac:dyDescent="0.25">
      <c r="B1451" s="22"/>
      <c r="C1451" s="21"/>
      <c r="W1451" s="22"/>
      <c r="X1451" s="22"/>
    </row>
    <row r="1452" spans="2:24" x14ac:dyDescent="0.25">
      <c r="B1452" s="22"/>
      <c r="C1452" s="21"/>
      <c r="W1452" s="22"/>
      <c r="X1452" s="22"/>
    </row>
    <row r="1453" spans="2:24" x14ac:dyDescent="0.25">
      <c r="B1453" s="22"/>
      <c r="C1453" s="21"/>
      <c r="W1453" s="22"/>
      <c r="X1453" s="22"/>
    </row>
    <row r="1454" spans="2:24" x14ac:dyDescent="0.25">
      <c r="B1454" s="22"/>
      <c r="C1454" s="21"/>
      <c r="W1454" s="22"/>
      <c r="X1454" s="22"/>
    </row>
    <row r="1455" spans="2:24" x14ac:dyDescent="0.25">
      <c r="B1455" s="22"/>
      <c r="C1455" s="21"/>
      <c r="W1455" s="22"/>
      <c r="X1455" s="22"/>
    </row>
    <row r="1456" spans="2:24" x14ac:dyDescent="0.25">
      <c r="B1456" s="22"/>
      <c r="C1456" s="21"/>
      <c r="W1456" s="22"/>
      <c r="X1456" s="22"/>
    </row>
    <row r="1457" spans="2:24" x14ac:dyDescent="0.25">
      <c r="B1457" s="22"/>
      <c r="C1457" s="21"/>
      <c r="W1457" s="22"/>
      <c r="X1457" s="22"/>
    </row>
    <row r="1458" spans="2:24" x14ac:dyDescent="0.25">
      <c r="B1458" s="22"/>
      <c r="C1458" s="21"/>
      <c r="W1458" s="22"/>
      <c r="X1458" s="22"/>
    </row>
    <row r="1459" spans="2:24" x14ac:dyDescent="0.25">
      <c r="B1459" s="22"/>
      <c r="C1459" s="21"/>
      <c r="W1459" s="22"/>
      <c r="X1459" s="22"/>
    </row>
    <row r="1460" spans="2:24" x14ac:dyDescent="0.25">
      <c r="B1460" s="22"/>
      <c r="C1460" s="21"/>
      <c r="W1460" s="22"/>
      <c r="X1460" s="22"/>
    </row>
    <row r="1461" spans="2:24" x14ac:dyDescent="0.25">
      <c r="B1461" s="22"/>
      <c r="C1461" s="21"/>
      <c r="W1461" s="22"/>
      <c r="X1461" s="22"/>
    </row>
    <row r="1462" spans="2:24" x14ac:dyDescent="0.25">
      <c r="B1462" s="22"/>
      <c r="C1462" s="21"/>
      <c r="W1462" s="22"/>
      <c r="X1462" s="22"/>
    </row>
    <row r="1463" spans="2:24" x14ac:dyDescent="0.25">
      <c r="B1463" s="22"/>
      <c r="C1463" s="21"/>
      <c r="W1463" s="22"/>
      <c r="X1463" s="22"/>
    </row>
    <row r="1464" spans="2:24" x14ac:dyDescent="0.25">
      <c r="B1464" s="22"/>
      <c r="C1464" s="21"/>
      <c r="W1464" s="22"/>
      <c r="X1464" s="22"/>
    </row>
    <row r="1465" spans="2:24" x14ac:dyDescent="0.25">
      <c r="B1465" s="22"/>
      <c r="C1465" s="21"/>
      <c r="W1465" s="22"/>
      <c r="X1465" s="22"/>
    </row>
    <row r="1466" spans="2:24" x14ac:dyDescent="0.25">
      <c r="B1466" s="22"/>
      <c r="C1466" s="21"/>
      <c r="W1466" s="22"/>
      <c r="X1466" s="22"/>
    </row>
    <row r="1467" spans="2:24" x14ac:dyDescent="0.25">
      <c r="B1467" s="22"/>
      <c r="C1467" s="21"/>
      <c r="W1467" s="22"/>
      <c r="X1467" s="22"/>
    </row>
    <row r="1468" spans="2:24" x14ac:dyDescent="0.25">
      <c r="B1468" s="22"/>
      <c r="C1468" s="21"/>
      <c r="W1468" s="22"/>
      <c r="X1468" s="22"/>
    </row>
    <row r="1469" spans="2:24" x14ac:dyDescent="0.25">
      <c r="B1469" s="22"/>
      <c r="C1469" s="21"/>
      <c r="W1469" s="22"/>
      <c r="X1469" s="22"/>
    </row>
    <row r="1470" spans="2:24" x14ac:dyDescent="0.25">
      <c r="B1470" s="22"/>
      <c r="C1470" s="21"/>
      <c r="W1470" s="22"/>
      <c r="X1470" s="22"/>
    </row>
    <row r="1471" spans="2:24" x14ac:dyDescent="0.25">
      <c r="B1471" s="22"/>
      <c r="C1471" s="21"/>
      <c r="W1471" s="22"/>
      <c r="X1471" s="22"/>
    </row>
    <row r="1472" spans="2:24" x14ac:dyDescent="0.25">
      <c r="B1472" s="22"/>
      <c r="C1472" s="21"/>
      <c r="W1472" s="22"/>
      <c r="X1472" s="22"/>
    </row>
    <row r="1473" spans="2:24" x14ac:dyDescent="0.25">
      <c r="B1473" s="22"/>
      <c r="C1473" s="21"/>
      <c r="W1473" s="22"/>
      <c r="X1473" s="22"/>
    </row>
    <row r="1474" spans="2:24" x14ac:dyDescent="0.25">
      <c r="B1474" s="22"/>
      <c r="C1474" s="21"/>
      <c r="W1474" s="22"/>
      <c r="X1474" s="22"/>
    </row>
    <row r="1475" spans="2:24" x14ac:dyDescent="0.25">
      <c r="B1475" s="22"/>
      <c r="C1475" s="21"/>
      <c r="W1475" s="22"/>
      <c r="X1475" s="22"/>
    </row>
    <row r="1476" spans="2:24" x14ac:dyDescent="0.25">
      <c r="B1476" s="22"/>
      <c r="C1476" s="21"/>
      <c r="W1476" s="22"/>
      <c r="X1476" s="22"/>
    </row>
    <row r="1477" spans="2:24" x14ac:dyDescent="0.25">
      <c r="B1477" s="22"/>
      <c r="C1477" s="21"/>
      <c r="W1477" s="22"/>
      <c r="X1477" s="22"/>
    </row>
    <row r="1478" spans="2:24" x14ac:dyDescent="0.25">
      <c r="B1478" s="22"/>
      <c r="C1478" s="21"/>
      <c r="W1478" s="22"/>
      <c r="X1478" s="22"/>
    </row>
    <row r="1479" spans="2:24" x14ac:dyDescent="0.25">
      <c r="B1479" s="22"/>
      <c r="C1479" s="21"/>
      <c r="W1479" s="22"/>
      <c r="X1479" s="22"/>
    </row>
    <row r="1480" spans="2:24" x14ac:dyDescent="0.25">
      <c r="B1480" s="22"/>
      <c r="C1480" s="21"/>
      <c r="W1480" s="22"/>
      <c r="X1480" s="22"/>
    </row>
    <row r="1481" spans="2:24" x14ac:dyDescent="0.25">
      <c r="B1481" s="22"/>
      <c r="C1481" s="21"/>
      <c r="W1481" s="22"/>
      <c r="X1481" s="22"/>
    </row>
    <row r="1482" spans="2:24" x14ac:dyDescent="0.25">
      <c r="B1482" s="22"/>
      <c r="C1482" s="21"/>
      <c r="W1482" s="22"/>
      <c r="X1482" s="22"/>
    </row>
    <row r="1483" spans="2:24" x14ac:dyDescent="0.25">
      <c r="B1483" s="22"/>
      <c r="C1483" s="21"/>
      <c r="W1483" s="22"/>
      <c r="X1483" s="22"/>
    </row>
    <row r="1484" spans="2:24" x14ac:dyDescent="0.25">
      <c r="B1484" s="22"/>
      <c r="C1484" s="21"/>
      <c r="W1484" s="22"/>
      <c r="X1484" s="22"/>
    </row>
    <row r="1485" spans="2:24" x14ac:dyDescent="0.25">
      <c r="B1485" s="22"/>
      <c r="C1485" s="21"/>
      <c r="W1485" s="22"/>
      <c r="X1485" s="22"/>
    </row>
    <row r="1486" spans="2:24" x14ac:dyDescent="0.25">
      <c r="B1486" s="22"/>
      <c r="C1486" s="21"/>
      <c r="W1486" s="22"/>
      <c r="X1486" s="22"/>
    </row>
    <row r="1487" spans="2:24" x14ac:dyDescent="0.25">
      <c r="B1487" s="22"/>
      <c r="C1487" s="21"/>
      <c r="W1487" s="22"/>
      <c r="X1487" s="22"/>
    </row>
    <row r="1488" spans="2:24" x14ac:dyDescent="0.25">
      <c r="B1488" s="22"/>
      <c r="C1488" s="21"/>
      <c r="W1488" s="22"/>
      <c r="X1488" s="22"/>
    </row>
    <row r="1489" spans="2:24" x14ac:dyDescent="0.25">
      <c r="B1489" s="22"/>
      <c r="C1489" s="21"/>
      <c r="W1489" s="22"/>
      <c r="X1489" s="22"/>
    </row>
    <row r="1490" spans="2:24" x14ac:dyDescent="0.25">
      <c r="B1490" s="22"/>
      <c r="C1490" s="21"/>
      <c r="W1490" s="22"/>
      <c r="X1490" s="22"/>
    </row>
    <row r="1491" spans="2:24" x14ac:dyDescent="0.25">
      <c r="B1491" s="22"/>
      <c r="C1491" s="21"/>
      <c r="W1491" s="22"/>
      <c r="X1491" s="22"/>
    </row>
    <row r="1492" spans="2:24" x14ac:dyDescent="0.25">
      <c r="B1492" s="22"/>
      <c r="C1492" s="21"/>
      <c r="W1492" s="22"/>
      <c r="X1492" s="22"/>
    </row>
    <row r="1493" spans="2:24" x14ac:dyDescent="0.25">
      <c r="B1493" s="22"/>
      <c r="C1493" s="21"/>
      <c r="W1493" s="22"/>
      <c r="X1493" s="22"/>
    </row>
    <row r="1494" spans="2:24" x14ac:dyDescent="0.25">
      <c r="B1494" s="22"/>
      <c r="C1494" s="21"/>
      <c r="W1494" s="22"/>
      <c r="X1494" s="22"/>
    </row>
    <row r="1495" spans="2:24" x14ac:dyDescent="0.25">
      <c r="B1495" s="22"/>
      <c r="C1495" s="21"/>
      <c r="W1495" s="22"/>
      <c r="X1495" s="22"/>
    </row>
    <row r="1496" spans="2:24" x14ac:dyDescent="0.25">
      <c r="B1496" s="22"/>
      <c r="C1496" s="21"/>
      <c r="W1496" s="22"/>
      <c r="X1496" s="22"/>
    </row>
    <row r="1497" spans="2:24" x14ac:dyDescent="0.25">
      <c r="B1497" s="22"/>
      <c r="C1497" s="21"/>
      <c r="W1497" s="22"/>
      <c r="X1497" s="22"/>
    </row>
    <row r="1498" spans="2:24" x14ac:dyDescent="0.25">
      <c r="B1498" s="22"/>
      <c r="C1498" s="21"/>
      <c r="W1498" s="22"/>
      <c r="X1498" s="22"/>
    </row>
    <row r="1499" spans="2:24" x14ac:dyDescent="0.25">
      <c r="B1499" s="22"/>
      <c r="C1499" s="21"/>
      <c r="W1499" s="22"/>
      <c r="X1499" s="22"/>
    </row>
    <row r="1500" spans="2:24" x14ac:dyDescent="0.25">
      <c r="B1500" s="22"/>
      <c r="C1500" s="21"/>
      <c r="W1500" s="22"/>
      <c r="X1500" s="22"/>
    </row>
    <row r="1501" spans="2:24" x14ac:dyDescent="0.25">
      <c r="B1501" s="22"/>
      <c r="C1501" s="21"/>
      <c r="W1501" s="22"/>
      <c r="X1501" s="22"/>
    </row>
    <row r="1502" spans="2:24" x14ac:dyDescent="0.25">
      <c r="B1502" s="22"/>
      <c r="C1502" s="21"/>
      <c r="W1502" s="22"/>
      <c r="X1502" s="22"/>
    </row>
    <row r="1503" spans="2:24" x14ac:dyDescent="0.25">
      <c r="B1503" s="22"/>
      <c r="C1503" s="21"/>
      <c r="W1503" s="22"/>
      <c r="X1503" s="22"/>
    </row>
    <row r="1504" spans="2:24" x14ac:dyDescent="0.25">
      <c r="B1504" s="22"/>
      <c r="C1504" s="21"/>
      <c r="W1504" s="22"/>
      <c r="X1504" s="22"/>
    </row>
    <row r="1505" spans="2:24" x14ac:dyDescent="0.25">
      <c r="B1505" s="22"/>
      <c r="C1505" s="21"/>
      <c r="W1505" s="22"/>
      <c r="X1505" s="22"/>
    </row>
    <row r="1506" spans="2:24" x14ac:dyDescent="0.25">
      <c r="B1506" s="22"/>
      <c r="C1506" s="21"/>
      <c r="W1506" s="22"/>
      <c r="X1506" s="22"/>
    </row>
    <row r="1507" spans="2:24" x14ac:dyDescent="0.25">
      <c r="B1507" s="22"/>
      <c r="C1507" s="21"/>
      <c r="W1507" s="22"/>
      <c r="X1507" s="22"/>
    </row>
    <row r="1508" spans="2:24" x14ac:dyDescent="0.25">
      <c r="B1508" s="22"/>
      <c r="C1508" s="21"/>
      <c r="W1508" s="22"/>
      <c r="X1508" s="22"/>
    </row>
    <row r="1509" spans="2:24" x14ac:dyDescent="0.25">
      <c r="B1509" s="22"/>
      <c r="C1509" s="21"/>
      <c r="W1509" s="22"/>
      <c r="X1509" s="22"/>
    </row>
    <row r="1510" spans="2:24" x14ac:dyDescent="0.25">
      <c r="B1510" s="22"/>
      <c r="C1510" s="21"/>
      <c r="W1510" s="22"/>
      <c r="X1510" s="22"/>
    </row>
    <row r="1511" spans="2:24" x14ac:dyDescent="0.25">
      <c r="B1511" s="22"/>
      <c r="C1511" s="21"/>
      <c r="W1511" s="22"/>
      <c r="X1511" s="22"/>
    </row>
    <row r="1512" spans="2:24" x14ac:dyDescent="0.25">
      <c r="B1512" s="22"/>
      <c r="C1512" s="21"/>
      <c r="W1512" s="22"/>
      <c r="X1512" s="22"/>
    </row>
    <row r="1513" spans="2:24" x14ac:dyDescent="0.25">
      <c r="B1513" s="22"/>
      <c r="C1513" s="21"/>
      <c r="W1513" s="22"/>
      <c r="X1513" s="22"/>
    </row>
    <row r="1514" spans="2:24" x14ac:dyDescent="0.25">
      <c r="B1514" s="22"/>
      <c r="C1514" s="21"/>
      <c r="W1514" s="22"/>
      <c r="X1514" s="22"/>
    </row>
    <row r="1515" spans="2:24" x14ac:dyDescent="0.25">
      <c r="B1515" s="22"/>
      <c r="C1515" s="21"/>
      <c r="W1515" s="22"/>
      <c r="X1515" s="22"/>
    </row>
    <row r="1516" spans="2:24" x14ac:dyDescent="0.25">
      <c r="B1516" s="22"/>
      <c r="C1516" s="21"/>
      <c r="W1516" s="22"/>
      <c r="X1516" s="22"/>
    </row>
    <row r="1517" spans="2:24" x14ac:dyDescent="0.25">
      <c r="B1517" s="22"/>
      <c r="C1517" s="21"/>
      <c r="W1517" s="22"/>
      <c r="X1517" s="22"/>
    </row>
    <row r="1518" spans="2:24" x14ac:dyDescent="0.25">
      <c r="B1518" s="22"/>
      <c r="C1518" s="21"/>
      <c r="W1518" s="22"/>
      <c r="X1518" s="22"/>
    </row>
    <row r="1519" spans="2:24" x14ac:dyDescent="0.25">
      <c r="B1519" s="22"/>
      <c r="C1519" s="21"/>
      <c r="W1519" s="22"/>
      <c r="X1519" s="22"/>
    </row>
    <row r="1520" spans="2:24" x14ac:dyDescent="0.25">
      <c r="B1520" s="22"/>
      <c r="C1520" s="21"/>
      <c r="W1520" s="22"/>
      <c r="X1520" s="22"/>
    </row>
    <row r="1521" spans="2:24" x14ac:dyDescent="0.25">
      <c r="B1521" s="22"/>
      <c r="C1521" s="21"/>
      <c r="W1521" s="22"/>
      <c r="X1521" s="22"/>
    </row>
    <row r="1522" spans="2:24" x14ac:dyDescent="0.25">
      <c r="B1522" s="22"/>
      <c r="C1522" s="21"/>
      <c r="W1522" s="22"/>
      <c r="X1522" s="22"/>
    </row>
    <row r="1523" spans="2:24" x14ac:dyDescent="0.25">
      <c r="B1523" s="22"/>
      <c r="C1523" s="21"/>
      <c r="W1523" s="22"/>
      <c r="X1523" s="22"/>
    </row>
    <row r="1524" spans="2:24" x14ac:dyDescent="0.25">
      <c r="B1524" s="22"/>
      <c r="C1524" s="21"/>
      <c r="W1524" s="22"/>
      <c r="X1524" s="22"/>
    </row>
    <row r="1525" spans="2:24" x14ac:dyDescent="0.25">
      <c r="B1525" s="22"/>
      <c r="C1525" s="21"/>
      <c r="W1525" s="22"/>
      <c r="X1525" s="22"/>
    </row>
    <row r="1526" spans="2:24" x14ac:dyDescent="0.25">
      <c r="B1526" s="22"/>
      <c r="C1526" s="21"/>
      <c r="W1526" s="22"/>
      <c r="X1526" s="22"/>
    </row>
    <row r="1527" spans="2:24" x14ac:dyDescent="0.25">
      <c r="B1527" s="22"/>
      <c r="C1527" s="21"/>
      <c r="W1527" s="22"/>
      <c r="X1527" s="22"/>
    </row>
    <row r="1528" spans="2:24" x14ac:dyDescent="0.25">
      <c r="B1528" s="22"/>
      <c r="C1528" s="21"/>
      <c r="W1528" s="22"/>
      <c r="X1528" s="22"/>
    </row>
    <row r="1529" spans="2:24" x14ac:dyDescent="0.25">
      <c r="B1529" s="22"/>
      <c r="C1529" s="21"/>
      <c r="W1529" s="22"/>
      <c r="X1529" s="22"/>
    </row>
    <row r="1530" spans="2:24" x14ac:dyDescent="0.25">
      <c r="B1530" s="22"/>
      <c r="C1530" s="21"/>
      <c r="W1530" s="22"/>
      <c r="X1530" s="22"/>
    </row>
    <row r="1531" spans="2:24" x14ac:dyDescent="0.25">
      <c r="B1531" s="22"/>
      <c r="C1531" s="21"/>
      <c r="W1531" s="22"/>
      <c r="X1531" s="22"/>
    </row>
    <row r="1532" spans="2:24" x14ac:dyDescent="0.25">
      <c r="B1532" s="22"/>
      <c r="C1532" s="21"/>
      <c r="W1532" s="22"/>
      <c r="X1532" s="22"/>
    </row>
    <row r="1533" spans="2:24" x14ac:dyDescent="0.25">
      <c r="B1533" s="22"/>
      <c r="C1533" s="21"/>
      <c r="W1533" s="22"/>
      <c r="X1533" s="22"/>
    </row>
    <row r="1534" spans="2:24" x14ac:dyDescent="0.25">
      <c r="B1534" s="22"/>
      <c r="C1534" s="21"/>
      <c r="W1534" s="22"/>
      <c r="X1534" s="22"/>
    </row>
    <row r="1535" spans="2:24" x14ac:dyDescent="0.25">
      <c r="B1535" s="22"/>
      <c r="C1535" s="21"/>
      <c r="W1535" s="22"/>
      <c r="X1535" s="22"/>
    </row>
    <row r="1536" spans="2:24" x14ac:dyDescent="0.25">
      <c r="B1536" s="22"/>
      <c r="C1536" s="21"/>
      <c r="W1536" s="22"/>
      <c r="X1536" s="22"/>
    </row>
    <row r="1537" spans="2:24" x14ac:dyDescent="0.25">
      <c r="B1537" s="22"/>
      <c r="C1537" s="21"/>
      <c r="W1537" s="22"/>
      <c r="X1537" s="22"/>
    </row>
    <row r="1538" spans="2:24" x14ac:dyDescent="0.25">
      <c r="B1538" s="22"/>
      <c r="C1538" s="21"/>
      <c r="W1538" s="22"/>
      <c r="X1538" s="22"/>
    </row>
    <row r="1539" spans="2:24" x14ac:dyDescent="0.25">
      <c r="B1539" s="22"/>
      <c r="C1539" s="21"/>
      <c r="W1539" s="22"/>
      <c r="X1539" s="22"/>
    </row>
    <row r="1540" spans="2:24" x14ac:dyDescent="0.25">
      <c r="B1540" s="22"/>
      <c r="C1540" s="21"/>
      <c r="W1540" s="22"/>
      <c r="X1540" s="22"/>
    </row>
    <row r="1541" spans="2:24" x14ac:dyDescent="0.25">
      <c r="B1541" s="22"/>
      <c r="C1541" s="21"/>
      <c r="W1541" s="22"/>
      <c r="X1541" s="22"/>
    </row>
    <row r="1542" spans="2:24" x14ac:dyDescent="0.25">
      <c r="B1542" s="22"/>
      <c r="C1542" s="21"/>
      <c r="W1542" s="22"/>
      <c r="X1542" s="22"/>
    </row>
    <row r="1543" spans="2:24" x14ac:dyDescent="0.25">
      <c r="B1543" s="22"/>
      <c r="C1543" s="21"/>
      <c r="W1543" s="22"/>
      <c r="X1543" s="22"/>
    </row>
    <row r="1544" spans="2:24" x14ac:dyDescent="0.25">
      <c r="B1544" s="22"/>
      <c r="C1544" s="21"/>
      <c r="W1544" s="22"/>
      <c r="X1544" s="22"/>
    </row>
    <row r="1545" spans="2:24" x14ac:dyDescent="0.25">
      <c r="B1545" s="22"/>
      <c r="C1545" s="21"/>
      <c r="W1545" s="22"/>
      <c r="X1545" s="22"/>
    </row>
    <row r="1546" spans="2:24" x14ac:dyDescent="0.25">
      <c r="B1546" s="22"/>
      <c r="C1546" s="21"/>
      <c r="W1546" s="22"/>
      <c r="X1546" s="22"/>
    </row>
    <row r="1547" spans="2:24" x14ac:dyDescent="0.25">
      <c r="B1547" s="22"/>
      <c r="C1547" s="21"/>
      <c r="W1547" s="22"/>
      <c r="X1547" s="22"/>
    </row>
    <row r="1548" spans="2:24" x14ac:dyDescent="0.25">
      <c r="B1548" s="22"/>
      <c r="C1548" s="21"/>
      <c r="W1548" s="22"/>
      <c r="X1548" s="22"/>
    </row>
    <row r="1549" spans="2:24" x14ac:dyDescent="0.25">
      <c r="B1549" s="22"/>
      <c r="C1549" s="21"/>
      <c r="W1549" s="22"/>
      <c r="X1549" s="22"/>
    </row>
    <row r="1550" spans="2:24" x14ac:dyDescent="0.25">
      <c r="B1550" s="22"/>
      <c r="C1550" s="21"/>
      <c r="W1550" s="22"/>
      <c r="X1550" s="22"/>
    </row>
    <row r="1551" spans="2:24" x14ac:dyDescent="0.25">
      <c r="B1551" s="22"/>
      <c r="C1551" s="21"/>
      <c r="W1551" s="22"/>
      <c r="X1551" s="22"/>
    </row>
    <row r="1552" spans="2:24" x14ac:dyDescent="0.25">
      <c r="B1552" s="22"/>
      <c r="C1552" s="21"/>
      <c r="W1552" s="22"/>
      <c r="X1552" s="22"/>
    </row>
    <row r="1553" spans="2:24" x14ac:dyDescent="0.25">
      <c r="B1553" s="22"/>
      <c r="C1553" s="21"/>
      <c r="W1553" s="22"/>
      <c r="X1553" s="22"/>
    </row>
    <row r="1554" spans="2:24" x14ac:dyDescent="0.25">
      <c r="B1554" s="22"/>
      <c r="C1554" s="21"/>
      <c r="W1554" s="22"/>
      <c r="X1554" s="22"/>
    </row>
    <row r="1555" spans="2:24" x14ac:dyDescent="0.25">
      <c r="B1555" s="22"/>
      <c r="C1555" s="21"/>
      <c r="W1555" s="22"/>
      <c r="X1555" s="22"/>
    </row>
    <row r="1556" spans="2:24" x14ac:dyDescent="0.25">
      <c r="B1556" s="22"/>
      <c r="C1556" s="21"/>
      <c r="W1556" s="22"/>
      <c r="X1556" s="22"/>
    </row>
    <row r="1557" spans="2:24" x14ac:dyDescent="0.25">
      <c r="B1557" s="22"/>
      <c r="C1557" s="21"/>
      <c r="W1557" s="22"/>
      <c r="X1557" s="22"/>
    </row>
    <row r="1558" spans="2:24" x14ac:dyDescent="0.25">
      <c r="B1558" s="22"/>
      <c r="C1558" s="21"/>
      <c r="W1558" s="22"/>
      <c r="X1558" s="22"/>
    </row>
    <row r="1559" spans="2:24" x14ac:dyDescent="0.25">
      <c r="B1559" s="22"/>
      <c r="C1559" s="21"/>
      <c r="W1559" s="22"/>
      <c r="X1559" s="22"/>
    </row>
    <row r="1560" spans="2:24" x14ac:dyDescent="0.25">
      <c r="B1560" s="22"/>
      <c r="C1560" s="21"/>
      <c r="W1560" s="22"/>
      <c r="X1560" s="22"/>
    </row>
    <row r="1561" spans="2:24" x14ac:dyDescent="0.25">
      <c r="B1561" s="22"/>
      <c r="C1561" s="21"/>
      <c r="W1561" s="22"/>
      <c r="X1561" s="22"/>
    </row>
    <row r="1562" spans="2:24" x14ac:dyDescent="0.25">
      <c r="B1562" s="22"/>
      <c r="C1562" s="21"/>
      <c r="W1562" s="22"/>
      <c r="X1562" s="22"/>
    </row>
    <row r="1563" spans="2:24" x14ac:dyDescent="0.25">
      <c r="B1563" s="22"/>
      <c r="C1563" s="21"/>
      <c r="W1563" s="22"/>
      <c r="X1563" s="22"/>
    </row>
    <row r="1564" spans="2:24" x14ac:dyDescent="0.25">
      <c r="B1564" s="22"/>
      <c r="C1564" s="21"/>
      <c r="W1564" s="22"/>
      <c r="X1564" s="22"/>
    </row>
    <row r="1565" spans="2:24" x14ac:dyDescent="0.25">
      <c r="B1565" s="22"/>
      <c r="C1565" s="21"/>
      <c r="W1565" s="22"/>
      <c r="X1565" s="22"/>
    </row>
    <row r="1566" spans="2:24" x14ac:dyDescent="0.25">
      <c r="B1566" s="22"/>
      <c r="C1566" s="21"/>
      <c r="W1566" s="22"/>
      <c r="X1566" s="22"/>
    </row>
    <row r="1567" spans="2:24" x14ac:dyDescent="0.25">
      <c r="B1567" s="22"/>
      <c r="C1567" s="21"/>
      <c r="W1567" s="22"/>
      <c r="X1567" s="22"/>
    </row>
    <row r="1568" spans="2:24" x14ac:dyDescent="0.25">
      <c r="B1568" s="22"/>
      <c r="C1568" s="21"/>
      <c r="W1568" s="22"/>
      <c r="X1568" s="22"/>
    </row>
    <row r="1569" spans="2:24" x14ac:dyDescent="0.25">
      <c r="B1569" s="22"/>
      <c r="C1569" s="21"/>
      <c r="W1569" s="22"/>
      <c r="X1569" s="22"/>
    </row>
    <row r="1570" spans="2:24" x14ac:dyDescent="0.25">
      <c r="B1570" s="22"/>
      <c r="C1570" s="21"/>
      <c r="W1570" s="22"/>
      <c r="X1570" s="22"/>
    </row>
    <row r="1571" spans="2:24" x14ac:dyDescent="0.25">
      <c r="B1571" s="22"/>
      <c r="C1571" s="21"/>
      <c r="W1571" s="22"/>
      <c r="X1571" s="22"/>
    </row>
    <row r="1572" spans="2:24" x14ac:dyDescent="0.25">
      <c r="B1572" s="22"/>
      <c r="C1572" s="21"/>
      <c r="W1572" s="22"/>
      <c r="X1572" s="22"/>
    </row>
    <row r="1573" spans="2:24" x14ac:dyDescent="0.25">
      <c r="B1573" s="22"/>
      <c r="C1573" s="21"/>
      <c r="W1573" s="22"/>
      <c r="X1573" s="22"/>
    </row>
    <row r="1574" spans="2:24" x14ac:dyDescent="0.25">
      <c r="B1574" s="22"/>
      <c r="C1574" s="21"/>
      <c r="W1574" s="22"/>
      <c r="X1574" s="22"/>
    </row>
    <row r="1575" spans="2:24" x14ac:dyDescent="0.25">
      <c r="B1575" s="22"/>
      <c r="C1575" s="21"/>
      <c r="W1575" s="22"/>
      <c r="X1575" s="22"/>
    </row>
    <row r="1576" spans="2:24" x14ac:dyDescent="0.25">
      <c r="B1576" s="22"/>
      <c r="C1576" s="21"/>
      <c r="W1576" s="22"/>
      <c r="X1576" s="22"/>
    </row>
    <row r="1577" spans="2:24" x14ac:dyDescent="0.25">
      <c r="B1577" s="22"/>
      <c r="C1577" s="21"/>
      <c r="W1577" s="22"/>
      <c r="X1577" s="22"/>
    </row>
    <row r="1578" spans="2:24" x14ac:dyDescent="0.25">
      <c r="B1578" s="22"/>
      <c r="C1578" s="21"/>
      <c r="W1578" s="22"/>
      <c r="X1578" s="22"/>
    </row>
    <row r="1579" spans="2:24" x14ac:dyDescent="0.25">
      <c r="B1579" s="22"/>
      <c r="C1579" s="21"/>
      <c r="W1579" s="22"/>
      <c r="X1579" s="22"/>
    </row>
    <row r="1580" spans="2:24" x14ac:dyDescent="0.25">
      <c r="B1580" s="22"/>
      <c r="C1580" s="21"/>
      <c r="W1580" s="22"/>
      <c r="X1580" s="22"/>
    </row>
    <row r="1581" spans="2:24" x14ac:dyDescent="0.25">
      <c r="B1581" s="22"/>
      <c r="C1581" s="21"/>
      <c r="W1581" s="22"/>
      <c r="X1581" s="22"/>
    </row>
    <row r="1582" spans="2:24" x14ac:dyDescent="0.25">
      <c r="B1582" s="22"/>
      <c r="C1582" s="21"/>
      <c r="W1582" s="22"/>
      <c r="X1582" s="22"/>
    </row>
    <row r="1583" spans="2:24" x14ac:dyDescent="0.25">
      <c r="B1583" s="22"/>
      <c r="C1583" s="21"/>
      <c r="W1583" s="22"/>
      <c r="X1583" s="22"/>
    </row>
    <row r="1584" spans="2:24" x14ac:dyDescent="0.25">
      <c r="B1584" s="22"/>
      <c r="C1584" s="21"/>
      <c r="W1584" s="22"/>
      <c r="X1584" s="22"/>
    </row>
    <row r="1585" spans="2:24" x14ac:dyDescent="0.25">
      <c r="B1585" s="22"/>
      <c r="C1585" s="21"/>
      <c r="W1585" s="22"/>
      <c r="X1585" s="22"/>
    </row>
    <row r="1586" spans="2:24" x14ac:dyDescent="0.25">
      <c r="B1586" s="22"/>
      <c r="C1586" s="21"/>
      <c r="W1586" s="22"/>
      <c r="X1586" s="22"/>
    </row>
    <row r="1587" spans="2:24" x14ac:dyDescent="0.25">
      <c r="B1587" s="22"/>
      <c r="C1587" s="21"/>
      <c r="W1587" s="22"/>
      <c r="X1587" s="22"/>
    </row>
    <row r="1588" spans="2:24" x14ac:dyDescent="0.25">
      <c r="B1588" s="22"/>
      <c r="C1588" s="21"/>
      <c r="W1588" s="22"/>
      <c r="X1588" s="22"/>
    </row>
    <row r="1589" spans="2:24" x14ac:dyDescent="0.25">
      <c r="B1589" s="22"/>
      <c r="C1589" s="21"/>
      <c r="W1589" s="22"/>
      <c r="X1589" s="22"/>
    </row>
    <row r="1590" spans="2:24" x14ac:dyDescent="0.25">
      <c r="B1590" s="22"/>
      <c r="C1590" s="21"/>
      <c r="W1590" s="22"/>
      <c r="X1590" s="22"/>
    </row>
    <row r="1591" spans="2:24" x14ac:dyDescent="0.25">
      <c r="B1591" s="22"/>
      <c r="C1591" s="21"/>
      <c r="W1591" s="22"/>
      <c r="X1591" s="22"/>
    </row>
    <row r="1592" spans="2:24" x14ac:dyDescent="0.25">
      <c r="B1592" s="22"/>
      <c r="C1592" s="21"/>
      <c r="W1592" s="22"/>
      <c r="X1592" s="22"/>
    </row>
    <row r="1593" spans="2:24" x14ac:dyDescent="0.25">
      <c r="B1593" s="22"/>
      <c r="C1593" s="21"/>
      <c r="W1593" s="22"/>
      <c r="X1593" s="22"/>
    </row>
    <row r="1594" spans="2:24" x14ac:dyDescent="0.25">
      <c r="B1594" s="22"/>
      <c r="C1594" s="21"/>
      <c r="W1594" s="22"/>
      <c r="X1594" s="22"/>
    </row>
    <row r="1595" spans="2:24" x14ac:dyDescent="0.25">
      <c r="B1595" s="22"/>
      <c r="C1595" s="21"/>
      <c r="W1595" s="22"/>
      <c r="X1595" s="22"/>
    </row>
    <row r="1596" spans="2:24" x14ac:dyDescent="0.25">
      <c r="B1596" s="22"/>
      <c r="C1596" s="21"/>
      <c r="W1596" s="22"/>
      <c r="X1596" s="22"/>
    </row>
    <row r="1597" spans="2:24" x14ac:dyDescent="0.25">
      <c r="B1597" s="22"/>
      <c r="C1597" s="21"/>
      <c r="W1597" s="22"/>
      <c r="X1597" s="22"/>
    </row>
    <row r="1598" spans="2:24" x14ac:dyDescent="0.25">
      <c r="B1598" s="22"/>
      <c r="C1598" s="21"/>
      <c r="W1598" s="22"/>
      <c r="X1598" s="22"/>
    </row>
    <row r="1599" spans="2:24" x14ac:dyDescent="0.25">
      <c r="B1599" s="22"/>
      <c r="C1599" s="21"/>
      <c r="W1599" s="22"/>
      <c r="X1599" s="22"/>
    </row>
    <row r="1600" spans="2:24" x14ac:dyDescent="0.25">
      <c r="B1600" s="22"/>
      <c r="C1600" s="21"/>
      <c r="W1600" s="22"/>
      <c r="X1600" s="22"/>
    </row>
    <row r="1601" spans="2:24" x14ac:dyDescent="0.25">
      <c r="B1601" s="22"/>
      <c r="C1601" s="21"/>
      <c r="W1601" s="22"/>
      <c r="X1601" s="22"/>
    </row>
    <row r="1602" spans="2:24" x14ac:dyDescent="0.25">
      <c r="B1602" s="22"/>
      <c r="C1602" s="21"/>
      <c r="W1602" s="22"/>
      <c r="X1602" s="22"/>
    </row>
    <row r="1603" spans="2:24" x14ac:dyDescent="0.25">
      <c r="B1603" s="22"/>
      <c r="C1603" s="21"/>
      <c r="W1603" s="22"/>
      <c r="X1603" s="22"/>
    </row>
    <row r="1604" spans="2:24" x14ac:dyDescent="0.25">
      <c r="B1604" s="22"/>
      <c r="C1604" s="21"/>
      <c r="W1604" s="22"/>
      <c r="X1604" s="22"/>
    </row>
    <row r="1605" spans="2:24" x14ac:dyDescent="0.25">
      <c r="B1605" s="22"/>
      <c r="C1605" s="21"/>
      <c r="W1605" s="22"/>
      <c r="X1605" s="22"/>
    </row>
    <row r="1606" spans="2:24" x14ac:dyDescent="0.25">
      <c r="B1606" s="22"/>
      <c r="C1606" s="21"/>
      <c r="W1606" s="22"/>
      <c r="X1606" s="22"/>
    </row>
    <row r="1607" spans="2:24" x14ac:dyDescent="0.25">
      <c r="B1607" s="22"/>
      <c r="C1607" s="21"/>
      <c r="W1607" s="22"/>
      <c r="X1607" s="22"/>
    </row>
    <row r="1608" spans="2:24" x14ac:dyDescent="0.25">
      <c r="B1608" s="22"/>
      <c r="C1608" s="21"/>
      <c r="W1608" s="22"/>
      <c r="X1608" s="22"/>
    </row>
    <row r="1609" spans="2:24" x14ac:dyDescent="0.25">
      <c r="B1609" s="22"/>
      <c r="C1609" s="21"/>
      <c r="W1609" s="22"/>
      <c r="X1609" s="22"/>
    </row>
    <row r="1610" spans="2:24" x14ac:dyDescent="0.25">
      <c r="B1610" s="22"/>
      <c r="C1610" s="21"/>
      <c r="W1610" s="22"/>
      <c r="X1610" s="22"/>
    </row>
    <row r="1611" spans="2:24" x14ac:dyDescent="0.25">
      <c r="B1611" s="22"/>
      <c r="C1611" s="21"/>
      <c r="W1611" s="22"/>
      <c r="X1611" s="22"/>
    </row>
    <row r="1612" spans="2:24" x14ac:dyDescent="0.25">
      <c r="B1612" s="22"/>
      <c r="C1612" s="21"/>
      <c r="W1612" s="22"/>
      <c r="X1612" s="22"/>
    </row>
    <row r="1613" spans="2:24" x14ac:dyDescent="0.25">
      <c r="B1613" s="22"/>
      <c r="C1613" s="21"/>
      <c r="W1613" s="22"/>
      <c r="X1613" s="22"/>
    </row>
    <row r="1614" spans="2:24" x14ac:dyDescent="0.25">
      <c r="B1614" s="22"/>
      <c r="C1614" s="21"/>
      <c r="W1614" s="22"/>
      <c r="X1614" s="22"/>
    </row>
    <row r="1615" spans="2:24" x14ac:dyDescent="0.25">
      <c r="B1615" s="22"/>
      <c r="C1615" s="21"/>
      <c r="W1615" s="22"/>
      <c r="X1615" s="22"/>
    </row>
    <row r="1616" spans="2:24" x14ac:dyDescent="0.25">
      <c r="B1616" s="22"/>
      <c r="C1616" s="21"/>
      <c r="W1616" s="22"/>
      <c r="X1616" s="22"/>
    </row>
    <row r="1617" spans="2:24" x14ac:dyDescent="0.25">
      <c r="B1617" s="22"/>
      <c r="C1617" s="21"/>
      <c r="W1617" s="22"/>
      <c r="X1617" s="22"/>
    </row>
    <row r="1618" spans="2:24" x14ac:dyDescent="0.25">
      <c r="B1618" s="22"/>
      <c r="C1618" s="21"/>
      <c r="W1618" s="22"/>
      <c r="X1618" s="22"/>
    </row>
    <row r="1619" spans="2:24" x14ac:dyDescent="0.25">
      <c r="B1619" s="22"/>
      <c r="C1619" s="21"/>
      <c r="W1619" s="22"/>
      <c r="X1619" s="22"/>
    </row>
    <row r="1620" spans="2:24" x14ac:dyDescent="0.25">
      <c r="B1620" s="22"/>
      <c r="C1620" s="21"/>
      <c r="W1620" s="22"/>
      <c r="X1620" s="22"/>
    </row>
    <row r="1621" spans="2:24" x14ac:dyDescent="0.25">
      <c r="B1621" s="22"/>
      <c r="C1621" s="21"/>
      <c r="W1621" s="22"/>
      <c r="X1621" s="22"/>
    </row>
    <row r="1622" spans="2:24" x14ac:dyDescent="0.25">
      <c r="B1622" s="22"/>
      <c r="C1622" s="21"/>
      <c r="W1622" s="22"/>
      <c r="X1622" s="22"/>
    </row>
    <row r="1623" spans="2:24" x14ac:dyDescent="0.25">
      <c r="B1623" s="22"/>
      <c r="C1623" s="21"/>
      <c r="W1623" s="22"/>
      <c r="X1623" s="22"/>
    </row>
    <row r="1624" spans="2:24" x14ac:dyDescent="0.25">
      <c r="B1624" s="22"/>
      <c r="C1624" s="21"/>
      <c r="W1624" s="22"/>
      <c r="X1624" s="22"/>
    </row>
    <row r="1625" spans="2:24" x14ac:dyDescent="0.25">
      <c r="B1625" s="22"/>
      <c r="C1625" s="21"/>
      <c r="W1625" s="22"/>
      <c r="X1625" s="22"/>
    </row>
    <row r="1626" spans="2:24" x14ac:dyDescent="0.25">
      <c r="B1626" s="22"/>
      <c r="C1626" s="21"/>
      <c r="W1626" s="22"/>
      <c r="X1626" s="22"/>
    </row>
    <row r="1627" spans="2:24" x14ac:dyDescent="0.25">
      <c r="B1627" s="22"/>
      <c r="C1627" s="21"/>
      <c r="W1627" s="22"/>
      <c r="X1627" s="22"/>
    </row>
    <row r="1628" spans="2:24" x14ac:dyDescent="0.25">
      <c r="B1628" s="22"/>
      <c r="C1628" s="21"/>
      <c r="W1628" s="22"/>
      <c r="X1628" s="22"/>
    </row>
    <row r="1629" spans="2:24" x14ac:dyDescent="0.25">
      <c r="B1629" s="22"/>
      <c r="C1629" s="21"/>
      <c r="W1629" s="22"/>
      <c r="X1629" s="22"/>
    </row>
    <row r="1630" spans="2:24" x14ac:dyDescent="0.25">
      <c r="B1630" s="22"/>
      <c r="C1630" s="21"/>
      <c r="W1630" s="22"/>
      <c r="X1630" s="22"/>
    </row>
    <row r="1631" spans="2:24" x14ac:dyDescent="0.25">
      <c r="B1631" s="22"/>
      <c r="C1631" s="21"/>
      <c r="W1631" s="22"/>
      <c r="X1631" s="22"/>
    </row>
    <row r="1632" spans="2:24" x14ac:dyDescent="0.25">
      <c r="B1632" s="22"/>
      <c r="C1632" s="21"/>
      <c r="W1632" s="22"/>
      <c r="X1632" s="22"/>
    </row>
    <row r="1633" spans="2:24" x14ac:dyDescent="0.25">
      <c r="B1633" s="22"/>
      <c r="C1633" s="21"/>
      <c r="W1633" s="22"/>
      <c r="X1633" s="22"/>
    </row>
    <row r="1634" spans="2:24" x14ac:dyDescent="0.25">
      <c r="B1634" s="22"/>
      <c r="C1634" s="21"/>
      <c r="W1634" s="22"/>
      <c r="X1634" s="22"/>
    </row>
    <row r="1635" spans="2:24" x14ac:dyDescent="0.25">
      <c r="B1635" s="22"/>
      <c r="C1635" s="21"/>
      <c r="W1635" s="22"/>
      <c r="X1635" s="22"/>
    </row>
    <row r="1636" spans="2:24" x14ac:dyDescent="0.25">
      <c r="B1636" s="22"/>
      <c r="C1636" s="21"/>
      <c r="W1636" s="22"/>
      <c r="X1636" s="22"/>
    </row>
    <row r="1637" spans="2:24" x14ac:dyDescent="0.25">
      <c r="B1637" s="22"/>
      <c r="C1637" s="21"/>
      <c r="W1637" s="22"/>
      <c r="X1637" s="22"/>
    </row>
    <row r="1638" spans="2:24" x14ac:dyDescent="0.25">
      <c r="B1638" s="22"/>
      <c r="C1638" s="21"/>
      <c r="W1638" s="22"/>
      <c r="X1638" s="22"/>
    </row>
    <row r="1639" spans="2:24" x14ac:dyDescent="0.25">
      <c r="B1639" s="22"/>
      <c r="C1639" s="21"/>
      <c r="W1639" s="22"/>
      <c r="X1639" s="22"/>
    </row>
    <row r="1640" spans="2:24" x14ac:dyDescent="0.25">
      <c r="B1640" s="22"/>
      <c r="C1640" s="21"/>
      <c r="W1640" s="22"/>
      <c r="X1640" s="22"/>
    </row>
    <row r="1641" spans="2:24" x14ac:dyDescent="0.25">
      <c r="B1641" s="22"/>
      <c r="C1641" s="21"/>
      <c r="W1641" s="22"/>
      <c r="X1641" s="22"/>
    </row>
    <row r="1642" spans="2:24" x14ac:dyDescent="0.25">
      <c r="B1642" s="22"/>
      <c r="C1642" s="21"/>
      <c r="W1642" s="22"/>
      <c r="X1642" s="22"/>
    </row>
    <row r="1643" spans="2:24" x14ac:dyDescent="0.25">
      <c r="B1643" s="22"/>
      <c r="C1643" s="21"/>
      <c r="W1643" s="22"/>
      <c r="X1643" s="22"/>
    </row>
    <row r="1644" spans="2:24" x14ac:dyDescent="0.25">
      <c r="B1644" s="22"/>
      <c r="C1644" s="21"/>
      <c r="W1644" s="22"/>
      <c r="X1644" s="22"/>
    </row>
    <row r="1645" spans="2:24" x14ac:dyDescent="0.25">
      <c r="B1645" s="22"/>
      <c r="C1645" s="21"/>
      <c r="W1645" s="22"/>
      <c r="X1645" s="22"/>
    </row>
    <row r="1646" spans="2:24" x14ac:dyDescent="0.25">
      <c r="B1646" s="22"/>
      <c r="C1646" s="21"/>
      <c r="W1646" s="22"/>
      <c r="X1646" s="22"/>
    </row>
    <row r="1647" spans="2:24" x14ac:dyDescent="0.25">
      <c r="B1647" s="22"/>
      <c r="C1647" s="21"/>
      <c r="W1647" s="22"/>
      <c r="X1647" s="22"/>
    </row>
    <row r="1648" spans="2:24" x14ac:dyDescent="0.25">
      <c r="B1648" s="22"/>
      <c r="C1648" s="21"/>
      <c r="W1648" s="22"/>
      <c r="X1648" s="22"/>
    </row>
    <row r="1649" spans="2:24" x14ac:dyDescent="0.25">
      <c r="B1649" s="22"/>
      <c r="C1649" s="21"/>
      <c r="W1649" s="22"/>
      <c r="X1649" s="22"/>
    </row>
    <row r="1650" spans="2:24" x14ac:dyDescent="0.25">
      <c r="B1650" s="22"/>
      <c r="C1650" s="21"/>
      <c r="W1650" s="22"/>
      <c r="X1650" s="22"/>
    </row>
    <row r="1651" spans="2:24" x14ac:dyDescent="0.25">
      <c r="B1651" s="22"/>
      <c r="C1651" s="21"/>
      <c r="W1651" s="22"/>
      <c r="X1651" s="22"/>
    </row>
    <row r="1652" spans="2:24" x14ac:dyDescent="0.25">
      <c r="B1652" s="22"/>
      <c r="C1652" s="21"/>
      <c r="W1652" s="22"/>
      <c r="X1652" s="22"/>
    </row>
    <row r="1653" spans="2:24" x14ac:dyDescent="0.25">
      <c r="B1653" s="22"/>
      <c r="C1653" s="21"/>
      <c r="W1653" s="22"/>
      <c r="X1653" s="22"/>
    </row>
    <row r="1654" spans="2:24" x14ac:dyDescent="0.25">
      <c r="B1654" s="22"/>
      <c r="C1654" s="21"/>
      <c r="W1654" s="22"/>
      <c r="X1654" s="22"/>
    </row>
    <row r="1655" spans="2:24" x14ac:dyDescent="0.25">
      <c r="B1655" s="22"/>
      <c r="C1655" s="21"/>
      <c r="W1655" s="22"/>
      <c r="X1655" s="22"/>
    </row>
    <row r="1656" spans="2:24" x14ac:dyDescent="0.25">
      <c r="B1656" s="22"/>
      <c r="C1656" s="21"/>
      <c r="W1656" s="22"/>
      <c r="X1656" s="22"/>
    </row>
    <row r="1657" spans="2:24" x14ac:dyDescent="0.25">
      <c r="B1657" s="22"/>
      <c r="C1657" s="21"/>
      <c r="W1657" s="22"/>
      <c r="X1657" s="22"/>
    </row>
    <row r="1658" spans="2:24" x14ac:dyDescent="0.25">
      <c r="B1658" s="22"/>
      <c r="C1658" s="21"/>
      <c r="W1658" s="22"/>
      <c r="X1658" s="22"/>
    </row>
    <row r="1659" spans="2:24" x14ac:dyDescent="0.25">
      <c r="B1659" s="22"/>
      <c r="C1659" s="21"/>
      <c r="W1659" s="22"/>
      <c r="X1659" s="22"/>
    </row>
    <row r="1660" spans="2:24" x14ac:dyDescent="0.25">
      <c r="B1660" s="22"/>
      <c r="C1660" s="21"/>
      <c r="W1660" s="22"/>
      <c r="X1660" s="22"/>
    </row>
    <row r="1661" spans="2:24" x14ac:dyDescent="0.25">
      <c r="B1661" s="22"/>
      <c r="C1661" s="21"/>
      <c r="W1661" s="22"/>
      <c r="X1661" s="22"/>
    </row>
    <row r="1662" spans="2:24" x14ac:dyDescent="0.25">
      <c r="B1662" s="22"/>
      <c r="C1662" s="21"/>
      <c r="W1662" s="22"/>
      <c r="X1662" s="22"/>
    </row>
    <row r="1663" spans="2:24" x14ac:dyDescent="0.25">
      <c r="B1663" s="22"/>
      <c r="C1663" s="21"/>
      <c r="W1663" s="22"/>
      <c r="X1663" s="22"/>
    </row>
    <row r="1664" spans="2:24" x14ac:dyDescent="0.25">
      <c r="B1664" s="22"/>
      <c r="C1664" s="21"/>
      <c r="W1664" s="22"/>
      <c r="X1664" s="22"/>
    </row>
    <row r="1665" spans="2:24" x14ac:dyDescent="0.25">
      <c r="B1665" s="22"/>
      <c r="C1665" s="21"/>
      <c r="W1665" s="22"/>
      <c r="X1665" s="22"/>
    </row>
    <row r="1666" spans="2:24" x14ac:dyDescent="0.25">
      <c r="B1666" s="22"/>
      <c r="C1666" s="21"/>
      <c r="W1666" s="22"/>
      <c r="X1666" s="22"/>
    </row>
    <row r="1667" spans="2:24" x14ac:dyDescent="0.25">
      <c r="B1667" s="22"/>
      <c r="C1667" s="21"/>
      <c r="W1667" s="22"/>
      <c r="X1667" s="22"/>
    </row>
    <row r="1668" spans="2:24" x14ac:dyDescent="0.25">
      <c r="B1668" s="22"/>
      <c r="C1668" s="21"/>
      <c r="W1668" s="22"/>
      <c r="X1668" s="22"/>
    </row>
    <row r="1669" spans="2:24" x14ac:dyDescent="0.25">
      <c r="B1669" s="22"/>
      <c r="C1669" s="21"/>
      <c r="W1669" s="22"/>
      <c r="X1669" s="22"/>
    </row>
    <row r="1670" spans="2:24" x14ac:dyDescent="0.25">
      <c r="B1670" s="22"/>
      <c r="C1670" s="21"/>
      <c r="W1670" s="22"/>
      <c r="X1670" s="22"/>
    </row>
    <row r="1671" spans="2:24" x14ac:dyDescent="0.25">
      <c r="B1671" s="22"/>
      <c r="C1671" s="21"/>
      <c r="W1671" s="22"/>
      <c r="X1671" s="22"/>
    </row>
    <row r="1672" spans="2:24" x14ac:dyDescent="0.25">
      <c r="B1672" s="22"/>
      <c r="C1672" s="21"/>
      <c r="W1672" s="22"/>
      <c r="X1672" s="22"/>
    </row>
    <row r="1673" spans="2:24" x14ac:dyDescent="0.25">
      <c r="B1673" s="22"/>
      <c r="C1673" s="21"/>
      <c r="W1673" s="22"/>
      <c r="X1673" s="22"/>
    </row>
    <row r="1674" spans="2:24" x14ac:dyDescent="0.25">
      <c r="B1674" s="22"/>
      <c r="C1674" s="21"/>
      <c r="W1674" s="22"/>
      <c r="X1674" s="22"/>
    </row>
    <row r="1675" spans="2:24" x14ac:dyDescent="0.25">
      <c r="B1675" s="22"/>
      <c r="C1675" s="21"/>
      <c r="W1675" s="22"/>
      <c r="X1675" s="22"/>
    </row>
    <row r="1676" spans="2:24" x14ac:dyDescent="0.25">
      <c r="B1676" s="22"/>
      <c r="C1676" s="21"/>
      <c r="W1676" s="22"/>
      <c r="X1676" s="22"/>
    </row>
    <row r="1677" spans="2:24" x14ac:dyDescent="0.25">
      <c r="B1677" s="22"/>
      <c r="C1677" s="21"/>
      <c r="W1677" s="22"/>
      <c r="X1677" s="22"/>
    </row>
    <row r="1678" spans="2:24" x14ac:dyDescent="0.25">
      <c r="B1678" s="22"/>
      <c r="C1678" s="21"/>
      <c r="W1678" s="22"/>
      <c r="X1678" s="22"/>
    </row>
    <row r="1679" spans="2:24" x14ac:dyDescent="0.25">
      <c r="B1679" s="22"/>
      <c r="C1679" s="21"/>
      <c r="W1679" s="22"/>
      <c r="X1679" s="22"/>
    </row>
    <row r="1680" spans="2:24" x14ac:dyDescent="0.25">
      <c r="B1680" s="22"/>
      <c r="C1680" s="21"/>
      <c r="W1680" s="22"/>
      <c r="X1680" s="22"/>
    </row>
    <row r="1681" spans="2:24" x14ac:dyDescent="0.25">
      <c r="B1681" s="22"/>
      <c r="C1681" s="21"/>
      <c r="W1681" s="22"/>
      <c r="X1681" s="22"/>
    </row>
    <row r="1682" spans="2:24" x14ac:dyDescent="0.25">
      <c r="B1682" s="22"/>
      <c r="C1682" s="21"/>
      <c r="W1682" s="22"/>
      <c r="X1682" s="22"/>
    </row>
    <row r="1683" spans="2:24" x14ac:dyDescent="0.25">
      <c r="B1683" s="22"/>
      <c r="C1683" s="21"/>
      <c r="W1683" s="22"/>
      <c r="X1683" s="22"/>
    </row>
    <row r="1684" spans="2:24" x14ac:dyDescent="0.25">
      <c r="B1684" s="22"/>
      <c r="C1684" s="21"/>
      <c r="W1684" s="22"/>
      <c r="X1684" s="22"/>
    </row>
    <row r="1685" spans="2:24" x14ac:dyDescent="0.25">
      <c r="B1685" s="22"/>
      <c r="C1685" s="21"/>
      <c r="W1685" s="22"/>
      <c r="X1685" s="22"/>
    </row>
    <row r="1686" spans="2:24" x14ac:dyDescent="0.25">
      <c r="B1686" s="22"/>
      <c r="C1686" s="21"/>
      <c r="W1686" s="22"/>
      <c r="X1686" s="22"/>
    </row>
    <row r="1687" spans="2:24" x14ac:dyDescent="0.25">
      <c r="B1687" s="22"/>
      <c r="C1687" s="21"/>
      <c r="W1687" s="22"/>
      <c r="X1687" s="22"/>
    </row>
    <row r="1688" spans="2:24" x14ac:dyDescent="0.25">
      <c r="B1688" s="22"/>
      <c r="C1688" s="21"/>
      <c r="W1688" s="22"/>
      <c r="X1688" s="22"/>
    </row>
    <row r="1689" spans="2:24" x14ac:dyDescent="0.25">
      <c r="B1689" s="22"/>
      <c r="C1689" s="21"/>
      <c r="W1689" s="22"/>
      <c r="X1689" s="22"/>
    </row>
    <row r="1690" spans="2:24" x14ac:dyDescent="0.25">
      <c r="B1690" s="22"/>
      <c r="C1690" s="21"/>
      <c r="W1690" s="22"/>
      <c r="X1690" s="22"/>
    </row>
    <row r="1691" spans="2:24" x14ac:dyDescent="0.25">
      <c r="B1691" s="22"/>
      <c r="C1691" s="21"/>
      <c r="W1691" s="22"/>
      <c r="X1691" s="22"/>
    </row>
    <row r="1692" spans="2:24" x14ac:dyDescent="0.25">
      <c r="B1692" s="22"/>
      <c r="C1692" s="21"/>
      <c r="W1692" s="22"/>
      <c r="X1692" s="22"/>
    </row>
    <row r="1693" spans="2:24" x14ac:dyDescent="0.25">
      <c r="B1693" s="22"/>
      <c r="C1693" s="21"/>
      <c r="W1693" s="22"/>
      <c r="X1693" s="22"/>
    </row>
    <row r="1694" spans="2:24" x14ac:dyDescent="0.25">
      <c r="B1694" s="22"/>
      <c r="C1694" s="21"/>
      <c r="W1694" s="22"/>
      <c r="X1694" s="22"/>
    </row>
    <row r="1695" spans="2:24" x14ac:dyDescent="0.25">
      <c r="B1695" s="22"/>
      <c r="C1695" s="21"/>
      <c r="W1695" s="22"/>
      <c r="X1695" s="22"/>
    </row>
    <row r="1696" spans="2:24" x14ac:dyDescent="0.25">
      <c r="B1696" s="22"/>
      <c r="C1696" s="21"/>
      <c r="W1696" s="22"/>
      <c r="X1696" s="22"/>
    </row>
    <row r="1697" spans="2:24" x14ac:dyDescent="0.25">
      <c r="B1697" s="22"/>
      <c r="C1697" s="21"/>
      <c r="W1697" s="22"/>
      <c r="X1697" s="22"/>
    </row>
    <row r="1698" spans="2:24" x14ac:dyDescent="0.25">
      <c r="B1698" s="22"/>
      <c r="C1698" s="21"/>
      <c r="W1698" s="22"/>
      <c r="X1698" s="22"/>
    </row>
    <row r="1699" spans="2:24" x14ac:dyDescent="0.25">
      <c r="B1699" s="22"/>
      <c r="C1699" s="21"/>
      <c r="W1699" s="22"/>
      <c r="X1699" s="22"/>
    </row>
    <row r="1700" spans="2:24" x14ac:dyDescent="0.25">
      <c r="B1700" s="22"/>
      <c r="C1700" s="21"/>
      <c r="W1700" s="22"/>
      <c r="X1700" s="22"/>
    </row>
    <row r="1701" spans="2:24" x14ac:dyDescent="0.25">
      <c r="B1701" s="22"/>
      <c r="C1701" s="21"/>
      <c r="W1701" s="22"/>
      <c r="X1701" s="22"/>
    </row>
    <row r="1702" spans="2:24" x14ac:dyDescent="0.25">
      <c r="B1702" s="22"/>
      <c r="C1702" s="21"/>
      <c r="W1702" s="22"/>
      <c r="X1702" s="22"/>
    </row>
    <row r="1703" spans="2:24" x14ac:dyDescent="0.25">
      <c r="B1703" s="22"/>
      <c r="C1703" s="21"/>
      <c r="W1703" s="22"/>
      <c r="X1703" s="22"/>
    </row>
    <row r="1704" spans="2:24" x14ac:dyDescent="0.25">
      <c r="B1704" s="22"/>
      <c r="C1704" s="21"/>
      <c r="W1704" s="22"/>
      <c r="X1704" s="22"/>
    </row>
    <row r="1705" spans="2:24" x14ac:dyDescent="0.25">
      <c r="B1705" s="22"/>
      <c r="C1705" s="21"/>
      <c r="W1705" s="22"/>
      <c r="X1705" s="22"/>
    </row>
    <row r="1706" spans="2:24" x14ac:dyDescent="0.25">
      <c r="B1706" s="22"/>
      <c r="C1706" s="21"/>
      <c r="W1706" s="22"/>
      <c r="X1706" s="22"/>
    </row>
    <row r="1707" spans="2:24" x14ac:dyDescent="0.25">
      <c r="B1707" s="22"/>
      <c r="C1707" s="21"/>
      <c r="W1707" s="22"/>
      <c r="X1707" s="22"/>
    </row>
    <row r="1708" spans="2:24" x14ac:dyDescent="0.25">
      <c r="B1708" s="22"/>
      <c r="C1708" s="21"/>
      <c r="W1708" s="22"/>
      <c r="X1708" s="22"/>
    </row>
    <row r="1709" spans="2:24" x14ac:dyDescent="0.25">
      <c r="B1709" s="22"/>
      <c r="C1709" s="21"/>
      <c r="W1709" s="22"/>
      <c r="X1709" s="22"/>
    </row>
    <row r="1710" spans="2:24" x14ac:dyDescent="0.25">
      <c r="B1710" s="22"/>
      <c r="C1710" s="21"/>
      <c r="W1710" s="22"/>
      <c r="X1710" s="22"/>
    </row>
    <row r="1711" spans="2:24" x14ac:dyDescent="0.25">
      <c r="B1711" s="22"/>
      <c r="C1711" s="21"/>
      <c r="W1711" s="22"/>
      <c r="X1711" s="22"/>
    </row>
    <row r="1712" spans="2:24" x14ac:dyDescent="0.25">
      <c r="B1712" s="22"/>
      <c r="C1712" s="21"/>
      <c r="W1712" s="22"/>
      <c r="X1712" s="22"/>
    </row>
    <row r="1713" spans="2:24" x14ac:dyDescent="0.25">
      <c r="B1713" s="22"/>
      <c r="C1713" s="21"/>
      <c r="W1713" s="22"/>
      <c r="X1713" s="22"/>
    </row>
    <row r="1714" spans="2:24" x14ac:dyDescent="0.25">
      <c r="B1714" s="22"/>
      <c r="C1714" s="21"/>
      <c r="W1714" s="22"/>
      <c r="X1714" s="22"/>
    </row>
    <row r="1715" spans="2:24" x14ac:dyDescent="0.25">
      <c r="B1715" s="22"/>
      <c r="C1715" s="21"/>
      <c r="W1715" s="22"/>
      <c r="X1715" s="22"/>
    </row>
    <row r="1716" spans="2:24" x14ac:dyDescent="0.25">
      <c r="B1716" s="22"/>
      <c r="C1716" s="21"/>
      <c r="W1716" s="22"/>
      <c r="X1716" s="22"/>
    </row>
    <row r="1717" spans="2:24" x14ac:dyDescent="0.25">
      <c r="B1717" s="22"/>
      <c r="C1717" s="21"/>
      <c r="W1717" s="22"/>
      <c r="X1717" s="22"/>
    </row>
    <row r="1718" spans="2:24" x14ac:dyDescent="0.25">
      <c r="B1718" s="22"/>
      <c r="C1718" s="21"/>
      <c r="W1718" s="22"/>
      <c r="X1718" s="22"/>
    </row>
    <row r="1719" spans="2:24" x14ac:dyDescent="0.25">
      <c r="B1719" s="22"/>
      <c r="C1719" s="21"/>
      <c r="W1719" s="22"/>
      <c r="X1719" s="22"/>
    </row>
    <row r="1720" spans="2:24" x14ac:dyDescent="0.25">
      <c r="B1720" s="22"/>
      <c r="C1720" s="21"/>
      <c r="W1720" s="22"/>
      <c r="X1720" s="22"/>
    </row>
    <row r="1721" spans="2:24" x14ac:dyDescent="0.25">
      <c r="B1721" s="22"/>
      <c r="C1721" s="21"/>
      <c r="W1721" s="22"/>
      <c r="X1721" s="22"/>
    </row>
    <row r="1722" spans="2:24" x14ac:dyDescent="0.25">
      <c r="B1722" s="22"/>
      <c r="C1722" s="21"/>
      <c r="W1722" s="22"/>
      <c r="X1722" s="22"/>
    </row>
    <row r="1723" spans="2:24" x14ac:dyDescent="0.25">
      <c r="B1723" s="22"/>
      <c r="C1723" s="21"/>
      <c r="W1723" s="22"/>
      <c r="X1723" s="22"/>
    </row>
    <row r="1724" spans="2:24" x14ac:dyDescent="0.25">
      <c r="B1724" s="22"/>
      <c r="C1724" s="21"/>
      <c r="W1724" s="22"/>
      <c r="X1724" s="22"/>
    </row>
    <row r="1725" spans="2:24" x14ac:dyDescent="0.25">
      <c r="B1725" s="22"/>
      <c r="C1725" s="21"/>
      <c r="W1725" s="22"/>
      <c r="X1725" s="22"/>
    </row>
    <row r="1726" spans="2:24" x14ac:dyDescent="0.25">
      <c r="B1726" s="22"/>
      <c r="C1726" s="21"/>
      <c r="W1726" s="22"/>
      <c r="X1726" s="22"/>
    </row>
    <row r="1727" spans="2:24" x14ac:dyDescent="0.25">
      <c r="B1727" s="22"/>
      <c r="C1727" s="21"/>
      <c r="W1727" s="22"/>
      <c r="X1727" s="22"/>
    </row>
    <row r="1728" spans="2:24" x14ac:dyDescent="0.25">
      <c r="B1728" s="22"/>
      <c r="C1728" s="21"/>
      <c r="W1728" s="22"/>
      <c r="X1728" s="22"/>
    </row>
    <row r="1729" spans="2:24" x14ac:dyDescent="0.25">
      <c r="B1729" s="22"/>
      <c r="C1729" s="21"/>
      <c r="W1729" s="22"/>
      <c r="X1729" s="22"/>
    </row>
    <row r="1730" spans="2:24" x14ac:dyDescent="0.25">
      <c r="B1730" s="22"/>
      <c r="C1730" s="21"/>
      <c r="W1730" s="22"/>
      <c r="X1730" s="22"/>
    </row>
    <row r="1731" spans="2:24" x14ac:dyDescent="0.25">
      <c r="B1731" s="22"/>
      <c r="C1731" s="21"/>
      <c r="W1731" s="22"/>
      <c r="X1731" s="22"/>
    </row>
    <row r="1732" spans="2:24" x14ac:dyDescent="0.25">
      <c r="B1732" s="22"/>
      <c r="C1732" s="21"/>
      <c r="W1732" s="22"/>
      <c r="X1732" s="22"/>
    </row>
    <row r="1733" spans="2:24" x14ac:dyDescent="0.25">
      <c r="B1733" s="22"/>
      <c r="C1733" s="21"/>
      <c r="W1733" s="22"/>
      <c r="X1733" s="22"/>
    </row>
    <row r="1734" spans="2:24" x14ac:dyDescent="0.25">
      <c r="B1734" s="22"/>
      <c r="C1734" s="21"/>
      <c r="W1734" s="22"/>
      <c r="X1734" s="22"/>
    </row>
    <row r="1735" spans="2:24" x14ac:dyDescent="0.25">
      <c r="B1735" s="22"/>
      <c r="C1735" s="21"/>
      <c r="W1735" s="22"/>
      <c r="X1735" s="22"/>
    </row>
    <row r="1736" spans="2:24" x14ac:dyDescent="0.25">
      <c r="B1736" s="22"/>
      <c r="C1736" s="21"/>
      <c r="W1736" s="22"/>
      <c r="X1736" s="22"/>
    </row>
    <row r="1737" spans="2:24" x14ac:dyDescent="0.25">
      <c r="B1737" s="22"/>
      <c r="C1737" s="21"/>
      <c r="W1737" s="22"/>
      <c r="X1737" s="22"/>
    </row>
    <row r="1738" spans="2:24" x14ac:dyDescent="0.25">
      <c r="B1738" s="22"/>
      <c r="C1738" s="21"/>
      <c r="W1738" s="22"/>
      <c r="X1738" s="22"/>
    </row>
    <row r="1739" spans="2:24" x14ac:dyDescent="0.25">
      <c r="B1739" s="22"/>
      <c r="C1739" s="21"/>
      <c r="W1739" s="22"/>
      <c r="X1739" s="22"/>
    </row>
    <row r="1740" spans="2:24" x14ac:dyDescent="0.25">
      <c r="B1740" s="22"/>
      <c r="C1740" s="21"/>
      <c r="W1740" s="22"/>
      <c r="X1740" s="22"/>
    </row>
    <row r="1741" spans="2:24" x14ac:dyDescent="0.25">
      <c r="B1741" s="22"/>
      <c r="C1741" s="21"/>
      <c r="W1741" s="22"/>
      <c r="X1741" s="22"/>
    </row>
    <row r="1742" spans="2:24" x14ac:dyDescent="0.25">
      <c r="B1742" s="22"/>
      <c r="C1742" s="21"/>
      <c r="W1742" s="22"/>
      <c r="X1742" s="22"/>
    </row>
    <row r="1743" spans="2:24" x14ac:dyDescent="0.25">
      <c r="B1743" s="22"/>
      <c r="C1743" s="21"/>
      <c r="W1743" s="22"/>
      <c r="X1743" s="22"/>
    </row>
    <row r="1744" spans="2:24" x14ac:dyDescent="0.25">
      <c r="B1744" s="22"/>
      <c r="C1744" s="21"/>
      <c r="W1744" s="22"/>
      <c r="X1744" s="22"/>
    </row>
    <row r="1745" spans="2:24" x14ac:dyDescent="0.25">
      <c r="B1745" s="22"/>
      <c r="C1745" s="21"/>
      <c r="W1745" s="22"/>
      <c r="X1745" s="22"/>
    </row>
    <row r="1746" spans="2:24" x14ac:dyDescent="0.25">
      <c r="B1746" s="22"/>
      <c r="C1746" s="21"/>
      <c r="W1746" s="22"/>
      <c r="X1746" s="22"/>
    </row>
    <row r="1747" spans="2:24" x14ac:dyDescent="0.25">
      <c r="B1747" s="22"/>
      <c r="C1747" s="21"/>
      <c r="W1747" s="22"/>
      <c r="X1747" s="22"/>
    </row>
    <row r="1748" spans="2:24" x14ac:dyDescent="0.25">
      <c r="B1748" s="22"/>
      <c r="C1748" s="21"/>
      <c r="W1748" s="22"/>
      <c r="X1748" s="22"/>
    </row>
    <row r="1749" spans="2:24" x14ac:dyDescent="0.25">
      <c r="B1749" s="22"/>
      <c r="C1749" s="21"/>
      <c r="W1749" s="22"/>
      <c r="X1749" s="22"/>
    </row>
    <row r="1750" spans="2:24" x14ac:dyDescent="0.25">
      <c r="B1750" s="22"/>
      <c r="C1750" s="21"/>
      <c r="W1750" s="22"/>
      <c r="X1750" s="22"/>
    </row>
    <row r="1751" spans="2:24" x14ac:dyDescent="0.25">
      <c r="B1751" s="22"/>
      <c r="C1751" s="21"/>
      <c r="W1751" s="22"/>
      <c r="X1751" s="22"/>
    </row>
    <row r="1752" spans="2:24" x14ac:dyDescent="0.25">
      <c r="B1752" s="22"/>
      <c r="C1752" s="21"/>
      <c r="W1752" s="22"/>
      <c r="X1752" s="22"/>
    </row>
    <row r="1753" spans="2:24" x14ac:dyDescent="0.25">
      <c r="B1753" s="22"/>
      <c r="C1753" s="21"/>
      <c r="W1753" s="22"/>
      <c r="X1753" s="22"/>
    </row>
    <row r="1754" spans="2:24" x14ac:dyDescent="0.25">
      <c r="B1754" s="22"/>
      <c r="C1754" s="21"/>
      <c r="W1754" s="22"/>
      <c r="X1754" s="22"/>
    </row>
    <row r="1755" spans="2:24" x14ac:dyDescent="0.25">
      <c r="B1755" s="22"/>
      <c r="C1755" s="21"/>
      <c r="W1755" s="22"/>
      <c r="X1755" s="22"/>
    </row>
    <row r="1756" spans="2:24" x14ac:dyDescent="0.25">
      <c r="B1756" s="22"/>
      <c r="C1756" s="21"/>
      <c r="W1756" s="22"/>
      <c r="X1756" s="22"/>
    </row>
    <row r="1757" spans="2:24" x14ac:dyDescent="0.25">
      <c r="B1757" s="22"/>
      <c r="C1757" s="21"/>
      <c r="W1757" s="22"/>
      <c r="X1757" s="22"/>
    </row>
    <row r="1758" spans="2:24" x14ac:dyDescent="0.25">
      <c r="B1758" s="22"/>
      <c r="C1758" s="21"/>
      <c r="W1758" s="22"/>
      <c r="X1758" s="22"/>
    </row>
    <row r="1759" spans="2:24" x14ac:dyDescent="0.25">
      <c r="B1759" s="22"/>
      <c r="C1759" s="21"/>
      <c r="W1759" s="22"/>
      <c r="X1759" s="22"/>
    </row>
    <row r="1760" spans="2:24" x14ac:dyDescent="0.25">
      <c r="B1760" s="22"/>
      <c r="C1760" s="21"/>
      <c r="W1760" s="22"/>
      <c r="X1760" s="22"/>
    </row>
    <row r="1761" spans="2:24" x14ac:dyDescent="0.25">
      <c r="B1761" s="22"/>
      <c r="C1761" s="21"/>
      <c r="W1761" s="22"/>
      <c r="X1761" s="22"/>
    </row>
    <row r="1762" spans="2:24" x14ac:dyDescent="0.25">
      <c r="B1762" s="22"/>
      <c r="C1762" s="21"/>
      <c r="W1762" s="22"/>
      <c r="X1762" s="22"/>
    </row>
    <row r="1763" spans="2:24" x14ac:dyDescent="0.25">
      <c r="B1763" s="22"/>
      <c r="C1763" s="21"/>
      <c r="W1763" s="22"/>
      <c r="X1763" s="22"/>
    </row>
    <row r="1764" spans="2:24" x14ac:dyDescent="0.25">
      <c r="B1764" s="22"/>
      <c r="C1764" s="21"/>
      <c r="W1764" s="22"/>
      <c r="X1764" s="22"/>
    </row>
    <row r="1765" spans="2:24" x14ac:dyDescent="0.25">
      <c r="B1765" s="22"/>
      <c r="C1765" s="21"/>
      <c r="W1765" s="22"/>
      <c r="X1765" s="22"/>
    </row>
    <row r="1766" spans="2:24" x14ac:dyDescent="0.25">
      <c r="B1766" s="22"/>
      <c r="C1766" s="21"/>
      <c r="W1766" s="22"/>
      <c r="X1766" s="22"/>
    </row>
    <row r="1767" spans="2:24" x14ac:dyDescent="0.25">
      <c r="B1767" s="22"/>
      <c r="C1767" s="21"/>
      <c r="W1767" s="22"/>
      <c r="X1767" s="22"/>
    </row>
    <row r="1768" spans="2:24" x14ac:dyDescent="0.25">
      <c r="B1768" s="22"/>
      <c r="C1768" s="21"/>
      <c r="W1768" s="22"/>
      <c r="X1768" s="22"/>
    </row>
    <row r="1769" spans="2:24" x14ac:dyDescent="0.25">
      <c r="B1769" s="22"/>
      <c r="C1769" s="21"/>
      <c r="W1769" s="22"/>
      <c r="X1769" s="22"/>
    </row>
    <row r="1770" spans="2:24" x14ac:dyDescent="0.25">
      <c r="B1770" s="22"/>
      <c r="C1770" s="21"/>
      <c r="W1770" s="22"/>
      <c r="X1770" s="22"/>
    </row>
    <row r="1771" spans="2:24" x14ac:dyDescent="0.25">
      <c r="B1771" s="22"/>
      <c r="C1771" s="21"/>
      <c r="W1771" s="22"/>
      <c r="X1771" s="22"/>
    </row>
    <row r="1772" spans="2:24" x14ac:dyDescent="0.25">
      <c r="B1772" s="22"/>
      <c r="C1772" s="21"/>
      <c r="W1772" s="22"/>
      <c r="X1772" s="22"/>
    </row>
    <row r="1773" spans="2:24" x14ac:dyDescent="0.25">
      <c r="B1773" s="22"/>
      <c r="C1773" s="21"/>
      <c r="W1773" s="22"/>
      <c r="X1773" s="22"/>
    </row>
    <row r="1774" spans="2:24" x14ac:dyDescent="0.25">
      <c r="B1774" s="22"/>
      <c r="C1774" s="21"/>
      <c r="W1774" s="22"/>
      <c r="X1774" s="22"/>
    </row>
    <row r="1775" spans="2:24" x14ac:dyDescent="0.25">
      <c r="B1775" s="22"/>
      <c r="C1775" s="21"/>
      <c r="W1775" s="22"/>
      <c r="X1775" s="22"/>
    </row>
    <row r="1776" spans="2:24" x14ac:dyDescent="0.25">
      <c r="B1776" s="22"/>
      <c r="C1776" s="21"/>
      <c r="W1776" s="22"/>
      <c r="X1776" s="22"/>
    </row>
    <row r="1777" spans="2:24" x14ac:dyDescent="0.25">
      <c r="B1777" s="22"/>
      <c r="C1777" s="21"/>
      <c r="W1777" s="22"/>
      <c r="X1777" s="22"/>
    </row>
    <row r="1778" spans="2:24" x14ac:dyDescent="0.25">
      <c r="B1778" s="22"/>
      <c r="C1778" s="21"/>
      <c r="W1778" s="22"/>
      <c r="X1778" s="22"/>
    </row>
    <row r="1779" spans="2:24" x14ac:dyDescent="0.25">
      <c r="B1779" s="22"/>
      <c r="C1779" s="21"/>
      <c r="W1779" s="22"/>
      <c r="X1779" s="22"/>
    </row>
    <row r="1780" spans="2:24" x14ac:dyDescent="0.25">
      <c r="B1780" s="22"/>
      <c r="C1780" s="21"/>
      <c r="W1780" s="22"/>
      <c r="X1780" s="22"/>
    </row>
    <row r="1781" spans="2:24" x14ac:dyDescent="0.25">
      <c r="B1781" s="22"/>
      <c r="C1781" s="21"/>
      <c r="W1781" s="22"/>
      <c r="X1781" s="22"/>
    </row>
    <row r="1782" spans="2:24" x14ac:dyDescent="0.25">
      <c r="B1782" s="22"/>
      <c r="C1782" s="21"/>
      <c r="W1782" s="22"/>
      <c r="X1782" s="22"/>
    </row>
    <row r="1783" spans="2:24" x14ac:dyDescent="0.25">
      <c r="B1783" s="22"/>
      <c r="C1783" s="21"/>
      <c r="W1783" s="22"/>
      <c r="X1783" s="22"/>
    </row>
    <row r="1784" spans="2:24" x14ac:dyDescent="0.25">
      <c r="B1784" s="22"/>
      <c r="C1784" s="21"/>
      <c r="W1784" s="22"/>
      <c r="X1784" s="22"/>
    </row>
    <row r="1785" spans="2:24" x14ac:dyDescent="0.25">
      <c r="B1785" s="22"/>
      <c r="C1785" s="21"/>
      <c r="W1785" s="22"/>
      <c r="X1785" s="22"/>
    </row>
    <row r="1786" spans="2:24" x14ac:dyDescent="0.25">
      <c r="B1786" s="22"/>
      <c r="C1786" s="21"/>
      <c r="W1786" s="22"/>
      <c r="X1786" s="22"/>
    </row>
    <row r="1787" spans="2:24" x14ac:dyDescent="0.25">
      <c r="B1787" s="22"/>
      <c r="C1787" s="21"/>
      <c r="W1787" s="22"/>
      <c r="X1787" s="22"/>
    </row>
    <row r="1788" spans="2:24" x14ac:dyDescent="0.25">
      <c r="B1788" s="22"/>
      <c r="C1788" s="21"/>
      <c r="W1788" s="22"/>
      <c r="X1788" s="22"/>
    </row>
    <row r="1789" spans="2:24" x14ac:dyDescent="0.25">
      <c r="B1789" s="22"/>
      <c r="C1789" s="21"/>
      <c r="W1789" s="22"/>
      <c r="X1789" s="22"/>
    </row>
    <row r="1790" spans="2:24" x14ac:dyDescent="0.25">
      <c r="B1790" s="22"/>
      <c r="C1790" s="21"/>
      <c r="W1790" s="22"/>
      <c r="X1790" s="22"/>
    </row>
    <row r="1791" spans="2:24" x14ac:dyDescent="0.25">
      <c r="B1791" s="22"/>
      <c r="C1791" s="21"/>
      <c r="W1791" s="22"/>
      <c r="X1791" s="22"/>
    </row>
    <row r="1792" spans="2:24" x14ac:dyDescent="0.25">
      <c r="B1792" s="22"/>
      <c r="C1792" s="21"/>
      <c r="W1792" s="22"/>
      <c r="X1792" s="22"/>
    </row>
    <row r="1793" spans="2:24" x14ac:dyDescent="0.25">
      <c r="B1793" s="22"/>
      <c r="C1793" s="21"/>
      <c r="W1793" s="22"/>
      <c r="X1793" s="22"/>
    </row>
    <row r="1794" spans="2:24" x14ac:dyDescent="0.25">
      <c r="B1794" s="22"/>
      <c r="C1794" s="21"/>
      <c r="W1794" s="22"/>
      <c r="X1794" s="22"/>
    </row>
    <row r="1795" spans="2:24" x14ac:dyDescent="0.25">
      <c r="B1795" s="22"/>
      <c r="C1795" s="21"/>
      <c r="W1795" s="22"/>
      <c r="X1795" s="22"/>
    </row>
    <row r="1796" spans="2:24" x14ac:dyDescent="0.25">
      <c r="B1796" s="22"/>
      <c r="C1796" s="21"/>
      <c r="W1796" s="22"/>
      <c r="X1796" s="22"/>
    </row>
    <row r="1797" spans="2:24" x14ac:dyDescent="0.25">
      <c r="B1797" s="22"/>
      <c r="C1797" s="21"/>
      <c r="W1797" s="22"/>
      <c r="X1797" s="22"/>
    </row>
    <row r="1798" spans="2:24" x14ac:dyDescent="0.25">
      <c r="B1798" s="22"/>
      <c r="C1798" s="21"/>
      <c r="W1798" s="22"/>
      <c r="X1798" s="22"/>
    </row>
    <row r="1799" spans="2:24" x14ac:dyDescent="0.25">
      <c r="B1799" s="22"/>
      <c r="C1799" s="21"/>
      <c r="W1799" s="22"/>
      <c r="X1799" s="22"/>
    </row>
    <row r="1800" spans="2:24" x14ac:dyDescent="0.25">
      <c r="B1800" s="22"/>
      <c r="C1800" s="21"/>
      <c r="W1800" s="22"/>
      <c r="X1800" s="22"/>
    </row>
    <row r="1801" spans="2:24" x14ac:dyDescent="0.25">
      <c r="B1801" s="22"/>
      <c r="C1801" s="21"/>
      <c r="W1801" s="22"/>
      <c r="X1801" s="22"/>
    </row>
    <row r="1802" spans="2:24" x14ac:dyDescent="0.25">
      <c r="B1802" s="22"/>
      <c r="C1802" s="21"/>
      <c r="W1802" s="22"/>
      <c r="X1802" s="22"/>
    </row>
    <row r="1803" spans="2:24" x14ac:dyDescent="0.25">
      <c r="B1803" s="22"/>
      <c r="C1803" s="21"/>
      <c r="W1803" s="22"/>
      <c r="X1803" s="22"/>
    </row>
    <row r="1804" spans="2:24" x14ac:dyDescent="0.25">
      <c r="B1804" s="22"/>
      <c r="C1804" s="21"/>
      <c r="W1804" s="22"/>
      <c r="X1804" s="22"/>
    </row>
    <row r="1805" spans="2:24" x14ac:dyDescent="0.25">
      <c r="B1805" s="22"/>
      <c r="C1805" s="21"/>
      <c r="W1805" s="22"/>
      <c r="X1805" s="22"/>
    </row>
    <row r="1806" spans="2:24" x14ac:dyDescent="0.25">
      <c r="B1806" s="22"/>
      <c r="C1806" s="21"/>
      <c r="W1806" s="22"/>
      <c r="X1806" s="22"/>
    </row>
    <row r="1807" spans="2:24" x14ac:dyDescent="0.25">
      <c r="B1807" s="22"/>
      <c r="C1807" s="21"/>
      <c r="W1807" s="22"/>
      <c r="X1807" s="22"/>
    </row>
    <row r="1808" spans="2:24" x14ac:dyDescent="0.25">
      <c r="B1808" s="22"/>
      <c r="C1808" s="21"/>
      <c r="W1808" s="22"/>
      <c r="X1808" s="22"/>
    </row>
    <row r="1809" spans="2:24" x14ac:dyDescent="0.25">
      <c r="B1809" s="22"/>
      <c r="C1809" s="21"/>
      <c r="W1809" s="22"/>
      <c r="X1809" s="22"/>
    </row>
    <row r="1810" spans="2:24" x14ac:dyDescent="0.25">
      <c r="B1810" s="22"/>
      <c r="C1810" s="21"/>
      <c r="W1810" s="22"/>
      <c r="X1810" s="22"/>
    </row>
    <row r="1811" spans="2:24" x14ac:dyDescent="0.25">
      <c r="B1811" s="22"/>
      <c r="C1811" s="21"/>
      <c r="W1811" s="22"/>
      <c r="X1811" s="22"/>
    </row>
    <row r="1812" spans="2:24" x14ac:dyDescent="0.25">
      <c r="B1812" s="22"/>
      <c r="C1812" s="21"/>
      <c r="W1812" s="22"/>
      <c r="X1812" s="22"/>
    </row>
    <row r="1813" spans="2:24" x14ac:dyDescent="0.25">
      <c r="B1813" s="22"/>
      <c r="C1813" s="21"/>
      <c r="W1813" s="22"/>
      <c r="X1813" s="22"/>
    </row>
    <row r="1814" spans="2:24" x14ac:dyDescent="0.25">
      <c r="B1814" s="22"/>
      <c r="C1814" s="21"/>
      <c r="W1814" s="22"/>
      <c r="X1814" s="22"/>
    </row>
    <row r="1815" spans="2:24" x14ac:dyDescent="0.25">
      <c r="B1815" s="22"/>
      <c r="C1815" s="21"/>
      <c r="W1815" s="22"/>
      <c r="X1815" s="22"/>
    </row>
    <row r="1816" spans="2:24" x14ac:dyDescent="0.25">
      <c r="B1816" s="22"/>
      <c r="C1816" s="21"/>
      <c r="W1816" s="22"/>
      <c r="X1816" s="22"/>
    </row>
    <row r="1817" spans="2:24" x14ac:dyDescent="0.25">
      <c r="B1817" s="22"/>
      <c r="C1817" s="21"/>
      <c r="W1817" s="22"/>
      <c r="X1817" s="22"/>
    </row>
    <row r="1818" spans="2:24" x14ac:dyDescent="0.25">
      <c r="B1818" s="22"/>
      <c r="C1818" s="21"/>
      <c r="W1818" s="22"/>
      <c r="X1818" s="22"/>
    </row>
    <row r="1819" spans="2:24" x14ac:dyDescent="0.25">
      <c r="B1819" s="22"/>
      <c r="C1819" s="21"/>
      <c r="W1819" s="22"/>
      <c r="X1819" s="22"/>
    </row>
    <row r="1820" spans="2:24" x14ac:dyDescent="0.25">
      <c r="B1820" s="22"/>
      <c r="C1820" s="21"/>
      <c r="W1820" s="22"/>
      <c r="X1820" s="22"/>
    </row>
    <row r="1821" spans="2:24" x14ac:dyDescent="0.25">
      <c r="B1821" s="22"/>
      <c r="C1821" s="21"/>
      <c r="W1821" s="22"/>
      <c r="X1821" s="22"/>
    </row>
    <row r="1822" spans="2:24" x14ac:dyDescent="0.25">
      <c r="B1822" s="22"/>
      <c r="C1822" s="21"/>
      <c r="W1822" s="22"/>
      <c r="X1822" s="22"/>
    </row>
    <row r="1823" spans="2:24" x14ac:dyDescent="0.25">
      <c r="B1823" s="22"/>
      <c r="C1823" s="21"/>
      <c r="W1823" s="22"/>
      <c r="X1823" s="22"/>
    </row>
    <row r="1824" spans="2:24" x14ac:dyDescent="0.25">
      <c r="B1824" s="22"/>
      <c r="C1824" s="21"/>
      <c r="W1824" s="22"/>
      <c r="X1824" s="22"/>
    </row>
    <row r="1825" spans="2:24" x14ac:dyDescent="0.25">
      <c r="B1825" s="22"/>
      <c r="C1825" s="21"/>
      <c r="W1825" s="22"/>
      <c r="X1825" s="22"/>
    </row>
    <row r="1826" spans="2:24" x14ac:dyDescent="0.25">
      <c r="B1826" s="22"/>
      <c r="C1826" s="21"/>
      <c r="W1826" s="22"/>
      <c r="X1826" s="22"/>
    </row>
    <row r="1827" spans="2:24" x14ac:dyDescent="0.25">
      <c r="B1827" s="22"/>
      <c r="C1827" s="21"/>
      <c r="W1827" s="22"/>
      <c r="X1827" s="22"/>
    </row>
    <row r="1828" spans="2:24" x14ac:dyDescent="0.25">
      <c r="B1828" s="22"/>
      <c r="C1828" s="21"/>
      <c r="W1828" s="22"/>
      <c r="X1828" s="22"/>
    </row>
    <row r="1829" spans="2:24" x14ac:dyDescent="0.25">
      <c r="B1829" s="22"/>
      <c r="C1829" s="21"/>
      <c r="W1829" s="22"/>
      <c r="X1829" s="22"/>
    </row>
    <row r="1830" spans="2:24" x14ac:dyDescent="0.25">
      <c r="B1830" s="22"/>
      <c r="C1830" s="21"/>
      <c r="W1830" s="22"/>
      <c r="X1830" s="22"/>
    </row>
    <row r="1831" spans="2:24" x14ac:dyDescent="0.25">
      <c r="B1831" s="22"/>
      <c r="C1831" s="21"/>
      <c r="W1831" s="22"/>
      <c r="X1831" s="22"/>
    </row>
    <row r="1832" spans="2:24" x14ac:dyDescent="0.25">
      <c r="B1832" s="22"/>
      <c r="C1832" s="21"/>
      <c r="W1832" s="22"/>
      <c r="X1832" s="22"/>
    </row>
    <row r="1833" spans="2:24" x14ac:dyDescent="0.25">
      <c r="B1833" s="22"/>
      <c r="C1833" s="21"/>
      <c r="W1833" s="22"/>
      <c r="X1833" s="22"/>
    </row>
    <row r="1834" spans="2:24" x14ac:dyDescent="0.25">
      <c r="B1834" s="22"/>
      <c r="C1834" s="21"/>
      <c r="W1834" s="22"/>
      <c r="X1834" s="22"/>
    </row>
    <row r="1835" spans="2:24" x14ac:dyDescent="0.25">
      <c r="B1835" s="22"/>
      <c r="C1835" s="21"/>
      <c r="W1835" s="22"/>
      <c r="X1835" s="22"/>
    </row>
    <row r="1836" spans="2:24" x14ac:dyDescent="0.25">
      <c r="B1836" s="22"/>
      <c r="C1836" s="21"/>
      <c r="W1836" s="22"/>
      <c r="X1836" s="22"/>
    </row>
    <row r="1837" spans="2:24" x14ac:dyDescent="0.25">
      <c r="B1837" s="22"/>
      <c r="C1837" s="21"/>
      <c r="W1837" s="22"/>
      <c r="X1837" s="22"/>
    </row>
    <row r="1838" spans="2:24" x14ac:dyDescent="0.25">
      <c r="B1838" s="22"/>
      <c r="C1838" s="21"/>
      <c r="W1838" s="22"/>
      <c r="X1838" s="22"/>
    </row>
    <row r="1839" spans="2:24" x14ac:dyDescent="0.25">
      <c r="B1839" s="22"/>
      <c r="C1839" s="21"/>
      <c r="W1839" s="22"/>
      <c r="X1839" s="22"/>
    </row>
    <row r="1840" spans="2:24" x14ac:dyDescent="0.25">
      <c r="B1840" s="22"/>
      <c r="C1840" s="21"/>
      <c r="W1840" s="22"/>
      <c r="X1840" s="22"/>
    </row>
    <row r="1841" spans="2:24" x14ac:dyDescent="0.25">
      <c r="B1841" s="22"/>
      <c r="C1841" s="21"/>
      <c r="W1841" s="22"/>
      <c r="X1841" s="22"/>
    </row>
    <row r="1842" spans="2:24" x14ac:dyDescent="0.25">
      <c r="B1842" s="22"/>
      <c r="C1842" s="21"/>
      <c r="W1842" s="22"/>
      <c r="X1842" s="22"/>
    </row>
    <row r="1843" spans="2:24" x14ac:dyDescent="0.25">
      <c r="B1843" s="22"/>
      <c r="C1843" s="21"/>
      <c r="W1843" s="22"/>
      <c r="X1843" s="22"/>
    </row>
    <row r="1844" spans="2:24" x14ac:dyDescent="0.25">
      <c r="B1844" s="22"/>
      <c r="C1844" s="21"/>
      <c r="W1844" s="22"/>
      <c r="X1844" s="22"/>
    </row>
    <row r="1845" spans="2:24" x14ac:dyDescent="0.25">
      <c r="B1845" s="22"/>
      <c r="C1845" s="21"/>
      <c r="W1845" s="22"/>
      <c r="X1845" s="22"/>
    </row>
    <row r="1846" spans="2:24" x14ac:dyDescent="0.25">
      <c r="B1846" s="22"/>
      <c r="C1846" s="21"/>
      <c r="W1846" s="22"/>
      <c r="X1846" s="22"/>
    </row>
    <row r="1847" spans="2:24" x14ac:dyDescent="0.25">
      <c r="B1847" s="22"/>
      <c r="C1847" s="21"/>
      <c r="W1847" s="22"/>
      <c r="X1847" s="22"/>
    </row>
    <row r="1848" spans="2:24" x14ac:dyDescent="0.25">
      <c r="B1848" s="22"/>
      <c r="C1848" s="21"/>
      <c r="W1848" s="22"/>
      <c r="X1848" s="22"/>
    </row>
    <row r="1849" spans="2:24" x14ac:dyDescent="0.25">
      <c r="B1849" s="22"/>
      <c r="C1849" s="21"/>
      <c r="W1849" s="22"/>
      <c r="X1849" s="22"/>
    </row>
    <row r="1850" spans="2:24" x14ac:dyDescent="0.25">
      <c r="B1850" s="22"/>
      <c r="C1850" s="21"/>
      <c r="W1850" s="22"/>
      <c r="X1850" s="22"/>
    </row>
    <row r="1851" spans="2:24" x14ac:dyDescent="0.25">
      <c r="B1851" s="22"/>
      <c r="C1851" s="21"/>
      <c r="W1851" s="22"/>
      <c r="X1851" s="22"/>
    </row>
    <row r="1852" spans="2:24" x14ac:dyDescent="0.25">
      <c r="B1852" s="22"/>
      <c r="C1852" s="21"/>
      <c r="W1852" s="22"/>
      <c r="X1852" s="22"/>
    </row>
    <row r="1853" spans="2:24" x14ac:dyDescent="0.25">
      <c r="B1853" s="22"/>
      <c r="C1853" s="21"/>
      <c r="W1853" s="22"/>
      <c r="X1853" s="22"/>
    </row>
    <row r="1854" spans="2:24" x14ac:dyDescent="0.25">
      <c r="B1854" s="22"/>
      <c r="C1854" s="21"/>
      <c r="W1854" s="22"/>
      <c r="X1854" s="22"/>
    </row>
    <row r="1855" spans="2:24" x14ac:dyDescent="0.25">
      <c r="B1855" s="22"/>
      <c r="C1855" s="21"/>
      <c r="W1855" s="22"/>
      <c r="X1855" s="22"/>
    </row>
    <row r="1856" spans="2:24" x14ac:dyDescent="0.25">
      <c r="B1856" s="22"/>
      <c r="C1856" s="21"/>
      <c r="W1856" s="22"/>
      <c r="X1856" s="22"/>
    </row>
    <row r="1857" spans="2:24" x14ac:dyDescent="0.25">
      <c r="B1857" s="22"/>
      <c r="C1857" s="21"/>
      <c r="W1857" s="22"/>
      <c r="X1857" s="22"/>
    </row>
    <row r="1858" spans="2:24" x14ac:dyDescent="0.25">
      <c r="B1858" s="22"/>
      <c r="C1858" s="21"/>
      <c r="W1858" s="22"/>
      <c r="X1858" s="22"/>
    </row>
    <row r="1859" spans="2:24" x14ac:dyDescent="0.25">
      <c r="B1859" s="22"/>
      <c r="C1859" s="21"/>
      <c r="W1859" s="22"/>
      <c r="X1859" s="22"/>
    </row>
    <row r="1860" spans="2:24" x14ac:dyDescent="0.25">
      <c r="B1860" s="22"/>
      <c r="C1860" s="21"/>
      <c r="W1860" s="22"/>
      <c r="X1860" s="22"/>
    </row>
    <row r="1861" spans="2:24" x14ac:dyDescent="0.25">
      <c r="B1861" s="22"/>
      <c r="C1861" s="21"/>
      <c r="W1861" s="22"/>
      <c r="X1861" s="22"/>
    </row>
    <row r="1862" spans="2:24" x14ac:dyDescent="0.25">
      <c r="B1862" s="22"/>
      <c r="C1862" s="21"/>
      <c r="W1862" s="22"/>
      <c r="X1862" s="22"/>
    </row>
    <row r="1863" spans="2:24" x14ac:dyDescent="0.25">
      <c r="B1863" s="22"/>
      <c r="C1863" s="21"/>
      <c r="W1863" s="22"/>
      <c r="X1863" s="22"/>
    </row>
    <row r="1864" spans="2:24" x14ac:dyDescent="0.25">
      <c r="B1864" s="22"/>
      <c r="C1864" s="21"/>
      <c r="W1864" s="22"/>
      <c r="X1864" s="22"/>
    </row>
    <row r="1865" spans="2:24" x14ac:dyDescent="0.25">
      <c r="B1865" s="22"/>
      <c r="C1865" s="21"/>
      <c r="W1865" s="22"/>
      <c r="X1865" s="22"/>
    </row>
    <row r="1866" spans="2:24" x14ac:dyDescent="0.25">
      <c r="B1866" s="22"/>
      <c r="C1866" s="21"/>
      <c r="W1866" s="22"/>
      <c r="X1866" s="22"/>
    </row>
    <row r="1867" spans="2:24" x14ac:dyDescent="0.25">
      <c r="B1867" s="22"/>
      <c r="C1867" s="21"/>
      <c r="W1867" s="22"/>
      <c r="X1867" s="22"/>
    </row>
    <row r="1868" spans="2:24" x14ac:dyDescent="0.25">
      <c r="B1868" s="22"/>
      <c r="C1868" s="21"/>
      <c r="W1868" s="22"/>
      <c r="X1868" s="22"/>
    </row>
    <row r="1869" spans="2:24" x14ac:dyDescent="0.25">
      <c r="B1869" s="22"/>
      <c r="C1869" s="21"/>
      <c r="W1869" s="22"/>
      <c r="X1869" s="22"/>
    </row>
    <row r="1870" spans="2:24" x14ac:dyDescent="0.25">
      <c r="B1870" s="22"/>
      <c r="C1870" s="21"/>
      <c r="W1870" s="22"/>
      <c r="X1870" s="22"/>
    </row>
    <row r="1871" spans="2:24" x14ac:dyDescent="0.25">
      <c r="B1871" s="22"/>
      <c r="C1871" s="21"/>
      <c r="W1871" s="22"/>
      <c r="X1871" s="22"/>
    </row>
    <row r="1872" spans="2:24" x14ac:dyDescent="0.25">
      <c r="B1872" s="22"/>
      <c r="C1872" s="21"/>
      <c r="W1872" s="22"/>
      <c r="X1872" s="22"/>
    </row>
    <row r="1873" spans="2:24" x14ac:dyDescent="0.25">
      <c r="B1873" s="22"/>
      <c r="C1873" s="21"/>
      <c r="W1873" s="22"/>
      <c r="X1873" s="22"/>
    </row>
    <row r="1874" spans="2:24" x14ac:dyDescent="0.25">
      <c r="B1874" s="22"/>
      <c r="C1874" s="21"/>
      <c r="W1874" s="22"/>
      <c r="X1874" s="22"/>
    </row>
    <row r="1875" spans="2:24" x14ac:dyDescent="0.25">
      <c r="B1875" s="22"/>
      <c r="C1875" s="21"/>
      <c r="W1875" s="22"/>
      <c r="X1875" s="22"/>
    </row>
    <row r="1876" spans="2:24" x14ac:dyDescent="0.25">
      <c r="B1876" s="22"/>
      <c r="C1876" s="21"/>
      <c r="W1876" s="22"/>
      <c r="X1876" s="22"/>
    </row>
    <row r="1877" spans="2:24" x14ac:dyDescent="0.25">
      <c r="B1877" s="22"/>
      <c r="C1877" s="21"/>
      <c r="W1877" s="22"/>
      <c r="X1877" s="22"/>
    </row>
    <row r="1878" spans="2:24" x14ac:dyDescent="0.25">
      <c r="B1878" s="22"/>
      <c r="C1878" s="21"/>
      <c r="W1878" s="22"/>
      <c r="X1878" s="22"/>
    </row>
    <row r="1879" spans="2:24" x14ac:dyDescent="0.25">
      <c r="B1879" s="22"/>
      <c r="C1879" s="21"/>
      <c r="W1879" s="22"/>
      <c r="X1879" s="22"/>
    </row>
    <row r="1880" spans="2:24" x14ac:dyDescent="0.25">
      <c r="B1880" s="22"/>
      <c r="C1880" s="21"/>
      <c r="W1880" s="22"/>
      <c r="X1880" s="22"/>
    </row>
    <row r="1881" spans="2:24" x14ac:dyDescent="0.25">
      <c r="B1881" s="22"/>
      <c r="C1881" s="21"/>
      <c r="W1881" s="22"/>
      <c r="X1881" s="22"/>
    </row>
    <row r="1882" spans="2:24" x14ac:dyDescent="0.25">
      <c r="B1882" s="22"/>
      <c r="C1882" s="21"/>
      <c r="W1882" s="22"/>
      <c r="X1882" s="22"/>
    </row>
    <row r="1883" spans="2:24" x14ac:dyDescent="0.25">
      <c r="B1883" s="22"/>
      <c r="C1883" s="21"/>
      <c r="W1883" s="22"/>
      <c r="X1883" s="22"/>
    </row>
    <row r="1884" spans="2:24" x14ac:dyDescent="0.25">
      <c r="B1884" s="22"/>
      <c r="C1884" s="21"/>
      <c r="W1884" s="22"/>
      <c r="X1884" s="22"/>
    </row>
    <row r="1885" spans="2:24" x14ac:dyDescent="0.25">
      <c r="B1885" s="22"/>
      <c r="C1885" s="21"/>
      <c r="W1885" s="22"/>
      <c r="X1885" s="22"/>
    </row>
    <row r="1886" spans="2:24" x14ac:dyDescent="0.25">
      <c r="B1886" s="22"/>
      <c r="C1886" s="21"/>
      <c r="W1886" s="22"/>
      <c r="X1886" s="22"/>
    </row>
    <row r="1887" spans="2:24" x14ac:dyDescent="0.25">
      <c r="B1887" s="22"/>
      <c r="C1887" s="21"/>
      <c r="W1887" s="22"/>
      <c r="X1887" s="22"/>
    </row>
    <row r="1888" spans="2:24" x14ac:dyDescent="0.25">
      <c r="B1888" s="22"/>
      <c r="C1888" s="21"/>
      <c r="W1888" s="22"/>
      <c r="X1888" s="22"/>
    </row>
    <row r="1889" spans="2:24" x14ac:dyDescent="0.25">
      <c r="B1889" s="22"/>
      <c r="C1889" s="21"/>
      <c r="W1889" s="22"/>
      <c r="X1889" s="22"/>
    </row>
    <row r="1890" spans="2:24" x14ac:dyDescent="0.25">
      <c r="B1890" s="22"/>
      <c r="C1890" s="21"/>
      <c r="W1890" s="22"/>
      <c r="X1890" s="22"/>
    </row>
    <row r="1891" spans="2:24" x14ac:dyDescent="0.25">
      <c r="B1891" s="22"/>
      <c r="C1891" s="21"/>
      <c r="W1891" s="22"/>
      <c r="X1891" s="22"/>
    </row>
    <row r="1892" spans="2:24" x14ac:dyDescent="0.25">
      <c r="B1892" s="22"/>
      <c r="C1892" s="21"/>
      <c r="W1892" s="22"/>
      <c r="X1892" s="22"/>
    </row>
    <row r="1893" spans="2:24" x14ac:dyDescent="0.25">
      <c r="B1893" s="22"/>
      <c r="C1893" s="21"/>
      <c r="W1893" s="22"/>
      <c r="X1893" s="22"/>
    </row>
    <row r="1894" spans="2:24" x14ac:dyDescent="0.25">
      <c r="B1894" s="22"/>
      <c r="C1894" s="21"/>
      <c r="W1894" s="22"/>
      <c r="X1894" s="22"/>
    </row>
    <row r="1895" spans="2:24" x14ac:dyDescent="0.25">
      <c r="B1895" s="22"/>
      <c r="C1895" s="21"/>
      <c r="W1895" s="22"/>
      <c r="X1895" s="22"/>
    </row>
    <row r="1896" spans="2:24" x14ac:dyDescent="0.25">
      <c r="B1896" s="22"/>
      <c r="C1896" s="21"/>
      <c r="W1896" s="22"/>
      <c r="X1896" s="22"/>
    </row>
    <row r="1897" spans="2:24" x14ac:dyDescent="0.25">
      <c r="B1897" s="22"/>
      <c r="C1897" s="21"/>
      <c r="W1897" s="22"/>
      <c r="X1897" s="22"/>
    </row>
    <row r="1898" spans="2:24" x14ac:dyDescent="0.25">
      <c r="B1898" s="22"/>
      <c r="C1898" s="21"/>
      <c r="W1898" s="22"/>
      <c r="X1898" s="22"/>
    </row>
    <row r="1899" spans="2:24" x14ac:dyDescent="0.25">
      <c r="B1899" s="22"/>
      <c r="C1899" s="21"/>
      <c r="W1899" s="22"/>
      <c r="X1899" s="22"/>
    </row>
    <row r="1900" spans="2:24" x14ac:dyDescent="0.25">
      <c r="B1900" s="22"/>
      <c r="C1900" s="21"/>
      <c r="W1900" s="22"/>
      <c r="X1900" s="22"/>
    </row>
    <row r="1901" spans="2:24" x14ac:dyDescent="0.25">
      <c r="B1901" s="22"/>
      <c r="C1901" s="21"/>
      <c r="W1901" s="22"/>
      <c r="X1901" s="22"/>
    </row>
    <row r="1902" spans="2:24" x14ac:dyDescent="0.25">
      <c r="B1902" s="22"/>
      <c r="C1902" s="21"/>
      <c r="W1902" s="22"/>
      <c r="X1902" s="22"/>
    </row>
    <row r="1903" spans="2:24" x14ac:dyDescent="0.25">
      <c r="B1903" s="22"/>
      <c r="C1903" s="21"/>
      <c r="W1903" s="22"/>
      <c r="X1903" s="22"/>
    </row>
    <row r="1904" spans="2:24" x14ac:dyDescent="0.25">
      <c r="B1904" s="22"/>
      <c r="C1904" s="21"/>
      <c r="W1904" s="22"/>
      <c r="X1904" s="22"/>
    </row>
    <row r="1905" spans="2:24" x14ac:dyDescent="0.25">
      <c r="B1905" s="22"/>
      <c r="C1905" s="21"/>
      <c r="W1905" s="22"/>
      <c r="X1905" s="22"/>
    </row>
    <row r="1906" spans="2:24" x14ac:dyDescent="0.25">
      <c r="B1906" s="22"/>
      <c r="C1906" s="21"/>
      <c r="W1906" s="22"/>
      <c r="X1906" s="22"/>
    </row>
    <row r="1907" spans="2:24" x14ac:dyDescent="0.25">
      <c r="B1907" s="22"/>
      <c r="C1907" s="21"/>
      <c r="W1907" s="22"/>
      <c r="X1907" s="22"/>
    </row>
    <row r="1908" spans="2:24" x14ac:dyDescent="0.25">
      <c r="B1908" s="22"/>
      <c r="C1908" s="21"/>
      <c r="W1908" s="22"/>
      <c r="X1908" s="22"/>
    </row>
    <row r="1909" spans="2:24" x14ac:dyDescent="0.25">
      <c r="B1909" s="22"/>
      <c r="C1909" s="21"/>
      <c r="W1909" s="22"/>
      <c r="X1909" s="22"/>
    </row>
    <row r="1910" spans="2:24" x14ac:dyDescent="0.25">
      <c r="B1910" s="22"/>
      <c r="C1910" s="21"/>
      <c r="W1910" s="22"/>
    </row>
    <row r="1911" spans="2:24" x14ac:dyDescent="0.25">
      <c r="B1911" s="22"/>
      <c r="C1911" s="21"/>
      <c r="W1911" s="22"/>
      <c r="X1911" s="22"/>
    </row>
    <row r="1912" spans="2:24" x14ac:dyDescent="0.25">
      <c r="B1912" s="22"/>
      <c r="C1912" s="21"/>
      <c r="W1912" s="22"/>
      <c r="X1912" s="22"/>
    </row>
    <row r="1913" spans="2:24" x14ac:dyDescent="0.25">
      <c r="B1913" s="22"/>
      <c r="C1913" s="21"/>
      <c r="W1913" s="22"/>
      <c r="X1913" s="22"/>
    </row>
    <row r="1914" spans="2:24" x14ac:dyDescent="0.25">
      <c r="B1914" s="22"/>
      <c r="C1914" s="21"/>
      <c r="W1914" s="22"/>
      <c r="X1914" s="22"/>
    </row>
    <row r="1915" spans="2:24" x14ac:dyDescent="0.25">
      <c r="B1915" s="22"/>
      <c r="C1915" s="21"/>
      <c r="W1915" s="22"/>
      <c r="X1915" s="22"/>
    </row>
    <row r="1916" spans="2:24" x14ac:dyDescent="0.25">
      <c r="B1916" s="22"/>
      <c r="C1916" s="21"/>
      <c r="W1916" s="22"/>
      <c r="X1916" s="22"/>
    </row>
    <row r="1917" spans="2:24" x14ac:dyDescent="0.25">
      <c r="B1917" s="22"/>
      <c r="C1917" s="21"/>
      <c r="W1917" s="22"/>
      <c r="X1917" s="22"/>
    </row>
    <row r="1918" spans="2:24" x14ac:dyDescent="0.25">
      <c r="B1918" s="22"/>
      <c r="C1918" s="21"/>
      <c r="W1918" s="22"/>
      <c r="X1918" s="22"/>
    </row>
    <row r="1919" spans="2:24" x14ac:dyDescent="0.25">
      <c r="B1919" s="22"/>
      <c r="C1919" s="21"/>
      <c r="W1919" s="22"/>
      <c r="X1919" s="22"/>
    </row>
    <row r="1920" spans="2:24" x14ac:dyDescent="0.25">
      <c r="B1920" s="22"/>
      <c r="C1920" s="21"/>
      <c r="W1920" s="22"/>
      <c r="X1920" s="22"/>
    </row>
    <row r="1921" spans="2:24" x14ac:dyDescent="0.25">
      <c r="B1921" s="22"/>
      <c r="C1921" s="21"/>
      <c r="W1921" s="22"/>
      <c r="X1921" s="22"/>
    </row>
    <row r="1922" spans="2:24" x14ac:dyDescent="0.25">
      <c r="B1922" s="22"/>
      <c r="C1922" s="21"/>
      <c r="W1922" s="22"/>
      <c r="X1922" s="22"/>
    </row>
    <row r="1923" spans="2:24" x14ac:dyDescent="0.25">
      <c r="B1923" s="22"/>
      <c r="C1923" s="21"/>
      <c r="W1923" s="22"/>
      <c r="X1923" s="22"/>
    </row>
    <row r="1924" spans="2:24" x14ac:dyDescent="0.25">
      <c r="B1924" s="22"/>
      <c r="C1924" s="21"/>
      <c r="W1924" s="22"/>
      <c r="X1924" s="22"/>
    </row>
    <row r="1925" spans="2:24" x14ac:dyDescent="0.25">
      <c r="B1925" s="22"/>
      <c r="C1925" s="21"/>
      <c r="W1925" s="22"/>
      <c r="X1925" s="22"/>
    </row>
    <row r="1926" spans="2:24" x14ac:dyDescent="0.25">
      <c r="B1926" s="22"/>
      <c r="C1926" s="21"/>
      <c r="W1926" s="22"/>
      <c r="X1926" s="22"/>
    </row>
    <row r="1927" spans="2:24" x14ac:dyDescent="0.25">
      <c r="B1927" s="22"/>
      <c r="C1927" s="21"/>
      <c r="W1927" s="22"/>
      <c r="X1927" s="22"/>
    </row>
    <row r="1928" spans="2:24" x14ac:dyDescent="0.25">
      <c r="B1928" s="22"/>
      <c r="C1928" s="21"/>
      <c r="W1928" s="22"/>
      <c r="X1928" s="22"/>
    </row>
    <row r="1929" spans="2:24" x14ac:dyDescent="0.25">
      <c r="B1929" s="22"/>
      <c r="C1929" s="21"/>
      <c r="W1929" s="22"/>
      <c r="X1929" s="22"/>
    </row>
    <row r="1930" spans="2:24" x14ac:dyDescent="0.25">
      <c r="B1930" s="22"/>
      <c r="C1930" s="21"/>
      <c r="W1930" s="22"/>
      <c r="X1930" s="22"/>
    </row>
    <row r="1931" spans="2:24" x14ac:dyDescent="0.25">
      <c r="B1931" s="22"/>
      <c r="C1931" s="21"/>
      <c r="W1931" s="22"/>
      <c r="X1931" s="22"/>
    </row>
    <row r="1932" spans="2:24" x14ac:dyDescent="0.25">
      <c r="B1932" s="22"/>
      <c r="C1932" s="21"/>
      <c r="W1932" s="22"/>
      <c r="X1932" s="22"/>
    </row>
    <row r="1933" spans="2:24" x14ac:dyDescent="0.25">
      <c r="B1933" s="22"/>
      <c r="C1933" s="21"/>
      <c r="W1933" s="22"/>
      <c r="X1933" s="22"/>
    </row>
    <row r="1934" spans="2:24" x14ac:dyDescent="0.25">
      <c r="B1934" s="22"/>
      <c r="C1934" s="21"/>
      <c r="W1934" s="22"/>
      <c r="X1934" s="22"/>
    </row>
    <row r="1935" spans="2:24" x14ac:dyDescent="0.25">
      <c r="B1935" s="22"/>
      <c r="C1935" s="21"/>
      <c r="W1935" s="22"/>
      <c r="X1935" s="22"/>
    </row>
    <row r="1936" spans="2:24" x14ac:dyDescent="0.25">
      <c r="B1936" s="22"/>
      <c r="C1936" s="21"/>
      <c r="W1936" s="22"/>
      <c r="X1936" s="22"/>
    </row>
    <row r="1937" spans="2:24" x14ac:dyDescent="0.25">
      <c r="B1937" s="22"/>
      <c r="C1937" s="21"/>
      <c r="W1937" s="22"/>
      <c r="X1937" s="22"/>
    </row>
    <row r="1938" spans="2:24" x14ac:dyDescent="0.25">
      <c r="B1938" s="22"/>
      <c r="C1938" s="21"/>
      <c r="W1938" s="22"/>
      <c r="X1938" s="22"/>
    </row>
    <row r="1939" spans="2:24" x14ac:dyDescent="0.25">
      <c r="B1939" s="22"/>
      <c r="C1939" s="21"/>
      <c r="W1939" s="22"/>
      <c r="X1939" s="22"/>
    </row>
    <row r="1940" spans="2:24" x14ac:dyDescent="0.25">
      <c r="B1940" s="22"/>
      <c r="C1940" s="21"/>
      <c r="W1940" s="22"/>
      <c r="X1940" s="22"/>
    </row>
    <row r="1941" spans="2:24" x14ac:dyDescent="0.25">
      <c r="B1941" s="22"/>
      <c r="C1941" s="21"/>
      <c r="W1941" s="22"/>
      <c r="X1941" s="22"/>
    </row>
    <row r="1942" spans="2:24" x14ac:dyDescent="0.25">
      <c r="B1942" s="22"/>
      <c r="C1942" s="21"/>
      <c r="W1942" s="22"/>
      <c r="X1942" s="22"/>
    </row>
    <row r="1943" spans="2:24" x14ac:dyDescent="0.25">
      <c r="B1943" s="22"/>
      <c r="C1943" s="21"/>
      <c r="W1943" s="22"/>
      <c r="X1943" s="22"/>
    </row>
    <row r="1944" spans="2:24" x14ac:dyDescent="0.25">
      <c r="B1944" s="22"/>
      <c r="C1944" s="21"/>
      <c r="W1944" s="22"/>
      <c r="X1944" s="22"/>
    </row>
    <row r="1945" spans="2:24" x14ac:dyDescent="0.25">
      <c r="B1945" s="22"/>
      <c r="C1945" s="21"/>
      <c r="W1945" s="22"/>
      <c r="X1945" s="22"/>
    </row>
    <row r="1946" spans="2:24" x14ac:dyDescent="0.25">
      <c r="B1946" s="22"/>
      <c r="C1946" s="21"/>
      <c r="W1946" s="22"/>
      <c r="X1946" s="22"/>
    </row>
    <row r="1947" spans="2:24" x14ac:dyDescent="0.25">
      <c r="B1947" s="22"/>
      <c r="C1947" s="21"/>
      <c r="W1947" s="22"/>
      <c r="X1947" s="22"/>
    </row>
    <row r="1948" spans="2:24" x14ac:dyDescent="0.25">
      <c r="B1948" s="22"/>
      <c r="C1948" s="21"/>
      <c r="W1948" s="22"/>
      <c r="X1948" s="22"/>
    </row>
    <row r="1949" spans="2:24" x14ac:dyDescent="0.25">
      <c r="B1949" s="22"/>
      <c r="C1949" s="21"/>
      <c r="W1949" s="22"/>
      <c r="X1949" s="22"/>
    </row>
    <row r="1950" spans="2:24" x14ac:dyDescent="0.25">
      <c r="B1950" s="22"/>
      <c r="C1950" s="21"/>
      <c r="W1950" s="22"/>
      <c r="X1950" s="22"/>
    </row>
    <row r="1951" spans="2:24" x14ac:dyDescent="0.25">
      <c r="B1951" s="22"/>
      <c r="C1951" s="21"/>
      <c r="W1951" s="22"/>
      <c r="X1951" s="22"/>
    </row>
    <row r="1952" spans="2:24" x14ac:dyDescent="0.25">
      <c r="B1952" s="22"/>
      <c r="C1952" s="21"/>
      <c r="W1952" s="22"/>
      <c r="X1952" s="22"/>
    </row>
    <row r="1953" spans="2:24" x14ac:dyDescent="0.25">
      <c r="B1953" s="22"/>
      <c r="C1953" s="21"/>
      <c r="W1953" s="22"/>
      <c r="X1953" s="22"/>
    </row>
    <row r="1954" spans="2:24" x14ac:dyDescent="0.25">
      <c r="B1954" s="22"/>
      <c r="C1954" s="21"/>
      <c r="W1954" s="22"/>
      <c r="X1954" s="22"/>
    </row>
    <row r="1955" spans="2:24" x14ac:dyDescent="0.25">
      <c r="B1955" s="22"/>
      <c r="C1955" s="21"/>
      <c r="W1955" s="22"/>
      <c r="X1955" s="22"/>
    </row>
    <row r="1956" spans="2:24" x14ac:dyDescent="0.25">
      <c r="B1956" s="22"/>
      <c r="C1956" s="21"/>
      <c r="W1956" s="22"/>
      <c r="X1956" s="22"/>
    </row>
    <row r="1957" spans="2:24" x14ac:dyDescent="0.25">
      <c r="B1957" s="22"/>
      <c r="C1957" s="21"/>
      <c r="W1957" s="22"/>
      <c r="X1957" s="22"/>
    </row>
    <row r="1958" spans="2:24" x14ac:dyDescent="0.25">
      <c r="B1958" s="22"/>
      <c r="C1958" s="21"/>
      <c r="W1958" s="22"/>
      <c r="X1958" s="22"/>
    </row>
    <row r="1959" spans="2:24" x14ac:dyDescent="0.25">
      <c r="B1959" s="22"/>
      <c r="C1959" s="21"/>
      <c r="W1959" s="22"/>
      <c r="X1959" s="22"/>
    </row>
    <row r="1960" spans="2:24" x14ac:dyDescent="0.25">
      <c r="B1960" s="22"/>
      <c r="C1960" s="21"/>
      <c r="W1960" s="22"/>
      <c r="X1960" s="22"/>
    </row>
    <row r="1961" spans="2:24" x14ac:dyDescent="0.25">
      <c r="B1961" s="22"/>
      <c r="C1961" s="21"/>
      <c r="W1961" s="22"/>
      <c r="X1961" s="22"/>
    </row>
    <row r="1962" spans="2:24" x14ac:dyDescent="0.25">
      <c r="B1962" s="22"/>
      <c r="C1962" s="21"/>
      <c r="W1962" s="22"/>
      <c r="X1962" s="22"/>
    </row>
    <row r="1963" spans="2:24" x14ac:dyDescent="0.25">
      <c r="B1963" s="22"/>
      <c r="C1963" s="21"/>
      <c r="W1963" s="22"/>
      <c r="X1963" s="22"/>
    </row>
    <row r="1964" spans="2:24" x14ac:dyDescent="0.25">
      <c r="B1964" s="22"/>
      <c r="C1964" s="21"/>
      <c r="W1964" s="22"/>
      <c r="X1964" s="22"/>
    </row>
    <row r="1965" spans="2:24" x14ac:dyDescent="0.25">
      <c r="B1965" s="22"/>
      <c r="C1965" s="21"/>
      <c r="W1965" s="22"/>
      <c r="X1965" s="22"/>
    </row>
    <row r="1966" spans="2:24" x14ac:dyDescent="0.25">
      <c r="B1966" s="22"/>
      <c r="C1966" s="21"/>
      <c r="W1966" s="22"/>
      <c r="X1966" s="22"/>
    </row>
    <row r="1967" spans="2:24" x14ac:dyDescent="0.25">
      <c r="B1967" s="22"/>
      <c r="C1967" s="21"/>
      <c r="W1967" s="22"/>
      <c r="X1967" s="22"/>
    </row>
    <row r="1968" spans="2:24" x14ac:dyDescent="0.25">
      <c r="B1968" s="22"/>
      <c r="C1968" s="21"/>
      <c r="W1968" s="22"/>
      <c r="X1968" s="22"/>
    </row>
    <row r="1969" spans="2:24" x14ac:dyDescent="0.25">
      <c r="B1969" s="22"/>
      <c r="C1969" s="21"/>
      <c r="W1969" s="22"/>
      <c r="X1969" s="22"/>
    </row>
    <row r="1970" spans="2:24" x14ac:dyDescent="0.25">
      <c r="B1970" s="22"/>
      <c r="C1970" s="21"/>
      <c r="W1970" s="22"/>
      <c r="X1970" s="22"/>
    </row>
    <row r="1971" spans="2:24" x14ac:dyDescent="0.25">
      <c r="B1971" s="22"/>
      <c r="C1971" s="21"/>
      <c r="W1971" s="22"/>
      <c r="X1971" s="22"/>
    </row>
    <row r="1972" spans="2:24" x14ac:dyDescent="0.25">
      <c r="B1972" s="22"/>
      <c r="C1972" s="21"/>
      <c r="W1972" s="22"/>
      <c r="X1972" s="22"/>
    </row>
    <row r="1973" spans="2:24" x14ac:dyDescent="0.25">
      <c r="B1973" s="22"/>
      <c r="C1973" s="21"/>
      <c r="W1973" s="22"/>
      <c r="X1973" s="22"/>
    </row>
    <row r="1974" spans="2:24" x14ac:dyDescent="0.25">
      <c r="B1974" s="22"/>
      <c r="C1974" s="21"/>
      <c r="W1974" s="22"/>
      <c r="X1974" s="22"/>
    </row>
    <row r="1975" spans="2:24" x14ac:dyDescent="0.25">
      <c r="B1975" s="22"/>
      <c r="C1975" s="21"/>
      <c r="W1975" s="22"/>
      <c r="X1975" s="22"/>
    </row>
    <row r="1976" spans="2:24" x14ac:dyDescent="0.25">
      <c r="B1976" s="22"/>
      <c r="C1976" s="21"/>
      <c r="W1976" s="22"/>
      <c r="X1976" s="22"/>
    </row>
    <row r="1977" spans="2:24" x14ac:dyDescent="0.25">
      <c r="B1977" s="22"/>
      <c r="C1977" s="21"/>
      <c r="W1977" s="22"/>
      <c r="X1977" s="22"/>
    </row>
    <row r="1978" spans="2:24" x14ac:dyDescent="0.25">
      <c r="B1978" s="22"/>
      <c r="C1978" s="21"/>
      <c r="W1978" s="22"/>
      <c r="X1978" s="22"/>
    </row>
    <row r="1979" spans="2:24" x14ac:dyDescent="0.25">
      <c r="B1979" s="22"/>
      <c r="C1979" s="21"/>
      <c r="W1979" s="22"/>
      <c r="X1979" s="22"/>
    </row>
    <row r="1980" spans="2:24" x14ac:dyDescent="0.25">
      <c r="B1980" s="22"/>
      <c r="C1980" s="21"/>
      <c r="W1980" s="22"/>
      <c r="X1980" s="22"/>
    </row>
    <row r="1981" spans="2:24" x14ac:dyDescent="0.25">
      <c r="B1981" s="22"/>
      <c r="C1981" s="21"/>
      <c r="W1981" s="22"/>
      <c r="X1981" s="22"/>
    </row>
    <row r="1982" spans="2:24" x14ac:dyDescent="0.25">
      <c r="B1982" s="22"/>
      <c r="C1982" s="21"/>
      <c r="W1982" s="22"/>
      <c r="X1982" s="22"/>
    </row>
    <row r="1983" spans="2:24" x14ac:dyDescent="0.25">
      <c r="B1983" s="22"/>
      <c r="C1983" s="21"/>
      <c r="W1983" s="22"/>
      <c r="X1983" s="22"/>
    </row>
    <row r="1984" spans="2:24" x14ac:dyDescent="0.25">
      <c r="B1984" s="22"/>
      <c r="C1984" s="21"/>
      <c r="W1984" s="22"/>
      <c r="X1984" s="22"/>
    </row>
    <row r="1985" spans="2:24" x14ac:dyDescent="0.25">
      <c r="B1985" s="22"/>
      <c r="C1985" s="21"/>
      <c r="W1985" s="22"/>
      <c r="X1985" s="22"/>
    </row>
    <row r="1986" spans="2:24" x14ac:dyDescent="0.25">
      <c r="B1986" s="22"/>
      <c r="C1986" s="21"/>
      <c r="W1986" s="22"/>
      <c r="X1986" s="22"/>
    </row>
    <row r="1987" spans="2:24" x14ac:dyDescent="0.25">
      <c r="B1987" s="22"/>
      <c r="C1987" s="21"/>
      <c r="W1987" s="22"/>
      <c r="X1987" s="22"/>
    </row>
    <row r="1988" spans="2:24" x14ac:dyDescent="0.25">
      <c r="B1988" s="22"/>
      <c r="C1988" s="21"/>
      <c r="W1988" s="22"/>
      <c r="X1988" s="22"/>
    </row>
    <row r="1989" spans="2:24" x14ac:dyDescent="0.25">
      <c r="B1989" s="22"/>
      <c r="C1989" s="21"/>
      <c r="W1989" s="22"/>
      <c r="X1989" s="22"/>
    </row>
    <row r="1990" spans="2:24" x14ac:dyDescent="0.25">
      <c r="B1990" s="22"/>
      <c r="C1990" s="21"/>
      <c r="W1990" s="22"/>
      <c r="X1990" s="22"/>
    </row>
    <row r="1991" spans="2:24" x14ac:dyDescent="0.25">
      <c r="B1991" s="22"/>
      <c r="C1991" s="21"/>
      <c r="W1991" s="22"/>
      <c r="X1991" s="22"/>
    </row>
    <row r="1992" spans="2:24" x14ac:dyDescent="0.25">
      <c r="B1992" s="22"/>
      <c r="C1992" s="21"/>
      <c r="W1992" s="22"/>
      <c r="X1992" s="22"/>
    </row>
    <row r="1993" spans="2:24" x14ac:dyDescent="0.25">
      <c r="B1993" s="22"/>
      <c r="C1993" s="21"/>
      <c r="W1993" s="22"/>
      <c r="X1993" s="22"/>
    </row>
    <row r="1994" spans="2:24" x14ac:dyDescent="0.25">
      <c r="B1994" s="22"/>
      <c r="C1994" s="21"/>
      <c r="W1994" s="22"/>
      <c r="X1994" s="22"/>
    </row>
    <row r="1995" spans="2:24" x14ac:dyDescent="0.25">
      <c r="B1995" s="22"/>
      <c r="C1995" s="21"/>
      <c r="W1995" s="22"/>
      <c r="X1995" s="22"/>
    </row>
    <row r="1996" spans="2:24" x14ac:dyDescent="0.25">
      <c r="B1996" s="22"/>
      <c r="C1996" s="21"/>
      <c r="W1996" s="22"/>
      <c r="X1996" s="22"/>
    </row>
    <row r="1997" spans="2:24" x14ac:dyDescent="0.25">
      <c r="B1997" s="22"/>
      <c r="C1997" s="21"/>
      <c r="W1997" s="22"/>
      <c r="X1997" s="22"/>
    </row>
    <row r="1998" spans="2:24" x14ac:dyDescent="0.25">
      <c r="B1998" s="22"/>
      <c r="C1998" s="21"/>
      <c r="W1998" s="22"/>
      <c r="X1998" s="22"/>
    </row>
    <row r="1999" spans="2:24" x14ac:dyDescent="0.25">
      <c r="B1999" s="22"/>
      <c r="C1999" s="21"/>
      <c r="W1999" s="22"/>
      <c r="X1999" s="22"/>
    </row>
    <row r="2000" spans="2:24" x14ac:dyDescent="0.25">
      <c r="B2000" s="22"/>
      <c r="C2000" s="21"/>
      <c r="W2000" s="22"/>
      <c r="X2000" s="22"/>
    </row>
    <row r="2001" spans="2:24" x14ac:dyDescent="0.25">
      <c r="B2001" s="22"/>
      <c r="C2001" s="21"/>
      <c r="W2001" s="22"/>
      <c r="X2001" s="22"/>
    </row>
    <row r="2002" spans="2:24" x14ac:dyDescent="0.25">
      <c r="B2002" s="22"/>
      <c r="C2002" s="21"/>
      <c r="W2002" s="22"/>
      <c r="X2002" s="22"/>
    </row>
    <row r="2003" spans="2:24" x14ac:dyDescent="0.25">
      <c r="B2003" s="22"/>
      <c r="C2003" s="21"/>
      <c r="W2003" s="22"/>
      <c r="X2003" s="22"/>
    </row>
    <row r="2004" spans="2:24" x14ac:dyDescent="0.25">
      <c r="B2004" s="22"/>
      <c r="C2004" s="21"/>
      <c r="W2004" s="22"/>
      <c r="X2004" s="22"/>
    </row>
    <row r="2005" spans="2:24" x14ac:dyDescent="0.25">
      <c r="B2005" s="22"/>
      <c r="C2005" s="21"/>
      <c r="W2005" s="22"/>
      <c r="X2005" s="22"/>
    </row>
    <row r="2006" spans="2:24" x14ac:dyDescent="0.25">
      <c r="B2006" s="22"/>
      <c r="C2006" s="21"/>
      <c r="W2006" s="22"/>
      <c r="X2006" s="22"/>
    </row>
    <row r="2007" spans="2:24" x14ac:dyDescent="0.25">
      <c r="B2007" s="22"/>
      <c r="C2007" s="21"/>
      <c r="W2007" s="22"/>
      <c r="X2007" s="22"/>
    </row>
    <row r="2008" spans="2:24" x14ac:dyDescent="0.25">
      <c r="B2008" s="22"/>
      <c r="C2008" s="21"/>
      <c r="W2008" s="22"/>
      <c r="X2008" s="22"/>
    </row>
    <row r="2009" spans="2:24" x14ac:dyDescent="0.25">
      <c r="B2009" s="22"/>
      <c r="C2009" s="21"/>
      <c r="W2009" s="22"/>
      <c r="X2009" s="22"/>
    </row>
    <row r="2010" spans="2:24" x14ac:dyDescent="0.25">
      <c r="B2010" s="22"/>
      <c r="C2010" s="21"/>
      <c r="W2010" s="22"/>
      <c r="X2010" s="22"/>
    </row>
    <row r="2011" spans="2:24" x14ac:dyDescent="0.25">
      <c r="B2011" s="22"/>
      <c r="C2011" s="21"/>
      <c r="W2011" s="22"/>
      <c r="X2011" s="22"/>
    </row>
    <row r="2012" spans="2:24" x14ac:dyDescent="0.25">
      <c r="B2012" s="22"/>
      <c r="C2012" s="21"/>
      <c r="W2012" s="22"/>
      <c r="X2012" s="22"/>
    </row>
    <row r="2013" spans="2:24" x14ac:dyDescent="0.25">
      <c r="B2013" s="22"/>
      <c r="C2013" s="21"/>
      <c r="W2013" s="22"/>
      <c r="X2013" s="22"/>
    </row>
    <row r="2014" spans="2:24" x14ac:dyDescent="0.25">
      <c r="B2014" s="22"/>
      <c r="C2014" s="21"/>
      <c r="W2014" s="22"/>
      <c r="X2014" s="22"/>
    </row>
    <row r="2015" spans="2:24" x14ac:dyDescent="0.25">
      <c r="B2015" s="22"/>
      <c r="C2015" s="21"/>
      <c r="W2015" s="22"/>
      <c r="X2015" s="22"/>
    </row>
    <row r="2016" spans="2:24" x14ac:dyDescent="0.25">
      <c r="B2016" s="22"/>
      <c r="C2016" s="21"/>
      <c r="W2016" s="22"/>
      <c r="X2016" s="22"/>
    </row>
    <row r="2017" spans="2:24" x14ac:dyDescent="0.25">
      <c r="B2017" s="22"/>
      <c r="C2017" s="21"/>
      <c r="W2017" s="22"/>
      <c r="X2017" s="22"/>
    </row>
    <row r="2018" spans="2:24" x14ac:dyDescent="0.25">
      <c r="B2018" s="22"/>
      <c r="C2018" s="21"/>
      <c r="W2018" s="22"/>
      <c r="X2018" s="22"/>
    </row>
    <row r="2019" spans="2:24" x14ac:dyDescent="0.25">
      <c r="B2019" s="22"/>
      <c r="C2019" s="21"/>
      <c r="W2019" s="22"/>
      <c r="X2019" s="22"/>
    </row>
    <row r="2020" spans="2:24" x14ac:dyDescent="0.25">
      <c r="B2020" s="22"/>
      <c r="C2020" s="21"/>
      <c r="W2020" s="22"/>
      <c r="X2020" s="22"/>
    </row>
    <row r="2021" spans="2:24" x14ac:dyDescent="0.25">
      <c r="B2021" s="22"/>
      <c r="C2021" s="21"/>
      <c r="W2021" s="22"/>
      <c r="X2021" s="22"/>
    </row>
    <row r="2022" spans="2:24" x14ac:dyDescent="0.25">
      <c r="B2022" s="22"/>
      <c r="C2022" s="21"/>
      <c r="W2022" s="22"/>
      <c r="X2022" s="22"/>
    </row>
    <row r="2023" spans="2:24" x14ac:dyDescent="0.25">
      <c r="B2023" s="22"/>
      <c r="C2023" s="21"/>
      <c r="W2023" s="22"/>
      <c r="X2023" s="22"/>
    </row>
    <row r="2024" spans="2:24" x14ac:dyDescent="0.25">
      <c r="B2024" s="22"/>
      <c r="C2024" s="21"/>
      <c r="W2024" s="22"/>
      <c r="X2024" s="22"/>
    </row>
    <row r="2025" spans="2:24" x14ac:dyDescent="0.25">
      <c r="B2025" s="22"/>
      <c r="C2025" s="21"/>
      <c r="W2025" s="22"/>
      <c r="X2025" s="22"/>
    </row>
    <row r="2026" spans="2:24" x14ac:dyDescent="0.25">
      <c r="B2026" s="22"/>
      <c r="C2026" s="21"/>
      <c r="W2026" s="22"/>
      <c r="X2026" s="22"/>
    </row>
    <row r="2027" spans="2:24" x14ac:dyDescent="0.25">
      <c r="B2027" s="22"/>
      <c r="C2027" s="21"/>
      <c r="W2027" s="22"/>
      <c r="X2027" s="22"/>
    </row>
    <row r="2028" spans="2:24" x14ac:dyDescent="0.25">
      <c r="B2028" s="22"/>
      <c r="C2028" s="21"/>
      <c r="W2028" s="22"/>
      <c r="X2028" s="22"/>
    </row>
    <row r="2029" spans="2:24" x14ac:dyDescent="0.25">
      <c r="B2029" s="22"/>
      <c r="C2029" s="21"/>
      <c r="W2029" s="22"/>
      <c r="X2029" s="22"/>
    </row>
    <row r="2030" spans="2:24" x14ac:dyDescent="0.25">
      <c r="B2030" s="22"/>
      <c r="C2030" s="21"/>
      <c r="W2030" s="22"/>
      <c r="X2030" s="22"/>
    </row>
    <row r="2031" spans="2:24" x14ac:dyDescent="0.25">
      <c r="B2031" s="22"/>
      <c r="C2031" s="21"/>
      <c r="W2031" s="22"/>
      <c r="X2031" s="22"/>
    </row>
    <row r="2032" spans="2:24" x14ac:dyDescent="0.25">
      <c r="B2032" s="22"/>
      <c r="C2032" s="21"/>
      <c r="W2032" s="22"/>
      <c r="X2032" s="22"/>
    </row>
    <row r="2033" spans="2:24" x14ac:dyDescent="0.25">
      <c r="B2033" s="22"/>
      <c r="C2033" s="21"/>
      <c r="W2033" s="22"/>
      <c r="X2033" s="22"/>
    </row>
    <row r="2034" spans="2:24" x14ac:dyDescent="0.25">
      <c r="B2034" s="22"/>
      <c r="C2034" s="21"/>
      <c r="W2034" s="22"/>
      <c r="X2034" s="22"/>
    </row>
    <row r="2035" spans="2:24" x14ac:dyDescent="0.25">
      <c r="B2035" s="22"/>
      <c r="C2035" s="21"/>
      <c r="W2035" s="22"/>
      <c r="X2035" s="22"/>
    </row>
    <row r="2036" spans="2:24" x14ac:dyDescent="0.25">
      <c r="B2036" s="22"/>
      <c r="C2036" s="21"/>
      <c r="W2036" s="22"/>
      <c r="X2036" s="22"/>
    </row>
    <row r="2037" spans="2:24" x14ac:dyDescent="0.25">
      <c r="B2037" s="22"/>
      <c r="C2037" s="21"/>
      <c r="W2037" s="22"/>
      <c r="X2037" s="22"/>
    </row>
    <row r="2038" spans="2:24" x14ac:dyDescent="0.25">
      <c r="B2038" s="22"/>
      <c r="C2038" s="21"/>
      <c r="W2038" s="22"/>
      <c r="X2038" s="22"/>
    </row>
    <row r="2039" spans="2:24" x14ac:dyDescent="0.25">
      <c r="B2039" s="22"/>
      <c r="C2039" s="21"/>
      <c r="W2039" s="22"/>
      <c r="X2039" s="22"/>
    </row>
    <row r="2040" spans="2:24" x14ac:dyDescent="0.25">
      <c r="B2040" s="22"/>
      <c r="C2040" s="21"/>
      <c r="W2040" s="22"/>
      <c r="X2040" s="22"/>
    </row>
    <row r="2041" spans="2:24" x14ac:dyDescent="0.25">
      <c r="B2041" s="22"/>
      <c r="C2041" s="21"/>
      <c r="W2041" s="22"/>
      <c r="X2041" s="22"/>
    </row>
    <row r="2042" spans="2:24" x14ac:dyDescent="0.25">
      <c r="B2042" s="22"/>
      <c r="C2042" s="21"/>
      <c r="W2042" s="22"/>
      <c r="X2042" s="22"/>
    </row>
    <row r="2043" spans="2:24" x14ac:dyDescent="0.25">
      <c r="B2043" s="22"/>
      <c r="C2043" s="21"/>
      <c r="W2043" s="22"/>
      <c r="X2043" s="22"/>
    </row>
    <row r="2044" spans="2:24" x14ac:dyDescent="0.25">
      <c r="B2044" s="22"/>
      <c r="C2044" s="21"/>
      <c r="W2044" s="22"/>
      <c r="X2044" s="22"/>
    </row>
    <row r="2045" spans="2:24" x14ac:dyDescent="0.25">
      <c r="B2045" s="22"/>
      <c r="C2045" s="21"/>
      <c r="W2045" s="22"/>
      <c r="X2045" s="22"/>
    </row>
    <row r="2046" spans="2:24" x14ac:dyDescent="0.25">
      <c r="B2046" s="22"/>
      <c r="C2046" s="21"/>
      <c r="W2046" s="22"/>
      <c r="X2046" s="22"/>
    </row>
    <row r="2047" spans="2:24" x14ac:dyDescent="0.25">
      <c r="B2047" s="22"/>
      <c r="C2047" s="21"/>
      <c r="W2047" s="22"/>
      <c r="X2047" s="22"/>
    </row>
    <row r="2048" spans="2:24" x14ac:dyDescent="0.25">
      <c r="B2048" s="22"/>
      <c r="C2048" s="21"/>
      <c r="W2048" s="22"/>
      <c r="X2048" s="22"/>
    </row>
    <row r="2049" spans="2:24" x14ac:dyDescent="0.25">
      <c r="B2049" s="22"/>
      <c r="C2049" s="21"/>
      <c r="W2049" s="22"/>
      <c r="X2049" s="22"/>
    </row>
    <row r="2050" spans="2:24" x14ac:dyDescent="0.25">
      <c r="B2050" s="22"/>
      <c r="C2050" s="21"/>
      <c r="W2050" s="22"/>
      <c r="X2050" s="22"/>
    </row>
    <row r="2051" spans="2:24" x14ac:dyDescent="0.25">
      <c r="B2051" s="22"/>
      <c r="C2051" s="21"/>
      <c r="W2051" s="22"/>
      <c r="X2051" s="22"/>
    </row>
    <row r="2052" spans="2:24" x14ac:dyDescent="0.25">
      <c r="B2052" s="22"/>
      <c r="C2052" s="21"/>
      <c r="W2052" s="22"/>
      <c r="X2052" s="22"/>
    </row>
    <row r="2053" spans="2:24" x14ac:dyDescent="0.25">
      <c r="B2053" s="22"/>
      <c r="C2053" s="21"/>
      <c r="W2053" s="22"/>
      <c r="X2053" s="22"/>
    </row>
    <row r="2054" spans="2:24" x14ac:dyDescent="0.25">
      <c r="B2054" s="22"/>
      <c r="C2054" s="21"/>
      <c r="W2054" s="22"/>
      <c r="X2054" s="22"/>
    </row>
    <row r="2055" spans="2:24" x14ac:dyDescent="0.25">
      <c r="B2055" s="22"/>
      <c r="C2055" s="21"/>
      <c r="W2055" s="22"/>
      <c r="X2055" s="22"/>
    </row>
    <row r="2056" spans="2:24" x14ac:dyDescent="0.25">
      <c r="B2056" s="22"/>
      <c r="C2056" s="21"/>
      <c r="W2056" s="22"/>
      <c r="X2056" s="22"/>
    </row>
    <row r="2057" spans="2:24" x14ac:dyDescent="0.25">
      <c r="B2057" s="22"/>
      <c r="C2057" s="21"/>
      <c r="W2057" s="22"/>
      <c r="X2057" s="22"/>
    </row>
    <row r="2058" spans="2:24" x14ac:dyDescent="0.25">
      <c r="B2058" s="22"/>
      <c r="C2058" s="21"/>
      <c r="W2058" s="22"/>
      <c r="X2058" s="22"/>
    </row>
    <row r="2059" spans="2:24" x14ac:dyDescent="0.25">
      <c r="B2059" s="22"/>
      <c r="C2059" s="21"/>
      <c r="W2059" s="22"/>
      <c r="X2059" s="22"/>
    </row>
    <row r="2060" spans="2:24" x14ac:dyDescent="0.25">
      <c r="B2060" s="22"/>
      <c r="C2060" s="21"/>
      <c r="W2060" s="22"/>
      <c r="X2060" s="22"/>
    </row>
    <row r="2061" spans="2:24" x14ac:dyDescent="0.25">
      <c r="B2061" s="22"/>
      <c r="C2061" s="21"/>
      <c r="W2061" s="22"/>
      <c r="X2061" s="22"/>
    </row>
    <row r="2062" spans="2:24" x14ac:dyDescent="0.25">
      <c r="B2062" s="22"/>
      <c r="C2062" s="21"/>
      <c r="W2062" s="22"/>
      <c r="X2062" s="22"/>
    </row>
    <row r="2063" spans="2:24" x14ac:dyDescent="0.25">
      <c r="B2063" s="22"/>
      <c r="C2063" s="21"/>
      <c r="W2063" s="22"/>
      <c r="X2063" s="22"/>
    </row>
    <row r="2064" spans="2:24" x14ac:dyDescent="0.25">
      <c r="B2064" s="22"/>
      <c r="C2064" s="21"/>
      <c r="W2064" s="22"/>
      <c r="X2064" s="22"/>
    </row>
    <row r="2065" spans="2:24" x14ac:dyDescent="0.25">
      <c r="B2065" s="22"/>
      <c r="C2065" s="21"/>
      <c r="W2065" s="22"/>
      <c r="X2065" s="22"/>
    </row>
    <row r="2066" spans="2:24" x14ac:dyDescent="0.25">
      <c r="B2066" s="22"/>
      <c r="C2066" s="21"/>
      <c r="W2066" s="22"/>
      <c r="X2066" s="22"/>
    </row>
    <row r="2067" spans="2:24" x14ac:dyDescent="0.25">
      <c r="B2067" s="22"/>
      <c r="C2067" s="21"/>
      <c r="W2067" s="22"/>
      <c r="X2067" s="22"/>
    </row>
    <row r="2068" spans="2:24" x14ac:dyDescent="0.25">
      <c r="B2068" s="22"/>
      <c r="C2068" s="21"/>
      <c r="W2068" s="22"/>
      <c r="X2068" s="22"/>
    </row>
    <row r="2069" spans="2:24" x14ac:dyDescent="0.25">
      <c r="B2069" s="22"/>
      <c r="C2069" s="21"/>
      <c r="W2069" s="22"/>
      <c r="X2069" s="22"/>
    </row>
    <row r="2070" spans="2:24" x14ac:dyDescent="0.25">
      <c r="B2070" s="22"/>
      <c r="C2070" s="21"/>
      <c r="W2070" s="22"/>
      <c r="X2070" s="22"/>
    </row>
    <row r="2071" spans="2:24" x14ac:dyDescent="0.25">
      <c r="B2071" s="22"/>
      <c r="C2071" s="21"/>
      <c r="W2071" s="22"/>
      <c r="X2071" s="22"/>
    </row>
    <row r="2072" spans="2:24" x14ac:dyDescent="0.25">
      <c r="B2072" s="22"/>
      <c r="C2072" s="21"/>
      <c r="W2072" s="22"/>
      <c r="X2072" s="22"/>
    </row>
    <row r="2073" spans="2:24" x14ac:dyDescent="0.25">
      <c r="B2073" s="22"/>
      <c r="C2073" s="21"/>
      <c r="W2073" s="22"/>
      <c r="X2073" s="22"/>
    </row>
    <row r="2074" spans="2:24" x14ac:dyDescent="0.25">
      <c r="B2074" s="22"/>
      <c r="C2074" s="21"/>
      <c r="W2074" s="22"/>
      <c r="X2074" s="22"/>
    </row>
    <row r="2075" spans="2:24" x14ac:dyDescent="0.25">
      <c r="B2075" s="22"/>
      <c r="C2075" s="21"/>
      <c r="W2075" s="22"/>
      <c r="X2075" s="22"/>
    </row>
    <row r="2076" spans="2:24" x14ac:dyDescent="0.25">
      <c r="B2076" s="22"/>
      <c r="C2076" s="21"/>
      <c r="W2076" s="22"/>
      <c r="X2076" s="22"/>
    </row>
    <row r="2077" spans="2:24" x14ac:dyDescent="0.25">
      <c r="B2077" s="22"/>
      <c r="C2077" s="21"/>
      <c r="W2077" s="22"/>
      <c r="X2077" s="22"/>
    </row>
    <row r="2078" spans="2:24" x14ac:dyDescent="0.25">
      <c r="B2078" s="22"/>
      <c r="C2078" s="21"/>
      <c r="W2078" s="22"/>
      <c r="X2078" s="22"/>
    </row>
    <row r="2079" spans="2:24" x14ac:dyDescent="0.25">
      <c r="B2079" s="22"/>
      <c r="C2079" s="21"/>
      <c r="W2079" s="22"/>
      <c r="X2079" s="22"/>
    </row>
    <row r="2080" spans="2:24" x14ac:dyDescent="0.25">
      <c r="B2080" s="22"/>
      <c r="C2080" s="21"/>
      <c r="W2080" s="22"/>
      <c r="X2080" s="22"/>
    </row>
    <row r="2081" spans="2:24" x14ac:dyDescent="0.25">
      <c r="B2081" s="22"/>
      <c r="C2081" s="21"/>
      <c r="W2081" s="22"/>
      <c r="X2081" s="22"/>
    </row>
    <row r="2082" spans="2:24" x14ac:dyDescent="0.25">
      <c r="B2082" s="22"/>
      <c r="C2082" s="21"/>
      <c r="W2082" s="22"/>
      <c r="X2082" s="22"/>
    </row>
    <row r="2083" spans="2:24" x14ac:dyDescent="0.25">
      <c r="B2083" s="22"/>
      <c r="C2083" s="21"/>
      <c r="W2083" s="22"/>
      <c r="X2083" s="22"/>
    </row>
    <row r="2084" spans="2:24" x14ac:dyDescent="0.25">
      <c r="B2084" s="22"/>
      <c r="C2084" s="21"/>
      <c r="W2084" s="22"/>
      <c r="X2084" s="22"/>
    </row>
    <row r="2085" spans="2:24" x14ac:dyDescent="0.25">
      <c r="B2085" s="22"/>
      <c r="C2085" s="21"/>
      <c r="W2085" s="22"/>
      <c r="X2085" s="22"/>
    </row>
    <row r="2086" spans="2:24" x14ac:dyDescent="0.25">
      <c r="B2086" s="22"/>
      <c r="C2086" s="21"/>
      <c r="W2086" s="22"/>
      <c r="X2086" s="22"/>
    </row>
    <row r="2087" spans="2:24" x14ac:dyDescent="0.25">
      <c r="B2087" s="22"/>
      <c r="C2087" s="21"/>
      <c r="W2087" s="22"/>
      <c r="X2087" s="22"/>
    </row>
    <row r="2088" spans="2:24" x14ac:dyDescent="0.25">
      <c r="B2088" s="22"/>
      <c r="C2088" s="21"/>
      <c r="W2088" s="22"/>
      <c r="X2088" s="22"/>
    </row>
    <row r="2089" spans="2:24" x14ac:dyDescent="0.25">
      <c r="B2089" s="22"/>
      <c r="C2089" s="21"/>
      <c r="W2089" s="22"/>
      <c r="X2089" s="22"/>
    </row>
    <row r="2090" spans="2:24" x14ac:dyDescent="0.25">
      <c r="B2090" s="22"/>
      <c r="C2090" s="21"/>
      <c r="W2090" s="22"/>
      <c r="X2090" s="22"/>
    </row>
    <row r="2091" spans="2:24" x14ac:dyDescent="0.25">
      <c r="B2091" s="22"/>
      <c r="C2091" s="21"/>
      <c r="W2091" s="22"/>
      <c r="X2091" s="22"/>
    </row>
    <row r="2092" spans="2:24" x14ac:dyDescent="0.25">
      <c r="B2092" s="22"/>
      <c r="C2092" s="21"/>
      <c r="W2092" s="22"/>
      <c r="X2092" s="22"/>
    </row>
    <row r="2093" spans="2:24" x14ac:dyDescent="0.25">
      <c r="B2093" s="22"/>
      <c r="C2093" s="21"/>
      <c r="W2093" s="22"/>
      <c r="X2093" s="22"/>
    </row>
    <row r="2094" spans="2:24" x14ac:dyDescent="0.25">
      <c r="B2094" s="22"/>
      <c r="C2094" s="21"/>
      <c r="W2094" s="22"/>
      <c r="X2094" s="22"/>
    </row>
    <row r="2095" spans="2:24" x14ac:dyDescent="0.25">
      <c r="B2095" s="22"/>
      <c r="C2095" s="21"/>
      <c r="W2095" s="22"/>
      <c r="X2095" s="22"/>
    </row>
    <row r="2096" spans="2:24" x14ac:dyDescent="0.25">
      <c r="B2096" s="22"/>
      <c r="C2096" s="21"/>
      <c r="W2096" s="22"/>
      <c r="X2096" s="22"/>
    </row>
    <row r="2097" spans="2:24" x14ac:dyDescent="0.25">
      <c r="B2097" s="22"/>
      <c r="C2097" s="21"/>
      <c r="W2097" s="22"/>
      <c r="X2097" s="22"/>
    </row>
    <row r="2098" spans="2:24" x14ac:dyDescent="0.25">
      <c r="B2098" s="22"/>
      <c r="C2098" s="21"/>
      <c r="W2098" s="22"/>
      <c r="X2098" s="22"/>
    </row>
    <row r="2099" spans="2:24" x14ac:dyDescent="0.25">
      <c r="B2099" s="22"/>
      <c r="C2099" s="21"/>
      <c r="W2099" s="22"/>
      <c r="X2099" s="22"/>
    </row>
    <row r="2100" spans="2:24" x14ac:dyDescent="0.25">
      <c r="B2100" s="22"/>
      <c r="C2100" s="21"/>
      <c r="W2100" s="22"/>
      <c r="X2100" s="22"/>
    </row>
    <row r="2101" spans="2:24" x14ac:dyDescent="0.25">
      <c r="B2101" s="22"/>
      <c r="C2101" s="21"/>
      <c r="W2101" s="22"/>
      <c r="X2101" s="22"/>
    </row>
    <row r="2102" spans="2:24" x14ac:dyDescent="0.25">
      <c r="B2102" s="22"/>
      <c r="C2102" s="21"/>
      <c r="W2102" s="22"/>
      <c r="X2102" s="22"/>
    </row>
    <row r="2103" spans="2:24" x14ac:dyDescent="0.25">
      <c r="B2103" s="22"/>
      <c r="C2103" s="21"/>
      <c r="W2103" s="22"/>
      <c r="X2103" s="22"/>
    </row>
    <row r="2104" spans="2:24" x14ac:dyDescent="0.25">
      <c r="B2104" s="22"/>
      <c r="C2104" s="21"/>
      <c r="W2104" s="22"/>
      <c r="X2104" s="22"/>
    </row>
    <row r="2105" spans="2:24" x14ac:dyDescent="0.25">
      <c r="B2105" s="22"/>
      <c r="C2105" s="21"/>
      <c r="W2105" s="22"/>
      <c r="X2105" s="22"/>
    </row>
    <row r="2106" spans="2:24" x14ac:dyDescent="0.25">
      <c r="B2106" s="22"/>
      <c r="C2106" s="21"/>
      <c r="W2106" s="22"/>
      <c r="X2106" s="22"/>
    </row>
    <row r="2107" spans="2:24" x14ac:dyDescent="0.25">
      <c r="B2107" s="22"/>
      <c r="C2107" s="21"/>
      <c r="W2107" s="22"/>
      <c r="X2107" s="22"/>
    </row>
    <row r="2108" spans="2:24" x14ac:dyDescent="0.25">
      <c r="B2108" s="22"/>
      <c r="C2108" s="21"/>
      <c r="W2108" s="22"/>
      <c r="X2108" s="22"/>
    </row>
    <row r="2109" spans="2:24" x14ac:dyDescent="0.25">
      <c r="B2109" s="22"/>
      <c r="C2109" s="21"/>
      <c r="W2109" s="22"/>
      <c r="X2109" s="22"/>
    </row>
    <row r="2110" spans="2:24" x14ac:dyDescent="0.25">
      <c r="B2110" s="22"/>
      <c r="C2110" s="21"/>
      <c r="W2110" s="22"/>
      <c r="X2110" s="22"/>
    </row>
    <row r="2111" spans="2:24" x14ac:dyDescent="0.25">
      <c r="B2111" s="22"/>
      <c r="C2111" s="21"/>
      <c r="W2111" s="22"/>
      <c r="X2111" s="22"/>
    </row>
    <row r="2112" spans="2:24" x14ac:dyDescent="0.25">
      <c r="B2112" s="22"/>
      <c r="C2112" s="21"/>
      <c r="W2112" s="22"/>
      <c r="X2112" s="22"/>
    </row>
    <row r="2113" spans="2:24" x14ac:dyDescent="0.25">
      <c r="B2113" s="22"/>
      <c r="C2113" s="21"/>
      <c r="W2113" s="22"/>
      <c r="X2113" s="22"/>
    </row>
    <row r="2114" spans="2:24" x14ac:dyDescent="0.25">
      <c r="B2114" s="22"/>
      <c r="C2114" s="21"/>
      <c r="W2114" s="22"/>
      <c r="X2114" s="22"/>
    </row>
    <row r="2115" spans="2:24" x14ac:dyDescent="0.25">
      <c r="B2115" s="22"/>
      <c r="C2115" s="21"/>
      <c r="W2115" s="22"/>
      <c r="X2115" s="22"/>
    </row>
    <row r="2116" spans="2:24" x14ac:dyDescent="0.25">
      <c r="B2116" s="22"/>
      <c r="C2116" s="21"/>
      <c r="W2116" s="22"/>
      <c r="X2116" s="22"/>
    </row>
    <row r="2117" spans="2:24" x14ac:dyDescent="0.25">
      <c r="B2117" s="22"/>
      <c r="C2117" s="21"/>
      <c r="W2117" s="22"/>
      <c r="X2117" s="22"/>
    </row>
    <row r="2118" spans="2:24" x14ac:dyDescent="0.25">
      <c r="B2118" s="22"/>
      <c r="C2118" s="21"/>
      <c r="W2118" s="22"/>
      <c r="X2118" s="22"/>
    </row>
    <row r="2119" spans="2:24" x14ac:dyDescent="0.25">
      <c r="B2119" s="22"/>
      <c r="C2119" s="21"/>
      <c r="W2119" s="22"/>
      <c r="X2119" s="22"/>
    </row>
    <row r="2120" spans="2:24" x14ac:dyDescent="0.25">
      <c r="B2120" s="22"/>
      <c r="C2120" s="21"/>
      <c r="W2120" s="22"/>
      <c r="X2120" s="22"/>
    </row>
    <row r="2121" spans="2:24" x14ac:dyDescent="0.25">
      <c r="B2121" s="22"/>
      <c r="C2121" s="21"/>
      <c r="W2121" s="22"/>
      <c r="X2121" s="22"/>
    </row>
    <row r="2122" spans="2:24" x14ac:dyDescent="0.25">
      <c r="B2122" s="22"/>
      <c r="C2122" s="21"/>
      <c r="W2122" s="22"/>
      <c r="X2122" s="22"/>
    </row>
    <row r="2123" spans="2:24" x14ac:dyDescent="0.25">
      <c r="B2123" s="22"/>
      <c r="C2123" s="21"/>
      <c r="W2123" s="22"/>
      <c r="X2123" s="22"/>
    </row>
    <row r="2124" spans="2:24" x14ac:dyDescent="0.25">
      <c r="B2124" s="22"/>
      <c r="C2124" s="21"/>
      <c r="W2124" s="22"/>
      <c r="X2124" s="22"/>
    </row>
    <row r="2125" spans="2:24" x14ac:dyDescent="0.25">
      <c r="B2125" s="22"/>
      <c r="C2125" s="21"/>
      <c r="W2125" s="22"/>
      <c r="X2125" s="22"/>
    </row>
    <row r="2126" spans="2:24" x14ac:dyDescent="0.25">
      <c r="B2126" s="22"/>
      <c r="C2126" s="21"/>
      <c r="W2126" s="22"/>
      <c r="X2126" s="22"/>
    </row>
    <row r="2127" spans="2:24" x14ac:dyDescent="0.25">
      <c r="B2127" s="22"/>
      <c r="C2127" s="21"/>
      <c r="W2127" s="22"/>
      <c r="X2127" s="22"/>
    </row>
    <row r="2128" spans="2:24" x14ac:dyDescent="0.25">
      <c r="B2128" s="22"/>
      <c r="C2128" s="21"/>
      <c r="W2128" s="22"/>
      <c r="X2128" s="22"/>
    </row>
    <row r="2129" spans="2:24" x14ac:dyDescent="0.25">
      <c r="B2129" s="22"/>
      <c r="C2129" s="21"/>
      <c r="W2129" s="22"/>
      <c r="X2129" s="22"/>
    </row>
    <row r="2130" spans="2:24" x14ac:dyDescent="0.25">
      <c r="B2130" s="22"/>
      <c r="C2130" s="21"/>
      <c r="W2130" s="22"/>
      <c r="X2130" s="22"/>
    </row>
    <row r="2131" spans="2:24" x14ac:dyDescent="0.25">
      <c r="B2131" s="22"/>
      <c r="C2131" s="21"/>
      <c r="W2131" s="22"/>
      <c r="X2131" s="22"/>
    </row>
    <row r="2132" spans="2:24" x14ac:dyDescent="0.25">
      <c r="B2132" s="22"/>
      <c r="C2132" s="21"/>
      <c r="W2132" s="22"/>
      <c r="X2132" s="22"/>
    </row>
    <row r="2133" spans="2:24" x14ac:dyDescent="0.25">
      <c r="B2133" s="22"/>
      <c r="C2133" s="21"/>
      <c r="W2133" s="22"/>
      <c r="X2133" s="22"/>
    </row>
    <row r="2134" spans="2:24" x14ac:dyDescent="0.25">
      <c r="B2134" s="22"/>
      <c r="C2134" s="21"/>
      <c r="W2134" s="22"/>
      <c r="X2134" s="22"/>
    </row>
    <row r="2135" spans="2:24" x14ac:dyDescent="0.25">
      <c r="B2135" s="22"/>
      <c r="C2135" s="21"/>
      <c r="W2135" s="22"/>
      <c r="X2135" s="22"/>
    </row>
    <row r="2136" spans="2:24" x14ac:dyDescent="0.25">
      <c r="B2136" s="22"/>
      <c r="C2136" s="21"/>
      <c r="W2136" s="22"/>
      <c r="X2136" s="22"/>
    </row>
    <row r="2137" spans="2:24" x14ac:dyDescent="0.25">
      <c r="B2137" s="22"/>
      <c r="C2137" s="21"/>
      <c r="W2137" s="22"/>
      <c r="X2137" s="22"/>
    </row>
    <row r="2138" spans="2:24" x14ac:dyDescent="0.25">
      <c r="B2138" s="22"/>
      <c r="C2138" s="21"/>
      <c r="W2138" s="22"/>
      <c r="X2138" s="22"/>
    </row>
    <row r="2139" spans="2:24" x14ac:dyDescent="0.25">
      <c r="B2139" s="22"/>
      <c r="C2139" s="21"/>
      <c r="W2139" s="22"/>
      <c r="X2139" s="22"/>
    </row>
    <row r="2140" spans="2:24" x14ac:dyDescent="0.25">
      <c r="B2140" s="22"/>
      <c r="C2140" s="21"/>
      <c r="W2140" s="22"/>
      <c r="X2140" s="22"/>
    </row>
    <row r="2141" spans="2:24" x14ac:dyDescent="0.25">
      <c r="B2141" s="22"/>
      <c r="C2141" s="21"/>
      <c r="W2141" s="22"/>
      <c r="X2141" s="22"/>
    </row>
    <row r="2142" spans="2:24" x14ac:dyDescent="0.25">
      <c r="B2142" s="22"/>
      <c r="C2142" s="21"/>
      <c r="W2142" s="22"/>
      <c r="X2142" s="22"/>
    </row>
    <row r="2143" spans="2:24" x14ac:dyDescent="0.25">
      <c r="B2143" s="22"/>
      <c r="C2143" s="21"/>
      <c r="W2143" s="22"/>
      <c r="X2143" s="22"/>
    </row>
    <row r="2144" spans="2:24" x14ac:dyDescent="0.25">
      <c r="B2144" s="22"/>
      <c r="C2144" s="21"/>
      <c r="W2144" s="22"/>
      <c r="X2144" s="22"/>
    </row>
    <row r="2145" spans="2:24" x14ac:dyDescent="0.25">
      <c r="B2145" s="22"/>
      <c r="C2145" s="21"/>
      <c r="W2145" s="22"/>
      <c r="X2145" s="22"/>
    </row>
    <row r="2146" spans="2:24" x14ac:dyDescent="0.25">
      <c r="B2146" s="22"/>
      <c r="C2146" s="21"/>
      <c r="W2146" s="22"/>
      <c r="X2146" s="22"/>
    </row>
    <row r="2147" spans="2:24" x14ac:dyDescent="0.25">
      <c r="B2147" s="22"/>
      <c r="C2147" s="21"/>
      <c r="W2147" s="22"/>
      <c r="X2147" s="22"/>
    </row>
    <row r="2148" spans="2:24" x14ac:dyDescent="0.25">
      <c r="B2148" s="22"/>
      <c r="C2148" s="21"/>
      <c r="W2148" s="22"/>
      <c r="X2148" s="22"/>
    </row>
    <row r="2149" spans="2:24" x14ac:dyDescent="0.25">
      <c r="B2149" s="22"/>
      <c r="C2149" s="21"/>
      <c r="W2149" s="22"/>
      <c r="X2149" s="22"/>
    </row>
    <row r="2150" spans="2:24" x14ac:dyDescent="0.25">
      <c r="B2150" s="22"/>
      <c r="C2150" s="21"/>
      <c r="W2150" s="22"/>
      <c r="X2150" s="22"/>
    </row>
    <row r="2151" spans="2:24" x14ac:dyDescent="0.25">
      <c r="B2151" s="22"/>
      <c r="C2151" s="21"/>
      <c r="W2151" s="22"/>
      <c r="X2151" s="22"/>
    </row>
    <row r="2152" spans="2:24" x14ac:dyDescent="0.25">
      <c r="B2152" s="22"/>
      <c r="C2152" s="21"/>
      <c r="W2152" s="22"/>
      <c r="X2152" s="22"/>
    </row>
    <row r="2153" spans="2:24" x14ac:dyDescent="0.25">
      <c r="B2153" s="22"/>
      <c r="C2153" s="21"/>
      <c r="W2153" s="22"/>
      <c r="X2153" s="22"/>
    </row>
    <row r="2154" spans="2:24" x14ac:dyDescent="0.25">
      <c r="B2154" s="22"/>
      <c r="C2154" s="21"/>
      <c r="W2154" s="22"/>
      <c r="X2154" s="22"/>
    </row>
    <row r="2155" spans="2:24" x14ac:dyDescent="0.25">
      <c r="B2155" s="22"/>
      <c r="C2155" s="21"/>
      <c r="W2155" s="22"/>
      <c r="X2155" s="22"/>
    </row>
    <row r="2156" spans="2:24" x14ac:dyDescent="0.25">
      <c r="B2156" s="22"/>
      <c r="C2156" s="21"/>
      <c r="W2156" s="22"/>
      <c r="X2156" s="22"/>
    </row>
    <row r="2157" spans="2:24" x14ac:dyDescent="0.25">
      <c r="B2157" s="22"/>
      <c r="C2157" s="21"/>
      <c r="W2157" s="22"/>
      <c r="X2157" s="22"/>
    </row>
    <row r="2158" spans="2:24" x14ac:dyDescent="0.25">
      <c r="B2158" s="22"/>
      <c r="C2158" s="21"/>
      <c r="W2158" s="22"/>
      <c r="X2158" s="22"/>
    </row>
    <row r="2159" spans="2:24" x14ac:dyDescent="0.25">
      <c r="B2159" s="22"/>
      <c r="C2159" s="21"/>
      <c r="W2159" s="22"/>
      <c r="X2159" s="22"/>
    </row>
    <row r="2160" spans="2:24" x14ac:dyDescent="0.25">
      <c r="B2160" s="22"/>
      <c r="C2160" s="21"/>
      <c r="W2160" s="22"/>
      <c r="X2160" s="22"/>
    </row>
    <row r="2161" spans="2:24" x14ac:dyDescent="0.25">
      <c r="B2161" s="22"/>
      <c r="C2161" s="21"/>
      <c r="W2161" s="22"/>
      <c r="X2161" s="22"/>
    </row>
    <row r="2162" spans="2:24" x14ac:dyDescent="0.25">
      <c r="B2162" s="22"/>
      <c r="C2162" s="21"/>
      <c r="W2162" s="22"/>
      <c r="X2162" s="22"/>
    </row>
    <row r="2163" spans="2:24" x14ac:dyDescent="0.25">
      <c r="B2163" s="22"/>
      <c r="C2163" s="21"/>
      <c r="W2163" s="22"/>
      <c r="X2163" s="22"/>
    </row>
    <row r="2164" spans="2:24" x14ac:dyDescent="0.25">
      <c r="B2164" s="22"/>
      <c r="C2164" s="21"/>
      <c r="W2164" s="22"/>
      <c r="X2164" s="22"/>
    </row>
    <row r="2165" spans="2:24" x14ac:dyDescent="0.25">
      <c r="B2165" s="22"/>
      <c r="C2165" s="21"/>
      <c r="W2165" s="22"/>
      <c r="X2165" s="22"/>
    </row>
    <row r="2166" spans="2:24" x14ac:dyDescent="0.25">
      <c r="B2166" s="22"/>
      <c r="C2166" s="21"/>
      <c r="W2166" s="22"/>
      <c r="X2166" s="22"/>
    </row>
    <row r="2167" spans="2:24" x14ac:dyDescent="0.25">
      <c r="B2167" s="22"/>
      <c r="C2167" s="21"/>
      <c r="W2167" s="22"/>
      <c r="X2167" s="22"/>
    </row>
    <row r="2168" spans="2:24" x14ac:dyDescent="0.25">
      <c r="B2168" s="22"/>
      <c r="C2168" s="21"/>
      <c r="W2168" s="22"/>
      <c r="X2168" s="22"/>
    </row>
    <row r="2169" spans="2:24" x14ac:dyDescent="0.25">
      <c r="B2169" s="22"/>
      <c r="C2169" s="21"/>
      <c r="W2169" s="22"/>
      <c r="X2169" s="22"/>
    </row>
    <row r="2170" spans="2:24" x14ac:dyDescent="0.25">
      <c r="B2170" s="22"/>
      <c r="C2170" s="21"/>
      <c r="W2170" s="22"/>
      <c r="X2170" s="22"/>
    </row>
    <row r="2171" spans="2:24" x14ac:dyDescent="0.25">
      <c r="B2171" s="22"/>
      <c r="C2171" s="21"/>
      <c r="W2171" s="22"/>
      <c r="X2171" s="22"/>
    </row>
    <row r="2172" spans="2:24" x14ac:dyDescent="0.25">
      <c r="B2172" s="22"/>
      <c r="C2172" s="21"/>
      <c r="W2172" s="22"/>
      <c r="X2172" s="22"/>
    </row>
    <row r="2173" spans="2:24" x14ac:dyDescent="0.25">
      <c r="B2173" s="22"/>
      <c r="C2173" s="21"/>
      <c r="W2173" s="22"/>
      <c r="X2173" s="22"/>
    </row>
    <row r="2174" spans="2:24" x14ac:dyDescent="0.25">
      <c r="B2174" s="22"/>
      <c r="C2174" s="21"/>
      <c r="W2174" s="22"/>
      <c r="X2174" s="22"/>
    </row>
    <row r="2175" spans="2:24" x14ac:dyDescent="0.25">
      <c r="B2175" s="22"/>
      <c r="C2175" s="21"/>
      <c r="W2175" s="22"/>
      <c r="X2175" s="22"/>
    </row>
    <row r="2176" spans="2:24" x14ac:dyDescent="0.25">
      <c r="B2176" s="22"/>
      <c r="C2176" s="21"/>
      <c r="W2176" s="22"/>
      <c r="X2176" s="22"/>
    </row>
    <row r="2177" spans="2:24" x14ac:dyDescent="0.25">
      <c r="B2177" s="22"/>
      <c r="C2177" s="21"/>
      <c r="W2177" s="22"/>
      <c r="X2177" s="22"/>
    </row>
    <row r="2178" spans="2:24" x14ac:dyDescent="0.25">
      <c r="B2178" s="22"/>
      <c r="C2178" s="21"/>
      <c r="W2178" s="22"/>
      <c r="X2178" s="22"/>
    </row>
    <row r="2179" spans="2:24" x14ac:dyDescent="0.25">
      <c r="B2179" s="22"/>
      <c r="C2179" s="21"/>
      <c r="W2179" s="22"/>
      <c r="X2179" s="22"/>
    </row>
    <row r="2180" spans="2:24" x14ac:dyDescent="0.25">
      <c r="B2180" s="22"/>
      <c r="C2180" s="21"/>
      <c r="W2180" s="22"/>
      <c r="X2180" s="22"/>
    </row>
    <row r="2181" spans="2:24" x14ac:dyDescent="0.25">
      <c r="B2181" s="22"/>
      <c r="C2181" s="21"/>
      <c r="W2181" s="22"/>
      <c r="X2181" s="22"/>
    </row>
    <row r="2182" spans="2:24" x14ac:dyDescent="0.25">
      <c r="B2182" s="22"/>
      <c r="C2182" s="21"/>
      <c r="W2182" s="22"/>
      <c r="X2182" s="22"/>
    </row>
    <row r="2183" spans="2:24" x14ac:dyDescent="0.25">
      <c r="B2183" s="22"/>
      <c r="C2183" s="21"/>
      <c r="W2183" s="22"/>
      <c r="X2183" s="22"/>
    </row>
    <row r="2184" spans="2:24" x14ac:dyDescent="0.25">
      <c r="B2184" s="22"/>
      <c r="C2184" s="21"/>
      <c r="W2184" s="22"/>
      <c r="X2184" s="22"/>
    </row>
    <row r="2185" spans="2:24" x14ac:dyDescent="0.25">
      <c r="B2185" s="22"/>
      <c r="C2185" s="21"/>
      <c r="W2185" s="22"/>
      <c r="X2185" s="22"/>
    </row>
    <row r="2186" spans="2:24" x14ac:dyDescent="0.25">
      <c r="B2186" s="22"/>
      <c r="C2186" s="21"/>
      <c r="W2186" s="22"/>
      <c r="X2186" s="22"/>
    </row>
    <row r="2187" spans="2:24" x14ac:dyDescent="0.25">
      <c r="B2187" s="22"/>
      <c r="C2187" s="21"/>
      <c r="W2187" s="22"/>
      <c r="X2187" s="22"/>
    </row>
    <row r="2188" spans="2:24" x14ac:dyDescent="0.25">
      <c r="B2188" s="22"/>
      <c r="C2188" s="21"/>
      <c r="W2188" s="22"/>
      <c r="X2188" s="22"/>
    </row>
    <row r="2189" spans="2:24" x14ac:dyDescent="0.25">
      <c r="B2189" s="22"/>
      <c r="C2189" s="21"/>
      <c r="W2189" s="22"/>
      <c r="X2189" s="22"/>
    </row>
    <row r="2190" spans="2:24" x14ac:dyDescent="0.25">
      <c r="B2190" s="22"/>
      <c r="C2190" s="21"/>
      <c r="W2190" s="22"/>
      <c r="X2190" s="22"/>
    </row>
    <row r="2191" spans="2:24" x14ac:dyDescent="0.25">
      <c r="B2191" s="22"/>
      <c r="C2191" s="21"/>
      <c r="W2191" s="22"/>
      <c r="X2191" s="22"/>
    </row>
    <row r="2192" spans="2:24" x14ac:dyDescent="0.25">
      <c r="B2192" s="22"/>
      <c r="C2192" s="21"/>
      <c r="W2192" s="22"/>
      <c r="X2192" s="22"/>
    </row>
    <row r="2193" spans="2:24" x14ac:dyDescent="0.25">
      <c r="B2193" s="22"/>
      <c r="C2193" s="21"/>
      <c r="W2193" s="22"/>
      <c r="X2193" s="22"/>
    </row>
    <row r="2194" spans="2:24" x14ac:dyDescent="0.25">
      <c r="B2194" s="22"/>
      <c r="C2194" s="21"/>
      <c r="W2194" s="22"/>
      <c r="X2194" s="22"/>
    </row>
    <row r="2195" spans="2:24" x14ac:dyDescent="0.25">
      <c r="B2195" s="22"/>
      <c r="C2195" s="21"/>
      <c r="W2195" s="22"/>
      <c r="X2195" s="22"/>
    </row>
    <row r="2196" spans="2:24" x14ac:dyDescent="0.25">
      <c r="B2196" s="22"/>
      <c r="C2196" s="21"/>
      <c r="W2196" s="22"/>
      <c r="X2196" s="22"/>
    </row>
    <row r="2197" spans="2:24" x14ac:dyDescent="0.25">
      <c r="B2197" s="22"/>
      <c r="C2197" s="21"/>
      <c r="W2197" s="22"/>
      <c r="X2197" s="22"/>
    </row>
    <row r="2198" spans="2:24" x14ac:dyDescent="0.25">
      <c r="B2198" s="22"/>
      <c r="C2198" s="21"/>
      <c r="W2198" s="22"/>
      <c r="X2198" s="22"/>
    </row>
    <row r="2199" spans="2:24" x14ac:dyDescent="0.25">
      <c r="B2199" s="22"/>
      <c r="C2199" s="21"/>
      <c r="W2199" s="22"/>
      <c r="X2199" s="22"/>
    </row>
    <row r="2200" spans="2:24" x14ac:dyDescent="0.25">
      <c r="B2200" s="22"/>
      <c r="C2200" s="21"/>
      <c r="W2200" s="22"/>
      <c r="X2200" s="22"/>
    </row>
    <row r="2201" spans="2:24" x14ac:dyDescent="0.25">
      <c r="B2201" s="22"/>
      <c r="C2201" s="21"/>
      <c r="W2201" s="22"/>
      <c r="X2201" s="22"/>
    </row>
    <row r="2202" spans="2:24" x14ac:dyDescent="0.25">
      <c r="B2202" s="22"/>
      <c r="C2202" s="21"/>
      <c r="W2202" s="22"/>
      <c r="X2202" s="22"/>
    </row>
    <row r="2203" spans="2:24" x14ac:dyDescent="0.25">
      <c r="B2203" s="22"/>
      <c r="C2203" s="21"/>
      <c r="W2203" s="22"/>
      <c r="X2203" s="22"/>
    </row>
    <row r="2204" spans="2:24" x14ac:dyDescent="0.25">
      <c r="B2204" s="22"/>
      <c r="C2204" s="21"/>
      <c r="W2204" s="22"/>
      <c r="X2204" s="22"/>
    </row>
    <row r="2205" spans="2:24" x14ac:dyDescent="0.25">
      <c r="B2205" s="22"/>
      <c r="C2205" s="21"/>
      <c r="W2205" s="22"/>
      <c r="X2205" s="22"/>
    </row>
    <row r="2206" spans="2:24" x14ac:dyDescent="0.25">
      <c r="B2206" s="22"/>
      <c r="C2206" s="21"/>
      <c r="W2206" s="22"/>
      <c r="X2206" s="22"/>
    </row>
    <row r="2207" spans="2:24" x14ac:dyDescent="0.25">
      <c r="B2207" s="22"/>
      <c r="C2207" s="21"/>
      <c r="W2207" s="22"/>
      <c r="X2207" s="22"/>
    </row>
    <row r="2208" spans="2:24" x14ac:dyDescent="0.25">
      <c r="B2208" s="22"/>
      <c r="C2208" s="21"/>
      <c r="W2208" s="22"/>
      <c r="X2208" s="22"/>
    </row>
    <row r="2209" spans="2:24" x14ac:dyDescent="0.25">
      <c r="B2209" s="22"/>
      <c r="C2209" s="21"/>
      <c r="W2209" s="22"/>
      <c r="X2209" s="22"/>
    </row>
    <row r="2210" spans="2:24" x14ac:dyDescent="0.25">
      <c r="B2210" s="22"/>
      <c r="C2210" s="21"/>
      <c r="W2210" s="22"/>
      <c r="X2210" s="22"/>
    </row>
    <row r="2211" spans="2:24" x14ac:dyDescent="0.25">
      <c r="B2211" s="22"/>
      <c r="C2211" s="21"/>
      <c r="W2211" s="22"/>
      <c r="X2211" s="22"/>
    </row>
    <row r="2212" spans="2:24" x14ac:dyDescent="0.25">
      <c r="B2212" s="22"/>
      <c r="C2212" s="21"/>
      <c r="W2212" s="22"/>
      <c r="X2212" s="22"/>
    </row>
    <row r="2213" spans="2:24" x14ac:dyDescent="0.25">
      <c r="B2213" s="22"/>
      <c r="C2213" s="21"/>
      <c r="W2213" s="22"/>
      <c r="X2213" s="22"/>
    </row>
    <row r="2214" spans="2:24" x14ac:dyDescent="0.25">
      <c r="B2214" s="22"/>
      <c r="C2214" s="21"/>
      <c r="W2214" s="22"/>
      <c r="X2214" s="22"/>
    </row>
    <row r="2215" spans="2:24" x14ac:dyDescent="0.25">
      <c r="B2215" s="22"/>
      <c r="C2215" s="21"/>
      <c r="W2215" s="22"/>
      <c r="X2215" s="22"/>
    </row>
    <row r="2216" spans="2:24" x14ac:dyDescent="0.25">
      <c r="B2216" s="22"/>
      <c r="C2216" s="21"/>
      <c r="W2216" s="22"/>
      <c r="X2216" s="22"/>
    </row>
    <row r="2217" spans="2:24" x14ac:dyDescent="0.25">
      <c r="B2217" s="22"/>
      <c r="C2217" s="21"/>
      <c r="W2217" s="22"/>
      <c r="X2217" s="22"/>
    </row>
    <row r="2218" spans="2:24" x14ac:dyDescent="0.25">
      <c r="B2218" s="22"/>
      <c r="C2218" s="21"/>
      <c r="W2218" s="22"/>
      <c r="X2218" s="22"/>
    </row>
    <row r="2219" spans="2:24" x14ac:dyDescent="0.25">
      <c r="B2219" s="22"/>
      <c r="C2219" s="21"/>
      <c r="W2219" s="22"/>
      <c r="X2219" s="22"/>
    </row>
    <row r="2220" spans="2:24" x14ac:dyDescent="0.25">
      <c r="B2220" s="22"/>
      <c r="C2220" s="21"/>
      <c r="W2220" s="22"/>
      <c r="X2220" s="22"/>
    </row>
    <row r="2221" spans="2:24" x14ac:dyDescent="0.25">
      <c r="B2221" s="22"/>
      <c r="C2221" s="21"/>
      <c r="W2221" s="22"/>
      <c r="X2221" s="22"/>
    </row>
    <row r="2222" spans="2:24" x14ac:dyDescent="0.25">
      <c r="B2222" s="22"/>
      <c r="C2222" s="21"/>
      <c r="W2222" s="22"/>
      <c r="X2222" s="22"/>
    </row>
    <row r="2223" spans="2:24" x14ac:dyDescent="0.25">
      <c r="B2223" s="22"/>
      <c r="C2223" s="21"/>
      <c r="W2223" s="22"/>
      <c r="X2223" s="22"/>
    </row>
    <row r="2224" spans="2:24" x14ac:dyDescent="0.25">
      <c r="B2224" s="22"/>
      <c r="C2224" s="21"/>
      <c r="W2224" s="22"/>
      <c r="X2224" s="22"/>
    </row>
    <row r="2225" spans="2:24" x14ac:dyDescent="0.25">
      <c r="B2225" s="22"/>
      <c r="C2225" s="21"/>
      <c r="W2225" s="22"/>
      <c r="X2225" s="22"/>
    </row>
    <row r="2226" spans="2:24" x14ac:dyDescent="0.25">
      <c r="B2226" s="22"/>
      <c r="C2226" s="21"/>
      <c r="W2226" s="22"/>
      <c r="X2226" s="22"/>
    </row>
    <row r="2227" spans="2:24" x14ac:dyDescent="0.25">
      <c r="B2227" s="22"/>
      <c r="C2227" s="21"/>
      <c r="W2227" s="22"/>
      <c r="X2227" s="22"/>
    </row>
    <row r="2228" spans="2:24" x14ac:dyDescent="0.25">
      <c r="B2228" s="22"/>
      <c r="C2228" s="21"/>
      <c r="W2228" s="22"/>
      <c r="X2228" s="22"/>
    </row>
    <row r="2229" spans="2:24" x14ac:dyDescent="0.25">
      <c r="B2229" s="22"/>
      <c r="C2229" s="21"/>
      <c r="W2229" s="22"/>
      <c r="X2229" s="22"/>
    </row>
    <row r="2230" spans="2:24" x14ac:dyDescent="0.25">
      <c r="B2230" s="22"/>
      <c r="C2230" s="21"/>
      <c r="W2230" s="22"/>
      <c r="X2230" s="22"/>
    </row>
    <row r="2231" spans="2:24" x14ac:dyDescent="0.25">
      <c r="B2231" s="22"/>
      <c r="C2231" s="21"/>
      <c r="W2231" s="22"/>
      <c r="X2231" s="22"/>
    </row>
    <row r="2232" spans="2:24" x14ac:dyDescent="0.25">
      <c r="B2232" s="22"/>
      <c r="C2232" s="21"/>
      <c r="W2232" s="22"/>
      <c r="X2232" s="22"/>
    </row>
    <row r="2233" spans="2:24" x14ac:dyDescent="0.25">
      <c r="B2233" s="22"/>
      <c r="C2233" s="21"/>
      <c r="W2233" s="22"/>
      <c r="X2233" s="22"/>
    </row>
    <row r="2234" spans="2:24" x14ac:dyDescent="0.25">
      <c r="B2234" s="22"/>
      <c r="C2234" s="21"/>
      <c r="W2234" s="22"/>
      <c r="X2234" s="22"/>
    </row>
    <row r="2235" spans="2:24" x14ac:dyDescent="0.25">
      <c r="B2235" s="22"/>
      <c r="C2235" s="21"/>
      <c r="W2235" s="22"/>
      <c r="X2235" s="22"/>
    </row>
    <row r="2236" spans="2:24" x14ac:dyDescent="0.25">
      <c r="B2236" s="22"/>
      <c r="C2236" s="21"/>
      <c r="W2236" s="22"/>
      <c r="X2236" s="22"/>
    </row>
    <row r="2237" spans="2:24" x14ac:dyDescent="0.25">
      <c r="B2237" s="22"/>
      <c r="C2237" s="21"/>
      <c r="W2237" s="22"/>
      <c r="X2237" s="22"/>
    </row>
    <row r="2238" spans="2:24" x14ac:dyDescent="0.25">
      <c r="B2238" s="22"/>
      <c r="C2238" s="21"/>
      <c r="W2238" s="22"/>
      <c r="X2238" s="22"/>
    </row>
    <row r="2239" spans="2:24" x14ac:dyDescent="0.25">
      <c r="B2239" s="22"/>
      <c r="C2239" s="21"/>
      <c r="W2239" s="22"/>
      <c r="X2239" s="22"/>
    </row>
    <row r="2240" spans="2:24" x14ac:dyDescent="0.25">
      <c r="B2240" s="22"/>
      <c r="C2240" s="21"/>
      <c r="W2240" s="22"/>
      <c r="X2240" s="22"/>
    </row>
    <row r="2241" spans="2:24" x14ac:dyDescent="0.25">
      <c r="B2241" s="22"/>
      <c r="C2241" s="21"/>
      <c r="W2241" s="22"/>
      <c r="X2241" s="22"/>
    </row>
    <row r="2242" spans="2:24" x14ac:dyDescent="0.25">
      <c r="B2242" s="22"/>
      <c r="C2242" s="21"/>
      <c r="W2242" s="22"/>
      <c r="X2242" s="22"/>
    </row>
    <row r="2243" spans="2:24" x14ac:dyDescent="0.25">
      <c r="B2243" s="22"/>
      <c r="C2243" s="21"/>
      <c r="W2243" s="22"/>
      <c r="X2243" s="22"/>
    </row>
    <row r="2244" spans="2:24" x14ac:dyDescent="0.25">
      <c r="B2244" s="22"/>
      <c r="C2244" s="21"/>
      <c r="W2244" s="22"/>
      <c r="X2244" s="22"/>
    </row>
    <row r="2245" spans="2:24" x14ac:dyDescent="0.25">
      <c r="B2245" s="22"/>
      <c r="C2245" s="21"/>
      <c r="W2245" s="22"/>
      <c r="X2245" s="22"/>
    </row>
    <row r="2246" spans="2:24" x14ac:dyDescent="0.25">
      <c r="B2246" s="22"/>
      <c r="C2246" s="21"/>
      <c r="W2246" s="22"/>
      <c r="X2246" s="22"/>
    </row>
    <row r="2247" spans="2:24" x14ac:dyDescent="0.25">
      <c r="B2247" s="22"/>
      <c r="C2247" s="21"/>
      <c r="W2247" s="22"/>
      <c r="X2247" s="22"/>
    </row>
    <row r="2248" spans="2:24" x14ac:dyDescent="0.25">
      <c r="B2248" s="22"/>
      <c r="C2248" s="21"/>
      <c r="W2248" s="22"/>
      <c r="X2248" s="22"/>
    </row>
    <row r="2249" spans="2:24" x14ac:dyDescent="0.25">
      <c r="B2249" s="22"/>
      <c r="C2249" s="21"/>
      <c r="W2249" s="22"/>
      <c r="X2249" s="22"/>
    </row>
    <row r="2250" spans="2:24" x14ac:dyDescent="0.25">
      <c r="B2250" s="22"/>
      <c r="C2250" s="21"/>
      <c r="W2250" s="22"/>
      <c r="X2250" s="22"/>
    </row>
    <row r="2251" spans="2:24" x14ac:dyDescent="0.25">
      <c r="B2251" s="22"/>
      <c r="C2251" s="21"/>
      <c r="W2251" s="22"/>
      <c r="X2251" s="22"/>
    </row>
    <row r="2252" spans="2:24" x14ac:dyDescent="0.25">
      <c r="B2252" s="22"/>
      <c r="C2252" s="21"/>
      <c r="W2252" s="22"/>
      <c r="X2252" s="22"/>
    </row>
    <row r="2253" spans="2:24" x14ac:dyDescent="0.25">
      <c r="B2253" s="22"/>
      <c r="C2253" s="21"/>
      <c r="W2253" s="22"/>
      <c r="X2253" s="22"/>
    </row>
    <row r="2254" spans="2:24" x14ac:dyDescent="0.25">
      <c r="B2254" s="22"/>
      <c r="C2254" s="21"/>
      <c r="W2254" s="22"/>
      <c r="X2254" s="22"/>
    </row>
    <row r="2255" spans="2:24" x14ac:dyDescent="0.25">
      <c r="B2255" s="22"/>
      <c r="C2255" s="21"/>
      <c r="W2255" s="22"/>
      <c r="X2255" s="22"/>
    </row>
    <row r="2256" spans="2:24" x14ac:dyDescent="0.25">
      <c r="B2256" s="22"/>
      <c r="C2256" s="21"/>
      <c r="W2256" s="22"/>
      <c r="X2256" s="22"/>
    </row>
    <row r="2257" spans="2:24" x14ac:dyDescent="0.25">
      <c r="B2257" s="22"/>
      <c r="C2257" s="21"/>
      <c r="W2257" s="22"/>
      <c r="X2257" s="22"/>
    </row>
    <row r="2258" spans="2:24" x14ac:dyDescent="0.25">
      <c r="B2258" s="22"/>
      <c r="C2258" s="21"/>
      <c r="W2258" s="22"/>
      <c r="X2258" s="22"/>
    </row>
    <row r="2259" spans="2:24" x14ac:dyDescent="0.25">
      <c r="B2259" s="22"/>
      <c r="C2259" s="21"/>
      <c r="W2259" s="22"/>
      <c r="X2259" s="22"/>
    </row>
    <row r="2260" spans="2:24" x14ac:dyDescent="0.25">
      <c r="B2260" s="22"/>
      <c r="C2260" s="21"/>
      <c r="W2260" s="22"/>
      <c r="X2260" s="22"/>
    </row>
    <row r="2261" spans="2:24" x14ac:dyDescent="0.25">
      <c r="B2261" s="22"/>
      <c r="C2261" s="21"/>
      <c r="W2261" s="22"/>
      <c r="X2261" s="22"/>
    </row>
    <row r="2262" spans="2:24" x14ac:dyDescent="0.25">
      <c r="B2262" s="22"/>
      <c r="C2262" s="21"/>
      <c r="W2262" s="22"/>
      <c r="X2262" s="22"/>
    </row>
    <row r="2263" spans="2:24" x14ac:dyDescent="0.25">
      <c r="B2263" s="22"/>
      <c r="C2263" s="21"/>
      <c r="W2263" s="22"/>
      <c r="X2263" s="22"/>
    </row>
    <row r="2264" spans="2:24" x14ac:dyDescent="0.25">
      <c r="B2264" s="22"/>
      <c r="C2264" s="21"/>
      <c r="W2264" s="22"/>
      <c r="X2264" s="22"/>
    </row>
    <row r="2265" spans="2:24" x14ac:dyDescent="0.25">
      <c r="B2265" s="22"/>
      <c r="C2265" s="21"/>
      <c r="W2265" s="22"/>
      <c r="X2265" s="22"/>
    </row>
    <row r="2266" spans="2:24" x14ac:dyDescent="0.25">
      <c r="B2266" s="22"/>
      <c r="C2266" s="21"/>
      <c r="W2266" s="22"/>
      <c r="X2266" s="22"/>
    </row>
    <row r="2267" spans="2:24" x14ac:dyDescent="0.25">
      <c r="B2267" s="22"/>
      <c r="C2267" s="21"/>
      <c r="W2267" s="22"/>
      <c r="X2267" s="22"/>
    </row>
    <row r="2268" spans="2:24" x14ac:dyDescent="0.25">
      <c r="B2268" s="22"/>
      <c r="C2268" s="21"/>
      <c r="W2268" s="22"/>
      <c r="X2268" s="22"/>
    </row>
    <row r="2269" spans="2:24" x14ac:dyDescent="0.25">
      <c r="B2269" s="22"/>
      <c r="C2269" s="21"/>
      <c r="W2269" s="22"/>
      <c r="X2269" s="22"/>
    </row>
    <row r="2270" spans="2:24" x14ac:dyDescent="0.25">
      <c r="B2270" s="22"/>
      <c r="C2270" s="21"/>
      <c r="W2270" s="22"/>
      <c r="X2270" s="22"/>
    </row>
    <row r="2271" spans="2:24" x14ac:dyDescent="0.25">
      <c r="B2271" s="22"/>
      <c r="C2271" s="21"/>
      <c r="W2271" s="22"/>
      <c r="X2271" s="22"/>
    </row>
    <row r="2272" spans="2:24" x14ac:dyDescent="0.25">
      <c r="B2272" s="22"/>
      <c r="C2272" s="21"/>
      <c r="W2272" s="22"/>
      <c r="X2272" s="22"/>
    </row>
    <row r="2273" spans="2:24" x14ac:dyDescent="0.25">
      <c r="B2273" s="22"/>
      <c r="C2273" s="21"/>
      <c r="W2273" s="22"/>
      <c r="X2273" s="22"/>
    </row>
    <row r="2274" spans="2:24" x14ac:dyDescent="0.25">
      <c r="B2274" s="22"/>
      <c r="C2274" s="21"/>
      <c r="W2274" s="22"/>
      <c r="X2274" s="22"/>
    </row>
    <row r="2275" spans="2:24" x14ac:dyDescent="0.25">
      <c r="B2275" s="22"/>
      <c r="C2275" s="21"/>
      <c r="W2275" s="22"/>
      <c r="X2275" s="22"/>
    </row>
    <row r="2276" spans="2:24" x14ac:dyDescent="0.25">
      <c r="B2276" s="22"/>
      <c r="C2276" s="21"/>
      <c r="W2276" s="22"/>
      <c r="X2276" s="22"/>
    </row>
    <row r="2277" spans="2:24" x14ac:dyDescent="0.25">
      <c r="B2277" s="22"/>
      <c r="C2277" s="21"/>
      <c r="W2277" s="22"/>
      <c r="X2277" s="22"/>
    </row>
    <row r="2278" spans="2:24" x14ac:dyDescent="0.25">
      <c r="B2278" s="22"/>
      <c r="C2278" s="21"/>
      <c r="G2278" s="23"/>
      <c r="W2278" s="22"/>
    </row>
    <row r="2279" spans="2:24" x14ac:dyDescent="0.25">
      <c r="B2279" s="22"/>
      <c r="C2279" s="21"/>
      <c r="W2279" s="22"/>
      <c r="X2279" s="22"/>
    </row>
    <row r="2280" spans="2:24" x14ac:dyDescent="0.25">
      <c r="B2280" s="22"/>
      <c r="C2280" s="21"/>
      <c r="W2280" s="22"/>
      <c r="X2280" s="22"/>
    </row>
    <row r="2281" spans="2:24" x14ac:dyDescent="0.25">
      <c r="B2281" s="22"/>
      <c r="C2281" s="21"/>
      <c r="W2281" s="22"/>
      <c r="X2281" s="22"/>
    </row>
    <row r="2282" spans="2:24" x14ac:dyDescent="0.25">
      <c r="B2282" s="22"/>
      <c r="C2282" s="21"/>
      <c r="W2282" s="22"/>
      <c r="X2282" s="22"/>
    </row>
    <row r="2283" spans="2:24" x14ac:dyDescent="0.25">
      <c r="B2283" s="22"/>
      <c r="C2283" s="21"/>
      <c r="W2283" s="22"/>
      <c r="X2283" s="22"/>
    </row>
    <row r="2284" spans="2:24" x14ac:dyDescent="0.25">
      <c r="B2284" s="22"/>
      <c r="C2284" s="21"/>
      <c r="W2284" s="22"/>
      <c r="X2284" s="22"/>
    </row>
    <row r="2285" spans="2:24" x14ac:dyDescent="0.25">
      <c r="B2285" s="22"/>
      <c r="C2285" s="21"/>
      <c r="W2285" s="22"/>
      <c r="X2285" s="22"/>
    </row>
    <row r="2286" spans="2:24" x14ac:dyDescent="0.25">
      <c r="B2286" s="22"/>
      <c r="C2286" s="21"/>
      <c r="W2286" s="22"/>
      <c r="X2286" s="22"/>
    </row>
    <row r="2287" spans="2:24" x14ac:dyDescent="0.25">
      <c r="B2287" s="22"/>
      <c r="C2287" s="21"/>
      <c r="W2287" s="22"/>
      <c r="X2287" s="22"/>
    </row>
    <row r="2288" spans="2:24" x14ac:dyDescent="0.25">
      <c r="B2288" s="22"/>
      <c r="C2288" s="21"/>
      <c r="W2288" s="22"/>
      <c r="X2288" s="22"/>
    </row>
    <row r="2289" spans="2:24" x14ac:dyDescent="0.25">
      <c r="B2289" s="22"/>
      <c r="C2289" s="21"/>
      <c r="W2289" s="22"/>
      <c r="X2289" s="22"/>
    </row>
    <row r="2290" spans="2:24" x14ac:dyDescent="0.25">
      <c r="B2290" s="22"/>
      <c r="C2290" s="21"/>
      <c r="W2290" s="22"/>
      <c r="X2290" s="22"/>
    </row>
    <row r="2291" spans="2:24" x14ac:dyDescent="0.25">
      <c r="B2291" s="22"/>
      <c r="C2291" s="21"/>
      <c r="W2291" s="22"/>
      <c r="X2291" s="22"/>
    </row>
    <row r="2292" spans="2:24" x14ac:dyDescent="0.25">
      <c r="B2292" s="22"/>
      <c r="C2292" s="21"/>
      <c r="W2292" s="22"/>
      <c r="X2292" s="22"/>
    </row>
    <row r="2293" spans="2:24" x14ac:dyDescent="0.25">
      <c r="B2293" s="22"/>
      <c r="C2293" s="21"/>
      <c r="W2293" s="22"/>
      <c r="X2293" s="22"/>
    </row>
    <row r="2294" spans="2:24" x14ac:dyDescent="0.25">
      <c r="B2294" s="22"/>
      <c r="C2294" s="21"/>
      <c r="W2294" s="22"/>
      <c r="X2294" s="22"/>
    </row>
    <row r="2295" spans="2:24" x14ac:dyDescent="0.25">
      <c r="B2295" s="22"/>
      <c r="C2295" s="21"/>
      <c r="W2295" s="22"/>
      <c r="X2295" s="22"/>
    </row>
    <row r="2296" spans="2:24" x14ac:dyDescent="0.25">
      <c r="B2296" s="22"/>
      <c r="C2296" s="21"/>
      <c r="W2296" s="22"/>
      <c r="X2296" s="22"/>
    </row>
    <row r="2297" spans="2:24" x14ac:dyDescent="0.25">
      <c r="B2297" s="22"/>
      <c r="C2297" s="21"/>
      <c r="W2297" s="22"/>
      <c r="X2297" s="22"/>
    </row>
    <row r="2298" spans="2:24" x14ac:dyDescent="0.25">
      <c r="B2298" s="22"/>
      <c r="C2298" s="21"/>
      <c r="W2298" s="22"/>
      <c r="X2298" s="22"/>
    </row>
    <row r="2299" spans="2:24" x14ac:dyDescent="0.25">
      <c r="B2299" s="22"/>
      <c r="C2299" s="21"/>
      <c r="W2299" s="22"/>
      <c r="X2299" s="22"/>
    </row>
    <row r="2300" spans="2:24" x14ac:dyDescent="0.25">
      <c r="B2300" s="22"/>
      <c r="C2300" s="21"/>
      <c r="W2300" s="22"/>
      <c r="X2300" s="22"/>
    </row>
    <row r="2301" spans="2:24" x14ac:dyDescent="0.25">
      <c r="B2301" s="22"/>
      <c r="C2301" s="21"/>
      <c r="W2301" s="22"/>
      <c r="X2301" s="22"/>
    </row>
    <row r="2302" spans="2:24" x14ac:dyDescent="0.25">
      <c r="B2302" s="22"/>
      <c r="C2302" s="21"/>
      <c r="W2302" s="22"/>
      <c r="X2302" s="22"/>
    </row>
    <row r="2303" spans="2:24" x14ac:dyDescent="0.25">
      <c r="B2303" s="22"/>
      <c r="C2303" s="21"/>
      <c r="W2303" s="22"/>
      <c r="X2303" s="22"/>
    </row>
    <row r="2304" spans="2:24" x14ac:dyDescent="0.25">
      <c r="B2304" s="22"/>
      <c r="C2304" s="21"/>
      <c r="W2304" s="22"/>
      <c r="X2304" s="22"/>
    </row>
    <row r="2305" spans="2:24" x14ac:dyDescent="0.25">
      <c r="B2305" s="22"/>
      <c r="C2305" s="21"/>
      <c r="W2305" s="22"/>
      <c r="X2305" s="22"/>
    </row>
    <row r="2306" spans="2:24" x14ac:dyDescent="0.25">
      <c r="B2306" s="22"/>
      <c r="C2306" s="21"/>
      <c r="W2306" s="22"/>
      <c r="X2306" s="22"/>
    </row>
    <row r="2307" spans="2:24" x14ac:dyDescent="0.25">
      <c r="B2307" s="22"/>
      <c r="C2307" s="21"/>
      <c r="W2307" s="22"/>
      <c r="X2307" s="22"/>
    </row>
    <row r="2308" spans="2:24" x14ac:dyDescent="0.25">
      <c r="B2308" s="22"/>
      <c r="C2308" s="21"/>
      <c r="W2308" s="22"/>
      <c r="X2308" s="22"/>
    </row>
    <row r="2309" spans="2:24" x14ac:dyDescent="0.25">
      <c r="B2309" s="22"/>
      <c r="C2309" s="21"/>
      <c r="W2309" s="22"/>
      <c r="X2309" s="22"/>
    </row>
    <row r="2310" spans="2:24" x14ac:dyDescent="0.25">
      <c r="B2310" s="22"/>
      <c r="C2310" s="21"/>
      <c r="W2310" s="22"/>
      <c r="X2310" s="22"/>
    </row>
    <row r="2311" spans="2:24" x14ac:dyDescent="0.25">
      <c r="B2311" s="22"/>
      <c r="C2311" s="21"/>
      <c r="W2311" s="22"/>
      <c r="X2311" s="22"/>
    </row>
    <row r="2312" spans="2:24" x14ac:dyDescent="0.25">
      <c r="B2312" s="22"/>
      <c r="C2312" s="21"/>
      <c r="W2312" s="22"/>
      <c r="X2312" s="22"/>
    </row>
    <row r="2313" spans="2:24" x14ac:dyDescent="0.25">
      <c r="B2313" s="22"/>
      <c r="C2313" s="21"/>
      <c r="W2313" s="22"/>
      <c r="X2313" s="22"/>
    </row>
    <row r="2314" spans="2:24" x14ac:dyDescent="0.25">
      <c r="B2314" s="22"/>
      <c r="C2314" s="21"/>
      <c r="W2314" s="22"/>
      <c r="X2314" s="22"/>
    </row>
    <row r="2315" spans="2:24" x14ac:dyDescent="0.25">
      <c r="B2315" s="22"/>
      <c r="C2315" s="21"/>
      <c r="W2315" s="22"/>
      <c r="X2315" s="22"/>
    </row>
    <row r="2316" spans="2:24" x14ac:dyDescent="0.25">
      <c r="B2316" s="22"/>
      <c r="C2316" s="21"/>
      <c r="W2316" s="22"/>
      <c r="X2316" s="22"/>
    </row>
    <row r="2317" spans="2:24" x14ac:dyDescent="0.25">
      <c r="B2317" s="22"/>
      <c r="C2317" s="21"/>
      <c r="W2317" s="22"/>
      <c r="X2317" s="22"/>
    </row>
    <row r="2318" spans="2:24" x14ac:dyDescent="0.25">
      <c r="B2318" s="22"/>
      <c r="C2318" s="21"/>
      <c r="W2318" s="22"/>
      <c r="X2318" s="22"/>
    </row>
    <row r="2319" spans="2:24" x14ac:dyDescent="0.25">
      <c r="B2319" s="22"/>
      <c r="C2319" s="21"/>
      <c r="W2319" s="22"/>
      <c r="X2319" s="22"/>
    </row>
    <row r="2320" spans="2:24" x14ac:dyDescent="0.25">
      <c r="B2320" s="22"/>
      <c r="C2320" s="21"/>
      <c r="W2320" s="22"/>
      <c r="X2320" s="22"/>
    </row>
    <row r="2321" spans="2:24" x14ac:dyDescent="0.25">
      <c r="B2321" s="22"/>
      <c r="C2321" s="21"/>
      <c r="W2321" s="22"/>
      <c r="X2321" s="22"/>
    </row>
    <row r="2322" spans="2:24" x14ac:dyDescent="0.25">
      <c r="B2322" s="22"/>
      <c r="C2322" s="21"/>
      <c r="W2322" s="22"/>
      <c r="X2322" s="22"/>
    </row>
    <row r="2323" spans="2:24" x14ac:dyDescent="0.25">
      <c r="B2323" s="22"/>
      <c r="C2323" s="21"/>
      <c r="W2323" s="22"/>
      <c r="X2323" s="22"/>
    </row>
    <row r="2324" spans="2:24" x14ac:dyDescent="0.25">
      <c r="B2324" s="22"/>
      <c r="C2324" s="21"/>
      <c r="W2324" s="22"/>
      <c r="X2324" s="22"/>
    </row>
    <row r="2325" spans="2:24" x14ac:dyDescent="0.25">
      <c r="B2325" s="22"/>
      <c r="C2325" s="21"/>
      <c r="W2325" s="22"/>
      <c r="X2325" s="22"/>
    </row>
    <row r="2326" spans="2:24" x14ac:dyDescent="0.25">
      <c r="B2326" s="22"/>
      <c r="C2326" s="21"/>
      <c r="W2326" s="22"/>
      <c r="X2326" s="22"/>
    </row>
    <row r="2327" spans="2:24" x14ac:dyDescent="0.25">
      <c r="B2327" s="22"/>
      <c r="C2327" s="21"/>
      <c r="W2327" s="22"/>
      <c r="X2327" s="22"/>
    </row>
    <row r="2328" spans="2:24" x14ac:dyDescent="0.25">
      <c r="B2328" s="22"/>
      <c r="C2328" s="21"/>
      <c r="W2328" s="22"/>
      <c r="X2328" s="22"/>
    </row>
    <row r="2329" spans="2:24" x14ac:dyDescent="0.25">
      <c r="B2329" s="22"/>
      <c r="C2329" s="21"/>
      <c r="W2329" s="22"/>
      <c r="X2329" s="22"/>
    </row>
    <row r="2330" spans="2:24" x14ac:dyDescent="0.25">
      <c r="B2330" s="22"/>
      <c r="C2330" s="21"/>
      <c r="W2330" s="22"/>
      <c r="X2330" s="22"/>
    </row>
    <row r="2331" spans="2:24" x14ac:dyDescent="0.25">
      <c r="B2331" s="22"/>
      <c r="C2331" s="21"/>
      <c r="W2331" s="22"/>
      <c r="X2331" s="22"/>
    </row>
    <row r="2332" spans="2:24" x14ac:dyDescent="0.25">
      <c r="B2332" s="22"/>
      <c r="C2332" s="21"/>
      <c r="W2332" s="22"/>
      <c r="X2332" s="22"/>
    </row>
    <row r="2333" spans="2:24" x14ac:dyDescent="0.25">
      <c r="B2333" s="22"/>
      <c r="C2333" s="21"/>
      <c r="W2333" s="22"/>
      <c r="X2333" s="22"/>
    </row>
    <row r="2334" spans="2:24" x14ac:dyDescent="0.25">
      <c r="B2334" s="22"/>
      <c r="C2334" s="21"/>
      <c r="W2334" s="22"/>
      <c r="X2334" s="22"/>
    </row>
    <row r="2335" spans="2:24" x14ac:dyDescent="0.25">
      <c r="B2335" s="22"/>
      <c r="C2335" s="21"/>
      <c r="W2335" s="22"/>
      <c r="X2335" s="22"/>
    </row>
    <row r="2336" spans="2:24" x14ac:dyDescent="0.25">
      <c r="B2336" s="22"/>
      <c r="C2336" s="21"/>
      <c r="W2336" s="22"/>
      <c r="X2336" s="22"/>
    </row>
    <row r="2337" spans="2:24" x14ac:dyDescent="0.25">
      <c r="B2337" s="22"/>
      <c r="C2337" s="21"/>
      <c r="W2337" s="22"/>
      <c r="X2337" s="22"/>
    </row>
    <row r="2338" spans="2:24" x14ac:dyDescent="0.25">
      <c r="B2338" s="22"/>
      <c r="C2338" s="21"/>
      <c r="W2338" s="22"/>
      <c r="X2338" s="22"/>
    </row>
    <row r="2339" spans="2:24" x14ac:dyDescent="0.25">
      <c r="B2339" s="22"/>
      <c r="C2339" s="21"/>
      <c r="W2339" s="22"/>
      <c r="X2339" s="22"/>
    </row>
    <row r="2340" spans="2:24" x14ac:dyDescent="0.25">
      <c r="B2340" s="22"/>
      <c r="C2340" s="21"/>
      <c r="W2340" s="22"/>
      <c r="X2340" s="22"/>
    </row>
    <row r="2341" spans="2:24" x14ac:dyDescent="0.25">
      <c r="B2341" s="22"/>
      <c r="C2341" s="21"/>
      <c r="W2341" s="22"/>
      <c r="X2341" s="22"/>
    </row>
    <row r="2342" spans="2:24" x14ac:dyDescent="0.25">
      <c r="B2342" s="22"/>
      <c r="C2342" s="21"/>
      <c r="W2342" s="22"/>
      <c r="X2342" s="22"/>
    </row>
    <row r="2343" spans="2:24" x14ac:dyDescent="0.25">
      <c r="B2343" s="22"/>
      <c r="C2343" s="21"/>
      <c r="W2343" s="22"/>
      <c r="X2343" s="22"/>
    </row>
    <row r="2344" spans="2:24" x14ac:dyDescent="0.25">
      <c r="B2344" s="22"/>
      <c r="C2344" s="21"/>
      <c r="W2344" s="22"/>
      <c r="X2344" s="22"/>
    </row>
    <row r="2345" spans="2:24" x14ac:dyDescent="0.25">
      <c r="B2345" s="22"/>
      <c r="C2345" s="21"/>
      <c r="W2345" s="22"/>
      <c r="X2345" s="22"/>
    </row>
    <row r="2346" spans="2:24" x14ac:dyDescent="0.25">
      <c r="B2346" s="22"/>
      <c r="C2346" s="21"/>
      <c r="W2346" s="22"/>
      <c r="X2346" s="22"/>
    </row>
    <row r="2347" spans="2:24" x14ac:dyDescent="0.25">
      <c r="B2347" s="22"/>
      <c r="C2347" s="21"/>
      <c r="W2347" s="22"/>
      <c r="X2347" s="22"/>
    </row>
    <row r="2348" spans="2:24" x14ac:dyDescent="0.25">
      <c r="B2348" s="22"/>
      <c r="C2348" s="21"/>
      <c r="W2348" s="22"/>
      <c r="X2348" s="22"/>
    </row>
    <row r="2349" spans="2:24" x14ac:dyDescent="0.25">
      <c r="B2349" s="22"/>
      <c r="C2349" s="21"/>
      <c r="W2349" s="22"/>
      <c r="X2349" s="22"/>
    </row>
    <row r="2350" spans="2:24" x14ac:dyDescent="0.25">
      <c r="B2350" s="22"/>
      <c r="C2350" s="21"/>
      <c r="W2350" s="22"/>
      <c r="X2350" s="22"/>
    </row>
    <row r="2351" spans="2:24" x14ac:dyDescent="0.25">
      <c r="B2351" s="22"/>
      <c r="C2351" s="21"/>
      <c r="W2351" s="22"/>
      <c r="X2351" s="22"/>
    </row>
    <row r="2352" spans="2:24" x14ac:dyDescent="0.25">
      <c r="B2352" s="22"/>
      <c r="C2352" s="21"/>
      <c r="W2352" s="22"/>
      <c r="X2352" s="22"/>
    </row>
    <row r="2353" spans="2:24" x14ac:dyDescent="0.25">
      <c r="B2353" s="22"/>
      <c r="C2353" s="21"/>
      <c r="W2353" s="22"/>
      <c r="X2353" s="22"/>
    </row>
    <row r="2354" spans="2:24" x14ac:dyDescent="0.25">
      <c r="B2354" s="22"/>
      <c r="C2354" s="21"/>
      <c r="W2354" s="22"/>
      <c r="X2354" s="22"/>
    </row>
    <row r="2355" spans="2:24" x14ac:dyDescent="0.25">
      <c r="B2355" s="22"/>
      <c r="C2355" s="21"/>
      <c r="W2355" s="22"/>
      <c r="X2355" s="22"/>
    </row>
    <row r="2356" spans="2:24" x14ac:dyDescent="0.25">
      <c r="B2356" s="22"/>
      <c r="C2356" s="21"/>
      <c r="W2356" s="22"/>
      <c r="X2356" s="22"/>
    </row>
    <row r="2357" spans="2:24" x14ac:dyDescent="0.25">
      <c r="B2357" s="22"/>
      <c r="C2357" s="21"/>
      <c r="W2357" s="22"/>
      <c r="X2357" s="22"/>
    </row>
    <row r="2358" spans="2:24" x14ac:dyDescent="0.25">
      <c r="B2358" s="22"/>
      <c r="C2358" s="21"/>
      <c r="W2358" s="22"/>
      <c r="X2358" s="22"/>
    </row>
    <row r="2359" spans="2:24" x14ac:dyDescent="0.25">
      <c r="B2359" s="22"/>
      <c r="C2359" s="21"/>
      <c r="W2359" s="22"/>
      <c r="X2359" s="22"/>
    </row>
    <row r="2360" spans="2:24" x14ac:dyDescent="0.25">
      <c r="B2360" s="22"/>
      <c r="C2360" s="21"/>
      <c r="W2360" s="22"/>
      <c r="X2360" s="22"/>
    </row>
    <row r="2361" spans="2:24" x14ac:dyDescent="0.25">
      <c r="B2361" s="22"/>
      <c r="C2361" s="21"/>
      <c r="W2361" s="22"/>
      <c r="X2361" s="22"/>
    </row>
    <row r="2362" spans="2:24" x14ac:dyDescent="0.25">
      <c r="B2362" s="22"/>
      <c r="C2362" s="21"/>
      <c r="W2362" s="22"/>
      <c r="X2362" s="22"/>
    </row>
    <row r="2363" spans="2:24" x14ac:dyDescent="0.25">
      <c r="B2363" s="22"/>
      <c r="C2363" s="21"/>
      <c r="W2363" s="22"/>
      <c r="X2363" s="22"/>
    </row>
    <row r="2364" spans="2:24" x14ac:dyDescent="0.25">
      <c r="B2364" s="22"/>
      <c r="C2364" s="21"/>
      <c r="W2364" s="22"/>
      <c r="X2364" s="22"/>
    </row>
    <row r="2365" spans="2:24" x14ac:dyDescent="0.25">
      <c r="B2365" s="22"/>
      <c r="C2365" s="21"/>
      <c r="W2365" s="22"/>
      <c r="X2365" s="22"/>
    </row>
    <row r="2366" spans="2:24" x14ac:dyDescent="0.25">
      <c r="B2366" s="22"/>
      <c r="C2366" s="21"/>
      <c r="W2366" s="22"/>
      <c r="X2366" s="22"/>
    </row>
    <row r="2367" spans="2:24" x14ac:dyDescent="0.25">
      <c r="B2367" s="22"/>
      <c r="C2367" s="21"/>
      <c r="W2367" s="22"/>
      <c r="X2367" s="22"/>
    </row>
    <row r="2368" spans="2:24" x14ac:dyDescent="0.25">
      <c r="B2368" s="22"/>
      <c r="C2368" s="21"/>
      <c r="W2368" s="22"/>
      <c r="X2368" s="22"/>
    </row>
    <row r="2369" spans="2:24" x14ac:dyDescent="0.25">
      <c r="B2369" s="22"/>
      <c r="C2369" s="21"/>
      <c r="W2369" s="22"/>
      <c r="X2369" s="22"/>
    </row>
    <row r="2370" spans="2:24" x14ac:dyDescent="0.25">
      <c r="B2370" s="22"/>
      <c r="C2370" s="21"/>
      <c r="W2370" s="22"/>
      <c r="X2370" s="22"/>
    </row>
    <row r="2371" spans="2:24" x14ac:dyDescent="0.25">
      <c r="B2371" s="22"/>
      <c r="C2371" s="21"/>
      <c r="W2371" s="22"/>
      <c r="X2371" s="22"/>
    </row>
    <row r="2372" spans="2:24" x14ac:dyDescent="0.25">
      <c r="B2372" s="22"/>
      <c r="C2372" s="21"/>
      <c r="W2372" s="22"/>
      <c r="X2372" s="22"/>
    </row>
    <row r="2373" spans="2:24" x14ac:dyDescent="0.25">
      <c r="B2373" s="22"/>
      <c r="C2373" s="21"/>
      <c r="W2373" s="22"/>
      <c r="X2373" s="22"/>
    </row>
    <row r="2374" spans="2:24" x14ac:dyDescent="0.25">
      <c r="B2374" s="22"/>
      <c r="C2374" s="21"/>
      <c r="W2374" s="22"/>
      <c r="X2374" s="22"/>
    </row>
    <row r="2375" spans="2:24" x14ac:dyDescent="0.25">
      <c r="B2375" s="22"/>
      <c r="C2375" s="21"/>
      <c r="W2375" s="22"/>
      <c r="X2375" s="22"/>
    </row>
    <row r="2376" spans="2:24" x14ac:dyDescent="0.25">
      <c r="B2376" s="22"/>
      <c r="C2376" s="21"/>
      <c r="W2376" s="22"/>
      <c r="X2376" s="22"/>
    </row>
    <row r="2377" spans="2:24" x14ac:dyDescent="0.25">
      <c r="B2377" s="22"/>
      <c r="C2377" s="21"/>
      <c r="W2377" s="22"/>
      <c r="X2377" s="22"/>
    </row>
    <row r="2378" spans="2:24" x14ac:dyDescent="0.25">
      <c r="B2378" s="22"/>
      <c r="C2378" s="21"/>
      <c r="W2378" s="22"/>
      <c r="X2378" s="22"/>
    </row>
    <row r="2379" spans="2:24" x14ac:dyDescent="0.25">
      <c r="B2379" s="22"/>
      <c r="C2379" s="21"/>
      <c r="W2379" s="22"/>
      <c r="X2379" s="22"/>
    </row>
    <row r="2380" spans="2:24" x14ac:dyDescent="0.25">
      <c r="B2380" s="22"/>
      <c r="C2380" s="21"/>
      <c r="W2380" s="22"/>
      <c r="X2380" s="22"/>
    </row>
    <row r="2381" spans="2:24" x14ac:dyDescent="0.25">
      <c r="B2381" s="22"/>
      <c r="C2381" s="21"/>
      <c r="W2381" s="22"/>
      <c r="X2381" s="22"/>
    </row>
    <row r="2382" spans="2:24" x14ac:dyDescent="0.25">
      <c r="B2382" s="22"/>
      <c r="C2382" s="21"/>
      <c r="W2382" s="22"/>
      <c r="X2382" s="22"/>
    </row>
    <row r="2383" spans="2:24" x14ac:dyDescent="0.25">
      <c r="B2383" s="22"/>
      <c r="C2383" s="21"/>
      <c r="W2383" s="22"/>
      <c r="X2383" s="22"/>
    </row>
    <row r="2384" spans="2:24" x14ac:dyDescent="0.25">
      <c r="B2384" s="22"/>
      <c r="C2384" s="21"/>
      <c r="W2384" s="22"/>
      <c r="X2384" s="22"/>
    </row>
    <row r="2385" spans="2:24" x14ac:dyDescent="0.25">
      <c r="B2385" s="22"/>
      <c r="C2385" s="21"/>
      <c r="W2385" s="22"/>
      <c r="X2385" s="22"/>
    </row>
    <row r="2386" spans="2:24" x14ac:dyDescent="0.25">
      <c r="B2386" s="22"/>
      <c r="C2386" s="21"/>
      <c r="W2386" s="22"/>
      <c r="X2386" s="22"/>
    </row>
    <row r="2387" spans="2:24" x14ac:dyDescent="0.25">
      <c r="B2387" s="22"/>
      <c r="C2387" s="21"/>
      <c r="W2387" s="22"/>
      <c r="X2387" s="22"/>
    </row>
    <row r="2388" spans="2:24" x14ac:dyDescent="0.25">
      <c r="B2388" s="22"/>
      <c r="C2388" s="21"/>
      <c r="W2388" s="22"/>
      <c r="X2388" s="22"/>
    </row>
    <row r="2389" spans="2:24" x14ac:dyDescent="0.25">
      <c r="B2389" s="22"/>
      <c r="C2389" s="21"/>
      <c r="W2389" s="22"/>
      <c r="X2389" s="22"/>
    </row>
    <row r="2390" spans="2:24" x14ac:dyDescent="0.25">
      <c r="B2390" s="22"/>
      <c r="C2390" s="21"/>
      <c r="W2390" s="22"/>
      <c r="X2390" s="22"/>
    </row>
    <row r="2391" spans="2:24" x14ac:dyDescent="0.25">
      <c r="B2391" s="22"/>
      <c r="C2391" s="21"/>
      <c r="W2391" s="22"/>
      <c r="X2391" s="22"/>
    </row>
    <row r="2392" spans="2:24" x14ac:dyDescent="0.25">
      <c r="B2392" s="22"/>
      <c r="C2392" s="21"/>
      <c r="W2392" s="22"/>
      <c r="X2392" s="22"/>
    </row>
    <row r="2393" spans="2:24" x14ac:dyDescent="0.25">
      <c r="B2393" s="22"/>
      <c r="C2393" s="21"/>
      <c r="W2393" s="22"/>
      <c r="X2393" s="22"/>
    </row>
    <row r="2394" spans="2:24" x14ac:dyDescent="0.25">
      <c r="B2394" s="22"/>
      <c r="C2394" s="21"/>
      <c r="W2394" s="22"/>
      <c r="X2394" s="22"/>
    </row>
    <row r="2395" spans="2:24" x14ac:dyDescent="0.25">
      <c r="B2395" s="22"/>
      <c r="C2395" s="21"/>
      <c r="W2395" s="22"/>
      <c r="X2395" s="22"/>
    </row>
    <row r="2396" spans="2:24" x14ac:dyDescent="0.25">
      <c r="B2396" s="22"/>
      <c r="C2396" s="21"/>
      <c r="W2396" s="22"/>
      <c r="X2396" s="22"/>
    </row>
    <row r="2397" spans="2:24" x14ac:dyDescent="0.25">
      <c r="B2397" s="22"/>
      <c r="C2397" s="21"/>
      <c r="W2397" s="22"/>
      <c r="X2397" s="22"/>
    </row>
    <row r="2398" spans="2:24" x14ac:dyDescent="0.25">
      <c r="B2398" s="22"/>
      <c r="C2398" s="21"/>
      <c r="W2398" s="22"/>
      <c r="X2398" s="22"/>
    </row>
    <row r="2399" spans="2:24" x14ac:dyDescent="0.25">
      <c r="B2399" s="22"/>
      <c r="C2399" s="21"/>
      <c r="W2399" s="22"/>
      <c r="X2399" s="22"/>
    </row>
    <row r="2400" spans="2:24" x14ac:dyDescent="0.25">
      <c r="B2400" s="22"/>
      <c r="C2400" s="21"/>
      <c r="W2400" s="22"/>
      <c r="X2400" s="22"/>
    </row>
    <row r="2401" spans="2:24" x14ac:dyDescent="0.25">
      <c r="B2401" s="22"/>
      <c r="C2401" s="21"/>
      <c r="W2401" s="22"/>
      <c r="X2401" s="22"/>
    </row>
    <row r="2402" spans="2:24" x14ac:dyDescent="0.25">
      <c r="B2402" s="22"/>
      <c r="C2402" s="21"/>
      <c r="W2402" s="22"/>
      <c r="X2402" s="22"/>
    </row>
    <row r="2403" spans="2:24" x14ac:dyDescent="0.25">
      <c r="B2403" s="22"/>
      <c r="C2403" s="21"/>
      <c r="W2403" s="22"/>
      <c r="X2403" s="22"/>
    </row>
    <row r="2404" spans="2:24" x14ac:dyDescent="0.25">
      <c r="B2404" s="22"/>
      <c r="C2404" s="21"/>
      <c r="W2404" s="22"/>
      <c r="X2404" s="22"/>
    </row>
    <row r="2405" spans="2:24" x14ac:dyDescent="0.25">
      <c r="B2405" s="22"/>
      <c r="C2405" s="21"/>
      <c r="W2405" s="22"/>
      <c r="X2405" s="22"/>
    </row>
    <row r="2406" spans="2:24" x14ac:dyDescent="0.25">
      <c r="B2406" s="22"/>
      <c r="C2406" s="21"/>
      <c r="W2406" s="22"/>
      <c r="X2406" s="22"/>
    </row>
    <row r="2407" spans="2:24" x14ac:dyDescent="0.25">
      <c r="B2407" s="22"/>
      <c r="C2407" s="21"/>
      <c r="W2407" s="22"/>
      <c r="X2407" s="22"/>
    </row>
    <row r="2408" spans="2:24" x14ac:dyDescent="0.25">
      <c r="B2408" s="22"/>
      <c r="C2408" s="21"/>
      <c r="W2408" s="22"/>
      <c r="X2408" s="22"/>
    </row>
    <row r="2409" spans="2:24" x14ac:dyDescent="0.25">
      <c r="B2409" s="22"/>
      <c r="C2409" s="21"/>
      <c r="W2409" s="22"/>
      <c r="X2409" s="22"/>
    </row>
    <row r="2410" spans="2:24" x14ac:dyDescent="0.25">
      <c r="B2410" s="22"/>
      <c r="C2410" s="21"/>
      <c r="W2410" s="22"/>
      <c r="X2410" s="22"/>
    </row>
    <row r="2411" spans="2:24" x14ac:dyDescent="0.25">
      <c r="B2411" s="22"/>
      <c r="C2411" s="21"/>
      <c r="W2411" s="22"/>
      <c r="X2411" s="22"/>
    </row>
    <row r="2412" spans="2:24" x14ac:dyDescent="0.25">
      <c r="B2412" s="22"/>
      <c r="C2412" s="21"/>
      <c r="W2412" s="22"/>
      <c r="X2412" s="22"/>
    </row>
    <row r="2413" spans="2:24" x14ac:dyDescent="0.25">
      <c r="B2413" s="22"/>
      <c r="C2413" s="21"/>
      <c r="W2413" s="22"/>
      <c r="X2413" s="22"/>
    </row>
    <row r="2414" spans="2:24" x14ac:dyDescent="0.25">
      <c r="B2414" s="22"/>
      <c r="C2414" s="21"/>
      <c r="W2414" s="22"/>
      <c r="X2414" s="22"/>
    </row>
    <row r="2415" spans="2:24" x14ac:dyDescent="0.25">
      <c r="B2415" s="22"/>
      <c r="C2415" s="21"/>
      <c r="W2415" s="22"/>
      <c r="X2415" s="22"/>
    </row>
    <row r="2416" spans="2:24" x14ac:dyDescent="0.25">
      <c r="B2416" s="22"/>
      <c r="C2416" s="21"/>
      <c r="W2416" s="22"/>
      <c r="X2416" s="22"/>
    </row>
    <row r="2417" spans="2:24" x14ac:dyDescent="0.25">
      <c r="B2417" s="22"/>
      <c r="C2417" s="21"/>
      <c r="W2417" s="22"/>
      <c r="X2417" s="22"/>
    </row>
    <row r="2418" spans="2:24" x14ac:dyDescent="0.25">
      <c r="B2418" s="22"/>
      <c r="C2418" s="21"/>
      <c r="W2418" s="22"/>
      <c r="X2418" s="22"/>
    </row>
    <row r="2419" spans="2:24" x14ac:dyDescent="0.25">
      <c r="B2419" s="22"/>
      <c r="C2419" s="21"/>
      <c r="W2419" s="22"/>
      <c r="X2419" s="22"/>
    </row>
    <row r="2420" spans="2:24" x14ac:dyDescent="0.25">
      <c r="B2420" s="22"/>
      <c r="C2420" s="21"/>
      <c r="W2420" s="22"/>
      <c r="X2420" s="22"/>
    </row>
    <row r="2421" spans="2:24" x14ac:dyDescent="0.25">
      <c r="B2421" s="22"/>
      <c r="C2421" s="21"/>
      <c r="W2421" s="22"/>
      <c r="X2421" s="22"/>
    </row>
    <row r="2422" spans="2:24" x14ac:dyDescent="0.25">
      <c r="B2422" s="22"/>
      <c r="C2422" s="21"/>
      <c r="W2422" s="22"/>
      <c r="X2422" s="22"/>
    </row>
    <row r="2423" spans="2:24" x14ac:dyDescent="0.25">
      <c r="B2423" s="22"/>
      <c r="C2423" s="21"/>
      <c r="W2423" s="22"/>
      <c r="X2423" s="22"/>
    </row>
    <row r="2424" spans="2:24" x14ac:dyDescent="0.25">
      <c r="B2424" s="22"/>
      <c r="C2424" s="21"/>
      <c r="W2424" s="22"/>
      <c r="X2424" s="22"/>
    </row>
    <row r="2425" spans="2:24" x14ac:dyDescent="0.25">
      <c r="B2425" s="22"/>
      <c r="C2425" s="21"/>
      <c r="W2425" s="22"/>
      <c r="X2425" s="22"/>
    </row>
    <row r="2426" spans="2:24" x14ac:dyDescent="0.25">
      <c r="B2426" s="22"/>
      <c r="C2426" s="21"/>
      <c r="W2426" s="22"/>
      <c r="X2426" s="22"/>
    </row>
    <row r="2427" spans="2:24" x14ac:dyDescent="0.25">
      <c r="B2427" s="22"/>
      <c r="C2427" s="21"/>
      <c r="W2427" s="22"/>
      <c r="X2427" s="22"/>
    </row>
    <row r="2428" spans="2:24" x14ac:dyDescent="0.25">
      <c r="B2428" s="22"/>
      <c r="C2428" s="21"/>
      <c r="W2428" s="22"/>
      <c r="X2428" s="22"/>
    </row>
    <row r="2429" spans="2:24" x14ac:dyDescent="0.25">
      <c r="B2429" s="22"/>
      <c r="C2429" s="21"/>
      <c r="W2429" s="22"/>
      <c r="X2429" s="22"/>
    </row>
    <row r="2430" spans="2:24" x14ac:dyDescent="0.25">
      <c r="B2430" s="22"/>
      <c r="C2430" s="21"/>
      <c r="W2430" s="22"/>
      <c r="X2430" s="22"/>
    </row>
    <row r="2431" spans="2:24" x14ac:dyDescent="0.25">
      <c r="B2431" s="22"/>
      <c r="C2431" s="21"/>
      <c r="W2431" s="22"/>
      <c r="X2431" s="22"/>
    </row>
    <row r="2432" spans="2:24" x14ac:dyDescent="0.25">
      <c r="B2432" s="22"/>
      <c r="C2432" s="21"/>
      <c r="W2432" s="22"/>
      <c r="X2432" s="22"/>
    </row>
    <row r="2433" spans="2:24" x14ac:dyDescent="0.25">
      <c r="B2433" s="22"/>
      <c r="C2433" s="21"/>
      <c r="W2433" s="22"/>
      <c r="X2433" s="22"/>
    </row>
    <row r="2434" spans="2:24" x14ac:dyDescent="0.25">
      <c r="B2434" s="22"/>
      <c r="C2434" s="21"/>
      <c r="W2434" s="22"/>
      <c r="X2434" s="22"/>
    </row>
    <row r="2435" spans="2:24" x14ac:dyDescent="0.25">
      <c r="B2435" s="22"/>
      <c r="C2435" s="21"/>
      <c r="W2435" s="22"/>
      <c r="X2435" s="22"/>
    </row>
    <row r="2436" spans="2:24" x14ac:dyDescent="0.25">
      <c r="B2436" s="22"/>
      <c r="C2436" s="21"/>
      <c r="W2436" s="22"/>
      <c r="X2436" s="22"/>
    </row>
    <row r="2437" spans="2:24" x14ac:dyDescent="0.25">
      <c r="B2437" s="22"/>
      <c r="C2437" s="21"/>
      <c r="W2437" s="22"/>
      <c r="X2437" s="22"/>
    </row>
    <row r="2438" spans="2:24" x14ac:dyDescent="0.25">
      <c r="B2438" s="22"/>
      <c r="C2438" s="21"/>
      <c r="W2438" s="22"/>
      <c r="X2438" s="22"/>
    </row>
    <row r="2439" spans="2:24" x14ac:dyDescent="0.25">
      <c r="B2439" s="22"/>
      <c r="C2439" s="21"/>
      <c r="W2439" s="22"/>
      <c r="X2439" s="22"/>
    </row>
    <row r="2440" spans="2:24" x14ac:dyDescent="0.25">
      <c r="B2440" s="22"/>
      <c r="C2440" s="21"/>
      <c r="W2440" s="22"/>
      <c r="X2440" s="22"/>
    </row>
    <row r="2441" spans="2:24" x14ac:dyDescent="0.25">
      <c r="B2441" s="22"/>
      <c r="C2441" s="21"/>
      <c r="W2441" s="22"/>
      <c r="X2441" s="22"/>
    </row>
    <row r="2442" spans="2:24" x14ac:dyDescent="0.25">
      <c r="B2442" s="22"/>
      <c r="C2442" s="21"/>
      <c r="W2442" s="22"/>
      <c r="X2442" s="22"/>
    </row>
    <row r="2443" spans="2:24" x14ac:dyDescent="0.25">
      <c r="B2443" s="22"/>
      <c r="C2443" s="21"/>
      <c r="W2443" s="22"/>
      <c r="X2443" s="22"/>
    </row>
    <row r="2444" spans="2:24" x14ac:dyDescent="0.25">
      <c r="B2444" s="22"/>
      <c r="C2444" s="21"/>
    </row>
    <row r="2445" spans="2:24" x14ac:dyDescent="0.25">
      <c r="B2445" s="22"/>
      <c r="C2445" s="21"/>
      <c r="W2445" s="22"/>
    </row>
    <row r="2446" spans="2:24" x14ac:dyDescent="0.25">
      <c r="B2446" s="22"/>
      <c r="C2446" s="21"/>
      <c r="W2446" s="22"/>
    </row>
    <row r="2447" spans="2:24" x14ac:dyDescent="0.25">
      <c r="B2447" s="22"/>
      <c r="C2447" s="21"/>
      <c r="W2447" s="22"/>
    </row>
    <row r="2448" spans="2:24" x14ac:dyDescent="0.25">
      <c r="B2448" s="22"/>
      <c r="C2448" s="21"/>
      <c r="W2448" s="22"/>
    </row>
    <row r="2449" spans="2:24" x14ac:dyDescent="0.25">
      <c r="B2449" s="22"/>
      <c r="C2449" s="21"/>
      <c r="W2449" s="22"/>
    </row>
    <row r="2450" spans="2:24" x14ac:dyDescent="0.25">
      <c r="B2450" s="22"/>
      <c r="C2450" s="21"/>
      <c r="W2450" s="22"/>
    </row>
    <row r="2451" spans="2:24" x14ac:dyDescent="0.25">
      <c r="B2451" s="22"/>
      <c r="C2451" s="21"/>
    </row>
    <row r="2452" spans="2:24" x14ac:dyDescent="0.25">
      <c r="B2452" s="22"/>
      <c r="C2452" s="21"/>
      <c r="W2452" s="22"/>
    </row>
    <row r="2453" spans="2:24" x14ac:dyDescent="0.25">
      <c r="B2453" s="22"/>
      <c r="C2453" s="21"/>
      <c r="W2453" s="22"/>
    </row>
    <row r="2454" spans="2:24" x14ac:dyDescent="0.25">
      <c r="B2454" s="22"/>
      <c r="C2454" s="21"/>
      <c r="W2454" s="22"/>
    </row>
    <row r="2455" spans="2:24" x14ac:dyDescent="0.25">
      <c r="B2455" s="22"/>
      <c r="C2455" s="21"/>
      <c r="W2455" s="22"/>
    </row>
    <row r="2456" spans="2:24" x14ac:dyDescent="0.25">
      <c r="B2456" s="22"/>
      <c r="C2456" s="21"/>
      <c r="W2456" s="22"/>
    </row>
    <row r="2457" spans="2:24" x14ac:dyDescent="0.25">
      <c r="B2457" s="22"/>
      <c r="C2457" s="21"/>
      <c r="W2457" s="22"/>
    </row>
    <row r="2458" spans="2:24" x14ac:dyDescent="0.25">
      <c r="B2458" s="22"/>
      <c r="C2458" s="21"/>
      <c r="W2458" s="22"/>
    </row>
    <row r="2459" spans="2:24" x14ac:dyDescent="0.25">
      <c r="B2459" s="22"/>
      <c r="C2459" s="21"/>
      <c r="W2459" s="22"/>
    </row>
    <row r="2460" spans="2:24" x14ac:dyDescent="0.25">
      <c r="B2460" s="22"/>
      <c r="C2460" s="21"/>
      <c r="W2460" s="22"/>
    </row>
    <row r="2461" spans="2:24" x14ac:dyDescent="0.25">
      <c r="B2461" s="22"/>
      <c r="C2461" s="21"/>
      <c r="W2461" s="22"/>
    </row>
    <row r="2462" spans="2:24" x14ac:dyDescent="0.25">
      <c r="B2462" s="22"/>
      <c r="C2462" s="21"/>
      <c r="W2462" s="22"/>
    </row>
    <row r="2463" spans="2:24" x14ac:dyDescent="0.25">
      <c r="B2463" s="22"/>
      <c r="C2463" s="21"/>
      <c r="W2463" s="22"/>
    </row>
    <row r="2464" spans="2:24" x14ac:dyDescent="0.25">
      <c r="B2464" s="22"/>
      <c r="C2464" s="21"/>
      <c r="W2464" s="22"/>
      <c r="X2464" s="22"/>
    </row>
    <row r="2465" spans="2:24" x14ac:dyDescent="0.25">
      <c r="B2465" s="22"/>
      <c r="C2465" s="21"/>
      <c r="W2465" s="22"/>
    </row>
    <row r="2466" spans="2:24" x14ac:dyDescent="0.25">
      <c r="B2466" s="22"/>
      <c r="C2466" s="21"/>
      <c r="W2466" s="22"/>
    </row>
    <row r="2467" spans="2:24" x14ac:dyDescent="0.25">
      <c r="B2467" s="22"/>
      <c r="C2467" s="21"/>
      <c r="W2467" s="22"/>
    </row>
    <row r="2468" spans="2:24" x14ac:dyDescent="0.25">
      <c r="B2468" s="22"/>
      <c r="C2468" s="21"/>
      <c r="W2468" s="22"/>
    </row>
    <row r="2469" spans="2:24" x14ac:dyDescent="0.25">
      <c r="B2469" s="22"/>
      <c r="C2469" s="21"/>
    </row>
    <row r="2470" spans="2:24" x14ac:dyDescent="0.25">
      <c r="B2470" s="22"/>
      <c r="C2470" s="21"/>
      <c r="W2470" s="22"/>
      <c r="X2470" s="22"/>
    </row>
    <row r="2471" spans="2:24" x14ac:dyDescent="0.25">
      <c r="B2471" s="22"/>
      <c r="C2471" s="21"/>
      <c r="W2471" s="22"/>
    </row>
    <row r="2472" spans="2:24" x14ac:dyDescent="0.25">
      <c r="B2472" s="22"/>
      <c r="C2472" s="21"/>
      <c r="W2472" s="22"/>
    </row>
    <row r="2473" spans="2:24" x14ac:dyDescent="0.25">
      <c r="B2473" s="22"/>
      <c r="C2473" s="21"/>
      <c r="W2473" s="22"/>
    </row>
    <row r="2474" spans="2:24" x14ac:dyDescent="0.25">
      <c r="B2474" s="22"/>
      <c r="C2474" s="21"/>
    </row>
    <row r="2475" spans="2:24" x14ac:dyDescent="0.25">
      <c r="B2475" s="22"/>
      <c r="C2475" s="21"/>
    </row>
    <row r="2476" spans="2:24" x14ac:dyDescent="0.25">
      <c r="B2476" s="22"/>
      <c r="C2476" s="21"/>
      <c r="W2476" s="22"/>
    </row>
    <row r="2477" spans="2:24" x14ac:dyDescent="0.25">
      <c r="B2477" s="22"/>
      <c r="C2477" s="21"/>
    </row>
    <row r="2478" spans="2:24" x14ac:dyDescent="0.25">
      <c r="B2478" s="22"/>
      <c r="C2478" s="21"/>
    </row>
    <row r="2479" spans="2:24" x14ac:dyDescent="0.25">
      <c r="B2479" s="22"/>
      <c r="C2479" s="21"/>
    </row>
    <row r="2480" spans="2:24" x14ac:dyDescent="0.25">
      <c r="B2480" s="22"/>
      <c r="C2480" s="21"/>
      <c r="W2480" s="22"/>
    </row>
    <row r="2481" spans="2:23" x14ac:dyDescent="0.25">
      <c r="B2481" s="22"/>
      <c r="C2481" s="21"/>
      <c r="W2481" s="22"/>
    </row>
    <row r="2482" spans="2:23" x14ac:dyDescent="0.25">
      <c r="B2482" s="22"/>
      <c r="C2482" s="21"/>
    </row>
    <row r="2483" spans="2:23" x14ac:dyDescent="0.25">
      <c r="B2483" s="22"/>
      <c r="C2483" s="21"/>
    </row>
    <row r="2484" spans="2:23" x14ac:dyDescent="0.25">
      <c r="B2484" s="22"/>
      <c r="C2484" s="21"/>
      <c r="W2484" s="22"/>
    </row>
    <row r="2485" spans="2:23" x14ac:dyDescent="0.25">
      <c r="B2485" s="22"/>
      <c r="C2485" s="21"/>
      <c r="W2485" s="22"/>
    </row>
    <row r="2486" spans="2:23" x14ac:dyDescent="0.25">
      <c r="B2486" s="22"/>
      <c r="C2486" s="21"/>
      <c r="W2486" s="22"/>
    </row>
    <row r="2487" spans="2:23" x14ac:dyDescent="0.25">
      <c r="B2487" s="22"/>
      <c r="C2487" s="21"/>
      <c r="W2487" s="22"/>
    </row>
    <row r="2488" spans="2:23" x14ac:dyDescent="0.25">
      <c r="B2488" s="22"/>
      <c r="C2488" s="21"/>
      <c r="W2488" s="22"/>
    </row>
    <row r="2489" spans="2:23" x14ac:dyDescent="0.25">
      <c r="B2489" s="22"/>
      <c r="C2489" s="21"/>
      <c r="W2489" s="22"/>
    </row>
    <row r="2490" spans="2:23" x14ac:dyDescent="0.25">
      <c r="B2490" s="22"/>
      <c r="C2490" s="21"/>
      <c r="W2490" s="22"/>
    </row>
    <row r="2491" spans="2:23" x14ac:dyDescent="0.25">
      <c r="B2491" s="22"/>
      <c r="C2491" s="21"/>
      <c r="W2491" s="22"/>
    </row>
    <row r="2492" spans="2:23" x14ac:dyDescent="0.25">
      <c r="B2492" s="22"/>
      <c r="C2492" s="21"/>
      <c r="W2492" s="22"/>
    </row>
    <row r="2493" spans="2:23" x14ac:dyDescent="0.25">
      <c r="B2493" s="22"/>
      <c r="C2493" s="21"/>
      <c r="W2493" s="22"/>
    </row>
    <row r="2494" spans="2:23" x14ac:dyDescent="0.25">
      <c r="B2494" s="22"/>
      <c r="C2494" s="21"/>
      <c r="W2494" s="22"/>
    </row>
    <row r="2495" spans="2:23" x14ac:dyDescent="0.25">
      <c r="B2495" s="22"/>
      <c r="C2495" s="21"/>
      <c r="W2495" s="22"/>
    </row>
    <row r="2496" spans="2:23" x14ac:dyDescent="0.25">
      <c r="B2496" s="22"/>
      <c r="C2496" s="21"/>
      <c r="W2496" s="22"/>
    </row>
    <row r="2497" spans="2:24" x14ac:dyDescent="0.25">
      <c r="B2497" s="22"/>
      <c r="C2497" s="21"/>
      <c r="W2497" s="22"/>
    </row>
    <row r="2498" spans="2:24" x14ac:dyDescent="0.25">
      <c r="B2498" s="22"/>
      <c r="C2498" s="21"/>
      <c r="W2498" s="22"/>
      <c r="X2498" s="22"/>
    </row>
    <row r="2499" spans="2:24" x14ac:dyDescent="0.25">
      <c r="B2499" s="22"/>
      <c r="C2499" s="21"/>
      <c r="W2499" s="22"/>
    </row>
    <row r="2500" spans="2:24" x14ac:dyDescent="0.25">
      <c r="B2500" s="22"/>
      <c r="C2500" s="21"/>
      <c r="W2500" s="22"/>
    </row>
    <row r="2501" spans="2:24" x14ac:dyDescent="0.25">
      <c r="B2501" s="22"/>
      <c r="C2501" s="21"/>
    </row>
    <row r="2502" spans="2:24" x14ac:dyDescent="0.25">
      <c r="B2502" s="22"/>
      <c r="C2502" s="21"/>
      <c r="W2502" s="22"/>
    </row>
    <row r="2503" spans="2:24" x14ac:dyDescent="0.25">
      <c r="B2503" s="22"/>
      <c r="C2503" s="21"/>
    </row>
    <row r="2504" spans="2:24" x14ac:dyDescent="0.25">
      <c r="B2504" s="22"/>
      <c r="C2504" s="21"/>
    </row>
    <row r="2505" spans="2:24" x14ac:dyDescent="0.25">
      <c r="B2505" s="22"/>
      <c r="C2505" s="21"/>
      <c r="W2505" s="22"/>
    </row>
    <row r="2506" spans="2:24" x14ac:dyDescent="0.25">
      <c r="B2506" s="22"/>
      <c r="C2506" s="21"/>
    </row>
    <row r="2507" spans="2:24" x14ac:dyDescent="0.25">
      <c r="B2507" s="22"/>
      <c r="C2507" s="21"/>
    </row>
    <row r="2508" spans="2:24" x14ac:dyDescent="0.25">
      <c r="B2508" s="22"/>
      <c r="C2508" s="21"/>
    </row>
    <row r="2509" spans="2:24" x14ac:dyDescent="0.25">
      <c r="B2509" s="22"/>
      <c r="C2509" s="21"/>
    </row>
    <row r="2510" spans="2:24" x14ac:dyDescent="0.25">
      <c r="B2510" s="22"/>
      <c r="C2510" s="21"/>
    </row>
    <row r="2511" spans="2:24" x14ac:dyDescent="0.25">
      <c r="B2511" s="22"/>
      <c r="C2511" s="21"/>
    </row>
    <row r="2512" spans="2:24" x14ac:dyDescent="0.25">
      <c r="B2512" s="22"/>
      <c r="C2512" s="21"/>
    </row>
    <row r="2513" spans="2:24" x14ac:dyDescent="0.25">
      <c r="B2513" s="22"/>
      <c r="C2513" s="21"/>
      <c r="W2513" s="22"/>
    </row>
    <row r="2514" spans="2:24" x14ac:dyDescent="0.25">
      <c r="B2514" s="22"/>
      <c r="C2514" s="21"/>
      <c r="W2514" s="22"/>
      <c r="X2514" s="22"/>
    </row>
    <row r="2515" spans="2:24" x14ac:dyDescent="0.25">
      <c r="B2515" s="22"/>
      <c r="C2515" s="21"/>
    </row>
    <row r="2516" spans="2:24" x14ac:dyDescent="0.25">
      <c r="B2516" s="22"/>
      <c r="C2516" s="21"/>
      <c r="W2516" s="22"/>
    </row>
    <row r="2517" spans="2:24" x14ac:dyDescent="0.25">
      <c r="B2517" s="22"/>
      <c r="C2517" s="21"/>
      <c r="W2517" s="22"/>
    </row>
    <row r="2518" spans="2:24" x14ac:dyDescent="0.25">
      <c r="B2518" s="22"/>
      <c r="C2518" s="21"/>
      <c r="W2518" s="22"/>
    </row>
    <row r="2519" spans="2:24" x14ac:dyDescent="0.25">
      <c r="B2519" s="22"/>
      <c r="C2519" s="21"/>
      <c r="W2519" s="22"/>
    </row>
    <row r="2520" spans="2:24" x14ac:dyDescent="0.25">
      <c r="B2520" s="22"/>
      <c r="C2520" s="21"/>
      <c r="W2520" s="22"/>
    </row>
    <row r="2521" spans="2:24" x14ac:dyDescent="0.25">
      <c r="B2521" s="22"/>
      <c r="C2521" s="21"/>
    </row>
    <row r="2522" spans="2:24" x14ac:dyDescent="0.25">
      <c r="B2522" s="22"/>
      <c r="C2522" s="21"/>
      <c r="W2522" s="22"/>
    </row>
    <row r="2523" spans="2:24" x14ac:dyDescent="0.25">
      <c r="B2523" s="22"/>
      <c r="C2523" s="21"/>
      <c r="W2523" s="22"/>
    </row>
    <row r="2524" spans="2:24" x14ac:dyDescent="0.25">
      <c r="B2524" s="22"/>
      <c r="C2524" s="21"/>
    </row>
    <row r="2525" spans="2:24" x14ac:dyDescent="0.25">
      <c r="B2525" s="22"/>
      <c r="C2525" s="21"/>
      <c r="W2525" s="22"/>
    </row>
    <row r="2526" spans="2:24" x14ac:dyDescent="0.25">
      <c r="B2526" s="22"/>
      <c r="C2526" s="21"/>
      <c r="W2526" s="22"/>
    </row>
    <row r="2527" spans="2:24" x14ac:dyDescent="0.25">
      <c r="B2527" s="22"/>
      <c r="C2527" s="21"/>
      <c r="W2527" s="22"/>
    </row>
    <row r="2528" spans="2:24" x14ac:dyDescent="0.25">
      <c r="B2528" s="22"/>
      <c r="C2528" s="21"/>
      <c r="W2528" s="22"/>
    </row>
    <row r="2529" spans="2:23" x14ac:dyDescent="0.25">
      <c r="B2529" s="22"/>
      <c r="C2529" s="21"/>
    </row>
    <row r="2530" spans="2:23" x14ac:dyDescent="0.25">
      <c r="B2530" s="22"/>
      <c r="C2530" s="21"/>
    </row>
    <row r="2531" spans="2:23" x14ac:dyDescent="0.25">
      <c r="B2531" s="22"/>
      <c r="C2531" s="21"/>
      <c r="W2531" s="22"/>
    </row>
    <row r="2532" spans="2:23" x14ac:dyDescent="0.25">
      <c r="B2532" s="22"/>
      <c r="C2532" s="21"/>
    </row>
    <row r="2533" spans="2:23" x14ac:dyDescent="0.25">
      <c r="B2533" s="22"/>
      <c r="C2533" s="21"/>
    </row>
    <row r="2534" spans="2:23" x14ac:dyDescent="0.25">
      <c r="B2534" s="22"/>
      <c r="C2534" s="21"/>
    </row>
    <row r="2535" spans="2:23" x14ac:dyDescent="0.25">
      <c r="B2535" s="22"/>
      <c r="C2535" s="21"/>
    </row>
    <row r="2536" spans="2:23" x14ac:dyDescent="0.25">
      <c r="B2536" s="22"/>
      <c r="C2536" s="21"/>
    </row>
    <row r="2537" spans="2:23" x14ac:dyDescent="0.25">
      <c r="B2537" s="22"/>
      <c r="C2537" s="21"/>
    </row>
    <row r="2538" spans="2:23" x14ac:dyDescent="0.25">
      <c r="B2538" s="22"/>
      <c r="C2538" s="21"/>
    </row>
    <row r="2539" spans="2:23" x14ac:dyDescent="0.25">
      <c r="B2539" s="22"/>
      <c r="C2539" s="21"/>
      <c r="W2539" s="22"/>
    </row>
    <row r="2540" spans="2:23" x14ac:dyDescent="0.25">
      <c r="B2540" s="22"/>
      <c r="C2540" s="21"/>
    </row>
    <row r="2541" spans="2:23" x14ac:dyDescent="0.25">
      <c r="B2541" s="22"/>
      <c r="C2541" s="21"/>
    </row>
    <row r="2542" spans="2:23" x14ac:dyDescent="0.25">
      <c r="B2542" s="22"/>
      <c r="C2542" s="21"/>
    </row>
    <row r="2543" spans="2:23" x14ac:dyDescent="0.25">
      <c r="B2543" s="22"/>
      <c r="C2543" s="21"/>
    </row>
    <row r="2544" spans="2:23" x14ac:dyDescent="0.25">
      <c r="B2544" s="22"/>
      <c r="C2544" s="21"/>
      <c r="W2544" s="22"/>
    </row>
    <row r="2545" spans="2:24" x14ac:dyDescent="0.25">
      <c r="B2545" s="22"/>
      <c r="C2545" s="21"/>
    </row>
    <row r="2546" spans="2:24" x14ac:dyDescent="0.25">
      <c r="B2546" s="22"/>
      <c r="C2546" s="21"/>
    </row>
    <row r="2547" spans="2:24" x14ac:dyDescent="0.25">
      <c r="B2547" s="22"/>
      <c r="C2547" s="21"/>
    </row>
    <row r="2548" spans="2:24" x14ac:dyDescent="0.25">
      <c r="B2548" s="22"/>
      <c r="C2548" s="21"/>
      <c r="W2548" s="22"/>
      <c r="X2548" s="22"/>
    </row>
    <row r="2549" spans="2:24" x14ac:dyDescent="0.25">
      <c r="B2549" s="22"/>
      <c r="C2549" s="21"/>
      <c r="W2549" s="22"/>
      <c r="X2549" s="22"/>
    </row>
    <row r="2550" spans="2:24" x14ac:dyDescent="0.25">
      <c r="B2550" s="22"/>
      <c r="C2550" s="21"/>
      <c r="W2550" s="22"/>
    </row>
    <row r="2551" spans="2:24" x14ac:dyDescent="0.25">
      <c r="B2551" s="22"/>
      <c r="C2551" s="21"/>
    </row>
    <row r="2552" spans="2:24" x14ac:dyDescent="0.25">
      <c r="B2552" s="22"/>
      <c r="C2552" s="21"/>
    </row>
    <row r="2553" spans="2:24" x14ac:dyDescent="0.25">
      <c r="B2553" s="22"/>
      <c r="C2553" s="21"/>
      <c r="W2553" s="22"/>
    </row>
    <row r="2554" spans="2:24" x14ac:dyDescent="0.25">
      <c r="B2554" s="22"/>
      <c r="C2554" s="21"/>
    </row>
    <row r="2555" spans="2:24" x14ac:dyDescent="0.25">
      <c r="B2555" s="22"/>
      <c r="C2555" s="21"/>
    </row>
    <row r="2556" spans="2:24" x14ac:dyDescent="0.25">
      <c r="B2556" s="22"/>
      <c r="C2556" s="21"/>
    </row>
    <row r="2557" spans="2:24" x14ac:dyDescent="0.25">
      <c r="B2557" s="22"/>
      <c r="C2557" s="21"/>
    </row>
    <row r="2558" spans="2:24" x14ac:dyDescent="0.25">
      <c r="B2558" s="22"/>
      <c r="C2558" s="21"/>
    </row>
    <row r="2559" spans="2:24" x14ac:dyDescent="0.25">
      <c r="B2559" s="22"/>
      <c r="C2559" s="21"/>
      <c r="W2559" s="22"/>
      <c r="X2559" s="22"/>
    </row>
    <row r="2560" spans="2:24" x14ac:dyDescent="0.25">
      <c r="B2560" s="22"/>
      <c r="C2560" s="21"/>
      <c r="W2560" s="22"/>
    </row>
    <row r="2561" spans="2:24" x14ac:dyDescent="0.25">
      <c r="B2561" s="22"/>
      <c r="C2561" s="21"/>
      <c r="W2561" s="22"/>
    </row>
    <row r="2562" spans="2:24" x14ac:dyDescent="0.25">
      <c r="B2562" s="22"/>
      <c r="C2562" s="21"/>
      <c r="W2562" s="22"/>
    </row>
    <row r="2563" spans="2:24" x14ac:dyDescent="0.25">
      <c r="B2563" s="22"/>
      <c r="C2563" s="21"/>
    </row>
    <row r="2564" spans="2:24" x14ac:dyDescent="0.25">
      <c r="B2564" s="22"/>
      <c r="C2564" s="21"/>
    </row>
    <row r="2565" spans="2:24" x14ac:dyDescent="0.25">
      <c r="B2565" s="22"/>
      <c r="C2565" s="21"/>
      <c r="W2565" s="22"/>
    </row>
    <row r="2566" spans="2:24" x14ac:dyDescent="0.25">
      <c r="B2566" s="22"/>
      <c r="C2566" s="21"/>
      <c r="W2566" s="22"/>
    </row>
    <row r="2567" spans="2:24" x14ac:dyDescent="0.25">
      <c r="B2567" s="22"/>
      <c r="C2567" s="21"/>
      <c r="W2567" s="22"/>
      <c r="X2567" s="22"/>
    </row>
    <row r="2568" spans="2:24" x14ac:dyDescent="0.25">
      <c r="B2568" s="22"/>
      <c r="C2568" s="21"/>
    </row>
    <row r="2569" spans="2:24" x14ac:dyDescent="0.25">
      <c r="B2569" s="22"/>
      <c r="C2569" s="21"/>
    </row>
    <row r="2570" spans="2:24" x14ac:dyDescent="0.25">
      <c r="B2570" s="22"/>
      <c r="C2570" s="21"/>
      <c r="W2570" s="22"/>
      <c r="X2570" s="22"/>
    </row>
    <row r="2571" spans="2:24" x14ac:dyDescent="0.25">
      <c r="B2571" s="22"/>
      <c r="C2571" s="21"/>
    </row>
    <row r="2572" spans="2:24" x14ac:dyDescent="0.25">
      <c r="B2572" s="22"/>
      <c r="C2572" s="21"/>
    </row>
    <row r="2573" spans="2:24" x14ac:dyDescent="0.25">
      <c r="B2573" s="22"/>
      <c r="C2573" s="21"/>
      <c r="W2573" s="22"/>
    </row>
    <row r="2574" spans="2:24" x14ac:dyDescent="0.25">
      <c r="B2574" s="22"/>
      <c r="C2574" s="21"/>
      <c r="W2574" s="22"/>
    </row>
    <row r="2575" spans="2:24" x14ac:dyDescent="0.25">
      <c r="B2575" s="22"/>
      <c r="C2575" s="21"/>
      <c r="W2575" s="22"/>
    </row>
    <row r="2576" spans="2:24" x14ac:dyDescent="0.25">
      <c r="B2576" s="22"/>
      <c r="C2576" s="21"/>
    </row>
    <row r="2577" spans="2:24" x14ac:dyDescent="0.25">
      <c r="B2577" s="22"/>
      <c r="C2577" s="21"/>
      <c r="W2577" s="22"/>
      <c r="X2577" s="22"/>
    </row>
    <row r="2578" spans="2:24" x14ac:dyDescent="0.25">
      <c r="B2578" s="22"/>
      <c r="C2578" s="21"/>
    </row>
    <row r="2579" spans="2:24" x14ac:dyDescent="0.25">
      <c r="B2579" s="22"/>
      <c r="C2579" s="21"/>
      <c r="W2579" s="22"/>
    </row>
    <row r="2580" spans="2:24" x14ac:dyDescent="0.25">
      <c r="B2580" s="22"/>
      <c r="C2580" s="21"/>
    </row>
    <row r="2581" spans="2:24" x14ac:dyDescent="0.25">
      <c r="B2581" s="22"/>
      <c r="C2581" s="21"/>
      <c r="W2581" s="22"/>
    </row>
    <row r="2582" spans="2:24" x14ac:dyDescent="0.25">
      <c r="B2582" s="22"/>
      <c r="C2582" s="21"/>
      <c r="W2582" s="22"/>
    </row>
    <row r="2583" spans="2:24" x14ac:dyDescent="0.25">
      <c r="B2583" s="22"/>
      <c r="C2583" s="21"/>
      <c r="W2583" s="22"/>
      <c r="X2583" s="22"/>
    </row>
    <row r="2584" spans="2:24" x14ac:dyDescent="0.25">
      <c r="B2584" s="22"/>
      <c r="C2584" s="21"/>
    </row>
    <row r="2585" spans="2:24" x14ac:dyDescent="0.25">
      <c r="B2585" s="22"/>
      <c r="C2585" s="21"/>
      <c r="W2585" s="22"/>
    </row>
    <row r="2586" spans="2:24" x14ac:dyDescent="0.25">
      <c r="B2586" s="22"/>
      <c r="C2586" s="21"/>
    </row>
    <row r="2587" spans="2:24" x14ac:dyDescent="0.25">
      <c r="B2587" s="22"/>
      <c r="C2587" s="21"/>
    </row>
    <row r="2588" spans="2:24" x14ac:dyDescent="0.25">
      <c r="B2588" s="22"/>
      <c r="C2588" s="21"/>
    </row>
    <row r="2589" spans="2:24" x14ac:dyDescent="0.25">
      <c r="B2589" s="22"/>
      <c r="C2589" s="21"/>
    </row>
    <row r="2590" spans="2:24" x14ac:dyDescent="0.25">
      <c r="B2590" s="22"/>
      <c r="C2590" s="21"/>
    </row>
    <row r="2591" spans="2:24" x14ac:dyDescent="0.25">
      <c r="B2591" s="22"/>
      <c r="C2591" s="21"/>
      <c r="W2591" s="22"/>
    </row>
    <row r="2592" spans="2:24" x14ac:dyDescent="0.25">
      <c r="B2592" s="22"/>
      <c r="C2592" s="21"/>
    </row>
    <row r="2593" spans="2:24" x14ac:dyDescent="0.25">
      <c r="B2593" s="22"/>
      <c r="C2593" s="21"/>
    </row>
    <row r="2594" spans="2:24" x14ac:dyDescent="0.25">
      <c r="B2594" s="22"/>
      <c r="C2594" s="21"/>
      <c r="W2594" s="22"/>
    </row>
    <row r="2595" spans="2:24" x14ac:dyDescent="0.25">
      <c r="B2595" s="22"/>
      <c r="C2595" s="21"/>
      <c r="W2595" s="22"/>
    </row>
    <row r="2596" spans="2:24" x14ac:dyDescent="0.25">
      <c r="B2596" s="22"/>
      <c r="C2596" s="21"/>
      <c r="W2596" s="22"/>
    </row>
    <row r="2597" spans="2:24" x14ac:dyDescent="0.25">
      <c r="B2597" s="22"/>
      <c r="C2597" s="21"/>
      <c r="W2597" s="22"/>
    </row>
    <row r="2598" spans="2:24" x14ac:dyDescent="0.25">
      <c r="B2598" s="22"/>
      <c r="C2598" s="21"/>
      <c r="W2598" s="22"/>
    </row>
    <row r="2599" spans="2:24" x14ac:dyDescent="0.25">
      <c r="B2599" s="22"/>
      <c r="C2599" s="21"/>
      <c r="W2599" s="22"/>
    </row>
    <row r="2600" spans="2:24" x14ac:dyDescent="0.25">
      <c r="B2600" s="22"/>
      <c r="C2600" s="21"/>
      <c r="W2600" s="22"/>
      <c r="X2600" s="22"/>
    </row>
    <row r="2601" spans="2:24" x14ac:dyDescent="0.25">
      <c r="B2601" s="22"/>
      <c r="C2601" s="21"/>
    </row>
    <row r="2602" spans="2:24" x14ac:dyDescent="0.25">
      <c r="B2602" s="22"/>
      <c r="C2602" s="21"/>
      <c r="W2602" s="22"/>
    </row>
    <row r="2603" spans="2:24" x14ac:dyDescent="0.25">
      <c r="B2603" s="22"/>
      <c r="C2603" s="21"/>
    </row>
    <row r="2604" spans="2:24" x14ac:dyDescent="0.25">
      <c r="B2604" s="22"/>
      <c r="C2604" s="21"/>
      <c r="W2604" s="22"/>
    </row>
    <row r="2605" spans="2:24" x14ac:dyDescent="0.25">
      <c r="B2605" s="22"/>
      <c r="C2605" s="21"/>
    </row>
    <row r="2606" spans="2:24" x14ac:dyDescent="0.25">
      <c r="B2606" s="22"/>
      <c r="C2606" s="21"/>
      <c r="W2606" s="22"/>
      <c r="X2606" s="22"/>
    </row>
    <row r="2607" spans="2:24" x14ac:dyDescent="0.25">
      <c r="B2607" s="22"/>
      <c r="C2607" s="21"/>
    </row>
    <row r="2608" spans="2:24" x14ac:dyDescent="0.25">
      <c r="B2608" s="22"/>
      <c r="C2608" s="21"/>
    </row>
    <row r="2609" spans="2:24" x14ac:dyDescent="0.25">
      <c r="B2609" s="22"/>
      <c r="C2609" s="21"/>
      <c r="W2609" s="22"/>
      <c r="X2609" s="22"/>
    </row>
    <row r="2610" spans="2:24" x14ac:dyDescent="0.25">
      <c r="B2610" s="22"/>
      <c r="C2610" s="21"/>
    </row>
    <row r="2611" spans="2:24" x14ac:dyDescent="0.25">
      <c r="B2611" s="22"/>
      <c r="C2611" s="21"/>
      <c r="W2611" s="22"/>
      <c r="X2611" s="22"/>
    </row>
    <row r="2612" spans="2:24" x14ac:dyDescent="0.25">
      <c r="B2612" s="22"/>
      <c r="C2612" s="21"/>
    </row>
    <row r="2613" spans="2:24" x14ac:dyDescent="0.25">
      <c r="B2613" s="22"/>
      <c r="C2613" s="21"/>
      <c r="W2613" s="22"/>
    </row>
    <row r="2614" spans="2:24" x14ac:dyDescent="0.25">
      <c r="B2614" s="22"/>
      <c r="C2614" s="21"/>
      <c r="W2614" s="22"/>
    </row>
    <row r="2615" spans="2:24" x14ac:dyDescent="0.25">
      <c r="B2615" s="22"/>
      <c r="C2615" s="21"/>
    </row>
    <row r="2616" spans="2:24" x14ac:dyDescent="0.25">
      <c r="B2616" s="22"/>
      <c r="C2616" s="21"/>
    </row>
    <row r="2617" spans="2:24" x14ac:dyDescent="0.25">
      <c r="B2617" s="22"/>
      <c r="C2617" s="21"/>
      <c r="W2617" s="22"/>
    </row>
    <row r="2618" spans="2:24" x14ac:dyDescent="0.25">
      <c r="B2618" s="22"/>
      <c r="C2618" s="21"/>
    </row>
    <row r="2619" spans="2:24" x14ac:dyDescent="0.25">
      <c r="B2619" s="22"/>
      <c r="C2619" s="21"/>
    </row>
    <row r="2620" spans="2:24" x14ac:dyDescent="0.25">
      <c r="B2620" s="22"/>
      <c r="C2620" s="21"/>
    </row>
    <row r="2621" spans="2:24" x14ac:dyDescent="0.25">
      <c r="B2621" s="22"/>
      <c r="C2621" s="21"/>
    </row>
    <row r="2622" spans="2:24" x14ac:dyDescent="0.25">
      <c r="B2622" s="22"/>
      <c r="C2622" s="21"/>
      <c r="W2622" s="22"/>
    </row>
    <row r="2623" spans="2:24" x14ac:dyDescent="0.25">
      <c r="B2623" s="22"/>
      <c r="C2623" s="21"/>
      <c r="W2623" s="22"/>
    </row>
    <row r="2624" spans="2:24" x14ac:dyDescent="0.25">
      <c r="B2624" s="22"/>
      <c r="C2624" s="21"/>
      <c r="W2624" s="22"/>
    </row>
    <row r="2625" spans="2:24" x14ac:dyDescent="0.25">
      <c r="B2625" s="22"/>
      <c r="C2625" s="21"/>
      <c r="W2625" s="22"/>
      <c r="X2625" s="22"/>
    </row>
    <row r="2626" spans="2:24" x14ac:dyDescent="0.25">
      <c r="B2626" s="22"/>
      <c r="C2626" s="21"/>
      <c r="W2626" s="22"/>
    </row>
    <row r="2627" spans="2:24" x14ac:dyDescent="0.25">
      <c r="B2627" s="22"/>
      <c r="C2627" s="21"/>
    </row>
    <row r="2628" spans="2:24" x14ac:dyDescent="0.25">
      <c r="B2628" s="22"/>
      <c r="C2628" s="21"/>
    </row>
    <row r="2629" spans="2:24" x14ac:dyDescent="0.25">
      <c r="B2629" s="22"/>
      <c r="C2629" s="21"/>
    </row>
    <row r="2630" spans="2:24" x14ac:dyDescent="0.25">
      <c r="B2630" s="22"/>
      <c r="C2630" s="21"/>
    </row>
    <row r="2631" spans="2:24" x14ac:dyDescent="0.25">
      <c r="B2631" s="22"/>
      <c r="C2631" s="21"/>
      <c r="W2631" s="22"/>
    </row>
    <row r="2632" spans="2:24" x14ac:dyDescent="0.25">
      <c r="B2632" s="22"/>
      <c r="C2632" s="21"/>
    </row>
    <row r="2633" spans="2:24" x14ac:dyDescent="0.25">
      <c r="B2633" s="22"/>
      <c r="C2633" s="21"/>
    </row>
    <row r="2634" spans="2:24" x14ac:dyDescent="0.25">
      <c r="B2634" s="22"/>
      <c r="C2634" s="21"/>
    </row>
    <row r="2635" spans="2:24" x14ac:dyDescent="0.25">
      <c r="B2635" s="22"/>
      <c r="C2635" s="21"/>
    </row>
    <row r="2636" spans="2:24" x14ac:dyDescent="0.25">
      <c r="B2636" s="22"/>
      <c r="C2636" s="21"/>
      <c r="W2636" s="22"/>
    </row>
    <row r="2637" spans="2:24" x14ac:dyDescent="0.25">
      <c r="B2637" s="22"/>
      <c r="C2637" s="21"/>
    </row>
    <row r="2638" spans="2:24" x14ac:dyDescent="0.25">
      <c r="B2638" s="22"/>
      <c r="C2638" s="21"/>
      <c r="W2638" s="22"/>
      <c r="X2638" s="22"/>
    </row>
    <row r="2639" spans="2:24" x14ac:dyDescent="0.25">
      <c r="B2639" s="22"/>
      <c r="C2639" s="21"/>
      <c r="W2639" s="22"/>
      <c r="X2639" s="22"/>
    </row>
    <row r="2640" spans="2:24" x14ac:dyDescent="0.25">
      <c r="B2640" s="22"/>
      <c r="C2640" s="21"/>
    </row>
    <row r="2641" spans="2:24" x14ac:dyDescent="0.25">
      <c r="B2641" s="22"/>
      <c r="C2641" s="21"/>
      <c r="W2641" s="22"/>
      <c r="X2641" s="22"/>
    </row>
    <row r="2642" spans="2:24" x14ac:dyDescent="0.25">
      <c r="B2642" s="22"/>
      <c r="C2642" s="21"/>
    </row>
    <row r="2643" spans="2:24" x14ac:dyDescent="0.25">
      <c r="B2643" s="22"/>
      <c r="C2643" s="21"/>
      <c r="W2643" s="22"/>
      <c r="X2643" s="22"/>
    </row>
    <row r="2644" spans="2:24" x14ac:dyDescent="0.25">
      <c r="B2644" s="22"/>
      <c r="C2644" s="21"/>
      <c r="W2644" s="22"/>
      <c r="X2644" s="22"/>
    </row>
    <row r="2645" spans="2:24" x14ac:dyDescent="0.25">
      <c r="B2645" s="22"/>
      <c r="C2645" s="21"/>
      <c r="W2645" s="22"/>
      <c r="X2645" s="22"/>
    </row>
    <row r="2646" spans="2:24" x14ac:dyDescent="0.25">
      <c r="B2646" s="22"/>
      <c r="C2646" s="21"/>
      <c r="W2646" s="22"/>
      <c r="X2646" s="22"/>
    </row>
    <row r="2647" spans="2:24" x14ac:dyDescent="0.25">
      <c r="B2647" s="22"/>
      <c r="C2647" s="21"/>
      <c r="W2647" s="22"/>
      <c r="X2647" s="22"/>
    </row>
    <row r="2648" spans="2:24" x14ac:dyDescent="0.25">
      <c r="B2648" s="22"/>
      <c r="C2648" s="21"/>
      <c r="W2648" s="22"/>
      <c r="X2648" s="22"/>
    </row>
    <row r="2649" spans="2:24" x14ac:dyDescent="0.25">
      <c r="B2649" s="22"/>
      <c r="C2649" s="21"/>
      <c r="W2649" s="22"/>
      <c r="X2649" s="22"/>
    </row>
    <row r="2650" spans="2:24" x14ac:dyDescent="0.25">
      <c r="B2650" s="22"/>
      <c r="C2650" s="21"/>
    </row>
    <row r="2651" spans="2:24" x14ac:dyDescent="0.25">
      <c r="B2651" s="22"/>
      <c r="C2651" s="21"/>
      <c r="W2651" s="22"/>
      <c r="X2651" s="22"/>
    </row>
    <row r="2652" spans="2:24" x14ac:dyDescent="0.25">
      <c r="B2652" s="22"/>
      <c r="C2652" s="21"/>
      <c r="W2652" s="22"/>
      <c r="X2652" s="22"/>
    </row>
    <row r="2653" spans="2:24" x14ac:dyDescent="0.25">
      <c r="B2653" s="22"/>
      <c r="C2653" s="21"/>
      <c r="W2653" s="22"/>
      <c r="X2653" s="22"/>
    </row>
    <row r="2654" spans="2:24" x14ac:dyDescent="0.25">
      <c r="B2654" s="22"/>
      <c r="C2654" s="21"/>
    </row>
    <row r="2655" spans="2:24" x14ac:dyDescent="0.25">
      <c r="B2655" s="22"/>
      <c r="C2655" s="21"/>
      <c r="W2655" s="22"/>
      <c r="X2655" s="22"/>
    </row>
    <row r="2656" spans="2:24" x14ac:dyDescent="0.25">
      <c r="B2656" s="22"/>
      <c r="C2656" s="21"/>
      <c r="W2656" s="22"/>
      <c r="X2656" s="22"/>
    </row>
    <row r="2657" spans="2:24" x14ac:dyDescent="0.25">
      <c r="B2657" s="22"/>
      <c r="C2657" s="21"/>
      <c r="W2657" s="22"/>
      <c r="X2657" s="22"/>
    </row>
    <row r="2658" spans="2:24" x14ac:dyDescent="0.25">
      <c r="B2658" s="22"/>
      <c r="C2658" s="21"/>
      <c r="W2658" s="22"/>
      <c r="X2658" s="22"/>
    </row>
    <row r="2659" spans="2:24" x14ac:dyDescent="0.25">
      <c r="B2659" s="22"/>
      <c r="C2659" s="21"/>
      <c r="W2659" s="22"/>
      <c r="X2659" s="22"/>
    </row>
    <row r="2660" spans="2:24" x14ac:dyDescent="0.25">
      <c r="B2660" s="22"/>
      <c r="C2660" s="21"/>
      <c r="W2660" s="22"/>
      <c r="X2660" s="22"/>
    </row>
    <row r="2661" spans="2:24" x14ac:dyDescent="0.25">
      <c r="B2661" s="22"/>
      <c r="C2661" s="21"/>
      <c r="W2661" s="22"/>
      <c r="X2661" s="22"/>
    </row>
    <row r="2662" spans="2:24" x14ac:dyDescent="0.25">
      <c r="B2662" s="22"/>
      <c r="C2662" s="21"/>
      <c r="W2662" s="22"/>
      <c r="X2662" s="22"/>
    </row>
    <row r="2663" spans="2:24" x14ac:dyDescent="0.25">
      <c r="B2663" s="22"/>
      <c r="C2663" s="21"/>
      <c r="W2663" s="22"/>
      <c r="X2663" s="22"/>
    </row>
    <row r="2664" spans="2:24" x14ac:dyDescent="0.25">
      <c r="B2664" s="22"/>
      <c r="C2664" s="21"/>
    </row>
    <row r="2665" spans="2:24" x14ac:dyDescent="0.25">
      <c r="B2665" s="22"/>
      <c r="C2665" s="21"/>
      <c r="W2665" s="22"/>
      <c r="X2665" s="22"/>
    </row>
    <row r="2666" spans="2:24" x14ac:dyDescent="0.25">
      <c r="B2666" s="22"/>
      <c r="C2666" s="21"/>
      <c r="W2666" s="22"/>
      <c r="X2666" s="22"/>
    </row>
    <row r="2667" spans="2:24" x14ac:dyDescent="0.25">
      <c r="B2667" s="22"/>
      <c r="C2667" s="21"/>
    </row>
    <row r="2668" spans="2:24" x14ac:dyDescent="0.25">
      <c r="B2668" s="22"/>
      <c r="C2668" s="21"/>
      <c r="W2668" s="22"/>
      <c r="X2668" s="22"/>
    </row>
    <row r="2669" spans="2:24" x14ac:dyDescent="0.25">
      <c r="B2669" s="22"/>
      <c r="C2669" s="21"/>
    </row>
    <row r="2670" spans="2:24" x14ac:dyDescent="0.25">
      <c r="B2670" s="22"/>
      <c r="C2670" s="21"/>
      <c r="W2670" s="22"/>
      <c r="X2670" s="22"/>
    </row>
    <row r="2671" spans="2:24" x14ac:dyDescent="0.25">
      <c r="B2671" s="22"/>
      <c r="C2671" s="21"/>
    </row>
    <row r="2672" spans="2:24" x14ac:dyDescent="0.25">
      <c r="B2672" s="22"/>
      <c r="C2672" s="21"/>
      <c r="W2672" s="22"/>
      <c r="X2672" s="22"/>
    </row>
    <row r="2673" spans="2:24" x14ac:dyDescent="0.25">
      <c r="B2673" s="22"/>
      <c r="C2673" s="21"/>
      <c r="W2673" s="22"/>
      <c r="X2673" s="22"/>
    </row>
    <row r="2674" spans="2:24" x14ac:dyDescent="0.25">
      <c r="B2674" s="22"/>
      <c r="C2674" s="21"/>
      <c r="W2674" s="22"/>
      <c r="X2674" s="22"/>
    </row>
    <row r="2675" spans="2:24" x14ac:dyDescent="0.25">
      <c r="B2675" s="22"/>
      <c r="C2675" s="21"/>
      <c r="W2675" s="22"/>
      <c r="X2675" s="22"/>
    </row>
    <row r="2676" spans="2:24" x14ac:dyDescent="0.25">
      <c r="B2676" s="22"/>
      <c r="C2676" s="21"/>
      <c r="W2676" s="22"/>
      <c r="X2676" s="22"/>
    </row>
    <row r="2677" spans="2:24" x14ac:dyDescent="0.25">
      <c r="B2677" s="22"/>
      <c r="C2677" s="21"/>
      <c r="W2677" s="22"/>
      <c r="X2677" s="22"/>
    </row>
    <row r="2678" spans="2:24" x14ac:dyDescent="0.25">
      <c r="B2678" s="22"/>
      <c r="C2678" s="21"/>
      <c r="W2678" s="22"/>
      <c r="X2678" s="22"/>
    </row>
    <row r="2679" spans="2:24" x14ac:dyDescent="0.25">
      <c r="B2679" s="22"/>
      <c r="C2679" s="21"/>
      <c r="W2679" s="22"/>
      <c r="X2679" s="22"/>
    </row>
    <row r="2680" spans="2:24" x14ac:dyDescent="0.25">
      <c r="B2680" s="22"/>
      <c r="C2680" s="21"/>
      <c r="W2680" s="22"/>
      <c r="X2680" s="22"/>
    </row>
    <row r="2681" spans="2:24" x14ac:dyDescent="0.25">
      <c r="B2681" s="22"/>
      <c r="C2681" s="21"/>
      <c r="W2681" s="22"/>
      <c r="X2681" s="22"/>
    </row>
    <row r="2682" spans="2:24" x14ac:dyDescent="0.25">
      <c r="B2682" s="22"/>
      <c r="C2682" s="21"/>
      <c r="W2682" s="22"/>
      <c r="X2682" s="22"/>
    </row>
    <row r="2683" spans="2:24" x14ac:dyDescent="0.25">
      <c r="B2683" s="22"/>
      <c r="C2683" s="21"/>
      <c r="W2683" s="22"/>
      <c r="X2683" s="22"/>
    </row>
    <row r="2684" spans="2:24" x14ac:dyDescent="0.25">
      <c r="B2684" s="22"/>
      <c r="C2684" s="21"/>
      <c r="W2684" s="22"/>
      <c r="X2684" s="22"/>
    </row>
    <row r="2685" spans="2:24" x14ac:dyDescent="0.25">
      <c r="B2685" s="22"/>
      <c r="C2685" s="21"/>
      <c r="W2685" s="22"/>
      <c r="X2685" s="22"/>
    </row>
    <row r="2686" spans="2:24" x14ac:dyDescent="0.25">
      <c r="B2686" s="22"/>
      <c r="C2686" s="21"/>
      <c r="W2686" s="22"/>
      <c r="X2686" s="22"/>
    </row>
    <row r="2687" spans="2:24" x14ac:dyDescent="0.25">
      <c r="B2687" s="22"/>
      <c r="C2687" s="21"/>
      <c r="W2687" s="22"/>
      <c r="X2687" s="22"/>
    </row>
    <row r="2688" spans="2:24" x14ac:dyDescent="0.25">
      <c r="B2688" s="22"/>
      <c r="C2688" s="21"/>
      <c r="W2688" s="22"/>
      <c r="X2688" s="22"/>
    </row>
    <row r="2689" spans="2:24" x14ac:dyDescent="0.25">
      <c r="B2689" s="22"/>
      <c r="C2689" s="21"/>
      <c r="W2689" s="22"/>
      <c r="X2689" s="22"/>
    </row>
    <row r="2690" spans="2:24" x14ac:dyDescent="0.25">
      <c r="B2690" s="22"/>
      <c r="C2690" s="21"/>
      <c r="W2690" s="22"/>
      <c r="X2690" s="22"/>
    </row>
    <row r="2691" spans="2:24" x14ac:dyDescent="0.25">
      <c r="B2691" s="22"/>
      <c r="C2691" s="21"/>
    </row>
    <row r="2692" spans="2:24" x14ac:dyDescent="0.25">
      <c r="B2692" s="22"/>
      <c r="C2692" s="21"/>
      <c r="W2692" s="22"/>
      <c r="X2692" s="22"/>
    </row>
    <row r="2693" spans="2:24" x14ac:dyDescent="0.25">
      <c r="B2693" s="22"/>
      <c r="C2693" s="21"/>
      <c r="W2693" s="22"/>
      <c r="X2693" s="22"/>
    </row>
    <row r="2694" spans="2:24" x14ac:dyDescent="0.25">
      <c r="B2694" s="22"/>
      <c r="C2694" s="21"/>
      <c r="W2694" s="22"/>
      <c r="X2694" s="22"/>
    </row>
    <row r="2695" spans="2:24" x14ac:dyDescent="0.25">
      <c r="B2695" s="22"/>
      <c r="C2695" s="21"/>
      <c r="W2695" s="22"/>
      <c r="X2695" s="22"/>
    </row>
    <row r="2696" spans="2:24" x14ac:dyDescent="0.25">
      <c r="B2696" s="22"/>
      <c r="C2696" s="21"/>
      <c r="W2696" s="22"/>
      <c r="X2696" s="22"/>
    </row>
    <row r="2697" spans="2:24" x14ac:dyDescent="0.25">
      <c r="B2697" s="22"/>
      <c r="C2697" s="21"/>
      <c r="W2697" s="22"/>
      <c r="X2697" s="22"/>
    </row>
    <row r="2698" spans="2:24" x14ac:dyDescent="0.25">
      <c r="B2698" s="22"/>
      <c r="C2698" s="21"/>
      <c r="W2698" s="22"/>
      <c r="X2698" s="22"/>
    </row>
    <row r="2699" spans="2:24" x14ac:dyDescent="0.25">
      <c r="B2699" s="22"/>
      <c r="C2699" s="21"/>
      <c r="W2699" s="22"/>
      <c r="X2699" s="22"/>
    </row>
    <row r="2700" spans="2:24" x14ac:dyDescent="0.25">
      <c r="B2700" s="22"/>
      <c r="C2700" s="21"/>
      <c r="W2700" s="22"/>
      <c r="X2700" s="22"/>
    </row>
    <row r="2701" spans="2:24" x14ac:dyDescent="0.25">
      <c r="B2701" s="22"/>
      <c r="C2701" s="21"/>
    </row>
    <row r="2702" spans="2:24" x14ac:dyDescent="0.25">
      <c r="B2702" s="22"/>
      <c r="C2702" s="21"/>
      <c r="W2702" s="22"/>
      <c r="X2702" s="22"/>
    </row>
    <row r="2703" spans="2:24" x14ac:dyDescent="0.25">
      <c r="B2703" s="22"/>
      <c r="C2703" s="21"/>
      <c r="W2703" s="22"/>
      <c r="X2703" s="22"/>
    </row>
    <row r="2704" spans="2:24" x14ac:dyDescent="0.25">
      <c r="B2704" s="22"/>
      <c r="C2704" s="21"/>
      <c r="W2704" s="22"/>
      <c r="X2704" s="22"/>
    </row>
    <row r="2705" spans="2:24" x14ac:dyDescent="0.25">
      <c r="B2705" s="22"/>
      <c r="C2705" s="21"/>
      <c r="W2705" s="22"/>
      <c r="X2705" s="22"/>
    </row>
    <row r="2706" spans="2:24" x14ac:dyDescent="0.25">
      <c r="B2706" s="22"/>
      <c r="C2706" s="21"/>
    </row>
    <row r="2707" spans="2:24" x14ac:dyDescent="0.25">
      <c r="B2707" s="22"/>
      <c r="C2707" s="21"/>
      <c r="W2707" s="22"/>
      <c r="X2707" s="22"/>
    </row>
    <row r="2708" spans="2:24" x14ac:dyDescent="0.25">
      <c r="B2708" s="22"/>
      <c r="C2708" s="21"/>
      <c r="W2708" s="22"/>
      <c r="X2708" s="22"/>
    </row>
    <row r="2709" spans="2:24" x14ac:dyDescent="0.25">
      <c r="B2709" s="22"/>
      <c r="C2709" s="21"/>
      <c r="W2709" s="22"/>
      <c r="X2709" s="22"/>
    </row>
    <row r="2710" spans="2:24" x14ac:dyDescent="0.25">
      <c r="B2710" s="22"/>
      <c r="C2710" s="21"/>
    </row>
    <row r="2711" spans="2:24" x14ac:dyDescent="0.25">
      <c r="B2711" s="22"/>
      <c r="C2711" s="21"/>
      <c r="W2711" s="22"/>
      <c r="X2711" s="22"/>
    </row>
    <row r="2712" spans="2:24" x14ac:dyDescent="0.25">
      <c r="B2712" s="22"/>
      <c r="C2712" s="21"/>
    </row>
    <row r="2713" spans="2:24" x14ac:dyDescent="0.25">
      <c r="B2713" s="22"/>
      <c r="C2713" s="21"/>
      <c r="W2713" s="22"/>
      <c r="X2713" s="22"/>
    </row>
    <row r="2714" spans="2:24" x14ac:dyDescent="0.25">
      <c r="B2714" s="22"/>
      <c r="C2714" s="21"/>
      <c r="W2714" s="22"/>
      <c r="X2714" s="22"/>
    </row>
    <row r="2715" spans="2:24" x14ac:dyDescent="0.25">
      <c r="B2715" s="22"/>
      <c r="C2715" s="21"/>
    </row>
    <row r="2716" spans="2:24" x14ac:dyDescent="0.25">
      <c r="B2716" s="22"/>
      <c r="C2716" s="21"/>
    </row>
    <row r="2717" spans="2:24" x14ac:dyDescent="0.25">
      <c r="B2717" s="22"/>
      <c r="C2717" s="21"/>
    </row>
    <row r="2718" spans="2:24" x14ac:dyDescent="0.25">
      <c r="B2718" s="22"/>
      <c r="C2718" s="21"/>
    </row>
    <row r="2719" spans="2:24" x14ac:dyDescent="0.25">
      <c r="B2719" s="22"/>
      <c r="C2719" s="21"/>
      <c r="W2719" s="22"/>
      <c r="X2719" s="22"/>
    </row>
    <row r="2720" spans="2:24" x14ac:dyDescent="0.25">
      <c r="B2720" s="22"/>
      <c r="C2720" s="21"/>
    </row>
    <row r="2721" spans="2:24" x14ac:dyDescent="0.25">
      <c r="B2721" s="22"/>
      <c r="C2721" s="21"/>
      <c r="W2721" s="22"/>
      <c r="X2721" s="22"/>
    </row>
    <row r="2722" spans="2:24" x14ac:dyDescent="0.25">
      <c r="B2722" s="22"/>
      <c r="C2722" s="21"/>
      <c r="W2722" s="22"/>
      <c r="X2722" s="22"/>
    </row>
    <row r="2723" spans="2:24" x14ac:dyDescent="0.25">
      <c r="B2723" s="22"/>
      <c r="C2723" s="21"/>
    </row>
    <row r="2724" spans="2:24" x14ac:dyDescent="0.25">
      <c r="B2724" s="22"/>
      <c r="C2724" s="21"/>
    </row>
    <row r="2725" spans="2:24" x14ac:dyDescent="0.25">
      <c r="B2725" s="22"/>
      <c r="C2725" s="21"/>
    </row>
    <row r="2726" spans="2:24" x14ac:dyDescent="0.25">
      <c r="B2726" s="22"/>
      <c r="C2726" s="21"/>
      <c r="W2726" s="22"/>
      <c r="X2726" s="22"/>
    </row>
    <row r="2727" spans="2:24" x14ac:dyDescent="0.25">
      <c r="B2727" s="22"/>
      <c r="C2727" s="21"/>
      <c r="W2727" s="22"/>
      <c r="X2727" s="22"/>
    </row>
    <row r="2728" spans="2:24" x14ac:dyDescent="0.25">
      <c r="B2728" s="22"/>
      <c r="C2728" s="21"/>
      <c r="W2728" s="22"/>
      <c r="X2728" s="22"/>
    </row>
    <row r="2729" spans="2:24" x14ac:dyDescent="0.25">
      <c r="B2729" s="22"/>
      <c r="C2729" s="21"/>
      <c r="W2729" s="22"/>
      <c r="X2729" s="22"/>
    </row>
    <row r="2730" spans="2:24" x14ac:dyDescent="0.25">
      <c r="B2730" s="22"/>
      <c r="C2730" s="21"/>
      <c r="W2730" s="22"/>
      <c r="X2730" s="22"/>
    </row>
    <row r="2731" spans="2:24" x14ac:dyDescent="0.25">
      <c r="B2731" s="22"/>
      <c r="C2731" s="21"/>
      <c r="W2731" s="22"/>
      <c r="X2731" s="22"/>
    </row>
    <row r="2732" spans="2:24" x14ac:dyDescent="0.25">
      <c r="B2732" s="22"/>
      <c r="C2732" s="21"/>
      <c r="W2732" s="22"/>
      <c r="X2732" s="22"/>
    </row>
    <row r="2733" spans="2:24" x14ac:dyDescent="0.25">
      <c r="B2733" s="22"/>
      <c r="C2733" s="21"/>
      <c r="W2733" s="22"/>
      <c r="X2733" s="22"/>
    </row>
    <row r="2734" spans="2:24" x14ac:dyDescent="0.25">
      <c r="B2734" s="22"/>
      <c r="C2734" s="21"/>
      <c r="W2734" s="22"/>
      <c r="X2734" s="22"/>
    </row>
    <row r="2735" spans="2:24" x14ac:dyDescent="0.25">
      <c r="B2735" s="22"/>
      <c r="C2735" s="21"/>
      <c r="W2735" s="22"/>
      <c r="X2735" s="22"/>
    </row>
    <row r="2736" spans="2:24" x14ac:dyDescent="0.25">
      <c r="B2736" s="22"/>
      <c r="C2736" s="21"/>
      <c r="W2736" s="22"/>
      <c r="X2736" s="22"/>
    </row>
    <row r="2737" spans="2:24" x14ac:dyDescent="0.25">
      <c r="B2737" s="22"/>
      <c r="C2737" s="21"/>
      <c r="W2737" s="22"/>
      <c r="X2737" s="22"/>
    </row>
    <row r="2738" spans="2:24" x14ac:dyDescent="0.25">
      <c r="B2738" s="22"/>
      <c r="C2738" s="21"/>
      <c r="W2738" s="22"/>
      <c r="X2738" s="22"/>
    </row>
    <row r="2739" spans="2:24" x14ac:dyDescent="0.25">
      <c r="B2739" s="22"/>
      <c r="C2739" s="21"/>
      <c r="W2739" s="22"/>
      <c r="X2739" s="22"/>
    </row>
    <row r="2740" spans="2:24" x14ac:dyDescent="0.25">
      <c r="B2740" s="22"/>
      <c r="C2740" s="21"/>
      <c r="W2740" s="22"/>
      <c r="X2740" s="22"/>
    </row>
    <row r="2741" spans="2:24" x14ac:dyDescent="0.25">
      <c r="B2741" s="22"/>
      <c r="C2741" s="21"/>
      <c r="W2741" s="22"/>
      <c r="X2741" s="22"/>
    </row>
    <row r="2742" spans="2:24" x14ac:dyDescent="0.25">
      <c r="B2742" s="22"/>
      <c r="C2742" s="21"/>
      <c r="W2742" s="22"/>
      <c r="X2742" s="22"/>
    </row>
    <row r="2743" spans="2:24" x14ac:dyDescent="0.25">
      <c r="B2743" s="22"/>
      <c r="C2743" s="21"/>
      <c r="W2743" s="22"/>
      <c r="X2743" s="22"/>
    </row>
    <row r="2744" spans="2:24" x14ac:dyDescent="0.25">
      <c r="B2744" s="22"/>
      <c r="C2744" s="21"/>
      <c r="W2744" s="22"/>
      <c r="X2744" s="22"/>
    </row>
    <row r="2745" spans="2:24" x14ac:dyDescent="0.25">
      <c r="B2745" s="22"/>
      <c r="C2745" s="21"/>
      <c r="W2745" s="22"/>
      <c r="X2745" s="22"/>
    </row>
    <row r="2746" spans="2:24" x14ac:dyDescent="0.25">
      <c r="B2746" s="22"/>
      <c r="C2746" s="21"/>
      <c r="W2746" s="22"/>
      <c r="X2746" s="22"/>
    </row>
    <row r="2747" spans="2:24" x14ac:dyDescent="0.25">
      <c r="B2747" s="22"/>
      <c r="C2747" s="21"/>
      <c r="W2747" s="22"/>
      <c r="X2747" s="22"/>
    </row>
    <row r="2748" spans="2:24" x14ac:dyDescent="0.25">
      <c r="B2748" s="22"/>
      <c r="C2748" s="21"/>
      <c r="W2748" s="22"/>
      <c r="X2748" s="22"/>
    </row>
    <row r="2749" spans="2:24" x14ac:dyDescent="0.25">
      <c r="B2749" s="22"/>
      <c r="C2749" s="21"/>
      <c r="W2749" s="22"/>
      <c r="X2749" s="22"/>
    </row>
    <row r="2750" spans="2:24" x14ac:dyDescent="0.25">
      <c r="B2750" s="22"/>
      <c r="C2750" s="21"/>
      <c r="W2750" s="22"/>
      <c r="X2750" s="22"/>
    </row>
    <row r="2751" spans="2:24" x14ac:dyDescent="0.25">
      <c r="B2751" s="22"/>
      <c r="C2751" s="21"/>
      <c r="W2751" s="22"/>
      <c r="X2751" s="22"/>
    </row>
    <row r="2752" spans="2:24" x14ac:dyDescent="0.25">
      <c r="B2752" s="22"/>
      <c r="C2752" s="21"/>
      <c r="W2752" s="22"/>
      <c r="X2752" s="22"/>
    </row>
    <row r="2753" spans="2:24" x14ac:dyDescent="0.25">
      <c r="B2753" s="22"/>
      <c r="C2753" s="21"/>
      <c r="W2753" s="22"/>
      <c r="X2753" s="22"/>
    </row>
    <row r="2754" spans="2:24" x14ac:dyDescent="0.25">
      <c r="B2754" s="22"/>
      <c r="C2754" s="21"/>
      <c r="W2754" s="22"/>
      <c r="X2754" s="22"/>
    </row>
    <row r="2755" spans="2:24" x14ac:dyDescent="0.25">
      <c r="B2755" s="22"/>
      <c r="C2755" s="21"/>
      <c r="W2755" s="22"/>
      <c r="X2755" s="22"/>
    </row>
    <row r="2756" spans="2:24" x14ac:dyDescent="0.25">
      <c r="B2756" s="22"/>
      <c r="C2756" s="21"/>
      <c r="W2756" s="22"/>
      <c r="X2756" s="22"/>
    </row>
    <row r="2757" spans="2:24" x14ac:dyDescent="0.25">
      <c r="B2757" s="22"/>
      <c r="C2757" s="21"/>
      <c r="W2757" s="22"/>
      <c r="X2757" s="22"/>
    </row>
    <row r="2758" spans="2:24" x14ac:dyDescent="0.25">
      <c r="B2758" s="22"/>
      <c r="C2758" s="21"/>
      <c r="W2758" s="22"/>
      <c r="X2758" s="22"/>
    </row>
    <row r="2759" spans="2:24" x14ac:dyDescent="0.25">
      <c r="B2759" s="22"/>
      <c r="C2759" s="21"/>
      <c r="W2759" s="22"/>
      <c r="X2759" s="22"/>
    </row>
    <row r="2760" spans="2:24" x14ac:dyDescent="0.25">
      <c r="B2760" s="22"/>
      <c r="C2760" s="21"/>
      <c r="W2760" s="22"/>
      <c r="X2760" s="22"/>
    </row>
    <row r="2761" spans="2:24" x14ac:dyDescent="0.25">
      <c r="B2761" s="22"/>
      <c r="C2761" s="21"/>
      <c r="W2761" s="22"/>
      <c r="X2761" s="22"/>
    </row>
    <row r="2762" spans="2:24" x14ac:dyDescent="0.25">
      <c r="B2762" s="22"/>
      <c r="C2762" s="21"/>
      <c r="W2762" s="22"/>
      <c r="X2762" s="22"/>
    </row>
    <row r="2763" spans="2:24" x14ac:dyDescent="0.25">
      <c r="B2763" s="22"/>
      <c r="C2763" s="21"/>
      <c r="W2763" s="22"/>
      <c r="X2763" s="22"/>
    </row>
    <row r="2764" spans="2:24" x14ac:dyDescent="0.25">
      <c r="B2764" s="22"/>
      <c r="C2764" s="21"/>
      <c r="W2764" s="22"/>
      <c r="X2764" s="22"/>
    </row>
    <row r="2765" spans="2:24" x14ac:dyDescent="0.25">
      <c r="B2765" s="22"/>
      <c r="C2765" s="21"/>
      <c r="W2765" s="22"/>
      <c r="X2765" s="22"/>
    </row>
    <row r="2766" spans="2:24" x14ac:dyDescent="0.25">
      <c r="B2766" s="22"/>
      <c r="C2766" s="21"/>
      <c r="W2766" s="22"/>
      <c r="X2766" s="22"/>
    </row>
    <row r="2767" spans="2:24" x14ac:dyDescent="0.25">
      <c r="B2767" s="22"/>
      <c r="C2767" s="21"/>
      <c r="W2767" s="22"/>
      <c r="X2767" s="22"/>
    </row>
    <row r="2768" spans="2:24" x14ac:dyDescent="0.25">
      <c r="B2768" s="22"/>
      <c r="C2768" s="21"/>
      <c r="W2768" s="22"/>
      <c r="X2768" s="22"/>
    </row>
    <row r="2769" spans="2:24" x14ac:dyDescent="0.25">
      <c r="B2769" s="22"/>
      <c r="C2769" s="21"/>
      <c r="W2769" s="22"/>
      <c r="X2769" s="22"/>
    </row>
    <row r="2770" spans="2:24" x14ac:dyDescent="0.25">
      <c r="B2770" s="22"/>
      <c r="C2770" s="21"/>
      <c r="W2770" s="22"/>
      <c r="X2770" s="22"/>
    </row>
    <row r="2771" spans="2:24" x14ac:dyDescent="0.25">
      <c r="B2771" s="22"/>
      <c r="C2771" s="21"/>
      <c r="W2771" s="22"/>
      <c r="X2771" s="22"/>
    </row>
    <row r="2772" spans="2:24" x14ac:dyDescent="0.25">
      <c r="B2772" s="22"/>
      <c r="C2772" s="21"/>
      <c r="W2772" s="22"/>
      <c r="X2772" s="22"/>
    </row>
    <row r="2773" spans="2:24" x14ac:dyDescent="0.25">
      <c r="B2773" s="22"/>
      <c r="C2773" s="21"/>
      <c r="W2773" s="22"/>
      <c r="X2773" s="22"/>
    </row>
    <row r="2774" spans="2:24" x14ac:dyDescent="0.25">
      <c r="B2774" s="22"/>
      <c r="C2774" s="21"/>
      <c r="W2774" s="22"/>
      <c r="X2774" s="22"/>
    </row>
    <row r="2775" spans="2:24" x14ac:dyDescent="0.25">
      <c r="B2775" s="22"/>
      <c r="C2775" s="21"/>
      <c r="W2775" s="22"/>
      <c r="X2775" s="22"/>
    </row>
    <row r="2776" spans="2:24" x14ac:dyDescent="0.25">
      <c r="B2776" s="22"/>
      <c r="C2776" s="21"/>
      <c r="W2776" s="22"/>
      <c r="X2776" s="22"/>
    </row>
    <row r="2777" spans="2:24" x14ac:dyDescent="0.25">
      <c r="B2777" s="22"/>
      <c r="C2777" s="21"/>
      <c r="W2777" s="22"/>
      <c r="X2777" s="22"/>
    </row>
    <row r="2778" spans="2:24" x14ac:dyDescent="0.25">
      <c r="B2778" s="22"/>
      <c r="C2778" s="21"/>
      <c r="W2778" s="22"/>
      <c r="X2778" s="22"/>
    </row>
    <row r="2779" spans="2:24" x14ac:dyDescent="0.25">
      <c r="B2779" s="22"/>
      <c r="C2779" s="21"/>
      <c r="W2779" s="22"/>
      <c r="X2779" s="22"/>
    </row>
    <row r="2780" spans="2:24" x14ac:dyDescent="0.25">
      <c r="B2780" s="22"/>
      <c r="C2780" s="21"/>
      <c r="W2780" s="22"/>
      <c r="X2780" s="22"/>
    </row>
    <row r="2781" spans="2:24" x14ac:dyDescent="0.25">
      <c r="B2781" s="22"/>
      <c r="C2781" s="21"/>
      <c r="W2781" s="22"/>
      <c r="X2781" s="22"/>
    </row>
    <row r="2782" spans="2:24" x14ac:dyDescent="0.25">
      <c r="B2782" s="22"/>
      <c r="C2782" s="21"/>
      <c r="W2782" s="22"/>
      <c r="X2782" s="22"/>
    </row>
    <row r="2783" spans="2:24" x14ac:dyDescent="0.25">
      <c r="B2783" s="22"/>
      <c r="C2783" s="21"/>
      <c r="W2783" s="22"/>
      <c r="X2783" s="22"/>
    </row>
    <row r="2784" spans="2:24" x14ac:dyDescent="0.25">
      <c r="B2784" s="22"/>
      <c r="C2784" s="21"/>
      <c r="W2784" s="22"/>
      <c r="X2784" s="22"/>
    </row>
    <row r="2785" spans="2:24" x14ac:dyDescent="0.25">
      <c r="B2785" s="22"/>
      <c r="C2785" s="21"/>
      <c r="W2785" s="22"/>
      <c r="X2785" s="22"/>
    </row>
    <row r="2786" spans="2:24" x14ac:dyDescent="0.25">
      <c r="B2786" s="22"/>
      <c r="C2786" s="21"/>
      <c r="W2786" s="22"/>
      <c r="X2786" s="22"/>
    </row>
    <row r="2787" spans="2:24" x14ac:dyDescent="0.25">
      <c r="B2787" s="22"/>
      <c r="C2787" s="21"/>
      <c r="W2787" s="22"/>
      <c r="X2787" s="22"/>
    </row>
    <row r="2788" spans="2:24" x14ac:dyDescent="0.25">
      <c r="B2788" s="22"/>
      <c r="C2788" s="21"/>
      <c r="W2788" s="22"/>
      <c r="X2788" s="22"/>
    </row>
    <row r="2789" spans="2:24" x14ac:dyDescent="0.25">
      <c r="B2789" s="22"/>
      <c r="C2789" s="21"/>
      <c r="W2789" s="22"/>
      <c r="X2789" s="22"/>
    </row>
    <row r="2790" spans="2:24" x14ac:dyDescent="0.25">
      <c r="B2790" s="22"/>
      <c r="C2790" s="21"/>
      <c r="W2790" s="22"/>
      <c r="X2790" s="22"/>
    </row>
    <row r="2791" spans="2:24" x14ac:dyDescent="0.25">
      <c r="B2791" s="22"/>
      <c r="C2791" s="21"/>
      <c r="W2791" s="22"/>
      <c r="X2791" s="22"/>
    </row>
    <row r="2792" spans="2:24" x14ac:dyDescent="0.25">
      <c r="B2792" s="22"/>
      <c r="C2792" s="21"/>
      <c r="W2792" s="22"/>
      <c r="X2792" s="22"/>
    </row>
    <row r="2793" spans="2:24" x14ac:dyDescent="0.25">
      <c r="B2793" s="22"/>
      <c r="C2793" s="21"/>
      <c r="W2793" s="22"/>
      <c r="X2793" s="22"/>
    </row>
    <row r="2794" spans="2:24" x14ac:dyDescent="0.25">
      <c r="B2794" s="22"/>
      <c r="C2794" s="21"/>
      <c r="W2794" s="22"/>
      <c r="X2794" s="22"/>
    </row>
    <row r="2795" spans="2:24" x14ac:dyDescent="0.25">
      <c r="B2795" s="22"/>
      <c r="C2795" s="21"/>
      <c r="W2795" s="22"/>
      <c r="X2795" s="22"/>
    </row>
    <row r="2796" spans="2:24" x14ac:dyDescent="0.25">
      <c r="B2796" s="22"/>
      <c r="C2796" s="21"/>
      <c r="W2796" s="22"/>
      <c r="X2796" s="22"/>
    </row>
    <row r="2797" spans="2:24" x14ac:dyDescent="0.25">
      <c r="B2797" s="22"/>
      <c r="C2797" s="21"/>
      <c r="W2797" s="22"/>
      <c r="X2797" s="22"/>
    </row>
    <row r="2798" spans="2:24" x14ac:dyDescent="0.25">
      <c r="B2798" s="22"/>
      <c r="C2798" s="21"/>
      <c r="W2798" s="22"/>
      <c r="X2798" s="22"/>
    </row>
    <row r="2799" spans="2:24" x14ac:dyDescent="0.25">
      <c r="B2799" s="22"/>
      <c r="C2799" s="21"/>
      <c r="W2799" s="22"/>
      <c r="X2799" s="22"/>
    </row>
    <row r="2800" spans="2:24" x14ac:dyDescent="0.25">
      <c r="B2800" s="22"/>
      <c r="C2800" s="21"/>
      <c r="W2800" s="22"/>
      <c r="X2800" s="22"/>
    </row>
    <row r="2801" spans="2:24" x14ac:dyDescent="0.25">
      <c r="B2801" s="22"/>
      <c r="C2801" s="21"/>
      <c r="W2801" s="22"/>
      <c r="X2801" s="22"/>
    </row>
    <row r="2802" spans="2:24" x14ac:dyDescent="0.25">
      <c r="B2802" s="22"/>
      <c r="C2802" s="21"/>
      <c r="W2802" s="22"/>
      <c r="X2802" s="22"/>
    </row>
    <row r="2803" spans="2:24" x14ac:dyDescent="0.25">
      <c r="B2803" s="22"/>
      <c r="C2803" s="21"/>
      <c r="W2803" s="22"/>
      <c r="X2803" s="22"/>
    </row>
    <row r="2804" spans="2:24" x14ac:dyDescent="0.25">
      <c r="B2804" s="22"/>
      <c r="C2804" s="21"/>
      <c r="W2804" s="22"/>
      <c r="X2804" s="22"/>
    </row>
    <row r="2805" spans="2:24" x14ac:dyDescent="0.25">
      <c r="B2805" s="22"/>
      <c r="C2805" s="21"/>
      <c r="W2805" s="22"/>
      <c r="X2805" s="22"/>
    </row>
    <row r="2806" spans="2:24" x14ac:dyDescent="0.25">
      <c r="B2806" s="22"/>
      <c r="C2806" s="21"/>
      <c r="W2806" s="22"/>
      <c r="X2806" s="22"/>
    </row>
    <row r="2807" spans="2:24" x14ac:dyDescent="0.25">
      <c r="B2807" s="22"/>
      <c r="C2807" s="21"/>
      <c r="W2807" s="22"/>
      <c r="X2807" s="22"/>
    </row>
    <row r="2808" spans="2:24" x14ac:dyDescent="0.25">
      <c r="B2808" s="22"/>
      <c r="C2808" s="21"/>
      <c r="W2808" s="22"/>
      <c r="X2808" s="22"/>
    </row>
    <row r="2809" spans="2:24" x14ac:dyDescent="0.25">
      <c r="B2809" s="22"/>
      <c r="C2809" s="21"/>
      <c r="W2809" s="22"/>
      <c r="X2809" s="22"/>
    </row>
    <row r="2810" spans="2:24" x14ac:dyDescent="0.25">
      <c r="B2810" s="22"/>
      <c r="C2810" s="21"/>
      <c r="W2810" s="22"/>
      <c r="X2810" s="22"/>
    </row>
    <row r="2811" spans="2:24" x14ac:dyDescent="0.25">
      <c r="B2811" s="22"/>
      <c r="C2811" s="21"/>
      <c r="W2811" s="22"/>
      <c r="X2811" s="22"/>
    </row>
    <row r="2812" spans="2:24" x14ac:dyDescent="0.25">
      <c r="B2812" s="22"/>
      <c r="C2812" s="21"/>
      <c r="W2812" s="22"/>
      <c r="X2812" s="22"/>
    </row>
    <row r="2813" spans="2:24" x14ac:dyDescent="0.25">
      <c r="B2813" s="22"/>
      <c r="C2813" s="21"/>
      <c r="W2813" s="22"/>
      <c r="X2813" s="22"/>
    </row>
    <row r="2814" spans="2:24" x14ac:dyDescent="0.25">
      <c r="B2814" s="22"/>
      <c r="C2814" s="21"/>
      <c r="W2814" s="22"/>
      <c r="X2814" s="22"/>
    </row>
    <row r="2815" spans="2:24" x14ac:dyDescent="0.25">
      <c r="B2815" s="22"/>
      <c r="C2815" s="21"/>
      <c r="W2815" s="22"/>
      <c r="X2815" s="22"/>
    </row>
    <row r="2816" spans="2:24" x14ac:dyDescent="0.25">
      <c r="B2816" s="22"/>
      <c r="C2816" s="21"/>
      <c r="W2816" s="22"/>
      <c r="X2816" s="22"/>
    </row>
    <row r="2817" spans="2:24" x14ac:dyDescent="0.25">
      <c r="B2817" s="22"/>
      <c r="C2817" s="21"/>
      <c r="W2817" s="22"/>
      <c r="X2817" s="22"/>
    </row>
    <row r="2818" spans="2:24" x14ac:dyDescent="0.25">
      <c r="B2818" s="22"/>
      <c r="C2818" s="21"/>
      <c r="W2818" s="22"/>
      <c r="X2818" s="22"/>
    </row>
    <row r="2819" spans="2:24" x14ac:dyDescent="0.25">
      <c r="B2819" s="22"/>
      <c r="C2819" s="21"/>
      <c r="W2819" s="22"/>
      <c r="X2819" s="22"/>
    </row>
    <row r="2820" spans="2:24" x14ac:dyDescent="0.25">
      <c r="B2820" s="22"/>
      <c r="C2820" s="21"/>
      <c r="W2820" s="22"/>
      <c r="X2820" s="22"/>
    </row>
    <row r="2821" spans="2:24" x14ac:dyDescent="0.25">
      <c r="B2821" s="22"/>
      <c r="C2821" s="21"/>
      <c r="W2821" s="22"/>
      <c r="X2821" s="22"/>
    </row>
    <row r="2822" spans="2:24" x14ac:dyDescent="0.25">
      <c r="B2822" s="22"/>
      <c r="C2822" s="21"/>
      <c r="W2822" s="22"/>
      <c r="X2822" s="22"/>
    </row>
    <row r="2823" spans="2:24" x14ac:dyDescent="0.25">
      <c r="B2823" s="22"/>
      <c r="C2823" s="21"/>
      <c r="W2823" s="22"/>
      <c r="X2823" s="22"/>
    </row>
    <row r="2824" spans="2:24" x14ac:dyDescent="0.25">
      <c r="B2824" s="22"/>
      <c r="C2824" s="21"/>
      <c r="W2824" s="22"/>
      <c r="X2824" s="22"/>
    </row>
    <row r="2825" spans="2:24" x14ac:dyDescent="0.25">
      <c r="B2825" s="22"/>
      <c r="C2825" s="21"/>
      <c r="W2825" s="22"/>
      <c r="X2825" s="22"/>
    </row>
    <row r="2826" spans="2:24" x14ac:dyDescent="0.25">
      <c r="B2826" s="22"/>
      <c r="C2826" s="21"/>
      <c r="W2826" s="22"/>
      <c r="X2826" s="22"/>
    </row>
    <row r="2827" spans="2:24" x14ac:dyDescent="0.25">
      <c r="B2827" s="22"/>
      <c r="C2827" s="21"/>
      <c r="W2827" s="22"/>
      <c r="X2827" s="22"/>
    </row>
    <row r="2828" spans="2:24" x14ac:dyDescent="0.25">
      <c r="B2828" s="22"/>
      <c r="C2828" s="21"/>
      <c r="W2828" s="22"/>
      <c r="X2828" s="22"/>
    </row>
    <row r="2829" spans="2:24" x14ac:dyDescent="0.25">
      <c r="B2829" s="22"/>
      <c r="C2829" s="21"/>
      <c r="W2829" s="22"/>
      <c r="X2829" s="22"/>
    </row>
    <row r="2830" spans="2:24" x14ac:dyDescent="0.25">
      <c r="B2830" s="22"/>
      <c r="C2830" s="21"/>
      <c r="W2830" s="22"/>
      <c r="X2830" s="22"/>
    </row>
    <row r="2831" spans="2:24" x14ac:dyDescent="0.25">
      <c r="B2831" s="22"/>
      <c r="C2831" s="21"/>
      <c r="W2831" s="22"/>
      <c r="X2831" s="22"/>
    </row>
    <row r="2832" spans="2:24" x14ac:dyDescent="0.25">
      <c r="B2832" s="22"/>
      <c r="C2832" s="21"/>
      <c r="W2832" s="22"/>
      <c r="X2832" s="22"/>
    </row>
    <row r="2833" spans="2:24" x14ac:dyDescent="0.25">
      <c r="B2833" s="22"/>
      <c r="C2833" s="21"/>
      <c r="W2833" s="22"/>
      <c r="X2833" s="22"/>
    </row>
    <row r="2834" spans="2:24" x14ac:dyDescent="0.25">
      <c r="B2834" s="22"/>
      <c r="C2834" s="21"/>
      <c r="W2834" s="22"/>
      <c r="X2834" s="22"/>
    </row>
    <row r="2835" spans="2:24" x14ac:dyDescent="0.25">
      <c r="B2835" s="22"/>
      <c r="C2835" s="21"/>
      <c r="W2835" s="22"/>
      <c r="X2835" s="22"/>
    </row>
    <row r="2836" spans="2:24" x14ac:dyDescent="0.25">
      <c r="B2836" s="22"/>
      <c r="C2836" s="21"/>
      <c r="W2836" s="22"/>
      <c r="X2836" s="22"/>
    </row>
    <row r="2837" spans="2:24" x14ac:dyDescent="0.25">
      <c r="B2837" s="22"/>
      <c r="C2837" s="21"/>
      <c r="W2837" s="22"/>
      <c r="X2837" s="22"/>
    </row>
    <row r="2838" spans="2:24" x14ac:dyDescent="0.25">
      <c r="B2838" s="22"/>
      <c r="C2838" s="21"/>
      <c r="W2838" s="22"/>
      <c r="X2838" s="22"/>
    </row>
    <row r="2839" spans="2:24" x14ac:dyDescent="0.25">
      <c r="B2839" s="22"/>
      <c r="C2839" s="21"/>
      <c r="W2839" s="22"/>
      <c r="X2839" s="22"/>
    </row>
    <row r="2840" spans="2:24" x14ac:dyDescent="0.25">
      <c r="B2840" s="22"/>
      <c r="C2840" s="21"/>
      <c r="W2840" s="22"/>
      <c r="X2840" s="22"/>
    </row>
    <row r="2841" spans="2:24" x14ac:dyDescent="0.25">
      <c r="B2841" s="22"/>
      <c r="C2841" s="21"/>
      <c r="W2841" s="22"/>
      <c r="X2841" s="22"/>
    </row>
    <row r="2842" spans="2:24" x14ac:dyDescent="0.25">
      <c r="B2842" s="22"/>
      <c r="C2842" s="21"/>
      <c r="W2842" s="22"/>
      <c r="X2842" s="22"/>
    </row>
    <row r="2843" spans="2:24" x14ac:dyDescent="0.25">
      <c r="B2843" s="22"/>
      <c r="C2843" s="21"/>
      <c r="W2843" s="22"/>
      <c r="X2843" s="22"/>
    </row>
    <row r="2844" spans="2:24" x14ac:dyDescent="0.25">
      <c r="B2844" s="22"/>
      <c r="C2844" s="21"/>
      <c r="W2844" s="22"/>
      <c r="X2844" s="22"/>
    </row>
    <row r="2845" spans="2:24" x14ac:dyDescent="0.25">
      <c r="B2845" s="22"/>
      <c r="C2845" s="21"/>
      <c r="W2845" s="22"/>
      <c r="X2845" s="22"/>
    </row>
    <row r="2846" spans="2:24" x14ac:dyDescent="0.25">
      <c r="B2846" s="22"/>
      <c r="C2846" s="21"/>
      <c r="W2846" s="22"/>
      <c r="X2846" s="22"/>
    </row>
    <row r="2847" spans="2:24" x14ac:dyDescent="0.25">
      <c r="B2847" s="22"/>
      <c r="C2847" s="21"/>
      <c r="W2847" s="22"/>
      <c r="X2847" s="22"/>
    </row>
    <row r="2848" spans="2:24" x14ac:dyDescent="0.25">
      <c r="B2848" s="22"/>
      <c r="C2848" s="21"/>
      <c r="W2848" s="22"/>
      <c r="X2848" s="22"/>
    </row>
    <row r="2849" spans="2:24" x14ac:dyDescent="0.25">
      <c r="B2849" s="22"/>
      <c r="C2849" s="21"/>
      <c r="W2849" s="22"/>
      <c r="X2849" s="22"/>
    </row>
    <row r="2850" spans="2:24" x14ac:dyDescent="0.25">
      <c r="B2850" s="22"/>
      <c r="C2850" s="21"/>
      <c r="W2850" s="22"/>
      <c r="X2850" s="22"/>
    </row>
    <row r="2851" spans="2:24" x14ac:dyDescent="0.25">
      <c r="B2851" s="22"/>
      <c r="C2851" s="21"/>
      <c r="W2851" s="22"/>
      <c r="X2851" s="22"/>
    </row>
    <row r="2852" spans="2:24" x14ac:dyDescent="0.25">
      <c r="B2852" s="22"/>
      <c r="C2852" s="21"/>
      <c r="W2852" s="22"/>
      <c r="X2852" s="22"/>
    </row>
    <row r="2853" spans="2:24" x14ac:dyDescent="0.25">
      <c r="B2853" s="22"/>
      <c r="C2853" s="21"/>
      <c r="W2853" s="22"/>
      <c r="X2853" s="22"/>
    </row>
    <row r="2854" spans="2:24" x14ac:dyDescent="0.25">
      <c r="B2854" s="22"/>
      <c r="C2854" s="21"/>
      <c r="W2854" s="22"/>
      <c r="X2854" s="22"/>
    </row>
    <row r="2855" spans="2:24" x14ac:dyDescent="0.25">
      <c r="B2855" s="22"/>
      <c r="C2855" s="21"/>
      <c r="W2855" s="22"/>
      <c r="X2855" s="22"/>
    </row>
    <row r="2856" spans="2:24" x14ac:dyDescent="0.25">
      <c r="B2856" s="22"/>
      <c r="C2856" s="21"/>
      <c r="W2856" s="22"/>
      <c r="X2856" s="22"/>
    </row>
    <row r="2857" spans="2:24" x14ac:dyDescent="0.25">
      <c r="B2857" s="22"/>
      <c r="C2857" s="21"/>
      <c r="W2857" s="22"/>
      <c r="X2857" s="22"/>
    </row>
    <row r="2858" spans="2:24" x14ac:dyDescent="0.25">
      <c r="B2858" s="22"/>
      <c r="C2858" s="21"/>
      <c r="W2858" s="22"/>
      <c r="X2858" s="22"/>
    </row>
    <row r="2859" spans="2:24" x14ac:dyDescent="0.25">
      <c r="B2859" s="22"/>
      <c r="C2859" s="21"/>
      <c r="W2859" s="22"/>
      <c r="X2859" s="22"/>
    </row>
    <row r="2860" spans="2:24" x14ac:dyDescent="0.25">
      <c r="B2860" s="22"/>
      <c r="C2860" s="21"/>
      <c r="W2860" s="22"/>
      <c r="X2860" s="22"/>
    </row>
    <row r="2861" spans="2:24" x14ac:dyDescent="0.25">
      <c r="B2861" s="22"/>
      <c r="C2861" s="21"/>
      <c r="W2861" s="22"/>
      <c r="X2861" s="22"/>
    </row>
    <row r="2862" spans="2:24" x14ac:dyDescent="0.25">
      <c r="B2862" s="22"/>
      <c r="C2862" s="21"/>
      <c r="W2862" s="22"/>
      <c r="X2862" s="22"/>
    </row>
    <row r="2863" spans="2:24" x14ac:dyDescent="0.25">
      <c r="B2863" s="22"/>
      <c r="C2863" s="21"/>
      <c r="W2863" s="22"/>
      <c r="X2863" s="22"/>
    </row>
    <row r="2864" spans="2:24" x14ac:dyDescent="0.25">
      <c r="B2864" s="22"/>
      <c r="C2864" s="21"/>
      <c r="W2864" s="22"/>
      <c r="X2864" s="22"/>
    </row>
    <row r="2865" spans="2:24" x14ac:dyDescent="0.25">
      <c r="B2865" s="22"/>
      <c r="C2865" s="21"/>
      <c r="W2865" s="22"/>
      <c r="X2865" s="22"/>
    </row>
    <row r="2866" spans="2:24" x14ac:dyDescent="0.25">
      <c r="B2866" s="22"/>
      <c r="C2866" s="21"/>
      <c r="W2866" s="22"/>
      <c r="X2866" s="22"/>
    </row>
    <row r="2867" spans="2:24" x14ac:dyDescent="0.25">
      <c r="B2867" s="22"/>
      <c r="C2867" s="21"/>
      <c r="W2867" s="22"/>
      <c r="X2867" s="22"/>
    </row>
    <row r="2868" spans="2:24" x14ac:dyDescent="0.25">
      <c r="B2868" s="22"/>
      <c r="C2868" s="21"/>
      <c r="W2868" s="22"/>
      <c r="X2868" s="22"/>
    </row>
    <row r="2869" spans="2:24" x14ac:dyDescent="0.25">
      <c r="B2869" s="22"/>
      <c r="C2869" s="21"/>
      <c r="W2869" s="22"/>
      <c r="X2869" s="22"/>
    </row>
    <row r="2870" spans="2:24" x14ac:dyDescent="0.25">
      <c r="B2870" s="22"/>
      <c r="C2870" s="21"/>
      <c r="W2870" s="22"/>
      <c r="X2870" s="22"/>
    </row>
    <row r="2871" spans="2:24" x14ac:dyDescent="0.25">
      <c r="B2871" s="22"/>
      <c r="C2871" s="21"/>
      <c r="W2871" s="22"/>
      <c r="X2871" s="22"/>
    </row>
    <row r="2872" spans="2:24" x14ac:dyDescent="0.25">
      <c r="B2872" s="22"/>
      <c r="C2872" s="21"/>
      <c r="W2872" s="22"/>
      <c r="X2872" s="22"/>
    </row>
    <row r="2873" spans="2:24" x14ac:dyDescent="0.25">
      <c r="B2873" s="22"/>
      <c r="C2873" s="21"/>
      <c r="W2873" s="22"/>
      <c r="X2873" s="22"/>
    </row>
    <row r="2874" spans="2:24" x14ac:dyDescent="0.25">
      <c r="B2874" s="22"/>
      <c r="C2874" s="21"/>
      <c r="W2874" s="22"/>
      <c r="X2874" s="22"/>
    </row>
    <row r="2875" spans="2:24" x14ac:dyDescent="0.25">
      <c r="B2875" s="22"/>
      <c r="C2875" s="21"/>
      <c r="W2875" s="22"/>
      <c r="X2875" s="22"/>
    </row>
    <row r="2876" spans="2:24" x14ac:dyDescent="0.25">
      <c r="B2876" s="22"/>
      <c r="C2876" s="21"/>
      <c r="W2876" s="22"/>
      <c r="X2876" s="22"/>
    </row>
    <row r="2877" spans="2:24" x14ac:dyDescent="0.25">
      <c r="B2877" s="22"/>
      <c r="C2877" s="21"/>
      <c r="W2877" s="22"/>
      <c r="X2877" s="22"/>
    </row>
    <row r="2878" spans="2:24" x14ac:dyDescent="0.25">
      <c r="B2878" s="22"/>
      <c r="C2878" s="21"/>
      <c r="W2878" s="22"/>
      <c r="X2878" s="22"/>
    </row>
    <row r="2879" spans="2:24" x14ac:dyDescent="0.25">
      <c r="B2879" s="22"/>
      <c r="C2879" s="21"/>
      <c r="W2879" s="22"/>
      <c r="X2879" s="22"/>
    </row>
    <row r="2880" spans="2:24" x14ac:dyDescent="0.25">
      <c r="B2880" s="22"/>
      <c r="C2880" s="21"/>
      <c r="W2880" s="22"/>
      <c r="X2880" s="22"/>
    </row>
    <row r="2881" spans="2:24" x14ac:dyDescent="0.25">
      <c r="B2881" s="22"/>
      <c r="C2881" s="21"/>
      <c r="W2881" s="22"/>
      <c r="X2881" s="22"/>
    </row>
    <row r="2882" spans="2:24" x14ac:dyDescent="0.25">
      <c r="B2882" s="22"/>
      <c r="C2882" s="21"/>
      <c r="W2882" s="22"/>
      <c r="X2882" s="22"/>
    </row>
    <row r="2883" spans="2:24" x14ac:dyDescent="0.25">
      <c r="B2883" s="22"/>
      <c r="C2883" s="21"/>
      <c r="W2883" s="22"/>
      <c r="X2883" s="22"/>
    </row>
    <row r="2884" spans="2:24" x14ac:dyDescent="0.25">
      <c r="B2884" s="22"/>
      <c r="C2884" s="21"/>
      <c r="W2884" s="22"/>
      <c r="X2884" s="22"/>
    </row>
    <row r="2885" spans="2:24" x14ac:dyDescent="0.25">
      <c r="B2885" s="22"/>
      <c r="C2885" s="21"/>
      <c r="W2885" s="22"/>
      <c r="X2885" s="22"/>
    </row>
    <row r="2886" spans="2:24" x14ac:dyDescent="0.25">
      <c r="B2886" s="22"/>
      <c r="C2886" s="21"/>
      <c r="W2886" s="22"/>
      <c r="X2886" s="22"/>
    </row>
    <row r="2887" spans="2:24" x14ac:dyDescent="0.25">
      <c r="B2887" s="22"/>
      <c r="C2887" s="21"/>
      <c r="W2887" s="22"/>
      <c r="X2887" s="22"/>
    </row>
    <row r="2888" spans="2:24" x14ac:dyDescent="0.25">
      <c r="B2888" s="22"/>
      <c r="C2888" s="21"/>
      <c r="W2888" s="22"/>
      <c r="X2888" s="22"/>
    </row>
    <row r="2889" spans="2:24" x14ac:dyDescent="0.25">
      <c r="B2889" s="22"/>
      <c r="C2889" s="21"/>
      <c r="W2889" s="22"/>
      <c r="X2889" s="22"/>
    </row>
    <row r="2890" spans="2:24" x14ac:dyDescent="0.25">
      <c r="B2890" s="22"/>
      <c r="C2890" s="21"/>
      <c r="W2890" s="22"/>
      <c r="X2890" s="22"/>
    </row>
    <row r="2891" spans="2:24" x14ac:dyDescent="0.25">
      <c r="B2891" s="22"/>
      <c r="C2891" s="21"/>
      <c r="W2891" s="22"/>
      <c r="X2891" s="22"/>
    </row>
    <row r="2892" spans="2:24" x14ac:dyDescent="0.25">
      <c r="B2892" s="22"/>
      <c r="C2892" s="21"/>
      <c r="W2892" s="22"/>
      <c r="X2892" s="22"/>
    </row>
    <row r="2893" spans="2:24" x14ac:dyDescent="0.25">
      <c r="B2893" s="22"/>
      <c r="C2893" s="21"/>
      <c r="W2893" s="22"/>
      <c r="X2893" s="22"/>
    </row>
    <row r="2894" spans="2:24" x14ac:dyDescent="0.25">
      <c r="B2894" s="22"/>
      <c r="C2894" s="21"/>
      <c r="W2894" s="22"/>
      <c r="X2894" s="22"/>
    </row>
    <row r="2895" spans="2:24" x14ac:dyDescent="0.25">
      <c r="B2895" s="22"/>
      <c r="C2895" s="21"/>
      <c r="W2895" s="22"/>
      <c r="X2895" s="22"/>
    </row>
    <row r="2896" spans="2:24" x14ac:dyDescent="0.25">
      <c r="B2896" s="22"/>
      <c r="C2896" s="21"/>
      <c r="W2896" s="22"/>
      <c r="X2896" s="22"/>
    </row>
    <row r="2897" spans="2:24" x14ac:dyDescent="0.25">
      <c r="B2897" s="22"/>
      <c r="C2897" s="21"/>
      <c r="W2897" s="22"/>
      <c r="X2897" s="22"/>
    </row>
    <row r="2898" spans="2:24" x14ac:dyDescent="0.25">
      <c r="B2898" s="22"/>
      <c r="C2898" s="21"/>
      <c r="W2898" s="22"/>
      <c r="X2898" s="22"/>
    </row>
    <row r="2899" spans="2:24" x14ac:dyDescent="0.25">
      <c r="B2899" s="22"/>
      <c r="C2899" s="21"/>
      <c r="W2899" s="22"/>
      <c r="X2899" s="22"/>
    </row>
    <row r="2900" spans="2:24" x14ac:dyDescent="0.25">
      <c r="B2900" s="22"/>
      <c r="C2900" s="21"/>
      <c r="W2900" s="22"/>
      <c r="X2900" s="22"/>
    </row>
    <row r="2901" spans="2:24" x14ac:dyDescent="0.25">
      <c r="B2901" s="22"/>
      <c r="C2901" s="21"/>
      <c r="W2901" s="22"/>
      <c r="X2901" s="22"/>
    </row>
    <row r="2902" spans="2:24" x14ac:dyDescent="0.25">
      <c r="B2902" s="22"/>
      <c r="C2902" s="21"/>
      <c r="W2902" s="22"/>
      <c r="X2902" s="22"/>
    </row>
    <row r="2903" spans="2:24" x14ac:dyDescent="0.25">
      <c r="B2903" s="22"/>
      <c r="C2903" s="21"/>
      <c r="W2903" s="22"/>
      <c r="X2903" s="22"/>
    </row>
    <row r="2904" spans="2:24" x14ac:dyDescent="0.25">
      <c r="B2904" s="22"/>
      <c r="C2904" s="21"/>
      <c r="W2904" s="22"/>
      <c r="X2904" s="22"/>
    </row>
    <row r="2905" spans="2:24" x14ac:dyDescent="0.25">
      <c r="B2905" s="22"/>
      <c r="C2905" s="21"/>
      <c r="W2905" s="22"/>
      <c r="X2905" s="22"/>
    </row>
    <row r="2906" spans="2:24" x14ac:dyDescent="0.25">
      <c r="B2906" s="22"/>
      <c r="C2906" s="21"/>
      <c r="W2906" s="22"/>
      <c r="X2906" s="22"/>
    </row>
    <row r="2907" spans="2:24" x14ac:dyDescent="0.25">
      <c r="B2907" s="22"/>
      <c r="C2907" s="21"/>
      <c r="W2907" s="22"/>
      <c r="X2907" s="22"/>
    </row>
    <row r="2908" spans="2:24" x14ac:dyDescent="0.25">
      <c r="B2908" s="22"/>
      <c r="C2908" s="21"/>
      <c r="W2908" s="22"/>
      <c r="X2908" s="22"/>
    </row>
    <row r="2909" spans="2:24" x14ac:dyDescent="0.25">
      <c r="B2909" s="22"/>
      <c r="C2909" s="21"/>
      <c r="W2909" s="22"/>
      <c r="X2909" s="22"/>
    </row>
    <row r="2910" spans="2:24" x14ac:dyDescent="0.25">
      <c r="B2910" s="22"/>
      <c r="C2910" s="21"/>
      <c r="W2910" s="22"/>
      <c r="X2910" s="22"/>
    </row>
    <row r="2911" spans="2:24" x14ac:dyDescent="0.25">
      <c r="B2911" s="22"/>
      <c r="C2911" s="21"/>
      <c r="W2911" s="22"/>
      <c r="X2911" s="22"/>
    </row>
    <row r="2912" spans="2:24" x14ac:dyDescent="0.25">
      <c r="B2912" s="22"/>
      <c r="C2912" s="21"/>
      <c r="W2912" s="22"/>
      <c r="X2912" s="22"/>
    </row>
    <row r="2913" spans="2:24" x14ac:dyDescent="0.25">
      <c r="B2913" s="22"/>
      <c r="C2913" s="21"/>
      <c r="W2913" s="22"/>
      <c r="X2913" s="22"/>
    </row>
    <row r="2914" spans="2:24" x14ac:dyDescent="0.25">
      <c r="B2914" s="22"/>
      <c r="C2914" s="21"/>
      <c r="W2914" s="22"/>
      <c r="X2914" s="22"/>
    </row>
    <row r="2915" spans="2:24" x14ac:dyDescent="0.25">
      <c r="B2915" s="22"/>
      <c r="C2915" s="21"/>
      <c r="W2915" s="22"/>
      <c r="X2915" s="22"/>
    </row>
    <row r="2916" spans="2:24" x14ac:dyDescent="0.25">
      <c r="B2916" s="22"/>
      <c r="C2916" s="21"/>
      <c r="W2916" s="22"/>
      <c r="X2916" s="22"/>
    </row>
    <row r="2917" spans="2:24" x14ac:dyDescent="0.25">
      <c r="B2917" s="22"/>
      <c r="C2917" s="21"/>
      <c r="W2917" s="22"/>
      <c r="X2917" s="22"/>
    </row>
    <row r="2918" spans="2:24" x14ac:dyDescent="0.25">
      <c r="B2918" s="22"/>
      <c r="C2918" s="21"/>
      <c r="W2918" s="22"/>
      <c r="X2918" s="22"/>
    </row>
    <row r="2919" spans="2:24" x14ac:dyDescent="0.25">
      <c r="B2919" s="22"/>
      <c r="C2919" s="21"/>
      <c r="W2919" s="22"/>
      <c r="X2919" s="22"/>
    </row>
    <row r="2920" spans="2:24" x14ac:dyDescent="0.25">
      <c r="B2920" s="22"/>
      <c r="C2920" s="21"/>
      <c r="W2920" s="22"/>
      <c r="X2920" s="22"/>
    </row>
    <row r="2921" spans="2:24" x14ac:dyDescent="0.25">
      <c r="B2921" s="22"/>
      <c r="C2921" s="21"/>
      <c r="W2921" s="22"/>
      <c r="X2921" s="22"/>
    </row>
    <row r="2922" spans="2:24" x14ac:dyDescent="0.25">
      <c r="B2922" s="22"/>
      <c r="C2922" s="21"/>
      <c r="W2922" s="22"/>
      <c r="X2922" s="22"/>
    </row>
    <row r="2923" spans="2:24" x14ac:dyDescent="0.25">
      <c r="B2923" s="22"/>
      <c r="C2923" s="21"/>
      <c r="W2923" s="22"/>
      <c r="X2923" s="22"/>
    </row>
    <row r="2924" spans="2:24" x14ac:dyDescent="0.25">
      <c r="B2924" s="22"/>
      <c r="C2924" s="21"/>
      <c r="W2924" s="22"/>
      <c r="X2924" s="22"/>
    </row>
    <row r="2925" spans="2:24" x14ac:dyDescent="0.25">
      <c r="B2925" s="22"/>
      <c r="C2925" s="21"/>
      <c r="W2925" s="22"/>
      <c r="X2925" s="22"/>
    </row>
    <row r="2926" spans="2:24" x14ac:dyDescent="0.25">
      <c r="B2926" s="22"/>
      <c r="C2926" s="21"/>
      <c r="W2926" s="22"/>
      <c r="X2926" s="22"/>
    </row>
    <row r="2927" spans="2:24" x14ac:dyDescent="0.25">
      <c r="B2927" s="22"/>
      <c r="C2927" s="21"/>
      <c r="W2927" s="22"/>
      <c r="X2927" s="22"/>
    </row>
    <row r="2928" spans="2:24" x14ac:dyDescent="0.25">
      <c r="B2928" s="22"/>
      <c r="C2928" s="21"/>
      <c r="W2928" s="22"/>
      <c r="X2928" s="22"/>
    </row>
    <row r="2929" spans="2:24" x14ac:dyDescent="0.25">
      <c r="B2929" s="22"/>
      <c r="C2929" s="21"/>
      <c r="W2929" s="22"/>
      <c r="X2929" s="22"/>
    </row>
    <row r="2930" spans="2:24" x14ac:dyDescent="0.25">
      <c r="B2930" s="22"/>
      <c r="C2930" s="21"/>
      <c r="W2930" s="22"/>
      <c r="X2930" s="22"/>
    </row>
    <row r="2931" spans="2:24" x14ac:dyDescent="0.25">
      <c r="B2931" s="22"/>
      <c r="C2931" s="21"/>
      <c r="W2931" s="22"/>
      <c r="X2931" s="22"/>
    </row>
    <row r="2932" spans="2:24" x14ac:dyDescent="0.25">
      <c r="B2932" s="22"/>
      <c r="C2932" s="21"/>
      <c r="W2932" s="22"/>
      <c r="X2932" s="22"/>
    </row>
    <row r="2933" spans="2:24" x14ac:dyDescent="0.25">
      <c r="B2933" s="22"/>
      <c r="C2933" s="21"/>
      <c r="W2933" s="22"/>
      <c r="X2933" s="22"/>
    </row>
    <row r="2934" spans="2:24" x14ac:dyDescent="0.25">
      <c r="B2934" s="22"/>
      <c r="C2934" s="21"/>
      <c r="W2934" s="22"/>
      <c r="X2934" s="22"/>
    </row>
    <row r="2935" spans="2:24" x14ac:dyDescent="0.25">
      <c r="B2935" s="22"/>
      <c r="C2935" s="21"/>
      <c r="W2935" s="22"/>
      <c r="X2935" s="22"/>
    </row>
    <row r="2936" spans="2:24" x14ac:dyDescent="0.25">
      <c r="B2936" s="22"/>
      <c r="C2936" s="21"/>
      <c r="W2936" s="22"/>
      <c r="X2936" s="22"/>
    </row>
    <row r="2937" spans="2:24" x14ac:dyDescent="0.25">
      <c r="B2937" s="22"/>
      <c r="C2937" s="21"/>
      <c r="W2937" s="22"/>
      <c r="X2937" s="22"/>
    </row>
    <row r="2938" spans="2:24" x14ac:dyDescent="0.25">
      <c r="B2938" s="22"/>
      <c r="C2938" s="21"/>
      <c r="W2938" s="22"/>
      <c r="X2938" s="22"/>
    </row>
    <row r="2939" spans="2:24" x14ac:dyDescent="0.25">
      <c r="B2939" s="22"/>
      <c r="C2939" s="21"/>
      <c r="W2939" s="22"/>
      <c r="X2939" s="22"/>
    </row>
    <row r="2940" spans="2:24" x14ac:dyDescent="0.25">
      <c r="B2940" s="22"/>
      <c r="C2940" s="21"/>
      <c r="W2940" s="22"/>
      <c r="X2940" s="22"/>
    </row>
    <row r="2941" spans="2:24" x14ac:dyDescent="0.25">
      <c r="B2941" s="22"/>
      <c r="C2941" s="21"/>
      <c r="W2941" s="22"/>
      <c r="X2941" s="22"/>
    </row>
    <row r="2942" spans="2:24" x14ac:dyDescent="0.25">
      <c r="B2942" s="22"/>
      <c r="C2942" s="21"/>
      <c r="W2942" s="22"/>
      <c r="X2942" s="22"/>
    </row>
    <row r="2943" spans="2:24" x14ac:dyDescent="0.25">
      <c r="B2943" s="22"/>
      <c r="C2943" s="21"/>
      <c r="W2943" s="22"/>
      <c r="X2943" s="22"/>
    </row>
    <row r="2944" spans="2:24" x14ac:dyDescent="0.25">
      <c r="B2944" s="22"/>
      <c r="C2944" s="21"/>
      <c r="W2944" s="22"/>
      <c r="X2944" s="22"/>
    </row>
    <row r="2945" spans="2:24" x14ac:dyDescent="0.25">
      <c r="B2945" s="22"/>
      <c r="C2945" s="21"/>
      <c r="W2945" s="22"/>
      <c r="X2945" s="22"/>
    </row>
    <row r="2946" spans="2:24" x14ac:dyDescent="0.25">
      <c r="B2946" s="22"/>
      <c r="C2946" s="21"/>
      <c r="W2946" s="22"/>
      <c r="X2946" s="22"/>
    </row>
    <row r="2947" spans="2:24" x14ac:dyDescent="0.25">
      <c r="B2947" s="22"/>
      <c r="C2947" s="21"/>
      <c r="W2947" s="22"/>
      <c r="X2947" s="22"/>
    </row>
    <row r="2948" spans="2:24" x14ac:dyDescent="0.25">
      <c r="B2948" s="22"/>
      <c r="C2948" s="21"/>
      <c r="W2948" s="22"/>
      <c r="X2948" s="22"/>
    </row>
    <row r="2949" spans="2:24" x14ac:dyDescent="0.25">
      <c r="B2949" s="22"/>
      <c r="C2949" s="21"/>
      <c r="W2949" s="22"/>
      <c r="X2949" s="22"/>
    </row>
    <row r="2950" spans="2:24" x14ac:dyDescent="0.25">
      <c r="B2950" s="22"/>
      <c r="C2950" s="21"/>
      <c r="W2950" s="22"/>
      <c r="X2950" s="22"/>
    </row>
    <row r="2951" spans="2:24" x14ac:dyDescent="0.25">
      <c r="B2951" s="22"/>
      <c r="C2951" s="21"/>
      <c r="W2951" s="22"/>
      <c r="X2951" s="22"/>
    </row>
    <row r="2952" spans="2:24" x14ac:dyDescent="0.25">
      <c r="B2952" s="22"/>
      <c r="C2952" s="21"/>
      <c r="W2952" s="22"/>
      <c r="X2952" s="22"/>
    </row>
    <row r="2953" spans="2:24" x14ac:dyDescent="0.25">
      <c r="B2953" s="22"/>
      <c r="C2953" s="21"/>
      <c r="W2953" s="22"/>
      <c r="X2953" s="22"/>
    </row>
    <row r="2954" spans="2:24" x14ac:dyDescent="0.25">
      <c r="B2954" s="22"/>
      <c r="C2954" s="21"/>
      <c r="W2954" s="22"/>
      <c r="X2954" s="22"/>
    </row>
    <row r="2955" spans="2:24" x14ac:dyDescent="0.25">
      <c r="B2955" s="22"/>
      <c r="C2955" s="21"/>
      <c r="W2955" s="22"/>
      <c r="X2955" s="22"/>
    </row>
    <row r="2956" spans="2:24" x14ac:dyDescent="0.25">
      <c r="B2956" s="22"/>
      <c r="C2956" s="21"/>
      <c r="W2956" s="22"/>
      <c r="X2956" s="22"/>
    </row>
    <row r="2957" spans="2:24" x14ac:dyDescent="0.25">
      <c r="B2957" s="22"/>
      <c r="C2957" s="21"/>
      <c r="W2957" s="22"/>
      <c r="X2957" s="22"/>
    </row>
    <row r="2958" spans="2:24" x14ac:dyDescent="0.25">
      <c r="B2958" s="22"/>
      <c r="C2958" s="21"/>
      <c r="W2958" s="22"/>
      <c r="X2958" s="22"/>
    </row>
    <row r="2959" spans="2:24" x14ac:dyDescent="0.25">
      <c r="B2959" s="22"/>
      <c r="C2959" s="21"/>
      <c r="W2959" s="22"/>
      <c r="X2959" s="22"/>
    </row>
    <row r="2960" spans="2:24" x14ac:dyDescent="0.25">
      <c r="B2960" s="22"/>
      <c r="C2960" s="21"/>
      <c r="W2960" s="22"/>
      <c r="X2960" s="22"/>
    </row>
    <row r="2961" spans="2:24" x14ac:dyDescent="0.25">
      <c r="B2961" s="22"/>
      <c r="C2961" s="21"/>
      <c r="W2961" s="22"/>
      <c r="X2961" s="22"/>
    </row>
    <row r="2962" spans="2:24" x14ac:dyDescent="0.25">
      <c r="B2962" s="22"/>
      <c r="C2962" s="21"/>
      <c r="W2962" s="22"/>
      <c r="X2962" s="22"/>
    </row>
    <row r="2963" spans="2:24" x14ac:dyDescent="0.25">
      <c r="B2963" s="22"/>
      <c r="C2963" s="21"/>
      <c r="W2963" s="22"/>
      <c r="X2963" s="22"/>
    </row>
    <row r="2964" spans="2:24" x14ac:dyDescent="0.25">
      <c r="B2964" s="22"/>
      <c r="C2964" s="21"/>
      <c r="W2964" s="22"/>
      <c r="X2964" s="22"/>
    </row>
    <row r="2965" spans="2:24" x14ac:dyDescent="0.25">
      <c r="B2965" s="22"/>
      <c r="C2965" s="21"/>
      <c r="W2965" s="22"/>
      <c r="X2965" s="22"/>
    </row>
    <row r="2966" spans="2:24" x14ac:dyDescent="0.25">
      <c r="B2966" s="22"/>
      <c r="C2966" s="21"/>
      <c r="W2966" s="22"/>
      <c r="X2966" s="22"/>
    </row>
    <row r="2967" spans="2:24" x14ac:dyDescent="0.25">
      <c r="B2967" s="22"/>
      <c r="C2967" s="21"/>
      <c r="W2967" s="22"/>
      <c r="X2967" s="22"/>
    </row>
    <row r="2968" spans="2:24" x14ac:dyDescent="0.25">
      <c r="B2968" s="22"/>
      <c r="C2968" s="21"/>
      <c r="W2968" s="22"/>
      <c r="X2968" s="22"/>
    </row>
    <row r="2969" spans="2:24" x14ac:dyDescent="0.25">
      <c r="B2969" s="22"/>
      <c r="C2969" s="21"/>
      <c r="W2969" s="22"/>
      <c r="X2969" s="22"/>
    </row>
    <row r="2970" spans="2:24" x14ac:dyDescent="0.25">
      <c r="B2970" s="22"/>
      <c r="C2970" s="21"/>
      <c r="W2970" s="22"/>
      <c r="X2970" s="22"/>
    </row>
    <row r="2971" spans="2:24" x14ac:dyDescent="0.25">
      <c r="B2971" s="22"/>
      <c r="C2971" s="21"/>
      <c r="W2971" s="22"/>
      <c r="X2971" s="22"/>
    </row>
    <row r="2972" spans="2:24" x14ac:dyDescent="0.25">
      <c r="B2972" s="22"/>
      <c r="C2972" s="21"/>
      <c r="W2972" s="22"/>
      <c r="X2972" s="22"/>
    </row>
    <row r="2973" spans="2:24" x14ac:dyDescent="0.25">
      <c r="B2973" s="22"/>
      <c r="C2973" s="21"/>
      <c r="W2973" s="22"/>
      <c r="X2973" s="22"/>
    </row>
    <row r="2974" spans="2:24" x14ac:dyDescent="0.25">
      <c r="B2974" s="22"/>
      <c r="C2974" s="21"/>
      <c r="W2974" s="22"/>
      <c r="X2974" s="22"/>
    </row>
    <row r="2975" spans="2:24" x14ac:dyDescent="0.25">
      <c r="B2975" s="22"/>
      <c r="C2975" s="21"/>
      <c r="W2975" s="22"/>
      <c r="X2975" s="22"/>
    </row>
    <row r="2976" spans="2:24" x14ac:dyDescent="0.25">
      <c r="B2976" s="22"/>
      <c r="C2976" s="21"/>
      <c r="W2976" s="22"/>
      <c r="X2976" s="22"/>
    </row>
    <row r="2977" spans="2:24" x14ac:dyDescent="0.25">
      <c r="B2977" s="22"/>
      <c r="C2977" s="21"/>
      <c r="W2977" s="22"/>
      <c r="X2977" s="22"/>
    </row>
    <row r="2978" spans="2:24" x14ac:dyDescent="0.25">
      <c r="B2978" s="22"/>
      <c r="C2978" s="21"/>
      <c r="W2978" s="22"/>
      <c r="X2978" s="22"/>
    </row>
    <row r="2979" spans="2:24" x14ac:dyDescent="0.25">
      <c r="B2979" s="22"/>
      <c r="C2979" s="21"/>
      <c r="W2979" s="22"/>
      <c r="X2979" s="22"/>
    </row>
    <row r="2980" spans="2:24" x14ac:dyDescent="0.25">
      <c r="B2980" s="22"/>
      <c r="C2980" s="21"/>
      <c r="W2980" s="22"/>
      <c r="X2980" s="22"/>
    </row>
    <row r="2981" spans="2:24" x14ac:dyDescent="0.25">
      <c r="B2981" s="22"/>
      <c r="C2981" s="21"/>
      <c r="W2981" s="22"/>
      <c r="X2981" s="22"/>
    </row>
    <row r="2982" spans="2:24" x14ac:dyDescent="0.25">
      <c r="B2982" s="22"/>
      <c r="C2982" s="21"/>
      <c r="W2982" s="22"/>
      <c r="X2982" s="22"/>
    </row>
    <row r="2983" spans="2:24" x14ac:dyDescent="0.25">
      <c r="B2983" s="22"/>
      <c r="C2983" s="21"/>
      <c r="W2983" s="22"/>
      <c r="X2983" s="22"/>
    </row>
    <row r="2984" spans="2:24" x14ac:dyDescent="0.25">
      <c r="B2984" s="22"/>
      <c r="C2984" s="21"/>
      <c r="W2984" s="22"/>
      <c r="X2984" s="22"/>
    </row>
    <row r="2985" spans="2:24" x14ac:dyDescent="0.25">
      <c r="B2985" s="22"/>
      <c r="C2985" s="21"/>
      <c r="W2985" s="22"/>
      <c r="X2985" s="22"/>
    </row>
    <row r="2986" spans="2:24" x14ac:dyDescent="0.25">
      <c r="B2986" s="22"/>
      <c r="C2986" s="21"/>
      <c r="W2986" s="22"/>
      <c r="X2986" s="22"/>
    </row>
    <row r="2987" spans="2:24" x14ac:dyDescent="0.25">
      <c r="B2987" s="22"/>
      <c r="C2987" s="21"/>
      <c r="W2987" s="22"/>
      <c r="X2987" s="22"/>
    </row>
    <row r="2988" spans="2:24" x14ac:dyDescent="0.25">
      <c r="B2988" s="22"/>
      <c r="C2988" s="21"/>
      <c r="W2988" s="22"/>
      <c r="X2988" s="22"/>
    </row>
    <row r="2989" spans="2:24" x14ac:dyDescent="0.25">
      <c r="B2989" s="22"/>
      <c r="C2989" s="21"/>
      <c r="W2989" s="22"/>
      <c r="X2989" s="22"/>
    </row>
    <row r="2990" spans="2:24" x14ac:dyDescent="0.25">
      <c r="B2990" s="22"/>
      <c r="C2990" s="21"/>
      <c r="W2990" s="22"/>
      <c r="X2990" s="22"/>
    </row>
    <row r="2991" spans="2:24" x14ac:dyDescent="0.25">
      <c r="B2991" s="22"/>
      <c r="C2991" s="21"/>
      <c r="W2991" s="22"/>
      <c r="X2991" s="22"/>
    </row>
    <row r="2992" spans="2:24" x14ac:dyDescent="0.25">
      <c r="B2992" s="22"/>
      <c r="C2992" s="21"/>
      <c r="W2992" s="22"/>
      <c r="X2992" s="22"/>
    </row>
    <row r="2993" spans="2:24" x14ac:dyDescent="0.25">
      <c r="B2993" s="22"/>
      <c r="C2993" s="21"/>
      <c r="W2993" s="22"/>
      <c r="X2993" s="22"/>
    </row>
    <row r="2994" spans="2:24" x14ac:dyDescent="0.25">
      <c r="B2994" s="22"/>
      <c r="C2994" s="21"/>
      <c r="W2994" s="22"/>
      <c r="X2994" s="22"/>
    </row>
    <row r="2995" spans="2:24" x14ac:dyDescent="0.25">
      <c r="B2995" s="22"/>
      <c r="C2995" s="21"/>
      <c r="W2995" s="22"/>
      <c r="X2995" s="22"/>
    </row>
    <row r="2996" spans="2:24" x14ac:dyDescent="0.25">
      <c r="B2996" s="22"/>
      <c r="C2996" s="21"/>
      <c r="W2996" s="22"/>
      <c r="X2996" s="22"/>
    </row>
    <row r="2997" spans="2:24" x14ac:dyDescent="0.25">
      <c r="B2997" s="22"/>
      <c r="C2997" s="21"/>
      <c r="W2997" s="22"/>
      <c r="X2997" s="22"/>
    </row>
    <row r="2998" spans="2:24" x14ac:dyDescent="0.25">
      <c r="B2998" s="22"/>
      <c r="C2998" s="21"/>
      <c r="W2998" s="22"/>
      <c r="X2998" s="22"/>
    </row>
    <row r="2999" spans="2:24" x14ac:dyDescent="0.25">
      <c r="B2999" s="22"/>
      <c r="C2999" s="21"/>
      <c r="W2999" s="22"/>
      <c r="X2999" s="22"/>
    </row>
    <row r="3000" spans="2:24" x14ac:dyDescent="0.25">
      <c r="B3000" s="22"/>
      <c r="C3000" s="21"/>
      <c r="W3000" s="22"/>
      <c r="X3000" s="22"/>
    </row>
    <row r="3001" spans="2:24" x14ac:dyDescent="0.25">
      <c r="B3001" s="22"/>
      <c r="C3001" s="21"/>
      <c r="W3001" s="22"/>
      <c r="X3001" s="22"/>
    </row>
    <row r="3002" spans="2:24" x14ac:dyDescent="0.25">
      <c r="B3002" s="22"/>
      <c r="C3002" s="21"/>
      <c r="W3002" s="22"/>
      <c r="X3002" s="22"/>
    </row>
    <row r="3003" spans="2:24" x14ac:dyDescent="0.25">
      <c r="B3003" s="22"/>
      <c r="C3003" s="21"/>
      <c r="W3003" s="22"/>
      <c r="X3003" s="22"/>
    </row>
    <row r="3004" spans="2:24" x14ac:dyDescent="0.25">
      <c r="B3004" s="22"/>
      <c r="C3004" s="21"/>
      <c r="W3004" s="22"/>
      <c r="X3004" s="22"/>
    </row>
    <row r="3005" spans="2:24" x14ac:dyDescent="0.25">
      <c r="B3005" s="22"/>
      <c r="C3005" s="21"/>
      <c r="W3005" s="22"/>
      <c r="X3005" s="22"/>
    </row>
    <row r="3006" spans="2:24" x14ac:dyDescent="0.25">
      <c r="B3006" s="22"/>
      <c r="C3006" s="21"/>
      <c r="W3006" s="22"/>
      <c r="X3006" s="22"/>
    </row>
    <row r="3007" spans="2:24" x14ac:dyDescent="0.25">
      <c r="B3007" s="22"/>
      <c r="C3007" s="21"/>
      <c r="W3007" s="22"/>
      <c r="X3007" s="22"/>
    </row>
    <row r="3008" spans="2:24" x14ac:dyDescent="0.25">
      <c r="B3008" s="22"/>
      <c r="C3008" s="21"/>
      <c r="W3008" s="22"/>
      <c r="X3008" s="22"/>
    </row>
    <row r="3009" spans="2:24" x14ac:dyDescent="0.25">
      <c r="B3009" s="22"/>
      <c r="C3009" s="21"/>
      <c r="W3009" s="22"/>
      <c r="X3009" s="22"/>
    </row>
    <row r="3010" spans="2:24" x14ac:dyDescent="0.25">
      <c r="B3010" s="22"/>
      <c r="C3010" s="21"/>
      <c r="W3010" s="22"/>
      <c r="X3010" s="22"/>
    </row>
    <row r="3011" spans="2:24" x14ac:dyDescent="0.25">
      <c r="B3011" s="22"/>
      <c r="C3011" s="21"/>
      <c r="W3011" s="22"/>
      <c r="X3011" s="22"/>
    </row>
    <row r="3012" spans="2:24" x14ac:dyDescent="0.25">
      <c r="B3012" s="22"/>
      <c r="C3012" s="21"/>
      <c r="W3012" s="22"/>
      <c r="X3012" s="22"/>
    </row>
    <row r="3013" spans="2:24" x14ac:dyDescent="0.25">
      <c r="B3013" s="22"/>
      <c r="C3013" s="21"/>
      <c r="W3013" s="22"/>
      <c r="X3013" s="22"/>
    </row>
    <row r="3014" spans="2:24" x14ac:dyDescent="0.25">
      <c r="B3014" s="22"/>
      <c r="C3014" s="21"/>
      <c r="W3014" s="22"/>
      <c r="X3014" s="22"/>
    </row>
    <row r="3015" spans="2:24" x14ac:dyDescent="0.25">
      <c r="B3015" s="22"/>
      <c r="C3015" s="21"/>
      <c r="W3015" s="22"/>
      <c r="X3015" s="22"/>
    </row>
    <row r="3016" spans="2:24" x14ac:dyDescent="0.25">
      <c r="B3016" s="22"/>
      <c r="C3016" s="21"/>
      <c r="W3016" s="22"/>
      <c r="X3016" s="22"/>
    </row>
    <row r="3017" spans="2:24" x14ac:dyDescent="0.25">
      <c r="B3017" s="22"/>
      <c r="C3017" s="21"/>
      <c r="W3017" s="22"/>
      <c r="X3017" s="22"/>
    </row>
    <row r="3018" spans="2:24" x14ac:dyDescent="0.25">
      <c r="B3018" s="22"/>
      <c r="C3018" s="21"/>
      <c r="W3018" s="22"/>
      <c r="X3018" s="22"/>
    </row>
    <row r="3019" spans="2:24" x14ac:dyDescent="0.25">
      <c r="B3019" s="22"/>
      <c r="C3019" s="21"/>
      <c r="W3019" s="22"/>
      <c r="X3019" s="22"/>
    </row>
    <row r="3020" spans="2:24" x14ac:dyDescent="0.25">
      <c r="B3020" s="22"/>
      <c r="C3020" s="21"/>
      <c r="W3020" s="22"/>
      <c r="X3020" s="22"/>
    </row>
    <row r="3021" spans="2:24" x14ac:dyDescent="0.25">
      <c r="B3021" s="22"/>
      <c r="C3021" s="21"/>
      <c r="W3021" s="22"/>
      <c r="X3021" s="22"/>
    </row>
    <row r="3022" spans="2:24" x14ac:dyDescent="0.25">
      <c r="B3022" s="22"/>
      <c r="C3022" s="21"/>
      <c r="W3022" s="22"/>
      <c r="X3022" s="22"/>
    </row>
    <row r="3023" spans="2:24" x14ac:dyDescent="0.25">
      <c r="B3023" s="22"/>
      <c r="C3023" s="21"/>
      <c r="W3023" s="22"/>
      <c r="X3023" s="22"/>
    </row>
    <row r="3024" spans="2:24" x14ac:dyDescent="0.25">
      <c r="B3024" s="22"/>
      <c r="C3024" s="21"/>
      <c r="W3024" s="22"/>
      <c r="X3024" s="22"/>
    </row>
    <row r="3025" spans="2:24" x14ac:dyDescent="0.25">
      <c r="B3025" s="22"/>
      <c r="C3025" s="21"/>
      <c r="W3025" s="22"/>
      <c r="X3025" s="22"/>
    </row>
    <row r="3026" spans="2:24" x14ac:dyDescent="0.25">
      <c r="B3026" s="22"/>
      <c r="C3026" s="21"/>
      <c r="W3026" s="22"/>
      <c r="X3026" s="22"/>
    </row>
    <row r="3027" spans="2:24" x14ac:dyDescent="0.25">
      <c r="B3027" s="22"/>
      <c r="C3027" s="21"/>
      <c r="W3027" s="22"/>
      <c r="X3027" s="22"/>
    </row>
    <row r="3028" spans="2:24" x14ac:dyDescent="0.25">
      <c r="B3028" s="22"/>
      <c r="C3028" s="21"/>
      <c r="W3028" s="22"/>
      <c r="X3028" s="22"/>
    </row>
    <row r="3029" spans="2:24" x14ac:dyDescent="0.25">
      <c r="B3029" s="22"/>
      <c r="C3029" s="21"/>
      <c r="W3029" s="22"/>
      <c r="X3029" s="22"/>
    </row>
    <row r="3030" spans="2:24" x14ac:dyDescent="0.25">
      <c r="B3030" s="22"/>
      <c r="C3030" s="21"/>
      <c r="W3030" s="22"/>
      <c r="X3030" s="22"/>
    </row>
    <row r="3031" spans="2:24" x14ac:dyDescent="0.25">
      <c r="B3031" s="22"/>
      <c r="C3031" s="21"/>
      <c r="W3031" s="22"/>
      <c r="X3031" s="22"/>
    </row>
    <row r="3032" spans="2:24" x14ac:dyDescent="0.25">
      <c r="B3032" s="22"/>
      <c r="C3032" s="21"/>
      <c r="W3032" s="22"/>
      <c r="X3032" s="22"/>
    </row>
    <row r="3033" spans="2:24" x14ac:dyDescent="0.25">
      <c r="B3033" s="22"/>
      <c r="C3033" s="21"/>
      <c r="W3033" s="22"/>
      <c r="X3033" s="22"/>
    </row>
    <row r="3034" spans="2:24" x14ac:dyDescent="0.25">
      <c r="B3034" s="22"/>
      <c r="C3034" s="21"/>
      <c r="W3034" s="22"/>
      <c r="X3034" s="22"/>
    </row>
    <row r="3035" spans="2:24" x14ac:dyDescent="0.25">
      <c r="B3035" s="22"/>
      <c r="C3035" s="21"/>
      <c r="W3035" s="22"/>
      <c r="X3035" s="22"/>
    </row>
    <row r="3036" spans="2:24" x14ac:dyDescent="0.25">
      <c r="B3036" s="22"/>
      <c r="C3036" s="21"/>
      <c r="W3036" s="22"/>
      <c r="X3036" s="22"/>
    </row>
    <row r="3037" spans="2:24" x14ac:dyDescent="0.25">
      <c r="B3037" s="22"/>
      <c r="C3037" s="21"/>
      <c r="W3037" s="22"/>
      <c r="X3037" s="22"/>
    </row>
    <row r="3038" spans="2:24" x14ac:dyDescent="0.25">
      <c r="B3038" s="22"/>
      <c r="C3038" s="21"/>
      <c r="W3038" s="22"/>
      <c r="X3038" s="22"/>
    </row>
    <row r="3039" spans="2:24" x14ac:dyDescent="0.25">
      <c r="B3039" s="22"/>
      <c r="C3039" s="21"/>
      <c r="W3039" s="22"/>
      <c r="X3039" s="22"/>
    </row>
    <row r="3040" spans="2:24" x14ac:dyDescent="0.25">
      <c r="B3040" s="22"/>
      <c r="C3040" s="21"/>
      <c r="W3040" s="22"/>
      <c r="X3040" s="22"/>
    </row>
    <row r="3041" spans="2:24" x14ac:dyDescent="0.25">
      <c r="B3041" s="22"/>
      <c r="C3041" s="21"/>
      <c r="W3041" s="22"/>
      <c r="X3041" s="22"/>
    </row>
    <row r="3042" spans="2:24" x14ac:dyDescent="0.25">
      <c r="B3042" s="22"/>
      <c r="C3042" s="21"/>
      <c r="W3042" s="22"/>
      <c r="X3042" s="22"/>
    </row>
    <row r="3043" spans="2:24" x14ac:dyDescent="0.25">
      <c r="B3043" s="22"/>
      <c r="C3043" s="21"/>
      <c r="W3043" s="22"/>
      <c r="X3043" s="22"/>
    </row>
    <row r="3044" spans="2:24" x14ac:dyDescent="0.25">
      <c r="B3044" s="22"/>
      <c r="C3044" s="21"/>
      <c r="W3044" s="22"/>
      <c r="X3044" s="22"/>
    </row>
    <row r="3045" spans="2:24" x14ac:dyDescent="0.25">
      <c r="B3045" s="22"/>
      <c r="C3045" s="21"/>
      <c r="W3045" s="22"/>
      <c r="X3045" s="22"/>
    </row>
    <row r="3046" spans="2:24" x14ac:dyDescent="0.25">
      <c r="B3046" s="22"/>
      <c r="C3046" s="21"/>
      <c r="W3046" s="22"/>
      <c r="X3046" s="22"/>
    </row>
    <row r="3047" spans="2:24" x14ac:dyDescent="0.25">
      <c r="B3047" s="22"/>
      <c r="C3047" s="21"/>
      <c r="W3047" s="22"/>
      <c r="X3047" s="22"/>
    </row>
    <row r="3048" spans="2:24" x14ac:dyDescent="0.25">
      <c r="B3048" s="22"/>
      <c r="C3048" s="21"/>
      <c r="W3048" s="22"/>
      <c r="X3048" s="22"/>
    </row>
    <row r="3049" spans="2:24" x14ac:dyDescent="0.25">
      <c r="B3049" s="22"/>
      <c r="C3049" s="21"/>
      <c r="W3049" s="22"/>
      <c r="X3049" s="22"/>
    </row>
    <row r="3050" spans="2:24" x14ac:dyDescent="0.25">
      <c r="B3050" s="22"/>
      <c r="C3050" s="21"/>
      <c r="W3050" s="22"/>
      <c r="X3050" s="22"/>
    </row>
    <row r="3051" spans="2:24" x14ac:dyDescent="0.25">
      <c r="B3051" s="22"/>
      <c r="C3051" s="21"/>
      <c r="W3051" s="22"/>
      <c r="X3051" s="22"/>
    </row>
    <row r="3052" spans="2:24" x14ac:dyDescent="0.25">
      <c r="B3052" s="22"/>
      <c r="C3052" s="21"/>
      <c r="W3052" s="22"/>
      <c r="X3052" s="22"/>
    </row>
    <row r="3053" spans="2:24" x14ac:dyDescent="0.25">
      <c r="B3053" s="22"/>
      <c r="C3053" s="21"/>
      <c r="W3053" s="22"/>
      <c r="X3053" s="22"/>
    </row>
    <row r="3054" spans="2:24" x14ac:dyDescent="0.25">
      <c r="B3054" s="22"/>
      <c r="C3054" s="21"/>
      <c r="W3054" s="22"/>
      <c r="X3054" s="22"/>
    </row>
    <row r="3055" spans="2:24" x14ac:dyDescent="0.25">
      <c r="B3055" s="22"/>
      <c r="C3055" s="21"/>
      <c r="W3055" s="22"/>
      <c r="X3055" s="22"/>
    </row>
    <row r="3056" spans="2:24" x14ac:dyDescent="0.25">
      <c r="B3056" s="22"/>
      <c r="C3056" s="21"/>
      <c r="W3056" s="22"/>
      <c r="X3056" s="22"/>
    </row>
    <row r="3057" spans="2:24" x14ac:dyDescent="0.25">
      <c r="B3057" s="22"/>
      <c r="C3057" s="21"/>
      <c r="W3057" s="22"/>
      <c r="X3057" s="22"/>
    </row>
    <row r="3058" spans="2:24" x14ac:dyDescent="0.25">
      <c r="B3058" s="22"/>
      <c r="C3058" s="21"/>
      <c r="W3058" s="22"/>
      <c r="X3058" s="22"/>
    </row>
    <row r="3059" spans="2:24" x14ac:dyDescent="0.25">
      <c r="B3059" s="22"/>
      <c r="C3059" s="21"/>
      <c r="W3059" s="22"/>
      <c r="X3059" s="22"/>
    </row>
    <row r="3060" spans="2:24" x14ac:dyDescent="0.25">
      <c r="B3060" s="22"/>
      <c r="C3060" s="21"/>
      <c r="W3060" s="22"/>
      <c r="X3060" s="22"/>
    </row>
    <row r="3061" spans="2:24" x14ac:dyDescent="0.25">
      <c r="B3061" s="22"/>
      <c r="C3061" s="21"/>
      <c r="W3061" s="22"/>
      <c r="X3061" s="22"/>
    </row>
    <row r="3062" spans="2:24" x14ac:dyDescent="0.25">
      <c r="B3062" s="22"/>
      <c r="C3062" s="21"/>
      <c r="W3062" s="22"/>
      <c r="X3062" s="22"/>
    </row>
    <row r="3063" spans="2:24" x14ac:dyDescent="0.25">
      <c r="B3063" s="22"/>
      <c r="C3063" s="21"/>
      <c r="W3063" s="22"/>
      <c r="X3063" s="22"/>
    </row>
    <row r="3064" spans="2:24" x14ac:dyDescent="0.25">
      <c r="B3064" s="22"/>
      <c r="C3064" s="21"/>
      <c r="W3064" s="22"/>
      <c r="X3064" s="22"/>
    </row>
    <row r="3065" spans="2:24" x14ac:dyDescent="0.25">
      <c r="B3065" s="22"/>
      <c r="C3065" s="21"/>
      <c r="W3065" s="22"/>
      <c r="X3065" s="22"/>
    </row>
    <row r="3066" spans="2:24" x14ac:dyDescent="0.25">
      <c r="B3066" s="22"/>
      <c r="C3066" s="21"/>
      <c r="W3066" s="22"/>
      <c r="X3066" s="22"/>
    </row>
    <row r="3067" spans="2:24" x14ac:dyDescent="0.25">
      <c r="B3067" s="22"/>
      <c r="C3067" s="21"/>
      <c r="W3067" s="22"/>
      <c r="X3067" s="22"/>
    </row>
    <row r="3068" spans="2:24" x14ac:dyDescent="0.25">
      <c r="B3068" s="22"/>
      <c r="C3068" s="21"/>
      <c r="W3068" s="22"/>
      <c r="X3068" s="22"/>
    </row>
    <row r="3069" spans="2:24" x14ac:dyDescent="0.25">
      <c r="B3069" s="22"/>
      <c r="C3069" s="21"/>
      <c r="W3069" s="22"/>
      <c r="X3069" s="22"/>
    </row>
    <row r="3070" spans="2:24" x14ac:dyDescent="0.25">
      <c r="B3070" s="22"/>
      <c r="C3070" s="21"/>
      <c r="W3070" s="22"/>
      <c r="X3070" s="22"/>
    </row>
    <row r="3071" spans="2:24" x14ac:dyDescent="0.25">
      <c r="B3071" s="22"/>
      <c r="C3071" s="21"/>
      <c r="W3071" s="22"/>
      <c r="X3071" s="22"/>
    </row>
    <row r="3072" spans="2:24" x14ac:dyDescent="0.25">
      <c r="B3072" s="22"/>
      <c r="C3072" s="21"/>
      <c r="W3072" s="22"/>
      <c r="X3072" s="22"/>
    </row>
    <row r="3073" spans="2:24" x14ac:dyDescent="0.25">
      <c r="B3073" s="22"/>
      <c r="C3073" s="21"/>
      <c r="W3073" s="22"/>
      <c r="X3073" s="22"/>
    </row>
    <row r="3074" spans="2:24" x14ac:dyDescent="0.25">
      <c r="B3074" s="22"/>
      <c r="C3074" s="21"/>
      <c r="W3074" s="22"/>
      <c r="X3074" s="22"/>
    </row>
    <row r="3075" spans="2:24" x14ac:dyDescent="0.25">
      <c r="B3075" s="22"/>
      <c r="C3075" s="21"/>
      <c r="W3075" s="22"/>
      <c r="X3075" s="22"/>
    </row>
    <row r="3076" spans="2:24" x14ac:dyDescent="0.25">
      <c r="B3076" s="22"/>
      <c r="C3076" s="21"/>
      <c r="W3076" s="22"/>
      <c r="X3076" s="22"/>
    </row>
    <row r="3077" spans="2:24" x14ac:dyDescent="0.25">
      <c r="B3077" s="22"/>
      <c r="C3077" s="21"/>
      <c r="W3077" s="22"/>
      <c r="X3077" s="22"/>
    </row>
    <row r="3078" spans="2:24" x14ac:dyDescent="0.25">
      <c r="B3078" s="22"/>
      <c r="C3078" s="21"/>
      <c r="W3078" s="22"/>
      <c r="X3078" s="22"/>
    </row>
    <row r="3079" spans="2:24" x14ac:dyDescent="0.25">
      <c r="B3079" s="22"/>
      <c r="C3079" s="21"/>
      <c r="W3079" s="22"/>
      <c r="X3079" s="22"/>
    </row>
    <row r="3080" spans="2:24" x14ac:dyDescent="0.25">
      <c r="B3080" s="22"/>
      <c r="C3080" s="21"/>
      <c r="W3080" s="22"/>
      <c r="X3080" s="22"/>
    </row>
    <row r="3081" spans="2:24" x14ac:dyDescent="0.25">
      <c r="B3081" s="22"/>
      <c r="C3081" s="21"/>
      <c r="W3081" s="22"/>
      <c r="X3081" s="22"/>
    </row>
    <row r="3082" spans="2:24" x14ac:dyDescent="0.25">
      <c r="B3082" s="22"/>
      <c r="C3082" s="21"/>
      <c r="W3082" s="22"/>
      <c r="X3082" s="22"/>
    </row>
    <row r="3083" spans="2:24" x14ac:dyDescent="0.25">
      <c r="B3083" s="22"/>
      <c r="C3083" s="21"/>
      <c r="W3083" s="22"/>
      <c r="X3083" s="22"/>
    </row>
    <row r="3084" spans="2:24" x14ac:dyDescent="0.25">
      <c r="B3084" s="22"/>
      <c r="C3084" s="21"/>
      <c r="W3084" s="22"/>
      <c r="X3084" s="22"/>
    </row>
    <row r="3085" spans="2:24" x14ac:dyDescent="0.25">
      <c r="B3085" s="22"/>
      <c r="C3085" s="21"/>
      <c r="W3085" s="22"/>
      <c r="X3085" s="22"/>
    </row>
    <row r="3086" spans="2:24" x14ac:dyDescent="0.25">
      <c r="B3086" s="22"/>
      <c r="C3086" s="21"/>
      <c r="W3086" s="22"/>
      <c r="X3086" s="22"/>
    </row>
    <row r="3087" spans="2:24" x14ac:dyDescent="0.25">
      <c r="B3087" s="22"/>
      <c r="C3087" s="21"/>
      <c r="W3087" s="22"/>
      <c r="X3087" s="22"/>
    </row>
    <row r="3088" spans="2:24" x14ac:dyDescent="0.25">
      <c r="B3088" s="22"/>
      <c r="C3088" s="21"/>
      <c r="W3088" s="22"/>
      <c r="X3088" s="22"/>
    </row>
    <row r="3089" spans="2:24" x14ac:dyDescent="0.25">
      <c r="B3089" s="22"/>
      <c r="C3089" s="21"/>
      <c r="W3089" s="22"/>
      <c r="X3089" s="22"/>
    </row>
    <row r="3090" spans="2:24" x14ac:dyDescent="0.25">
      <c r="B3090" s="22"/>
      <c r="C3090" s="21"/>
      <c r="W3090" s="22"/>
      <c r="X3090" s="22"/>
    </row>
    <row r="3091" spans="2:24" x14ac:dyDescent="0.25">
      <c r="B3091" s="22"/>
      <c r="C3091" s="21"/>
      <c r="W3091" s="22"/>
      <c r="X3091" s="22"/>
    </row>
    <row r="3092" spans="2:24" x14ac:dyDescent="0.25">
      <c r="B3092" s="22"/>
      <c r="C3092" s="21"/>
      <c r="W3092" s="22"/>
      <c r="X3092" s="22"/>
    </row>
    <row r="3093" spans="2:24" x14ac:dyDescent="0.25">
      <c r="B3093" s="22"/>
      <c r="C3093" s="21"/>
      <c r="W3093" s="22"/>
      <c r="X3093" s="22"/>
    </row>
    <row r="3094" spans="2:24" x14ac:dyDescent="0.25">
      <c r="B3094" s="22"/>
      <c r="C3094" s="21"/>
      <c r="W3094" s="22"/>
      <c r="X3094" s="22"/>
    </row>
    <row r="3095" spans="2:24" x14ac:dyDescent="0.25">
      <c r="B3095" s="22"/>
      <c r="C3095" s="21"/>
      <c r="W3095" s="22"/>
      <c r="X3095" s="22"/>
    </row>
    <row r="3096" spans="2:24" x14ac:dyDescent="0.25">
      <c r="B3096" s="22"/>
      <c r="C3096" s="21"/>
      <c r="W3096" s="22"/>
      <c r="X3096" s="22"/>
    </row>
    <row r="3097" spans="2:24" x14ac:dyDescent="0.25">
      <c r="B3097" s="22"/>
      <c r="C3097" s="21"/>
      <c r="W3097" s="22"/>
      <c r="X3097" s="22"/>
    </row>
    <row r="3098" spans="2:24" x14ac:dyDescent="0.25">
      <c r="B3098" s="22"/>
      <c r="C3098" s="21"/>
      <c r="W3098" s="22"/>
      <c r="X3098" s="22"/>
    </row>
    <row r="3099" spans="2:24" x14ac:dyDescent="0.25">
      <c r="B3099" s="22"/>
      <c r="C3099" s="21"/>
      <c r="W3099" s="22"/>
      <c r="X3099" s="22"/>
    </row>
    <row r="3100" spans="2:24" x14ac:dyDescent="0.25">
      <c r="B3100" s="22"/>
      <c r="C3100" s="21"/>
      <c r="W3100" s="22"/>
      <c r="X3100" s="22"/>
    </row>
    <row r="3101" spans="2:24" x14ac:dyDescent="0.25">
      <c r="B3101" s="22"/>
      <c r="C3101" s="21"/>
      <c r="W3101" s="22"/>
      <c r="X3101" s="22"/>
    </row>
    <row r="3102" spans="2:24" x14ac:dyDescent="0.25">
      <c r="B3102" s="22"/>
      <c r="C3102" s="21"/>
      <c r="W3102" s="22"/>
      <c r="X3102" s="22"/>
    </row>
    <row r="3103" spans="2:24" x14ac:dyDescent="0.25">
      <c r="B3103" s="22"/>
      <c r="C3103" s="21"/>
      <c r="W3103" s="22"/>
      <c r="X3103" s="22"/>
    </row>
    <row r="3104" spans="2:24" x14ac:dyDescent="0.25">
      <c r="B3104" s="22"/>
      <c r="C3104" s="21"/>
      <c r="W3104" s="22"/>
      <c r="X3104" s="22"/>
    </row>
    <row r="3105" spans="2:24" x14ac:dyDescent="0.25">
      <c r="B3105" s="22"/>
      <c r="C3105" s="21"/>
      <c r="W3105" s="22"/>
      <c r="X3105" s="22"/>
    </row>
    <row r="3106" spans="2:24" x14ac:dyDescent="0.25">
      <c r="B3106" s="22"/>
      <c r="C3106" s="21"/>
      <c r="W3106" s="22"/>
      <c r="X3106" s="22"/>
    </row>
    <row r="3107" spans="2:24" x14ac:dyDescent="0.25">
      <c r="B3107" s="22"/>
      <c r="C3107" s="21"/>
      <c r="W3107" s="22"/>
      <c r="X3107" s="22"/>
    </row>
    <row r="3108" spans="2:24" x14ac:dyDescent="0.25">
      <c r="B3108" s="22"/>
      <c r="C3108" s="21"/>
      <c r="W3108" s="22"/>
      <c r="X3108" s="22"/>
    </row>
    <row r="3109" spans="2:24" x14ac:dyDescent="0.25">
      <c r="B3109" s="22"/>
      <c r="C3109" s="21"/>
      <c r="W3109" s="22"/>
      <c r="X3109" s="22"/>
    </row>
    <row r="3110" spans="2:24" x14ac:dyDescent="0.25">
      <c r="B3110" s="22"/>
      <c r="C3110" s="21"/>
      <c r="W3110" s="22"/>
      <c r="X3110" s="22"/>
    </row>
    <row r="3111" spans="2:24" x14ac:dyDescent="0.25">
      <c r="B3111" s="22"/>
      <c r="C3111" s="21"/>
      <c r="W3111" s="22"/>
      <c r="X3111" s="22"/>
    </row>
    <row r="3112" spans="2:24" x14ac:dyDescent="0.25">
      <c r="B3112" s="22"/>
      <c r="C3112" s="21"/>
      <c r="W3112" s="22"/>
      <c r="X3112" s="22"/>
    </row>
    <row r="3113" spans="2:24" x14ac:dyDescent="0.25">
      <c r="B3113" s="22"/>
      <c r="C3113" s="21"/>
      <c r="W3113" s="22"/>
      <c r="X3113" s="22"/>
    </row>
    <row r="3114" spans="2:24" x14ac:dyDescent="0.25">
      <c r="B3114" s="22"/>
      <c r="C3114" s="21"/>
      <c r="W3114" s="22"/>
      <c r="X3114" s="22"/>
    </row>
    <row r="3115" spans="2:24" x14ac:dyDescent="0.25">
      <c r="B3115" s="22"/>
      <c r="C3115" s="21"/>
      <c r="W3115" s="22"/>
      <c r="X3115" s="22"/>
    </row>
    <row r="3116" spans="2:24" x14ac:dyDescent="0.25">
      <c r="B3116" s="22"/>
      <c r="C3116" s="21"/>
      <c r="W3116" s="22"/>
      <c r="X3116" s="22"/>
    </row>
    <row r="3117" spans="2:24" x14ac:dyDescent="0.25">
      <c r="B3117" s="22"/>
      <c r="C3117" s="21"/>
      <c r="W3117" s="22"/>
      <c r="X3117" s="22"/>
    </row>
    <row r="3118" spans="2:24" x14ac:dyDescent="0.25">
      <c r="B3118" s="22"/>
      <c r="C3118" s="21"/>
      <c r="W3118" s="22"/>
      <c r="X3118" s="22"/>
    </row>
    <row r="3119" spans="2:24" x14ac:dyDescent="0.25">
      <c r="B3119" s="22"/>
      <c r="C3119" s="21"/>
      <c r="W3119" s="22"/>
      <c r="X3119" s="22"/>
    </row>
    <row r="3120" spans="2:24" x14ac:dyDescent="0.25">
      <c r="B3120" s="22"/>
      <c r="C3120" s="21"/>
      <c r="W3120" s="22"/>
      <c r="X3120" s="22"/>
    </row>
    <row r="3121" spans="2:24" x14ac:dyDescent="0.25">
      <c r="B3121" s="22"/>
      <c r="C3121" s="21"/>
      <c r="W3121" s="22"/>
      <c r="X3121" s="22"/>
    </row>
    <row r="3122" spans="2:24" x14ac:dyDescent="0.25">
      <c r="B3122" s="22"/>
      <c r="C3122" s="21"/>
      <c r="W3122" s="22"/>
      <c r="X3122" s="22"/>
    </row>
    <row r="3123" spans="2:24" x14ac:dyDescent="0.25">
      <c r="B3123" s="22"/>
      <c r="C3123" s="21"/>
      <c r="W3123" s="22"/>
      <c r="X3123" s="22"/>
    </row>
    <row r="3124" spans="2:24" x14ac:dyDescent="0.25">
      <c r="B3124" s="22"/>
      <c r="C3124" s="21"/>
      <c r="W3124" s="22"/>
      <c r="X3124" s="22"/>
    </row>
    <row r="3125" spans="2:24" x14ac:dyDescent="0.25">
      <c r="B3125" s="22"/>
      <c r="C3125" s="21"/>
      <c r="W3125" s="22"/>
      <c r="X3125" s="22"/>
    </row>
    <row r="3126" spans="2:24" x14ac:dyDescent="0.25">
      <c r="B3126" s="22"/>
      <c r="C3126" s="21"/>
      <c r="W3126" s="22"/>
      <c r="X3126" s="22"/>
    </row>
    <row r="3127" spans="2:24" x14ac:dyDescent="0.25">
      <c r="B3127" s="22"/>
      <c r="C3127" s="21"/>
      <c r="W3127" s="22"/>
      <c r="X3127" s="22"/>
    </row>
    <row r="3128" spans="2:24" x14ac:dyDescent="0.25">
      <c r="B3128" s="22"/>
      <c r="C3128" s="21"/>
      <c r="W3128" s="22"/>
      <c r="X3128" s="22"/>
    </row>
    <row r="3129" spans="2:24" x14ac:dyDescent="0.25">
      <c r="B3129" s="22"/>
      <c r="C3129" s="21"/>
      <c r="W3129" s="22"/>
      <c r="X3129" s="22"/>
    </row>
    <row r="3130" spans="2:24" x14ac:dyDescent="0.25">
      <c r="B3130" s="22"/>
      <c r="C3130" s="21"/>
      <c r="W3130" s="22"/>
      <c r="X3130" s="22"/>
    </row>
    <row r="3131" spans="2:24" x14ac:dyDescent="0.25">
      <c r="B3131" s="22"/>
      <c r="C3131" s="21"/>
      <c r="W3131" s="22"/>
      <c r="X3131" s="22"/>
    </row>
    <row r="3132" spans="2:24" x14ac:dyDescent="0.25">
      <c r="B3132" s="22"/>
      <c r="C3132" s="21"/>
      <c r="W3132" s="22"/>
      <c r="X3132" s="22"/>
    </row>
    <row r="3133" spans="2:24" x14ac:dyDescent="0.25">
      <c r="B3133" s="22"/>
      <c r="C3133" s="21"/>
      <c r="W3133" s="22"/>
      <c r="X3133" s="22"/>
    </row>
    <row r="3134" spans="2:24" x14ac:dyDescent="0.25">
      <c r="B3134" s="22"/>
      <c r="C3134" s="21"/>
      <c r="W3134" s="22"/>
      <c r="X3134" s="22"/>
    </row>
    <row r="3135" spans="2:24" x14ac:dyDescent="0.25">
      <c r="B3135" s="22"/>
      <c r="C3135" s="21"/>
      <c r="W3135" s="22"/>
      <c r="X3135" s="22"/>
    </row>
    <row r="3136" spans="2:24" x14ac:dyDescent="0.25">
      <c r="B3136" s="22"/>
      <c r="C3136" s="21"/>
      <c r="W3136" s="22"/>
      <c r="X3136" s="22"/>
    </row>
    <row r="3137" spans="2:24" x14ac:dyDescent="0.25">
      <c r="B3137" s="22"/>
      <c r="C3137" s="21"/>
      <c r="W3137" s="22"/>
      <c r="X3137" s="22"/>
    </row>
    <row r="3138" spans="2:24" x14ac:dyDescent="0.25">
      <c r="B3138" s="22"/>
      <c r="C3138" s="21"/>
      <c r="W3138" s="22"/>
      <c r="X3138" s="22"/>
    </row>
    <row r="3139" spans="2:24" x14ac:dyDescent="0.25">
      <c r="B3139" s="22"/>
      <c r="C3139" s="21"/>
      <c r="W3139" s="22"/>
      <c r="X3139" s="22"/>
    </row>
    <row r="3140" spans="2:24" x14ac:dyDescent="0.25">
      <c r="B3140" s="22"/>
      <c r="C3140" s="21"/>
      <c r="W3140" s="22"/>
      <c r="X3140" s="22"/>
    </row>
    <row r="3141" spans="2:24" x14ac:dyDescent="0.25">
      <c r="B3141" s="22"/>
      <c r="C3141" s="21"/>
      <c r="W3141" s="22"/>
      <c r="X3141" s="22"/>
    </row>
    <row r="3142" spans="2:24" x14ac:dyDescent="0.25">
      <c r="B3142" s="22"/>
      <c r="C3142" s="21"/>
      <c r="W3142" s="22"/>
      <c r="X3142" s="22"/>
    </row>
    <row r="3143" spans="2:24" x14ac:dyDescent="0.25">
      <c r="B3143" s="22"/>
      <c r="C3143" s="21"/>
      <c r="W3143" s="22"/>
      <c r="X3143" s="22"/>
    </row>
    <row r="3144" spans="2:24" x14ac:dyDescent="0.25">
      <c r="B3144" s="22"/>
      <c r="C3144" s="21"/>
      <c r="W3144" s="22"/>
      <c r="X3144" s="22"/>
    </row>
    <row r="3145" spans="2:24" x14ac:dyDescent="0.25">
      <c r="B3145" s="22"/>
      <c r="C3145" s="21"/>
      <c r="W3145" s="22"/>
      <c r="X3145" s="22"/>
    </row>
    <row r="3146" spans="2:24" x14ac:dyDescent="0.25">
      <c r="B3146" s="22"/>
      <c r="C3146" s="21"/>
      <c r="W3146" s="22"/>
      <c r="X3146" s="22"/>
    </row>
    <row r="3147" spans="2:24" x14ac:dyDescent="0.25">
      <c r="B3147" s="22"/>
      <c r="C3147" s="21"/>
      <c r="W3147" s="22"/>
      <c r="X3147" s="22"/>
    </row>
    <row r="3148" spans="2:24" x14ac:dyDescent="0.25">
      <c r="B3148" s="22"/>
      <c r="C3148" s="21"/>
      <c r="W3148" s="22"/>
      <c r="X3148" s="22"/>
    </row>
    <row r="3149" spans="2:24" x14ac:dyDescent="0.25">
      <c r="B3149" s="22"/>
      <c r="C3149" s="21"/>
      <c r="W3149" s="22"/>
      <c r="X3149" s="22"/>
    </row>
    <row r="3150" spans="2:24" x14ac:dyDescent="0.25">
      <c r="B3150" s="22"/>
      <c r="C3150" s="21"/>
      <c r="W3150" s="22"/>
      <c r="X3150" s="22"/>
    </row>
    <row r="3151" spans="2:24" x14ac:dyDescent="0.25">
      <c r="B3151" s="22"/>
      <c r="C3151" s="21"/>
      <c r="W3151" s="22"/>
      <c r="X3151" s="22"/>
    </row>
    <row r="3152" spans="2:24" x14ac:dyDescent="0.25">
      <c r="B3152" s="22"/>
      <c r="C3152" s="21"/>
      <c r="W3152" s="22"/>
      <c r="X3152" s="22"/>
    </row>
    <row r="3153" spans="2:24" x14ac:dyDescent="0.25">
      <c r="B3153" s="22"/>
      <c r="C3153" s="21"/>
      <c r="W3153" s="22"/>
      <c r="X3153" s="22"/>
    </row>
    <row r="3154" spans="2:24" x14ac:dyDescent="0.25">
      <c r="B3154" s="22"/>
      <c r="C3154" s="21"/>
      <c r="W3154" s="22"/>
      <c r="X3154" s="22"/>
    </row>
    <row r="3155" spans="2:24" x14ac:dyDescent="0.25">
      <c r="B3155" s="22"/>
      <c r="C3155" s="21"/>
      <c r="W3155" s="22"/>
      <c r="X3155" s="22"/>
    </row>
    <row r="3156" spans="2:24" x14ac:dyDescent="0.25">
      <c r="B3156" s="22"/>
      <c r="C3156" s="21"/>
      <c r="W3156" s="22"/>
    </row>
    <row r="3157" spans="2:24" x14ac:dyDescent="0.25">
      <c r="B3157" s="22"/>
      <c r="C3157" s="21"/>
      <c r="W3157" s="22"/>
      <c r="X3157" s="22"/>
    </row>
    <row r="3158" spans="2:24" x14ac:dyDescent="0.25">
      <c r="B3158" s="22"/>
      <c r="C3158" s="21"/>
      <c r="W3158" s="22"/>
      <c r="X3158" s="22"/>
    </row>
    <row r="3159" spans="2:24" x14ac:dyDescent="0.25">
      <c r="B3159" s="22"/>
      <c r="C3159" s="21"/>
      <c r="W3159" s="22"/>
      <c r="X3159" s="22"/>
    </row>
    <row r="3160" spans="2:24" x14ac:dyDescent="0.25">
      <c r="B3160" s="22"/>
      <c r="C3160" s="21"/>
      <c r="W3160" s="22"/>
      <c r="X3160" s="22"/>
    </row>
    <row r="3161" spans="2:24" x14ac:dyDescent="0.25">
      <c r="B3161" s="22"/>
      <c r="C3161" s="21"/>
      <c r="W3161" s="22"/>
      <c r="X3161" s="22"/>
    </row>
    <row r="3162" spans="2:24" x14ac:dyDescent="0.25">
      <c r="B3162" s="22"/>
      <c r="C3162" s="21"/>
      <c r="W3162" s="22"/>
      <c r="X3162" s="22"/>
    </row>
    <row r="3163" spans="2:24" x14ac:dyDescent="0.25">
      <c r="B3163" s="22"/>
      <c r="C3163" s="21"/>
      <c r="W3163" s="22"/>
      <c r="X3163" s="22"/>
    </row>
    <row r="3164" spans="2:24" x14ac:dyDescent="0.25">
      <c r="B3164" s="22"/>
      <c r="C3164" s="21"/>
      <c r="W3164" s="22"/>
      <c r="X3164" s="22"/>
    </row>
    <row r="3165" spans="2:24" x14ac:dyDescent="0.25">
      <c r="B3165" s="22"/>
      <c r="C3165" s="21"/>
      <c r="W3165" s="22"/>
      <c r="X3165" s="22"/>
    </row>
    <row r="3166" spans="2:24" x14ac:dyDescent="0.25">
      <c r="B3166" s="22"/>
      <c r="C3166" s="21"/>
      <c r="W3166" s="22"/>
      <c r="X3166" s="22"/>
    </row>
    <row r="3167" spans="2:24" x14ac:dyDescent="0.25">
      <c r="B3167" s="22"/>
      <c r="C3167" s="21"/>
      <c r="W3167" s="22"/>
      <c r="X3167" s="22"/>
    </row>
    <row r="3168" spans="2:24" x14ac:dyDescent="0.25">
      <c r="B3168" s="22"/>
      <c r="C3168" s="21"/>
      <c r="W3168" s="22"/>
      <c r="X3168" s="22"/>
    </row>
    <row r="3169" spans="2:24" x14ac:dyDescent="0.25">
      <c r="B3169" s="22"/>
      <c r="C3169" s="21"/>
      <c r="W3169" s="22"/>
      <c r="X3169" s="22"/>
    </row>
    <row r="3170" spans="2:24" x14ac:dyDescent="0.25">
      <c r="B3170" s="22"/>
      <c r="C3170" s="21"/>
      <c r="W3170" s="22"/>
    </row>
    <row r="3171" spans="2:24" x14ac:dyDescent="0.25">
      <c r="B3171" s="22"/>
      <c r="C3171" s="21"/>
      <c r="W3171" s="22"/>
      <c r="X3171" s="22"/>
    </row>
    <row r="3172" spans="2:24" x14ac:dyDescent="0.25">
      <c r="B3172" s="22"/>
      <c r="C3172" s="21"/>
      <c r="W3172" s="22"/>
      <c r="X3172" s="22"/>
    </row>
    <row r="3173" spans="2:24" x14ac:dyDescent="0.25">
      <c r="B3173" s="22"/>
      <c r="C3173" s="21"/>
      <c r="W3173" s="22"/>
      <c r="X3173" s="22"/>
    </row>
    <row r="3174" spans="2:24" x14ac:dyDescent="0.25">
      <c r="B3174" s="22"/>
      <c r="C3174" s="21"/>
      <c r="W3174" s="22"/>
      <c r="X3174" s="22"/>
    </row>
    <row r="3175" spans="2:24" x14ac:dyDescent="0.25">
      <c r="B3175" s="22"/>
      <c r="C3175" s="21"/>
      <c r="W3175" s="22"/>
      <c r="X3175" s="22"/>
    </row>
    <row r="3176" spans="2:24" x14ac:dyDescent="0.25">
      <c r="B3176" s="22"/>
      <c r="C3176" s="21"/>
      <c r="W3176" s="22"/>
      <c r="X3176" s="22"/>
    </row>
    <row r="3177" spans="2:24" x14ac:dyDescent="0.25">
      <c r="B3177" s="22"/>
      <c r="C3177" s="21"/>
    </row>
    <row r="3178" spans="2:24" x14ac:dyDescent="0.25">
      <c r="B3178" s="22"/>
      <c r="C3178" s="21"/>
      <c r="W3178" s="22"/>
      <c r="X3178" s="22"/>
    </row>
    <row r="3179" spans="2:24" x14ac:dyDescent="0.25">
      <c r="B3179" s="22"/>
      <c r="C3179" s="21"/>
      <c r="W3179" s="22"/>
      <c r="X3179" s="22"/>
    </row>
    <row r="3180" spans="2:24" x14ac:dyDescent="0.25">
      <c r="B3180" s="22"/>
      <c r="C3180" s="21"/>
      <c r="W3180" s="22"/>
      <c r="X3180" s="22"/>
    </row>
    <row r="3181" spans="2:24" x14ac:dyDescent="0.25">
      <c r="B3181" s="22"/>
      <c r="C3181" s="21"/>
      <c r="W3181" s="22"/>
      <c r="X3181" s="22"/>
    </row>
    <row r="3182" spans="2:24" x14ac:dyDescent="0.25">
      <c r="B3182" s="22"/>
      <c r="C3182" s="21"/>
      <c r="W3182" s="22"/>
      <c r="X3182" s="22"/>
    </row>
    <row r="3183" spans="2:24" x14ac:dyDescent="0.25">
      <c r="B3183" s="22"/>
      <c r="C3183" s="21"/>
      <c r="W3183" s="22"/>
      <c r="X3183" s="22"/>
    </row>
    <row r="3184" spans="2:24" x14ac:dyDescent="0.25">
      <c r="B3184" s="22"/>
      <c r="C3184" s="21"/>
      <c r="W3184" s="22"/>
      <c r="X3184" s="22"/>
    </row>
    <row r="3185" spans="2:24" x14ac:dyDescent="0.25">
      <c r="B3185" s="22"/>
      <c r="C3185" s="21"/>
      <c r="W3185" s="22"/>
      <c r="X3185" s="22"/>
    </row>
    <row r="3186" spans="2:24" x14ac:dyDescent="0.25">
      <c r="B3186" s="22"/>
      <c r="C3186" s="21"/>
      <c r="W3186" s="22"/>
      <c r="X3186" s="22"/>
    </row>
    <row r="3187" spans="2:24" x14ac:dyDescent="0.25">
      <c r="B3187" s="22"/>
      <c r="C3187" s="21"/>
      <c r="W3187" s="22"/>
      <c r="X3187" s="22"/>
    </row>
    <row r="3188" spans="2:24" x14ac:dyDescent="0.25">
      <c r="B3188" s="22"/>
      <c r="C3188" s="21"/>
      <c r="W3188" s="22"/>
      <c r="X3188" s="22"/>
    </row>
    <row r="3189" spans="2:24" x14ac:dyDescent="0.25">
      <c r="B3189" s="22"/>
      <c r="C3189" s="21"/>
      <c r="W3189" s="22"/>
      <c r="X3189" s="22"/>
    </row>
    <row r="3190" spans="2:24" x14ac:dyDescent="0.25">
      <c r="B3190" s="22"/>
      <c r="C3190" s="21"/>
      <c r="W3190" s="22"/>
      <c r="X3190" s="22"/>
    </row>
    <row r="3191" spans="2:24" x14ac:dyDescent="0.25">
      <c r="B3191" s="22"/>
      <c r="C3191" s="21"/>
      <c r="W3191" s="22"/>
      <c r="X3191" s="22"/>
    </row>
    <row r="3192" spans="2:24" x14ac:dyDescent="0.25">
      <c r="B3192" s="22"/>
      <c r="C3192" s="21"/>
      <c r="W3192" s="22"/>
      <c r="X3192" s="22"/>
    </row>
    <row r="3193" spans="2:24" x14ac:dyDescent="0.25">
      <c r="B3193" s="22"/>
      <c r="C3193" s="21"/>
      <c r="W3193" s="22"/>
    </row>
    <row r="3194" spans="2:24" x14ac:dyDescent="0.25">
      <c r="B3194" s="22"/>
      <c r="C3194" s="21"/>
      <c r="W3194" s="22"/>
    </row>
    <row r="3195" spans="2:24" x14ac:dyDescent="0.25">
      <c r="B3195" s="22"/>
      <c r="C3195" s="21"/>
      <c r="W3195" s="22"/>
      <c r="X3195" s="22"/>
    </row>
    <row r="3196" spans="2:24" x14ac:dyDescent="0.25">
      <c r="B3196" s="22"/>
      <c r="C3196" s="21"/>
      <c r="W3196" s="22"/>
      <c r="X3196" s="22"/>
    </row>
    <row r="3197" spans="2:24" x14ac:dyDescent="0.25">
      <c r="B3197" s="22"/>
      <c r="C3197" s="21"/>
      <c r="W3197" s="22"/>
      <c r="X3197" s="22"/>
    </row>
    <row r="3198" spans="2:24" x14ac:dyDescent="0.25">
      <c r="B3198" s="22"/>
      <c r="C3198" s="21"/>
      <c r="W3198" s="22"/>
      <c r="X3198" s="22"/>
    </row>
    <row r="3199" spans="2:24" x14ac:dyDescent="0.25">
      <c r="B3199" s="22"/>
      <c r="C3199" s="21"/>
      <c r="W3199" s="22"/>
      <c r="X3199" s="22"/>
    </row>
    <row r="3200" spans="2:24" x14ac:dyDescent="0.25">
      <c r="B3200" s="22"/>
      <c r="C3200" s="21"/>
      <c r="W3200" s="22"/>
      <c r="X3200" s="22"/>
    </row>
    <row r="3201" spans="2:24" x14ac:dyDescent="0.25">
      <c r="B3201" s="22"/>
      <c r="C3201" s="21"/>
      <c r="W3201" s="22"/>
      <c r="X3201" s="22"/>
    </row>
    <row r="3202" spans="2:24" x14ac:dyDescent="0.25">
      <c r="B3202" s="22"/>
      <c r="C3202" s="21"/>
      <c r="W3202" s="22"/>
      <c r="X3202" s="22"/>
    </row>
    <row r="3203" spans="2:24" x14ac:dyDescent="0.25">
      <c r="B3203" s="22"/>
      <c r="C3203" s="21"/>
      <c r="W3203" s="22"/>
      <c r="X3203" s="22"/>
    </row>
    <row r="3204" spans="2:24" x14ac:dyDescent="0.25">
      <c r="B3204" s="22"/>
      <c r="C3204" s="21"/>
      <c r="W3204" s="22"/>
      <c r="X3204" s="22"/>
    </row>
    <row r="3205" spans="2:24" x14ac:dyDescent="0.25">
      <c r="B3205" s="22"/>
      <c r="C3205" s="21"/>
      <c r="W3205" s="22"/>
      <c r="X3205" s="22"/>
    </row>
    <row r="3206" spans="2:24" x14ac:dyDescent="0.25">
      <c r="B3206" s="22"/>
      <c r="C3206" s="21"/>
      <c r="W3206" s="22"/>
      <c r="X3206" s="22"/>
    </row>
    <row r="3207" spans="2:24" x14ac:dyDescent="0.25">
      <c r="B3207" s="22"/>
      <c r="C3207" s="21"/>
      <c r="W3207" s="22"/>
      <c r="X3207" s="22"/>
    </row>
    <row r="3208" spans="2:24" x14ac:dyDescent="0.25">
      <c r="B3208" s="22"/>
      <c r="C3208" s="21"/>
      <c r="W3208" s="22"/>
      <c r="X3208" s="22"/>
    </row>
    <row r="3209" spans="2:24" x14ac:dyDescent="0.25">
      <c r="B3209" s="22"/>
      <c r="C3209" s="21"/>
      <c r="W3209" s="22"/>
      <c r="X3209" s="22"/>
    </row>
    <row r="3210" spans="2:24" x14ac:dyDescent="0.25">
      <c r="B3210" s="22"/>
      <c r="C3210" s="21"/>
      <c r="W3210" s="22"/>
      <c r="X3210" s="22"/>
    </row>
    <row r="3211" spans="2:24" x14ac:dyDescent="0.25">
      <c r="B3211" s="22"/>
      <c r="C3211" s="21"/>
      <c r="W3211" s="22"/>
      <c r="X3211" s="22"/>
    </row>
    <row r="3212" spans="2:24" x14ac:dyDescent="0.25">
      <c r="B3212" s="22"/>
      <c r="C3212" s="21"/>
      <c r="W3212" s="22"/>
      <c r="X3212" s="22"/>
    </row>
    <row r="3213" spans="2:24" x14ac:dyDescent="0.25">
      <c r="B3213" s="22"/>
      <c r="C3213" s="21"/>
      <c r="W3213" s="22"/>
      <c r="X3213" s="22"/>
    </row>
    <row r="3214" spans="2:24" x14ac:dyDescent="0.25">
      <c r="B3214" s="22"/>
      <c r="C3214" s="21"/>
      <c r="W3214" s="22"/>
      <c r="X3214" s="22"/>
    </row>
    <row r="3215" spans="2:24" x14ac:dyDescent="0.25">
      <c r="B3215" s="22"/>
      <c r="C3215" s="21"/>
      <c r="W3215" s="22"/>
      <c r="X3215" s="22"/>
    </row>
    <row r="3216" spans="2:24" x14ac:dyDescent="0.25">
      <c r="B3216" s="22"/>
      <c r="C3216" s="21"/>
      <c r="W3216" s="22"/>
      <c r="X3216" s="22"/>
    </row>
    <row r="3217" spans="2:24" x14ac:dyDescent="0.25">
      <c r="B3217" s="22"/>
      <c r="C3217" s="21"/>
      <c r="W3217" s="22"/>
      <c r="X3217" s="22"/>
    </row>
    <row r="3218" spans="2:24" x14ac:dyDescent="0.25">
      <c r="B3218" s="22"/>
      <c r="C3218" s="21"/>
      <c r="W3218" s="22"/>
      <c r="X3218" s="22"/>
    </row>
    <row r="3219" spans="2:24" x14ac:dyDescent="0.25">
      <c r="B3219" s="22"/>
      <c r="C3219" s="21"/>
      <c r="W3219" s="22"/>
      <c r="X3219" s="22"/>
    </row>
    <row r="3220" spans="2:24" x14ac:dyDescent="0.25">
      <c r="B3220" s="22"/>
      <c r="C3220" s="21"/>
      <c r="W3220" s="22"/>
      <c r="X3220" s="22"/>
    </row>
    <row r="3221" spans="2:24" x14ac:dyDescent="0.25">
      <c r="B3221" s="22"/>
      <c r="C3221" s="21"/>
      <c r="W3221" s="22"/>
      <c r="X3221" s="22"/>
    </row>
    <row r="3222" spans="2:24" x14ac:dyDescent="0.25">
      <c r="B3222" s="22"/>
      <c r="C3222" s="21"/>
      <c r="W3222" s="22"/>
      <c r="X3222" s="22"/>
    </row>
    <row r="3223" spans="2:24" x14ac:dyDescent="0.25">
      <c r="B3223" s="22"/>
      <c r="C3223" s="21"/>
      <c r="W3223" s="22"/>
      <c r="X3223" s="22"/>
    </row>
    <row r="3224" spans="2:24" x14ac:dyDescent="0.25">
      <c r="B3224" s="22"/>
      <c r="C3224" s="21"/>
      <c r="W3224" s="22"/>
      <c r="X3224" s="22"/>
    </row>
    <row r="3225" spans="2:24" x14ac:dyDescent="0.25">
      <c r="B3225" s="22"/>
      <c r="C3225" s="21"/>
      <c r="W3225" s="22"/>
      <c r="X3225" s="22"/>
    </row>
    <row r="3226" spans="2:24" x14ac:dyDescent="0.25">
      <c r="B3226" s="22"/>
      <c r="C3226" s="21"/>
      <c r="W3226" s="22"/>
      <c r="X3226" s="22"/>
    </row>
    <row r="3227" spans="2:24" x14ac:dyDescent="0.25">
      <c r="B3227" s="22"/>
      <c r="C3227" s="21"/>
      <c r="W3227" s="22"/>
      <c r="X3227" s="22"/>
    </row>
    <row r="3228" spans="2:24" x14ac:dyDescent="0.25">
      <c r="B3228" s="22"/>
      <c r="C3228" s="21"/>
      <c r="W3228" s="22"/>
      <c r="X3228" s="22"/>
    </row>
    <row r="3229" spans="2:24" x14ac:dyDescent="0.25">
      <c r="B3229" s="22"/>
      <c r="C3229" s="21"/>
      <c r="W3229" s="22"/>
      <c r="X3229" s="22"/>
    </row>
    <row r="3230" spans="2:24" x14ac:dyDescent="0.25">
      <c r="B3230" s="22"/>
      <c r="C3230" s="21"/>
      <c r="W3230" s="22"/>
      <c r="X3230" s="22"/>
    </row>
    <row r="3231" spans="2:24" x14ac:dyDescent="0.25">
      <c r="B3231" s="22"/>
      <c r="C3231" s="21"/>
      <c r="W3231" s="22"/>
      <c r="X3231" s="22"/>
    </row>
    <row r="3232" spans="2:24" x14ac:dyDescent="0.25">
      <c r="B3232" s="22"/>
      <c r="C3232" s="21"/>
      <c r="W3232" s="22"/>
      <c r="X3232" s="22"/>
    </row>
    <row r="3233" spans="2:24" x14ac:dyDescent="0.25">
      <c r="B3233" s="22"/>
      <c r="C3233" s="21"/>
      <c r="W3233" s="22"/>
      <c r="X3233" s="22"/>
    </row>
    <row r="3234" spans="2:24" x14ac:dyDescent="0.25">
      <c r="B3234" s="22"/>
      <c r="C3234" s="21"/>
      <c r="W3234" s="22"/>
      <c r="X3234" s="22"/>
    </row>
    <row r="3235" spans="2:24" x14ac:dyDescent="0.25">
      <c r="B3235" s="22"/>
      <c r="C3235" s="21"/>
      <c r="W3235" s="22"/>
      <c r="X3235" s="22"/>
    </row>
    <row r="3236" spans="2:24" x14ac:dyDescent="0.25">
      <c r="B3236" s="22"/>
      <c r="C3236" s="21"/>
      <c r="W3236" s="22"/>
      <c r="X3236" s="22"/>
    </row>
    <row r="3237" spans="2:24" x14ac:dyDescent="0.25">
      <c r="B3237" s="22"/>
      <c r="C3237" s="21"/>
      <c r="W3237" s="22"/>
      <c r="X3237" s="22"/>
    </row>
    <row r="3238" spans="2:24" x14ac:dyDescent="0.25">
      <c r="B3238" s="22"/>
      <c r="C3238" s="21"/>
      <c r="W3238" s="22"/>
      <c r="X3238" s="22"/>
    </row>
    <row r="3239" spans="2:24" x14ac:dyDescent="0.25">
      <c r="B3239" s="22"/>
      <c r="C3239" s="21"/>
      <c r="W3239" s="22"/>
      <c r="X3239" s="22"/>
    </row>
    <row r="3240" spans="2:24" x14ac:dyDescent="0.25">
      <c r="B3240" s="22"/>
      <c r="C3240" s="21"/>
      <c r="W3240" s="22"/>
      <c r="X3240" s="22"/>
    </row>
    <row r="3241" spans="2:24" x14ac:dyDescent="0.25">
      <c r="B3241" s="22"/>
      <c r="C3241" s="21"/>
      <c r="W3241" s="22"/>
      <c r="X3241" s="22"/>
    </row>
    <row r="3242" spans="2:24" x14ac:dyDescent="0.25">
      <c r="B3242" s="22"/>
      <c r="C3242" s="21"/>
      <c r="W3242" s="22"/>
      <c r="X3242" s="22"/>
    </row>
    <row r="3243" spans="2:24" x14ac:dyDescent="0.25">
      <c r="B3243" s="22"/>
      <c r="C3243" s="21"/>
      <c r="W3243" s="22"/>
      <c r="X3243" s="22"/>
    </row>
    <row r="3244" spans="2:24" x14ac:dyDescent="0.25">
      <c r="B3244" s="22"/>
      <c r="C3244" s="21"/>
      <c r="W3244" s="22"/>
      <c r="X3244" s="22"/>
    </row>
    <row r="3245" spans="2:24" x14ac:dyDescent="0.25">
      <c r="B3245" s="22"/>
      <c r="C3245" s="21"/>
      <c r="W3245" s="22"/>
      <c r="X3245" s="22"/>
    </row>
    <row r="3246" spans="2:24" x14ac:dyDescent="0.25">
      <c r="B3246" s="22"/>
      <c r="C3246" s="21"/>
      <c r="W3246" s="22"/>
      <c r="X3246" s="22"/>
    </row>
    <row r="3247" spans="2:24" x14ac:dyDescent="0.25">
      <c r="B3247" s="22"/>
      <c r="C3247" s="21"/>
      <c r="W3247" s="22"/>
    </row>
    <row r="3248" spans="2:24" x14ac:dyDescent="0.25">
      <c r="B3248" s="22"/>
      <c r="C3248" s="21"/>
      <c r="W3248" s="22"/>
      <c r="X3248" s="22"/>
    </row>
    <row r="3249" spans="2:24" x14ac:dyDescent="0.25">
      <c r="B3249" s="22"/>
      <c r="C3249" s="21"/>
      <c r="W3249" s="22"/>
      <c r="X3249" s="22"/>
    </row>
    <row r="3250" spans="2:24" x14ac:dyDescent="0.25">
      <c r="B3250" s="22"/>
      <c r="C3250" s="21"/>
      <c r="W3250" s="22"/>
      <c r="X3250" s="22"/>
    </row>
    <row r="3251" spans="2:24" x14ac:dyDescent="0.25">
      <c r="B3251" s="22"/>
      <c r="C3251" s="21"/>
      <c r="W3251" s="22"/>
      <c r="X3251" s="22"/>
    </row>
    <row r="3252" spans="2:24" x14ac:dyDescent="0.25">
      <c r="B3252" s="22"/>
      <c r="C3252" s="21"/>
      <c r="W3252" s="22"/>
      <c r="X3252" s="22"/>
    </row>
    <row r="3253" spans="2:24" x14ac:dyDescent="0.25">
      <c r="B3253" s="22"/>
      <c r="C3253" s="21"/>
      <c r="W3253" s="22"/>
      <c r="X3253" s="22"/>
    </row>
    <row r="3254" spans="2:24" x14ac:dyDescent="0.25">
      <c r="B3254" s="22"/>
      <c r="C3254" s="21"/>
      <c r="W3254" s="22"/>
      <c r="X3254" s="22"/>
    </row>
    <row r="3255" spans="2:24" x14ac:dyDescent="0.25">
      <c r="B3255" s="22"/>
      <c r="C3255" s="21"/>
      <c r="W3255" s="22"/>
      <c r="X3255" s="22"/>
    </row>
    <row r="3256" spans="2:24" x14ac:dyDescent="0.25">
      <c r="B3256" s="22"/>
      <c r="C3256" s="21"/>
      <c r="W3256" s="22"/>
      <c r="X3256" s="22"/>
    </row>
    <row r="3257" spans="2:24" x14ac:dyDescent="0.25">
      <c r="B3257" s="22"/>
      <c r="C3257" s="21"/>
      <c r="W3257" s="22"/>
      <c r="X3257" s="22"/>
    </row>
    <row r="3258" spans="2:24" x14ac:dyDescent="0.25">
      <c r="B3258" s="22"/>
      <c r="C3258" s="21"/>
      <c r="W3258" s="22"/>
      <c r="X3258" s="22"/>
    </row>
    <row r="3259" spans="2:24" x14ac:dyDescent="0.25">
      <c r="B3259" s="22"/>
      <c r="C3259" s="21"/>
      <c r="W3259" s="22"/>
      <c r="X3259" s="22"/>
    </row>
    <row r="3260" spans="2:24" x14ac:dyDescent="0.25">
      <c r="B3260" s="22"/>
      <c r="C3260" s="21"/>
      <c r="W3260" s="22"/>
      <c r="X3260" s="22"/>
    </row>
    <row r="3261" spans="2:24" x14ac:dyDescent="0.25">
      <c r="B3261" s="22"/>
      <c r="C3261" s="21"/>
      <c r="W3261" s="22"/>
      <c r="X3261" s="22"/>
    </row>
    <row r="3262" spans="2:24" x14ac:dyDescent="0.25">
      <c r="B3262" s="22"/>
      <c r="C3262" s="21"/>
      <c r="W3262" s="22"/>
      <c r="X3262" s="22"/>
    </row>
    <row r="3263" spans="2:24" x14ac:dyDescent="0.25">
      <c r="B3263" s="22"/>
      <c r="C3263" s="21"/>
      <c r="W3263" s="22"/>
      <c r="X3263" s="22"/>
    </row>
    <row r="3264" spans="2:24" x14ac:dyDescent="0.25">
      <c r="B3264" s="22"/>
      <c r="C3264" s="21"/>
      <c r="W3264" s="22"/>
      <c r="X3264" s="22"/>
    </row>
    <row r="3265" spans="2:24" x14ac:dyDescent="0.25">
      <c r="B3265" s="22"/>
      <c r="C3265" s="21"/>
      <c r="W3265" s="22"/>
      <c r="X3265" s="22"/>
    </row>
    <row r="3266" spans="2:24" x14ac:dyDescent="0.25">
      <c r="B3266" s="22"/>
      <c r="C3266" s="21"/>
      <c r="W3266" s="22"/>
      <c r="X3266" s="22"/>
    </row>
    <row r="3267" spans="2:24" x14ac:dyDescent="0.25">
      <c r="B3267" s="22"/>
      <c r="C3267" s="21"/>
      <c r="W3267" s="22"/>
      <c r="X3267" s="22"/>
    </row>
    <row r="3268" spans="2:24" x14ac:dyDescent="0.25">
      <c r="B3268" s="22"/>
      <c r="C3268" s="21"/>
      <c r="W3268" s="22"/>
      <c r="X3268" s="22"/>
    </row>
    <row r="3269" spans="2:24" x14ac:dyDescent="0.25">
      <c r="B3269" s="22"/>
      <c r="C3269" s="21"/>
      <c r="W3269" s="22"/>
      <c r="X3269" s="22"/>
    </row>
    <row r="3270" spans="2:24" x14ac:dyDescent="0.25">
      <c r="B3270" s="22"/>
      <c r="C3270" s="21"/>
      <c r="W3270" s="22"/>
      <c r="X3270" s="22"/>
    </row>
    <row r="3271" spans="2:24" x14ac:dyDescent="0.25">
      <c r="B3271" s="22"/>
      <c r="C3271" s="21"/>
      <c r="W3271" s="22"/>
      <c r="X3271" s="22"/>
    </row>
    <row r="3272" spans="2:24" x14ac:dyDescent="0.25">
      <c r="B3272" s="22"/>
      <c r="C3272" s="21"/>
      <c r="W3272" s="22"/>
      <c r="X3272" s="22"/>
    </row>
    <row r="3273" spans="2:24" x14ac:dyDescent="0.25">
      <c r="B3273" s="22"/>
      <c r="C3273" s="21"/>
      <c r="W3273" s="22"/>
      <c r="X3273" s="22"/>
    </row>
    <row r="3274" spans="2:24" x14ac:dyDescent="0.25">
      <c r="B3274" s="22"/>
      <c r="C3274" s="21"/>
      <c r="W3274" s="22"/>
      <c r="X3274" s="22"/>
    </row>
    <row r="3275" spans="2:24" x14ac:dyDescent="0.25">
      <c r="B3275" s="22"/>
      <c r="C3275" s="21"/>
      <c r="W3275" s="22"/>
      <c r="X3275" s="22"/>
    </row>
    <row r="3276" spans="2:24" x14ac:dyDescent="0.25">
      <c r="B3276" s="22"/>
      <c r="C3276" s="21"/>
      <c r="W3276" s="22"/>
      <c r="X3276" s="22"/>
    </row>
    <row r="3277" spans="2:24" x14ac:dyDescent="0.25">
      <c r="B3277" s="22"/>
      <c r="C3277" s="21"/>
      <c r="W3277" s="22"/>
      <c r="X3277" s="22"/>
    </row>
    <row r="3278" spans="2:24" x14ac:dyDescent="0.25">
      <c r="B3278" s="22"/>
      <c r="C3278" s="21"/>
      <c r="W3278" s="22"/>
      <c r="X3278" s="22"/>
    </row>
    <row r="3279" spans="2:24" x14ac:dyDescent="0.25">
      <c r="B3279" s="22"/>
      <c r="C3279" s="21"/>
      <c r="W3279" s="22"/>
      <c r="X3279" s="22"/>
    </row>
    <row r="3280" spans="2:24" x14ac:dyDescent="0.25">
      <c r="B3280" s="22"/>
      <c r="C3280" s="21"/>
      <c r="W3280" s="22"/>
      <c r="X3280" s="22"/>
    </row>
    <row r="3281" spans="2:24" x14ac:dyDescent="0.25">
      <c r="B3281" s="22"/>
      <c r="C3281" s="21"/>
      <c r="W3281" s="22"/>
      <c r="X3281" s="22"/>
    </row>
    <row r="3282" spans="2:24" x14ac:dyDescent="0.25">
      <c r="B3282" s="22"/>
      <c r="C3282" s="21"/>
      <c r="W3282" s="22"/>
      <c r="X3282" s="22"/>
    </row>
    <row r="3283" spans="2:24" x14ac:dyDescent="0.25">
      <c r="B3283" s="22"/>
      <c r="C3283" s="21"/>
      <c r="W3283" s="22"/>
      <c r="X3283" s="22"/>
    </row>
    <row r="3284" spans="2:24" x14ac:dyDescent="0.25">
      <c r="B3284" s="22"/>
      <c r="C3284" s="21"/>
      <c r="W3284" s="22"/>
      <c r="X3284" s="22"/>
    </row>
    <row r="3285" spans="2:24" x14ac:dyDescent="0.25">
      <c r="B3285" s="22"/>
      <c r="C3285" s="21"/>
      <c r="W3285" s="22"/>
      <c r="X3285" s="22"/>
    </row>
    <row r="3286" spans="2:24" x14ac:dyDescent="0.25">
      <c r="B3286" s="22"/>
      <c r="C3286" s="21"/>
      <c r="W3286" s="22"/>
      <c r="X3286" s="22"/>
    </row>
    <row r="3287" spans="2:24" x14ac:dyDescent="0.25">
      <c r="B3287" s="22"/>
      <c r="C3287" s="21"/>
      <c r="W3287" s="22"/>
      <c r="X3287" s="22"/>
    </row>
    <row r="3288" spans="2:24" x14ac:dyDescent="0.25">
      <c r="B3288" s="22"/>
      <c r="C3288" s="21"/>
      <c r="W3288" s="22"/>
      <c r="X3288" s="22"/>
    </row>
    <row r="3289" spans="2:24" x14ac:dyDescent="0.25">
      <c r="B3289" s="22"/>
      <c r="C3289" s="21"/>
      <c r="W3289" s="22"/>
      <c r="X3289" s="22"/>
    </row>
    <row r="3290" spans="2:24" x14ac:dyDescent="0.25">
      <c r="B3290" s="22"/>
      <c r="C3290" s="21"/>
      <c r="W3290" s="22"/>
      <c r="X3290" s="22"/>
    </row>
    <row r="3291" spans="2:24" x14ac:dyDescent="0.25">
      <c r="B3291" s="22"/>
      <c r="C3291" s="21"/>
      <c r="W3291" s="22"/>
      <c r="X3291" s="22"/>
    </row>
    <row r="3292" spans="2:24" x14ac:dyDescent="0.25">
      <c r="B3292" s="22"/>
      <c r="C3292" s="21"/>
      <c r="W3292" s="22"/>
      <c r="X3292" s="22"/>
    </row>
    <row r="3293" spans="2:24" x14ac:dyDescent="0.25">
      <c r="B3293" s="22"/>
      <c r="C3293" s="21"/>
      <c r="W3293" s="22"/>
      <c r="X3293" s="22"/>
    </row>
    <row r="3294" spans="2:24" x14ac:dyDescent="0.25">
      <c r="B3294" s="22"/>
      <c r="C3294" s="21"/>
      <c r="W3294" s="22"/>
      <c r="X3294" s="22"/>
    </row>
    <row r="3295" spans="2:24" x14ac:dyDescent="0.25">
      <c r="B3295" s="22"/>
      <c r="C3295" s="21"/>
      <c r="W3295" s="22"/>
      <c r="X3295" s="22"/>
    </row>
    <row r="3296" spans="2:24" x14ac:dyDescent="0.25">
      <c r="B3296" s="22"/>
      <c r="C3296" s="21"/>
      <c r="W3296" s="22"/>
      <c r="X3296" s="22"/>
    </row>
    <row r="3297" spans="2:24" x14ac:dyDescent="0.25">
      <c r="B3297" s="22"/>
      <c r="C3297" s="21"/>
      <c r="W3297" s="22"/>
      <c r="X3297" s="22"/>
    </row>
    <row r="3298" spans="2:24" x14ac:dyDescent="0.25">
      <c r="B3298" s="22"/>
      <c r="C3298" s="21"/>
      <c r="W3298" s="22"/>
      <c r="X3298" s="22"/>
    </row>
    <row r="3299" spans="2:24" x14ac:dyDescent="0.25">
      <c r="B3299" s="22"/>
      <c r="C3299" s="21"/>
      <c r="W3299" s="22"/>
      <c r="X3299" s="22"/>
    </row>
    <row r="3300" spans="2:24" x14ac:dyDescent="0.25">
      <c r="B3300" s="22"/>
      <c r="C3300" s="21"/>
      <c r="W3300" s="22"/>
      <c r="X3300" s="22"/>
    </row>
    <row r="3301" spans="2:24" x14ac:dyDescent="0.25">
      <c r="B3301" s="22"/>
      <c r="C3301" s="21"/>
      <c r="W3301" s="22"/>
      <c r="X3301" s="22"/>
    </row>
    <row r="3302" spans="2:24" x14ac:dyDescent="0.25">
      <c r="B3302" s="22"/>
      <c r="C3302" s="21"/>
      <c r="W3302" s="22"/>
      <c r="X3302" s="22"/>
    </row>
    <row r="3303" spans="2:24" x14ac:dyDescent="0.25">
      <c r="B3303" s="22"/>
      <c r="C3303" s="21"/>
      <c r="W3303" s="22"/>
      <c r="X3303" s="22"/>
    </row>
    <row r="3304" spans="2:24" x14ac:dyDescent="0.25">
      <c r="B3304" s="22"/>
      <c r="C3304" s="21"/>
      <c r="W3304" s="22"/>
      <c r="X3304" s="22"/>
    </row>
    <row r="3305" spans="2:24" x14ac:dyDescent="0.25">
      <c r="B3305" s="22"/>
      <c r="C3305" s="21"/>
      <c r="W3305" s="22"/>
      <c r="X3305" s="22"/>
    </row>
    <row r="3306" spans="2:24" x14ac:dyDescent="0.25">
      <c r="B3306" s="22"/>
      <c r="C3306" s="21"/>
      <c r="W3306" s="22"/>
      <c r="X3306" s="22"/>
    </row>
    <row r="3307" spans="2:24" x14ac:dyDescent="0.25">
      <c r="B3307" s="22"/>
      <c r="C3307" s="21"/>
      <c r="W3307" s="22"/>
      <c r="X3307" s="22"/>
    </row>
    <row r="3308" spans="2:24" x14ac:dyDescent="0.25">
      <c r="B3308" s="22"/>
      <c r="C3308" s="21"/>
      <c r="W3308" s="22"/>
      <c r="X3308" s="22"/>
    </row>
    <row r="3309" spans="2:24" x14ac:dyDescent="0.25">
      <c r="B3309" s="22"/>
      <c r="C3309" s="21"/>
      <c r="W3309" s="22"/>
      <c r="X3309" s="22"/>
    </row>
    <row r="3310" spans="2:24" x14ac:dyDescent="0.25">
      <c r="B3310" s="22"/>
      <c r="C3310" s="21"/>
      <c r="W3310" s="22"/>
      <c r="X3310" s="22"/>
    </row>
    <row r="3311" spans="2:24" x14ac:dyDescent="0.25">
      <c r="B3311" s="22"/>
      <c r="C3311" s="21"/>
      <c r="W3311" s="22"/>
      <c r="X3311" s="22"/>
    </row>
    <row r="3312" spans="2:24" x14ac:dyDescent="0.25">
      <c r="B3312" s="22"/>
      <c r="C3312" s="21"/>
      <c r="W3312" s="22"/>
      <c r="X3312" s="22"/>
    </row>
    <row r="3313" spans="2:24" x14ac:dyDescent="0.25">
      <c r="B3313" s="22"/>
      <c r="C3313" s="21"/>
      <c r="W3313" s="22"/>
      <c r="X3313" s="22"/>
    </row>
    <row r="3314" spans="2:24" x14ac:dyDescent="0.25">
      <c r="B3314" s="22"/>
      <c r="C3314" s="21"/>
      <c r="W3314" s="22"/>
      <c r="X3314" s="22"/>
    </row>
    <row r="3315" spans="2:24" x14ac:dyDescent="0.25">
      <c r="B3315" s="22"/>
      <c r="C3315" s="21"/>
      <c r="W3315" s="22"/>
      <c r="X3315" s="22"/>
    </row>
    <row r="3316" spans="2:24" x14ac:dyDescent="0.25">
      <c r="B3316" s="22"/>
      <c r="C3316" s="21"/>
      <c r="W3316" s="22"/>
      <c r="X3316" s="22"/>
    </row>
    <row r="3317" spans="2:24" x14ac:dyDescent="0.25">
      <c r="B3317" s="22"/>
      <c r="C3317" s="21"/>
      <c r="W3317" s="22"/>
      <c r="X3317" s="22"/>
    </row>
    <row r="3318" spans="2:24" x14ac:dyDescent="0.25">
      <c r="B3318" s="22"/>
      <c r="C3318" s="21"/>
      <c r="W3318" s="22"/>
      <c r="X3318" s="22"/>
    </row>
    <row r="3319" spans="2:24" x14ac:dyDescent="0.25">
      <c r="B3319" s="22"/>
      <c r="C3319" s="21"/>
      <c r="W3319" s="22"/>
      <c r="X3319" s="22"/>
    </row>
    <row r="3320" spans="2:24" x14ac:dyDescent="0.25">
      <c r="B3320" s="22"/>
      <c r="C3320" s="21"/>
      <c r="W3320" s="22"/>
      <c r="X3320" s="22"/>
    </row>
    <row r="3321" spans="2:24" x14ac:dyDescent="0.25">
      <c r="B3321" s="22"/>
      <c r="C3321" s="21"/>
      <c r="W3321" s="22"/>
      <c r="X3321" s="22"/>
    </row>
    <row r="3322" spans="2:24" x14ac:dyDescent="0.25">
      <c r="B3322" s="22"/>
      <c r="C3322" s="21"/>
      <c r="W3322" s="22"/>
      <c r="X3322" s="22"/>
    </row>
    <row r="3323" spans="2:24" x14ac:dyDescent="0.25">
      <c r="B3323" s="22"/>
      <c r="C3323" s="21"/>
      <c r="W3323" s="22"/>
      <c r="X3323" s="22"/>
    </row>
    <row r="3324" spans="2:24" x14ac:dyDescent="0.25">
      <c r="B3324" s="22"/>
      <c r="C3324" s="21"/>
      <c r="W3324" s="22"/>
      <c r="X3324" s="22"/>
    </row>
    <row r="3325" spans="2:24" x14ac:dyDescent="0.25">
      <c r="B3325" s="22"/>
      <c r="C3325" s="21"/>
      <c r="W3325" s="22"/>
      <c r="X3325" s="22"/>
    </row>
    <row r="3326" spans="2:24" x14ac:dyDescent="0.25">
      <c r="B3326" s="22"/>
      <c r="C3326" s="21"/>
      <c r="W3326" s="22"/>
      <c r="X3326" s="22"/>
    </row>
    <row r="3327" spans="2:24" x14ac:dyDescent="0.25">
      <c r="B3327" s="22"/>
      <c r="C3327" s="21"/>
      <c r="W3327" s="22"/>
      <c r="X3327" s="22"/>
    </row>
    <row r="3328" spans="2:24" x14ac:dyDescent="0.25">
      <c r="B3328" s="22"/>
      <c r="C3328" s="21"/>
      <c r="W3328" s="22"/>
      <c r="X3328" s="22"/>
    </row>
    <row r="3329" spans="2:24" x14ac:dyDescent="0.25">
      <c r="B3329" s="22"/>
      <c r="C3329" s="21"/>
      <c r="W3329" s="22"/>
      <c r="X3329" s="22"/>
    </row>
    <row r="3330" spans="2:24" x14ac:dyDescent="0.25">
      <c r="B3330" s="22"/>
      <c r="C3330" s="21"/>
      <c r="W3330" s="22"/>
      <c r="X3330" s="22"/>
    </row>
    <row r="3331" spans="2:24" x14ac:dyDescent="0.25">
      <c r="B3331" s="22"/>
      <c r="C3331" s="21"/>
      <c r="W3331" s="22"/>
      <c r="X3331" s="22"/>
    </row>
    <row r="3332" spans="2:24" x14ac:dyDescent="0.25">
      <c r="B3332" s="22"/>
      <c r="C3332" s="21"/>
      <c r="W3332" s="22"/>
      <c r="X3332" s="22"/>
    </row>
    <row r="3333" spans="2:24" x14ac:dyDescent="0.25">
      <c r="B3333" s="22"/>
      <c r="C3333" s="21"/>
      <c r="W3333" s="22"/>
      <c r="X3333" s="22"/>
    </row>
    <row r="3334" spans="2:24" x14ac:dyDescent="0.25">
      <c r="B3334" s="22"/>
      <c r="C3334" s="21"/>
      <c r="W3334" s="22"/>
      <c r="X3334" s="22"/>
    </row>
    <row r="3335" spans="2:24" x14ac:dyDescent="0.25">
      <c r="B3335" s="22"/>
      <c r="C3335" s="21"/>
      <c r="W3335" s="22"/>
      <c r="X3335" s="22"/>
    </row>
    <row r="3336" spans="2:24" x14ac:dyDescent="0.25">
      <c r="B3336" s="22"/>
      <c r="C3336" s="21"/>
      <c r="W3336" s="22"/>
      <c r="X3336" s="22"/>
    </row>
    <row r="3337" spans="2:24" x14ac:dyDescent="0.25">
      <c r="B3337" s="22"/>
      <c r="C3337" s="21"/>
      <c r="W3337" s="22"/>
      <c r="X3337" s="22"/>
    </row>
    <row r="3338" spans="2:24" x14ac:dyDescent="0.25">
      <c r="B3338" s="22"/>
      <c r="C3338" s="21"/>
      <c r="W3338" s="22"/>
      <c r="X3338" s="22"/>
    </row>
    <row r="3339" spans="2:24" x14ac:dyDescent="0.25">
      <c r="B3339" s="22"/>
      <c r="C3339" s="21"/>
      <c r="W3339" s="22"/>
      <c r="X3339" s="22"/>
    </row>
    <row r="3340" spans="2:24" x14ac:dyDescent="0.25">
      <c r="B3340" s="22"/>
      <c r="C3340" s="21"/>
      <c r="W3340" s="22"/>
      <c r="X3340" s="22"/>
    </row>
    <row r="3341" spans="2:24" x14ac:dyDescent="0.25">
      <c r="B3341" s="22"/>
      <c r="C3341" s="21"/>
      <c r="W3341" s="22"/>
      <c r="X3341" s="22"/>
    </row>
    <row r="3342" spans="2:24" x14ac:dyDescent="0.25">
      <c r="B3342" s="22"/>
      <c r="C3342" s="21"/>
      <c r="W3342" s="22"/>
    </row>
    <row r="3343" spans="2:24" x14ac:dyDescent="0.25">
      <c r="B3343" s="22"/>
      <c r="C3343" s="21"/>
      <c r="W3343" s="22"/>
      <c r="X3343" s="22"/>
    </row>
    <row r="3344" spans="2:24" x14ac:dyDescent="0.25">
      <c r="B3344" s="22"/>
      <c r="C3344" s="21"/>
      <c r="W3344" s="22"/>
      <c r="X3344" s="22"/>
    </row>
    <row r="3345" spans="2:24" x14ac:dyDescent="0.25">
      <c r="B3345" s="22"/>
      <c r="C3345" s="21"/>
      <c r="W3345" s="22"/>
      <c r="X3345" s="22"/>
    </row>
    <row r="3346" spans="2:24" x14ac:dyDescent="0.25">
      <c r="B3346" s="22"/>
      <c r="C3346" s="21"/>
      <c r="W3346" s="22"/>
      <c r="X3346" s="22"/>
    </row>
    <row r="3347" spans="2:24" x14ac:dyDescent="0.25">
      <c r="B3347" s="22"/>
      <c r="C3347" s="21"/>
      <c r="W3347" s="22"/>
      <c r="X3347" s="22"/>
    </row>
    <row r="3348" spans="2:24" x14ac:dyDescent="0.25">
      <c r="B3348" s="22"/>
      <c r="C3348" s="21"/>
      <c r="W3348" s="22"/>
      <c r="X3348" s="22"/>
    </row>
    <row r="3349" spans="2:24" x14ac:dyDescent="0.25">
      <c r="B3349" s="22"/>
      <c r="C3349" s="21"/>
      <c r="W3349" s="22"/>
      <c r="X3349" s="22"/>
    </row>
    <row r="3350" spans="2:24" x14ac:dyDescent="0.25">
      <c r="B3350" s="22"/>
      <c r="C3350" s="21"/>
      <c r="W3350" s="22"/>
      <c r="X3350" s="22"/>
    </row>
    <row r="3351" spans="2:24" x14ac:dyDescent="0.25">
      <c r="B3351" s="22"/>
      <c r="C3351" s="21"/>
      <c r="W3351" s="22"/>
      <c r="X3351" s="22"/>
    </row>
    <row r="3352" spans="2:24" x14ac:dyDescent="0.25">
      <c r="B3352" s="22"/>
      <c r="C3352" s="21"/>
      <c r="W3352" s="22"/>
      <c r="X3352" s="22"/>
    </row>
    <row r="3353" spans="2:24" x14ac:dyDescent="0.25">
      <c r="B3353" s="22"/>
      <c r="C3353" s="21"/>
      <c r="W3353" s="22"/>
      <c r="X3353" s="22"/>
    </row>
    <row r="3354" spans="2:24" x14ac:dyDescent="0.25">
      <c r="B3354" s="22"/>
      <c r="C3354" s="21"/>
      <c r="W3354" s="22"/>
      <c r="X3354" s="22"/>
    </row>
    <row r="3355" spans="2:24" x14ac:dyDescent="0.25">
      <c r="B3355" s="22"/>
      <c r="C3355" s="21"/>
      <c r="W3355" s="22"/>
      <c r="X3355" s="22"/>
    </row>
    <row r="3356" spans="2:24" x14ac:dyDescent="0.25">
      <c r="B3356" s="22"/>
      <c r="C3356" s="21"/>
      <c r="W3356" s="22"/>
      <c r="X3356" s="22"/>
    </row>
    <row r="3357" spans="2:24" x14ac:dyDescent="0.25">
      <c r="B3357" s="22"/>
      <c r="C3357" s="21"/>
      <c r="W3357" s="22"/>
      <c r="X3357" s="22"/>
    </row>
    <row r="3358" spans="2:24" x14ac:dyDescent="0.25">
      <c r="B3358" s="22"/>
      <c r="C3358" s="21"/>
      <c r="W3358" s="22"/>
      <c r="X3358" s="22"/>
    </row>
    <row r="3359" spans="2:24" x14ac:dyDescent="0.25">
      <c r="B3359" s="22"/>
      <c r="C3359" s="21"/>
      <c r="W3359" s="22"/>
      <c r="X3359" s="22"/>
    </row>
    <row r="3360" spans="2:24" x14ac:dyDescent="0.25">
      <c r="B3360" s="22"/>
      <c r="C3360" s="21"/>
      <c r="W3360" s="22"/>
      <c r="X3360" s="22"/>
    </row>
    <row r="3361" spans="2:24" x14ac:dyDescent="0.25">
      <c r="B3361" s="22"/>
      <c r="C3361" s="21"/>
      <c r="W3361" s="22"/>
      <c r="X3361" s="22"/>
    </row>
    <row r="3362" spans="2:24" x14ac:dyDescent="0.25">
      <c r="B3362" s="22"/>
      <c r="C3362" s="21"/>
      <c r="W3362" s="22"/>
      <c r="X3362" s="22"/>
    </row>
    <row r="3363" spans="2:24" x14ac:dyDescent="0.25">
      <c r="B3363" s="22"/>
      <c r="C3363" s="21"/>
      <c r="W3363" s="22"/>
      <c r="X3363" s="22"/>
    </row>
    <row r="3364" spans="2:24" x14ac:dyDescent="0.25">
      <c r="B3364" s="22"/>
      <c r="C3364" s="21"/>
      <c r="W3364" s="22"/>
      <c r="X3364" s="22"/>
    </row>
    <row r="3365" spans="2:24" x14ac:dyDescent="0.25">
      <c r="B3365" s="22"/>
      <c r="C3365" s="21"/>
      <c r="W3365" s="22"/>
      <c r="X3365" s="22"/>
    </row>
    <row r="3366" spans="2:24" x14ac:dyDescent="0.25">
      <c r="B3366" s="22"/>
      <c r="C3366" s="21"/>
      <c r="W3366" s="22"/>
      <c r="X3366" s="22"/>
    </row>
    <row r="3367" spans="2:24" x14ac:dyDescent="0.25">
      <c r="B3367" s="22"/>
      <c r="C3367" s="21"/>
      <c r="W3367" s="22"/>
      <c r="X3367" s="22"/>
    </row>
    <row r="3368" spans="2:24" x14ac:dyDescent="0.25">
      <c r="B3368" s="22"/>
      <c r="C3368" s="21"/>
      <c r="W3368" s="22"/>
      <c r="X3368" s="22"/>
    </row>
    <row r="3369" spans="2:24" x14ac:dyDescent="0.25">
      <c r="B3369" s="22"/>
      <c r="C3369" s="21"/>
      <c r="W3369" s="22"/>
      <c r="X3369" s="22"/>
    </row>
    <row r="3370" spans="2:24" x14ac:dyDescent="0.25">
      <c r="B3370" s="22"/>
      <c r="C3370" s="21"/>
      <c r="W3370" s="22"/>
      <c r="X3370" s="22"/>
    </row>
    <row r="3371" spans="2:24" x14ac:dyDescent="0.25">
      <c r="B3371" s="22"/>
      <c r="C3371" s="21"/>
      <c r="W3371" s="22"/>
      <c r="X3371" s="22"/>
    </row>
    <row r="3372" spans="2:24" x14ac:dyDescent="0.25">
      <c r="B3372" s="22"/>
      <c r="C3372" s="21"/>
      <c r="W3372" s="22"/>
      <c r="X3372" s="22"/>
    </row>
    <row r="3373" spans="2:24" x14ac:dyDescent="0.25">
      <c r="B3373" s="22"/>
      <c r="C3373" s="21"/>
      <c r="W3373" s="22"/>
      <c r="X3373" s="22"/>
    </row>
    <row r="3374" spans="2:24" x14ac:dyDescent="0.25">
      <c r="B3374" s="22"/>
      <c r="C3374" s="21"/>
      <c r="W3374" s="22"/>
      <c r="X3374" s="22"/>
    </row>
    <row r="3375" spans="2:24" x14ac:dyDescent="0.25">
      <c r="B3375" s="22"/>
      <c r="C3375" s="21"/>
      <c r="W3375" s="22"/>
      <c r="X3375" s="22"/>
    </row>
    <row r="3376" spans="2:24" x14ac:dyDescent="0.25">
      <c r="B3376" s="22"/>
      <c r="C3376" s="21"/>
      <c r="W3376" s="22"/>
      <c r="X3376" s="22"/>
    </row>
    <row r="3377" spans="2:24" x14ac:dyDescent="0.25">
      <c r="B3377" s="22"/>
      <c r="C3377" s="21"/>
      <c r="W3377" s="22"/>
      <c r="X3377" s="22"/>
    </row>
    <row r="3378" spans="2:24" x14ac:dyDescent="0.25">
      <c r="B3378" s="22"/>
      <c r="C3378" s="21"/>
      <c r="W3378" s="22"/>
      <c r="X3378" s="22"/>
    </row>
    <row r="3379" spans="2:24" x14ac:dyDescent="0.25">
      <c r="B3379" s="22"/>
      <c r="C3379" s="21"/>
      <c r="W3379" s="22"/>
      <c r="X3379" s="22"/>
    </row>
    <row r="3380" spans="2:24" x14ac:dyDescent="0.25">
      <c r="B3380" s="22"/>
      <c r="C3380" s="21"/>
      <c r="W3380" s="22"/>
      <c r="X3380" s="22"/>
    </row>
    <row r="3381" spans="2:24" x14ac:dyDescent="0.25">
      <c r="B3381" s="22"/>
      <c r="C3381" s="21"/>
      <c r="W3381" s="22"/>
      <c r="X3381" s="22"/>
    </row>
    <row r="3382" spans="2:24" x14ac:dyDescent="0.25">
      <c r="B3382" s="22"/>
      <c r="C3382" s="21"/>
      <c r="W3382" s="22"/>
      <c r="X3382" s="22"/>
    </row>
    <row r="3383" spans="2:24" x14ac:dyDescent="0.25">
      <c r="B3383" s="22"/>
      <c r="C3383" s="21"/>
      <c r="W3383" s="22"/>
      <c r="X3383" s="22"/>
    </row>
    <row r="3384" spans="2:24" x14ac:dyDescent="0.25">
      <c r="B3384" s="22"/>
      <c r="C3384" s="21"/>
      <c r="W3384" s="22"/>
      <c r="X3384" s="22"/>
    </row>
    <row r="3385" spans="2:24" x14ac:dyDescent="0.25">
      <c r="B3385" s="22"/>
      <c r="C3385" s="21"/>
      <c r="W3385" s="22"/>
      <c r="X3385" s="22"/>
    </row>
    <row r="3386" spans="2:24" x14ac:dyDescent="0.25">
      <c r="B3386" s="22"/>
      <c r="C3386" s="21"/>
      <c r="W3386" s="22"/>
      <c r="X3386" s="22"/>
    </row>
    <row r="3387" spans="2:24" x14ac:dyDescent="0.25">
      <c r="B3387" s="22"/>
      <c r="C3387" s="21"/>
      <c r="W3387" s="22"/>
      <c r="X3387" s="22"/>
    </row>
    <row r="3388" spans="2:24" x14ac:dyDescent="0.25">
      <c r="B3388" s="22"/>
      <c r="C3388" s="21"/>
      <c r="W3388" s="22"/>
      <c r="X3388" s="22"/>
    </row>
    <row r="3389" spans="2:24" x14ac:dyDescent="0.25">
      <c r="B3389" s="22"/>
      <c r="C3389" s="21"/>
      <c r="W3389" s="22"/>
      <c r="X3389" s="22"/>
    </row>
    <row r="3390" spans="2:24" x14ac:dyDescent="0.25">
      <c r="B3390" s="22"/>
      <c r="C3390" s="21"/>
      <c r="W3390" s="22"/>
      <c r="X3390" s="22"/>
    </row>
    <row r="3391" spans="2:24" x14ac:dyDescent="0.25">
      <c r="B3391" s="22"/>
      <c r="C3391" s="21"/>
      <c r="W3391" s="22"/>
      <c r="X3391" s="22"/>
    </row>
    <row r="3392" spans="2:24" x14ac:dyDescent="0.25">
      <c r="B3392" s="22"/>
      <c r="C3392" s="21"/>
      <c r="W3392" s="22"/>
      <c r="X3392" s="22"/>
    </row>
    <row r="3393" spans="2:24" x14ac:dyDescent="0.25">
      <c r="B3393" s="22"/>
      <c r="C3393" s="21"/>
      <c r="W3393" s="22"/>
      <c r="X3393" s="22"/>
    </row>
    <row r="3394" spans="2:24" x14ac:dyDescent="0.25">
      <c r="B3394" s="22"/>
      <c r="C3394" s="21"/>
      <c r="W3394" s="22"/>
      <c r="X3394" s="22"/>
    </row>
    <row r="3395" spans="2:24" x14ac:dyDescent="0.25">
      <c r="B3395" s="22"/>
      <c r="C3395" s="21"/>
      <c r="W3395" s="22"/>
      <c r="X3395" s="22"/>
    </row>
    <row r="3396" spans="2:24" x14ac:dyDescent="0.25">
      <c r="B3396" s="22"/>
      <c r="C3396" s="21"/>
      <c r="W3396" s="22"/>
      <c r="X3396" s="22"/>
    </row>
    <row r="3397" spans="2:24" x14ac:dyDescent="0.25">
      <c r="B3397" s="22"/>
      <c r="C3397" s="21"/>
      <c r="W3397" s="22"/>
      <c r="X3397" s="22"/>
    </row>
    <row r="3398" spans="2:24" x14ac:dyDescent="0.25">
      <c r="B3398" s="22"/>
      <c r="C3398" s="21"/>
      <c r="W3398" s="22"/>
      <c r="X3398" s="22"/>
    </row>
    <row r="3399" spans="2:24" x14ac:dyDescent="0.25">
      <c r="B3399" s="22"/>
      <c r="C3399" s="21"/>
      <c r="W3399" s="22"/>
      <c r="X3399" s="22"/>
    </row>
    <row r="3400" spans="2:24" x14ac:dyDescent="0.25">
      <c r="B3400" s="22"/>
      <c r="C3400" s="21"/>
      <c r="W3400" s="22"/>
      <c r="X3400" s="22"/>
    </row>
    <row r="3401" spans="2:24" x14ac:dyDescent="0.25">
      <c r="B3401" s="22"/>
      <c r="C3401" s="21"/>
      <c r="W3401" s="22"/>
      <c r="X3401" s="22"/>
    </row>
    <row r="3402" spans="2:24" x14ac:dyDescent="0.25">
      <c r="B3402" s="22"/>
      <c r="C3402" s="21"/>
      <c r="W3402" s="22"/>
      <c r="X3402" s="22"/>
    </row>
    <row r="3403" spans="2:24" x14ac:dyDescent="0.25">
      <c r="B3403" s="22"/>
      <c r="C3403" s="21"/>
      <c r="W3403" s="22"/>
      <c r="X3403" s="22"/>
    </row>
    <row r="3404" spans="2:24" x14ac:dyDescent="0.25">
      <c r="B3404" s="22"/>
      <c r="C3404" s="21"/>
      <c r="W3404" s="22"/>
      <c r="X3404" s="22"/>
    </row>
    <row r="3405" spans="2:24" x14ac:dyDescent="0.25">
      <c r="B3405" s="22"/>
      <c r="C3405" s="21"/>
      <c r="W3405" s="22"/>
      <c r="X3405" s="22"/>
    </row>
    <row r="3406" spans="2:24" x14ac:dyDescent="0.25">
      <c r="B3406" s="22"/>
      <c r="C3406" s="21"/>
      <c r="W3406" s="22"/>
      <c r="X3406" s="22"/>
    </row>
    <row r="3407" spans="2:24" x14ac:dyDescent="0.25">
      <c r="B3407" s="22"/>
      <c r="C3407" s="21"/>
      <c r="W3407" s="22"/>
      <c r="X3407" s="22"/>
    </row>
    <row r="3408" spans="2:24" x14ac:dyDescent="0.25">
      <c r="B3408" s="22"/>
      <c r="C3408" s="21"/>
      <c r="W3408" s="22"/>
      <c r="X3408" s="22"/>
    </row>
    <row r="3409" spans="2:24" x14ac:dyDescent="0.25">
      <c r="B3409" s="22"/>
      <c r="C3409" s="21"/>
      <c r="W3409" s="22"/>
      <c r="X3409" s="22"/>
    </row>
    <row r="3410" spans="2:24" x14ac:dyDescent="0.25">
      <c r="B3410" s="22"/>
      <c r="C3410" s="21"/>
      <c r="W3410" s="22"/>
      <c r="X3410" s="22"/>
    </row>
    <row r="3411" spans="2:24" x14ac:dyDescent="0.25">
      <c r="B3411" s="22"/>
      <c r="C3411" s="21"/>
      <c r="W3411" s="22"/>
      <c r="X3411" s="22"/>
    </row>
    <row r="3412" spans="2:24" x14ac:dyDescent="0.25">
      <c r="B3412" s="22"/>
      <c r="C3412" s="21"/>
      <c r="W3412" s="22"/>
      <c r="X3412" s="22"/>
    </row>
    <row r="3413" spans="2:24" x14ac:dyDescent="0.25">
      <c r="B3413" s="22"/>
      <c r="C3413" s="21"/>
      <c r="W3413" s="22"/>
      <c r="X3413" s="22"/>
    </row>
    <row r="3414" spans="2:24" x14ac:dyDescent="0.25">
      <c r="B3414" s="22"/>
      <c r="C3414" s="21"/>
      <c r="W3414" s="22"/>
      <c r="X3414" s="22"/>
    </row>
    <row r="3415" spans="2:24" x14ac:dyDescent="0.25">
      <c r="B3415" s="22"/>
      <c r="C3415" s="21"/>
      <c r="W3415" s="22"/>
      <c r="X3415" s="22"/>
    </row>
    <row r="3416" spans="2:24" x14ac:dyDescent="0.25">
      <c r="B3416" s="22"/>
      <c r="C3416" s="21"/>
      <c r="W3416" s="22"/>
      <c r="X3416" s="22"/>
    </row>
    <row r="3417" spans="2:24" x14ac:dyDescent="0.25">
      <c r="B3417" s="22"/>
      <c r="C3417" s="21"/>
      <c r="W3417" s="22"/>
      <c r="X3417" s="22"/>
    </row>
    <row r="3418" spans="2:24" x14ac:dyDescent="0.25">
      <c r="B3418" s="22"/>
      <c r="C3418" s="21"/>
      <c r="W3418" s="22"/>
      <c r="X3418" s="22"/>
    </row>
    <row r="3419" spans="2:24" x14ac:dyDescent="0.25">
      <c r="B3419" s="22"/>
      <c r="C3419" s="21"/>
      <c r="W3419" s="22"/>
      <c r="X3419" s="22"/>
    </row>
    <row r="3420" spans="2:24" x14ac:dyDescent="0.25">
      <c r="B3420" s="22"/>
      <c r="C3420" s="21"/>
      <c r="W3420" s="22"/>
      <c r="X3420" s="22"/>
    </row>
    <row r="3421" spans="2:24" x14ac:dyDescent="0.25">
      <c r="B3421" s="22"/>
      <c r="C3421" s="21"/>
      <c r="W3421" s="22"/>
      <c r="X3421" s="22"/>
    </row>
    <row r="3422" spans="2:24" x14ac:dyDescent="0.25">
      <c r="B3422" s="22"/>
      <c r="C3422" s="21"/>
      <c r="W3422" s="22"/>
      <c r="X3422" s="22"/>
    </row>
    <row r="3423" spans="2:24" x14ac:dyDescent="0.25">
      <c r="B3423" s="22"/>
      <c r="C3423" s="21"/>
      <c r="W3423" s="22"/>
      <c r="X3423" s="22"/>
    </row>
    <row r="3424" spans="2:24" x14ac:dyDescent="0.25">
      <c r="B3424" s="22"/>
      <c r="C3424" s="21"/>
      <c r="W3424" s="22"/>
      <c r="X3424" s="22"/>
    </row>
    <row r="3425" spans="2:24" x14ac:dyDescent="0.25">
      <c r="B3425" s="22"/>
      <c r="C3425" s="21"/>
      <c r="W3425" s="22"/>
      <c r="X3425" s="22"/>
    </row>
    <row r="3426" spans="2:24" x14ac:dyDescent="0.25">
      <c r="B3426" s="22"/>
      <c r="C3426" s="21"/>
      <c r="W3426" s="22"/>
      <c r="X3426" s="22"/>
    </row>
    <row r="3427" spans="2:24" x14ac:dyDescent="0.25">
      <c r="B3427" s="22"/>
      <c r="C3427" s="21"/>
      <c r="W3427" s="22"/>
      <c r="X3427" s="22"/>
    </row>
    <row r="3428" spans="2:24" x14ac:dyDescent="0.25">
      <c r="B3428" s="22"/>
      <c r="C3428" s="21"/>
      <c r="W3428" s="22"/>
      <c r="X3428" s="22"/>
    </row>
    <row r="3429" spans="2:24" x14ac:dyDescent="0.25">
      <c r="B3429" s="22"/>
      <c r="C3429" s="21"/>
      <c r="W3429" s="22"/>
      <c r="X3429" s="22"/>
    </row>
    <row r="3430" spans="2:24" x14ac:dyDescent="0.25">
      <c r="B3430" s="22"/>
      <c r="C3430" s="21"/>
      <c r="W3430" s="22"/>
      <c r="X3430" s="22"/>
    </row>
    <row r="3431" spans="2:24" x14ac:dyDescent="0.25">
      <c r="B3431" s="22"/>
      <c r="C3431" s="21"/>
      <c r="W3431" s="22"/>
      <c r="X3431" s="22"/>
    </row>
    <row r="3432" spans="2:24" x14ac:dyDescent="0.25">
      <c r="B3432" s="22"/>
      <c r="C3432" s="21"/>
      <c r="W3432" s="22"/>
      <c r="X3432" s="22"/>
    </row>
    <row r="3433" spans="2:24" x14ac:dyDescent="0.25">
      <c r="B3433" s="22"/>
      <c r="C3433" s="21"/>
      <c r="W3433" s="22"/>
      <c r="X3433" s="22"/>
    </row>
    <row r="3434" spans="2:24" x14ac:dyDescent="0.25">
      <c r="B3434" s="22"/>
      <c r="C3434" s="21"/>
      <c r="W3434" s="22"/>
      <c r="X3434" s="22"/>
    </row>
    <row r="3435" spans="2:24" x14ac:dyDescent="0.25">
      <c r="B3435" s="22"/>
      <c r="C3435" s="21"/>
      <c r="W3435" s="22"/>
      <c r="X3435" s="22"/>
    </row>
    <row r="3436" spans="2:24" x14ac:dyDescent="0.25">
      <c r="B3436" s="22"/>
      <c r="C3436" s="21"/>
      <c r="W3436" s="22"/>
      <c r="X3436" s="22"/>
    </row>
    <row r="3437" spans="2:24" x14ac:dyDescent="0.25">
      <c r="B3437" s="22"/>
      <c r="C3437" s="21"/>
      <c r="W3437" s="22"/>
      <c r="X3437" s="22"/>
    </row>
    <row r="3438" spans="2:24" x14ac:dyDescent="0.25">
      <c r="B3438" s="22"/>
      <c r="C3438" s="21"/>
      <c r="W3438" s="22"/>
      <c r="X3438" s="22"/>
    </row>
    <row r="3439" spans="2:24" x14ac:dyDescent="0.25">
      <c r="B3439" s="22"/>
      <c r="C3439" s="21"/>
      <c r="W3439" s="22"/>
      <c r="X3439" s="22"/>
    </row>
    <row r="3440" spans="2:24" x14ac:dyDescent="0.25">
      <c r="B3440" s="22"/>
      <c r="C3440" s="21"/>
      <c r="W3440" s="22"/>
      <c r="X3440" s="22"/>
    </row>
    <row r="3441" spans="2:24" x14ac:dyDescent="0.25">
      <c r="B3441" s="22"/>
      <c r="C3441" s="21"/>
      <c r="W3441" s="22"/>
      <c r="X3441" s="22"/>
    </row>
    <row r="3442" spans="2:24" x14ac:dyDescent="0.25">
      <c r="B3442" s="22"/>
      <c r="C3442" s="21"/>
      <c r="W3442" s="22"/>
      <c r="X3442" s="22"/>
    </row>
    <row r="3443" spans="2:24" x14ac:dyDescent="0.25">
      <c r="B3443" s="22"/>
      <c r="C3443" s="21"/>
      <c r="W3443" s="22"/>
      <c r="X3443" s="22"/>
    </row>
    <row r="3444" spans="2:24" x14ac:dyDescent="0.25">
      <c r="B3444" s="22"/>
      <c r="C3444" s="21"/>
      <c r="W3444" s="22"/>
      <c r="X3444" s="22"/>
    </row>
    <row r="3445" spans="2:24" x14ac:dyDescent="0.25">
      <c r="B3445" s="22"/>
      <c r="C3445" s="21"/>
      <c r="W3445" s="22"/>
      <c r="X3445" s="22"/>
    </row>
    <row r="3446" spans="2:24" x14ac:dyDescent="0.25">
      <c r="B3446" s="22"/>
      <c r="C3446" s="21"/>
      <c r="W3446" s="22"/>
      <c r="X3446" s="22"/>
    </row>
    <row r="3447" spans="2:24" x14ac:dyDescent="0.25">
      <c r="B3447" s="22"/>
      <c r="C3447" s="21"/>
      <c r="W3447" s="22"/>
      <c r="X3447" s="22"/>
    </row>
    <row r="3448" spans="2:24" x14ac:dyDescent="0.25">
      <c r="B3448" s="22"/>
      <c r="C3448" s="21"/>
      <c r="W3448" s="22"/>
      <c r="X3448" s="22"/>
    </row>
    <row r="3449" spans="2:24" x14ac:dyDescent="0.25">
      <c r="B3449" s="22"/>
      <c r="C3449" s="21"/>
      <c r="W3449" s="22"/>
      <c r="X3449" s="22"/>
    </row>
    <row r="3450" spans="2:24" x14ac:dyDescent="0.25">
      <c r="B3450" s="22"/>
      <c r="C3450" s="21"/>
      <c r="W3450" s="22"/>
      <c r="X3450" s="22"/>
    </row>
    <row r="3451" spans="2:24" x14ac:dyDescent="0.25">
      <c r="B3451" s="22"/>
      <c r="C3451" s="21"/>
      <c r="W3451" s="22"/>
      <c r="X3451" s="22"/>
    </row>
    <row r="3452" spans="2:24" x14ac:dyDescent="0.25">
      <c r="B3452" s="22"/>
      <c r="C3452" s="21"/>
      <c r="W3452" s="22"/>
      <c r="X3452" s="22"/>
    </row>
    <row r="3453" spans="2:24" x14ac:dyDescent="0.25">
      <c r="B3453" s="22"/>
      <c r="C3453" s="21"/>
      <c r="W3453" s="22"/>
      <c r="X3453" s="22"/>
    </row>
    <row r="3454" spans="2:24" x14ac:dyDescent="0.25">
      <c r="B3454" s="22"/>
      <c r="C3454" s="21"/>
      <c r="W3454" s="22"/>
      <c r="X3454" s="22"/>
    </row>
    <row r="3455" spans="2:24" x14ac:dyDescent="0.25">
      <c r="B3455" s="22"/>
      <c r="C3455" s="21"/>
      <c r="W3455" s="22"/>
      <c r="X3455" s="22"/>
    </row>
    <row r="3456" spans="2:24" x14ac:dyDescent="0.25">
      <c r="B3456" s="22"/>
      <c r="C3456" s="21"/>
      <c r="W3456" s="22"/>
      <c r="X3456" s="22"/>
    </row>
    <row r="3457" spans="2:24" x14ac:dyDescent="0.25">
      <c r="B3457" s="22"/>
      <c r="C3457" s="21"/>
      <c r="W3457" s="22"/>
      <c r="X3457" s="22"/>
    </row>
    <row r="3458" spans="2:24" x14ac:dyDescent="0.25">
      <c r="B3458" s="22"/>
      <c r="C3458" s="21"/>
      <c r="W3458" s="22"/>
      <c r="X3458" s="22"/>
    </row>
    <row r="3459" spans="2:24" x14ac:dyDescent="0.25">
      <c r="B3459" s="22"/>
      <c r="C3459" s="21"/>
      <c r="W3459" s="22"/>
      <c r="X3459" s="22"/>
    </row>
    <row r="3460" spans="2:24" x14ac:dyDescent="0.25">
      <c r="B3460" s="22"/>
      <c r="C3460" s="21"/>
      <c r="W3460" s="22"/>
      <c r="X3460" s="22"/>
    </row>
    <row r="3461" spans="2:24" x14ac:dyDescent="0.25">
      <c r="B3461" s="22"/>
      <c r="C3461" s="21"/>
      <c r="W3461" s="22"/>
      <c r="X3461" s="22"/>
    </row>
    <row r="3462" spans="2:24" x14ac:dyDescent="0.25">
      <c r="B3462" s="22"/>
      <c r="C3462" s="21"/>
      <c r="W3462" s="22"/>
      <c r="X3462" s="22"/>
    </row>
    <row r="3463" spans="2:24" x14ac:dyDescent="0.25">
      <c r="B3463" s="22"/>
      <c r="C3463" s="21"/>
      <c r="W3463" s="22"/>
      <c r="X3463" s="22"/>
    </row>
    <row r="3464" spans="2:24" x14ac:dyDescent="0.25">
      <c r="B3464" s="22"/>
      <c r="C3464" s="21"/>
      <c r="W3464" s="22"/>
      <c r="X3464" s="22"/>
    </row>
    <row r="3465" spans="2:24" x14ac:dyDescent="0.25">
      <c r="B3465" s="22"/>
      <c r="C3465" s="21"/>
      <c r="W3465" s="22"/>
      <c r="X3465" s="22"/>
    </row>
    <row r="3466" spans="2:24" x14ac:dyDescent="0.25">
      <c r="B3466" s="22"/>
      <c r="C3466" s="21"/>
      <c r="W3466" s="22"/>
      <c r="X3466" s="22"/>
    </row>
    <row r="3467" spans="2:24" x14ac:dyDescent="0.25">
      <c r="B3467" s="22"/>
      <c r="C3467" s="21"/>
      <c r="W3467" s="22"/>
      <c r="X3467" s="22"/>
    </row>
    <row r="3468" spans="2:24" x14ac:dyDescent="0.25">
      <c r="B3468" s="22"/>
      <c r="C3468" s="21"/>
      <c r="W3468" s="22"/>
      <c r="X3468" s="22"/>
    </row>
    <row r="3469" spans="2:24" x14ac:dyDescent="0.25">
      <c r="B3469" s="22"/>
      <c r="C3469" s="21"/>
      <c r="W3469" s="22"/>
      <c r="X3469" s="22"/>
    </row>
    <row r="3470" spans="2:24" x14ac:dyDescent="0.25">
      <c r="B3470" s="22"/>
      <c r="C3470" s="21"/>
      <c r="W3470" s="22"/>
    </row>
    <row r="3471" spans="2:24" x14ac:dyDescent="0.25">
      <c r="B3471" s="22"/>
      <c r="C3471" s="21"/>
      <c r="W3471" s="22"/>
      <c r="X3471" s="22"/>
    </row>
    <row r="3472" spans="2:24" x14ac:dyDescent="0.25">
      <c r="B3472" s="22"/>
      <c r="C3472" s="21"/>
      <c r="W3472" s="22"/>
      <c r="X3472" s="22"/>
    </row>
    <row r="3473" spans="2:24" x14ac:dyDescent="0.25">
      <c r="B3473" s="22"/>
      <c r="C3473" s="21"/>
      <c r="W3473" s="22"/>
      <c r="X3473" s="22"/>
    </row>
    <row r="3474" spans="2:24" x14ac:dyDescent="0.25">
      <c r="B3474" s="22"/>
      <c r="C3474" s="21"/>
      <c r="W3474" s="22"/>
      <c r="X3474" s="22"/>
    </row>
    <row r="3475" spans="2:24" x14ac:dyDescent="0.25">
      <c r="B3475" s="22"/>
      <c r="C3475" s="21"/>
      <c r="W3475" s="22"/>
      <c r="X3475" s="22"/>
    </row>
    <row r="3476" spans="2:24" x14ac:dyDescent="0.25">
      <c r="B3476" s="22"/>
      <c r="C3476" s="21"/>
      <c r="W3476" s="22"/>
      <c r="X3476" s="22"/>
    </row>
    <row r="3477" spans="2:24" x14ac:dyDescent="0.25">
      <c r="B3477" s="22"/>
      <c r="C3477" s="21"/>
      <c r="W3477" s="22"/>
      <c r="X3477" s="22"/>
    </row>
    <row r="3478" spans="2:24" x14ac:dyDescent="0.25">
      <c r="B3478" s="22"/>
      <c r="C3478" s="21"/>
      <c r="W3478" s="22"/>
      <c r="X3478" s="22"/>
    </row>
    <row r="3479" spans="2:24" x14ac:dyDescent="0.25">
      <c r="B3479" s="22"/>
      <c r="C3479" s="21"/>
      <c r="W3479" s="22"/>
      <c r="X3479" s="22"/>
    </row>
    <row r="3480" spans="2:24" x14ac:dyDescent="0.25">
      <c r="B3480" s="22"/>
      <c r="C3480" s="21"/>
      <c r="W3480" s="22"/>
      <c r="X3480" s="22"/>
    </row>
    <row r="3481" spans="2:24" x14ac:dyDescent="0.25">
      <c r="B3481" s="22"/>
      <c r="C3481" s="21"/>
      <c r="W3481" s="22"/>
      <c r="X3481" s="22"/>
    </row>
    <row r="3482" spans="2:24" x14ac:dyDescent="0.25">
      <c r="B3482" s="22"/>
      <c r="C3482" s="21"/>
      <c r="W3482" s="22"/>
      <c r="X3482" s="22"/>
    </row>
    <row r="3483" spans="2:24" x14ac:dyDescent="0.25">
      <c r="B3483" s="22"/>
      <c r="C3483" s="21"/>
      <c r="W3483" s="22"/>
      <c r="X3483" s="22"/>
    </row>
    <row r="3484" spans="2:24" x14ac:dyDescent="0.25">
      <c r="B3484" s="22"/>
      <c r="C3484" s="21"/>
      <c r="W3484" s="22"/>
      <c r="X3484" s="22"/>
    </row>
    <row r="3485" spans="2:24" x14ac:dyDescent="0.25">
      <c r="B3485" s="22"/>
      <c r="C3485" s="21"/>
      <c r="W3485" s="22"/>
      <c r="X3485" s="22"/>
    </row>
    <row r="3486" spans="2:24" x14ac:dyDescent="0.25">
      <c r="B3486" s="22"/>
      <c r="C3486" s="21"/>
      <c r="W3486" s="22"/>
      <c r="X3486" s="22"/>
    </row>
    <row r="3487" spans="2:24" x14ac:dyDescent="0.25">
      <c r="B3487" s="22"/>
      <c r="C3487" s="21"/>
      <c r="W3487" s="22"/>
      <c r="X3487" s="22"/>
    </row>
    <row r="3488" spans="2:24" x14ac:dyDescent="0.25">
      <c r="B3488" s="22"/>
      <c r="C3488" s="21"/>
      <c r="W3488" s="22"/>
      <c r="X3488" s="22"/>
    </row>
    <row r="3489" spans="2:24" x14ac:dyDescent="0.25">
      <c r="B3489" s="22"/>
      <c r="C3489" s="21"/>
      <c r="W3489" s="22"/>
      <c r="X3489" s="22"/>
    </row>
    <row r="3490" spans="2:24" x14ac:dyDescent="0.25">
      <c r="B3490" s="22"/>
      <c r="C3490" s="21"/>
      <c r="W3490" s="22"/>
      <c r="X3490" s="22"/>
    </row>
    <row r="3491" spans="2:24" x14ac:dyDescent="0.25">
      <c r="B3491" s="22"/>
      <c r="C3491" s="21"/>
      <c r="W3491" s="22"/>
      <c r="X3491" s="22"/>
    </row>
    <row r="3492" spans="2:24" x14ac:dyDescent="0.25">
      <c r="B3492" s="22"/>
      <c r="C3492" s="21"/>
      <c r="W3492" s="22"/>
    </row>
    <row r="3493" spans="2:24" x14ac:dyDescent="0.25">
      <c r="B3493" s="22"/>
      <c r="C3493" s="21"/>
      <c r="W3493" s="22"/>
      <c r="X3493" s="22"/>
    </row>
    <row r="3494" spans="2:24" x14ac:dyDescent="0.25">
      <c r="B3494" s="22"/>
      <c r="C3494" s="21"/>
      <c r="W3494" s="22"/>
      <c r="X3494" s="22"/>
    </row>
    <row r="3495" spans="2:24" x14ac:dyDescent="0.25">
      <c r="B3495" s="22"/>
      <c r="C3495" s="21"/>
      <c r="W3495" s="22"/>
      <c r="X3495" s="22"/>
    </row>
    <row r="3496" spans="2:24" x14ac:dyDescent="0.25">
      <c r="B3496" s="22"/>
      <c r="C3496" s="21"/>
      <c r="W3496" s="22"/>
      <c r="X3496" s="22"/>
    </row>
    <row r="3497" spans="2:24" x14ac:dyDescent="0.25">
      <c r="B3497" s="22"/>
      <c r="C3497" s="21"/>
      <c r="W3497" s="22"/>
      <c r="X3497" s="22"/>
    </row>
    <row r="3498" spans="2:24" x14ac:dyDescent="0.25">
      <c r="B3498" s="22"/>
      <c r="C3498" s="21"/>
      <c r="W3498" s="22"/>
      <c r="X3498" s="22"/>
    </row>
    <row r="3499" spans="2:24" x14ac:dyDescent="0.25">
      <c r="B3499" s="22"/>
      <c r="C3499" s="21"/>
      <c r="W3499" s="22"/>
      <c r="X3499" s="22"/>
    </row>
    <row r="3500" spans="2:24" x14ac:dyDescent="0.25">
      <c r="B3500" s="22"/>
      <c r="C3500" s="21"/>
      <c r="W3500" s="22"/>
      <c r="X3500" s="22"/>
    </row>
    <row r="3501" spans="2:24" x14ac:dyDescent="0.25">
      <c r="B3501" s="22"/>
      <c r="C3501" s="21"/>
      <c r="W3501" s="22"/>
      <c r="X3501" s="22"/>
    </row>
    <row r="3502" spans="2:24" x14ac:dyDescent="0.25">
      <c r="B3502" s="22"/>
      <c r="C3502" s="21"/>
      <c r="W3502" s="22"/>
      <c r="X3502" s="22"/>
    </row>
    <row r="3503" spans="2:24" x14ac:dyDescent="0.25">
      <c r="B3503" s="22"/>
      <c r="C3503" s="21"/>
      <c r="W3503" s="22"/>
      <c r="X3503" s="22"/>
    </row>
    <row r="3504" spans="2:24" x14ac:dyDescent="0.25">
      <c r="B3504" s="22"/>
      <c r="C3504" s="21"/>
      <c r="W3504" s="22"/>
      <c r="X3504" s="22"/>
    </row>
    <row r="3505" spans="2:24" x14ac:dyDescent="0.25">
      <c r="B3505" s="22"/>
      <c r="C3505" s="21"/>
      <c r="W3505" s="22"/>
      <c r="X3505" s="22"/>
    </row>
    <row r="3506" spans="2:24" x14ac:dyDescent="0.25">
      <c r="B3506" s="22"/>
      <c r="C3506" s="21"/>
      <c r="W3506" s="22"/>
      <c r="X3506" s="22"/>
    </row>
    <row r="3507" spans="2:24" x14ac:dyDescent="0.25">
      <c r="B3507" s="22"/>
      <c r="C3507" s="21"/>
      <c r="W3507" s="22"/>
    </row>
    <row r="3508" spans="2:24" x14ac:dyDescent="0.25">
      <c r="B3508" s="22"/>
      <c r="C3508" s="21"/>
      <c r="W3508" s="22"/>
      <c r="X3508" s="22"/>
    </row>
    <row r="3509" spans="2:24" x14ac:dyDescent="0.25">
      <c r="B3509" s="22"/>
      <c r="C3509" s="21"/>
      <c r="W3509" s="22"/>
      <c r="X3509" s="22"/>
    </row>
    <row r="3510" spans="2:24" x14ac:dyDescent="0.25">
      <c r="B3510" s="22"/>
      <c r="C3510" s="21"/>
      <c r="W3510" s="22"/>
      <c r="X3510" s="22"/>
    </row>
    <row r="3511" spans="2:24" x14ac:dyDescent="0.25">
      <c r="B3511" s="22"/>
      <c r="C3511" s="21"/>
      <c r="W3511" s="22"/>
      <c r="X3511" s="22"/>
    </row>
    <row r="3512" spans="2:24" x14ac:dyDescent="0.25">
      <c r="B3512" s="22"/>
      <c r="C3512" s="21"/>
      <c r="W3512" s="22"/>
      <c r="X3512" s="22"/>
    </row>
    <row r="3513" spans="2:24" x14ac:dyDescent="0.25">
      <c r="B3513" s="22"/>
      <c r="C3513" s="21"/>
      <c r="W3513" s="22"/>
      <c r="X3513" s="22"/>
    </row>
    <row r="3514" spans="2:24" x14ac:dyDescent="0.25">
      <c r="B3514" s="22"/>
      <c r="C3514" s="21"/>
      <c r="W3514" s="22"/>
      <c r="X3514" s="22"/>
    </row>
    <row r="3515" spans="2:24" x14ac:dyDescent="0.25">
      <c r="B3515" s="22"/>
      <c r="C3515" s="21"/>
      <c r="W3515" s="22"/>
      <c r="X3515" s="22"/>
    </row>
    <row r="3516" spans="2:24" x14ac:dyDescent="0.25">
      <c r="B3516" s="22"/>
      <c r="C3516" s="21"/>
      <c r="W3516" s="22"/>
      <c r="X3516" s="22"/>
    </row>
    <row r="3517" spans="2:24" x14ac:dyDescent="0.25">
      <c r="B3517" s="22"/>
      <c r="C3517" s="21"/>
      <c r="W3517" s="22"/>
      <c r="X3517" s="22"/>
    </row>
    <row r="3518" spans="2:24" x14ac:dyDescent="0.25">
      <c r="B3518" s="22"/>
      <c r="C3518" s="21"/>
      <c r="W3518" s="22"/>
      <c r="X3518" s="22"/>
    </row>
    <row r="3519" spans="2:24" x14ac:dyDescent="0.25">
      <c r="B3519" s="22"/>
      <c r="C3519" s="21"/>
      <c r="W3519" s="22"/>
      <c r="X3519" s="22"/>
    </row>
    <row r="3520" spans="2:24" x14ac:dyDescent="0.25">
      <c r="B3520" s="22"/>
      <c r="C3520" s="21"/>
      <c r="W3520" s="22"/>
      <c r="X3520" s="22"/>
    </row>
    <row r="3521" spans="2:24" x14ac:dyDescent="0.25">
      <c r="B3521" s="22"/>
      <c r="C3521" s="21"/>
      <c r="W3521" s="22"/>
      <c r="X3521" s="22"/>
    </row>
    <row r="3522" spans="2:24" x14ac:dyDescent="0.25">
      <c r="B3522" s="22"/>
      <c r="C3522" s="21"/>
      <c r="W3522" s="22"/>
      <c r="X3522" s="22"/>
    </row>
    <row r="3523" spans="2:24" x14ac:dyDescent="0.25">
      <c r="B3523" s="22"/>
      <c r="C3523" s="21"/>
      <c r="W3523" s="22"/>
      <c r="X3523" s="22"/>
    </row>
    <row r="3524" spans="2:24" x14ac:dyDescent="0.25">
      <c r="B3524" s="22"/>
      <c r="C3524" s="21"/>
      <c r="W3524" s="22"/>
      <c r="X3524" s="22"/>
    </row>
    <row r="3525" spans="2:24" x14ac:dyDescent="0.25">
      <c r="B3525" s="22"/>
      <c r="C3525" s="21"/>
      <c r="W3525" s="22"/>
      <c r="X3525" s="22"/>
    </row>
    <row r="3526" spans="2:24" x14ac:dyDescent="0.25">
      <c r="B3526" s="22"/>
      <c r="C3526" s="21"/>
      <c r="W3526" s="22"/>
      <c r="X3526" s="22"/>
    </row>
    <row r="3527" spans="2:24" x14ac:dyDescent="0.25">
      <c r="B3527" s="22"/>
      <c r="C3527" s="21"/>
      <c r="W3527" s="22"/>
      <c r="X3527" s="22"/>
    </row>
    <row r="3528" spans="2:24" x14ac:dyDescent="0.25">
      <c r="B3528" s="22"/>
      <c r="C3528" s="21"/>
      <c r="W3528" s="22"/>
      <c r="X3528" s="22"/>
    </row>
    <row r="3529" spans="2:24" x14ac:dyDescent="0.25">
      <c r="B3529" s="22"/>
      <c r="C3529" s="21"/>
      <c r="W3529" s="22"/>
      <c r="X3529" s="22"/>
    </row>
    <row r="3530" spans="2:24" x14ac:dyDescent="0.25">
      <c r="B3530" s="22"/>
      <c r="C3530" s="21"/>
      <c r="W3530" s="22"/>
      <c r="X3530" s="22"/>
    </row>
    <row r="3531" spans="2:24" x14ac:dyDescent="0.25">
      <c r="B3531" s="22"/>
      <c r="C3531" s="21"/>
      <c r="W3531" s="22"/>
      <c r="X3531" s="22"/>
    </row>
    <row r="3532" spans="2:24" x14ac:dyDescent="0.25">
      <c r="B3532" s="22"/>
      <c r="C3532" s="21"/>
      <c r="W3532" s="22"/>
      <c r="X3532" s="22"/>
    </row>
    <row r="3533" spans="2:24" x14ac:dyDescent="0.25">
      <c r="B3533" s="22"/>
      <c r="C3533" s="21"/>
      <c r="W3533" s="22"/>
      <c r="X3533" s="22"/>
    </row>
    <row r="3534" spans="2:24" x14ac:dyDescent="0.25">
      <c r="B3534" s="22"/>
      <c r="C3534" s="21"/>
      <c r="W3534" s="22"/>
      <c r="X3534" s="22"/>
    </row>
    <row r="3535" spans="2:24" x14ac:dyDescent="0.25">
      <c r="B3535" s="22"/>
      <c r="C3535" s="21"/>
      <c r="W3535" s="22"/>
      <c r="X3535" s="22"/>
    </row>
    <row r="3536" spans="2:24" x14ac:dyDescent="0.25">
      <c r="B3536" s="22"/>
      <c r="C3536" s="21"/>
      <c r="W3536" s="22"/>
      <c r="X3536" s="22"/>
    </row>
    <row r="3537" spans="2:24" x14ac:dyDescent="0.25">
      <c r="B3537" s="22"/>
      <c r="C3537" s="21"/>
      <c r="W3537" s="22"/>
      <c r="X3537" s="22"/>
    </row>
    <row r="3538" spans="2:24" x14ac:dyDescent="0.25">
      <c r="B3538" s="22"/>
      <c r="C3538" s="21"/>
      <c r="W3538" s="22"/>
      <c r="X3538" s="22"/>
    </row>
    <row r="3539" spans="2:24" x14ac:dyDescent="0.25">
      <c r="B3539" s="22"/>
      <c r="C3539" s="21"/>
      <c r="W3539" s="22"/>
      <c r="X3539" s="22"/>
    </row>
    <row r="3540" spans="2:24" x14ac:dyDescent="0.25">
      <c r="B3540" s="22"/>
      <c r="C3540" s="21"/>
      <c r="W3540" s="22"/>
      <c r="X3540" s="22"/>
    </row>
    <row r="3541" spans="2:24" x14ac:dyDescent="0.25">
      <c r="B3541" s="22"/>
      <c r="C3541" s="21"/>
      <c r="W3541" s="22"/>
      <c r="X3541" s="22"/>
    </row>
    <row r="3542" spans="2:24" x14ac:dyDescent="0.25">
      <c r="B3542" s="22"/>
      <c r="C3542" s="21"/>
      <c r="W3542" s="22"/>
      <c r="X3542" s="22"/>
    </row>
    <row r="3543" spans="2:24" x14ac:dyDescent="0.25">
      <c r="B3543" s="22"/>
      <c r="C3543" s="21"/>
      <c r="W3543" s="22"/>
    </row>
    <row r="3544" spans="2:24" x14ac:dyDescent="0.25">
      <c r="B3544" s="22"/>
      <c r="C3544" s="21"/>
      <c r="W3544" s="22"/>
      <c r="X3544" s="22"/>
    </row>
    <row r="3545" spans="2:24" x14ac:dyDescent="0.25">
      <c r="B3545" s="22"/>
      <c r="C3545" s="21"/>
      <c r="W3545" s="22"/>
      <c r="X3545" s="22"/>
    </row>
    <row r="3546" spans="2:24" x14ac:dyDescent="0.25">
      <c r="B3546" s="22"/>
      <c r="C3546" s="21"/>
      <c r="W3546" s="22"/>
      <c r="X3546" s="22"/>
    </row>
    <row r="3547" spans="2:24" x14ac:dyDescent="0.25">
      <c r="B3547" s="22"/>
      <c r="C3547" s="21"/>
      <c r="W3547" s="22"/>
      <c r="X3547" s="22"/>
    </row>
    <row r="3548" spans="2:24" x14ac:dyDescent="0.25">
      <c r="B3548" s="22"/>
      <c r="C3548" s="21"/>
      <c r="W3548" s="22"/>
      <c r="X3548" s="22"/>
    </row>
    <row r="3549" spans="2:24" x14ac:dyDescent="0.25">
      <c r="B3549" s="22"/>
      <c r="C3549" s="21"/>
      <c r="W3549" s="22"/>
      <c r="X3549" s="22"/>
    </row>
    <row r="3550" spans="2:24" x14ac:dyDescent="0.25">
      <c r="B3550" s="22"/>
      <c r="C3550" s="21"/>
      <c r="W3550" s="22"/>
      <c r="X3550" s="22"/>
    </row>
    <row r="3551" spans="2:24" x14ac:dyDescent="0.25">
      <c r="B3551" s="22"/>
      <c r="C3551" s="21"/>
      <c r="W3551" s="22"/>
      <c r="X3551" s="22"/>
    </row>
    <row r="3552" spans="2:24" x14ac:dyDescent="0.25">
      <c r="B3552" s="22"/>
      <c r="C3552" s="21"/>
      <c r="W3552" s="22"/>
      <c r="X3552" s="22"/>
    </row>
    <row r="3553" spans="2:24" x14ac:dyDescent="0.25">
      <c r="B3553" s="22"/>
      <c r="C3553" s="21"/>
      <c r="W3553" s="22"/>
      <c r="X3553" s="22"/>
    </row>
    <row r="3554" spans="2:24" x14ac:dyDescent="0.25">
      <c r="B3554" s="22"/>
      <c r="C3554" s="21"/>
      <c r="W3554" s="22"/>
      <c r="X3554" s="22"/>
    </row>
    <row r="3555" spans="2:24" x14ac:dyDescent="0.25">
      <c r="B3555" s="22"/>
      <c r="C3555" s="21"/>
      <c r="W3555" s="22"/>
      <c r="X3555" s="22"/>
    </row>
    <row r="3556" spans="2:24" x14ac:dyDescent="0.25">
      <c r="B3556" s="22"/>
      <c r="C3556" s="21"/>
      <c r="W3556" s="22"/>
      <c r="X3556" s="22"/>
    </row>
    <row r="3557" spans="2:24" x14ac:dyDescent="0.25">
      <c r="B3557" s="22"/>
      <c r="C3557" s="21"/>
      <c r="W3557" s="22"/>
      <c r="X3557" s="22"/>
    </row>
    <row r="3558" spans="2:24" x14ac:dyDescent="0.25">
      <c r="B3558" s="22"/>
      <c r="C3558" s="21"/>
      <c r="W3558" s="22"/>
      <c r="X3558" s="22"/>
    </row>
    <row r="3559" spans="2:24" x14ac:dyDescent="0.25">
      <c r="B3559" s="22"/>
      <c r="C3559" s="21"/>
      <c r="W3559" s="22"/>
      <c r="X3559" s="22"/>
    </row>
    <row r="3560" spans="2:24" x14ac:dyDescent="0.25">
      <c r="B3560" s="22"/>
      <c r="C3560" s="21"/>
      <c r="W3560" s="22"/>
      <c r="X3560" s="22"/>
    </row>
    <row r="3561" spans="2:24" x14ac:dyDescent="0.25">
      <c r="B3561" s="22"/>
      <c r="C3561" s="21"/>
      <c r="W3561" s="22"/>
      <c r="X3561" s="22"/>
    </row>
    <row r="3562" spans="2:24" x14ac:dyDescent="0.25">
      <c r="B3562" s="22"/>
      <c r="C3562" s="21"/>
      <c r="W3562" s="22"/>
      <c r="X3562" s="22"/>
    </row>
    <row r="3563" spans="2:24" x14ac:dyDescent="0.25">
      <c r="B3563" s="22"/>
      <c r="C3563" s="21"/>
      <c r="W3563" s="22"/>
      <c r="X3563" s="22"/>
    </row>
    <row r="3564" spans="2:24" x14ac:dyDescent="0.25">
      <c r="B3564" s="22"/>
      <c r="C3564" s="21"/>
      <c r="W3564" s="22"/>
      <c r="X3564" s="22"/>
    </row>
    <row r="3565" spans="2:24" x14ac:dyDescent="0.25">
      <c r="B3565" s="22"/>
      <c r="C3565" s="21"/>
      <c r="W3565" s="22"/>
      <c r="X3565" s="22"/>
    </row>
    <row r="3566" spans="2:24" x14ac:dyDescent="0.25">
      <c r="B3566" s="22"/>
      <c r="C3566" s="21"/>
      <c r="W3566" s="22"/>
      <c r="X3566" s="22"/>
    </row>
    <row r="3567" spans="2:24" x14ac:dyDescent="0.25">
      <c r="B3567" s="22"/>
      <c r="C3567" s="21"/>
      <c r="W3567" s="22"/>
      <c r="X3567" s="22"/>
    </row>
    <row r="3568" spans="2:24" x14ac:dyDescent="0.25">
      <c r="B3568" s="22"/>
      <c r="C3568" s="21"/>
      <c r="W3568" s="22"/>
      <c r="X3568" s="22"/>
    </row>
    <row r="3569" spans="2:24" x14ac:dyDescent="0.25">
      <c r="B3569" s="22"/>
      <c r="C3569" s="21"/>
      <c r="W3569" s="22"/>
      <c r="X3569" s="22"/>
    </row>
    <row r="3570" spans="2:24" x14ac:dyDescent="0.25">
      <c r="B3570" s="22"/>
      <c r="C3570" s="21"/>
      <c r="W3570" s="22"/>
      <c r="X3570" s="22"/>
    </row>
    <row r="3571" spans="2:24" x14ac:dyDescent="0.25">
      <c r="B3571" s="22"/>
      <c r="C3571" s="21"/>
      <c r="W3571" s="22"/>
      <c r="X3571" s="22"/>
    </row>
    <row r="3572" spans="2:24" x14ac:dyDescent="0.25">
      <c r="B3572" s="22"/>
      <c r="C3572" s="21"/>
      <c r="W3572" s="22"/>
      <c r="X3572" s="22"/>
    </row>
    <row r="3573" spans="2:24" x14ac:dyDescent="0.25">
      <c r="B3573" s="22"/>
      <c r="C3573" s="21"/>
      <c r="W3573" s="22"/>
      <c r="X3573" s="22"/>
    </row>
    <row r="3574" spans="2:24" x14ac:dyDescent="0.25">
      <c r="B3574" s="22"/>
      <c r="C3574" s="21"/>
      <c r="W3574" s="22"/>
      <c r="X3574" s="22"/>
    </row>
    <row r="3575" spans="2:24" x14ac:dyDescent="0.25">
      <c r="B3575" s="22"/>
      <c r="C3575" s="21"/>
      <c r="W3575" s="22"/>
      <c r="X3575" s="22"/>
    </row>
    <row r="3576" spans="2:24" x14ac:dyDescent="0.25">
      <c r="B3576" s="22"/>
      <c r="C3576" s="21"/>
      <c r="W3576" s="22"/>
      <c r="X3576" s="22"/>
    </row>
    <row r="3577" spans="2:24" x14ac:dyDescent="0.25">
      <c r="B3577" s="22"/>
      <c r="C3577" s="21"/>
      <c r="W3577" s="22"/>
      <c r="X3577" s="22"/>
    </row>
    <row r="3578" spans="2:24" x14ac:dyDescent="0.25">
      <c r="B3578" s="22"/>
      <c r="C3578" s="21"/>
      <c r="W3578" s="22"/>
      <c r="X3578" s="22"/>
    </row>
    <row r="3579" spans="2:24" x14ac:dyDescent="0.25">
      <c r="B3579" s="22"/>
      <c r="C3579" s="21"/>
      <c r="W3579" s="22"/>
      <c r="X3579" s="22"/>
    </row>
    <row r="3580" spans="2:24" x14ac:dyDescent="0.25">
      <c r="B3580" s="22"/>
      <c r="C3580" s="21"/>
      <c r="W3580" s="22"/>
      <c r="X3580" s="22"/>
    </row>
    <row r="3581" spans="2:24" x14ac:dyDescent="0.25">
      <c r="B3581" s="22"/>
      <c r="C3581" s="21"/>
      <c r="W3581" s="22"/>
      <c r="X3581" s="22"/>
    </row>
    <row r="3582" spans="2:24" x14ac:dyDescent="0.25">
      <c r="B3582" s="22"/>
      <c r="C3582" s="21"/>
      <c r="W3582" s="22"/>
    </row>
    <row r="3583" spans="2:24" x14ac:dyDescent="0.25">
      <c r="B3583" s="22"/>
      <c r="C3583" s="21"/>
      <c r="W3583" s="22"/>
      <c r="X3583" s="22"/>
    </row>
    <row r="3584" spans="2:24" x14ac:dyDescent="0.25">
      <c r="B3584" s="22"/>
      <c r="C3584" s="21"/>
      <c r="W3584" s="22"/>
      <c r="X3584" s="22"/>
    </row>
    <row r="3585" spans="2:24" x14ac:dyDescent="0.25">
      <c r="B3585" s="22"/>
      <c r="C3585" s="21"/>
      <c r="W3585" s="22"/>
      <c r="X3585" s="22"/>
    </row>
    <row r="3586" spans="2:24" x14ac:dyDescent="0.25">
      <c r="B3586" s="22"/>
      <c r="C3586" s="21"/>
      <c r="W3586" s="22"/>
      <c r="X3586" s="22"/>
    </row>
    <row r="3587" spans="2:24" x14ac:dyDescent="0.25">
      <c r="B3587" s="22"/>
      <c r="C3587" s="21"/>
      <c r="W3587" s="22"/>
      <c r="X3587" s="22"/>
    </row>
    <row r="3588" spans="2:24" x14ac:dyDescent="0.25">
      <c r="B3588" s="22"/>
      <c r="C3588" s="21"/>
      <c r="W3588" s="22"/>
      <c r="X3588" s="22"/>
    </row>
    <row r="3589" spans="2:24" x14ac:dyDescent="0.25">
      <c r="B3589" s="22"/>
      <c r="C3589" s="21"/>
      <c r="W3589" s="22"/>
      <c r="X3589" s="22"/>
    </row>
    <row r="3590" spans="2:24" x14ac:dyDescent="0.25">
      <c r="B3590" s="22"/>
      <c r="C3590" s="21"/>
      <c r="W3590" s="22"/>
      <c r="X3590" s="22"/>
    </row>
    <row r="3591" spans="2:24" x14ac:dyDescent="0.25">
      <c r="B3591" s="22"/>
      <c r="C3591" s="21"/>
      <c r="W3591" s="22"/>
      <c r="X3591" s="22"/>
    </row>
    <row r="3592" spans="2:24" x14ac:dyDescent="0.25">
      <c r="B3592" s="22"/>
      <c r="C3592" s="21"/>
      <c r="W3592" s="22"/>
      <c r="X3592" s="22"/>
    </row>
    <row r="3593" spans="2:24" x14ac:dyDescent="0.25">
      <c r="B3593" s="22"/>
      <c r="C3593" s="21"/>
      <c r="W3593" s="22"/>
      <c r="X3593" s="22"/>
    </row>
    <row r="3594" spans="2:24" x14ac:dyDescent="0.25">
      <c r="B3594" s="22"/>
      <c r="C3594" s="21"/>
      <c r="W3594" s="22"/>
      <c r="X3594" s="22"/>
    </row>
    <row r="3595" spans="2:24" x14ac:dyDescent="0.25">
      <c r="B3595" s="22"/>
      <c r="C3595" s="21"/>
      <c r="W3595" s="22"/>
      <c r="X3595" s="22"/>
    </row>
    <row r="3596" spans="2:24" x14ac:dyDescent="0.25">
      <c r="B3596" s="22"/>
      <c r="C3596" s="21"/>
      <c r="W3596" s="22"/>
      <c r="X3596" s="22"/>
    </row>
    <row r="3597" spans="2:24" x14ac:dyDescent="0.25">
      <c r="B3597" s="22"/>
      <c r="C3597" s="21"/>
      <c r="W3597" s="22"/>
      <c r="X3597" s="22"/>
    </row>
    <row r="3598" spans="2:24" x14ac:dyDescent="0.25">
      <c r="B3598" s="22"/>
      <c r="C3598" s="21"/>
      <c r="W3598" s="22"/>
      <c r="X3598" s="22"/>
    </row>
    <row r="3599" spans="2:24" x14ac:dyDescent="0.25">
      <c r="B3599" s="22"/>
      <c r="C3599" s="21"/>
      <c r="W3599" s="22"/>
      <c r="X3599" s="22"/>
    </row>
    <row r="3600" spans="2:24" x14ac:dyDescent="0.25">
      <c r="B3600" s="22"/>
      <c r="C3600" s="21"/>
      <c r="W3600" s="22"/>
      <c r="X3600" s="22"/>
    </row>
    <row r="3601" spans="2:24" x14ac:dyDescent="0.25">
      <c r="B3601" s="22"/>
      <c r="C3601" s="21"/>
      <c r="W3601" s="22"/>
      <c r="X3601" s="22"/>
    </row>
    <row r="3602" spans="2:24" x14ac:dyDescent="0.25">
      <c r="B3602" s="22"/>
      <c r="C3602" s="21"/>
      <c r="W3602" s="22"/>
      <c r="X3602" s="22"/>
    </row>
    <row r="3603" spans="2:24" x14ac:dyDescent="0.25">
      <c r="B3603" s="22"/>
      <c r="C3603" s="21"/>
      <c r="W3603" s="22"/>
      <c r="X3603" s="22"/>
    </row>
    <row r="3604" spans="2:24" x14ac:dyDescent="0.25">
      <c r="B3604" s="22"/>
      <c r="C3604" s="21"/>
      <c r="W3604" s="22"/>
      <c r="X3604" s="22"/>
    </row>
    <row r="3605" spans="2:24" x14ac:dyDescent="0.25">
      <c r="B3605" s="22"/>
      <c r="C3605" s="21"/>
      <c r="W3605" s="22"/>
      <c r="X3605" s="22"/>
    </row>
    <row r="3606" spans="2:24" x14ac:dyDescent="0.25">
      <c r="B3606" s="22"/>
      <c r="C3606" s="21"/>
      <c r="W3606" s="22"/>
      <c r="X3606" s="22"/>
    </row>
    <row r="3607" spans="2:24" x14ac:dyDescent="0.25">
      <c r="B3607" s="22"/>
      <c r="C3607" s="21"/>
      <c r="W3607" s="22"/>
      <c r="X3607" s="22"/>
    </row>
    <row r="3608" spans="2:24" x14ac:dyDescent="0.25">
      <c r="B3608" s="22"/>
      <c r="C3608" s="21"/>
      <c r="W3608" s="22"/>
      <c r="X3608" s="22"/>
    </row>
    <row r="3609" spans="2:24" x14ac:dyDescent="0.25">
      <c r="B3609" s="22"/>
      <c r="C3609" s="21"/>
      <c r="W3609" s="22"/>
      <c r="X3609" s="22"/>
    </row>
    <row r="3610" spans="2:24" x14ac:dyDescent="0.25">
      <c r="B3610" s="22"/>
      <c r="C3610" s="21"/>
      <c r="W3610" s="22"/>
      <c r="X3610" s="22"/>
    </row>
    <row r="3611" spans="2:24" x14ac:dyDescent="0.25">
      <c r="B3611" s="22"/>
      <c r="C3611" s="21"/>
      <c r="W3611" s="22"/>
      <c r="X3611" s="22"/>
    </row>
    <row r="3612" spans="2:24" x14ac:dyDescent="0.25">
      <c r="B3612" s="22"/>
      <c r="C3612" s="21"/>
      <c r="W3612" s="22"/>
      <c r="X3612" s="22"/>
    </row>
    <row r="3613" spans="2:24" x14ac:dyDescent="0.25">
      <c r="B3613" s="22"/>
      <c r="C3613" s="21"/>
      <c r="W3613" s="22"/>
      <c r="X3613" s="22"/>
    </row>
    <row r="3614" spans="2:24" x14ac:dyDescent="0.25">
      <c r="B3614" s="22"/>
      <c r="C3614" s="21"/>
      <c r="W3614" s="22"/>
      <c r="X3614" s="22"/>
    </row>
    <row r="3615" spans="2:24" x14ac:dyDescent="0.25">
      <c r="B3615" s="22"/>
      <c r="C3615" s="21"/>
      <c r="W3615" s="22"/>
      <c r="X3615" s="22"/>
    </row>
    <row r="3616" spans="2:24" x14ac:dyDescent="0.25">
      <c r="B3616" s="22"/>
      <c r="C3616" s="21"/>
      <c r="W3616" s="22"/>
      <c r="X3616" s="22"/>
    </row>
    <row r="3617" spans="2:24" x14ac:dyDescent="0.25">
      <c r="B3617" s="22"/>
      <c r="C3617" s="21"/>
      <c r="W3617" s="22"/>
      <c r="X3617" s="22"/>
    </row>
    <row r="3618" spans="2:24" x14ac:dyDescent="0.25">
      <c r="B3618" s="22"/>
      <c r="C3618" s="21"/>
      <c r="W3618" s="22"/>
      <c r="X3618" s="22"/>
    </row>
    <row r="3619" spans="2:24" x14ac:dyDescent="0.25">
      <c r="B3619" s="22"/>
      <c r="C3619" s="21"/>
      <c r="W3619" s="22"/>
      <c r="X3619" s="22"/>
    </row>
    <row r="3620" spans="2:24" x14ac:dyDescent="0.25">
      <c r="B3620" s="22"/>
      <c r="C3620" s="21"/>
      <c r="W3620" s="22"/>
      <c r="X3620" s="22"/>
    </row>
    <row r="3621" spans="2:24" x14ac:dyDescent="0.25">
      <c r="B3621" s="22"/>
      <c r="C3621" s="21"/>
      <c r="W3621" s="22"/>
      <c r="X3621" s="22"/>
    </row>
    <row r="3622" spans="2:24" x14ac:dyDescent="0.25">
      <c r="B3622" s="22"/>
      <c r="C3622" s="21"/>
      <c r="W3622" s="22"/>
      <c r="X3622" s="22"/>
    </row>
    <row r="3623" spans="2:24" x14ac:dyDescent="0.25">
      <c r="B3623" s="22"/>
      <c r="C3623" s="21"/>
      <c r="W3623" s="22"/>
      <c r="X3623" s="22"/>
    </row>
    <row r="3624" spans="2:24" x14ac:dyDescent="0.25">
      <c r="B3624" s="22"/>
      <c r="C3624" s="21"/>
      <c r="W3624" s="22"/>
      <c r="X3624" s="22"/>
    </row>
    <row r="3625" spans="2:24" x14ac:dyDescent="0.25">
      <c r="B3625" s="22"/>
      <c r="C3625" s="21"/>
      <c r="W3625" s="22"/>
      <c r="X3625" s="22"/>
    </row>
    <row r="3626" spans="2:24" x14ac:dyDescent="0.25">
      <c r="B3626" s="22"/>
      <c r="C3626" s="21"/>
      <c r="W3626" s="22"/>
      <c r="X3626" s="22"/>
    </row>
    <row r="3627" spans="2:24" x14ac:dyDescent="0.25">
      <c r="B3627" s="22"/>
      <c r="C3627" s="21"/>
      <c r="W3627" s="22"/>
      <c r="X3627" s="22"/>
    </row>
    <row r="3628" spans="2:24" x14ac:dyDescent="0.25">
      <c r="B3628" s="22"/>
      <c r="C3628" s="21"/>
      <c r="W3628" s="22"/>
      <c r="X3628" s="22"/>
    </row>
    <row r="3629" spans="2:24" x14ac:dyDescent="0.25">
      <c r="B3629" s="22"/>
      <c r="C3629" s="21"/>
      <c r="W3629" s="22"/>
      <c r="X3629" s="22"/>
    </row>
    <row r="3630" spans="2:24" x14ac:dyDescent="0.25">
      <c r="B3630" s="22"/>
      <c r="C3630" s="21"/>
      <c r="W3630" s="22"/>
      <c r="X3630" s="22"/>
    </row>
    <row r="3631" spans="2:24" x14ac:dyDescent="0.25">
      <c r="B3631" s="22"/>
      <c r="C3631" s="21"/>
      <c r="W3631" s="22"/>
      <c r="X3631" s="22"/>
    </row>
    <row r="3632" spans="2:24" x14ac:dyDescent="0.25">
      <c r="B3632" s="22"/>
      <c r="C3632" s="21"/>
      <c r="W3632" s="22"/>
      <c r="X3632" s="22"/>
    </row>
    <row r="3633" spans="2:24" x14ac:dyDescent="0.25">
      <c r="B3633" s="22"/>
      <c r="C3633" s="21"/>
      <c r="W3633" s="22"/>
      <c r="X3633" s="22"/>
    </row>
    <row r="3634" spans="2:24" x14ac:dyDescent="0.25">
      <c r="B3634" s="22"/>
      <c r="C3634" s="21"/>
      <c r="W3634" s="22"/>
      <c r="X3634" s="22"/>
    </row>
    <row r="3635" spans="2:24" x14ac:dyDescent="0.25">
      <c r="B3635" s="22"/>
      <c r="C3635" s="21"/>
      <c r="W3635" s="22"/>
      <c r="X3635" s="22"/>
    </row>
    <row r="3636" spans="2:24" x14ac:dyDescent="0.25">
      <c r="B3636" s="22"/>
      <c r="C3636" s="21"/>
      <c r="W3636" s="22"/>
      <c r="X3636" s="22"/>
    </row>
    <row r="3637" spans="2:24" x14ac:dyDescent="0.25">
      <c r="B3637" s="22"/>
      <c r="C3637" s="21"/>
      <c r="W3637" s="22"/>
      <c r="X3637" s="22"/>
    </row>
    <row r="3638" spans="2:24" x14ac:dyDescent="0.25">
      <c r="B3638" s="22"/>
      <c r="C3638" s="21"/>
      <c r="W3638" s="22"/>
      <c r="X3638" s="22"/>
    </row>
    <row r="3639" spans="2:24" x14ac:dyDescent="0.25">
      <c r="B3639" s="22"/>
      <c r="C3639" s="21"/>
      <c r="W3639" s="22"/>
      <c r="X3639" s="22"/>
    </row>
    <row r="3640" spans="2:24" x14ac:dyDescent="0.25">
      <c r="B3640" s="22"/>
      <c r="C3640" s="21"/>
      <c r="W3640" s="22"/>
      <c r="X3640" s="22"/>
    </row>
    <row r="3641" spans="2:24" x14ac:dyDescent="0.25">
      <c r="B3641" s="22"/>
      <c r="C3641" s="21"/>
      <c r="W3641" s="22"/>
      <c r="X3641" s="22"/>
    </row>
    <row r="3642" spans="2:24" x14ac:dyDescent="0.25">
      <c r="B3642" s="22"/>
      <c r="C3642" s="21"/>
      <c r="W3642" s="22"/>
      <c r="X3642" s="22"/>
    </row>
    <row r="3643" spans="2:24" x14ac:dyDescent="0.25">
      <c r="B3643" s="22"/>
      <c r="C3643" s="21"/>
      <c r="W3643" s="22"/>
      <c r="X3643" s="22"/>
    </row>
    <row r="3644" spans="2:24" x14ac:dyDescent="0.25">
      <c r="B3644" s="22"/>
      <c r="C3644" s="21"/>
      <c r="W3644" s="22"/>
      <c r="X3644" s="22"/>
    </row>
    <row r="3645" spans="2:24" x14ac:dyDescent="0.25">
      <c r="B3645" s="22"/>
      <c r="C3645" s="21"/>
      <c r="W3645" s="22"/>
      <c r="X3645" s="22"/>
    </row>
    <row r="3646" spans="2:24" x14ac:dyDescent="0.25">
      <c r="B3646" s="22"/>
      <c r="C3646" s="21"/>
      <c r="W3646" s="22"/>
      <c r="X3646" s="22"/>
    </row>
    <row r="3647" spans="2:24" x14ac:dyDescent="0.25">
      <c r="B3647" s="22"/>
      <c r="C3647" s="21"/>
      <c r="W3647" s="22"/>
      <c r="X3647" s="22"/>
    </row>
    <row r="3648" spans="2:24" x14ac:dyDescent="0.25">
      <c r="B3648" s="22"/>
      <c r="C3648" s="21"/>
      <c r="W3648" s="22"/>
      <c r="X3648" s="22"/>
    </row>
    <row r="3649" spans="2:24" x14ac:dyDescent="0.25">
      <c r="B3649" s="22"/>
      <c r="C3649" s="21"/>
      <c r="W3649" s="22"/>
      <c r="X3649" s="22"/>
    </row>
    <row r="3650" spans="2:24" x14ac:dyDescent="0.25">
      <c r="B3650" s="22"/>
      <c r="C3650" s="21"/>
      <c r="W3650" s="22"/>
      <c r="X3650" s="22"/>
    </row>
    <row r="3651" spans="2:24" x14ac:dyDescent="0.25">
      <c r="B3651" s="22"/>
      <c r="C3651" s="21"/>
      <c r="W3651" s="22"/>
      <c r="X3651" s="22"/>
    </row>
    <row r="3652" spans="2:24" x14ac:dyDescent="0.25">
      <c r="B3652" s="22"/>
      <c r="C3652" s="21"/>
      <c r="W3652" s="22"/>
      <c r="X3652" s="22"/>
    </row>
    <row r="3653" spans="2:24" x14ac:dyDescent="0.25">
      <c r="B3653" s="22"/>
      <c r="C3653" s="21"/>
      <c r="W3653" s="22"/>
      <c r="X3653" s="22"/>
    </row>
    <row r="3654" spans="2:24" x14ac:dyDescent="0.25">
      <c r="B3654" s="22"/>
      <c r="C3654" s="21"/>
      <c r="W3654" s="22"/>
      <c r="X3654" s="22"/>
    </row>
    <row r="3655" spans="2:24" x14ac:dyDescent="0.25">
      <c r="B3655" s="22"/>
      <c r="C3655" s="21"/>
      <c r="W3655" s="22"/>
      <c r="X3655" s="22"/>
    </row>
    <row r="3656" spans="2:24" x14ac:dyDescent="0.25">
      <c r="B3656" s="22"/>
      <c r="C3656" s="21"/>
      <c r="W3656" s="22"/>
      <c r="X3656" s="22"/>
    </row>
    <row r="3657" spans="2:24" x14ac:dyDescent="0.25">
      <c r="B3657" s="22"/>
      <c r="C3657" s="21"/>
      <c r="W3657" s="22"/>
      <c r="X3657" s="22"/>
    </row>
    <row r="3658" spans="2:24" x14ac:dyDescent="0.25">
      <c r="B3658" s="22"/>
      <c r="C3658" s="21"/>
      <c r="W3658" s="22"/>
      <c r="X3658" s="22"/>
    </row>
    <row r="3659" spans="2:24" x14ac:dyDescent="0.25">
      <c r="B3659" s="22"/>
      <c r="C3659" s="21"/>
      <c r="W3659" s="22"/>
      <c r="X3659" s="22"/>
    </row>
    <row r="3660" spans="2:24" x14ac:dyDescent="0.25">
      <c r="B3660" s="22"/>
      <c r="C3660" s="21"/>
      <c r="W3660" s="22"/>
      <c r="X3660" s="22"/>
    </row>
    <row r="3661" spans="2:24" x14ac:dyDescent="0.25">
      <c r="B3661" s="22"/>
      <c r="C3661" s="21"/>
      <c r="W3661" s="22"/>
      <c r="X3661" s="22"/>
    </row>
    <row r="3662" spans="2:24" x14ac:dyDescent="0.25">
      <c r="B3662" s="22"/>
      <c r="C3662" s="21"/>
      <c r="W3662" s="22"/>
      <c r="X3662" s="22"/>
    </row>
    <row r="3663" spans="2:24" x14ac:dyDescent="0.25">
      <c r="B3663" s="22"/>
      <c r="C3663" s="21"/>
      <c r="W3663" s="22"/>
      <c r="X3663" s="22"/>
    </row>
    <row r="3664" spans="2:24" x14ac:dyDescent="0.25">
      <c r="B3664" s="22"/>
      <c r="C3664" s="21"/>
      <c r="W3664" s="22"/>
      <c r="X3664" s="22"/>
    </row>
    <row r="3665" spans="2:24" x14ac:dyDescent="0.25">
      <c r="B3665" s="22"/>
      <c r="C3665" s="21"/>
      <c r="W3665" s="22"/>
      <c r="X3665" s="22"/>
    </row>
    <row r="3666" spans="2:24" x14ac:dyDescent="0.25">
      <c r="B3666" s="22"/>
      <c r="C3666" s="21"/>
      <c r="W3666" s="22"/>
      <c r="X3666" s="22"/>
    </row>
    <row r="3667" spans="2:24" x14ac:dyDescent="0.25">
      <c r="B3667" s="22"/>
      <c r="C3667" s="21"/>
    </row>
    <row r="3668" spans="2:24" x14ac:dyDescent="0.25">
      <c r="B3668" s="22"/>
      <c r="C3668" s="21"/>
      <c r="W3668" s="22"/>
      <c r="X3668" s="22"/>
    </row>
    <row r="3669" spans="2:24" x14ac:dyDescent="0.25">
      <c r="B3669" s="22"/>
      <c r="C3669" s="21"/>
      <c r="W3669" s="22"/>
      <c r="X3669" s="22"/>
    </row>
    <row r="3670" spans="2:24" x14ac:dyDescent="0.25">
      <c r="B3670" s="22"/>
      <c r="C3670" s="21"/>
      <c r="W3670" s="22"/>
      <c r="X3670" s="22"/>
    </row>
    <row r="3671" spans="2:24" x14ac:dyDescent="0.25">
      <c r="B3671" s="22"/>
      <c r="C3671" s="21"/>
      <c r="W3671" s="22"/>
      <c r="X3671" s="22"/>
    </row>
    <row r="3672" spans="2:24" x14ac:dyDescent="0.25">
      <c r="B3672" s="22"/>
      <c r="C3672" s="21"/>
      <c r="W3672" s="22"/>
      <c r="X3672" s="22"/>
    </row>
    <row r="3673" spans="2:24" x14ac:dyDescent="0.25">
      <c r="B3673" s="22"/>
      <c r="C3673" s="21"/>
      <c r="W3673" s="22"/>
      <c r="X3673" s="22"/>
    </row>
    <row r="3674" spans="2:24" x14ac:dyDescent="0.25">
      <c r="B3674" s="22"/>
      <c r="C3674" s="21"/>
      <c r="W3674" s="22"/>
      <c r="X3674" s="22"/>
    </row>
    <row r="3675" spans="2:24" x14ac:dyDescent="0.25">
      <c r="B3675" s="22"/>
      <c r="C3675" s="21"/>
      <c r="W3675" s="22"/>
      <c r="X3675" s="22"/>
    </row>
    <row r="3676" spans="2:24" x14ac:dyDescent="0.25">
      <c r="B3676" s="22"/>
      <c r="C3676" s="21"/>
      <c r="W3676" s="22"/>
      <c r="X3676" s="22"/>
    </row>
    <row r="3677" spans="2:24" x14ac:dyDescent="0.25">
      <c r="B3677" s="22"/>
      <c r="C3677" s="21"/>
      <c r="W3677" s="22"/>
      <c r="X3677" s="22"/>
    </row>
    <row r="3678" spans="2:24" x14ac:dyDescent="0.25">
      <c r="B3678" s="22"/>
      <c r="C3678" s="21"/>
      <c r="W3678" s="22"/>
      <c r="X3678" s="22"/>
    </row>
    <row r="3679" spans="2:24" x14ac:dyDescent="0.25">
      <c r="B3679" s="22"/>
      <c r="C3679" s="21"/>
      <c r="W3679" s="22"/>
      <c r="X3679" s="22"/>
    </row>
    <row r="3680" spans="2:24" x14ac:dyDescent="0.25">
      <c r="B3680" s="22"/>
      <c r="C3680" s="21"/>
      <c r="W3680" s="22"/>
      <c r="X3680" s="22"/>
    </row>
    <row r="3681" spans="2:24" x14ac:dyDescent="0.25">
      <c r="B3681" s="22"/>
      <c r="C3681" s="21"/>
      <c r="W3681" s="22"/>
      <c r="X3681" s="22"/>
    </row>
    <row r="3682" spans="2:24" x14ac:dyDescent="0.25">
      <c r="B3682" s="22"/>
      <c r="C3682" s="21"/>
      <c r="W3682" s="22"/>
      <c r="X3682" s="22"/>
    </row>
    <row r="3683" spans="2:24" x14ac:dyDescent="0.25">
      <c r="B3683" s="22"/>
      <c r="C3683" s="21"/>
      <c r="W3683" s="22"/>
      <c r="X3683" s="22"/>
    </row>
    <row r="3684" spans="2:24" x14ac:dyDescent="0.25">
      <c r="B3684" s="22"/>
      <c r="C3684" s="21"/>
      <c r="W3684" s="22"/>
      <c r="X3684" s="22"/>
    </row>
    <row r="3685" spans="2:24" x14ac:dyDescent="0.25">
      <c r="B3685" s="22"/>
      <c r="C3685" s="21"/>
      <c r="W3685" s="22"/>
      <c r="X3685" s="22"/>
    </row>
    <row r="3686" spans="2:24" x14ac:dyDescent="0.25">
      <c r="B3686" s="22"/>
      <c r="C3686" s="21"/>
      <c r="W3686" s="22"/>
      <c r="X3686" s="22"/>
    </row>
    <row r="3687" spans="2:24" x14ac:dyDescent="0.25">
      <c r="B3687" s="22"/>
      <c r="C3687" s="21"/>
      <c r="W3687" s="22"/>
      <c r="X3687" s="22"/>
    </row>
    <row r="3688" spans="2:24" x14ac:dyDescent="0.25">
      <c r="B3688" s="22"/>
      <c r="C3688" s="21"/>
      <c r="W3688" s="22"/>
      <c r="X3688" s="22"/>
    </row>
    <row r="3689" spans="2:24" x14ac:dyDescent="0.25">
      <c r="B3689" s="22"/>
      <c r="C3689" s="21"/>
      <c r="W3689" s="22"/>
      <c r="X3689" s="22"/>
    </row>
    <row r="3690" spans="2:24" x14ac:dyDescent="0.25">
      <c r="B3690" s="22"/>
      <c r="C3690" s="21"/>
      <c r="W3690" s="22"/>
      <c r="X3690" s="22"/>
    </row>
    <row r="3691" spans="2:24" x14ac:dyDescent="0.25">
      <c r="B3691" s="22"/>
      <c r="C3691" s="21"/>
      <c r="W3691" s="22"/>
      <c r="X3691" s="22"/>
    </row>
    <row r="3692" spans="2:24" x14ac:dyDescent="0.25">
      <c r="B3692" s="22"/>
      <c r="C3692" s="21"/>
      <c r="W3692" s="22"/>
      <c r="X3692" s="22"/>
    </row>
    <row r="3693" spans="2:24" x14ac:dyDescent="0.25">
      <c r="B3693" s="22"/>
      <c r="C3693" s="21"/>
      <c r="W3693" s="22"/>
      <c r="X3693" s="22"/>
    </row>
    <row r="3694" spans="2:24" x14ac:dyDescent="0.25">
      <c r="B3694" s="22"/>
      <c r="C3694" s="21"/>
      <c r="W3694" s="22"/>
      <c r="X3694" s="22"/>
    </row>
    <row r="3695" spans="2:24" x14ac:dyDescent="0.25">
      <c r="B3695" s="22"/>
      <c r="C3695" s="21"/>
    </row>
    <row r="3696" spans="2:24" x14ac:dyDescent="0.25">
      <c r="B3696" s="22"/>
      <c r="C3696" s="21"/>
      <c r="W3696" s="22"/>
      <c r="X3696" s="22"/>
    </row>
    <row r="3697" spans="2:24" x14ac:dyDescent="0.25">
      <c r="B3697" s="22"/>
      <c r="C3697" s="21"/>
      <c r="W3697" s="22"/>
      <c r="X3697" s="22"/>
    </row>
    <row r="3698" spans="2:24" x14ac:dyDescent="0.25">
      <c r="B3698" s="22"/>
      <c r="C3698" s="21"/>
      <c r="W3698" s="22"/>
      <c r="X3698" s="22"/>
    </row>
    <row r="3699" spans="2:24" x14ac:dyDescent="0.25">
      <c r="B3699" s="22"/>
      <c r="C3699" s="21"/>
      <c r="W3699" s="22"/>
      <c r="X3699" s="22"/>
    </row>
    <row r="3700" spans="2:24" x14ac:dyDescent="0.25">
      <c r="B3700" s="22"/>
      <c r="C3700" s="21"/>
      <c r="W3700" s="22"/>
      <c r="X3700" s="22"/>
    </row>
    <row r="3701" spans="2:24" x14ac:dyDescent="0.25">
      <c r="B3701" s="22"/>
      <c r="C3701" s="21"/>
      <c r="W3701" s="22"/>
      <c r="X3701" s="22"/>
    </row>
    <row r="3702" spans="2:24" x14ac:dyDescent="0.25">
      <c r="B3702" s="22"/>
      <c r="C3702" s="21"/>
      <c r="W3702" s="22"/>
      <c r="X3702" s="22"/>
    </row>
    <row r="3703" spans="2:24" x14ac:dyDescent="0.25">
      <c r="B3703" s="22"/>
      <c r="C3703" s="21"/>
      <c r="W3703" s="22"/>
    </row>
    <row r="3704" spans="2:24" x14ac:dyDescent="0.25">
      <c r="B3704" s="22"/>
      <c r="C3704" s="21"/>
      <c r="W3704" s="22"/>
    </row>
    <row r="3705" spans="2:24" x14ac:dyDescent="0.25">
      <c r="B3705" s="22"/>
      <c r="C3705" s="21"/>
      <c r="W3705" s="22"/>
      <c r="X3705" s="22"/>
    </row>
    <row r="3706" spans="2:24" x14ac:dyDescent="0.25">
      <c r="B3706" s="22"/>
      <c r="C3706" s="21"/>
      <c r="W3706" s="22"/>
      <c r="X3706" s="22"/>
    </row>
    <row r="3707" spans="2:24" x14ac:dyDescent="0.25">
      <c r="B3707" s="22"/>
      <c r="C3707" s="21"/>
      <c r="W3707" s="22"/>
      <c r="X3707" s="22"/>
    </row>
    <row r="3708" spans="2:24" x14ac:dyDescent="0.25">
      <c r="B3708" s="22"/>
      <c r="C3708" s="21"/>
      <c r="W3708" s="22"/>
      <c r="X3708" s="22"/>
    </row>
    <row r="3709" spans="2:24" x14ac:dyDescent="0.25">
      <c r="B3709" s="22"/>
      <c r="C3709" s="21"/>
      <c r="W3709" s="22"/>
      <c r="X3709" s="22"/>
    </row>
    <row r="3710" spans="2:24" x14ac:dyDescent="0.25">
      <c r="B3710" s="22"/>
      <c r="C3710" s="21"/>
      <c r="W3710" s="22"/>
      <c r="X3710" s="22"/>
    </row>
    <row r="3711" spans="2:24" x14ac:dyDescent="0.25">
      <c r="B3711" s="22"/>
      <c r="C3711" s="21"/>
      <c r="W3711" s="22"/>
      <c r="X3711" s="22"/>
    </row>
    <row r="3712" spans="2:24" x14ac:dyDescent="0.25">
      <c r="B3712" s="22"/>
      <c r="C3712" s="21"/>
      <c r="W3712" s="22"/>
      <c r="X3712" s="22"/>
    </row>
    <row r="3713" spans="2:24" x14ac:dyDescent="0.25">
      <c r="B3713" s="22"/>
      <c r="C3713" s="21"/>
      <c r="W3713" s="22"/>
      <c r="X3713" s="22"/>
    </row>
    <row r="3714" spans="2:24" x14ac:dyDescent="0.25">
      <c r="B3714" s="22"/>
      <c r="C3714" s="21"/>
      <c r="W3714" s="22"/>
      <c r="X3714" s="22"/>
    </row>
    <row r="3715" spans="2:24" x14ac:dyDescent="0.25">
      <c r="B3715" s="22"/>
      <c r="C3715" s="21"/>
      <c r="W3715" s="22"/>
      <c r="X3715" s="22"/>
    </row>
    <row r="3716" spans="2:24" x14ac:dyDescent="0.25">
      <c r="B3716" s="22"/>
      <c r="C3716" s="21"/>
      <c r="W3716" s="22"/>
      <c r="X3716" s="22"/>
    </row>
    <row r="3717" spans="2:24" x14ac:dyDescent="0.25">
      <c r="B3717" s="22"/>
      <c r="C3717" s="21"/>
      <c r="W3717" s="22"/>
      <c r="X3717" s="22"/>
    </row>
    <row r="3718" spans="2:24" x14ac:dyDescent="0.25">
      <c r="B3718" s="22"/>
      <c r="C3718" s="21"/>
      <c r="W3718" s="22"/>
      <c r="X3718" s="22"/>
    </row>
    <row r="3719" spans="2:24" x14ac:dyDescent="0.25">
      <c r="B3719" s="22"/>
      <c r="C3719" s="21"/>
      <c r="W3719" s="22"/>
      <c r="X3719" s="22"/>
    </row>
    <row r="3720" spans="2:24" x14ac:dyDescent="0.25">
      <c r="B3720" s="22"/>
      <c r="C3720" s="21"/>
      <c r="W3720" s="22"/>
      <c r="X3720" s="22"/>
    </row>
    <row r="3721" spans="2:24" x14ac:dyDescent="0.25">
      <c r="B3721" s="22"/>
      <c r="C3721" s="21"/>
      <c r="W3721" s="22"/>
      <c r="X3721" s="22"/>
    </row>
    <row r="3722" spans="2:24" x14ac:dyDescent="0.25">
      <c r="B3722" s="22"/>
      <c r="C3722" s="21"/>
      <c r="W3722" s="22"/>
      <c r="X3722" s="22"/>
    </row>
    <row r="3723" spans="2:24" x14ac:dyDescent="0.25">
      <c r="B3723" s="22"/>
      <c r="C3723" s="21"/>
      <c r="W3723" s="22"/>
      <c r="X3723" s="22"/>
    </row>
    <row r="3724" spans="2:24" x14ac:dyDescent="0.25">
      <c r="B3724" s="22"/>
      <c r="C3724" s="21"/>
      <c r="W3724" s="22"/>
      <c r="X3724" s="22"/>
    </row>
    <row r="3725" spans="2:24" x14ac:dyDescent="0.25">
      <c r="B3725" s="22"/>
      <c r="C3725" s="21"/>
      <c r="W3725" s="22"/>
      <c r="X3725" s="22"/>
    </row>
    <row r="3726" spans="2:24" x14ac:dyDescent="0.25">
      <c r="B3726" s="22"/>
      <c r="C3726" s="21"/>
      <c r="W3726" s="22"/>
      <c r="X3726" s="22"/>
    </row>
    <row r="3727" spans="2:24" x14ac:dyDescent="0.25">
      <c r="B3727" s="22"/>
      <c r="C3727" s="21"/>
      <c r="W3727" s="22"/>
      <c r="X3727" s="22"/>
    </row>
    <row r="3728" spans="2:24" x14ac:dyDescent="0.25">
      <c r="B3728" s="22"/>
      <c r="C3728" s="21"/>
      <c r="W3728" s="22"/>
      <c r="X3728" s="22"/>
    </row>
    <row r="3729" spans="2:24" x14ac:dyDescent="0.25">
      <c r="B3729" s="22"/>
      <c r="C3729" s="21"/>
      <c r="W3729" s="22"/>
      <c r="X3729" s="22"/>
    </row>
    <row r="3730" spans="2:24" x14ac:dyDescent="0.25">
      <c r="B3730" s="22"/>
      <c r="C3730" s="21"/>
      <c r="W3730" s="22"/>
      <c r="X3730" s="22"/>
    </row>
    <row r="3731" spans="2:24" x14ac:dyDescent="0.25">
      <c r="B3731" s="22"/>
      <c r="C3731" s="21"/>
      <c r="W3731" s="22"/>
      <c r="X3731" s="22"/>
    </row>
    <row r="3732" spans="2:24" x14ac:dyDescent="0.25">
      <c r="B3732" s="22"/>
      <c r="C3732" s="21"/>
      <c r="W3732" s="22"/>
      <c r="X3732" s="22"/>
    </row>
    <row r="3733" spans="2:24" x14ac:dyDescent="0.25">
      <c r="B3733" s="22"/>
      <c r="C3733" s="21"/>
      <c r="W3733" s="22"/>
      <c r="X3733" s="22"/>
    </row>
    <row r="3734" spans="2:24" x14ac:dyDescent="0.25">
      <c r="B3734" s="22"/>
      <c r="C3734" s="21"/>
      <c r="W3734" s="22"/>
      <c r="X3734" s="22"/>
    </row>
    <row r="3735" spans="2:24" x14ac:dyDescent="0.25">
      <c r="B3735" s="22"/>
      <c r="C3735" s="21"/>
      <c r="W3735" s="22"/>
      <c r="X3735" s="22"/>
    </row>
    <row r="3736" spans="2:24" x14ac:dyDescent="0.25">
      <c r="B3736" s="22"/>
      <c r="C3736" s="21"/>
      <c r="W3736" s="22"/>
      <c r="X3736" s="22"/>
    </row>
    <row r="3737" spans="2:24" x14ac:dyDescent="0.25">
      <c r="B3737" s="22"/>
      <c r="C3737" s="21"/>
      <c r="W3737" s="22"/>
      <c r="X3737" s="22"/>
    </row>
    <row r="3738" spans="2:24" x14ac:dyDescent="0.25">
      <c r="B3738" s="22"/>
      <c r="C3738" s="21"/>
      <c r="W3738" s="22"/>
      <c r="X3738" s="22"/>
    </row>
    <row r="3739" spans="2:24" x14ac:dyDescent="0.25">
      <c r="B3739" s="22"/>
      <c r="C3739" s="21"/>
      <c r="W3739" s="22"/>
      <c r="X3739" s="22"/>
    </row>
    <row r="3740" spans="2:24" x14ac:dyDescent="0.25">
      <c r="B3740" s="22"/>
      <c r="C3740" s="21"/>
      <c r="W3740" s="22"/>
      <c r="X3740" s="22"/>
    </row>
    <row r="3741" spans="2:24" x14ac:dyDescent="0.25">
      <c r="B3741" s="22"/>
      <c r="C3741" s="21"/>
      <c r="W3741" s="22"/>
      <c r="X3741" s="22"/>
    </row>
    <row r="3742" spans="2:24" x14ac:dyDescent="0.25">
      <c r="B3742" s="22"/>
      <c r="C3742" s="21"/>
      <c r="W3742" s="22"/>
      <c r="X3742" s="22"/>
    </row>
    <row r="3743" spans="2:24" x14ac:dyDescent="0.25">
      <c r="B3743" s="22"/>
      <c r="C3743" s="21"/>
      <c r="W3743" s="22"/>
      <c r="X3743" s="22"/>
    </row>
    <row r="3744" spans="2:24" x14ac:dyDescent="0.25">
      <c r="B3744" s="22"/>
      <c r="C3744" s="21"/>
      <c r="W3744" s="22"/>
      <c r="X3744" s="22"/>
    </row>
    <row r="3745" spans="2:24" x14ac:dyDescent="0.25">
      <c r="B3745" s="22"/>
      <c r="C3745" s="21"/>
      <c r="W3745" s="22"/>
      <c r="X3745" s="22"/>
    </row>
    <row r="3746" spans="2:24" x14ac:dyDescent="0.25">
      <c r="B3746" s="22"/>
      <c r="C3746" s="21"/>
      <c r="W3746" s="22"/>
      <c r="X3746" s="22"/>
    </row>
    <row r="3747" spans="2:24" x14ac:dyDescent="0.25">
      <c r="B3747" s="22"/>
      <c r="C3747" s="21"/>
      <c r="W3747" s="22"/>
      <c r="X3747" s="22"/>
    </row>
    <row r="3748" spans="2:24" x14ac:dyDescent="0.25">
      <c r="B3748" s="22"/>
      <c r="C3748" s="21"/>
      <c r="W3748" s="22"/>
    </row>
    <row r="3749" spans="2:24" x14ac:dyDescent="0.25">
      <c r="B3749" s="22"/>
      <c r="C3749" s="21"/>
      <c r="W3749" s="22"/>
      <c r="X3749" s="22"/>
    </row>
    <row r="3750" spans="2:24" x14ac:dyDescent="0.25">
      <c r="B3750" s="22"/>
      <c r="C3750" s="21"/>
      <c r="W3750" s="22"/>
    </row>
    <row r="3751" spans="2:24" x14ac:dyDescent="0.25">
      <c r="B3751" s="22"/>
      <c r="C3751" s="21"/>
      <c r="W3751" s="22"/>
      <c r="X3751" s="22"/>
    </row>
    <row r="3752" spans="2:24" x14ac:dyDescent="0.25">
      <c r="B3752" s="22"/>
      <c r="C3752" s="21"/>
      <c r="W3752" s="22"/>
      <c r="X3752" s="22"/>
    </row>
    <row r="3753" spans="2:24" x14ac:dyDescent="0.25">
      <c r="B3753" s="22"/>
      <c r="C3753" s="21"/>
      <c r="W3753" s="22"/>
      <c r="X3753" s="22"/>
    </row>
    <row r="3754" spans="2:24" x14ac:dyDescent="0.25">
      <c r="B3754" s="22"/>
      <c r="C3754" s="21"/>
      <c r="W3754" s="22"/>
      <c r="X3754" s="22"/>
    </row>
    <row r="3755" spans="2:24" x14ac:dyDescent="0.25">
      <c r="B3755" s="22"/>
      <c r="C3755" s="21"/>
      <c r="W3755" s="22"/>
      <c r="X3755" s="22"/>
    </row>
    <row r="3756" spans="2:24" x14ac:dyDescent="0.25">
      <c r="B3756" s="22"/>
      <c r="C3756" s="21"/>
      <c r="W3756" s="22"/>
      <c r="X3756" s="22"/>
    </row>
    <row r="3757" spans="2:24" x14ac:dyDescent="0.25">
      <c r="B3757" s="22"/>
      <c r="C3757" s="21"/>
      <c r="W3757" s="22"/>
      <c r="X3757" s="22"/>
    </row>
    <row r="3758" spans="2:24" x14ac:dyDescent="0.25">
      <c r="B3758" s="22"/>
      <c r="C3758" s="21"/>
      <c r="W3758" s="22"/>
      <c r="X3758" s="22"/>
    </row>
    <row r="3759" spans="2:24" x14ac:dyDescent="0.25">
      <c r="B3759" s="22"/>
      <c r="C3759" s="21"/>
      <c r="W3759" s="22"/>
      <c r="X3759" s="22"/>
    </row>
    <row r="3760" spans="2:24" x14ac:dyDescent="0.25">
      <c r="B3760" s="22"/>
      <c r="C3760" s="21"/>
      <c r="W3760" s="22"/>
      <c r="X3760" s="22"/>
    </row>
    <row r="3761" spans="2:24" x14ac:dyDescent="0.25">
      <c r="B3761" s="22"/>
      <c r="C3761" s="21"/>
      <c r="W3761" s="22"/>
      <c r="X3761" s="22"/>
    </row>
    <row r="3762" spans="2:24" x14ac:dyDescent="0.25">
      <c r="B3762" s="22"/>
      <c r="C3762" s="21"/>
      <c r="W3762" s="22"/>
      <c r="X3762" s="22"/>
    </row>
    <row r="3763" spans="2:24" x14ac:dyDescent="0.25">
      <c r="B3763" s="22"/>
      <c r="C3763" s="21"/>
      <c r="W3763" s="22"/>
      <c r="X3763" s="22"/>
    </row>
    <row r="3764" spans="2:24" x14ac:dyDescent="0.25">
      <c r="B3764" s="22"/>
      <c r="C3764" s="21"/>
      <c r="W3764" s="22"/>
      <c r="X3764" s="22"/>
    </row>
    <row r="3765" spans="2:24" x14ac:dyDescent="0.25">
      <c r="B3765" s="22"/>
      <c r="C3765" s="21"/>
      <c r="W3765" s="22"/>
      <c r="X3765" s="22"/>
    </row>
    <row r="3766" spans="2:24" x14ac:dyDescent="0.25">
      <c r="B3766" s="22"/>
      <c r="C3766" s="21"/>
      <c r="W3766" s="22"/>
      <c r="X3766" s="22"/>
    </row>
    <row r="3767" spans="2:24" x14ac:dyDescent="0.25">
      <c r="B3767" s="22"/>
      <c r="C3767" s="21"/>
      <c r="W3767" s="22"/>
      <c r="X3767" s="22"/>
    </row>
    <row r="3768" spans="2:24" x14ac:dyDescent="0.25">
      <c r="B3768" s="22"/>
      <c r="C3768" s="21"/>
      <c r="W3768" s="22"/>
      <c r="X3768" s="22"/>
    </row>
    <row r="3769" spans="2:24" x14ac:dyDescent="0.25">
      <c r="B3769" s="22"/>
      <c r="C3769" s="21"/>
      <c r="W3769" s="22"/>
      <c r="X3769" s="22"/>
    </row>
    <row r="3770" spans="2:24" x14ac:dyDescent="0.25">
      <c r="B3770" s="22"/>
      <c r="C3770" s="21"/>
      <c r="W3770" s="22"/>
      <c r="X3770" s="22"/>
    </row>
    <row r="3771" spans="2:24" x14ac:dyDescent="0.25">
      <c r="B3771" s="22"/>
      <c r="C3771" s="21"/>
      <c r="W3771" s="22"/>
      <c r="X3771" s="22"/>
    </row>
    <row r="3772" spans="2:24" x14ac:dyDescent="0.25">
      <c r="B3772" s="22"/>
      <c r="C3772" s="21"/>
      <c r="W3772" s="22"/>
      <c r="X3772" s="22"/>
    </row>
    <row r="3773" spans="2:24" x14ac:dyDescent="0.25">
      <c r="B3773" s="22"/>
      <c r="C3773" s="21"/>
      <c r="W3773" s="22"/>
      <c r="X3773" s="22"/>
    </row>
    <row r="3774" spans="2:24" x14ac:dyDescent="0.25">
      <c r="B3774" s="22"/>
      <c r="C3774" s="21"/>
      <c r="W3774" s="22"/>
      <c r="X3774" s="22"/>
    </row>
    <row r="3775" spans="2:24" x14ac:dyDescent="0.25">
      <c r="B3775" s="22"/>
      <c r="C3775" s="21"/>
      <c r="W3775" s="22"/>
      <c r="X3775" s="22"/>
    </row>
    <row r="3776" spans="2:24" x14ac:dyDescent="0.25">
      <c r="B3776" s="22"/>
      <c r="C3776" s="21"/>
      <c r="W3776" s="22"/>
      <c r="X3776" s="22"/>
    </row>
    <row r="3777" spans="2:24" x14ac:dyDescent="0.25">
      <c r="B3777" s="22"/>
      <c r="C3777" s="21"/>
      <c r="W3777" s="22"/>
      <c r="X3777" s="22"/>
    </row>
    <row r="3778" spans="2:24" x14ac:dyDescent="0.25">
      <c r="B3778" s="22"/>
      <c r="C3778" s="21"/>
      <c r="W3778" s="22"/>
      <c r="X3778" s="22"/>
    </row>
    <row r="3779" spans="2:24" x14ac:dyDescent="0.25">
      <c r="B3779" s="22"/>
      <c r="C3779" s="21"/>
      <c r="W3779" s="22"/>
      <c r="X3779" s="22"/>
    </row>
    <row r="3780" spans="2:24" x14ac:dyDescent="0.25">
      <c r="B3780" s="22"/>
      <c r="C3780" s="21"/>
      <c r="W3780" s="22"/>
      <c r="X3780" s="22"/>
    </row>
    <row r="3781" spans="2:24" x14ac:dyDescent="0.25">
      <c r="B3781" s="22"/>
      <c r="C3781" s="21"/>
      <c r="W3781" s="22"/>
      <c r="X3781" s="22"/>
    </row>
    <row r="3782" spans="2:24" x14ac:dyDescent="0.25">
      <c r="B3782" s="22"/>
      <c r="C3782" s="21"/>
      <c r="W3782" s="22"/>
      <c r="X3782" s="22"/>
    </row>
    <row r="3783" spans="2:24" x14ac:dyDescent="0.25">
      <c r="B3783" s="22"/>
      <c r="C3783" s="21"/>
      <c r="W3783" s="22"/>
      <c r="X3783" s="22"/>
    </row>
    <row r="3784" spans="2:24" x14ac:dyDescent="0.25">
      <c r="B3784" s="22"/>
      <c r="C3784" s="21"/>
      <c r="W3784" s="22"/>
      <c r="X3784" s="22"/>
    </row>
    <row r="3785" spans="2:24" x14ac:dyDescent="0.25">
      <c r="B3785" s="22"/>
      <c r="C3785" s="21"/>
      <c r="W3785" s="22"/>
      <c r="X3785" s="22"/>
    </row>
    <row r="3786" spans="2:24" x14ac:dyDescent="0.25">
      <c r="B3786" s="22"/>
      <c r="C3786" s="21"/>
      <c r="W3786" s="22"/>
      <c r="X3786" s="22"/>
    </row>
    <row r="3787" spans="2:24" x14ac:dyDescent="0.25">
      <c r="B3787" s="22"/>
      <c r="C3787" s="21"/>
      <c r="W3787" s="22"/>
      <c r="X3787" s="22"/>
    </row>
    <row r="3788" spans="2:24" x14ac:dyDescent="0.25">
      <c r="B3788" s="22"/>
      <c r="C3788" s="21"/>
      <c r="W3788" s="22"/>
      <c r="X3788" s="22"/>
    </row>
    <row r="3789" spans="2:24" x14ac:dyDescent="0.25">
      <c r="B3789" s="22"/>
      <c r="C3789" s="21"/>
      <c r="W3789" s="22"/>
      <c r="X3789" s="22"/>
    </row>
    <row r="3790" spans="2:24" x14ac:dyDescent="0.25">
      <c r="B3790" s="22"/>
      <c r="C3790" s="21"/>
      <c r="W3790" s="22"/>
      <c r="X3790" s="22"/>
    </row>
    <row r="3791" spans="2:24" x14ac:dyDescent="0.25">
      <c r="B3791" s="22"/>
      <c r="C3791" s="21"/>
      <c r="W3791" s="22"/>
      <c r="X3791" s="22"/>
    </row>
    <row r="3792" spans="2:24" x14ac:dyDescent="0.25">
      <c r="B3792" s="22"/>
      <c r="C3792" s="21"/>
      <c r="W3792" s="22"/>
      <c r="X3792" s="22"/>
    </row>
    <row r="3793" spans="2:24" x14ac:dyDescent="0.25">
      <c r="B3793" s="22"/>
      <c r="C3793" s="21"/>
      <c r="W3793" s="22"/>
      <c r="X3793" s="22"/>
    </row>
    <row r="3794" spans="2:24" x14ac:dyDescent="0.25">
      <c r="B3794" s="22"/>
      <c r="C3794" s="21"/>
      <c r="W3794" s="22"/>
      <c r="X3794" s="22"/>
    </row>
    <row r="3795" spans="2:24" x14ac:dyDescent="0.25">
      <c r="B3795" s="22"/>
      <c r="C3795" s="21"/>
      <c r="W3795" s="22"/>
      <c r="X3795" s="22"/>
    </row>
    <row r="3796" spans="2:24" x14ac:dyDescent="0.25">
      <c r="B3796" s="22"/>
      <c r="C3796" s="21"/>
      <c r="W3796" s="22"/>
      <c r="X3796" s="22"/>
    </row>
    <row r="3797" spans="2:24" x14ac:dyDescent="0.25">
      <c r="B3797" s="22"/>
      <c r="C3797" s="21"/>
      <c r="W3797" s="22"/>
      <c r="X3797" s="22"/>
    </row>
    <row r="3798" spans="2:24" x14ac:dyDescent="0.25">
      <c r="B3798" s="22"/>
      <c r="C3798" s="21"/>
      <c r="W3798" s="22"/>
      <c r="X3798" s="22"/>
    </row>
    <row r="3799" spans="2:24" x14ac:dyDescent="0.25">
      <c r="B3799" s="22"/>
      <c r="C3799" s="21"/>
      <c r="W3799" s="22"/>
      <c r="X3799" s="22"/>
    </row>
    <row r="3800" spans="2:24" x14ac:dyDescent="0.25">
      <c r="B3800" s="22"/>
      <c r="C3800" s="21"/>
      <c r="W3800" s="22"/>
      <c r="X3800" s="22"/>
    </row>
    <row r="3801" spans="2:24" x14ac:dyDescent="0.25">
      <c r="B3801" s="22"/>
      <c r="C3801" s="21"/>
      <c r="W3801" s="22"/>
      <c r="X3801" s="22"/>
    </row>
    <row r="3802" spans="2:24" x14ac:dyDescent="0.25">
      <c r="B3802" s="22"/>
      <c r="C3802" s="21"/>
      <c r="W3802" s="22"/>
      <c r="X3802" s="22"/>
    </row>
    <row r="3803" spans="2:24" x14ac:dyDescent="0.25">
      <c r="B3803" s="22"/>
      <c r="C3803" s="21"/>
      <c r="W3803" s="22"/>
      <c r="X3803" s="22"/>
    </row>
    <row r="3804" spans="2:24" x14ac:dyDescent="0.25">
      <c r="B3804" s="22"/>
      <c r="C3804" s="21"/>
      <c r="W3804" s="22"/>
      <c r="X3804" s="22"/>
    </row>
    <row r="3805" spans="2:24" x14ac:dyDescent="0.25">
      <c r="B3805" s="22"/>
      <c r="C3805" s="21"/>
      <c r="W3805" s="22"/>
      <c r="X3805" s="22"/>
    </row>
    <row r="3806" spans="2:24" x14ac:dyDescent="0.25">
      <c r="B3806" s="22"/>
      <c r="C3806" s="21"/>
      <c r="W3806" s="22"/>
      <c r="X3806" s="22"/>
    </row>
    <row r="3807" spans="2:24" x14ac:dyDescent="0.25">
      <c r="B3807" s="22"/>
      <c r="C3807" s="21"/>
      <c r="W3807" s="22"/>
      <c r="X3807" s="22"/>
    </row>
    <row r="3808" spans="2:24" x14ac:dyDescent="0.25">
      <c r="B3808" s="22"/>
      <c r="C3808" s="21"/>
      <c r="W3808" s="22"/>
      <c r="X3808" s="22"/>
    </row>
    <row r="3809" spans="2:24" x14ac:dyDescent="0.25">
      <c r="B3809" s="22"/>
      <c r="C3809" s="21"/>
      <c r="W3809" s="22"/>
      <c r="X3809" s="22"/>
    </row>
    <row r="3810" spans="2:24" x14ac:dyDescent="0.25">
      <c r="B3810" s="22"/>
      <c r="C3810" s="21"/>
      <c r="W3810" s="22"/>
      <c r="X3810" s="22"/>
    </row>
    <row r="3811" spans="2:24" x14ac:dyDescent="0.25">
      <c r="B3811" s="22"/>
      <c r="C3811" s="21"/>
      <c r="W3811" s="22"/>
      <c r="X3811" s="22"/>
    </row>
    <row r="3812" spans="2:24" x14ac:dyDescent="0.25">
      <c r="B3812" s="22"/>
      <c r="C3812" s="21"/>
      <c r="W3812" s="22"/>
      <c r="X3812" s="22"/>
    </row>
    <row r="3813" spans="2:24" x14ac:dyDescent="0.25">
      <c r="B3813" s="22"/>
      <c r="C3813" s="21"/>
      <c r="W3813" s="22"/>
      <c r="X3813" s="22"/>
    </row>
    <row r="3814" spans="2:24" x14ac:dyDescent="0.25">
      <c r="B3814" s="22"/>
      <c r="C3814" s="21"/>
      <c r="W3814" s="22"/>
      <c r="X3814" s="22"/>
    </row>
    <row r="3815" spans="2:24" x14ac:dyDescent="0.25">
      <c r="B3815" s="22"/>
      <c r="C3815" s="21"/>
      <c r="W3815" s="22"/>
      <c r="X3815" s="22"/>
    </row>
    <row r="3816" spans="2:24" x14ac:dyDescent="0.25">
      <c r="B3816" s="22"/>
      <c r="C3816" s="21"/>
      <c r="W3816" s="22"/>
      <c r="X3816" s="22"/>
    </row>
    <row r="3817" spans="2:24" x14ac:dyDescent="0.25">
      <c r="B3817" s="22"/>
      <c r="C3817" s="21"/>
      <c r="W3817" s="22"/>
      <c r="X3817" s="22"/>
    </row>
    <row r="3818" spans="2:24" x14ac:dyDescent="0.25">
      <c r="B3818" s="22"/>
      <c r="C3818" s="21"/>
      <c r="W3818" s="22"/>
      <c r="X3818" s="22"/>
    </row>
    <row r="3819" spans="2:24" x14ac:dyDescent="0.25">
      <c r="B3819" s="22"/>
      <c r="C3819" s="21"/>
      <c r="W3819" s="22"/>
      <c r="X3819" s="22"/>
    </row>
    <row r="3820" spans="2:24" x14ac:dyDescent="0.25">
      <c r="B3820" s="22"/>
      <c r="C3820" s="21"/>
      <c r="W3820" s="22"/>
      <c r="X3820" s="22"/>
    </row>
    <row r="3821" spans="2:24" x14ac:dyDescent="0.25">
      <c r="B3821" s="22"/>
      <c r="C3821" s="21"/>
      <c r="W3821" s="22"/>
      <c r="X3821" s="22"/>
    </row>
    <row r="3822" spans="2:24" x14ac:dyDescent="0.25">
      <c r="B3822" s="22"/>
      <c r="C3822" s="21"/>
      <c r="W3822" s="22"/>
      <c r="X3822" s="22"/>
    </row>
    <row r="3823" spans="2:24" x14ac:dyDescent="0.25">
      <c r="B3823" s="22"/>
      <c r="C3823" s="21"/>
      <c r="W3823" s="22"/>
      <c r="X3823" s="22"/>
    </row>
    <row r="3824" spans="2:24" x14ac:dyDescent="0.25">
      <c r="B3824" s="22"/>
      <c r="C3824" s="21"/>
      <c r="W3824" s="22"/>
      <c r="X3824" s="22"/>
    </row>
    <row r="3825" spans="2:24" x14ac:dyDescent="0.25">
      <c r="B3825" s="22"/>
      <c r="C3825" s="21"/>
      <c r="W3825" s="22"/>
      <c r="X3825" s="22"/>
    </row>
    <row r="3826" spans="2:24" x14ac:dyDescent="0.25">
      <c r="B3826" s="22"/>
      <c r="C3826" s="21"/>
      <c r="W3826" s="22"/>
      <c r="X3826" s="22"/>
    </row>
    <row r="3827" spans="2:24" x14ac:dyDescent="0.25">
      <c r="B3827" s="22"/>
      <c r="C3827" s="21"/>
      <c r="W3827" s="22"/>
      <c r="X3827" s="22"/>
    </row>
    <row r="3828" spans="2:24" x14ac:dyDescent="0.25">
      <c r="B3828" s="22"/>
      <c r="C3828" s="21"/>
      <c r="W3828" s="22"/>
      <c r="X3828" s="22"/>
    </row>
    <row r="3829" spans="2:24" x14ac:dyDescent="0.25">
      <c r="B3829" s="22"/>
      <c r="C3829" s="21"/>
      <c r="W3829" s="22"/>
      <c r="X3829" s="22"/>
    </row>
    <row r="3830" spans="2:24" x14ac:dyDescent="0.25">
      <c r="B3830" s="22"/>
      <c r="C3830" s="21"/>
      <c r="W3830" s="22"/>
      <c r="X3830" s="22"/>
    </row>
    <row r="3831" spans="2:24" x14ac:dyDescent="0.25">
      <c r="B3831" s="22"/>
      <c r="C3831" s="21"/>
      <c r="W3831" s="22"/>
      <c r="X3831" s="22"/>
    </row>
    <row r="3832" spans="2:24" x14ac:dyDescent="0.25">
      <c r="B3832" s="22"/>
      <c r="C3832" s="21"/>
      <c r="W3832" s="22"/>
      <c r="X3832" s="22"/>
    </row>
    <row r="3833" spans="2:24" x14ac:dyDescent="0.25">
      <c r="B3833" s="22"/>
      <c r="C3833" s="21"/>
      <c r="W3833" s="22"/>
      <c r="X3833" s="22"/>
    </row>
    <row r="3834" spans="2:24" x14ac:dyDescent="0.25">
      <c r="B3834" s="22"/>
      <c r="C3834" s="21"/>
      <c r="W3834" s="22"/>
      <c r="X3834" s="22"/>
    </row>
    <row r="3835" spans="2:24" x14ac:dyDescent="0.25">
      <c r="B3835" s="22"/>
      <c r="C3835" s="21"/>
      <c r="W3835" s="22"/>
      <c r="X3835" s="22"/>
    </row>
    <row r="3836" spans="2:24" x14ac:dyDescent="0.25">
      <c r="B3836" s="22"/>
      <c r="C3836" s="21"/>
      <c r="W3836" s="22"/>
      <c r="X3836" s="22"/>
    </row>
    <row r="3837" spans="2:24" x14ac:dyDescent="0.25">
      <c r="B3837" s="22"/>
      <c r="C3837" s="21"/>
      <c r="W3837" s="22"/>
      <c r="X3837" s="22"/>
    </row>
    <row r="3838" spans="2:24" x14ac:dyDescent="0.25">
      <c r="B3838" s="22"/>
      <c r="C3838" s="21"/>
      <c r="W3838" s="22"/>
      <c r="X3838" s="22"/>
    </row>
    <row r="3839" spans="2:24" x14ac:dyDescent="0.25">
      <c r="B3839" s="22"/>
      <c r="C3839" s="21"/>
      <c r="W3839" s="22"/>
      <c r="X3839" s="22"/>
    </row>
    <row r="3840" spans="2:24" x14ac:dyDescent="0.25">
      <c r="B3840" s="22"/>
      <c r="C3840" s="21"/>
      <c r="W3840" s="22"/>
      <c r="X3840" s="22"/>
    </row>
    <row r="3841" spans="2:24" x14ac:dyDescent="0.25">
      <c r="B3841" s="22"/>
      <c r="C3841" s="21"/>
      <c r="W3841" s="22"/>
      <c r="X3841" s="22"/>
    </row>
    <row r="3842" spans="2:24" x14ac:dyDescent="0.25">
      <c r="B3842" s="22"/>
      <c r="C3842" s="21"/>
      <c r="W3842" s="22"/>
      <c r="X3842" s="22"/>
    </row>
    <row r="3843" spans="2:24" x14ac:dyDescent="0.25">
      <c r="B3843" s="22"/>
      <c r="C3843" s="21"/>
      <c r="W3843" s="22"/>
      <c r="X3843" s="22"/>
    </row>
    <row r="3844" spans="2:24" x14ac:dyDescent="0.25">
      <c r="B3844" s="22"/>
      <c r="C3844" s="21"/>
      <c r="W3844" s="22"/>
      <c r="X3844" s="22"/>
    </row>
    <row r="3845" spans="2:24" x14ac:dyDescent="0.25">
      <c r="B3845" s="22"/>
      <c r="C3845" s="21"/>
      <c r="W3845" s="22"/>
      <c r="X3845" s="22"/>
    </row>
    <row r="3846" spans="2:24" x14ac:dyDescent="0.25">
      <c r="B3846" s="22"/>
      <c r="C3846" s="21"/>
      <c r="W3846" s="22"/>
      <c r="X3846" s="22"/>
    </row>
    <row r="3847" spans="2:24" x14ac:dyDescent="0.25">
      <c r="B3847" s="22"/>
      <c r="C3847" s="21"/>
      <c r="W3847" s="22"/>
      <c r="X3847" s="22"/>
    </row>
    <row r="3848" spans="2:24" x14ac:dyDescent="0.25">
      <c r="B3848" s="22"/>
      <c r="C3848" s="21"/>
      <c r="W3848" s="22"/>
      <c r="X3848" s="22"/>
    </row>
    <row r="3849" spans="2:24" x14ac:dyDescent="0.25">
      <c r="B3849" s="22"/>
      <c r="C3849" s="21"/>
      <c r="W3849" s="22"/>
      <c r="X3849" s="22"/>
    </row>
    <row r="3850" spans="2:24" x14ac:dyDescent="0.25">
      <c r="B3850" s="22"/>
      <c r="C3850" s="21"/>
      <c r="W3850" s="22"/>
      <c r="X3850" s="22"/>
    </row>
    <row r="3851" spans="2:24" x14ac:dyDescent="0.25">
      <c r="B3851" s="22"/>
      <c r="C3851" s="21"/>
      <c r="W3851" s="22"/>
      <c r="X3851" s="22"/>
    </row>
    <row r="3852" spans="2:24" x14ac:dyDescent="0.25">
      <c r="B3852" s="22"/>
      <c r="C3852" s="21"/>
      <c r="W3852" s="22"/>
      <c r="X3852" s="22"/>
    </row>
    <row r="3853" spans="2:24" x14ac:dyDescent="0.25">
      <c r="B3853" s="22"/>
      <c r="C3853" s="21"/>
      <c r="W3853" s="22"/>
      <c r="X3853" s="22"/>
    </row>
    <row r="3854" spans="2:24" x14ac:dyDescent="0.25">
      <c r="B3854" s="22"/>
      <c r="C3854" s="21"/>
      <c r="W3854" s="22"/>
      <c r="X3854" s="22"/>
    </row>
    <row r="3855" spans="2:24" x14ac:dyDescent="0.25">
      <c r="B3855" s="22"/>
      <c r="C3855" s="21"/>
      <c r="W3855" s="22"/>
      <c r="X3855" s="22"/>
    </row>
    <row r="3856" spans="2:24" x14ac:dyDescent="0.25">
      <c r="B3856" s="22"/>
      <c r="C3856" s="21"/>
      <c r="W3856" s="22"/>
      <c r="X3856" s="22"/>
    </row>
    <row r="3857" spans="2:24" x14ac:dyDescent="0.25">
      <c r="B3857" s="22"/>
      <c r="C3857" s="21"/>
      <c r="W3857" s="22"/>
      <c r="X3857" s="22"/>
    </row>
    <row r="3858" spans="2:24" x14ac:dyDescent="0.25">
      <c r="B3858" s="22"/>
      <c r="C3858" s="21"/>
      <c r="W3858" s="22"/>
      <c r="X3858" s="22"/>
    </row>
    <row r="3859" spans="2:24" x14ac:dyDescent="0.25">
      <c r="B3859" s="22"/>
      <c r="C3859" s="21"/>
      <c r="W3859" s="22"/>
      <c r="X3859" s="22"/>
    </row>
    <row r="3860" spans="2:24" x14ac:dyDescent="0.25">
      <c r="B3860" s="22"/>
      <c r="C3860" s="21"/>
      <c r="W3860" s="22"/>
      <c r="X3860" s="22"/>
    </row>
    <row r="3861" spans="2:24" x14ac:dyDescent="0.25">
      <c r="B3861" s="22"/>
      <c r="C3861" s="21"/>
      <c r="W3861" s="22"/>
      <c r="X3861" s="22"/>
    </row>
    <row r="3862" spans="2:24" x14ac:dyDescent="0.25">
      <c r="B3862" s="22"/>
      <c r="C3862" s="21"/>
      <c r="W3862" s="22"/>
      <c r="X3862" s="22"/>
    </row>
    <row r="3863" spans="2:24" x14ac:dyDescent="0.25">
      <c r="B3863" s="22"/>
      <c r="C3863" s="21"/>
      <c r="W3863" s="22"/>
      <c r="X3863" s="22"/>
    </row>
    <row r="3864" spans="2:24" x14ac:dyDescent="0.25">
      <c r="B3864" s="22"/>
      <c r="C3864" s="21"/>
      <c r="W3864" s="22"/>
      <c r="X3864" s="22"/>
    </row>
    <row r="3865" spans="2:24" x14ac:dyDescent="0.25">
      <c r="B3865" s="22"/>
      <c r="C3865" s="21"/>
      <c r="W3865" s="22"/>
      <c r="X3865" s="22"/>
    </row>
    <row r="3866" spans="2:24" x14ac:dyDescent="0.25">
      <c r="B3866" s="22"/>
      <c r="C3866" s="21"/>
      <c r="W3866" s="22"/>
    </row>
    <row r="3867" spans="2:24" x14ac:dyDescent="0.25">
      <c r="B3867" s="22"/>
      <c r="C3867" s="21"/>
      <c r="W3867" s="22"/>
      <c r="X3867" s="22"/>
    </row>
    <row r="3868" spans="2:24" x14ac:dyDescent="0.25">
      <c r="B3868" s="22"/>
      <c r="C3868" s="21"/>
      <c r="W3868" s="22"/>
      <c r="X3868" s="22"/>
    </row>
    <row r="3869" spans="2:24" x14ac:dyDescent="0.25">
      <c r="B3869" s="22"/>
      <c r="C3869" s="21"/>
      <c r="W3869" s="22"/>
      <c r="X3869" s="22"/>
    </row>
    <row r="3870" spans="2:24" x14ac:dyDescent="0.25">
      <c r="B3870" s="22"/>
      <c r="C3870" s="21"/>
      <c r="W3870" s="22"/>
      <c r="X3870" s="22"/>
    </row>
    <row r="3871" spans="2:24" x14ac:dyDescent="0.25">
      <c r="B3871" s="22"/>
      <c r="C3871" s="21"/>
      <c r="W3871" s="22"/>
      <c r="X3871" s="22"/>
    </row>
    <row r="3872" spans="2:24" x14ac:dyDescent="0.25">
      <c r="B3872" s="22"/>
      <c r="C3872" s="21"/>
      <c r="W3872" s="22"/>
      <c r="X3872" s="22"/>
    </row>
    <row r="3873" spans="2:24" x14ac:dyDescent="0.25">
      <c r="B3873" s="22"/>
      <c r="C3873" s="21"/>
      <c r="W3873" s="22"/>
      <c r="X3873" s="22"/>
    </row>
    <row r="3874" spans="2:24" x14ac:dyDescent="0.25">
      <c r="B3874" s="22"/>
      <c r="C3874" s="21"/>
      <c r="W3874" s="22"/>
      <c r="X3874" s="22"/>
    </row>
    <row r="3875" spans="2:24" x14ac:dyDescent="0.25">
      <c r="B3875" s="22"/>
      <c r="C3875" s="21"/>
      <c r="W3875" s="22"/>
      <c r="X3875" s="22"/>
    </row>
    <row r="3876" spans="2:24" x14ac:dyDescent="0.25">
      <c r="B3876" s="22"/>
      <c r="C3876" s="21"/>
      <c r="W3876" s="22"/>
      <c r="X3876" s="22"/>
    </row>
    <row r="3877" spans="2:24" x14ac:dyDescent="0.25">
      <c r="B3877" s="22"/>
      <c r="C3877" s="21"/>
      <c r="W3877" s="22"/>
      <c r="X3877" s="22"/>
    </row>
    <row r="3878" spans="2:24" x14ac:dyDescent="0.25">
      <c r="B3878" s="22"/>
      <c r="C3878" s="21"/>
      <c r="W3878" s="22"/>
      <c r="X3878" s="22"/>
    </row>
    <row r="3879" spans="2:24" x14ac:dyDescent="0.25">
      <c r="B3879" s="22"/>
      <c r="C3879" s="21"/>
      <c r="W3879" s="22"/>
      <c r="X3879" s="22"/>
    </row>
    <row r="3880" spans="2:24" x14ac:dyDescent="0.25">
      <c r="B3880" s="22"/>
      <c r="C3880" s="21"/>
      <c r="W3880" s="22"/>
      <c r="X3880" s="22"/>
    </row>
    <row r="3881" spans="2:24" x14ac:dyDescent="0.25">
      <c r="B3881" s="22"/>
      <c r="C3881" s="21"/>
      <c r="W3881" s="22"/>
      <c r="X3881" s="22"/>
    </row>
    <row r="3882" spans="2:24" x14ac:dyDescent="0.25">
      <c r="B3882" s="22"/>
      <c r="C3882" s="21"/>
      <c r="W3882" s="22"/>
      <c r="X3882" s="22"/>
    </row>
    <row r="3883" spans="2:24" x14ac:dyDescent="0.25">
      <c r="B3883" s="22"/>
      <c r="C3883" s="21"/>
      <c r="W3883" s="22"/>
      <c r="X3883" s="22"/>
    </row>
    <row r="3884" spans="2:24" x14ac:dyDescent="0.25">
      <c r="B3884" s="22"/>
      <c r="C3884" s="21"/>
      <c r="W3884" s="22"/>
      <c r="X3884" s="22"/>
    </row>
    <row r="3885" spans="2:24" x14ac:dyDescent="0.25">
      <c r="B3885" s="22"/>
      <c r="C3885" s="21"/>
      <c r="W3885" s="22"/>
      <c r="X3885" s="22"/>
    </row>
    <row r="3886" spans="2:24" x14ac:dyDescent="0.25">
      <c r="B3886" s="22"/>
      <c r="C3886" s="21"/>
      <c r="W3886" s="22"/>
      <c r="X3886" s="22"/>
    </row>
    <row r="3887" spans="2:24" x14ac:dyDescent="0.25">
      <c r="B3887" s="22"/>
      <c r="C3887" s="21"/>
      <c r="W3887" s="22"/>
      <c r="X3887" s="22"/>
    </row>
    <row r="3888" spans="2:24" x14ac:dyDescent="0.25">
      <c r="B3888" s="22"/>
      <c r="C3888" s="21"/>
      <c r="W3888" s="22"/>
      <c r="X3888" s="22"/>
    </row>
    <row r="3889" spans="2:24" x14ac:dyDescent="0.25">
      <c r="B3889" s="22"/>
      <c r="C3889" s="21"/>
      <c r="W3889" s="22"/>
      <c r="X3889" s="22"/>
    </row>
    <row r="3890" spans="2:24" x14ac:dyDescent="0.25">
      <c r="B3890" s="22"/>
      <c r="C3890" s="21"/>
      <c r="W3890" s="22"/>
      <c r="X3890" s="22"/>
    </row>
    <row r="3891" spans="2:24" x14ac:dyDescent="0.25">
      <c r="B3891" s="22"/>
      <c r="C3891" s="21"/>
      <c r="W3891" s="22"/>
      <c r="X3891" s="22"/>
    </row>
    <row r="3892" spans="2:24" x14ac:dyDescent="0.25">
      <c r="B3892" s="22"/>
      <c r="C3892" s="21"/>
      <c r="W3892" s="22"/>
      <c r="X3892" s="22"/>
    </row>
    <row r="3893" spans="2:24" x14ac:dyDescent="0.25">
      <c r="B3893" s="22"/>
      <c r="C3893" s="21"/>
      <c r="W3893" s="22"/>
      <c r="X3893" s="22"/>
    </row>
    <row r="3894" spans="2:24" x14ac:dyDescent="0.25">
      <c r="B3894" s="22"/>
      <c r="C3894" s="21"/>
      <c r="W3894" s="22"/>
      <c r="X3894" s="22"/>
    </row>
    <row r="3895" spans="2:24" x14ac:dyDescent="0.25">
      <c r="B3895" s="22"/>
      <c r="C3895" s="21"/>
      <c r="W3895" s="22"/>
      <c r="X3895" s="22"/>
    </row>
    <row r="3896" spans="2:24" x14ac:dyDescent="0.25">
      <c r="B3896" s="22"/>
      <c r="C3896" s="21"/>
      <c r="W3896" s="22"/>
      <c r="X3896" s="22"/>
    </row>
    <row r="3897" spans="2:24" x14ac:dyDescent="0.25">
      <c r="B3897" s="22"/>
      <c r="C3897" s="21"/>
      <c r="W3897" s="22"/>
      <c r="X3897" s="22"/>
    </row>
    <row r="3898" spans="2:24" x14ac:dyDescent="0.25">
      <c r="B3898" s="22"/>
      <c r="C3898" s="21"/>
      <c r="W3898" s="22"/>
      <c r="X3898" s="22"/>
    </row>
    <row r="3899" spans="2:24" x14ac:dyDescent="0.25">
      <c r="B3899" s="22"/>
      <c r="C3899" s="21"/>
      <c r="W3899" s="22"/>
      <c r="X3899" s="22"/>
    </row>
    <row r="3900" spans="2:24" x14ac:dyDescent="0.25">
      <c r="B3900" s="22"/>
      <c r="C3900" s="21"/>
      <c r="W3900" s="22"/>
      <c r="X3900" s="22"/>
    </row>
    <row r="3901" spans="2:24" x14ac:dyDescent="0.25">
      <c r="B3901" s="22"/>
      <c r="C3901" s="21"/>
      <c r="W3901" s="22"/>
      <c r="X3901" s="22"/>
    </row>
    <row r="3902" spans="2:24" x14ac:dyDescent="0.25">
      <c r="B3902" s="22"/>
      <c r="C3902" s="21"/>
      <c r="W3902" s="22"/>
      <c r="X3902" s="22"/>
    </row>
    <row r="3903" spans="2:24" x14ac:dyDescent="0.25">
      <c r="B3903" s="22"/>
      <c r="C3903" s="21"/>
      <c r="W3903" s="22"/>
      <c r="X3903" s="22"/>
    </row>
    <row r="3904" spans="2:24" x14ac:dyDescent="0.25">
      <c r="B3904" s="22"/>
      <c r="C3904" s="21"/>
      <c r="W3904" s="22"/>
      <c r="X3904" s="22"/>
    </row>
    <row r="3905" spans="2:24" x14ac:dyDescent="0.25">
      <c r="B3905" s="22"/>
      <c r="C3905" s="21"/>
      <c r="W3905" s="22"/>
      <c r="X3905" s="22"/>
    </row>
    <row r="3906" spans="2:24" x14ac:dyDescent="0.25">
      <c r="B3906" s="22"/>
      <c r="C3906" s="21"/>
      <c r="W3906" s="22"/>
      <c r="X3906" s="22"/>
    </row>
    <row r="3907" spans="2:24" x14ac:dyDescent="0.25">
      <c r="B3907" s="22"/>
      <c r="C3907" s="21"/>
      <c r="W3907" s="22"/>
    </row>
    <row r="3908" spans="2:24" x14ac:dyDescent="0.25">
      <c r="B3908" s="22"/>
      <c r="C3908" s="21"/>
      <c r="W3908" s="22"/>
      <c r="X3908" s="22"/>
    </row>
    <row r="3909" spans="2:24" x14ac:dyDescent="0.25">
      <c r="B3909" s="22"/>
      <c r="C3909" s="21"/>
      <c r="W3909" s="22"/>
      <c r="X3909" s="22"/>
    </row>
    <row r="3910" spans="2:24" x14ac:dyDescent="0.25">
      <c r="B3910" s="22"/>
      <c r="C3910" s="21"/>
      <c r="W3910" s="22"/>
      <c r="X3910" s="22"/>
    </row>
    <row r="3911" spans="2:24" x14ac:dyDescent="0.25">
      <c r="B3911" s="22"/>
      <c r="C3911" s="21"/>
      <c r="W3911" s="22"/>
      <c r="X3911" s="22"/>
    </row>
    <row r="3912" spans="2:24" x14ac:dyDescent="0.25">
      <c r="B3912" s="22"/>
      <c r="C3912" s="21"/>
      <c r="W3912" s="22"/>
      <c r="X3912" s="22"/>
    </row>
    <row r="3913" spans="2:24" x14ac:dyDescent="0.25">
      <c r="B3913" s="22"/>
      <c r="C3913" s="21"/>
      <c r="W3913" s="22"/>
      <c r="X3913" s="22"/>
    </row>
    <row r="3914" spans="2:24" x14ac:dyDescent="0.25">
      <c r="B3914" s="22"/>
      <c r="C3914" s="21"/>
      <c r="W3914" s="22"/>
      <c r="X3914" s="22"/>
    </row>
    <row r="3915" spans="2:24" x14ac:dyDescent="0.25">
      <c r="B3915" s="22"/>
      <c r="C3915" s="21"/>
      <c r="W3915" s="22"/>
      <c r="X3915" s="22"/>
    </row>
    <row r="3916" spans="2:24" x14ac:dyDescent="0.25">
      <c r="B3916" s="22"/>
      <c r="C3916" s="21"/>
      <c r="W3916" s="22"/>
      <c r="X3916" s="22"/>
    </row>
    <row r="3917" spans="2:24" x14ac:dyDescent="0.25">
      <c r="B3917" s="22"/>
      <c r="C3917" s="21"/>
      <c r="W3917" s="22"/>
      <c r="X3917" s="22"/>
    </row>
    <row r="3918" spans="2:24" x14ac:dyDescent="0.25">
      <c r="B3918" s="22"/>
      <c r="C3918" s="21"/>
      <c r="W3918" s="22"/>
      <c r="X3918" s="22"/>
    </row>
    <row r="3919" spans="2:24" x14ac:dyDescent="0.25">
      <c r="B3919" s="22"/>
      <c r="C3919" s="21"/>
      <c r="W3919" s="22"/>
      <c r="X3919" s="22"/>
    </row>
    <row r="3920" spans="2:24" x14ac:dyDescent="0.25">
      <c r="B3920" s="22"/>
      <c r="C3920" s="21"/>
      <c r="W3920" s="22"/>
      <c r="X3920" s="22"/>
    </row>
    <row r="3921" spans="2:24" x14ac:dyDescent="0.25">
      <c r="B3921" s="22"/>
      <c r="C3921" s="21"/>
      <c r="W3921" s="22"/>
      <c r="X3921" s="22"/>
    </row>
    <row r="3922" spans="2:24" x14ac:dyDescent="0.25">
      <c r="B3922" s="22"/>
      <c r="C3922" s="21"/>
      <c r="W3922" s="22"/>
      <c r="X3922" s="22"/>
    </row>
    <row r="3923" spans="2:24" x14ac:dyDescent="0.25">
      <c r="B3923" s="22"/>
      <c r="C3923" s="21"/>
      <c r="W3923" s="22"/>
      <c r="X3923" s="22"/>
    </row>
    <row r="3924" spans="2:24" x14ac:dyDescent="0.25">
      <c r="B3924" s="22"/>
      <c r="C3924" s="21"/>
      <c r="W3924" s="22"/>
      <c r="X3924" s="22"/>
    </row>
    <row r="3925" spans="2:24" x14ac:dyDescent="0.25">
      <c r="B3925" s="22"/>
      <c r="C3925" s="21"/>
      <c r="W3925" s="22"/>
      <c r="X3925" s="22"/>
    </row>
    <row r="3926" spans="2:24" x14ac:dyDescent="0.25">
      <c r="B3926" s="22"/>
      <c r="C3926" s="21"/>
      <c r="W3926" s="22"/>
      <c r="X3926" s="22"/>
    </row>
    <row r="3927" spans="2:24" x14ac:dyDescent="0.25">
      <c r="B3927" s="22"/>
      <c r="C3927" s="21"/>
      <c r="W3927" s="22"/>
      <c r="X3927" s="22"/>
    </row>
    <row r="3928" spans="2:24" x14ac:dyDescent="0.25">
      <c r="B3928" s="22"/>
      <c r="C3928" s="21"/>
      <c r="W3928" s="22"/>
      <c r="X3928" s="22"/>
    </row>
    <row r="3929" spans="2:24" x14ac:dyDescent="0.25">
      <c r="B3929" s="22"/>
      <c r="C3929" s="21"/>
      <c r="W3929" s="22"/>
      <c r="X3929" s="22"/>
    </row>
    <row r="3930" spans="2:24" x14ac:dyDescent="0.25">
      <c r="B3930" s="22"/>
      <c r="C3930" s="21"/>
      <c r="W3930" s="22"/>
      <c r="X3930" s="22"/>
    </row>
    <row r="3931" spans="2:24" x14ac:dyDescent="0.25">
      <c r="B3931" s="22"/>
      <c r="C3931" s="21"/>
      <c r="W3931" s="22"/>
      <c r="X3931" s="22"/>
    </row>
    <row r="3932" spans="2:24" x14ac:dyDescent="0.25">
      <c r="B3932" s="22"/>
      <c r="C3932" s="21"/>
      <c r="W3932" s="22"/>
      <c r="X3932" s="22"/>
    </row>
    <row r="3933" spans="2:24" x14ac:dyDescent="0.25">
      <c r="B3933" s="22"/>
      <c r="C3933" s="21"/>
      <c r="W3933" s="22"/>
      <c r="X3933" s="22"/>
    </row>
    <row r="3934" spans="2:24" x14ac:dyDescent="0.25">
      <c r="B3934" s="22"/>
      <c r="C3934" s="21"/>
      <c r="W3934" s="22"/>
      <c r="X3934" s="22"/>
    </row>
    <row r="3935" spans="2:24" x14ac:dyDescent="0.25">
      <c r="B3935" s="22"/>
      <c r="C3935" s="21"/>
      <c r="W3935" s="22"/>
      <c r="X3935" s="22"/>
    </row>
    <row r="3936" spans="2:24" x14ac:dyDescent="0.25">
      <c r="B3936" s="22"/>
      <c r="C3936" s="21"/>
      <c r="W3936" s="22"/>
      <c r="X3936" s="22"/>
    </row>
    <row r="3937" spans="2:24" x14ac:dyDescent="0.25">
      <c r="B3937" s="22"/>
      <c r="C3937" s="21"/>
      <c r="W3937" s="22"/>
      <c r="X3937" s="22"/>
    </row>
    <row r="3938" spans="2:24" x14ac:dyDescent="0.25">
      <c r="B3938" s="22"/>
      <c r="C3938" s="21"/>
      <c r="W3938" s="22"/>
      <c r="X3938" s="22"/>
    </row>
    <row r="3939" spans="2:24" x14ac:dyDescent="0.25">
      <c r="B3939" s="22"/>
      <c r="C3939" s="21"/>
      <c r="W3939" s="22"/>
      <c r="X3939" s="22"/>
    </row>
    <row r="3940" spans="2:24" x14ac:dyDescent="0.25">
      <c r="B3940" s="22"/>
      <c r="C3940" s="21"/>
      <c r="W3940" s="22"/>
      <c r="X3940" s="22"/>
    </row>
    <row r="3941" spans="2:24" x14ac:dyDescent="0.25">
      <c r="B3941" s="22"/>
      <c r="C3941" s="21"/>
      <c r="W3941" s="22"/>
      <c r="X3941" s="22"/>
    </row>
    <row r="3942" spans="2:24" x14ac:dyDescent="0.25">
      <c r="B3942" s="22"/>
      <c r="C3942" s="21"/>
      <c r="W3942" s="22"/>
      <c r="X3942" s="22"/>
    </row>
    <row r="3943" spans="2:24" x14ac:dyDescent="0.25">
      <c r="B3943" s="22"/>
      <c r="C3943" s="21"/>
      <c r="W3943" s="22"/>
      <c r="X3943" s="22"/>
    </row>
    <row r="3944" spans="2:24" x14ac:dyDescent="0.25">
      <c r="B3944" s="22"/>
      <c r="C3944" s="21"/>
      <c r="W3944" s="22"/>
      <c r="X3944" s="22"/>
    </row>
    <row r="3945" spans="2:24" x14ac:dyDescent="0.25">
      <c r="B3945" s="22"/>
      <c r="C3945" s="21"/>
      <c r="W3945" s="22"/>
      <c r="X3945" s="22"/>
    </row>
    <row r="3946" spans="2:24" x14ac:dyDescent="0.25">
      <c r="B3946" s="22"/>
      <c r="C3946" s="21"/>
      <c r="W3946" s="22"/>
      <c r="X3946" s="22"/>
    </row>
    <row r="3947" spans="2:24" x14ac:dyDescent="0.25">
      <c r="B3947" s="22"/>
      <c r="C3947" s="21"/>
      <c r="W3947" s="22"/>
      <c r="X3947" s="22"/>
    </row>
    <row r="3948" spans="2:24" x14ac:dyDescent="0.25">
      <c r="B3948" s="22"/>
      <c r="C3948" s="21"/>
      <c r="W3948" s="22"/>
      <c r="X3948" s="22"/>
    </row>
    <row r="3949" spans="2:24" x14ac:dyDescent="0.25">
      <c r="B3949" s="22"/>
      <c r="C3949" s="21"/>
      <c r="W3949" s="22"/>
      <c r="X3949" s="22"/>
    </row>
    <row r="3950" spans="2:24" x14ac:dyDescent="0.25">
      <c r="B3950" s="22"/>
      <c r="C3950" s="21"/>
      <c r="W3950" s="22"/>
      <c r="X3950" s="22"/>
    </row>
    <row r="3951" spans="2:24" x14ac:dyDescent="0.25">
      <c r="B3951" s="22"/>
      <c r="C3951" s="21"/>
      <c r="W3951" s="22"/>
      <c r="X3951" s="22"/>
    </row>
    <row r="3952" spans="2:24" x14ac:dyDescent="0.25">
      <c r="B3952" s="22"/>
      <c r="C3952" s="21"/>
      <c r="W3952" s="22"/>
      <c r="X3952" s="22"/>
    </row>
    <row r="3953" spans="2:24" x14ac:dyDescent="0.25">
      <c r="B3953" s="22"/>
      <c r="C3953" s="21"/>
      <c r="W3953" s="22"/>
      <c r="X3953" s="22"/>
    </row>
    <row r="3954" spans="2:24" x14ac:dyDescent="0.25">
      <c r="B3954" s="22"/>
      <c r="C3954" s="21"/>
      <c r="W3954" s="22"/>
      <c r="X3954" s="22"/>
    </row>
    <row r="3955" spans="2:24" x14ac:dyDescent="0.25">
      <c r="B3955" s="22"/>
      <c r="C3955" s="21"/>
      <c r="W3955" s="22"/>
      <c r="X3955" s="22"/>
    </row>
    <row r="3956" spans="2:24" x14ac:dyDescent="0.25">
      <c r="B3956" s="22"/>
      <c r="C3956" s="21"/>
      <c r="W3956" s="22"/>
      <c r="X3956" s="22"/>
    </row>
    <row r="3957" spans="2:24" x14ac:dyDescent="0.25">
      <c r="B3957" s="22"/>
      <c r="C3957" s="21"/>
      <c r="W3957" s="22"/>
      <c r="X3957" s="22"/>
    </row>
    <row r="3958" spans="2:24" x14ac:dyDescent="0.25">
      <c r="B3958" s="22"/>
      <c r="C3958" s="21"/>
      <c r="W3958" s="22"/>
      <c r="X3958" s="22"/>
    </row>
    <row r="3959" spans="2:24" x14ac:dyDescent="0.25">
      <c r="B3959" s="22"/>
      <c r="C3959" s="21"/>
      <c r="W3959" s="22"/>
      <c r="X3959" s="22"/>
    </row>
    <row r="3960" spans="2:24" x14ac:dyDescent="0.25">
      <c r="B3960" s="22"/>
      <c r="C3960" s="21"/>
      <c r="W3960" s="22"/>
      <c r="X3960" s="22"/>
    </row>
    <row r="3961" spans="2:24" x14ac:dyDescent="0.25">
      <c r="B3961" s="22"/>
      <c r="C3961" s="21"/>
      <c r="W3961" s="22"/>
      <c r="X3961" s="22"/>
    </row>
    <row r="3962" spans="2:24" x14ac:dyDescent="0.25">
      <c r="B3962" s="22"/>
      <c r="C3962" s="21"/>
      <c r="W3962" s="22"/>
      <c r="X3962" s="22"/>
    </row>
    <row r="3963" spans="2:24" x14ac:dyDescent="0.25">
      <c r="B3963" s="22"/>
      <c r="C3963" s="21"/>
      <c r="W3963" s="22"/>
      <c r="X3963" s="22"/>
    </row>
    <row r="3964" spans="2:24" x14ac:dyDescent="0.25">
      <c r="B3964" s="22"/>
      <c r="C3964" s="21"/>
      <c r="W3964" s="22"/>
      <c r="X3964" s="22"/>
    </row>
    <row r="3965" spans="2:24" x14ac:dyDescent="0.25">
      <c r="B3965" s="22"/>
      <c r="C3965" s="21"/>
      <c r="W3965" s="22"/>
      <c r="X3965" s="22"/>
    </row>
    <row r="3966" spans="2:24" x14ac:dyDescent="0.25">
      <c r="B3966" s="22"/>
      <c r="C3966" s="21"/>
      <c r="W3966" s="22"/>
      <c r="X3966" s="22"/>
    </row>
    <row r="3967" spans="2:24" x14ac:dyDescent="0.25">
      <c r="B3967" s="22"/>
      <c r="C3967" s="21"/>
      <c r="W3967" s="22"/>
      <c r="X3967" s="22"/>
    </row>
    <row r="3968" spans="2:24" x14ac:dyDescent="0.25">
      <c r="B3968" s="22"/>
      <c r="C3968" s="21"/>
      <c r="W3968" s="22"/>
      <c r="X3968" s="22"/>
    </row>
    <row r="3969" spans="2:24" x14ac:dyDescent="0.25">
      <c r="B3969" s="22"/>
      <c r="C3969" s="21"/>
      <c r="W3969" s="22"/>
      <c r="X3969" s="22"/>
    </row>
    <row r="3970" spans="2:24" x14ac:dyDescent="0.25">
      <c r="B3970" s="22"/>
      <c r="C3970" s="21"/>
      <c r="W3970" s="22"/>
      <c r="X3970" s="22"/>
    </row>
    <row r="3971" spans="2:24" x14ac:dyDescent="0.25">
      <c r="B3971" s="22"/>
      <c r="C3971" s="21"/>
      <c r="W3971" s="22"/>
      <c r="X3971" s="22"/>
    </row>
    <row r="3972" spans="2:24" x14ac:dyDescent="0.25">
      <c r="B3972" s="22"/>
      <c r="C3972" s="21"/>
      <c r="W3972" s="22"/>
      <c r="X3972" s="22"/>
    </row>
    <row r="3973" spans="2:24" x14ac:dyDescent="0.25">
      <c r="B3973" s="22"/>
      <c r="C3973" s="21"/>
      <c r="W3973" s="22"/>
      <c r="X3973" s="22"/>
    </row>
    <row r="3974" spans="2:24" x14ac:dyDescent="0.25">
      <c r="B3974" s="22"/>
      <c r="C3974" s="21"/>
      <c r="W3974" s="22"/>
      <c r="X3974" s="22"/>
    </row>
    <row r="3975" spans="2:24" x14ac:dyDescent="0.25">
      <c r="B3975" s="22"/>
      <c r="C3975" s="21"/>
      <c r="W3975" s="22"/>
      <c r="X3975" s="22"/>
    </row>
    <row r="3976" spans="2:24" x14ac:dyDescent="0.25">
      <c r="B3976" s="22"/>
      <c r="C3976" s="21"/>
      <c r="W3976" s="22"/>
      <c r="X3976" s="22"/>
    </row>
    <row r="3977" spans="2:24" x14ac:dyDescent="0.25">
      <c r="B3977" s="22"/>
      <c r="C3977" s="21"/>
      <c r="W3977" s="22"/>
      <c r="X3977" s="22"/>
    </row>
    <row r="3978" spans="2:24" x14ac:dyDescent="0.25">
      <c r="B3978" s="22"/>
      <c r="C3978" s="21"/>
      <c r="W3978" s="22"/>
      <c r="X3978" s="22"/>
    </row>
    <row r="3979" spans="2:24" x14ac:dyDescent="0.25">
      <c r="B3979" s="22"/>
      <c r="C3979" s="21"/>
      <c r="W3979" s="22"/>
      <c r="X3979" s="22"/>
    </row>
    <row r="3980" spans="2:24" x14ac:dyDescent="0.25">
      <c r="B3980" s="22"/>
      <c r="C3980" s="21"/>
      <c r="W3980" s="22"/>
      <c r="X3980" s="22"/>
    </row>
    <row r="3981" spans="2:24" x14ac:dyDescent="0.25">
      <c r="B3981" s="22"/>
      <c r="C3981" s="21"/>
      <c r="W3981" s="22"/>
      <c r="X3981" s="22"/>
    </row>
    <row r="3982" spans="2:24" x14ac:dyDescent="0.25">
      <c r="B3982" s="22"/>
      <c r="C3982" s="21"/>
      <c r="W3982" s="22"/>
      <c r="X3982" s="22"/>
    </row>
    <row r="3983" spans="2:24" x14ac:dyDescent="0.25">
      <c r="B3983" s="22"/>
      <c r="C3983" s="21"/>
      <c r="W3983" s="22"/>
      <c r="X3983" s="22"/>
    </row>
    <row r="3984" spans="2:24" x14ac:dyDescent="0.25">
      <c r="B3984" s="22"/>
      <c r="C3984" s="21"/>
      <c r="W3984" s="22"/>
      <c r="X3984" s="22"/>
    </row>
    <row r="3985" spans="2:24" x14ac:dyDescent="0.25">
      <c r="B3985" s="22"/>
      <c r="C3985" s="21"/>
      <c r="W3985" s="22"/>
      <c r="X3985" s="22"/>
    </row>
    <row r="3986" spans="2:24" x14ac:dyDescent="0.25">
      <c r="B3986" s="22"/>
      <c r="C3986" s="21"/>
      <c r="W3986" s="22"/>
      <c r="X3986" s="22"/>
    </row>
    <row r="3987" spans="2:24" x14ac:dyDescent="0.25">
      <c r="B3987" s="22"/>
      <c r="C3987" s="21"/>
      <c r="W3987" s="22"/>
      <c r="X3987" s="22"/>
    </row>
    <row r="3988" spans="2:24" x14ac:dyDescent="0.25">
      <c r="B3988" s="22"/>
      <c r="C3988" s="21"/>
      <c r="W3988" s="22"/>
      <c r="X3988" s="22"/>
    </row>
    <row r="3989" spans="2:24" x14ac:dyDescent="0.25">
      <c r="B3989" s="22"/>
      <c r="C3989" s="21"/>
      <c r="W3989" s="22"/>
      <c r="X3989" s="22"/>
    </row>
    <row r="3990" spans="2:24" x14ac:dyDescent="0.25">
      <c r="B3990" s="22"/>
      <c r="C3990" s="21"/>
      <c r="W3990" s="22"/>
      <c r="X3990" s="22"/>
    </row>
    <row r="3991" spans="2:24" x14ac:dyDescent="0.25">
      <c r="B3991" s="22"/>
      <c r="C3991" s="21"/>
      <c r="W3991" s="22"/>
      <c r="X3991" s="22"/>
    </row>
    <row r="3992" spans="2:24" x14ac:dyDescent="0.25">
      <c r="B3992" s="22"/>
      <c r="C3992" s="21"/>
      <c r="W3992" s="22"/>
      <c r="X3992" s="22"/>
    </row>
    <row r="3993" spans="2:24" x14ac:dyDescent="0.25">
      <c r="B3993" s="22"/>
      <c r="C3993" s="21"/>
      <c r="W3993" s="22"/>
      <c r="X3993" s="22"/>
    </row>
    <row r="3994" spans="2:24" x14ac:dyDescent="0.25">
      <c r="B3994" s="22"/>
      <c r="C3994" s="21"/>
      <c r="W3994" s="22"/>
      <c r="X3994" s="22"/>
    </row>
    <row r="3995" spans="2:24" x14ac:dyDescent="0.25">
      <c r="B3995" s="22"/>
      <c r="C3995" s="21"/>
      <c r="W3995" s="22"/>
      <c r="X3995" s="22"/>
    </row>
    <row r="3996" spans="2:24" x14ac:dyDescent="0.25">
      <c r="B3996" s="22"/>
      <c r="C3996" s="21"/>
      <c r="W3996" s="22"/>
      <c r="X3996" s="22"/>
    </row>
    <row r="3997" spans="2:24" x14ac:dyDescent="0.25">
      <c r="B3997" s="22"/>
      <c r="C3997" s="21"/>
      <c r="W3997" s="22"/>
      <c r="X3997" s="22"/>
    </row>
    <row r="3998" spans="2:24" x14ac:dyDescent="0.25">
      <c r="B3998" s="22"/>
      <c r="C3998" s="21"/>
      <c r="W3998" s="22"/>
      <c r="X3998" s="22"/>
    </row>
    <row r="3999" spans="2:24" x14ac:dyDescent="0.25">
      <c r="B3999" s="22"/>
      <c r="C3999" s="21"/>
      <c r="W3999" s="22"/>
      <c r="X3999" s="22"/>
    </row>
    <row r="4000" spans="2:24" x14ac:dyDescent="0.25">
      <c r="B4000" s="22"/>
      <c r="C4000" s="21"/>
      <c r="W4000" s="22"/>
      <c r="X4000" s="22"/>
    </row>
    <row r="4001" spans="2:24" x14ac:dyDescent="0.25">
      <c r="B4001" s="22"/>
      <c r="C4001" s="21"/>
      <c r="W4001" s="22"/>
      <c r="X4001" s="22"/>
    </row>
    <row r="4002" spans="2:24" x14ac:dyDescent="0.25">
      <c r="B4002" s="22"/>
      <c r="C4002" s="21"/>
      <c r="W4002" s="22"/>
      <c r="X4002" s="22"/>
    </row>
    <row r="4003" spans="2:24" x14ac:dyDescent="0.25">
      <c r="B4003" s="22"/>
      <c r="C4003" s="21"/>
      <c r="W4003" s="22"/>
      <c r="X4003" s="22"/>
    </row>
    <row r="4004" spans="2:24" x14ac:dyDescent="0.25">
      <c r="B4004" s="22"/>
      <c r="C4004" s="21"/>
      <c r="W4004" s="22"/>
      <c r="X4004" s="22"/>
    </row>
    <row r="4005" spans="2:24" x14ac:dyDescent="0.25">
      <c r="B4005" s="22"/>
      <c r="C4005" s="21"/>
      <c r="W4005" s="22"/>
      <c r="X4005" s="22"/>
    </row>
    <row r="4006" spans="2:24" x14ac:dyDescent="0.25">
      <c r="B4006" s="22"/>
      <c r="C4006" s="21"/>
      <c r="W4006" s="22"/>
      <c r="X4006" s="22"/>
    </row>
    <row r="4007" spans="2:24" x14ac:dyDescent="0.25">
      <c r="B4007" s="22"/>
      <c r="C4007" s="21"/>
      <c r="W4007" s="22"/>
      <c r="X4007" s="22"/>
    </row>
    <row r="4008" spans="2:24" x14ac:dyDescent="0.25">
      <c r="B4008" s="22"/>
      <c r="C4008" s="21"/>
      <c r="W4008" s="22"/>
      <c r="X4008" s="22"/>
    </row>
    <row r="4009" spans="2:24" x14ac:dyDescent="0.25">
      <c r="B4009" s="22"/>
      <c r="C4009" s="21"/>
      <c r="W4009" s="22"/>
      <c r="X4009" s="22"/>
    </row>
    <row r="4010" spans="2:24" x14ac:dyDescent="0.25">
      <c r="B4010" s="22"/>
      <c r="C4010" s="21"/>
      <c r="W4010" s="22"/>
      <c r="X4010" s="22"/>
    </row>
    <row r="4011" spans="2:24" x14ac:dyDescent="0.25">
      <c r="B4011" s="22"/>
      <c r="C4011" s="21"/>
      <c r="W4011" s="22"/>
      <c r="X4011" s="22"/>
    </row>
    <row r="4012" spans="2:24" x14ac:dyDescent="0.25">
      <c r="B4012" s="22"/>
      <c r="C4012" s="21"/>
      <c r="W4012" s="22"/>
      <c r="X4012" s="22"/>
    </row>
    <row r="4013" spans="2:24" x14ac:dyDescent="0.25">
      <c r="B4013" s="22"/>
      <c r="C4013" s="21"/>
      <c r="W4013" s="22"/>
      <c r="X4013" s="22"/>
    </row>
    <row r="4014" spans="2:24" x14ac:dyDescent="0.25">
      <c r="B4014" s="22"/>
      <c r="C4014" s="21"/>
      <c r="W4014" s="22"/>
      <c r="X4014" s="22"/>
    </row>
    <row r="4015" spans="2:24" x14ac:dyDescent="0.25">
      <c r="B4015" s="22"/>
      <c r="C4015" s="21"/>
      <c r="W4015" s="22"/>
      <c r="X4015" s="22"/>
    </row>
    <row r="4016" spans="2:24" x14ac:dyDescent="0.25">
      <c r="B4016" s="22"/>
      <c r="C4016" s="21"/>
      <c r="W4016" s="22"/>
      <c r="X4016" s="22"/>
    </row>
    <row r="4017" spans="2:24" x14ac:dyDescent="0.25">
      <c r="B4017" s="22"/>
      <c r="C4017" s="21"/>
      <c r="W4017" s="22"/>
      <c r="X4017" s="22"/>
    </row>
    <row r="4018" spans="2:24" x14ac:dyDescent="0.25">
      <c r="B4018" s="22"/>
      <c r="C4018" s="21"/>
      <c r="W4018" s="22"/>
      <c r="X4018" s="22"/>
    </row>
    <row r="4019" spans="2:24" x14ac:dyDescent="0.25">
      <c r="B4019" s="22"/>
      <c r="C4019" s="21"/>
      <c r="W4019" s="22"/>
      <c r="X4019" s="22"/>
    </row>
    <row r="4020" spans="2:24" x14ac:dyDescent="0.25">
      <c r="B4020" s="22"/>
      <c r="C4020" s="21"/>
      <c r="W4020" s="22"/>
      <c r="X4020" s="22"/>
    </row>
    <row r="4021" spans="2:24" x14ac:dyDescent="0.25">
      <c r="B4021" s="22"/>
      <c r="C4021" s="21"/>
      <c r="W4021" s="22"/>
      <c r="X4021" s="22"/>
    </row>
    <row r="4022" spans="2:24" x14ac:dyDescent="0.25">
      <c r="B4022" s="22"/>
      <c r="C4022" s="21"/>
      <c r="W4022" s="22"/>
      <c r="X4022" s="22"/>
    </row>
    <row r="4023" spans="2:24" x14ac:dyDescent="0.25">
      <c r="B4023" s="22"/>
      <c r="C4023" s="21"/>
      <c r="W4023" s="22"/>
      <c r="X4023" s="22"/>
    </row>
    <row r="4024" spans="2:24" x14ac:dyDescent="0.25">
      <c r="B4024" s="22"/>
      <c r="C4024" s="21"/>
      <c r="W4024" s="22"/>
      <c r="X4024" s="22"/>
    </row>
    <row r="4025" spans="2:24" x14ac:dyDescent="0.25">
      <c r="B4025" s="22"/>
      <c r="C4025" s="21"/>
      <c r="W4025" s="22"/>
      <c r="X4025" s="22"/>
    </row>
    <row r="4026" spans="2:24" x14ac:dyDescent="0.25">
      <c r="B4026" s="22"/>
      <c r="C4026" s="21"/>
      <c r="W4026" s="22"/>
      <c r="X4026" s="22"/>
    </row>
    <row r="4027" spans="2:24" x14ac:dyDescent="0.25">
      <c r="B4027" s="22"/>
      <c r="C4027" s="21"/>
      <c r="W4027" s="22"/>
      <c r="X4027" s="22"/>
    </row>
    <row r="4028" spans="2:24" x14ac:dyDescent="0.25">
      <c r="B4028" s="22"/>
      <c r="C4028" s="21"/>
      <c r="W4028" s="22"/>
      <c r="X4028" s="22"/>
    </row>
    <row r="4029" spans="2:24" x14ac:dyDescent="0.25">
      <c r="B4029" s="22"/>
      <c r="C4029" s="21"/>
      <c r="W4029" s="22"/>
      <c r="X4029" s="22"/>
    </row>
    <row r="4030" spans="2:24" x14ac:dyDescent="0.25">
      <c r="B4030" s="22"/>
      <c r="C4030" s="21"/>
      <c r="W4030" s="22"/>
      <c r="X4030" s="22"/>
    </row>
    <row r="4031" spans="2:24" x14ac:dyDescent="0.25">
      <c r="B4031" s="22"/>
      <c r="C4031" s="21"/>
      <c r="W4031" s="22"/>
      <c r="X4031" s="22"/>
    </row>
    <row r="4032" spans="2:24" x14ac:dyDescent="0.25">
      <c r="B4032" s="22"/>
      <c r="C4032" s="21"/>
      <c r="W4032" s="22"/>
      <c r="X4032" s="22"/>
    </row>
    <row r="4033" spans="2:24" x14ac:dyDescent="0.25">
      <c r="B4033" s="22"/>
      <c r="C4033" s="21"/>
      <c r="W4033" s="22"/>
      <c r="X4033" s="22"/>
    </row>
    <row r="4034" spans="2:24" x14ac:dyDescent="0.25">
      <c r="B4034" s="22"/>
      <c r="C4034" s="21"/>
      <c r="W4034" s="22"/>
      <c r="X4034" s="22"/>
    </row>
    <row r="4035" spans="2:24" x14ac:dyDescent="0.25">
      <c r="B4035" s="22"/>
      <c r="C4035" s="21"/>
      <c r="W4035" s="22"/>
      <c r="X4035" s="22"/>
    </row>
    <row r="4036" spans="2:24" x14ac:dyDescent="0.25">
      <c r="B4036" s="22"/>
      <c r="C4036" s="21"/>
      <c r="W4036" s="22"/>
      <c r="X4036" s="22"/>
    </row>
    <row r="4037" spans="2:24" x14ac:dyDescent="0.25">
      <c r="B4037" s="22"/>
      <c r="C4037" s="21"/>
      <c r="W4037" s="22"/>
      <c r="X4037" s="22"/>
    </row>
    <row r="4038" spans="2:24" x14ac:dyDescent="0.25">
      <c r="B4038" s="22"/>
      <c r="C4038" s="21"/>
      <c r="W4038" s="22"/>
      <c r="X4038" s="22"/>
    </row>
    <row r="4039" spans="2:24" x14ac:dyDescent="0.25">
      <c r="B4039" s="22"/>
      <c r="C4039" s="21"/>
      <c r="W4039" s="22"/>
      <c r="X4039" s="22"/>
    </row>
    <row r="4040" spans="2:24" x14ac:dyDescent="0.25">
      <c r="B4040" s="22"/>
      <c r="C4040" s="21"/>
      <c r="W4040" s="22"/>
      <c r="X4040" s="22"/>
    </row>
    <row r="4041" spans="2:24" x14ac:dyDescent="0.25">
      <c r="B4041" s="22"/>
      <c r="C4041" s="21"/>
      <c r="W4041" s="22"/>
      <c r="X4041" s="22"/>
    </row>
    <row r="4042" spans="2:24" x14ac:dyDescent="0.25">
      <c r="B4042" s="22"/>
      <c r="C4042" s="21"/>
      <c r="W4042" s="22"/>
      <c r="X4042" s="22"/>
    </row>
    <row r="4043" spans="2:24" x14ac:dyDescent="0.25">
      <c r="B4043" s="22"/>
      <c r="C4043" s="21"/>
      <c r="W4043" s="22"/>
      <c r="X4043" s="22"/>
    </row>
    <row r="4044" spans="2:24" x14ac:dyDescent="0.25">
      <c r="B4044" s="22"/>
      <c r="C4044" s="21"/>
      <c r="W4044" s="22"/>
      <c r="X4044" s="22"/>
    </row>
    <row r="4045" spans="2:24" x14ac:dyDescent="0.25">
      <c r="B4045" s="22"/>
      <c r="C4045" s="21"/>
      <c r="W4045" s="22"/>
      <c r="X4045" s="22"/>
    </row>
    <row r="4046" spans="2:24" x14ac:dyDescent="0.25">
      <c r="B4046" s="22"/>
      <c r="C4046" s="21"/>
      <c r="W4046" s="22"/>
      <c r="X4046" s="22"/>
    </row>
    <row r="4047" spans="2:24" x14ac:dyDescent="0.25">
      <c r="B4047" s="22"/>
      <c r="C4047" s="21"/>
      <c r="W4047" s="22"/>
      <c r="X4047" s="22"/>
    </row>
    <row r="4048" spans="2:24" x14ac:dyDescent="0.25">
      <c r="B4048" s="22"/>
      <c r="C4048" s="21"/>
      <c r="W4048" s="22"/>
      <c r="X4048" s="22"/>
    </row>
    <row r="4049" spans="2:24" x14ac:dyDescent="0.25">
      <c r="B4049" s="22"/>
      <c r="C4049" s="21"/>
      <c r="W4049" s="22"/>
      <c r="X4049" s="22"/>
    </row>
    <row r="4050" spans="2:24" x14ac:dyDescent="0.25">
      <c r="B4050" s="22"/>
      <c r="C4050" s="21"/>
      <c r="W4050" s="22"/>
      <c r="X4050" s="22"/>
    </row>
    <row r="4051" spans="2:24" x14ac:dyDescent="0.25">
      <c r="B4051" s="22"/>
      <c r="C4051" s="21"/>
      <c r="W4051" s="22"/>
      <c r="X4051" s="22"/>
    </row>
    <row r="4052" spans="2:24" x14ac:dyDescent="0.25">
      <c r="B4052" s="22"/>
      <c r="C4052" s="21"/>
      <c r="W4052" s="22"/>
      <c r="X4052" s="22"/>
    </row>
    <row r="4053" spans="2:24" x14ac:dyDescent="0.25">
      <c r="B4053" s="22"/>
      <c r="C4053" s="21"/>
      <c r="W4053" s="22"/>
      <c r="X4053" s="22"/>
    </row>
    <row r="4054" spans="2:24" x14ac:dyDescent="0.25">
      <c r="B4054" s="22"/>
      <c r="C4054" s="21"/>
      <c r="W4054" s="22"/>
      <c r="X4054" s="22"/>
    </row>
    <row r="4055" spans="2:24" x14ac:dyDescent="0.25">
      <c r="B4055" s="22"/>
      <c r="C4055" s="21"/>
      <c r="W4055" s="22"/>
      <c r="X4055" s="22"/>
    </row>
    <row r="4056" spans="2:24" x14ac:dyDescent="0.25">
      <c r="B4056" s="22"/>
      <c r="C4056" s="21"/>
      <c r="W4056" s="22"/>
      <c r="X4056" s="22"/>
    </row>
    <row r="4057" spans="2:24" x14ac:dyDescent="0.25">
      <c r="B4057" s="22"/>
      <c r="C4057" s="21"/>
      <c r="W4057" s="22"/>
      <c r="X4057" s="22"/>
    </row>
    <row r="4058" spans="2:24" x14ac:dyDescent="0.25">
      <c r="B4058" s="22"/>
      <c r="C4058" s="21"/>
      <c r="W4058" s="22"/>
      <c r="X4058" s="22"/>
    </row>
    <row r="4059" spans="2:24" x14ac:dyDescent="0.25">
      <c r="B4059" s="22"/>
      <c r="C4059" s="21"/>
      <c r="W4059" s="22"/>
      <c r="X4059" s="22"/>
    </row>
    <row r="4060" spans="2:24" x14ac:dyDescent="0.25">
      <c r="B4060" s="22"/>
      <c r="C4060" s="21"/>
      <c r="W4060" s="22"/>
      <c r="X4060" s="22"/>
    </row>
    <row r="4061" spans="2:24" x14ac:dyDescent="0.25">
      <c r="B4061" s="22"/>
      <c r="C4061" s="21"/>
      <c r="W4061" s="22"/>
      <c r="X4061" s="22"/>
    </row>
    <row r="4062" spans="2:24" x14ac:dyDescent="0.25">
      <c r="B4062" s="22"/>
      <c r="C4062" s="21"/>
      <c r="W4062" s="22"/>
      <c r="X4062" s="22"/>
    </row>
    <row r="4063" spans="2:24" x14ac:dyDescent="0.25">
      <c r="B4063" s="22"/>
      <c r="C4063" s="21"/>
      <c r="W4063" s="22"/>
      <c r="X4063" s="22"/>
    </row>
    <row r="4064" spans="2:24" x14ac:dyDescent="0.25">
      <c r="B4064" s="22"/>
      <c r="C4064" s="21"/>
      <c r="W4064" s="22"/>
      <c r="X4064" s="22"/>
    </row>
    <row r="4065" spans="2:24" x14ac:dyDescent="0.25">
      <c r="B4065" s="22"/>
      <c r="C4065" s="21"/>
      <c r="W4065" s="22"/>
      <c r="X4065" s="22"/>
    </row>
    <row r="4066" spans="2:24" x14ac:dyDescent="0.25">
      <c r="B4066" s="22"/>
      <c r="C4066" s="21"/>
      <c r="W4066" s="22"/>
      <c r="X4066" s="22"/>
    </row>
    <row r="4067" spans="2:24" x14ac:dyDescent="0.25">
      <c r="B4067" s="22"/>
      <c r="C4067" s="21"/>
      <c r="W4067" s="22"/>
      <c r="X4067" s="22"/>
    </row>
    <row r="4068" spans="2:24" x14ac:dyDescent="0.25">
      <c r="B4068" s="22"/>
      <c r="C4068" s="21"/>
      <c r="W4068" s="22"/>
      <c r="X4068" s="22"/>
    </row>
    <row r="4069" spans="2:24" x14ac:dyDescent="0.25">
      <c r="B4069" s="22"/>
      <c r="C4069" s="21"/>
      <c r="W4069" s="22"/>
      <c r="X4069" s="22"/>
    </row>
    <row r="4070" spans="2:24" x14ac:dyDescent="0.25">
      <c r="B4070" s="22"/>
      <c r="C4070" s="21"/>
      <c r="W4070" s="22"/>
      <c r="X4070" s="22"/>
    </row>
    <row r="4071" spans="2:24" x14ac:dyDescent="0.25">
      <c r="B4071" s="22"/>
      <c r="C4071" s="21"/>
      <c r="W4071" s="22"/>
      <c r="X4071" s="22"/>
    </row>
    <row r="4072" spans="2:24" x14ac:dyDescent="0.25">
      <c r="B4072" s="22"/>
      <c r="C4072" s="21"/>
      <c r="W4072" s="22"/>
      <c r="X4072" s="22"/>
    </row>
    <row r="4073" spans="2:24" x14ac:dyDescent="0.25">
      <c r="B4073" s="22"/>
      <c r="C4073" s="21"/>
      <c r="W4073" s="22"/>
      <c r="X4073" s="22"/>
    </row>
    <row r="4074" spans="2:24" x14ac:dyDescent="0.25">
      <c r="B4074" s="22"/>
      <c r="C4074" s="21"/>
      <c r="W4074" s="22"/>
      <c r="X4074" s="22"/>
    </row>
    <row r="4075" spans="2:24" x14ac:dyDescent="0.25">
      <c r="B4075" s="22"/>
      <c r="C4075" s="21"/>
      <c r="W4075" s="22"/>
      <c r="X4075" s="22"/>
    </row>
    <row r="4076" spans="2:24" x14ac:dyDescent="0.25">
      <c r="B4076" s="22"/>
      <c r="C4076" s="21"/>
      <c r="W4076" s="22"/>
      <c r="X4076" s="22"/>
    </row>
    <row r="4077" spans="2:24" x14ac:dyDescent="0.25">
      <c r="B4077" s="22"/>
      <c r="C4077" s="21"/>
      <c r="W4077" s="22"/>
      <c r="X4077" s="22"/>
    </row>
    <row r="4078" spans="2:24" x14ac:dyDescent="0.25">
      <c r="B4078" s="22"/>
      <c r="C4078" s="21"/>
      <c r="W4078" s="22"/>
      <c r="X4078" s="22"/>
    </row>
    <row r="4079" spans="2:24" x14ac:dyDescent="0.25">
      <c r="B4079" s="22"/>
      <c r="C4079" s="21"/>
      <c r="W4079" s="22"/>
      <c r="X4079" s="22"/>
    </row>
    <row r="4080" spans="2:24" x14ac:dyDescent="0.25">
      <c r="B4080" s="22"/>
      <c r="C4080" s="21"/>
      <c r="W4080" s="22"/>
      <c r="X4080" s="22"/>
    </row>
    <row r="4081" spans="2:24" x14ac:dyDescent="0.25">
      <c r="B4081" s="22"/>
      <c r="C4081" s="21"/>
      <c r="W4081" s="22"/>
      <c r="X4081" s="22"/>
    </row>
    <row r="4082" spans="2:24" x14ac:dyDescent="0.25">
      <c r="B4082" s="22"/>
      <c r="C4082" s="21"/>
      <c r="W4082" s="22"/>
      <c r="X4082" s="22"/>
    </row>
    <row r="4083" spans="2:24" x14ac:dyDescent="0.25">
      <c r="B4083" s="22"/>
      <c r="C4083" s="21"/>
      <c r="W4083" s="22"/>
      <c r="X4083" s="22"/>
    </row>
    <row r="4084" spans="2:24" x14ac:dyDescent="0.25">
      <c r="B4084" s="22"/>
      <c r="C4084" s="21"/>
      <c r="W4084" s="22"/>
      <c r="X4084" s="22"/>
    </row>
    <row r="4085" spans="2:24" x14ac:dyDescent="0.25">
      <c r="B4085" s="22"/>
      <c r="C4085" s="21"/>
      <c r="W4085" s="22"/>
      <c r="X4085" s="22"/>
    </row>
    <row r="4086" spans="2:24" x14ac:dyDescent="0.25">
      <c r="B4086" s="22"/>
      <c r="C4086" s="21"/>
      <c r="W4086" s="22"/>
      <c r="X4086" s="22"/>
    </row>
    <row r="4087" spans="2:24" x14ac:dyDescent="0.25">
      <c r="B4087" s="22"/>
      <c r="C4087" s="21"/>
      <c r="W4087" s="22"/>
      <c r="X4087" s="22"/>
    </row>
    <row r="4088" spans="2:24" x14ac:dyDescent="0.25">
      <c r="B4088" s="22"/>
      <c r="C4088" s="21"/>
      <c r="W4088" s="22"/>
      <c r="X4088" s="22"/>
    </row>
    <row r="4089" spans="2:24" x14ac:dyDescent="0.25">
      <c r="B4089" s="22"/>
      <c r="C4089" s="21"/>
      <c r="W4089" s="22"/>
      <c r="X4089" s="22"/>
    </row>
    <row r="4090" spans="2:24" x14ac:dyDescent="0.25">
      <c r="B4090" s="22"/>
      <c r="C4090" s="21"/>
      <c r="W4090" s="22"/>
      <c r="X4090" s="22"/>
    </row>
    <row r="4091" spans="2:24" x14ac:dyDescent="0.25">
      <c r="B4091" s="22"/>
      <c r="C4091" s="21"/>
      <c r="W4091" s="22"/>
      <c r="X4091" s="22"/>
    </row>
    <row r="4092" spans="2:24" x14ac:dyDescent="0.25">
      <c r="B4092" s="22"/>
      <c r="C4092" s="21"/>
      <c r="W4092" s="22"/>
      <c r="X4092" s="22"/>
    </row>
    <row r="4093" spans="2:24" x14ac:dyDescent="0.25">
      <c r="B4093" s="22"/>
      <c r="C4093" s="21"/>
      <c r="W4093" s="22"/>
      <c r="X4093" s="22"/>
    </row>
    <row r="4094" spans="2:24" x14ac:dyDescent="0.25">
      <c r="B4094" s="22"/>
      <c r="C4094" s="21"/>
      <c r="W4094" s="22"/>
      <c r="X4094" s="22"/>
    </row>
    <row r="4095" spans="2:24" x14ac:dyDescent="0.25">
      <c r="B4095" s="22"/>
      <c r="C4095" s="21"/>
      <c r="W4095" s="22"/>
      <c r="X4095" s="22"/>
    </row>
    <row r="4096" spans="2:24" x14ac:dyDescent="0.25">
      <c r="B4096" s="22"/>
      <c r="C4096" s="21"/>
      <c r="W4096" s="22"/>
      <c r="X4096" s="22"/>
    </row>
    <row r="4097" spans="2:24" x14ac:dyDescent="0.25">
      <c r="B4097" s="22"/>
      <c r="C4097" s="21"/>
      <c r="W4097" s="22"/>
      <c r="X4097" s="22"/>
    </row>
    <row r="4098" spans="2:24" x14ac:dyDescent="0.25">
      <c r="B4098" s="22"/>
      <c r="C4098" s="21"/>
      <c r="W4098" s="22"/>
      <c r="X4098" s="22"/>
    </row>
    <row r="4099" spans="2:24" x14ac:dyDescent="0.25">
      <c r="B4099" s="22"/>
      <c r="C4099" s="21"/>
      <c r="W4099" s="22"/>
      <c r="X4099" s="22"/>
    </row>
    <row r="4100" spans="2:24" x14ac:dyDescent="0.25">
      <c r="B4100" s="22"/>
      <c r="C4100" s="21"/>
      <c r="W4100" s="22"/>
      <c r="X4100" s="22"/>
    </row>
    <row r="4101" spans="2:24" x14ac:dyDescent="0.25">
      <c r="B4101" s="22"/>
      <c r="C4101" s="21"/>
      <c r="W4101" s="22"/>
      <c r="X4101" s="22"/>
    </row>
    <row r="4102" spans="2:24" x14ac:dyDescent="0.25">
      <c r="B4102" s="22"/>
      <c r="C4102" s="21"/>
      <c r="W4102" s="22"/>
      <c r="X4102" s="22"/>
    </row>
    <row r="4103" spans="2:24" x14ac:dyDescent="0.25">
      <c r="B4103" s="22"/>
      <c r="C4103" s="21"/>
      <c r="W4103" s="22"/>
      <c r="X4103" s="22"/>
    </row>
    <row r="4104" spans="2:24" x14ac:dyDescent="0.25">
      <c r="B4104" s="22"/>
      <c r="C4104" s="21"/>
      <c r="W4104" s="22"/>
      <c r="X4104" s="22"/>
    </row>
    <row r="4105" spans="2:24" x14ac:dyDescent="0.25">
      <c r="B4105" s="22"/>
      <c r="C4105" s="21"/>
      <c r="W4105" s="22"/>
      <c r="X4105" s="22"/>
    </row>
    <row r="4106" spans="2:24" x14ac:dyDescent="0.25">
      <c r="B4106" s="22"/>
      <c r="C4106" s="21"/>
      <c r="W4106" s="22"/>
      <c r="X4106" s="22"/>
    </row>
    <row r="4107" spans="2:24" x14ac:dyDescent="0.25">
      <c r="B4107" s="22"/>
      <c r="C4107" s="21"/>
      <c r="W4107" s="22"/>
      <c r="X4107" s="22"/>
    </row>
    <row r="4108" spans="2:24" x14ac:dyDescent="0.25">
      <c r="B4108" s="22"/>
      <c r="C4108" s="21"/>
      <c r="W4108" s="22"/>
      <c r="X4108" s="22"/>
    </row>
    <row r="4109" spans="2:24" x14ac:dyDescent="0.25">
      <c r="B4109" s="22"/>
      <c r="C4109" s="21"/>
      <c r="W4109" s="22"/>
      <c r="X4109" s="22"/>
    </row>
    <row r="4110" spans="2:24" x14ac:dyDescent="0.25">
      <c r="B4110" s="22"/>
      <c r="C4110" s="21"/>
      <c r="W4110" s="22"/>
      <c r="X4110" s="22"/>
    </row>
    <row r="4111" spans="2:24" x14ac:dyDescent="0.25">
      <c r="B4111" s="22"/>
      <c r="C4111" s="21"/>
      <c r="W4111" s="22"/>
      <c r="X4111" s="22"/>
    </row>
    <row r="4112" spans="2:24" x14ac:dyDescent="0.25">
      <c r="B4112" s="22"/>
      <c r="C4112" s="21"/>
      <c r="W4112" s="22"/>
      <c r="X4112" s="22"/>
    </row>
    <row r="4113" spans="2:24" x14ac:dyDescent="0.25">
      <c r="B4113" s="22"/>
      <c r="C4113" s="21"/>
      <c r="W4113" s="22"/>
      <c r="X4113" s="22"/>
    </row>
    <row r="4114" spans="2:24" x14ac:dyDescent="0.25">
      <c r="B4114" s="22"/>
      <c r="C4114" s="21"/>
      <c r="W4114" s="22"/>
      <c r="X4114" s="22"/>
    </row>
    <row r="4115" spans="2:24" x14ac:dyDescent="0.25">
      <c r="B4115" s="22"/>
      <c r="C4115" s="21"/>
      <c r="W4115" s="22"/>
      <c r="X4115" s="22"/>
    </row>
    <row r="4116" spans="2:24" x14ac:dyDescent="0.25">
      <c r="B4116" s="22"/>
      <c r="C4116" s="21"/>
      <c r="W4116" s="22"/>
      <c r="X4116" s="22"/>
    </row>
    <row r="4117" spans="2:24" x14ac:dyDescent="0.25">
      <c r="B4117" s="22"/>
      <c r="C4117" s="21"/>
      <c r="W4117" s="22"/>
      <c r="X4117" s="22"/>
    </row>
    <row r="4118" spans="2:24" x14ac:dyDescent="0.25">
      <c r="B4118" s="22"/>
      <c r="C4118" s="21"/>
      <c r="W4118" s="22"/>
      <c r="X4118" s="22"/>
    </row>
    <row r="4119" spans="2:24" x14ac:dyDescent="0.25">
      <c r="B4119" s="22"/>
      <c r="C4119" s="21"/>
      <c r="W4119" s="22"/>
      <c r="X4119" s="22"/>
    </row>
    <row r="4120" spans="2:24" x14ac:dyDescent="0.25">
      <c r="B4120" s="22"/>
      <c r="C4120" s="21"/>
      <c r="W4120" s="22"/>
      <c r="X4120" s="22"/>
    </row>
    <row r="4121" spans="2:24" x14ac:dyDescent="0.25">
      <c r="B4121" s="22"/>
      <c r="C4121" s="21"/>
      <c r="W4121" s="22"/>
      <c r="X4121" s="22"/>
    </row>
    <row r="4122" spans="2:24" x14ac:dyDescent="0.25">
      <c r="B4122" s="22"/>
      <c r="C4122" s="21"/>
      <c r="W4122" s="22"/>
      <c r="X4122" s="22"/>
    </row>
    <row r="4123" spans="2:24" x14ac:dyDescent="0.25">
      <c r="B4123" s="22"/>
      <c r="C4123" s="21"/>
      <c r="W4123" s="22"/>
      <c r="X4123" s="22"/>
    </row>
    <row r="4124" spans="2:24" x14ac:dyDescent="0.25">
      <c r="B4124" s="22"/>
      <c r="C4124" s="21"/>
      <c r="W4124" s="22"/>
      <c r="X4124" s="22"/>
    </row>
    <row r="4125" spans="2:24" x14ac:dyDescent="0.25">
      <c r="B4125" s="22"/>
      <c r="C4125" s="21"/>
      <c r="W4125" s="22"/>
      <c r="X4125" s="22"/>
    </row>
    <row r="4126" spans="2:24" x14ac:dyDescent="0.25">
      <c r="B4126" s="22"/>
      <c r="C4126" s="21"/>
      <c r="W4126" s="22"/>
      <c r="X4126" s="22"/>
    </row>
    <row r="4127" spans="2:24" x14ac:dyDescent="0.25">
      <c r="B4127" s="22"/>
      <c r="C4127" s="21"/>
      <c r="W4127" s="22"/>
      <c r="X4127" s="22"/>
    </row>
    <row r="4128" spans="2:24" x14ac:dyDescent="0.25">
      <c r="B4128" s="22"/>
      <c r="C4128" s="21"/>
      <c r="W4128" s="22"/>
      <c r="X4128" s="22"/>
    </row>
    <row r="4129" spans="2:24" x14ac:dyDescent="0.25">
      <c r="B4129" s="22"/>
      <c r="C4129" s="21"/>
      <c r="W4129" s="22"/>
      <c r="X4129" s="22"/>
    </row>
    <row r="4130" spans="2:24" x14ac:dyDescent="0.25">
      <c r="B4130" s="22"/>
      <c r="C4130" s="21"/>
      <c r="W4130" s="22"/>
      <c r="X4130" s="22"/>
    </row>
    <row r="4131" spans="2:24" x14ac:dyDescent="0.25">
      <c r="B4131" s="22"/>
      <c r="C4131" s="21"/>
      <c r="W4131" s="22"/>
      <c r="X4131" s="22"/>
    </row>
    <row r="4132" spans="2:24" x14ac:dyDescent="0.25">
      <c r="B4132" s="22"/>
      <c r="C4132" s="21"/>
      <c r="W4132" s="22"/>
      <c r="X4132" s="22"/>
    </row>
    <row r="4133" spans="2:24" x14ac:dyDescent="0.25">
      <c r="B4133" s="22"/>
      <c r="C4133" s="21"/>
      <c r="W4133" s="22"/>
      <c r="X4133" s="22"/>
    </row>
    <row r="4134" spans="2:24" x14ac:dyDescent="0.25">
      <c r="B4134" s="22"/>
      <c r="C4134" s="21"/>
      <c r="W4134" s="22"/>
      <c r="X4134" s="22"/>
    </row>
    <row r="4135" spans="2:24" x14ac:dyDescent="0.25">
      <c r="B4135" s="22"/>
      <c r="C4135" s="21"/>
      <c r="W4135" s="22"/>
      <c r="X4135" s="22"/>
    </row>
    <row r="4136" spans="2:24" x14ac:dyDescent="0.25">
      <c r="B4136" s="22"/>
      <c r="C4136" s="21"/>
      <c r="W4136" s="22"/>
      <c r="X4136" s="22"/>
    </row>
    <row r="4137" spans="2:24" x14ac:dyDescent="0.25">
      <c r="B4137" s="22"/>
      <c r="C4137" s="21"/>
      <c r="W4137" s="22"/>
      <c r="X4137" s="22"/>
    </row>
    <row r="4138" spans="2:24" x14ac:dyDescent="0.25">
      <c r="B4138" s="22"/>
      <c r="C4138" s="21"/>
      <c r="W4138" s="22"/>
      <c r="X4138" s="22"/>
    </row>
    <row r="4139" spans="2:24" x14ac:dyDescent="0.25">
      <c r="B4139" s="22"/>
      <c r="C4139" s="21"/>
      <c r="W4139" s="22"/>
      <c r="X4139" s="22"/>
    </row>
    <row r="4140" spans="2:24" x14ac:dyDescent="0.25">
      <c r="B4140" s="22"/>
      <c r="C4140" s="21"/>
      <c r="W4140" s="22"/>
      <c r="X4140" s="22"/>
    </row>
    <row r="4141" spans="2:24" x14ac:dyDescent="0.25">
      <c r="B4141" s="22"/>
      <c r="C4141" s="21"/>
      <c r="W4141" s="22"/>
      <c r="X4141" s="22"/>
    </row>
    <row r="4142" spans="2:24" x14ac:dyDescent="0.25">
      <c r="B4142" s="22"/>
      <c r="C4142" s="21"/>
      <c r="W4142" s="22"/>
      <c r="X4142" s="22"/>
    </row>
    <row r="4143" spans="2:24" x14ac:dyDescent="0.25">
      <c r="B4143" s="22"/>
      <c r="C4143" s="21"/>
      <c r="W4143" s="22"/>
      <c r="X4143" s="22"/>
    </row>
    <row r="4144" spans="2:24" x14ac:dyDescent="0.25">
      <c r="B4144" s="22"/>
      <c r="C4144" s="21"/>
      <c r="W4144" s="22"/>
      <c r="X4144" s="22"/>
    </row>
    <row r="4145" spans="2:24" x14ac:dyDescent="0.25">
      <c r="B4145" s="22"/>
      <c r="C4145" s="21"/>
      <c r="W4145" s="22"/>
      <c r="X4145" s="22"/>
    </row>
    <row r="4146" spans="2:24" x14ac:dyDescent="0.25">
      <c r="B4146" s="22"/>
      <c r="C4146" s="21"/>
      <c r="W4146" s="22"/>
      <c r="X4146" s="22"/>
    </row>
    <row r="4147" spans="2:24" x14ac:dyDescent="0.25">
      <c r="B4147" s="22"/>
      <c r="C4147" s="21"/>
      <c r="W4147" s="22"/>
      <c r="X4147" s="22"/>
    </row>
    <row r="4148" spans="2:24" x14ac:dyDescent="0.25">
      <c r="B4148" s="22"/>
      <c r="C4148" s="21"/>
      <c r="W4148" s="22"/>
      <c r="X4148" s="22"/>
    </row>
    <row r="4149" spans="2:24" x14ac:dyDescent="0.25">
      <c r="B4149" s="22"/>
      <c r="C4149" s="21"/>
      <c r="W4149" s="22"/>
      <c r="X4149" s="22"/>
    </row>
    <row r="4150" spans="2:24" x14ac:dyDescent="0.25">
      <c r="B4150" s="22"/>
      <c r="C4150" s="21"/>
      <c r="W4150" s="22"/>
      <c r="X4150" s="22"/>
    </row>
    <row r="4151" spans="2:24" x14ac:dyDescent="0.25">
      <c r="B4151" s="22"/>
      <c r="C4151" s="21"/>
      <c r="W4151" s="22"/>
      <c r="X4151" s="22"/>
    </row>
    <row r="4152" spans="2:24" x14ac:dyDescent="0.25">
      <c r="B4152" s="22"/>
      <c r="C4152" s="21"/>
      <c r="W4152" s="22"/>
      <c r="X4152" s="22"/>
    </row>
    <row r="4153" spans="2:24" x14ac:dyDescent="0.25">
      <c r="B4153" s="22"/>
      <c r="C4153" s="21"/>
      <c r="W4153" s="22"/>
      <c r="X4153" s="22"/>
    </row>
    <row r="4154" spans="2:24" x14ac:dyDescent="0.25">
      <c r="B4154" s="22"/>
      <c r="C4154" s="21"/>
      <c r="W4154" s="22"/>
      <c r="X4154" s="22"/>
    </row>
    <row r="4155" spans="2:24" x14ac:dyDescent="0.25">
      <c r="B4155" s="22"/>
      <c r="C4155" s="21"/>
      <c r="W4155" s="22"/>
      <c r="X4155" s="22"/>
    </row>
    <row r="4156" spans="2:24" x14ac:dyDescent="0.25">
      <c r="B4156" s="22"/>
      <c r="C4156" s="21"/>
      <c r="W4156" s="22"/>
      <c r="X4156" s="22"/>
    </row>
    <row r="4157" spans="2:24" x14ac:dyDescent="0.25">
      <c r="B4157" s="22"/>
      <c r="C4157" s="21"/>
      <c r="W4157" s="22"/>
      <c r="X4157" s="22"/>
    </row>
    <row r="4158" spans="2:24" x14ac:dyDescent="0.25">
      <c r="B4158" s="22"/>
      <c r="C4158" s="21"/>
      <c r="W4158" s="22"/>
      <c r="X4158" s="22"/>
    </row>
    <row r="4159" spans="2:24" x14ac:dyDescent="0.25">
      <c r="B4159" s="22"/>
      <c r="C4159" s="21"/>
      <c r="W4159" s="22"/>
      <c r="X4159" s="22"/>
    </row>
    <row r="4160" spans="2:24" x14ac:dyDescent="0.25">
      <c r="B4160" s="22"/>
      <c r="C4160" s="21"/>
      <c r="W4160" s="22"/>
      <c r="X4160" s="22"/>
    </row>
    <row r="4161" spans="2:3" x14ac:dyDescent="0.25">
      <c r="B4161" s="22"/>
      <c r="C4161" s="21"/>
    </row>
    <row r="4162" spans="2:3" x14ac:dyDescent="0.25">
      <c r="B4162" s="22"/>
      <c r="C4162" s="21"/>
    </row>
    <row r="4163" spans="2:3" x14ac:dyDescent="0.25">
      <c r="B4163" s="22"/>
      <c r="C4163" s="21"/>
    </row>
    <row r="4164" spans="2:3" x14ac:dyDescent="0.25">
      <c r="B4164" s="22"/>
      <c r="C4164" s="21"/>
    </row>
    <row r="4165" spans="2:3" x14ac:dyDescent="0.25">
      <c r="B4165" s="22"/>
      <c r="C4165" s="21"/>
    </row>
    <row r="4166" spans="2:3" x14ac:dyDescent="0.25">
      <c r="B4166" s="22"/>
      <c r="C4166" s="21"/>
    </row>
    <row r="4167" spans="2:3" x14ac:dyDescent="0.25">
      <c r="B4167" s="22"/>
      <c r="C4167" s="21"/>
    </row>
    <row r="4168" spans="2:3" x14ac:dyDescent="0.25">
      <c r="B4168" s="22"/>
      <c r="C4168" s="21"/>
    </row>
    <row r="4169" spans="2:3" x14ac:dyDescent="0.25">
      <c r="B4169" s="22"/>
      <c r="C4169" s="21"/>
    </row>
    <row r="4170" spans="2:3" x14ac:dyDescent="0.25">
      <c r="B4170" s="22"/>
      <c r="C4170" s="21"/>
    </row>
    <row r="4171" spans="2:3" x14ac:dyDescent="0.25">
      <c r="B4171" s="22"/>
      <c r="C4171" s="21"/>
    </row>
    <row r="4172" spans="2:3" x14ac:dyDescent="0.25">
      <c r="B4172" s="22"/>
      <c r="C4172" s="21"/>
    </row>
    <row r="4173" spans="2:3" x14ac:dyDescent="0.25">
      <c r="B4173" s="22"/>
      <c r="C4173" s="21"/>
    </row>
    <row r="4174" spans="2:3" x14ac:dyDescent="0.25">
      <c r="B4174" s="22"/>
      <c r="C4174" s="21"/>
    </row>
    <row r="4175" spans="2:3" x14ac:dyDescent="0.25">
      <c r="B4175" s="22"/>
      <c r="C4175" s="21"/>
    </row>
    <row r="4176" spans="2:3" x14ac:dyDescent="0.25">
      <c r="B4176" s="22"/>
      <c r="C4176" s="21"/>
    </row>
    <row r="4177" spans="2:24" x14ac:dyDescent="0.25">
      <c r="B4177" s="22"/>
      <c r="C4177" s="21"/>
    </row>
    <row r="4178" spans="2:24" x14ac:dyDescent="0.25">
      <c r="B4178" s="22"/>
      <c r="C4178" s="21"/>
    </row>
    <row r="4179" spans="2:24" x14ac:dyDescent="0.25">
      <c r="B4179" s="22"/>
      <c r="C4179" s="21"/>
    </row>
    <row r="4180" spans="2:24" x14ac:dyDescent="0.25">
      <c r="B4180" s="22"/>
      <c r="C4180" s="21"/>
    </row>
    <row r="4181" spans="2:24" x14ac:dyDescent="0.25">
      <c r="B4181" s="22"/>
      <c r="C4181" s="21"/>
    </row>
    <row r="4182" spans="2:24" x14ac:dyDescent="0.25">
      <c r="B4182" s="22"/>
      <c r="C4182" s="21"/>
    </row>
    <row r="4183" spans="2:24" x14ac:dyDescent="0.25">
      <c r="B4183" s="22"/>
      <c r="C4183" s="21"/>
    </row>
    <row r="4184" spans="2:24" x14ac:dyDescent="0.25">
      <c r="B4184" s="22"/>
      <c r="C4184" s="21"/>
      <c r="W4184" s="22"/>
      <c r="X4184" s="22"/>
    </row>
    <row r="4185" spans="2:24" x14ac:dyDescent="0.25">
      <c r="B4185" s="22"/>
      <c r="C4185" s="21"/>
    </row>
    <row r="4186" spans="2:24" x14ac:dyDescent="0.25">
      <c r="B4186" s="22"/>
      <c r="C4186" s="21"/>
    </row>
    <row r="4187" spans="2:24" x14ac:dyDescent="0.25">
      <c r="B4187" s="22"/>
      <c r="C4187" s="21"/>
    </row>
    <row r="4188" spans="2:24" x14ac:dyDescent="0.25">
      <c r="B4188" s="22"/>
      <c r="C4188" s="21"/>
    </row>
    <row r="4189" spans="2:24" x14ac:dyDescent="0.25">
      <c r="B4189" s="22"/>
      <c r="C4189" s="21"/>
      <c r="W4189" s="22"/>
      <c r="X4189" s="22"/>
    </row>
    <row r="4190" spans="2:24" x14ac:dyDescent="0.25">
      <c r="B4190" s="22"/>
      <c r="C4190" s="21"/>
      <c r="W4190" s="22"/>
      <c r="X4190" s="22"/>
    </row>
    <row r="4191" spans="2:24" x14ac:dyDescent="0.25">
      <c r="B4191" s="22"/>
      <c r="C4191" s="21"/>
      <c r="W4191" s="22"/>
      <c r="X4191" s="22"/>
    </row>
    <row r="4192" spans="2:24" x14ac:dyDescent="0.25">
      <c r="B4192" s="22"/>
      <c r="C4192" s="21"/>
      <c r="W4192" s="22"/>
      <c r="X4192" s="22"/>
    </row>
    <row r="4193" spans="2:24" x14ac:dyDescent="0.25">
      <c r="B4193" s="22"/>
      <c r="C4193" s="21"/>
      <c r="W4193" s="22"/>
      <c r="X4193" s="22"/>
    </row>
    <row r="4194" spans="2:24" x14ac:dyDescent="0.25">
      <c r="B4194" s="22"/>
      <c r="C4194" s="21"/>
      <c r="W4194" s="22"/>
      <c r="X4194" s="22"/>
    </row>
    <row r="4195" spans="2:24" x14ac:dyDescent="0.25">
      <c r="B4195" s="22"/>
      <c r="C4195" s="21"/>
      <c r="W4195" s="22"/>
      <c r="X4195" s="22"/>
    </row>
    <row r="4196" spans="2:24" x14ac:dyDescent="0.25">
      <c r="B4196" s="22"/>
      <c r="C4196" s="21"/>
      <c r="W4196" s="22"/>
      <c r="X4196" s="22"/>
    </row>
    <row r="4197" spans="2:24" x14ac:dyDescent="0.25">
      <c r="B4197" s="22"/>
      <c r="C4197" s="21"/>
      <c r="W4197" s="22"/>
      <c r="X4197" s="22"/>
    </row>
    <row r="4198" spans="2:24" x14ac:dyDescent="0.25">
      <c r="B4198" s="22"/>
      <c r="C4198" s="21"/>
      <c r="W4198" s="22"/>
      <c r="X4198" s="22"/>
    </row>
    <row r="4199" spans="2:24" x14ac:dyDescent="0.25">
      <c r="B4199" s="22"/>
      <c r="C4199" s="21"/>
      <c r="W4199" s="22"/>
      <c r="X4199" s="22"/>
    </row>
    <row r="4200" spans="2:24" x14ac:dyDescent="0.25">
      <c r="B4200" s="22"/>
      <c r="C4200" s="21"/>
      <c r="W4200" s="22"/>
      <c r="X4200" s="22"/>
    </row>
    <row r="4201" spans="2:24" x14ac:dyDescent="0.25">
      <c r="B4201" s="22"/>
      <c r="C4201" s="21"/>
      <c r="W4201" s="22"/>
      <c r="X4201" s="22"/>
    </row>
    <row r="4202" spans="2:24" x14ac:dyDescent="0.25">
      <c r="B4202" s="22"/>
      <c r="C4202" s="21"/>
      <c r="W4202" s="22"/>
      <c r="X4202" s="22"/>
    </row>
    <row r="4203" spans="2:24" x14ac:dyDescent="0.25">
      <c r="B4203" s="22"/>
      <c r="C4203" s="21"/>
      <c r="W4203" s="22"/>
      <c r="X4203" s="22"/>
    </row>
    <row r="4204" spans="2:24" x14ac:dyDescent="0.25">
      <c r="B4204" s="22"/>
      <c r="C4204" s="21"/>
      <c r="W4204" s="22"/>
      <c r="X4204" s="22"/>
    </row>
    <row r="4205" spans="2:24" x14ac:dyDescent="0.25">
      <c r="B4205" s="22"/>
      <c r="C4205" s="21"/>
      <c r="W4205" s="22"/>
      <c r="X4205" s="22"/>
    </row>
    <row r="4206" spans="2:24" x14ac:dyDescent="0.25">
      <c r="B4206" s="22"/>
      <c r="C4206" s="21"/>
      <c r="W4206" s="22"/>
      <c r="X4206" s="22"/>
    </row>
    <row r="4207" spans="2:24" x14ac:dyDescent="0.25">
      <c r="B4207" s="22"/>
      <c r="C4207" s="21"/>
      <c r="W4207" s="22"/>
      <c r="X4207" s="22"/>
    </row>
    <row r="4208" spans="2:24" x14ac:dyDescent="0.25">
      <c r="B4208" s="22"/>
      <c r="C4208" s="21"/>
      <c r="W4208" s="22"/>
      <c r="X4208" s="22"/>
    </row>
    <row r="4209" spans="2:24" x14ac:dyDescent="0.25">
      <c r="B4209" s="22"/>
      <c r="C4209" s="21"/>
      <c r="W4209" s="22"/>
      <c r="X4209" s="22"/>
    </row>
    <row r="4210" spans="2:24" x14ac:dyDescent="0.25">
      <c r="B4210" s="22"/>
      <c r="C4210" s="21"/>
      <c r="W4210" s="22"/>
      <c r="X4210" s="22"/>
    </row>
    <row r="4211" spans="2:24" x14ac:dyDescent="0.25">
      <c r="B4211" s="22"/>
      <c r="C4211" s="21"/>
      <c r="W4211" s="22"/>
      <c r="X4211" s="22"/>
    </row>
    <row r="4212" spans="2:24" x14ac:dyDescent="0.25">
      <c r="B4212" s="22"/>
      <c r="C4212" s="21"/>
      <c r="W4212" s="22"/>
      <c r="X4212" s="22"/>
    </row>
    <row r="4213" spans="2:24" x14ac:dyDescent="0.25">
      <c r="B4213" s="22"/>
      <c r="C4213" s="21"/>
      <c r="W4213" s="22"/>
      <c r="X4213" s="22"/>
    </row>
    <row r="4214" spans="2:24" x14ac:dyDescent="0.25">
      <c r="B4214" s="22"/>
      <c r="C4214" s="21"/>
      <c r="W4214" s="22"/>
      <c r="X4214" s="22"/>
    </row>
    <row r="4215" spans="2:24" x14ac:dyDescent="0.25">
      <c r="B4215" s="22"/>
      <c r="C4215" s="21"/>
      <c r="W4215" s="22"/>
      <c r="X4215" s="22"/>
    </row>
    <row r="4216" spans="2:24" x14ac:dyDescent="0.25">
      <c r="B4216" s="22"/>
      <c r="C4216" s="21"/>
      <c r="W4216" s="22"/>
      <c r="X4216" s="22"/>
    </row>
    <row r="4217" spans="2:24" x14ac:dyDescent="0.25">
      <c r="B4217" s="22"/>
      <c r="C4217" s="21"/>
      <c r="W4217" s="22"/>
      <c r="X4217" s="22"/>
    </row>
    <row r="4218" spans="2:24" x14ac:dyDescent="0.25">
      <c r="B4218" s="22"/>
      <c r="C4218" s="21"/>
      <c r="W4218" s="22"/>
      <c r="X4218" s="22"/>
    </row>
    <row r="4219" spans="2:24" x14ac:dyDescent="0.25">
      <c r="B4219" s="22"/>
      <c r="C4219" s="21"/>
      <c r="W4219" s="22"/>
      <c r="X4219" s="22"/>
    </row>
    <row r="4220" spans="2:24" x14ac:dyDescent="0.25">
      <c r="B4220" s="22"/>
      <c r="C4220" s="21"/>
      <c r="W4220" s="22"/>
    </row>
    <row r="4221" spans="2:24" x14ac:dyDescent="0.25">
      <c r="B4221" s="22"/>
      <c r="C4221" s="21"/>
      <c r="W4221" s="22"/>
      <c r="X4221" s="22"/>
    </row>
    <row r="4222" spans="2:24" x14ac:dyDescent="0.25">
      <c r="B4222" s="22"/>
      <c r="C4222" s="21"/>
      <c r="W4222" s="22"/>
      <c r="X4222" s="22"/>
    </row>
    <row r="4223" spans="2:24" x14ac:dyDescent="0.25">
      <c r="B4223" s="22"/>
      <c r="C4223" s="21"/>
      <c r="W4223" s="22"/>
      <c r="X4223" s="22"/>
    </row>
    <row r="4224" spans="2:24" x14ac:dyDescent="0.25">
      <c r="B4224" s="22"/>
      <c r="C4224" s="21"/>
      <c r="W4224" s="22"/>
      <c r="X4224" s="22"/>
    </row>
    <row r="4225" spans="2:24" x14ac:dyDescent="0.25">
      <c r="B4225" s="22"/>
      <c r="C4225" s="21"/>
      <c r="W4225" s="22"/>
      <c r="X4225" s="22"/>
    </row>
    <row r="4226" spans="2:24" x14ac:dyDescent="0.25">
      <c r="B4226" s="22"/>
      <c r="C4226" s="21"/>
      <c r="W4226" s="22"/>
      <c r="X4226" s="22"/>
    </row>
    <row r="4227" spans="2:24" x14ac:dyDescent="0.25">
      <c r="B4227" s="22"/>
      <c r="C4227" s="21"/>
      <c r="W4227" s="22"/>
    </row>
    <row r="4228" spans="2:24" x14ac:dyDescent="0.25">
      <c r="B4228" s="22"/>
      <c r="C4228" s="21"/>
      <c r="W4228" s="22"/>
      <c r="X4228" s="22"/>
    </row>
    <row r="4229" spans="2:24" x14ac:dyDescent="0.25">
      <c r="B4229" s="22"/>
      <c r="C4229" s="21"/>
      <c r="W4229" s="22"/>
      <c r="X4229" s="22"/>
    </row>
    <row r="4230" spans="2:24" x14ac:dyDescent="0.25">
      <c r="B4230" s="22"/>
      <c r="C4230" s="21"/>
      <c r="W4230" s="22"/>
      <c r="X4230" s="22"/>
    </row>
    <row r="4231" spans="2:24" x14ac:dyDescent="0.25">
      <c r="B4231" s="22"/>
      <c r="C4231" s="21"/>
      <c r="W4231" s="22"/>
      <c r="X4231" s="22"/>
    </row>
    <row r="4232" spans="2:24" x14ac:dyDescent="0.25">
      <c r="B4232" s="22"/>
      <c r="C4232" s="21"/>
      <c r="W4232" s="22"/>
      <c r="X4232" s="22"/>
    </row>
    <row r="4233" spans="2:24" x14ac:dyDescent="0.25">
      <c r="B4233" s="22"/>
      <c r="C4233" s="21"/>
      <c r="W4233" s="22"/>
      <c r="X4233" s="22"/>
    </row>
    <row r="4234" spans="2:24" x14ac:dyDescent="0.25">
      <c r="B4234" s="22"/>
      <c r="C4234" s="21"/>
      <c r="W4234" s="22"/>
      <c r="X4234" s="22"/>
    </row>
    <row r="4235" spans="2:24" x14ac:dyDescent="0.25">
      <c r="B4235" s="22"/>
      <c r="C4235" s="21"/>
      <c r="W4235" s="22"/>
      <c r="X4235" s="22"/>
    </row>
    <row r="4236" spans="2:24" x14ac:dyDescent="0.25">
      <c r="B4236" s="22"/>
      <c r="C4236" s="21"/>
      <c r="W4236" s="22"/>
      <c r="X4236" s="22"/>
    </row>
    <row r="4237" spans="2:24" x14ac:dyDescent="0.25">
      <c r="B4237" s="22"/>
      <c r="C4237" s="21"/>
      <c r="W4237" s="22"/>
      <c r="X4237" s="22"/>
    </row>
    <row r="4238" spans="2:24" x14ac:dyDescent="0.25">
      <c r="B4238" s="22"/>
      <c r="C4238" s="21"/>
      <c r="W4238" s="22"/>
      <c r="X4238" s="22"/>
    </row>
    <row r="4239" spans="2:24" x14ac:dyDescent="0.25">
      <c r="B4239" s="22"/>
      <c r="C4239" s="21"/>
      <c r="W4239" s="22"/>
      <c r="X4239" s="22"/>
    </row>
    <row r="4240" spans="2:24" x14ac:dyDescent="0.25">
      <c r="B4240" s="22"/>
      <c r="C4240" s="21"/>
      <c r="W4240" s="22"/>
      <c r="X4240" s="22"/>
    </row>
    <row r="4241" spans="2:24" x14ac:dyDescent="0.25">
      <c r="B4241" s="22"/>
      <c r="C4241" s="21"/>
      <c r="W4241" s="22"/>
      <c r="X4241" s="22"/>
    </row>
    <row r="4242" spans="2:24" x14ac:dyDescent="0.25">
      <c r="B4242" s="22"/>
      <c r="C4242" s="21"/>
      <c r="W4242" s="22"/>
      <c r="X4242" s="22"/>
    </row>
    <row r="4243" spans="2:24" x14ac:dyDescent="0.25">
      <c r="B4243" s="22"/>
      <c r="C4243" s="21"/>
      <c r="W4243" s="22"/>
      <c r="X4243" s="22"/>
    </row>
    <row r="4244" spans="2:24" x14ac:dyDescent="0.25">
      <c r="B4244" s="22"/>
      <c r="C4244" s="21"/>
      <c r="W4244" s="22"/>
      <c r="X4244" s="22"/>
    </row>
    <row r="4245" spans="2:24" x14ac:dyDescent="0.25">
      <c r="B4245" s="22"/>
      <c r="C4245" s="21"/>
      <c r="W4245" s="22"/>
      <c r="X4245" s="22"/>
    </row>
    <row r="4246" spans="2:24" x14ac:dyDescent="0.25">
      <c r="B4246" s="22"/>
      <c r="C4246" s="21"/>
      <c r="W4246" s="22"/>
      <c r="X4246" s="22"/>
    </row>
    <row r="4247" spans="2:24" x14ac:dyDescent="0.25">
      <c r="B4247" s="22"/>
      <c r="C4247" s="21"/>
      <c r="W4247" s="22"/>
      <c r="X4247" s="22"/>
    </row>
    <row r="4248" spans="2:24" x14ac:dyDescent="0.25">
      <c r="B4248" s="22"/>
      <c r="C4248" s="21"/>
      <c r="W4248" s="22"/>
      <c r="X4248" s="22"/>
    </row>
    <row r="4249" spans="2:24" x14ac:dyDescent="0.25">
      <c r="B4249" s="22"/>
      <c r="C4249" s="21"/>
      <c r="W4249" s="22"/>
      <c r="X4249" s="22"/>
    </row>
    <row r="4250" spans="2:24" x14ac:dyDescent="0.25">
      <c r="B4250" s="22"/>
      <c r="C4250" s="21"/>
      <c r="W4250" s="22"/>
      <c r="X4250" s="22"/>
    </row>
    <row r="4251" spans="2:24" x14ac:dyDescent="0.25">
      <c r="B4251" s="22"/>
      <c r="C4251" s="21"/>
      <c r="W4251" s="22"/>
      <c r="X4251" s="22"/>
    </row>
    <row r="4252" spans="2:24" x14ac:dyDescent="0.25">
      <c r="B4252" s="22"/>
      <c r="C4252" s="21"/>
      <c r="W4252" s="22"/>
      <c r="X4252" s="22"/>
    </row>
    <row r="4253" spans="2:24" x14ac:dyDescent="0.25">
      <c r="B4253" s="22"/>
      <c r="C4253" s="21"/>
      <c r="W4253" s="22"/>
      <c r="X4253" s="22"/>
    </row>
    <row r="4254" spans="2:24" x14ac:dyDescent="0.25">
      <c r="B4254" s="22"/>
      <c r="C4254" s="21"/>
      <c r="W4254" s="22"/>
      <c r="X4254" s="22"/>
    </row>
    <row r="4255" spans="2:24" x14ac:dyDescent="0.25">
      <c r="B4255" s="22"/>
      <c r="C4255" s="21"/>
      <c r="W4255" s="22"/>
      <c r="X4255" s="22"/>
    </row>
    <row r="4256" spans="2:24" x14ac:dyDescent="0.25">
      <c r="B4256" s="22"/>
      <c r="C4256" s="21"/>
      <c r="W4256" s="22"/>
      <c r="X4256" s="22"/>
    </row>
    <row r="4257" spans="2:24" x14ac:dyDescent="0.25">
      <c r="B4257" s="22"/>
      <c r="C4257" s="21"/>
      <c r="W4257" s="22"/>
      <c r="X4257" s="22"/>
    </row>
    <row r="4258" spans="2:24" x14ac:dyDescent="0.25">
      <c r="B4258" s="22"/>
      <c r="C4258" s="21"/>
      <c r="W4258" s="22"/>
      <c r="X4258" s="22"/>
    </row>
    <row r="4259" spans="2:24" x14ac:dyDescent="0.25">
      <c r="B4259" s="22"/>
      <c r="C4259" s="21"/>
      <c r="W4259" s="22"/>
      <c r="X4259" s="22"/>
    </row>
    <row r="4260" spans="2:24" x14ac:dyDescent="0.25">
      <c r="B4260" s="22"/>
      <c r="C4260" s="21"/>
      <c r="W4260" s="22"/>
      <c r="X4260" s="22"/>
    </row>
    <row r="4261" spans="2:24" x14ac:dyDescent="0.25">
      <c r="B4261" s="22"/>
      <c r="C4261" s="21"/>
      <c r="W4261" s="22"/>
      <c r="X4261" s="22"/>
    </row>
    <row r="4262" spans="2:24" x14ac:dyDescent="0.25">
      <c r="B4262" s="22"/>
      <c r="C4262" s="21"/>
      <c r="W4262" s="22"/>
      <c r="X4262" s="22"/>
    </row>
    <row r="4263" spans="2:24" x14ac:dyDescent="0.25">
      <c r="B4263" s="22"/>
      <c r="C4263" s="21"/>
      <c r="W4263" s="22"/>
      <c r="X4263" s="22"/>
    </row>
    <row r="4264" spans="2:24" x14ac:dyDescent="0.25">
      <c r="B4264" s="22"/>
      <c r="C4264" s="21"/>
      <c r="W4264" s="22"/>
      <c r="X4264" s="22"/>
    </row>
    <row r="4265" spans="2:24" x14ac:dyDescent="0.25">
      <c r="B4265" s="22"/>
      <c r="C4265" s="21"/>
      <c r="W4265" s="22"/>
      <c r="X4265" s="22"/>
    </row>
    <row r="4266" spans="2:24" x14ac:dyDescent="0.25">
      <c r="B4266" s="22"/>
      <c r="C4266" s="21"/>
      <c r="W4266" s="22"/>
      <c r="X4266" s="22"/>
    </row>
    <row r="4267" spans="2:24" x14ac:dyDescent="0.25">
      <c r="B4267" s="22"/>
      <c r="C4267" s="21"/>
      <c r="W4267" s="22"/>
      <c r="X4267" s="22"/>
    </row>
    <row r="4268" spans="2:24" x14ac:dyDescent="0.25">
      <c r="B4268" s="22"/>
      <c r="C4268" s="21"/>
      <c r="W4268" s="22"/>
      <c r="X4268" s="22"/>
    </row>
    <row r="4269" spans="2:24" x14ac:dyDescent="0.25">
      <c r="B4269" s="22"/>
      <c r="C4269" s="21"/>
      <c r="W4269" s="22"/>
      <c r="X4269" s="22"/>
    </row>
    <row r="4270" spans="2:24" x14ac:dyDescent="0.25">
      <c r="B4270" s="22"/>
      <c r="C4270" s="21"/>
      <c r="W4270" s="22"/>
      <c r="X4270" s="22"/>
    </row>
    <row r="4271" spans="2:24" x14ac:dyDescent="0.25">
      <c r="B4271" s="22"/>
      <c r="C4271" s="21"/>
      <c r="W4271" s="22"/>
      <c r="X4271" s="22"/>
    </row>
    <row r="4272" spans="2:24" x14ac:dyDescent="0.25">
      <c r="B4272" s="22"/>
      <c r="C4272" s="21"/>
      <c r="W4272" s="22"/>
      <c r="X4272" s="22"/>
    </row>
    <row r="4273" spans="2:24" x14ac:dyDescent="0.25">
      <c r="B4273" s="22"/>
      <c r="C4273" s="21"/>
      <c r="W4273" s="22"/>
      <c r="X4273" s="22"/>
    </row>
    <row r="4274" spans="2:24" x14ac:dyDescent="0.25">
      <c r="B4274" s="22"/>
      <c r="C4274" s="21"/>
      <c r="W4274" s="22"/>
      <c r="X4274" s="22"/>
    </row>
    <row r="4275" spans="2:24" x14ac:dyDescent="0.25">
      <c r="B4275" s="22"/>
      <c r="C4275" s="21"/>
      <c r="W4275" s="22"/>
      <c r="X4275" s="22"/>
    </row>
    <row r="4276" spans="2:24" x14ac:dyDescent="0.25">
      <c r="B4276" s="22"/>
      <c r="C4276" s="21"/>
      <c r="W4276" s="22"/>
      <c r="X4276" s="22"/>
    </row>
    <row r="4277" spans="2:24" x14ac:dyDescent="0.25">
      <c r="B4277" s="22"/>
      <c r="C4277" s="21"/>
      <c r="W4277" s="22"/>
      <c r="X4277" s="22"/>
    </row>
    <row r="4278" spans="2:24" x14ac:dyDescent="0.25">
      <c r="B4278" s="22"/>
      <c r="C4278" s="21"/>
      <c r="W4278" s="22"/>
      <c r="X4278" s="22"/>
    </row>
    <row r="4279" spans="2:24" x14ac:dyDescent="0.25">
      <c r="B4279" s="22"/>
      <c r="C4279" s="21"/>
      <c r="W4279" s="22"/>
      <c r="X4279" s="22"/>
    </row>
    <row r="4280" spans="2:24" x14ac:dyDescent="0.25">
      <c r="B4280" s="22"/>
      <c r="C4280" s="21"/>
      <c r="W4280" s="22"/>
      <c r="X4280" s="22"/>
    </row>
    <row r="4281" spans="2:24" x14ac:dyDescent="0.25">
      <c r="B4281" s="22"/>
      <c r="C4281" s="21"/>
      <c r="W4281" s="22"/>
      <c r="X4281" s="22"/>
    </row>
    <row r="4282" spans="2:24" x14ac:dyDescent="0.25">
      <c r="B4282" s="22"/>
      <c r="C4282" s="21"/>
      <c r="W4282" s="22"/>
      <c r="X4282" s="22"/>
    </row>
    <row r="4283" spans="2:24" x14ac:dyDescent="0.25">
      <c r="B4283" s="22"/>
      <c r="C4283" s="21"/>
      <c r="W4283" s="22"/>
      <c r="X4283" s="22"/>
    </row>
    <row r="4284" spans="2:24" x14ac:dyDescent="0.25">
      <c r="B4284" s="22"/>
      <c r="C4284" s="21"/>
      <c r="W4284" s="22"/>
      <c r="X4284" s="22"/>
    </row>
    <row r="4285" spans="2:24" x14ac:dyDescent="0.25">
      <c r="B4285" s="22"/>
      <c r="C4285" s="21"/>
      <c r="W4285" s="22"/>
      <c r="X4285" s="22"/>
    </row>
    <row r="4286" spans="2:24" x14ac:dyDescent="0.25">
      <c r="B4286" s="22"/>
      <c r="C4286" s="21"/>
      <c r="W4286" s="22"/>
      <c r="X4286" s="22"/>
    </row>
    <row r="4287" spans="2:24" x14ac:dyDescent="0.25">
      <c r="B4287" s="22"/>
      <c r="C4287" s="21"/>
      <c r="W4287" s="22"/>
      <c r="X4287" s="22"/>
    </row>
    <row r="4288" spans="2:24" x14ac:dyDescent="0.25">
      <c r="B4288" s="22"/>
      <c r="C4288" s="21"/>
      <c r="W4288" s="22"/>
      <c r="X4288" s="22"/>
    </row>
    <row r="4289" spans="2:24" x14ac:dyDescent="0.25">
      <c r="B4289" s="22"/>
      <c r="C4289" s="21"/>
      <c r="W4289" s="22"/>
      <c r="X4289" s="22"/>
    </row>
    <row r="4290" spans="2:24" x14ac:dyDescent="0.25">
      <c r="B4290" s="22"/>
      <c r="C4290" s="21"/>
      <c r="W4290" s="22"/>
      <c r="X4290" s="22"/>
    </row>
    <row r="4291" spans="2:24" x14ac:dyDescent="0.25">
      <c r="B4291" s="22"/>
      <c r="C4291" s="21"/>
      <c r="W4291" s="22"/>
      <c r="X4291" s="22"/>
    </row>
    <row r="4292" spans="2:24" x14ac:dyDescent="0.25">
      <c r="B4292" s="22"/>
      <c r="C4292" s="21"/>
      <c r="W4292" s="22"/>
      <c r="X4292" s="22"/>
    </row>
    <row r="4293" spans="2:24" x14ac:dyDescent="0.25">
      <c r="B4293" s="22"/>
      <c r="C4293" s="21"/>
      <c r="W4293" s="22"/>
      <c r="X4293" s="22"/>
    </row>
    <row r="4294" spans="2:24" x14ac:dyDescent="0.25">
      <c r="B4294" s="22"/>
      <c r="C4294" s="21"/>
      <c r="W4294" s="22"/>
      <c r="X4294" s="22"/>
    </row>
    <row r="4295" spans="2:24" x14ac:dyDescent="0.25">
      <c r="B4295" s="22"/>
      <c r="C4295" s="21"/>
      <c r="W4295" s="22"/>
      <c r="X4295" s="22"/>
    </row>
    <row r="4296" spans="2:24" x14ac:dyDescent="0.25">
      <c r="B4296" s="22"/>
      <c r="C4296" s="21"/>
      <c r="W4296" s="22"/>
      <c r="X4296" s="22"/>
    </row>
    <row r="4297" spans="2:24" x14ac:dyDescent="0.25">
      <c r="B4297" s="22"/>
      <c r="C4297" s="21"/>
      <c r="W4297" s="22"/>
      <c r="X4297" s="22"/>
    </row>
    <row r="4298" spans="2:24" x14ac:dyDescent="0.25">
      <c r="B4298" s="22"/>
      <c r="C4298" s="21"/>
      <c r="W4298" s="22"/>
      <c r="X4298" s="22"/>
    </row>
    <row r="4299" spans="2:24" x14ac:dyDescent="0.25">
      <c r="B4299" s="22"/>
      <c r="C4299" s="21"/>
      <c r="W4299" s="22"/>
      <c r="X4299" s="22"/>
    </row>
    <row r="4300" spans="2:24" x14ac:dyDescent="0.25">
      <c r="B4300" s="22"/>
      <c r="C4300" s="21"/>
      <c r="W4300" s="22"/>
      <c r="X4300" s="22"/>
    </row>
    <row r="4301" spans="2:24" x14ac:dyDescent="0.25">
      <c r="B4301" s="22"/>
      <c r="C4301" s="21"/>
      <c r="W4301" s="22"/>
      <c r="X4301" s="22"/>
    </row>
    <row r="4302" spans="2:24" x14ac:dyDescent="0.25">
      <c r="B4302" s="22"/>
      <c r="C4302" s="21"/>
      <c r="W4302" s="22"/>
      <c r="X4302" s="22"/>
    </row>
    <row r="4303" spans="2:24" x14ac:dyDescent="0.25">
      <c r="B4303" s="22"/>
      <c r="C4303" s="21"/>
      <c r="W4303" s="22"/>
      <c r="X4303" s="22"/>
    </row>
    <row r="4304" spans="2:24" x14ac:dyDescent="0.25">
      <c r="B4304" s="22"/>
      <c r="C4304" s="21"/>
      <c r="W4304" s="22"/>
      <c r="X4304" s="22"/>
    </row>
    <row r="4305" spans="2:24" x14ac:dyDescent="0.25">
      <c r="B4305" s="22"/>
      <c r="C4305" s="21"/>
      <c r="W4305" s="22"/>
      <c r="X4305" s="22"/>
    </row>
    <row r="4306" spans="2:24" x14ac:dyDescent="0.25">
      <c r="B4306" s="22"/>
      <c r="C4306" s="21"/>
      <c r="W4306" s="22"/>
      <c r="X4306" s="22"/>
    </row>
    <row r="4307" spans="2:24" x14ac:dyDescent="0.25">
      <c r="B4307" s="22"/>
      <c r="C4307" s="21"/>
      <c r="W4307" s="22"/>
      <c r="X4307" s="22"/>
    </row>
    <row r="4308" spans="2:24" x14ac:dyDescent="0.25">
      <c r="B4308" s="22"/>
      <c r="C4308" s="21"/>
      <c r="W4308" s="22"/>
      <c r="X4308" s="22"/>
    </row>
    <row r="4309" spans="2:24" x14ac:dyDescent="0.25">
      <c r="B4309" s="22"/>
      <c r="C4309" s="21"/>
      <c r="W4309" s="22"/>
      <c r="X4309" s="22"/>
    </row>
    <row r="4310" spans="2:24" x14ac:dyDescent="0.25">
      <c r="B4310" s="22"/>
      <c r="C4310" s="21"/>
      <c r="W4310" s="22"/>
      <c r="X4310" s="22"/>
    </row>
    <row r="4311" spans="2:24" x14ac:dyDescent="0.25">
      <c r="B4311" s="22"/>
      <c r="C4311" s="21"/>
      <c r="W4311" s="22"/>
      <c r="X4311" s="22"/>
    </row>
    <row r="4312" spans="2:24" x14ac:dyDescent="0.25">
      <c r="B4312" s="22"/>
      <c r="C4312" s="21"/>
      <c r="W4312" s="22"/>
      <c r="X4312" s="22"/>
    </row>
    <row r="4313" spans="2:24" x14ac:dyDescent="0.25">
      <c r="B4313" s="22"/>
      <c r="C4313" s="21"/>
      <c r="W4313" s="22"/>
      <c r="X4313" s="22"/>
    </row>
    <row r="4314" spans="2:24" x14ac:dyDescent="0.25">
      <c r="B4314" s="22"/>
      <c r="C4314" s="21"/>
      <c r="W4314" s="22"/>
      <c r="X4314" s="22"/>
    </row>
    <row r="4315" spans="2:24" x14ac:dyDescent="0.25">
      <c r="B4315" s="22"/>
      <c r="C4315" s="21"/>
      <c r="W4315" s="22"/>
    </row>
    <row r="4316" spans="2:24" x14ac:dyDescent="0.25">
      <c r="B4316" s="22"/>
      <c r="C4316" s="21"/>
      <c r="W4316" s="22"/>
    </row>
    <row r="4317" spans="2:24" x14ac:dyDescent="0.25">
      <c r="B4317" s="22"/>
      <c r="C4317" s="21"/>
      <c r="W4317" s="22"/>
      <c r="X4317" s="22"/>
    </row>
    <row r="4318" spans="2:24" x14ac:dyDescent="0.25">
      <c r="B4318" s="22"/>
      <c r="C4318" s="21"/>
      <c r="W4318" s="22"/>
      <c r="X4318" s="22"/>
    </row>
    <row r="4319" spans="2:24" x14ac:dyDescent="0.25">
      <c r="B4319" s="22"/>
      <c r="C4319" s="21"/>
      <c r="W4319" s="22"/>
      <c r="X4319" s="22"/>
    </row>
    <row r="4320" spans="2:24" x14ac:dyDescent="0.25">
      <c r="B4320" s="22"/>
      <c r="C4320" s="21"/>
      <c r="W4320" s="22"/>
      <c r="X4320" s="22"/>
    </row>
    <row r="4321" spans="2:24" x14ac:dyDescent="0.25">
      <c r="B4321" s="22"/>
      <c r="C4321" s="21"/>
      <c r="W4321" s="22"/>
      <c r="X4321" s="22"/>
    </row>
    <row r="4322" spans="2:24" x14ac:dyDescent="0.25">
      <c r="B4322" s="22"/>
      <c r="C4322" s="21"/>
      <c r="W4322" s="22"/>
      <c r="X4322" s="22"/>
    </row>
    <row r="4323" spans="2:24" x14ac:dyDescent="0.25">
      <c r="B4323" s="22"/>
      <c r="C4323" s="21"/>
      <c r="W4323" s="22"/>
      <c r="X4323" s="22"/>
    </row>
    <row r="4324" spans="2:24" x14ac:dyDescent="0.25">
      <c r="B4324" s="22"/>
      <c r="C4324" s="21"/>
      <c r="W4324" s="22"/>
      <c r="X4324" s="22"/>
    </row>
    <row r="4325" spans="2:24" x14ac:dyDescent="0.25">
      <c r="B4325" s="22"/>
      <c r="C4325" s="21"/>
      <c r="W4325" s="22"/>
      <c r="X4325" s="22"/>
    </row>
    <row r="4326" spans="2:24" x14ac:dyDescent="0.25">
      <c r="B4326" s="22"/>
      <c r="C4326" s="21"/>
      <c r="W4326" s="22"/>
      <c r="X4326" s="22"/>
    </row>
    <row r="4327" spans="2:24" x14ac:dyDescent="0.25">
      <c r="B4327" s="22"/>
      <c r="C4327" s="21"/>
      <c r="W4327" s="22"/>
      <c r="X4327" s="22"/>
    </row>
    <row r="4328" spans="2:24" x14ac:dyDescent="0.25">
      <c r="B4328" s="22"/>
      <c r="C4328" s="21"/>
      <c r="W4328" s="22"/>
      <c r="X4328" s="22"/>
    </row>
    <row r="4329" spans="2:24" x14ac:dyDescent="0.25">
      <c r="B4329" s="22"/>
      <c r="C4329" s="21"/>
      <c r="W4329" s="22"/>
      <c r="X4329" s="22"/>
    </row>
    <row r="4330" spans="2:24" x14ac:dyDescent="0.25">
      <c r="B4330" s="22"/>
      <c r="C4330" s="21"/>
      <c r="W4330" s="22"/>
      <c r="X4330" s="22"/>
    </row>
    <row r="4331" spans="2:24" x14ac:dyDescent="0.25">
      <c r="B4331" s="22"/>
      <c r="C4331" s="21"/>
      <c r="W4331" s="22"/>
      <c r="X4331" s="22"/>
    </row>
    <row r="4332" spans="2:24" x14ac:dyDescent="0.25">
      <c r="B4332" s="22"/>
      <c r="C4332" s="21"/>
      <c r="W4332" s="22"/>
      <c r="X4332" s="22"/>
    </row>
    <row r="4333" spans="2:24" x14ac:dyDescent="0.25">
      <c r="B4333" s="22"/>
      <c r="C4333" s="21"/>
      <c r="W4333" s="22"/>
      <c r="X4333" s="22"/>
    </row>
    <row r="4334" spans="2:24" x14ac:dyDescent="0.25">
      <c r="B4334" s="22"/>
      <c r="C4334" s="21"/>
      <c r="W4334" s="22"/>
      <c r="X4334" s="22"/>
    </row>
    <row r="4335" spans="2:24" x14ac:dyDescent="0.25">
      <c r="B4335" s="22"/>
      <c r="C4335" s="21"/>
      <c r="W4335" s="22"/>
      <c r="X4335" s="22"/>
    </row>
    <row r="4336" spans="2:24" x14ac:dyDescent="0.25">
      <c r="B4336" s="22"/>
      <c r="C4336" s="21"/>
      <c r="W4336" s="22"/>
      <c r="X4336" s="22"/>
    </row>
    <row r="4337" spans="2:24" x14ac:dyDescent="0.25">
      <c r="B4337" s="22"/>
      <c r="C4337" s="21"/>
      <c r="W4337" s="22"/>
      <c r="X4337" s="22"/>
    </row>
    <row r="4338" spans="2:24" x14ac:dyDescent="0.25">
      <c r="B4338" s="22"/>
      <c r="C4338" s="21"/>
      <c r="W4338" s="22"/>
      <c r="X4338" s="22"/>
    </row>
    <row r="4339" spans="2:24" x14ac:dyDescent="0.25">
      <c r="B4339" s="22"/>
      <c r="C4339" s="21"/>
      <c r="W4339" s="22"/>
      <c r="X4339" s="22"/>
    </row>
    <row r="4340" spans="2:24" x14ac:dyDescent="0.25">
      <c r="B4340" s="22"/>
      <c r="C4340" s="21"/>
      <c r="W4340" s="22"/>
      <c r="X4340" s="22"/>
    </row>
    <row r="4341" spans="2:24" x14ac:dyDescent="0.25">
      <c r="B4341" s="22"/>
      <c r="C4341" s="21"/>
      <c r="W4341" s="22"/>
      <c r="X4341" s="22"/>
    </row>
    <row r="4342" spans="2:24" x14ac:dyDescent="0.25">
      <c r="B4342" s="22"/>
      <c r="C4342" s="21"/>
      <c r="W4342" s="22"/>
      <c r="X4342" s="22"/>
    </row>
    <row r="4343" spans="2:24" x14ac:dyDescent="0.25">
      <c r="B4343" s="22"/>
      <c r="C4343" s="21"/>
      <c r="W4343" s="22"/>
      <c r="X4343" s="22"/>
    </row>
    <row r="4344" spans="2:24" x14ac:dyDescent="0.25">
      <c r="B4344" s="22"/>
      <c r="C4344" s="21"/>
      <c r="W4344" s="22"/>
      <c r="X4344" s="22"/>
    </row>
    <row r="4345" spans="2:24" x14ac:dyDescent="0.25">
      <c r="B4345" s="22"/>
      <c r="C4345" s="21"/>
      <c r="W4345" s="22"/>
      <c r="X4345" s="22"/>
    </row>
    <row r="4346" spans="2:24" x14ac:dyDescent="0.25">
      <c r="B4346" s="22"/>
      <c r="C4346" s="21"/>
      <c r="W4346" s="22"/>
      <c r="X4346" s="22"/>
    </row>
    <row r="4347" spans="2:24" x14ac:dyDescent="0.25">
      <c r="B4347" s="22"/>
      <c r="C4347" s="21"/>
      <c r="W4347" s="22"/>
      <c r="X4347" s="22"/>
    </row>
    <row r="4348" spans="2:24" x14ac:dyDescent="0.25">
      <c r="B4348" s="22"/>
      <c r="C4348" s="21"/>
      <c r="W4348" s="22"/>
      <c r="X4348" s="22"/>
    </row>
    <row r="4349" spans="2:24" x14ac:dyDescent="0.25">
      <c r="B4349" s="22"/>
      <c r="C4349" s="21"/>
      <c r="W4349" s="22"/>
      <c r="X4349" s="22"/>
    </row>
    <row r="4350" spans="2:24" x14ac:dyDescent="0.25">
      <c r="B4350" s="22"/>
      <c r="C4350" s="21"/>
      <c r="W4350" s="22"/>
      <c r="X4350" s="22"/>
    </row>
    <row r="4351" spans="2:24" x14ac:dyDescent="0.25">
      <c r="B4351" s="22"/>
      <c r="C4351" s="21"/>
      <c r="W4351" s="22"/>
      <c r="X4351" s="22"/>
    </row>
    <row r="4352" spans="2:24" x14ac:dyDescent="0.25">
      <c r="B4352" s="22"/>
      <c r="C4352" s="21"/>
      <c r="W4352" s="22"/>
      <c r="X4352" s="22"/>
    </row>
    <row r="4353" spans="2:24" x14ac:dyDescent="0.25">
      <c r="B4353" s="22"/>
      <c r="C4353" s="21"/>
      <c r="W4353" s="22"/>
      <c r="X4353" s="22"/>
    </row>
    <row r="4354" spans="2:24" x14ac:dyDescent="0.25">
      <c r="B4354" s="22"/>
      <c r="C4354" s="21"/>
      <c r="W4354" s="22"/>
      <c r="X4354" s="22"/>
    </row>
    <row r="4355" spans="2:24" x14ac:dyDescent="0.25">
      <c r="B4355" s="22"/>
      <c r="C4355" s="21"/>
      <c r="W4355" s="22"/>
      <c r="X4355" s="22"/>
    </row>
    <row r="4356" spans="2:24" x14ac:dyDescent="0.25">
      <c r="B4356" s="22"/>
      <c r="C4356" s="21"/>
      <c r="W4356" s="22"/>
      <c r="X4356" s="22"/>
    </row>
    <row r="4357" spans="2:24" x14ac:dyDescent="0.25">
      <c r="B4357" s="22"/>
      <c r="C4357" s="21"/>
      <c r="W4357" s="22"/>
      <c r="X4357" s="22"/>
    </row>
    <row r="4358" spans="2:24" x14ac:dyDescent="0.25">
      <c r="B4358" s="22"/>
      <c r="C4358" s="21"/>
      <c r="W4358" s="22"/>
    </row>
    <row r="4359" spans="2:24" x14ac:dyDescent="0.25">
      <c r="B4359" s="22"/>
      <c r="C4359" s="21"/>
      <c r="W4359" s="22"/>
      <c r="X4359" s="22"/>
    </row>
    <row r="4360" spans="2:24" x14ac:dyDescent="0.25">
      <c r="B4360" s="22"/>
      <c r="C4360" s="21"/>
      <c r="W4360" s="22"/>
      <c r="X4360" s="22"/>
    </row>
    <row r="4361" spans="2:24" x14ac:dyDescent="0.25">
      <c r="B4361" s="22"/>
      <c r="C4361" s="21"/>
      <c r="W4361" s="22"/>
      <c r="X4361" s="22"/>
    </row>
    <row r="4362" spans="2:24" x14ac:dyDescent="0.25">
      <c r="B4362" s="22"/>
      <c r="C4362" s="21"/>
      <c r="W4362" s="22"/>
      <c r="X4362" s="22"/>
    </row>
    <row r="4363" spans="2:24" x14ac:dyDescent="0.25">
      <c r="B4363" s="22"/>
      <c r="C4363" s="21"/>
      <c r="W4363" s="22"/>
      <c r="X4363" s="22"/>
    </row>
    <row r="4364" spans="2:24" x14ac:dyDescent="0.25">
      <c r="B4364" s="22"/>
      <c r="C4364" s="21"/>
      <c r="W4364" s="22"/>
      <c r="X4364" s="22"/>
    </row>
    <row r="4365" spans="2:24" x14ac:dyDescent="0.25">
      <c r="B4365" s="22"/>
      <c r="C4365" s="21"/>
      <c r="W4365" s="22"/>
      <c r="X4365" s="22"/>
    </row>
    <row r="4366" spans="2:24" x14ac:dyDescent="0.25">
      <c r="B4366" s="22"/>
      <c r="C4366" s="21"/>
      <c r="W4366" s="22"/>
      <c r="X4366" s="22"/>
    </row>
    <row r="4367" spans="2:24" x14ac:dyDescent="0.25">
      <c r="B4367" s="22"/>
      <c r="C4367" s="21"/>
      <c r="W4367" s="22"/>
      <c r="X4367" s="22"/>
    </row>
    <row r="4368" spans="2:24" x14ac:dyDescent="0.25">
      <c r="B4368" s="22"/>
      <c r="C4368" s="21"/>
      <c r="W4368" s="22"/>
      <c r="X4368" s="22"/>
    </row>
    <row r="4369" spans="2:24" x14ac:dyDescent="0.25">
      <c r="B4369" s="22"/>
      <c r="C4369" s="21"/>
      <c r="W4369" s="22"/>
      <c r="X4369" s="22"/>
    </row>
    <row r="4370" spans="2:24" x14ac:dyDescent="0.25">
      <c r="B4370" s="22"/>
      <c r="C4370" s="21"/>
      <c r="W4370" s="22"/>
      <c r="X4370" s="22"/>
    </row>
    <row r="4371" spans="2:24" x14ac:dyDescent="0.25">
      <c r="B4371" s="22"/>
      <c r="C4371" s="21"/>
      <c r="W4371" s="22"/>
      <c r="X4371" s="22"/>
    </row>
    <row r="4372" spans="2:24" x14ac:dyDescent="0.25">
      <c r="B4372" s="22"/>
      <c r="C4372" s="21"/>
      <c r="W4372" s="22"/>
      <c r="X4372" s="22"/>
    </row>
    <row r="4373" spans="2:24" x14ac:dyDescent="0.25">
      <c r="B4373" s="22"/>
      <c r="C4373" s="21"/>
      <c r="W4373" s="22"/>
      <c r="X4373" s="22"/>
    </row>
    <row r="4374" spans="2:24" x14ac:dyDescent="0.25">
      <c r="B4374" s="22"/>
      <c r="C4374" s="21"/>
      <c r="W4374" s="22"/>
      <c r="X4374" s="22"/>
    </row>
    <row r="4375" spans="2:24" x14ac:dyDescent="0.25">
      <c r="B4375" s="22"/>
      <c r="C4375" s="21"/>
      <c r="W4375" s="22"/>
      <c r="X4375" s="22"/>
    </row>
    <row r="4376" spans="2:24" x14ac:dyDescent="0.25">
      <c r="B4376" s="22"/>
      <c r="C4376" s="21"/>
      <c r="W4376" s="22"/>
      <c r="X4376" s="22"/>
    </row>
    <row r="4377" spans="2:24" x14ac:dyDescent="0.25">
      <c r="B4377" s="22"/>
      <c r="C4377" s="21"/>
      <c r="W4377" s="22"/>
      <c r="X4377" s="22"/>
    </row>
    <row r="4378" spans="2:24" x14ac:dyDescent="0.25">
      <c r="B4378" s="22"/>
      <c r="C4378" s="21"/>
      <c r="W4378" s="22"/>
      <c r="X4378" s="22"/>
    </row>
    <row r="4379" spans="2:24" x14ac:dyDescent="0.25">
      <c r="B4379" s="22"/>
      <c r="C4379" s="21"/>
      <c r="W4379" s="22"/>
      <c r="X4379" s="22"/>
    </row>
    <row r="4380" spans="2:24" x14ac:dyDescent="0.25">
      <c r="B4380" s="22"/>
      <c r="C4380" s="21"/>
      <c r="W4380" s="22"/>
    </row>
    <row r="4381" spans="2:24" x14ac:dyDescent="0.25">
      <c r="B4381" s="22"/>
      <c r="C4381" s="21"/>
      <c r="W4381" s="22"/>
    </row>
    <row r="4382" spans="2:24" x14ac:dyDescent="0.25">
      <c r="B4382" s="22"/>
      <c r="C4382" s="21"/>
      <c r="W4382" s="22"/>
    </row>
    <row r="4383" spans="2:24" x14ac:dyDescent="0.25">
      <c r="B4383" s="22"/>
      <c r="C4383" s="21"/>
      <c r="W4383" s="22"/>
    </row>
    <row r="4384" spans="2:24" x14ac:dyDescent="0.25">
      <c r="B4384" s="22"/>
      <c r="C4384" s="21"/>
      <c r="W4384" s="22"/>
    </row>
    <row r="4385" spans="2:24" x14ac:dyDescent="0.25">
      <c r="B4385" s="22"/>
      <c r="C4385" s="21"/>
      <c r="W4385" s="22"/>
    </row>
    <row r="4386" spans="2:24" x14ac:dyDescent="0.25">
      <c r="B4386" s="22"/>
      <c r="C4386" s="21"/>
      <c r="W4386" s="22"/>
    </row>
    <row r="4387" spans="2:24" x14ac:dyDescent="0.25">
      <c r="B4387" s="22"/>
      <c r="C4387" s="21"/>
      <c r="W4387" s="22"/>
    </row>
    <row r="4388" spans="2:24" x14ac:dyDescent="0.25">
      <c r="B4388" s="22"/>
      <c r="C4388" s="21"/>
      <c r="W4388" s="22"/>
    </row>
    <row r="4389" spans="2:24" x14ac:dyDescent="0.25">
      <c r="B4389" s="22"/>
      <c r="C4389" s="21"/>
      <c r="W4389" s="22"/>
    </row>
    <row r="4390" spans="2:24" x14ac:dyDescent="0.25">
      <c r="B4390" s="22"/>
      <c r="C4390" s="21"/>
      <c r="W4390" s="22"/>
    </row>
    <row r="4391" spans="2:24" x14ac:dyDescent="0.25">
      <c r="B4391" s="22"/>
      <c r="C4391" s="21"/>
      <c r="W4391" s="22"/>
    </row>
    <row r="4392" spans="2:24" x14ac:dyDescent="0.25">
      <c r="B4392" s="22"/>
      <c r="C4392" s="21"/>
      <c r="W4392" s="22"/>
    </row>
    <row r="4393" spans="2:24" x14ac:dyDescent="0.25">
      <c r="B4393" s="22"/>
      <c r="C4393" s="21"/>
      <c r="W4393" s="22"/>
    </row>
    <row r="4394" spans="2:24" x14ac:dyDescent="0.25">
      <c r="B4394" s="22"/>
      <c r="C4394" s="21"/>
      <c r="W4394" s="22"/>
    </row>
    <row r="4395" spans="2:24" x14ac:dyDescent="0.25">
      <c r="B4395" s="22"/>
      <c r="C4395" s="21"/>
      <c r="W4395" s="22"/>
    </row>
    <row r="4396" spans="2:24" x14ac:dyDescent="0.25">
      <c r="B4396" s="22"/>
      <c r="C4396" s="21"/>
      <c r="W4396" s="22"/>
    </row>
    <row r="4397" spans="2:24" x14ac:dyDescent="0.25">
      <c r="B4397" s="22"/>
      <c r="C4397" s="21"/>
      <c r="W4397" s="22"/>
    </row>
    <row r="4398" spans="2:24" x14ac:dyDescent="0.25">
      <c r="B4398" s="22"/>
      <c r="C4398" s="21"/>
      <c r="W4398" s="22"/>
      <c r="X4398" s="22"/>
    </row>
    <row r="4399" spans="2:24" x14ac:dyDescent="0.25">
      <c r="B4399" s="22"/>
      <c r="C4399" s="21"/>
      <c r="W4399" s="22"/>
      <c r="X4399" s="22"/>
    </row>
    <row r="4400" spans="2:24" x14ac:dyDescent="0.25">
      <c r="B4400" s="22"/>
      <c r="C4400" s="21"/>
    </row>
    <row r="4401" spans="2:24" x14ac:dyDescent="0.25">
      <c r="B4401" s="22"/>
      <c r="C4401" s="21"/>
      <c r="W4401" s="22"/>
    </row>
    <row r="4402" spans="2:24" x14ac:dyDescent="0.25">
      <c r="B4402" s="22"/>
      <c r="C4402" s="21"/>
      <c r="W4402" s="22"/>
    </row>
    <row r="4403" spans="2:24" x14ac:dyDescent="0.25">
      <c r="B4403" s="22"/>
      <c r="C4403" s="21"/>
      <c r="W4403" s="22"/>
      <c r="X4403" s="22"/>
    </row>
    <row r="4404" spans="2:24" x14ac:dyDescent="0.25">
      <c r="B4404" s="22"/>
      <c r="C4404" s="21"/>
      <c r="W4404" s="22"/>
      <c r="X4404" s="22"/>
    </row>
    <row r="4405" spans="2:24" x14ac:dyDescent="0.25">
      <c r="B4405" s="22"/>
      <c r="C4405" s="21"/>
      <c r="W4405" s="22"/>
      <c r="X4405" s="22"/>
    </row>
    <row r="4406" spans="2:24" x14ac:dyDescent="0.25">
      <c r="B4406" s="22"/>
      <c r="C4406" s="21"/>
      <c r="W4406" s="22"/>
      <c r="X4406" s="22"/>
    </row>
    <row r="4407" spans="2:24" x14ac:dyDescent="0.25">
      <c r="B4407" s="22"/>
      <c r="C4407" s="21"/>
      <c r="W4407" s="22"/>
      <c r="X4407" s="22"/>
    </row>
    <row r="4408" spans="2:24" x14ac:dyDescent="0.25">
      <c r="B4408" s="22"/>
      <c r="C4408" s="21"/>
      <c r="W4408" s="22"/>
      <c r="X4408" s="22"/>
    </row>
    <row r="4409" spans="2:24" x14ac:dyDescent="0.25">
      <c r="B4409" s="22"/>
      <c r="C4409" s="21"/>
      <c r="W4409" s="22"/>
      <c r="X4409" s="22"/>
    </row>
    <row r="4410" spans="2:24" x14ac:dyDescent="0.25">
      <c r="B4410" s="22"/>
      <c r="C4410" s="21"/>
      <c r="W4410" s="22"/>
      <c r="X4410" s="22"/>
    </row>
    <row r="4411" spans="2:24" x14ac:dyDescent="0.25">
      <c r="B4411" s="22"/>
      <c r="C4411" s="21"/>
      <c r="W4411" s="22"/>
      <c r="X4411" s="22"/>
    </row>
    <row r="4412" spans="2:24" x14ac:dyDescent="0.25">
      <c r="B4412" s="22"/>
      <c r="C4412" s="21"/>
      <c r="W4412" s="22"/>
      <c r="X4412" s="22"/>
    </row>
    <row r="4413" spans="2:24" x14ac:dyDescent="0.25">
      <c r="B4413" s="22"/>
      <c r="C4413" s="21"/>
      <c r="W4413" s="22"/>
      <c r="X4413" s="22"/>
    </row>
    <row r="4414" spans="2:24" x14ac:dyDescent="0.25">
      <c r="B4414" s="22"/>
      <c r="C4414" s="21"/>
      <c r="W4414" s="22"/>
      <c r="X4414" s="22"/>
    </row>
    <row r="4415" spans="2:24" x14ac:dyDescent="0.25">
      <c r="B4415" s="22"/>
      <c r="C4415" s="21"/>
      <c r="W4415" s="22"/>
      <c r="X4415" s="22"/>
    </row>
    <row r="4416" spans="2:24" x14ac:dyDescent="0.25">
      <c r="B4416" s="22"/>
      <c r="C4416" s="21"/>
      <c r="W4416" s="22"/>
      <c r="X4416" s="22"/>
    </row>
    <row r="4417" spans="2:24" x14ac:dyDescent="0.25">
      <c r="B4417" s="22"/>
      <c r="C4417" s="21"/>
      <c r="W4417" s="22"/>
      <c r="X4417" s="22"/>
    </row>
    <row r="4418" spans="2:24" x14ac:dyDescent="0.25">
      <c r="B4418" s="22"/>
      <c r="C4418" s="21"/>
      <c r="W4418" s="22"/>
      <c r="X4418" s="22"/>
    </row>
    <row r="4419" spans="2:24" x14ac:dyDescent="0.25">
      <c r="B4419" s="22"/>
      <c r="C4419" s="21"/>
      <c r="W4419" s="22"/>
      <c r="X4419" s="22"/>
    </row>
    <row r="4420" spans="2:24" x14ac:dyDescent="0.25">
      <c r="B4420" s="22"/>
      <c r="C4420" s="21"/>
      <c r="W4420" s="22"/>
      <c r="X4420" s="22"/>
    </row>
    <row r="4421" spans="2:24" x14ac:dyDescent="0.25">
      <c r="B4421" s="22"/>
      <c r="C4421" s="21"/>
      <c r="W4421" s="22"/>
      <c r="X4421" s="22"/>
    </row>
    <row r="4422" spans="2:24" x14ac:dyDescent="0.25">
      <c r="B4422" s="22"/>
      <c r="C4422" s="21"/>
      <c r="W4422" s="22"/>
      <c r="X4422" s="22"/>
    </row>
    <row r="4423" spans="2:24" x14ac:dyDescent="0.25">
      <c r="B4423" s="22"/>
      <c r="C4423" s="21"/>
      <c r="W4423" s="22"/>
      <c r="X4423" s="22"/>
    </row>
    <row r="4424" spans="2:24" x14ac:dyDescent="0.25">
      <c r="B4424" s="22"/>
      <c r="C4424" s="21"/>
      <c r="W4424" s="22"/>
      <c r="X4424" s="22"/>
    </row>
    <row r="4425" spans="2:24" x14ac:dyDescent="0.25">
      <c r="B4425" s="22"/>
      <c r="C4425" s="21"/>
      <c r="W4425" s="22"/>
      <c r="X4425" s="22"/>
    </row>
    <row r="4426" spans="2:24" x14ac:dyDescent="0.25">
      <c r="B4426" s="22"/>
      <c r="C4426" s="21"/>
      <c r="W4426" s="22"/>
      <c r="X4426" s="22"/>
    </row>
    <row r="4427" spans="2:24" x14ac:dyDescent="0.25">
      <c r="B4427" s="22"/>
      <c r="C4427" s="21"/>
      <c r="W4427" s="22"/>
      <c r="X4427" s="22"/>
    </row>
    <row r="4428" spans="2:24" x14ac:dyDescent="0.25">
      <c r="B4428" s="22"/>
      <c r="C4428" s="21"/>
      <c r="W4428" s="22"/>
      <c r="X4428" s="22"/>
    </row>
    <row r="4429" spans="2:24" x14ac:dyDescent="0.25">
      <c r="B4429" s="22"/>
      <c r="C4429" s="21"/>
      <c r="W4429" s="22"/>
      <c r="X4429" s="22"/>
    </row>
    <row r="4430" spans="2:24" x14ac:dyDescent="0.25">
      <c r="B4430" s="22"/>
      <c r="C4430" s="21"/>
      <c r="W4430" s="22"/>
      <c r="X4430" s="22"/>
    </row>
    <row r="4431" spans="2:24" x14ac:dyDescent="0.25">
      <c r="B4431" s="22"/>
      <c r="C4431" s="21"/>
      <c r="W4431" s="22"/>
      <c r="X4431" s="22"/>
    </row>
    <row r="4432" spans="2:24" x14ac:dyDescent="0.25">
      <c r="B4432" s="22"/>
      <c r="C4432" s="21"/>
      <c r="W4432" s="22"/>
      <c r="X4432" s="22"/>
    </row>
    <row r="4433" spans="2:24" x14ac:dyDescent="0.25">
      <c r="B4433" s="22"/>
      <c r="C4433" s="21"/>
      <c r="W4433" s="22"/>
      <c r="X4433" s="22"/>
    </row>
    <row r="4434" spans="2:24" x14ac:dyDescent="0.25">
      <c r="B4434" s="22"/>
      <c r="C4434" s="21"/>
      <c r="W4434" s="22"/>
      <c r="X4434" s="22"/>
    </row>
    <row r="4435" spans="2:24" x14ac:dyDescent="0.25">
      <c r="B4435" s="22"/>
      <c r="C4435" s="21"/>
      <c r="W4435" s="22"/>
      <c r="X4435" s="22"/>
    </row>
    <row r="4436" spans="2:24" x14ac:dyDescent="0.25">
      <c r="B4436" s="22"/>
      <c r="C4436" s="21"/>
      <c r="W4436" s="22"/>
      <c r="X4436" s="22"/>
    </row>
    <row r="4437" spans="2:24" x14ac:dyDescent="0.25">
      <c r="B4437" s="22"/>
      <c r="C4437" s="21"/>
      <c r="W4437" s="22"/>
      <c r="X4437" s="22"/>
    </row>
    <row r="4438" spans="2:24" x14ac:dyDescent="0.25">
      <c r="B4438" s="22"/>
      <c r="C4438" s="21"/>
      <c r="W4438" s="22"/>
      <c r="X4438" s="22"/>
    </row>
    <row r="4439" spans="2:24" x14ac:dyDescent="0.25">
      <c r="B4439" s="22"/>
      <c r="C4439" s="21"/>
      <c r="W4439" s="22"/>
      <c r="X4439" s="22"/>
    </row>
    <row r="4440" spans="2:24" x14ac:dyDescent="0.25">
      <c r="B4440" s="22"/>
      <c r="C4440" s="21"/>
      <c r="W4440" s="22"/>
      <c r="X4440" s="22"/>
    </row>
    <row r="4441" spans="2:24" x14ac:dyDescent="0.25">
      <c r="B4441" s="22"/>
      <c r="C4441" s="21"/>
      <c r="W4441" s="22"/>
      <c r="X4441" s="22"/>
    </row>
    <row r="4442" spans="2:24" x14ac:dyDescent="0.25">
      <c r="B4442" s="22"/>
      <c r="C4442" s="21"/>
      <c r="W4442" s="22"/>
      <c r="X4442" s="22"/>
    </row>
    <row r="4443" spans="2:24" x14ac:dyDescent="0.25">
      <c r="B4443" s="22"/>
      <c r="C4443" s="21"/>
      <c r="W4443" s="22"/>
      <c r="X4443" s="22"/>
    </row>
    <row r="4444" spans="2:24" x14ac:dyDescent="0.25">
      <c r="B4444" s="22"/>
      <c r="C4444" s="21"/>
      <c r="W4444" s="22"/>
      <c r="X4444" s="22"/>
    </row>
    <row r="4445" spans="2:24" x14ac:dyDescent="0.25">
      <c r="B4445" s="22"/>
      <c r="C4445" s="21"/>
      <c r="W4445" s="22"/>
      <c r="X4445" s="22"/>
    </row>
    <row r="4446" spans="2:24" x14ac:dyDescent="0.25">
      <c r="B4446" s="22"/>
      <c r="C4446" s="21"/>
      <c r="W4446" s="22"/>
      <c r="X4446" s="22"/>
    </row>
    <row r="4447" spans="2:24" x14ac:dyDescent="0.25">
      <c r="B4447" s="22"/>
      <c r="C4447" s="21"/>
      <c r="W4447" s="22"/>
      <c r="X4447" s="22"/>
    </row>
    <row r="4448" spans="2:24" x14ac:dyDescent="0.25">
      <c r="B4448" s="22"/>
      <c r="C4448" s="21"/>
      <c r="W4448" s="22"/>
      <c r="X4448" s="22"/>
    </row>
    <row r="4449" spans="2:24" x14ac:dyDescent="0.25">
      <c r="B4449" s="22"/>
      <c r="C4449" s="21"/>
      <c r="W4449" s="22"/>
      <c r="X4449" s="22"/>
    </row>
    <row r="4450" spans="2:24" x14ac:dyDescent="0.25">
      <c r="B4450" s="22"/>
      <c r="C4450" s="21"/>
      <c r="W4450" s="22"/>
      <c r="X4450" s="22"/>
    </row>
    <row r="4451" spans="2:24" x14ac:dyDescent="0.25">
      <c r="B4451" s="22"/>
      <c r="C4451" s="21"/>
      <c r="W4451" s="22"/>
      <c r="X4451" s="22"/>
    </row>
    <row r="4452" spans="2:24" x14ac:dyDescent="0.25">
      <c r="B4452" s="22"/>
      <c r="C4452" s="21"/>
      <c r="W4452" s="22"/>
      <c r="X4452" s="22"/>
    </row>
    <row r="4453" spans="2:24" x14ac:dyDescent="0.25">
      <c r="B4453" s="22"/>
      <c r="C4453" s="21"/>
      <c r="W4453" s="22"/>
      <c r="X4453" s="22"/>
    </row>
    <row r="4454" spans="2:24" x14ac:dyDescent="0.25">
      <c r="B4454" s="22"/>
      <c r="C4454" s="21"/>
      <c r="W4454" s="22"/>
      <c r="X4454" s="22"/>
    </row>
    <row r="4455" spans="2:24" x14ac:dyDescent="0.25">
      <c r="B4455" s="22"/>
      <c r="C4455" s="21"/>
      <c r="W4455" s="22"/>
      <c r="X4455" s="22"/>
    </row>
    <row r="4456" spans="2:24" x14ac:dyDescent="0.25">
      <c r="B4456" s="22"/>
      <c r="C4456" s="21"/>
      <c r="W4456" s="22"/>
      <c r="X4456" s="22"/>
    </row>
    <row r="4457" spans="2:24" x14ac:dyDescent="0.25">
      <c r="B4457" s="22"/>
      <c r="C4457" s="21"/>
      <c r="W4457" s="22"/>
      <c r="X4457" s="22"/>
    </row>
    <row r="4458" spans="2:24" x14ac:dyDescent="0.25">
      <c r="B4458" s="22"/>
      <c r="C4458" s="21"/>
      <c r="W4458" s="22"/>
      <c r="X4458" s="22"/>
    </row>
    <row r="4459" spans="2:24" x14ac:dyDescent="0.25">
      <c r="B4459" s="22"/>
      <c r="C4459" s="21"/>
      <c r="W4459" s="22"/>
      <c r="X4459" s="22"/>
    </row>
    <row r="4460" spans="2:24" x14ac:dyDescent="0.25">
      <c r="B4460" s="22"/>
      <c r="C4460" s="21"/>
      <c r="W4460" s="22"/>
      <c r="X4460" s="22"/>
    </row>
    <row r="4461" spans="2:24" x14ac:dyDescent="0.25">
      <c r="B4461" s="22"/>
      <c r="C4461" s="21"/>
      <c r="W4461" s="22"/>
      <c r="X4461" s="22"/>
    </row>
    <row r="4462" spans="2:24" x14ac:dyDescent="0.25">
      <c r="B4462" s="22"/>
      <c r="C4462" s="21"/>
      <c r="W4462" s="22"/>
      <c r="X4462" s="22"/>
    </row>
    <row r="4463" spans="2:24" x14ac:dyDescent="0.25">
      <c r="B4463" s="22"/>
      <c r="C4463" s="21"/>
      <c r="W4463" s="22"/>
      <c r="X4463" s="22"/>
    </row>
    <row r="4464" spans="2:24" x14ac:dyDescent="0.25">
      <c r="B4464" s="22"/>
      <c r="C4464" s="21"/>
      <c r="W4464" s="22"/>
      <c r="X4464" s="22"/>
    </row>
    <row r="4465" spans="2:24" x14ac:dyDescent="0.25">
      <c r="B4465" s="22"/>
      <c r="C4465" s="21"/>
      <c r="W4465" s="22"/>
      <c r="X4465" s="22"/>
    </row>
    <row r="4466" spans="2:24" x14ac:dyDescent="0.25">
      <c r="B4466" s="22"/>
      <c r="C4466" s="21"/>
      <c r="W4466" s="22"/>
      <c r="X4466" s="22"/>
    </row>
    <row r="4467" spans="2:24" x14ac:dyDescent="0.25">
      <c r="B4467" s="22"/>
      <c r="C4467" s="21"/>
      <c r="W4467" s="22"/>
      <c r="X4467" s="22"/>
    </row>
    <row r="4468" spans="2:24" x14ac:dyDescent="0.25">
      <c r="B4468" s="22"/>
      <c r="C4468" s="21"/>
      <c r="W4468" s="22"/>
      <c r="X4468" s="22"/>
    </row>
    <row r="4469" spans="2:24" x14ac:dyDescent="0.25">
      <c r="B4469" s="22"/>
      <c r="C4469" s="21"/>
      <c r="W4469" s="22"/>
      <c r="X4469" s="22"/>
    </row>
    <row r="4470" spans="2:24" x14ac:dyDescent="0.25">
      <c r="B4470" s="22"/>
      <c r="C4470" s="21"/>
      <c r="W4470" s="22"/>
      <c r="X4470" s="22"/>
    </row>
    <row r="4471" spans="2:24" x14ac:dyDescent="0.25">
      <c r="B4471" s="22"/>
      <c r="C4471" s="21"/>
      <c r="W4471" s="22"/>
      <c r="X4471" s="22"/>
    </row>
    <row r="4472" spans="2:24" x14ac:dyDescent="0.25">
      <c r="B4472" s="22"/>
      <c r="C4472" s="21"/>
      <c r="W4472" s="22"/>
      <c r="X4472" s="22"/>
    </row>
    <row r="4473" spans="2:24" x14ac:dyDescent="0.25">
      <c r="B4473" s="22"/>
      <c r="C4473" s="21"/>
      <c r="W4473" s="22"/>
      <c r="X4473" s="22"/>
    </row>
    <row r="4474" spans="2:24" x14ac:dyDescent="0.25">
      <c r="B4474" s="22"/>
      <c r="C4474" s="21"/>
      <c r="W4474" s="22"/>
      <c r="X4474" s="22"/>
    </row>
    <row r="4475" spans="2:24" x14ac:dyDescent="0.25">
      <c r="B4475" s="22"/>
      <c r="C4475" s="21"/>
      <c r="W4475" s="22"/>
      <c r="X4475" s="22"/>
    </row>
    <row r="4476" spans="2:24" x14ac:dyDescent="0.25">
      <c r="B4476" s="22"/>
      <c r="C4476" s="21"/>
      <c r="W4476" s="22"/>
      <c r="X4476" s="22"/>
    </row>
    <row r="4477" spans="2:24" x14ac:dyDescent="0.25">
      <c r="B4477" s="22"/>
      <c r="C4477" s="21"/>
      <c r="W4477" s="22"/>
      <c r="X4477" s="22"/>
    </row>
    <row r="4478" spans="2:24" x14ac:dyDescent="0.25">
      <c r="B4478" s="22"/>
      <c r="C4478" s="21"/>
      <c r="W4478" s="22"/>
      <c r="X4478" s="22"/>
    </row>
    <row r="4479" spans="2:24" x14ac:dyDescent="0.25">
      <c r="B4479" s="22"/>
      <c r="C4479" s="21"/>
      <c r="W4479" s="22"/>
      <c r="X4479" s="22"/>
    </row>
    <row r="4480" spans="2:24" x14ac:dyDescent="0.25">
      <c r="B4480" s="22"/>
      <c r="C4480" s="21"/>
      <c r="W4480" s="22"/>
      <c r="X4480" s="22"/>
    </row>
    <row r="4481" spans="2:24" x14ac:dyDescent="0.25">
      <c r="B4481" s="22"/>
      <c r="C4481" s="21"/>
      <c r="W4481" s="22"/>
      <c r="X4481" s="22"/>
    </row>
    <row r="4482" spans="2:24" x14ac:dyDescent="0.25">
      <c r="B4482" s="22"/>
      <c r="C4482" s="21"/>
      <c r="W4482" s="22"/>
      <c r="X4482" s="22"/>
    </row>
    <row r="4483" spans="2:24" x14ac:dyDescent="0.25">
      <c r="B4483" s="22"/>
      <c r="C4483" s="21"/>
      <c r="W4483" s="22"/>
      <c r="X4483" s="22"/>
    </row>
    <row r="4484" spans="2:24" x14ac:dyDescent="0.25">
      <c r="B4484" s="22"/>
      <c r="C4484" s="21"/>
      <c r="W4484" s="22"/>
      <c r="X4484" s="22"/>
    </row>
    <row r="4485" spans="2:24" x14ac:dyDescent="0.25">
      <c r="B4485" s="22"/>
      <c r="C4485" s="21"/>
      <c r="W4485" s="22"/>
      <c r="X4485" s="22"/>
    </row>
    <row r="4486" spans="2:24" x14ac:dyDescent="0.25">
      <c r="B4486" s="22"/>
      <c r="C4486" s="21"/>
      <c r="W4486" s="22"/>
      <c r="X4486" s="22"/>
    </row>
    <row r="4487" spans="2:24" x14ac:dyDescent="0.25">
      <c r="B4487" s="22"/>
      <c r="C4487" s="21"/>
      <c r="W4487" s="22"/>
      <c r="X4487" s="22"/>
    </row>
    <row r="4488" spans="2:24" x14ac:dyDescent="0.25">
      <c r="B4488" s="22"/>
      <c r="C4488" s="21"/>
      <c r="W4488" s="22"/>
      <c r="X4488" s="22"/>
    </row>
    <row r="4489" spans="2:24" x14ac:dyDescent="0.25">
      <c r="B4489" s="22"/>
      <c r="C4489" s="21"/>
      <c r="W4489" s="22"/>
      <c r="X4489" s="22"/>
    </row>
    <row r="4490" spans="2:24" x14ac:dyDescent="0.25">
      <c r="B4490" s="22"/>
      <c r="C4490" s="21"/>
      <c r="W4490" s="22"/>
      <c r="X4490" s="22"/>
    </row>
    <row r="4491" spans="2:24" x14ac:dyDescent="0.25">
      <c r="B4491" s="22"/>
      <c r="C4491" s="21"/>
      <c r="W4491" s="22"/>
      <c r="X4491" s="22"/>
    </row>
    <row r="4492" spans="2:24" x14ac:dyDescent="0.25">
      <c r="B4492" s="22"/>
      <c r="C4492" s="21"/>
      <c r="W4492" s="22"/>
      <c r="X4492" s="22"/>
    </row>
    <row r="4493" spans="2:24" x14ac:dyDescent="0.25">
      <c r="B4493" s="22"/>
      <c r="C4493" s="21"/>
      <c r="W4493" s="22"/>
      <c r="X4493" s="22"/>
    </row>
    <row r="4494" spans="2:24" x14ac:dyDescent="0.25">
      <c r="B4494" s="22"/>
      <c r="C4494" s="21"/>
      <c r="W4494" s="22"/>
      <c r="X4494" s="22"/>
    </row>
    <row r="4495" spans="2:24" x14ac:dyDescent="0.25">
      <c r="B4495" s="22"/>
      <c r="C4495" s="21"/>
      <c r="W4495" s="22"/>
      <c r="X4495" s="22"/>
    </row>
    <row r="4496" spans="2:24" x14ac:dyDescent="0.25">
      <c r="B4496" s="22"/>
      <c r="C4496" s="21"/>
      <c r="W4496" s="22"/>
      <c r="X4496" s="22"/>
    </row>
    <row r="4497" spans="2:24" x14ac:dyDescent="0.25">
      <c r="B4497" s="22"/>
      <c r="C4497" s="21"/>
      <c r="W4497" s="22"/>
      <c r="X4497" s="22"/>
    </row>
    <row r="4498" spans="2:24" x14ac:dyDescent="0.25">
      <c r="B4498" s="22"/>
      <c r="C4498" s="21"/>
      <c r="W4498" s="22"/>
      <c r="X4498" s="22"/>
    </row>
    <row r="4499" spans="2:24" x14ac:dyDescent="0.25">
      <c r="B4499" s="22"/>
      <c r="C4499" s="21"/>
      <c r="W4499" s="22"/>
      <c r="X4499" s="22"/>
    </row>
    <row r="4500" spans="2:24" x14ac:dyDescent="0.25">
      <c r="B4500" s="22"/>
      <c r="C4500" s="21"/>
      <c r="W4500" s="22"/>
      <c r="X4500" s="22"/>
    </row>
    <row r="4501" spans="2:24" x14ac:dyDescent="0.25">
      <c r="B4501" s="22"/>
      <c r="C4501" s="21"/>
      <c r="W4501" s="22"/>
      <c r="X4501" s="22"/>
    </row>
    <row r="4502" spans="2:24" x14ac:dyDescent="0.25">
      <c r="B4502" s="22"/>
      <c r="C4502" s="21"/>
      <c r="W4502" s="22"/>
      <c r="X4502" s="22"/>
    </row>
    <row r="4503" spans="2:24" x14ac:dyDescent="0.25">
      <c r="B4503" s="22"/>
      <c r="C4503" s="21"/>
      <c r="W4503" s="22"/>
      <c r="X4503" s="22"/>
    </row>
    <row r="4504" spans="2:24" x14ac:dyDescent="0.25">
      <c r="B4504" s="22"/>
      <c r="C4504" s="21"/>
      <c r="W4504" s="22"/>
      <c r="X4504" s="22"/>
    </row>
    <row r="4505" spans="2:24" x14ac:dyDescent="0.25">
      <c r="B4505" s="22"/>
      <c r="C4505" s="21"/>
      <c r="W4505" s="22"/>
      <c r="X4505" s="22"/>
    </row>
    <row r="4506" spans="2:24" x14ac:dyDescent="0.25">
      <c r="B4506" s="22"/>
      <c r="C4506" s="21"/>
      <c r="W4506" s="22"/>
      <c r="X4506" s="22"/>
    </row>
    <row r="4507" spans="2:24" x14ac:dyDescent="0.25">
      <c r="B4507" s="22"/>
      <c r="C4507" s="21"/>
      <c r="W4507" s="22"/>
      <c r="X4507" s="22"/>
    </row>
    <row r="4508" spans="2:24" x14ac:dyDescent="0.25">
      <c r="B4508" s="22"/>
      <c r="C4508" s="21"/>
      <c r="W4508" s="22"/>
      <c r="X4508" s="22"/>
    </row>
    <row r="4509" spans="2:24" x14ac:dyDescent="0.25">
      <c r="B4509" s="22"/>
      <c r="C4509" s="21"/>
      <c r="W4509" s="22"/>
      <c r="X4509" s="22"/>
    </row>
    <row r="4510" spans="2:24" x14ac:dyDescent="0.25">
      <c r="B4510" s="22"/>
      <c r="C4510" s="21"/>
      <c r="W4510" s="22"/>
    </row>
    <row r="4511" spans="2:24" x14ac:dyDescent="0.25">
      <c r="B4511" s="22"/>
      <c r="C4511" s="21"/>
      <c r="W4511" s="22"/>
      <c r="X4511" s="22"/>
    </row>
    <row r="4512" spans="2:24" x14ac:dyDescent="0.25">
      <c r="B4512" s="22"/>
      <c r="C4512" s="21"/>
      <c r="W4512" s="22"/>
      <c r="X4512" s="22"/>
    </row>
    <row r="4513" spans="2:24" x14ac:dyDescent="0.25">
      <c r="B4513" s="22"/>
      <c r="C4513" s="21"/>
      <c r="W4513" s="22"/>
      <c r="X4513" s="22"/>
    </row>
    <row r="4514" spans="2:24" x14ac:dyDescent="0.25">
      <c r="B4514" s="22"/>
      <c r="C4514" s="21"/>
      <c r="W4514" s="22"/>
      <c r="X4514" s="22"/>
    </row>
    <row r="4515" spans="2:24" x14ac:dyDescent="0.25">
      <c r="B4515" s="22"/>
      <c r="C4515" s="21"/>
      <c r="W4515" s="22"/>
      <c r="X4515" s="22"/>
    </row>
    <row r="4516" spans="2:24" x14ac:dyDescent="0.25">
      <c r="B4516" s="22"/>
      <c r="C4516" s="21"/>
      <c r="W4516" s="22"/>
      <c r="X4516" s="22"/>
    </row>
    <row r="4517" spans="2:24" x14ac:dyDescent="0.25">
      <c r="B4517" s="22"/>
      <c r="C4517" s="21"/>
      <c r="W4517" s="22"/>
      <c r="X4517" s="22"/>
    </row>
    <row r="4518" spans="2:24" x14ac:dyDescent="0.25">
      <c r="B4518" s="22"/>
      <c r="C4518" s="21"/>
      <c r="W4518" s="22"/>
      <c r="X4518" s="22"/>
    </row>
    <row r="4519" spans="2:24" x14ac:dyDescent="0.25">
      <c r="B4519" s="22"/>
      <c r="C4519" s="21"/>
      <c r="W4519" s="22"/>
      <c r="X4519" s="22"/>
    </row>
    <row r="4520" spans="2:24" x14ac:dyDescent="0.25">
      <c r="B4520" s="22"/>
      <c r="C4520" s="21"/>
      <c r="W4520" s="22"/>
      <c r="X4520" s="22"/>
    </row>
    <row r="4521" spans="2:24" x14ac:dyDescent="0.25">
      <c r="B4521" s="22"/>
      <c r="C4521" s="21"/>
      <c r="W4521" s="22"/>
      <c r="X4521" s="22"/>
    </row>
    <row r="4522" spans="2:24" x14ac:dyDescent="0.25">
      <c r="B4522" s="22"/>
      <c r="C4522" s="21"/>
      <c r="W4522" s="22"/>
      <c r="X4522" s="22"/>
    </row>
    <row r="4523" spans="2:24" x14ac:dyDescent="0.25">
      <c r="B4523" s="22"/>
      <c r="C4523" s="21"/>
      <c r="W4523" s="22"/>
      <c r="X4523" s="22"/>
    </row>
    <row r="4524" spans="2:24" x14ac:dyDescent="0.25">
      <c r="B4524" s="22"/>
      <c r="C4524" s="21"/>
      <c r="W4524" s="22"/>
      <c r="X4524" s="22"/>
    </row>
    <row r="4525" spans="2:24" x14ac:dyDescent="0.25">
      <c r="B4525" s="22"/>
      <c r="C4525" s="21"/>
      <c r="W4525" s="22"/>
      <c r="X4525" s="22"/>
    </row>
    <row r="4526" spans="2:24" x14ac:dyDescent="0.25">
      <c r="B4526" s="22"/>
      <c r="C4526" s="21"/>
      <c r="W4526" s="22"/>
      <c r="X4526" s="22"/>
    </row>
    <row r="4527" spans="2:24" x14ac:dyDescent="0.25">
      <c r="B4527" s="22"/>
      <c r="C4527" s="21"/>
      <c r="W4527" s="22"/>
      <c r="X4527" s="22"/>
    </row>
    <row r="4528" spans="2:24" x14ac:dyDescent="0.25">
      <c r="B4528" s="22"/>
      <c r="C4528" s="21"/>
      <c r="W4528" s="22"/>
      <c r="X4528" s="22"/>
    </row>
    <row r="4529" spans="2:24" x14ac:dyDescent="0.25">
      <c r="B4529" s="22"/>
      <c r="C4529" s="21"/>
      <c r="W4529" s="22"/>
      <c r="X4529" s="22"/>
    </row>
    <row r="4530" spans="2:24" x14ac:dyDescent="0.25">
      <c r="B4530" s="22"/>
      <c r="C4530" s="21"/>
      <c r="W4530" s="22"/>
      <c r="X4530" s="22"/>
    </row>
    <row r="4531" spans="2:24" x14ac:dyDescent="0.25">
      <c r="B4531" s="22"/>
      <c r="C4531" s="21"/>
      <c r="W4531" s="22"/>
      <c r="X4531" s="22"/>
    </row>
    <row r="4532" spans="2:24" x14ac:dyDescent="0.25">
      <c r="B4532" s="22"/>
      <c r="C4532" s="21"/>
      <c r="W4532" s="22"/>
      <c r="X4532" s="22"/>
    </row>
    <row r="4533" spans="2:24" x14ac:dyDescent="0.25">
      <c r="B4533" s="22"/>
      <c r="C4533" s="21"/>
      <c r="W4533" s="22"/>
      <c r="X4533" s="22"/>
    </row>
    <row r="4534" spans="2:24" x14ac:dyDescent="0.25">
      <c r="B4534" s="22"/>
      <c r="C4534" s="21"/>
      <c r="W4534" s="22"/>
      <c r="X4534" s="22"/>
    </row>
    <row r="4535" spans="2:24" x14ac:dyDescent="0.25">
      <c r="B4535" s="22"/>
      <c r="C4535" s="21"/>
      <c r="W4535" s="22"/>
      <c r="X4535" s="22"/>
    </row>
    <row r="4536" spans="2:24" x14ac:dyDescent="0.25">
      <c r="B4536" s="22"/>
      <c r="C4536" s="21"/>
      <c r="W4536" s="22"/>
      <c r="X4536" s="22"/>
    </row>
    <row r="4537" spans="2:24" x14ac:dyDescent="0.25">
      <c r="B4537" s="22"/>
      <c r="C4537" s="21"/>
      <c r="W4537" s="22"/>
      <c r="X4537" s="22"/>
    </row>
    <row r="4538" spans="2:24" x14ac:dyDescent="0.25">
      <c r="B4538" s="22"/>
      <c r="C4538" s="21"/>
      <c r="W4538" s="22"/>
      <c r="X4538" s="22"/>
    </row>
    <row r="4539" spans="2:24" x14ac:dyDescent="0.25">
      <c r="B4539" s="22"/>
      <c r="C4539" s="21"/>
      <c r="W4539" s="22"/>
      <c r="X4539" s="22"/>
    </row>
    <row r="4540" spans="2:24" x14ac:dyDescent="0.25">
      <c r="B4540" s="22"/>
      <c r="C4540" s="21"/>
      <c r="W4540" s="22"/>
      <c r="X4540" s="22"/>
    </row>
    <row r="4541" spans="2:24" x14ac:dyDescent="0.25">
      <c r="B4541" s="22"/>
      <c r="C4541" s="21"/>
    </row>
    <row r="4542" spans="2:24" x14ac:dyDescent="0.25">
      <c r="B4542" s="22"/>
      <c r="C4542" s="21"/>
      <c r="W4542" s="22"/>
      <c r="X4542" s="22"/>
    </row>
    <row r="4543" spans="2:24" x14ac:dyDescent="0.25">
      <c r="B4543" s="22"/>
      <c r="C4543" s="21"/>
      <c r="W4543" s="22"/>
      <c r="X4543" s="22"/>
    </row>
    <row r="4544" spans="2:24" x14ac:dyDescent="0.25">
      <c r="B4544" s="22"/>
      <c r="C4544" s="21"/>
      <c r="W4544" s="22"/>
      <c r="X4544" s="22"/>
    </row>
    <row r="4545" spans="2:24" x14ac:dyDescent="0.25">
      <c r="B4545" s="22"/>
      <c r="C4545" s="21"/>
      <c r="W4545" s="22"/>
      <c r="X4545" s="22"/>
    </row>
    <row r="4546" spans="2:24" x14ac:dyDescent="0.25">
      <c r="B4546" s="22"/>
      <c r="C4546" s="21"/>
      <c r="W4546" s="22"/>
      <c r="X4546" s="22"/>
    </row>
    <row r="4547" spans="2:24" x14ac:dyDescent="0.25">
      <c r="B4547" s="22"/>
      <c r="C4547" s="21"/>
      <c r="W4547" s="22"/>
      <c r="X4547" s="22"/>
    </row>
    <row r="4548" spans="2:24" x14ac:dyDescent="0.25">
      <c r="B4548" s="22"/>
      <c r="C4548" s="21"/>
      <c r="W4548" s="22"/>
      <c r="X4548" s="22"/>
    </row>
    <row r="4549" spans="2:24" x14ac:dyDescent="0.25">
      <c r="B4549" s="22"/>
      <c r="C4549" s="21"/>
    </row>
    <row r="4550" spans="2:24" x14ac:dyDescent="0.25">
      <c r="B4550" s="22"/>
      <c r="C4550" s="21"/>
      <c r="W4550" s="22"/>
      <c r="X4550" s="22"/>
    </row>
    <row r="4551" spans="2:24" x14ac:dyDescent="0.25">
      <c r="B4551" s="22"/>
      <c r="C4551" s="21"/>
      <c r="W4551" s="22"/>
      <c r="X4551" s="22"/>
    </row>
    <row r="4552" spans="2:24" x14ac:dyDescent="0.25">
      <c r="B4552" s="22"/>
      <c r="C4552" s="21"/>
      <c r="W4552" s="22"/>
      <c r="X4552" s="22"/>
    </row>
    <row r="4553" spans="2:24" x14ac:dyDescent="0.25">
      <c r="B4553" s="22"/>
      <c r="C4553" s="21"/>
      <c r="W4553" s="22"/>
      <c r="X4553" s="22"/>
    </row>
    <row r="4554" spans="2:24" x14ac:dyDescent="0.25">
      <c r="B4554" s="22"/>
      <c r="C4554" s="21"/>
      <c r="W4554" s="22"/>
      <c r="X4554" s="22"/>
    </row>
    <row r="4555" spans="2:24" x14ac:dyDescent="0.25">
      <c r="B4555" s="22"/>
      <c r="C4555" s="21"/>
      <c r="W4555" s="22"/>
      <c r="X4555" s="22"/>
    </row>
    <row r="4556" spans="2:24" x14ac:dyDescent="0.25">
      <c r="B4556" s="22"/>
      <c r="C4556" s="21"/>
      <c r="W4556" s="22"/>
      <c r="X4556" s="22"/>
    </row>
    <row r="4557" spans="2:24" x14ac:dyDescent="0.25">
      <c r="B4557" s="22"/>
      <c r="C4557" s="21"/>
      <c r="W4557" s="22"/>
      <c r="X4557" s="22"/>
    </row>
    <row r="4558" spans="2:24" x14ac:dyDescent="0.25">
      <c r="B4558" s="22"/>
      <c r="C4558" s="21"/>
      <c r="W4558" s="22"/>
      <c r="X4558" s="22"/>
    </row>
    <row r="4559" spans="2:24" x14ac:dyDescent="0.25">
      <c r="B4559" s="22"/>
      <c r="C4559" s="21"/>
      <c r="W4559" s="22"/>
      <c r="X4559" s="22"/>
    </row>
    <row r="4560" spans="2:24" x14ac:dyDescent="0.25">
      <c r="B4560" s="22"/>
      <c r="C4560" s="21"/>
      <c r="W4560" s="22"/>
      <c r="X4560" s="22"/>
    </row>
    <row r="4561" spans="2:24" x14ac:dyDescent="0.25">
      <c r="B4561" s="22"/>
      <c r="C4561" s="21"/>
      <c r="W4561" s="22"/>
      <c r="X4561" s="22"/>
    </row>
    <row r="4562" spans="2:24" x14ac:dyDescent="0.25">
      <c r="B4562" s="22"/>
      <c r="C4562" s="21"/>
      <c r="W4562" s="22"/>
      <c r="X4562" s="22"/>
    </row>
    <row r="4563" spans="2:24" x14ac:dyDescent="0.25">
      <c r="B4563" s="22"/>
      <c r="C4563" s="21"/>
      <c r="W4563" s="22"/>
      <c r="X4563" s="22"/>
    </row>
    <row r="4564" spans="2:24" x14ac:dyDescent="0.25">
      <c r="B4564" s="22"/>
      <c r="C4564" s="21"/>
      <c r="W4564" s="22"/>
      <c r="X4564" s="22"/>
    </row>
    <row r="4565" spans="2:24" x14ac:dyDescent="0.25">
      <c r="B4565" s="22"/>
      <c r="C4565" s="21"/>
      <c r="W4565" s="22"/>
      <c r="X4565" s="22"/>
    </row>
    <row r="4566" spans="2:24" x14ac:dyDescent="0.25">
      <c r="B4566" s="22"/>
      <c r="C4566" s="21"/>
      <c r="W4566" s="22"/>
      <c r="X4566" s="22"/>
    </row>
    <row r="4567" spans="2:24" x14ac:dyDescent="0.25">
      <c r="B4567" s="22"/>
      <c r="C4567" s="21"/>
      <c r="W4567" s="22"/>
      <c r="X4567" s="22"/>
    </row>
    <row r="4568" spans="2:24" x14ac:dyDescent="0.25">
      <c r="B4568" s="22"/>
      <c r="C4568" s="21"/>
      <c r="W4568" s="22"/>
      <c r="X4568" s="22"/>
    </row>
    <row r="4569" spans="2:24" x14ac:dyDescent="0.25">
      <c r="B4569" s="22"/>
      <c r="C4569" s="21"/>
      <c r="W4569" s="22"/>
      <c r="X4569" s="22"/>
    </row>
    <row r="4570" spans="2:24" x14ac:dyDescent="0.25">
      <c r="B4570" s="22"/>
      <c r="C4570" s="21"/>
      <c r="W4570" s="22"/>
      <c r="X4570" s="22"/>
    </row>
    <row r="4571" spans="2:24" x14ac:dyDescent="0.25">
      <c r="B4571" s="22"/>
      <c r="C4571" s="21"/>
      <c r="W4571" s="22"/>
      <c r="X4571" s="22"/>
    </row>
    <row r="4572" spans="2:24" x14ac:dyDescent="0.25">
      <c r="B4572" s="22"/>
      <c r="C4572" s="21"/>
      <c r="W4572" s="22"/>
      <c r="X4572" s="22"/>
    </row>
    <row r="4573" spans="2:24" x14ac:dyDescent="0.25">
      <c r="B4573" s="22"/>
      <c r="C4573" s="21"/>
      <c r="W4573" s="22"/>
      <c r="X4573" s="22"/>
    </row>
    <row r="4574" spans="2:24" x14ac:dyDescent="0.25">
      <c r="B4574" s="22"/>
      <c r="C4574" s="21"/>
      <c r="W4574" s="22"/>
      <c r="X4574" s="22"/>
    </row>
    <row r="4575" spans="2:24" x14ac:dyDescent="0.25">
      <c r="B4575" s="22"/>
      <c r="C4575" s="21"/>
      <c r="W4575" s="22"/>
      <c r="X4575" s="22"/>
    </row>
    <row r="4576" spans="2:24" x14ac:dyDescent="0.25">
      <c r="B4576" s="22"/>
      <c r="C4576" s="21"/>
      <c r="W4576" s="22"/>
      <c r="X4576" s="22"/>
    </row>
    <row r="4577" spans="2:24" x14ac:dyDescent="0.25">
      <c r="B4577" s="22"/>
      <c r="C4577" s="21"/>
      <c r="W4577" s="22"/>
      <c r="X4577" s="22"/>
    </row>
    <row r="4578" spans="2:24" x14ac:dyDescent="0.25">
      <c r="B4578" s="22"/>
      <c r="C4578" s="21"/>
      <c r="W4578" s="22"/>
      <c r="X4578" s="22"/>
    </row>
    <row r="4579" spans="2:24" x14ac:dyDescent="0.25">
      <c r="B4579" s="22"/>
      <c r="C4579" s="21"/>
      <c r="W4579" s="22"/>
      <c r="X4579" s="22"/>
    </row>
    <row r="4580" spans="2:24" x14ac:dyDescent="0.25">
      <c r="B4580" s="22"/>
      <c r="C4580" s="21"/>
      <c r="W4580" s="22"/>
      <c r="X4580" s="22"/>
    </row>
    <row r="4581" spans="2:24" x14ac:dyDescent="0.25">
      <c r="B4581" s="22"/>
      <c r="C4581" s="21"/>
      <c r="W4581" s="22"/>
      <c r="X4581" s="22"/>
    </row>
    <row r="4582" spans="2:24" x14ac:dyDescent="0.25">
      <c r="B4582" s="22"/>
      <c r="C4582" s="21"/>
      <c r="W4582" s="22"/>
      <c r="X4582" s="22"/>
    </row>
    <row r="4583" spans="2:24" x14ac:dyDescent="0.25">
      <c r="B4583" s="22"/>
      <c r="C4583" s="21"/>
      <c r="W4583" s="22"/>
      <c r="X4583" s="22"/>
    </row>
    <row r="4584" spans="2:24" x14ac:dyDescent="0.25">
      <c r="B4584" s="22"/>
      <c r="C4584" s="21"/>
      <c r="W4584" s="22"/>
      <c r="X4584" s="22"/>
    </row>
    <row r="4585" spans="2:24" x14ac:dyDescent="0.25">
      <c r="B4585" s="22"/>
      <c r="C4585" s="21"/>
      <c r="W4585" s="22"/>
      <c r="X4585" s="22"/>
    </row>
    <row r="4586" spans="2:24" x14ac:dyDescent="0.25">
      <c r="B4586" s="22"/>
      <c r="C4586" s="21"/>
      <c r="W4586" s="22"/>
      <c r="X4586" s="22"/>
    </row>
    <row r="4587" spans="2:24" x14ac:dyDescent="0.25">
      <c r="B4587" s="22"/>
      <c r="C4587" s="21"/>
      <c r="W4587" s="22"/>
      <c r="X4587" s="22"/>
    </row>
    <row r="4588" spans="2:24" x14ac:dyDescent="0.25">
      <c r="B4588" s="22"/>
      <c r="C4588" s="21"/>
      <c r="W4588" s="22"/>
      <c r="X4588" s="22"/>
    </row>
    <row r="4589" spans="2:24" x14ac:dyDescent="0.25">
      <c r="B4589" s="22"/>
      <c r="C4589" s="21"/>
      <c r="W4589" s="22"/>
      <c r="X4589" s="22"/>
    </row>
    <row r="4590" spans="2:24" x14ac:dyDescent="0.25">
      <c r="B4590" s="22"/>
      <c r="C4590" s="21"/>
      <c r="W4590" s="22"/>
      <c r="X4590" s="22"/>
    </row>
    <row r="4591" spans="2:24" x14ac:dyDescent="0.25">
      <c r="B4591" s="22"/>
      <c r="C4591" s="21"/>
      <c r="W4591" s="22"/>
      <c r="X4591" s="22"/>
    </row>
    <row r="4592" spans="2:24" x14ac:dyDescent="0.25">
      <c r="B4592" s="22"/>
      <c r="C4592" s="21"/>
      <c r="W4592" s="22"/>
      <c r="X4592" s="22"/>
    </row>
    <row r="4593" spans="2:24" x14ac:dyDescent="0.25">
      <c r="B4593" s="22"/>
      <c r="C4593" s="21"/>
      <c r="W4593" s="22"/>
      <c r="X4593" s="22"/>
    </row>
    <row r="4594" spans="2:24" x14ac:dyDescent="0.25">
      <c r="B4594" s="22"/>
      <c r="C4594" s="21"/>
      <c r="W4594" s="22"/>
      <c r="X4594" s="22"/>
    </row>
    <row r="4595" spans="2:24" x14ac:dyDescent="0.25">
      <c r="B4595" s="22"/>
      <c r="C4595" s="21"/>
      <c r="W4595" s="22"/>
      <c r="X4595" s="22"/>
    </row>
    <row r="4596" spans="2:24" x14ac:dyDescent="0.25">
      <c r="B4596" s="22"/>
      <c r="C4596" s="21"/>
      <c r="W4596" s="22"/>
      <c r="X4596" s="22"/>
    </row>
    <row r="4597" spans="2:24" x14ac:dyDescent="0.25">
      <c r="B4597" s="22"/>
      <c r="C4597" s="21"/>
      <c r="W4597" s="22"/>
      <c r="X4597" s="22"/>
    </row>
    <row r="4598" spans="2:24" x14ac:dyDescent="0.25">
      <c r="B4598" s="22"/>
      <c r="C4598" s="21"/>
      <c r="W4598" s="22"/>
      <c r="X4598" s="22"/>
    </row>
    <row r="4599" spans="2:24" x14ac:dyDescent="0.25">
      <c r="B4599" s="22"/>
      <c r="C4599" s="21"/>
      <c r="W4599" s="22"/>
      <c r="X4599" s="22"/>
    </row>
    <row r="4600" spans="2:24" x14ac:dyDescent="0.25">
      <c r="B4600" s="22"/>
      <c r="C4600" s="21"/>
      <c r="W4600" s="22"/>
      <c r="X4600" s="22"/>
    </row>
    <row r="4601" spans="2:24" x14ac:dyDescent="0.25">
      <c r="B4601" s="22"/>
      <c r="C4601" s="21"/>
      <c r="W4601" s="22"/>
      <c r="X4601" s="22"/>
    </row>
    <row r="4602" spans="2:24" x14ac:dyDescent="0.25">
      <c r="B4602" s="22"/>
      <c r="C4602" s="21"/>
      <c r="W4602" s="22"/>
      <c r="X4602" s="22"/>
    </row>
    <row r="4603" spans="2:24" x14ac:dyDescent="0.25">
      <c r="B4603" s="22"/>
      <c r="C4603" s="21"/>
      <c r="W4603" s="22"/>
      <c r="X4603" s="22"/>
    </row>
    <row r="4604" spans="2:24" x14ac:dyDescent="0.25">
      <c r="B4604" s="22"/>
      <c r="C4604" s="21"/>
      <c r="W4604" s="22"/>
      <c r="X4604" s="22"/>
    </row>
    <row r="4605" spans="2:24" x14ac:dyDescent="0.25">
      <c r="B4605" s="22"/>
      <c r="C4605" s="21"/>
      <c r="W4605" s="22"/>
      <c r="X4605" s="22"/>
    </row>
    <row r="4606" spans="2:24" x14ac:dyDescent="0.25">
      <c r="B4606" s="22"/>
      <c r="C4606" s="21"/>
      <c r="W4606" s="22"/>
      <c r="X4606" s="22"/>
    </row>
    <row r="4607" spans="2:24" x14ac:dyDescent="0.25">
      <c r="B4607" s="22"/>
      <c r="C4607" s="21"/>
      <c r="W4607" s="22"/>
      <c r="X4607" s="22"/>
    </row>
    <row r="4608" spans="2:24" x14ac:dyDescent="0.25">
      <c r="B4608" s="22"/>
      <c r="C4608" s="21"/>
      <c r="W4608" s="22"/>
      <c r="X4608" s="22"/>
    </row>
    <row r="4609" spans="2:24" x14ac:dyDescent="0.25">
      <c r="B4609" s="22"/>
      <c r="C4609" s="21"/>
      <c r="W4609" s="22"/>
      <c r="X4609" s="22"/>
    </row>
    <row r="4610" spans="2:24" x14ac:dyDescent="0.25">
      <c r="B4610" s="22"/>
      <c r="C4610" s="21"/>
      <c r="W4610" s="22"/>
      <c r="X4610" s="22"/>
    </row>
    <row r="4611" spans="2:24" x14ac:dyDescent="0.25">
      <c r="B4611" s="22"/>
      <c r="C4611" s="21"/>
      <c r="W4611" s="22"/>
      <c r="X4611" s="22"/>
    </row>
    <row r="4612" spans="2:24" x14ac:dyDescent="0.25">
      <c r="B4612" s="22"/>
      <c r="C4612" s="21"/>
      <c r="W4612" s="22"/>
      <c r="X4612" s="22"/>
    </row>
    <row r="4613" spans="2:24" x14ac:dyDescent="0.25">
      <c r="B4613" s="22"/>
      <c r="C4613" s="21"/>
      <c r="W4613" s="22"/>
      <c r="X4613" s="22"/>
    </row>
    <row r="4614" spans="2:24" x14ac:dyDescent="0.25">
      <c r="B4614" s="22"/>
      <c r="C4614" s="21"/>
      <c r="W4614" s="22"/>
      <c r="X4614" s="22"/>
    </row>
    <row r="4615" spans="2:24" x14ac:dyDescent="0.25">
      <c r="B4615" s="22"/>
      <c r="C4615" s="21"/>
      <c r="W4615" s="22"/>
      <c r="X4615" s="22"/>
    </row>
    <row r="4616" spans="2:24" x14ac:dyDescent="0.25">
      <c r="B4616" s="22"/>
      <c r="C4616" s="21"/>
      <c r="W4616" s="22"/>
      <c r="X4616" s="22"/>
    </row>
    <row r="4617" spans="2:24" x14ac:dyDescent="0.25">
      <c r="B4617" s="22"/>
      <c r="C4617" s="21"/>
      <c r="W4617" s="22"/>
      <c r="X4617" s="22"/>
    </row>
    <row r="4618" spans="2:24" x14ac:dyDescent="0.25">
      <c r="B4618" s="22"/>
      <c r="C4618" s="21"/>
      <c r="W4618" s="22"/>
      <c r="X4618" s="22"/>
    </row>
    <row r="4619" spans="2:24" x14ac:dyDescent="0.25">
      <c r="B4619" s="22"/>
      <c r="C4619" s="21"/>
      <c r="W4619" s="22"/>
      <c r="X4619" s="22"/>
    </row>
    <row r="4620" spans="2:24" x14ac:dyDescent="0.25">
      <c r="B4620" s="22"/>
      <c r="C4620" s="21"/>
      <c r="W4620" s="22"/>
      <c r="X4620" s="22"/>
    </row>
    <row r="4621" spans="2:24" x14ac:dyDescent="0.25">
      <c r="B4621" s="22"/>
      <c r="C4621" s="21"/>
      <c r="W4621" s="22"/>
      <c r="X4621" s="22"/>
    </row>
    <row r="4622" spans="2:24" x14ac:dyDescent="0.25">
      <c r="B4622" s="22"/>
      <c r="C4622" s="21"/>
      <c r="W4622" s="22"/>
      <c r="X4622" s="22"/>
    </row>
    <row r="4623" spans="2:24" x14ac:dyDescent="0.25">
      <c r="B4623" s="22"/>
      <c r="C4623" s="21"/>
      <c r="W4623" s="22"/>
      <c r="X4623" s="22"/>
    </row>
    <row r="4624" spans="2:24" x14ac:dyDescent="0.25">
      <c r="B4624" s="22"/>
      <c r="C4624" s="21"/>
      <c r="W4624" s="22"/>
      <c r="X4624" s="22"/>
    </row>
    <row r="4625" spans="2:24" x14ac:dyDescent="0.25">
      <c r="B4625" s="22"/>
      <c r="C4625" s="21"/>
      <c r="W4625" s="22"/>
      <c r="X4625" s="22"/>
    </row>
    <row r="4626" spans="2:24" x14ac:dyDescent="0.25">
      <c r="B4626" s="22"/>
      <c r="C4626" s="21"/>
      <c r="W4626" s="22"/>
      <c r="X4626" s="22"/>
    </row>
    <row r="4627" spans="2:24" x14ac:dyDescent="0.25">
      <c r="B4627" s="22"/>
      <c r="C4627" s="21"/>
      <c r="W4627" s="22"/>
      <c r="X4627" s="22"/>
    </row>
    <row r="4628" spans="2:24" x14ac:dyDescent="0.25">
      <c r="B4628" s="22"/>
      <c r="C4628" s="21"/>
      <c r="W4628" s="22"/>
      <c r="X4628" s="22"/>
    </row>
    <row r="4629" spans="2:24" x14ac:dyDescent="0.25">
      <c r="B4629" s="22"/>
      <c r="C4629" s="21"/>
      <c r="W4629" s="22"/>
      <c r="X4629" s="22"/>
    </row>
    <row r="4630" spans="2:24" x14ac:dyDescent="0.25">
      <c r="B4630" s="22"/>
      <c r="C4630" s="21"/>
      <c r="W4630" s="22"/>
      <c r="X4630" s="22"/>
    </row>
    <row r="4631" spans="2:24" x14ac:dyDescent="0.25">
      <c r="B4631" s="22"/>
      <c r="C4631" s="21"/>
      <c r="W4631" s="22"/>
      <c r="X4631" s="22"/>
    </row>
    <row r="4632" spans="2:24" x14ac:dyDescent="0.25">
      <c r="B4632" s="22"/>
      <c r="C4632" s="21"/>
      <c r="W4632" s="22"/>
      <c r="X4632" s="22"/>
    </row>
    <row r="4633" spans="2:24" x14ac:dyDescent="0.25">
      <c r="B4633" s="22"/>
      <c r="C4633" s="21"/>
      <c r="W4633" s="22"/>
      <c r="X4633" s="22"/>
    </row>
    <row r="4634" spans="2:24" x14ac:dyDescent="0.25">
      <c r="B4634" s="22"/>
      <c r="C4634" s="21"/>
      <c r="W4634" s="22"/>
      <c r="X4634" s="22"/>
    </row>
    <row r="4635" spans="2:24" x14ac:dyDescent="0.25">
      <c r="B4635" s="22"/>
      <c r="C4635" s="21"/>
      <c r="W4635" s="22"/>
      <c r="X4635" s="22"/>
    </row>
    <row r="4636" spans="2:24" x14ac:dyDescent="0.25">
      <c r="B4636" s="22"/>
      <c r="C4636" s="21"/>
      <c r="W4636" s="22"/>
      <c r="X4636" s="22"/>
    </row>
    <row r="4637" spans="2:24" x14ac:dyDescent="0.25">
      <c r="B4637" s="22"/>
      <c r="C4637" s="21"/>
      <c r="W4637" s="22"/>
      <c r="X4637" s="22"/>
    </row>
    <row r="4638" spans="2:24" x14ac:dyDescent="0.25">
      <c r="B4638" s="22"/>
      <c r="C4638" s="21"/>
      <c r="W4638" s="22"/>
      <c r="X4638" s="22"/>
    </row>
    <row r="4639" spans="2:24" x14ac:dyDescent="0.25">
      <c r="B4639" s="22"/>
      <c r="C4639" s="21"/>
      <c r="W4639" s="22"/>
      <c r="X4639" s="22"/>
    </row>
    <row r="4640" spans="2:24" x14ac:dyDescent="0.25">
      <c r="B4640" s="22"/>
      <c r="C4640" s="21"/>
      <c r="W4640" s="22"/>
      <c r="X4640" s="22"/>
    </row>
    <row r="4641" spans="2:24" x14ac:dyDescent="0.25">
      <c r="B4641" s="22"/>
      <c r="C4641" s="21"/>
      <c r="W4641" s="22"/>
      <c r="X4641" s="22"/>
    </row>
    <row r="4642" spans="2:24" x14ac:dyDescent="0.25">
      <c r="B4642" s="22"/>
      <c r="C4642" s="21"/>
      <c r="W4642" s="22"/>
      <c r="X4642" s="22"/>
    </row>
    <row r="4643" spans="2:24" x14ac:dyDescent="0.25">
      <c r="B4643" s="22"/>
      <c r="C4643" s="21"/>
      <c r="W4643" s="22"/>
      <c r="X4643" s="22"/>
    </row>
    <row r="4644" spans="2:24" x14ac:dyDescent="0.25">
      <c r="B4644" s="22"/>
      <c r="C4644" s="21"/>
      <c r="W4644" s="22"/>
      <c r="X4644" s="22"/>
    </row>
    <row r="4645" spans="2:24" x14ac:dyDescent="0.25">
      <c r="B4645" s="22"/>
      <c r="C4645" s="21"/>
      <c r="W4645" s="22"/>
      <c r="X4645" s="22"/>
    </row>
    <row r="4646" spans="2:24" x14ac:dyDescent="0.25">
      <c r="B4646" s="22"/>
      <c r="C4646" s="21"/>
      <c r="W4646" s="22"/>
      <c r="X4646" s="22"/>
    </row>
    <row r="4647" spans="2:24" x14ac:dyDescent="0.25">
      <c r="B4647" s="22"/>
      <c r="C4647" s="21"/>
      <c r="W4647" s="22"/>
      <c r="X4647" s="22"/>
    </row>
    <row r="4648" spans="2:24" x14ac:dyDescent="0.25">
      <c r="B4648" s="22"/>
      <c r="C4648" s="21"/>
      <c r="W4648" s="22"/>
      <c r="X4648" s="22"/>
    </row>
    <row r="4649" spans="2:24" x14ac:dyDescent="0.25">
      <c r="B4649" s="22"/>
      <c r="C4649" s="21"/>
      <c r="W4649" s="22"/>
      <c r="X4649" s="22"/>
    </row>
    <row r="4650" spans="2:24" x14ac:dyDescent="0.25">
      <c r="B4650" s="22"/>
      <c r="C4650" s="21"/>
      <c r="W4650" s="22"/>
      <c r="X4650" s="22"/>
    </row>
    <row r="4651" spans="2:24" x14ac:dyDescent="0.25">
      <c r="B4651" s="22"/>
      <c r="C4651" s="21"/>
      <c r="W4651" s="22"/>
      <c r="X4651" s="22"/>
    </row>
    <row r="4652" spans="2:24" x14ac:dyDescent="0.25">
      <c r="B4652" s="22"/>
      <c r="C4652" s="21"/>
      <c r="W4652" s="22"/>
      <c r="X4652" s="22"/>
    </row>
    <row r="4653" spans="2:24" x14ac:dyDescent="0.25">
      <c r="B4653" s="22"/>
      <c r="C4653" s="21"/>
      <c r="W4653" s="22"/>
      <c r="X4653" s="22"/>
    </row>
    <row r="4654" spans="2:24" x14ac:dyDescent="0.25">
      <c r="B4654" s="22"/>
      <c r="C4654" s="21"/>
      <c r="W4654" s="22"/>
      <c r="X4654" s="22"/>
    </row>
    <row r="4655" spans="2:24" x14ac:dyDescent="0.25">
      <c r="B4655" s="22"/>
      <c r="C4655" s="21"/>
      <c r="W4655" s="22"/>
      <c r="X4655" s="22"/>
    </row>
    <row r="4656" spans="2:24" x14ac:dyDescent="0.25">
      <c r="B4656" s="22"/>
      <c r="C4656" s="21"/>
      <c r="W4656" s="22"/>
      <c r="X4656" s="22"/>
    </row>
    <row r="4657" spans="2:24" x14ac:dyDescent="0.25">
      <c r="B4657" s="22"/>
      <c r="C4657" s="21"/>
      <c r="W4657" s="22"/>
      <c r="X4657" s="22"/>
    </row>
    <row r="4658" spans="2:24" x14ac:dyDescent="0.25">
      <c r="B4658" s="22"/>
      <c r="C4658" s="21"/>
      <c r="W4658" s="22"/>
      <c r="X4658" s="22"/>
    </row>
    <row r="4659" spans="2:24" x14ac:dyDescent="0.25">
      <c r="B4659" s="22"/>
      <c r="C4659" s="21"/>
      <c r="W4659" s="22"/>
      <c r="X4659" s="22"/>
    </row>
    <row r="4660" spans="2:24" x14ac:dyDescent="0.25">
      <c r="B4660" s="22"/>
      <c r="C4660" s="21"/>
      <c r="W4660" s="22"/>
      <c r="X4660" s="22"/>
    </row>
    <row r="4661" spans="2:24" x14ac:dyDescent="0.25">
      <c r="B4661" s="22"/>
      <c r="C4661" s="21"/>
      <c r="W4661" s="22"/>
      <c r="X4661" s="22"/>
    </row>
    <row r="4662" spans="2:24" x14ac:dyDescent="0.25">
      <c r="B4662" s="22"/>
      <c r="C4662" s="21"/>
    </row>
    <row r="4663" spans="2:24" x14ac:dyDescent="0.25">
      <c r="B4663" s="22"/>
      <c r="C4663" s="21"/>
    </row>
    <row r="4664" spans="2:24" x14ac:dyDescent="0.25">
      <c r="B4664" s="22"/>
      <c r="C4664" s="21"/>
    </row>
    <row r="4665" spans="2:24" x14ac:dyDescent="0.25">
      <c r="B4665" s="22"/>
      <c r="C4665" s="21"/>
    </row>
    <row r="4666" spans="2:24" x14ac:dyDescent="0.25">
      <c r="B4666" s="22"/>
      <c r="C4666" s="21"/>
      <c r="W4666" s="22"/>
      <c r="X4666" s="22"/>
    </row>
    <row r="4667" spans="2:24" x14ac:dyDescent="0.25">
      <c r="B4667" s="22"/>
      <c r="C4667" s="21"/>
      <c r="W4667" s="22"/>
      <c r="X4667" s="22"/>
    </row>
    <row r="4668" spans="2:24" x14ac:dyDescent="0.25">
      <c r="B4668" s="22"/>
      <c r="C4668" s="21"/>
    </row>
    <row r="4669" spans="2:24" x14ac:dyDescent="0.25">
      <c r="B4669" s="22"/>
      <c r="C4669" s="21"/>
      <c r="W4669" s="22"/>
      <c r="X4669" s="22"/>
    </row>
    <row r="4670" spans="2:24" x14ac:dyDescent="0.25">
      <c r="B4670" s="22"/>
      <c r="C4670" s="21"/>
      <c r="W4670" s="22"/>
      <c r="X4670" s="22"/>
    </row>
    <row r="4671" spans="2:24" x14ac:dyDescent="0.25">
      <c r="B4671" s="22"/>
      <c r="C4671" s="21"/>
      <c r="W4671" s="22"/>
      <c r="X4671" s="22"/>
    </row>
    <row r="4672" spans="2:24" x14ac:dyDescent="0.25">
      <c r="B4672" s="22"/>
      <c r="C4672" s="21"/>
      <c r="W4672" s="22"/>
      <c r="X4672" s="22"/>
    </row>
    <row r="4673" spans="2:24" x14ac:dyDescent="0.25">
      <c r="B4673" s="22"/>
      <c r="C4673" s="21"/>
      <c r="W4673" s="22"/>
      <c r="X4673" s="22"/>
    </row>
    <row r="4674" spans="2:24" x14ac:dyDescent="0.25">
      <c r="B4674" s="22"/>
      <c r="C4674" s="21"/>
      <c r="W4674" s="22"/>
      <c r="X4674" s="22"/>
    </row>
    <row r="4675" spans="2:24" x14ac:dyDescent="0.25">
      <c r="B4675" s="22"/>
      <c r="C4675" s="21"/>
      <c r="W4675" s="22"/>
      <c r="X4675" s="22"/>
    </row>
    <row r="4676" spans="2:24" x14ac:dyDescent="0.25">
      <c r="B4676" s="22"/>
      <c r="C4676" s="21"/>
      <c r="W4676" s="22"/>
      <c r="X4676" s="22"/>
    </row>
    <row r="4677" spans="2:24" x14ac:dyDescent="0.25">
      <c r="B4677" s="22"/>
      <c r="C4677" s="21"/>
      <c r="W4677" s="22"/>
      <c r="X4677" s="22"/>
    </row>
    <row r="4678" spans="2:24" x14ac:dyDescent="0.25">
      <c r="B4678" s="22"/>
      <c r="C4678" s="21"/>
      <c r="W4678" s="22"/>
      <c r="X4678" s="22"/>
    </row>
    <row r="4679" spans="2:24" x14ac:dyDescent="0.25">
      <c r="B4679" s="22"/>
      <c r="C4679" s="21"/>
      <c r="W4679" s="22"/>
      <c r="X4679" s="22"/>
    </row>
    <row r="4680" spans="2:24" x14ac:dyDescent="0.25">
      <c r="B4680" s="22"/>
      <c r="C4680" s="21"/>
      <c r="W4680" s="22"/>
      <c r="X4680" s="22"/>
    </row>
    <row r="4681" spans="2:24" x14ac:dyDescent="0.25">
      <c r="B4681" s="22"/>
      <c r="C4681" s="21"/>
      <c r="W4681" s="22"/>
      <c r="X4681" s="22"/>
    </row>
    <row r="4682" spans="2:24" x14ac:dyDescent="0.25">
      <c r="B4682" s="22"/>
      <c r="C4682" s="21"/>
      <c r="W4682" s="22"/>
      <c r="X4682" s="22"/>
    </row>
    <row r="4683" spans="2:24" x14ac:dyDescent="0.25">
      <c r="B4683" s="22"/>
      <c r="C4683" s="21"/>
      <c r="W4683" s="22"/>
      <c r="X4683" s="22"/>
    </row>
    <row r="4684" spans="2:24" x14ac:dyDescent="0.25">
      <c r="B4684" s="22"/>
      <c r="C4684" s="21"/>
      <c r="W4684" s="22"/>
      <c r="X4684" s="22"/>
    </row>
    <row r="4685" spans="2:24" x14ac:dyDescent="0.25">
      <c r="B4685" s="22"/>
      <c r="C4685" s="21"/>
      <c r="W4685" s="22"/>
      <c r="X4685" s="22"/>
    </row>
    <row r="4686" spans="2:24" x14ac:dyDescent="0.25">
      <c r="B4686" s="22"/>
      <c r="C4686" s="21"/>
      <c r="W4686" s="22"/>
      <c r="X4686" s="22"/>
    </row>
    <row r="4687" spans="2:24" x14ac:dyDescent="0.25">
      <c r="B4687" s="22"/>
      <c r="C4687" s="21"/>
      <c r="W4687" s="22"/>
      <c r="X4687" s="22"/>
    </row>
    <row r="4688" spans="2:24" x14ac:dyDescent="0.25">
      <c r="B4688" s="22"/>
      <c r="C4688" s="21"/>
      <c r="W4688" s="22"/>
      <c r="X4688" s="22"/>
    </row>
    <row r="4689" spans="2:24" x14ac:dyDescent="0.25">
      <c r="B4689" s="22"/>
      <c r="C4689" s="21"/>
      <c r="W4689" s="22"/>
      <c r="X4689" s="22"/>
    </row>
    <row r="4690" spans="2:24" x14ac:dyDescent="0.25">
      <c r="B4690" s="22"/>
      <c r="C4690" s="21"/>
      <c r="W4690" s="22"/>
      <c r="X4690" s="22"/>
    </row>
    <row r="4691" spans="2:24" x14ac:dyDescent="0.25">
      <c r="B4691" s="22"/>
      <c r="C4691" s="21"/>
      <c r="W4691" s="22"/>
      <c r="X4691" s="22"/>
    </row>
    <row r="4692" spans="2:24" x14ac:dyDescent="0.25">
      <c r="B4692" s="22"/>
      <c r="C4692" s="21"/>
      <c r="W4692" s="22"/>
      <c r="X4692" s="22"/>
    </row>
    <row r="4693" spans="2:24" x14ac:dyDescent="0.25">
      <c r="B4693" s="22"/>
      <c r="C4693" s="21"/>
      <c r="W4693" s="22"/>
      <c r="X4693" s="22"/>
    </row>
    <row r="4694" spans="2:24" x14ac:dyDescent="0.25">
      <c r="B4694" s="22"/>
      <c r="C4694" s="21"/>
      <c r="W4694" s="22"/>
      <c r="X4694" s="22"/>
    </row>
    <row r="4695" spans="2:24" x14ac:dyDescent="0.25">
      <c r="B4695" s="22"/>
      <c r="C4695" s="21"/>
      <c r="W4695" s="22"/>
      <c r="X4695" s="22"/>
    </row>
    <row r="4696" spans="2:24" x14ac:dyDescent="0.25">
      <c r="B4696" s="22"/>
      <c r="C4696" s="21"/>
      <c r="W4696" s="22"/>
      <c r="X4696" s="22"/>
    </row>
    <row r="4697" spans="2:24" x14ac:dyDescent="0.25">
      <c r="B4697" s="22"/>
      <c r="C4697" s="21"/>
      <c r="W4697" s="22"/>
      <c r="X4697" s="22"/>
    </row>
    <row r="4698" spans="2:24" x14ac:dyDescent="0.25">
      <c r="B4698" s="22"/>
      <c r="C4698" s="21"/>
      <c r="W4698" s="22"/>
      <c r="X4698" s="22"/>
    </row>
    <row r="4699" spans="2:24" x14ac:dyDescent="0.25">
      <c r="B4699" s="22"/>
      <c r="C4699" s="21"/>
      <c r="W4699" s="22"/>
      <c r="X4699" s="22"/>
    </row>
    <row r="4700" spans="2:24" x14ac:dyDescent="0.25">
      <c r="B4700" s="22"/>
      <c r="C4700" s="21"/>
      <c r="W4700" s="22"/>
      <c r="X4700" s="22"/>
    </row>
    <row r="4701" spans="2:24" x14ac:dyDescent="0.25">
      <c r="B4701" s="22"/>
      <c r="C4701" s="21"/>
      <c r="W4701" s="22"/>
      <c r="X4701" s="22"/>
    </row>
    <row r="4702" spans="2:24" x14ac:dyDescent="0.25">
      <c r="B4702" s="22"/>
      <c r="C4702" s="21"/>
      <c r="W4702" s="22"/>
      <c r="X4702" s="22"/>
    </row>
    <row r="4703" spans="2:24" x14ac:dyDescent="0.25">
      <c r="B4703" s="22"/>
      <c r="C4703" s="21"/>
      <c r="W4703" s="22"/>
      <c r="X4703" s="22"/>
    </row>
    <row r="4704" spans="2:24" x14ac:dyDescent="0.25">
      <c r="B4704" s="22"/>
      <c r="C4704" s="21"/>
      <c r="W4704" s="22"/>
      <c r="X4704" s="22"/>
    </row>
    <row r="4705" spans="2:24" x14ac:dyDescent="0.25">
      <c r="B4705" s="22"/>
      <c r="C4705" s="21"/>
      <c r="W4705" s="22"/>
      <c r="X4705" s="22"/>
    </row>
    <row r="4706" spans="2:24" x14ac:dyDescent="0.25">
      <c r="B4706" s="22"/>
      <c r="C4706" s="21"/>
      <c r="W4706" s="22"/>
    </row>
    <row r="4707" spans="2:24" x14ac:dyDescent="0.25">
      <c r="B4707" s="22"/>
      <c r="C4707" s="21"/>
      <c r="W4707" s="22"/>
      <c r="X4707" s="22"/>
    </row>
    <row r="4708" spans="2:24" x14ac:dyDescent="0.25">
      <c r="B4708" s="22"/>
      <c r="C4708" s="21"/>
      <c r="W4708" s="22"/>
      <c r="X4708" s="22"/>
    </row>
    <row r="4709" spans="2:24" x14ac:dyDescent="0.25">
      <c r="B4709" s="22"/>
      <c r="C4709" s="21"/>
      <c r="W4709" s="22"/>
      <c r="X4709" s="22"/>
    </row>
    <row r="4710" spans="2:24" x14ac:dyDescent="0.25">
      <c r="B4710" s="22"/>
      <c r="C4710" s="21"/>
      <c r="W4710" s="22"/>
      <c r="X4710" s="22"/>
    </row>
    <row r="4711" spans="2:24" x14ac:dyDescent="0.25">
      <c r="B4711" s="22"/>
      <c r="C4711" s="21"/>
      <c r="W4711" s="22"/>
      <c r="X4711" s="22"/>
    </row>
    <row r="4712" spans="2:24" x14ac:dyDescent="0.25">
      <c r="B4712" s="22"/>
      <c r="C4712" s="21"/>
      <c r="W4712" s="22"/>
      <c r="X4712" s="22"/>
    </row>
    <row r="4713" spans="2:24" x14ac:dyDescent="0.25">
      <c r="B4713" s="22"/>
      <c r="C4713" s="21"/>
      <c r="W4713" s="22"/>
      <c r="X4713" s="22"/>
    </row>
    <row r="4714" spans="2:24" x14ac:dyDescent="0.25">
      <c r="B4714" s="22"/>
      <c r="C4714" s="21"/>
      <c r="W4714" s="22"/>
      <c r="X4714" s="22"/>
    </row>
    <row r="4715" spans="2:24" x14ac:dyDescent="0.25">
      <c r="B4715" s="22"/>
      <c r="C4715" s="21"/>
      <c r="W4715" s="22"/>
      <c r="X4715" s="22"/>
    </row>
    <row r="4716" spans="2:24" x14ac:dyDescent="0.25">
      <c r="B4716" s="22"/>
      <c r="C4716" s="21"/>
      <c r="W4716" s="22"/>
      <c r="X4716" s="22"/>
    </row>
    <row r="4717" spans="2:24" x14ac:dyDescent="0.25">
      <c r="B4717" s="22"/>
      <c r="C4717" s="21"/>
      <c r="W4717" s="22"/>
      <c r="X4717" s="22"/>
    </row>
    <row r="4718" spans="2:24" x14ac:dyDescent="0.25">
      <c r="B4718" s="22"/>
      <c r="C4718" s="21"/>
      <c r="W4718" s="22"/>
      <c r="X4718" s="22"/>
    </row>
    <row r="4719" spans="2:24" x14ac:dyDescent="0.25">
      <c r="B4719" s="22"/>
      <c r="C4719" s="21"/>
    </row>
    <row r="4720" spans="2:24" x14ac:dyDescent="0.25">
      <c r="B4720" s="22"/>
      <c r="C4720" s="21"/>
      <c r="W4720" s="22"/>
      <c r="X4720" s="22"/>
    </row>
    <row r="4721" spans="2:24" x14ac:dyDescent="0.25">
      <c r="B4721" s="22"/>
      <c r="C4721" s="21"/>
      <c r="W4721" s="22"/>
      <c r="X4721" s="22"/>
    </row>
    <row r="4722" spans="2:24" x14ac:dyDescent="0.25">
      <c r="B4722" s="22"/>
      <c r="C4722" s="21"/>
      <c r="W4722" s="22"/>
    </row>
    <row r="4723" spans="2:24" x14ac:dyDescent="0.25">
      <c r="B4723" s="22"/>
      <c r="C4723" s="21"/>
      <c r="W4723" s="22"/>
      <c r="X4723" s="22"/>
    </row>
    <row r="4724" spans="2:24" x14ac:dyDescent="0.25">
      <c r="B4724" s="22"/>
      <c r="C4724" s="21"/>
      <c r="W4724" s="22"/>
      <c r="X4724" s="22"/>
    </row>
    <row r="4725" spans="2:24" x14ac:dyDescent="0.25">
      <c r="B4725" s="22"/>
      <c r="C4725" s="21"/>
      <c r="W4725" s="22"/>
    </row>
    <row r="4726" spans="2:24" x14ac:dyDescent="0.25">
      <c r="B4726" s="22"/>
      <c r="C4726" s="21"/>
      <c r="W4726" s="22"/>
    </row>
    <row r="4727" spans="2:24" x14ac:dyDescent="0.25">
      <c r="B4727" s="22"/>
      <c r="C4727" s="21"/>
      <c r="W4727" s="22"/>
    </row>
    <row r="4728" spans="2:24" x14ac:dyDescent="0.25">
      <c r="B4728" s="22"/>
      <c r="C4728" s="21"/>
      <c r="W4728" s="22"/>
    </row>
    <row r="4729" spans="2:24" x14ac:dyDescent="0.25">
      <c r="B4729" s="22"/>
      <c r="C4729" s="21"/>
      <c r="W4729" s="22"/>
    </row>
    <row r="4730" spans="2:24" x14ac:dyDescent="0.25">
      <c r="B4730" s="22"/>
      <c r="C4730" s="21"/>
      <c r="W4730" s="22"/>
    </row>
    <row r="4731" spans="2:24" x14ac:dyDescent="0.25">
      <c r="B4731" s="22"/>
      <c r="C4731" s="21"/>
      <c r="W4731" s="22"/>
      <c r="X4731" s="22"/>
    </row>
    <row r="4732" spans="2:24" x14ac:dyDescent="0.25">
      <c r="B4732" s="22"/>
      <c r="C4732" s="21"/>
      <c r="W4732" s="22"/>
    </row>
    <row r="4733" spans="2:24" x14ac:dyDescent="0.25">
      <c r="B4733" s="22"/>
      <c r="C4733" s="21"/>
      <c r="W4733" s="22"/>
      <c r="X4733" s="22"/>
    </row>
    <row r="4734" spans="2:24" x14ac:dyDescent="0.25">
      <c r="B4734" s="22"/>
      <c r="C4734" s="21"/>
      <c r="W4734" s="22"/>
    </row>
    <row r="4735" spans="2:24" x14ac:dyDescent="0.25">
      <c r="B4735" s="22"/>
      <c r="C4735" s="21"/>
    </row>
    <row r="4736" spans="2:24" x14ac:dyDescent="0.25">
      <c r="B4736" s="22"/>
      <c r="C4736" s="21"/>
      <c r="W4736" s="22"/>
      <c r="X4736" s="22"/>
    </row>
    <row r="4737" spans="2:24" x14ac:dyDescent="0.25">
      <c r="B4737" s="22"/>
      <c r="C4737" s="21"/>
      <c r="W4737" s="22"/>
      <c r="X4737" s="22"/>
    </row>
    <row r="4738" spans="2:24" x14ac:dyDescent="0.25">
      <c r="B4738" s="22"/>
      <c r="C4738" s="21"/>
      <c r="W4738" s="22"/>
      <c r="X4738" s="22"/>
    </row>
    <row r="4739" spans="2:24" x14ac:dyDescent="0.25">
      <c r="B4739" s="22"/>
      <c r="C4739" s="21"/>
      <c r="W4739" s="22"/>
      <c r="X4739" s="22"/>
    </row>
    <row r="4740" spans="2:24" x14ac:dyDescent="0.25">
      <c r="B4740" s="22"/>
      <c r="C4740" s="21"/>
      <c r="W4740" s="22"/>
      <c r="X4740" s="22"/>
    </row>
    <row r="4741" spans="2:24" x14ac:dyDescent="0.25">
      <c r="B4741" s="22"/>
      <c r="C4741" s="21"/>
      <c r="W4741" s="22"/>
      <c r="X4741" s="22"/>
    </row>
    <row r="4742" spans="2:24" x14ac:dyDescent="0.25">
      <c r="B4742" s="22"/>
      <c r="C4742" s="21"/>
      <c r="W4742" s="22"/>
    </row>
    <row r="4743" spans="2:24" x14ac:dyDescent="0.25">
      <c r="B4743" s="22"/>
      <c r="C4743" s="21"/>
      <c r="W4743" s="22"/>
      <c r="X4743" s="22"/>
    </row>
    <row r="4744" spans="2:24" x14ac:dyDescent="0.25">
      <c r="B4744" s="22"/>
      <c r="C4744" s="21"/>
      <c r="W4744" s="22"/>
      <c r="X4744" s="22"/>
    </row>
    <row r="4745" spans="2:24" x14ac:dyDescent="0.25">
      <c r="B4745" s="22"/>
      <c r="C4745" s="21"/>
      <c r="W4745" s="22"/>
      <c r="X4745" s="22"/>
    </row>
    <row r="4746" spans="2:24" x14ac:dyDescent="0.25">
      <c r="B4746" s="22"/>
      <c r="C4746" s="21"/>
      <c r="W4746" s="22"/>
      <c r="X4746" s="22"/>
    </row>
    <row r="4747" spans="2:24" x14ac:dyDescent="0.25">
      <c r="B4747" s="22"/>
      <c r="C4747" s="21"/>
      <c r="W4747" s="22"/>
      <c r="X4747" s="22"/>
    </row>
    <row r="4748" spans="2:24" x14ac:dyDescent="0.25">
      <c r="B4748" s="22"/>
      <c r="C4748" s="21"/>
      <c r="W4748" s="22"/>
      <c r="X4748" s="22"/>
    </row>
    <row r="4749" spans="2:24" x14ac:dyDescent="0.25">
      <c r="B4749" s="22"/>
      <c r="C4749" s="21"/>
      <c r="W4749" s="22"/>
      <c r="X4749" s="22"/>
    </row>
    <row r="4750" spans="2:24" x14ac:dyDescent="0.25">
      <c r="B4750" s="22"/>
      <c r="C4750" s="21"/>
      <c r="W4750" s="22"/>
      <c r="X4750" s="22"/>
    </row>
    <row r="4751" spans="2:24" x14ac:dyDescent="0.25">
      <c r="B4751" s="22"/>
      <c r="C4751" s="21"/>
      <c r="W4751" s="22"/>
      <c r="X4751" s="22"/>
    </row>
    <row r="4752" spans="2:24" x14ac:dyDescent="0.25">
      <c r="B4752" s="22"/>
      <c r="C4752" s="21"/>
    </row>
    <row r="4753" spans="2:24" x14ac:dyDescent="0.25">
      <c r="B4753" s="22"/>
      <c r="C4753" s="21"/>
      <c r="W4753" s="22"/>
      <c r="X4753" s="22"/>
    </row>
    <row r="4754" spans="2:24" x14ac:dyDescent="0.25">
      <c r="B4754" s="22"/>
      <c r="C4754" s="21"/>
      <c r="W4754" s="22"/>
      <c r="X4754" s="22"/>
    </row>
    <row r="4755" spans="2:24" x14ac:dyDescent="0.25">
      <c r="B4755" s="22"/>
      <c r="C4755" s="21"/>
    </row>
    <row r="4756" spans="2:24" x14ac:dyDescent="0.25">
      <c r="B4756" s="22"/>
      <c r="C4756" s="21"/>
      <c r="W4756" s="22"/>
      <c r="X4756" s="22"/>
    </row>
    <row r="4757" spans="2:24" x14ac:dyDescent="0.25">
      <c r="B4757" s="22"/>
      <c r="C4757" s="21"/>
      <c r="W4757" s="22"/>
      <c r="X4757" s="22"/>
    </row>
    <row r="4758" spans="2:24" x14ac:dyDescent="0.25">
      <c r="B4758" s="22"/>
      <c r="C4758" s="21"/>
      <c r="W4758" s="22"/>
      <c r="X4758" s="22"/>
    </row>
    <row r="4759" spans="2:24" x14ac:dyDescent="0.25">
      <c r="B4759" s="22"/>
      <c r="C4759" s="21"/>
      <c r="W4759" s="22"/>
      <c r="X4759" s="22"/>
    </row>
    <row r="4760" spans="2:24" x14ac:dyDescent="0.25">
      <c r="B4760" s="22"/>
      <c r="C4760" s="21"/>
      <c r="W4760" s="22"/>
      <c r="X4760" s="22"/>
    </row>
    <row r="4761" spans="2:24" x14ac:dyDescent="0.25">
      <c r="B4761" s="22"/>
      <c r="C4761" s="21"/>
      <c r="W4761" s="22"/>
      <c r="X4761" s="22"/>
    </row>
    <row r="4762" spans="2:24" x14ac:dyDescent="0.25">
      <c r="B4762" s="22"/>
      <c r="C4762" s="21"/>
      <c r="W4762" s="22"/>
      <c r="X4762" s="22"/>
    </row>
    <row r="4763" spans="2:24" x14ac:dyDescent="0.25">
      <c r="B4763" s="22"/>
      <c r="C4763" s="21"/>
      <c r="W4763" s="22"/>
      <c r="X4763" s="22"/>
    </row>
    <row r="4764" spans="2:24" x14ac:dyDescent="0.25">
      <c r="B4764" s="22"/>
      <c r="C4764" s="21"/>
      <c r="W4764" s="22"/>
      <c r="X4764" s="22"/>
    </row>
    <row r="4765" spans="2:24" x14ac:dyDescent="0.25">
      <c r="B4765" s="22"/>
      <c r="C4765" s="21"/>
      <c r="W4765" s="22"/>
      <c r="X4765" s="22"/>
    </row>
    <row r="4766" spans="2:24" x14ac:dyDescent="0.25">
      <c r="B4766" s="22"/>
      <c r="C4766" s="21"/>
      <c r="W4766" s="22"/>
    </row>
    <row r="4767" spans="2:24" x14ac:dyDescent="0.25">
      <c r="B4767" s="22"/>
      <c r="C4767" s="21"/>
      <c r="W4767" s="22"/>
      <c r="X4767" s="22"/>
    </row>
    <row r="4768" spans="2:24" x14ac:dyDescent="0.25">
      <c r="B4768" s="22"/>
      <c r="C4768" s="21"/>
      <c r="W4768" s="22"/>
      <c r="X4768" s="22"/>
    </row>
    <row r="4769" spans="2:24" x14ac:dyDescent="0.25">
      <c r="B4769" s="22"/>
      <c r="C4769" s="21"/>
      <c r="W4769" s="22"/>
      <c r="X4769" s="22"/>
    </row>
    <row r="4770" spans="2:24" x14ac:dyDescent="0.25">
      <c r="B4770" s="22"/>
      <c r="C4770" s="21"/>
      <c r="W4770" s="22"/>
      <c r="X4770" s="22"/>
    </row>
    <row r="4771" spans="2:24" x14ac:dyDescent="0.25">
      <c r="B4771" s="22"/>
      <c r="C4771" s="21"/>
      <c r="W4771" s="22"/>
    </row>
    <row r="4772" spans="2:24" x14ac:dyDescent="0.25">
      <c r="B4772" s="22"/>
      <c r="C4772" s="21"/>
      <c r="W4772" s="22"/>
      <c r="X4772" s="22"/>
    </row>
    <row r="4773" spans="2:24" x14ac:dyDescent="0.25">
      <c r="B4773" s="22"/>
      <c r="C4773" s="21"/>
      <c r="W4773" s="22"/>
      <c r="X4773" s="22"/>
    </row>
    <row r="4774" spans="2:24" x14ac:dyDescent="0.25">
      <c r="B4774" s="22"/>
      <c r="C4774" s="21"/>
      <c r="W4774" s="22"/>
      <c r="X4774" s="22"/>
    </row>
    <row r="4775" spans="2:24" x14ac:dyDescent="0.25">
      <c r="B4775" s="22"/>
      <c r="C4775" s="21"/>
      <c r="W4775" s="22"/>
      <c r="X4775" s="22"/>
    </row>
    <row r="4776" spans="2:24" x14ac:dyDescent="0.25">
      <c r="B4776" s="22"/>
      <c r="C4776" s="21"/>
      <c r="W4776" s="22"/>
      <c r="X4776" s="22"/>
    </row>
    <row r="4777" spans="2:24" x14ac:dyDescent="0.25">
      <c r="B4777" s="22"/>
      <c r="C4777" s="21"/>
      <c r="W4777" s="22"/>
      <c r="X4777" s="22"/>
    </row>
    <row r="4778" spans="2:24" x14ac:dyDescent="0.25">
      <c r="B4778" s="22"/>
      <c r="C4778" s="21"/>
      <c r="W4778" s="22"/>
      <c r="X4778" s="22"/>
    </row>
    <row r="4779" spans="2:24" x14ac:dyDescent="0.25">
      <c r="B4779" s="22"/>
      <c r="C4779" s="21"/>
      <c r="W4779" s="22"/>
      <c r="X4779" s="22"/>
    </row>
    <row r="4780" spans="2:24" x14ac:dyDescent="0.25">
      <c r="B4780" s="22"/>
      <c r="C4780" s="21"/>
      <c r="W4780" s="22"/>
      <c r="X4780" s="22"/>
    </row>
    <row r="4781" spans="2:24" x14ac:dyDescent="0.25">
      <c r="B4781" s="22"/>
      <c r="C4781" s="21"/>
      <c r="W4781" s="22"/>
      <c r="X4781" s="22"/>
    </row>
    <row r="4782" spans="2:24" x14ac:dyDescent="0.25">
      <c r="B4782" s="22"/>
      <c r="C4782" s="21"/>
      <c r="W4782" s="22"/>
      <c r="X4782" s="22"/>
    </row>
    <row r="4783" spans="2:24" x14ac:dyDescent="0.25">
      <c r="B4783" s="22"/>
      <c r="C4783" s="21"/>
      <c r="W4783" s="22"/>
      <c r="X4783" s="22"/>
    </row>
    <row r="4784" spans="2:24" x14ac:dyDescent="0.25">
      <c r="B4784" s="22"/>
      <c r="C4784" s="21"/>
      <c r="W4784" s="22"/>
      <c r="X4784" s="22"/>
    </row>
    <row r="4785" spans="2:24" x14ac:dyDescent="0.25">
      <c r="B4785" s="22"/>
      <c r="C4785" s="21"/>
      <c r="W4785" s="22"/>
      <c r="X4785" s="22"/>
    </row>
    <row r="4786" spans="2:24" x14ac:dyDescent="0.25">
      <c r="B4786" s="22"/>
      <c r="C4786" s="21"/>
      <c r="W4786" s="22"/>
      <c r="X4786" s="22"/>
    </row>
    <row r="4787" spans="2:24" x14ac:dyDescent="0.25">
      <c r="B4787" s="22"/>
      <c r="C4787" s="21"/>
      <c r="W4787" s="22"/>
      <c r="X4787" s="22"/>
    </row>
    <row r="4788" spans="2:24" x14ac:dyDescent="0.25">
      <c r="B4788" s="22"/>
      <c r="C4788" s="21"/>
      <c r="W4788" s="22"/>
      <c r="X4788" s="22"/>
    </row>
    <row r="4789" spans="2:24" x14ac:dyDescent="0.25">
      <c r="B4789" s="22"/>
      <c r="C4789" s="21"/>
      <c r="W4789" s="22"/>
      <c r="X4789" s="22"/>
    </row>
    <row r="4790" spans="2:24" x14ac:dyDescent="0.25">
      <c r="B4790" s="22"/>
      <c r="C4790" s="21"/>
      <c r="W4790" s="22"/>
      <c r="X4790" s="22"/>
    </row>
    <row r="4791" spans="2:24" x14ac:dyDescent="0.25">
      <c r="B4791" s="22"/>
      <c r="C4791" s="21"/>
      <c r="W4791" s="22"/>
      <c r="X4791" s="22"/>
    </row>
    <row r="4792" spans="2:24" x14ac:dyDescent="0.25">
      <c r="B4792" s="22"/>
      <c r="C4792" s="21"/>
      <c r="W4792" s="22"/>
      <c r="X4792" s="22"/>
    </row>
    <row r="4793" spans="2:24" x14ac:dyDescent="0.25">
      <c r="B4793" s="22"/>
      <c r="C4793" s="21"/>
      <c r="W4793" s="22"/>
      <c r="X4793" s="22"/>
    </row>
    <row r="4794" spans="2:24" x14ac:dyDescent="0.25">
      <c r="B4794" s="22"/>
      <c r="C4794" s="21"/>
      <c r="W4794" s="22"/>
      <c r="X4794" s="22"/>
    </row>
    <row r="4795" spans="2:24" x14ac:dyDescent="0.25">
      <c r="B4795" s="22"/>
      <c r="C4795" s="21"/>
      <c r="W4795" s="22"/>
      <c r="X4795" s="22"/>
    </row>
    <row r="4796" spans="2:24" x14ac:dyDescent="0.25">
      <c r="B4796" s="22"/>
      <c r="C4796" s="21"/>
      <c r="W4796" s="22"/>
      <c r="X4796" s="22"/>
    </row>
    <row r="4797" spans="2:24" x14ac:dyDescent="0.25">
      <c r="B4797" s="22"/>
      <c r="C4797" s="21"/>
      <c r="W4797" s="22"/>
      <c r="X4797" s="22"/>
    </row>
    <row r="4798" spans="2:24" x14ac:dyDescent="0.25">
      <c r="B4798" s="22"/>
      <c r="C4798" s="21"/>
      <c r="W4798" s="22"/>
      <c r="X4798" s="22"/>
    </row>
    <row r="4799" spans="2:24" x14ac:dyDescent="0.25">
      <c r="B4799" s="22"/>
      <c r="C4799" s="21"/>
      <c r="W4799" s="22"/>
      <c r="X4799" s="22"/>
    </row>
    <row r="4800" spans="2:24" x14ac:dyDescent="0.25">
      <c r="B4800" s="22"/>
      <c r="C4800" s="21"/>
      <c r="W4800" s="22"/>
      <c r="X4800" s="22"/>
    </row>
    <row r="4801" spans="2:24" x14ac:dyDescent="0.25">
      <c r="B4801" s="22"/>
      <c r="C4801" s="21"/>
      <c r="W4801" s="22"/>
      <c r="X4801" s="22"/>
    </row>
    <row r="4802" spans="2:24" x14ac:dyDescent="0.25">
      <c r="B4802" s="22"/>
      <c r="C4802" s="21"/>
      <c r="W4802" s="22"/>
      <c r="X4802" s="22"/>
    </row>
    <row r="4803" spans="2:24" x14ac:dyDescent="0.25">
      <c r="B4803" s="22"/>
      <c r="C4803" s="21"/>
      <c r="W4803" s="22"/>
      <c r="X4803" s="22"/>
    </row>
    <row r="4804" spans="2:24" x14ac:dyDescent="0.25">
      <c r="B4804" s="22"/>
      <c r="C4804" s="21"/>
      <c r="W4804" s="22"/>
      <c r="X4804" s="22"/>
    </row>
    <row r="4805" spans="2:24" x14ac:dyDescent="0.25">
      <c r="B4805" s="22"/>
      <c r="C4805" s="21"/>
      <c r="W4805" s="22"/>
      <c r="X4805" s="22"/>
    </row>
    <row r="4806" spans="2:24" x14ac:dyDescent="0.25">
      <c r="B4806" s="22"/>
      <c r="C4806" s="21"/>
      <c r="W4806" s="22"/>
      <c r="X4806" s="22"/>
    </row>
    <row r="4807" spans="2:24" x14ac:dyDescent="0.25">
      <c r="B4807" s="22"/>
      <c r="C4807" s="21"/>
      <c r="W4807" s="22"/>
      <c r="X4807" s="22"/>
    </row>
    <row r="4808" spans="2:24" x14ac:dyDescent="0.25">
      <c r="B4808" s="22"/>
      <c r="C4808" s="21"/>
      <c r="W4808" s="22"/>
      <c r="X4808" s="22"/>
    </row>
    <row r="4809" spans="2:24" x14ac:dyDescent="0.25">
      <c r="B4809" s="22"/>
      <c r="C4809" s="21"/>
      <c r="W4809" s="22"/>
      <c r="X4809" s="22"/>
    </row>
    <row r="4810" spans="2:24" x14ac:dyDescent="0.25">
      <c r="B4810" s="22"/>
      <c r="C4810" s="21"/>
      <c r="W4810" s="22"/>
      <c r="X4810" s="22"/>
    </row>
    <row r="4811" spans="2:24" x14ac:dyDescent="0.25">
      <c r="B4811" s="22"/>
      <c r="C4811" s="21"/>
      <c r="W4811" s="22"/>
      <c r="X4811" s="22"/>
    </row>
    <row r="4812" spans="2:24" x14ac:dyDescent="0.25">
      <c r="B4812" s="22"/>
      <c r="C4812" s="21"/>
      <c r="W4812" s="22"/>
      <c r="X4812" s="22"/>
    </row>
    <row r="4813" spans="2:24" x14ac:dyDescent="0.25">
      <c r="B4813" s="22"/>
      <c r="C4813" s="21"/>
      <c r="W4813" s="22"/>
      <c r="X4813" s="22"/>
    </row>
    <row r="4814" spans="2:24" x14ac:dyDescent="0.25">
      <c r="B4814" s="22"/>
      <c r="C4814" s="21"/>
      <c r="W4814" s="22"/>
      <c r="X4814" s="22"/>
    </row>
    <row r="4815" spans="2:24" x14ac:dyDescent="0.25">
      <c r="B4815" s="22"/>
      <c r="C4815" s="21"/>
      <c r="W4815" s="22"/>
      <c r="X4815" s="22"/>
    </row>
    <row r="4816" spans="2:24" x14ac:dyDescent="0.25">
      <c r="B4816" s="22"/>
      <c r="C4816" s="21"/>
      <c r="W4816" s="22"/>
      <c r="X4816" s="22"/>
    </row>
    <row r="4817" spans="2:24" x14ac:dyDescent="0.25">
      <c r="B4817" s="22"/>
      <c r="C4817" s="21"/>
      <c r="W4817" s="22"/>
      <c r="X4817" s="22"/>
    </row>
    <row r="4818" spans="2:24" x14ac:dyDescent="0.25">
      <c r="B4818" s="22"/>
      <c r="C4818" s="21"/>
      <c r="W4818" s="22"/>
      <c r="X4818" s="22"/>
    </row>
    <row r="4819" spans="2:24" x14ac:dyDescent="0.25">
      <c r="B4819" s="22"/>
      <c r="C4819" s="21"/>
      <c r="W4819" s="22"/>
      <c r="X4819" s="22"/>
    </row>
    <row r="4820" spans="2:24" x14ac:dyDescent="0.25">
      <c r="B4820" s="22"/>
      <c r="C4820" s="21"/>
      <c r="W4820" s="22"/>
      <c r="X4820" s="22"/>
    </row>
    <row r="4821" spans="2:24" x14ac:dyDescent="0.25">
      <c r="B4821" s="22"/>
      <c r="C4821" s="21"/>
      <c r="W4821" s="22"/>
      <c r="X4821" s="22"/>
    </row>
    <row r="4822" spans="2:24" x14ac:dyDescent="0.25">
      <c r="B4822" s="22"/>
      <c r="C4822" s="21"/>
      <c r="W4822" s="22"/>
      <c r="X4822" s="22"/>
    </row>
    <row r="4823" spans="2:24" x14ac:dyDescent="0.25">
      <c r="B4823" s="22"/>
      <c r="C4823" s="21"/>
      <c r="W4823" s="22"/>
      <c r="X4823" s="22"/>
    </row>
    <row r="4824" spans="2:24" x14ac:dyDescent="0.25">
      <c r="B4824" s="22"/>
      <c r="C4824" s="21"/>
      <c r="W4824" s="22"/>
      <c r="X4824" s="22"/>
    </row>
    <row r="4825" spans="2:24" x14ac:dyDescent="0.25">
      <c r="B4825" s="22"/>
      <c r="C4825" s="21"/>
      <c r="W4825" s="22"/>
      <c r="X4825" s="22"/>
    </row>
    <row r="4826" spans="2:24" x14ac:dyDescent="0.25">
      <c r="B4826" s="22"/>
      <c r="C4826" s="21"/>
      <c r="W4826" s="22"/>
      <c r="X4826" s="22"/>
    </row>
    <row r="4827" spans="2:24" x14ac:dyDescent="0.25">
      <c r="B4827" s="22"/>
      <c r="C4827" s="21"/>
      <c r="W4827" s="22"/>
      <c r="X4827" s="22"/>
    </row>
    <row r="4828" spans="2:24" x14ac:dyDescent="0.25">
      <c r="B4828" s="22"/>
      <c r="C4828" s="21"/>
      <c r="W4828" s="22"/>
      <c r="X4828" s="22"/>
    </row>
    <row r="4829" spans="2:24" x14ac:dyDescent="0.25">
      <c r="B4829" s="22"/>
      <c r="C4829" s="21"/>
      <c r="W4829" s="22"/>
      <c r="X4829" s="22"/>
    </row>
    <row r="4830" spans="2:24" x14ac:dyDescent="0.25">
      <c r="B4830" s="22"/>
      <c r="C4830" s="21"/>
      <c r="W4830" s="22"/>
      <c r="X4830" s="22"/>
    </row>
    <row r="4831" spans="2:24" x14ac:dyDescent="0.25">
      <c r="B4831" s="22"/>
      <c r="C4831" s="21"/>
      <c r="W4831" s="22"/>
      <c r="X4831" s="22"/>
    </row>
    <row r="4832" spans="2:24" x14ac:dyDescent="0.25">
      <c r="B4832" s="22"/>
      <c r="C4832" s="21"/>
      <c r="W4832" s="22"/>
      <c r="X4832" s="22"/>
    </row>
    <row r="4833" spans="2:24" x14ac:dyDescent="0.25">
      <c r="B4833" s="22"/>
      <c r="C4833" s="21"/>
      <c r="W4833" s="22"/>
      <c r="X4833" s="22"/>
    </row>
    <row r="4834" spans="2:24" x14ac:dyDescent="0.25">
      <c r="B4834" s="22"/>
      <c r="C4834" s="21"/>
      <c r="W4834" s="22"/>
      <c r="X4834" s="22"/>
    </row>
    <row r="4835" spans="2:24" x14ac:dyDescent="0.25">
      <c r="B4835" s="22"/>
      <c r="C4835" s="21"/>
      <c r="W4835" s="22"/>
      <c r="X4835" s="22"/>
    </row>
    <row r="4836" spans="2:24" x14ac:dyDescent="0.25">
      <c r="B4836" s="22"/>
      <c r="C4836" s="21"/>
      <c r="W4836" s="22"/>
      <c r="X4836" s="22"/>
    </row>
    <row r="4837" spans="2:24" x14ac:dyDescent="0.25">
      <c r="B4837" s="22"/>
      <c r="C4837" s="21"/>
      <c r="W4837" s="22"/>
      <c r="X4837" s="22"/>
    </row>
    <row r="4838" spans="2:24" x14ac:dyDescent="0.25">
      <c r="B4838" s="22"/>
      <c r="C4838" s="21"/>
      <c r="W4838" s="22"/>
      <c r="X4838" s="22"/>
    </row>
    <row r="4839" spans="2:24" x14ac:dyDescent="0.25">
      <c r="B4839" s="22"/>
      <c r="C4839" s="21"/>
      <c r="W4839" s="22"/>
      <c r="X4839" s="22"/>
    </row>
    <row r="4840" spans="2:24" x14ac:dyDescent="0.25">
      <c r="B4840" s="22"/>
      <c r="C4840" s="21"/>
      <c r="W4840" s="22"/>
      <c r="X4840" s="22"/>
    </row>
    <row r="4841" spans="2:24" x14ac:dyDescent="0.25">
      <c r="B4841" s="22"/>
      <c r="C4841" s="21"/>
      <c r="W4841" s="22"/>
      <c r="X4841" s="22"/>
    </row>
    <row r="4842" spans="2:24" x14ac:dyDescent="0.25">
      <c r="B4842" s="22"/>
      <c r="C4842" s="21"/>
      <c r="W4842" s="22"/>
      <c r="X4842" s="22"/>
    </row>
    <row r="4843" spans="2:24" x14ac:dyDescent="0.25">
      <c r="B4843" s="22"/>
      <c r="C4843" s="21"/>
      <c r="W4843" s="22"/>
      <c r="X4843" s="22"/>
    </row>
    <row r="4844" spans="2:24" x14ac:dyDescent="0.25">
      <c r="B4844" s="22"/>
      <c r="C4844" s="21"/>
      <c r="W4844" s="22"/>
      <c r="X4844" s="22"/>
    </row>
    <row r="4845" spans="2:24" x14ac:dyDescent="0.25">
      <c r="B4845" s="22"/>
      <c r="C4845" s="21"/>
      <c r="W4845" s="22"/>
      <c r="X4845" s="22"/>
    </row>
    <row r="4846" spans="2:24" x14ac:dyDescent="0.25">
      <c r="B4846" s="22"/>
      <c r="C4846" s="21"/>
      <c r="W4846" s="22"/>
      <c r="X4846" s="22"/>
    </row>
    <row r="4847" spans="2:24" x14ac:dyDescent="0.25">
      <c r="B4847" s="22"/>
      <c r="C4847" s="21"/>
      <c r="W4847" s="22"/>
      <c r="X4847" s="22"/>
    </row>
    <row r="4848" spans="2:24" x14ac:dyDescent="0.25">
      <c r="B4848" s="22"/>
      <c r="C4848" s="21"/>
      <c r="W4848" s="22"/>
      <c r="X4848" s="22"/>
    </row>
    <row r="4849" spans="2:24" x14ac:dyDescent="0.25">
      <c r="B4849" s="22"/>
      <c r="C4849" s="21"/>
      <c r="W4849" s="22"/>
      <c r="X4849" s="22"/>
    </row>
    <row r="4850" spans="2:24" x14ac:dyDescent="0.25">
      <c r="B4850" s="22"/>
      <c r="C4850" s="21"/>
      <c r="W4850" s="22"/>
      <c r="X4850" s="22"/>
    </row>
    <row r="4851" spans="2:24" x14ac:dyDescent="0.25">
      <c r="B4851" s="22"/>
      <c r="C4851" s="21"/>
      <c r="W4851" s="22"/>
      <c r="X4851" s="22"/>
    </row>
    <row r="4852" spans="2:24" x14ac:dyDescent="0.25">
      <c r="B4852" s="22"/>
      <c r="C4852" s="21"/>
      <c r="W4852" s="22"/>
      <c r="X4852" s="22"/>
    </row>
    <row r="4853" spans="2:24" x14ac:dyDescent="0.25">
      <c r="B4853" s="22"/>
      <c r="C4853" s="21"/>
      <c r="W4853" s="22"/>
      <c r="X4853" s="22"/>
    </row>
    <row r="4854" spans="2:24" x14ac:dyDescent="0.25">
      <c r="B4854" s="22"/>
      <c r="C4854" s="21"/>
      <c r="W4854" s="22"/>
      <c r="X4854" s="22"/>
    </row>
    <row r="4855" spans="2:24" x14ac:dyDescent="0.25">
      <c r="B4855" s="22"/>
      <c r="C4855" s="21"/>
      <c r="W4855" s="22"/>
      <c r="X4855" s="22"/>
    </row>
    <row r="4856" spans="2:24" x14ac:dyDescent="0.25">
      <c r="B4856" s="22"/>
      <c r="C4856" s="21"/>
      <c r="W4856" s="22"/>
      <c r="X4856" s="22"/>
    </row>
    <row r="4857" spans="2:24" x14ac:dyDescent="0.25">
      <c r="B4857" s="22"/>
      <c r="C4857" s="21"/>
      <c r="W4857" s="22"/>
      <c r="X4857" s="22"/>
    </row>
    <row r="4858" spans="2:24" x14ac:dyDescent="0.25">
      <c r="B4858" s="22"/>
      <c r="C4858" s="21"/>
      <c r="W4858" s="22"/>
      <c r="X4858" s="22"/>
    </row>
    <row r="4859" spans="2:24" x14ac:dyDescent="0.25">
      <c r="B4859" s="22"/>
      <c r="C4859" s="21"/>
      <c r="W4859" s="22"/>
      <c r="X4859" s="22"/>
    </row>
    <row r="4860" spans="2:24" x14ac:dyDescent="0.25">
      <c r="B4860" s="22"/>
      <c r="C4860" s="21"/>
      <c r="W4860" s="22"/>
      <c r="X4860" s="22"/>
    </row>
    <row r="4861" spans="2:24" x14ac:dyDescent="0.25">
      <c r="B4861" s="22"/>
      <c r="C4861" s="21"/>
      <c r="W4861" s="22"/>
      <c r="X4861" s="22"/>
    </row>
    <row r="4862" spans="2:24" x14ac:dyDescent="0.25">
      <c r="B4862" s="22"/>
      <c r="C4862" s="21"/>
      <c r="W4862" s="22"/>
      <c r="X4862" s="22"/>
    </row>
    <row r="4863" spans="2:24" x14ac:dyDescent="0.25">
      <c r="B4863" s="22"/>
      <c r="C4863" s="21"/>
      <c r="W4863" s="22"/>
      <c r="X4863" s="22"/>
    </row>
    <row r="4864" spans="2:24" x14ac:dyDescent="0.25">
      <c r="B4864" s="22"/>
      <c r="C4864" s="21"/>
      <c r="W4864" s="22"/>
      <c r="X4864" s="22"/>
    </row>
    <row r="4865" spans="2:24" x14ac:dyDescent="0.25">
      <c r="B4865" s="22"/>
      <c r="C4865" s="21"/>
      <c r="W4865" s="22"/>
      <c r="X4865" s="22"/>
    </row>
    <row r="4866" spans="2:24" x14ac:dyDescent="0.25">
      <c r="B4866" s="22"/>
      <c r="C4866" s="21"/>
      <c r="W4866" s="22"/>
      <c r="X4866" s="22"/>
    </row>
    <row r="4867" spans="2:24" x14ac:dyDescent="0.25">
      <c r="B4867" s="22"/>
      <c r="C4867" s="21"/>
      <c r="W4867" s="22"/>
      <c r="X4867" s="22"/>
    </row>
    <row r="4868" spans="2:24" x14ac:dyDescent="0.25">
      <c r="B4868" s="22"/>
      <c r="C4868" s="21"/>
    </row>
    <row r="4869" spans="2:24" x14ac:dyDescent="0.25">
      <c r="B4869" s="22"/>
      <c r="C4869" s="21"/>
      <c r="W4869" s="22"/>
      <c r="X4869" s="22"/>
    </row>
    <row r="4870" spans="2:24" x14ac:dyDescent="0.25">
      <c r="B4870" s="22"/>
      <c r="C4870" s="21"/>
    </row>
    <row r="4871" spans="2:24" x14ac:dyDescent="0.25">
      <c r="B4871" s="22"/>
      <c r="C4871" s="21"/>
    </row>
    <row r="4872" spans="2:24" x14ac:dyDescent="0.25">
      <c r="B4872" s="22"/>
      <c r="C4872" s="21"/>
      <c r="W4872" s="22"/>
      <c r="X4872" s="22"/>
    </row>
    <row r="4873" spans="2:24" x14ac:dyDescent="0.25">
      <c r="B4873" s="22"/>
      <c r="C4873" s="21"/>
      <c r="W4873" s="22"/>
      <c r="X4873" s="22"/>
    </row>
    <row r="4874" spans="2:24" x14ac:dyDescent="0.25">
      <c r="B4874" s="22"/>
      <c r="C4874" s="21"/>
      <c r="W4874" s="22"/>
      <c r="X4874" s="22"/>
    </row>
    <row r="4875" spans="2:24" x14ac:dyDescent="0.25">
      <c r="B4875" s="22"/>
      <c r="C4875" s="21"/>
      <c r="W4875" s="22"/>
      <c r="X4875" s="22"/>
    </row>
    <row r="4876" spans="2:24" x14ac:dyDescent="0.25">
      <c r="B4876" s="22"/>
      <c r="C4876" s="21"/>
      <c r="W4876" s="22"/>
      <c r="X4876" s="22"/>
    </row>
    <row r="4877" spans="2:24" x14ac:dyDescent="0.25">
      <c r="B4877" s="22"/>
      <c r="C4877" s="21"/>
      <c r="W4877" s="22"/>
      <c r="X4877" s="22"/>
    </row>
    <row r="4878" spans="2:24" x14ac:dyDescent="0.25">
      <c r="B4878" s="22"/>
      <c r="C4878" s="21"/>
      <c r="W4878" s="22"/>
      <c r="X4878" s="22"/>
    </row>
    <row r="4879" spans="2:24" x14ac:dyDescent="0.25">
      <c r="B4879" s="22"/>
      <c r="C4879" s="21"/>
      <c r="W4879" s="22"/>
      <c r="X4879" s="22"/>
    </row>
    <row r="4880" spans="2:24" x14ac:dyDescent="0.25">
      <c r="B4880" s="22"/>
      <c r="C4880" s="21"/>
      <c r="W4880" s="22"/>
      <c r="X4880" s="22"/>
    </row>
    <row r="4881" spans="2:24" x14ac:dyDescent="0.25">
      <c r="B4881" s="22"/>
      <c r="C4881" s="21"/>
    </row>
    <row r="4882" spans="2:24" x14ac:dyDescent="0.25">
      <c r="B4882" s="22"/>
      <c r="C4882" s="21"/>
      <c r="W4882" s="22"/>
      <c r="X4882" s="22"/>
    </row>
    <row r="4883" spans="2:24" x14ac:dyDescent="0.25">
      <c r="B4883" s="22"/>
      <c r="C4883" s="21"/>
      <c r="W4883" s="22"/>
      <c r="X4883" s="22"/>
    </row>
    <row r="4884" spans="2:24" x14ac:dyDescent="0.25">
      <c r="B4884" s="22"/>
      <c r="C4884" s="21"/>
      <c r="W4884" s="22"/>
      <c r="X4884" s="22"/>
    </row>
    <row r="4885" spans="2:24" x14ac:dyDescent="0.25">
      <c r="B4885" s="22"/>
      <c r="C4885" s="21"/>
      <c r="W4885" s="22"/>
      <c r="X4885" s="22"/>
    </row>
    <row r="4886" spans="2:24" x14ac:dyDescent="0.25">
      <c r="B4886" s="22"/>
      <c r="C4886" s="21"/>
      <c r="W4886" s="22"/>
      <c r="X4886" s="22"/>
    </row>
    <row r="4887" spans="2:24" x14ac:dyDescent="0.25">
      <c r="B4887" s="22"/>
      <c r="C4887" s="21"/>
      <c r="W4887" s="22"/>
      <c r="X4887" s="22"/>
    </row>
    <row r="4888" spans="2:24" x14ac:dyDescent="0.25">
      <c r="B4888" s="22"/>
      <c r="C4888" s="21"/>
      <c r="W4888" s="22"/>
      <c r="X4888" s="22"/>
    </row>
    <row r="4889" spans="2:24" x14ac:dyDescent="0.25">
      <c r="B4889" s="22"/>
      <c r="C4889" s="21"/>
      <c r="W4889" s="22"/>
      <c r="X4889" s="22"/>
    </row>
    <row r="4890" spans="2:24" x14ac:dyDescent="0.25">
      <c r="B4890" s="22"/>
      <c r="C4890" s="21"/>
      <c r="W4890" s="22"/>
      <c r="X4890" s="22"/>
    </row>
    <row r="4891" spans="2:24" x14ac:dyDescent="0.25">
      <c r="B4891" s="22"/>
      <c r="C4891" s="21"/>
      <c r="W4891" s="22"/>
      <c r="X4891" s="22"/>
    </row>
    <row r="4892" spans="2:24" x14ac:dyDescent="0.25">
      <c r="B4892" s="22"/>
      <c r="C4892" s="21"/>
      <c r="W4892" s="22"/>
      <c r="X4892" s="22"/>
    </row>
    <row r="4893" spans="2:24" x14ac:dyDescent="0.25">
      <c r="B4893" s="22"/>
      <c r="C4893" s="21"/>
      <c r="W4893" s="22"/>
      <c r="X4893" s="22"/>
    </row>
    <row r="4894" spans="2:24" x14ac:dyDescent="0.25">
      <c r="B4894" s="22"/>
      <c r="C4894" s="21"/>
      <c r="W4894" s="22"/>
      <c r="X4894" s="22"/>
    </row>
    <row r="4895" spans="2:24" x14ac:dyDescent="0.25">
      <c r="B4895" s="22"/>
      <c r="C4895" s="21"/>
      <c r="W4895" s="22"/>
      <c r="X4895" s="22"/>
    </row>
    <row r="4896" spans="2:24" x14ac:dyDescent="0.25">
      <c r="B4896" s="22"/>
      <c r="C4896" s="21"/>
      <c r="W4896" s="22"/>
      <c r="X4896" s="22"/>
    </row>
    <row r="4897" spans="2:24" x14ac:dyDescent="0.25">
      <c r="B4897" s="22"/>
      <c r="C4897" s="21"/>
      <c r="W4897" s="22"/>
      <c r="X4897" s="22"/>
    </row>
    <row r="4898" spans="2:24" x14ac:dyDescent="0.25">
      <c r="B4898" s="22"/>
      <c r="C4898" s="21"/>
      <c r="W4898" s="22"/>
      <c r="X4898" s="22"/>
    </row>
    <row r="4899" spans="2:24" x14ac:dyDescent="0.25">
      <c r="B4899" s="22"/>
      <c r="C4899" s="21"/>
      <c r="W4899" s="22"/>
      <c r="X4899" s="22"/>
    </row>
    <row r="4900" spans="2:24" x14ac:dyDescent="0.25">
      <c r="B4900" s="22"/>
      <c r="C4900" s="21"/>
    </row>
    <row r="4901" spans="2:24" x14ac:dyDescent="0.25">
      <c r="B4901" s="22"/>
      <c r="C4901" s="21"/>
      <c r="W4901" s="22"/>
      <c r="X4901" s="22"/>
    </row>
    <row r="4902" spans="2:24" x14ac:dyDescent="0.25">
      <c r="B4902" s="22"/>
      <c r="C4902" s="21"/>
    </row>
    <row r="4903" spans="2:24" x14ac:dyDescent="0.25">
      <c r="B4903" s="22"/>
      <c r="C4903" s="21"/>
    </row>
    <row r="4904" spans="2:24" x14ac:dyDescent="0.25">
      <c r="B4904" s="22"/>
      <c r="C4904" s="21"/>
      <c r="W4904" s="22"/>
      <c r="X4904" s="22"/>
    </row>
    <row r="4905" spans="2:24" x14ac:dyDescent="0.25">
      <c r="B4905" s="22"/>
      <c r="C4905" s="21"/>
      <c r="W4905" s="22"/>
      <c r="X4905" s="22"/>
    </row>
    <row r="4906" spans="2:24" x14ac:dyDescent="0.25">
      <c r="B4906" s="22"/>
      <c r="C4906" s="21"/>
      <c r="W4906" s="22"/>
      <c r="X4906" s="22"/>
    </row>
    <row r="4907" spans="2:24" x14ac:dyDescent="0.25">
      <c r="B4907" s="22"/>
      <c r="C4907" s="21"/>
    </row>
    <row r="4908" spans="2:24" x14ac:dyDescent="0.25">
      <c r="B4908" s="22"/>
      <c r="C4908" s="21"/>
      <c r="W4908" s="22"/>
      <c r="X4908" s="22"/>
    </row>
    <row r="4909" spans="2:24" x14ac:dyDescent="0.25">
      <c r="B4909" s="22"/>
      <c r="C4909" s="21"/>
      <c r="W4909" s="22"/>
      <c r="X4909" s="22"/>
    </row>
    <row r="4910" spans="2:24" x14ac:dyDescent="0.25">
      <c r="B4910" s="22"/>
      <c r="C4910" s="21"/>
    </row>
    <row r="4911" spans="2:24" x14ac:dyDescent="0.25">
      <c r="B4911" s="22"/>
      <c r="C4911" s="21"/>
      <c r="W4911" s="22"/>
      <c r="X4911" s="22"/>
    </row>
    <row r="4912" spans="2:24" x14ac:dyDescent="0.25">
      <c r="B4912" s="22"/>
      <c r="C4912" s="21"/>
      <c r="W4912" s="22"/>
      <c r="X4912" s="22"/>
    </row>
    <row r="4913" spans="2:24" x14ac:dyDescent="0.25">
      <c r="B4913" s="22"/>
      <c r="C4913" s="21"/>
      <c r="W4913" s="22"/>
      <c r="X4913" s="22"/>
    </row>
    <row r="4914" spans="2:24" x14ac:dyDescent="0.25">
      <c r="B4914" s="22"/>
      <c r="C4914" s="21"/>
      <c r="W4914" s="22"/>
      <c r="X4914" s="22"/>
    </row>
    <row r="4915" spans="2:24" x14ac:dyDescent="0.25">
      <c r="B4915" s="22"/>
      <c r="C4915" s="21"/>
      <c r="W4915" s="22"/>
      <c r="X4915" s="22"/>
    </row>
    <row r="4916" spans="2:24" x14ac:dyDescent="0.25">
      <c r="B4916" s="22"/>
      <c r="C4916" s="21"/>
      <c r="W4916" s="22"/>
      <c r="X4916" s="22"/>
    </row>
    <row r="4917" spans="2:24" x14ac:dyDescent="0.25">
      <c r="B4917" s="22"/>
      <c r="C4917" s="21"/>
      <c r="W4917" s="22"/>
      <c r="X4917" s="22"/>
    </row>
    <row r="4918" spans="2:24" x14ac:dyDescent="0.25">
      <c r="B4918" s="22"/>
      <c r="C4918" s="21"/>
      <c r="W4918" s="22"/>
      <c r="X4918" s="22"/>
    </row>
    <row r="4919" spans="2:24" x14ac:dyDescent="0.25">
      <c r="B4919" s="22"/>
      <c r="C4919" s="21"/>
    </row>
    <row r="4920" spans="2:24" x14ac:dyDescent="0.25">
      <c r="B4920" s="22"/>
      <c r="C4920" s="21"/>
      <c r="W4920" s="22"/>
      <c r="X4920" s="22"/>
    </row>
    <row r="4921" spans="2:24" x14ac:dyDescent="0.25">
      <c r="B4921" s="22"/>
      <c r="C4921" s="21"/>
      <c r="W4921" s="22"/>
      <c r="X4921" s="22"/>
    </row>
    <row r="4922" spans="2:24" x14ac:dyDescent="0.25">
      <c r="B4922" s="22"/>
      <c r="C4922" s="21"/>
      <c r="W4922" s="22"/>
      <c r="X4922" s="22"/>
    </row>
    <row r="4923" spans="2:24" x14ac:dyDescent="0.25">
      <c r="B4923" s="22"/>
      <c r="C4923" s="21"/>
      <c r="W4923" s="22"/>
      <c r="X4923" s="22"/>
    </row>
    <row r="4924" spans="2:24" x14ac:dyDescent="0.25">
      <c r="B4924" s="22"/>
      <c r="C4924" s="21"/>
      <c r="W4924" s="22"/>
      <c r="X4924" s="22"/>
    </row>
    <row r="4925" spans="2:24" x14ac:dyDescent="0.25">
      <c r="B4925" s="22"/>
      <c r="C4925" s="21"/>
      <c r="W4925" s="22"/>
      <c r="X4925" s="22"/>
    </row>
    <row r="4926" spans="2:24" x14ac:dyDescent="0.25">
      <c r="B4926" s="22"/>
      <c r="C4926" s="21"/>
      <c r="W4926" s="22"/>
      <c r="X4926" s="22"/>
    </row>
    <row r="4927" spans="2:24" x14ac:dyDescent="0.25">
      <c r="B4927" s="22"/>
      <c r="C4927" s="21"/>
      <c r="W4927" s="22"/>
      <c r="X4927" s="22"/>
    </row>
    <row r="4928" spans="2:24" x14ac:dyDescent="0.25">
      <c r="B4928" s="22"/>
      <c r="C4928" s="21"/>
      <c r="W4928" s="22"/>
      <c r="X4928" s="22"/>
    </row>
    <row r="4929" spans="2:24" x14ac:dyDescent="0.25">
      <c r="B4929" s="22"/>
      <c r="C4929" s="21"/>
      <c r="W4929" s="22"/>
      <c r="X4929" s="22"/>
    </row>
    <row r="4930" spans="2:24" x14ac:dyDescent="0.25">
      <c r="B4930" s="22"/>
      <c r="C4930" s="21"/>
      <c r="W4930" s="22"/>
      <c r="X4930" s="22"/>
    </row>
    <row r="4931" spans="2:24" x14ac:dyDescent="0.25">
      <c r="B4931" s="22"/>
      <c r="C4931" s="21"/>
      <c r="W4931" s="22"/>
      <c r="X4931" s="22"/>
    </row>
    <row r="4932" spans="2:24" x14ac:dyDescent="0.25">
      <c r="B4932" s="22"/>
      <c r="C4932" s="21"/>
      <c r="W4932" s="22"/>
      <c r="X4932" s="22"/>
    </row>
    <row r="4933" spans="2:24" x14ac:dyDescent="0.25">
      <c r="B4933" s="22"/>
      <c r="C4933" s="21"/>
      <c r="W4933" s="22"/>
      <c r="X4933" s="22"/>
    </row>
    <row r="4934" spans="2:24" x14ac:dyDescent="0.25">
      <c r="B4934" s="22"/>
      <c r="C4934" s="21"/>
      <c r="W4934" s="22"/>
      <c r="X4934" s="22"/>
    </row>
    <row r="4935" spans="2:24" x14ac:dyDescent="0.25">
      <c r="B4935" s="22"/>
      <c r="C4935" s="21"/>
      <c r="W4935" s="22"/>
      <c r="X4935" s="22"/>
    </row>
    <row r="4936" spans="2:24" x14ac:dyDescent="0.25">
      <c r="B4936" s="22"/>
      <c r="C4936" s="21"/>
      <c r="W4936" s="22"/>
      <c r="X4936" s="22"/>
    </row>
    <row r="4937" spans="2:24" x14ac:dyDescent="0.25">
      <c r="B4937" s="22"/>
      <c r="C4937" s="21"/>
      <c r="W4937" s="22"/>
      <c r="X4937" s="22"/>
    </row>
    <row r="4938" spans="2:24" x14ac:dyDescent="0.25">
      <c r="B4938" s="22"/>
      <c r="C4938" s="21"/>
      <c r="W4938" s="22"/>
      <c r="X4938" s="22"/>
    </row>
    <row r="4939" spans="2:24" x14ac:dyDescent="0.25">
      <c r="B4939" s="22"/>
      <c r="C4939" s="21"/>
      <c r="W4939" s="22"/>
      <c r="X4939" s="22"/>
    </row>
    <row r="4940" spans="2:24" x14ac:dyDescent="0.25">
      <c r="B4940" s="22"/>
      <c r="C4940" s="21"/>
      <c r="W4940" s="22"/>
      <c r="X4940" s="22"/>
    </row>
    <row r="4941" spans="2:24" x14ac:dyDescent="0.25">
      <c r="B4941" s="22"/>
      <c r="C4941" s="21"/>
      <c r="W4941" s="22"/>
      <c r="X4941" s="22"/>
    </row>
    <row r="4942" spans="2:24" x14ac:dyDescent="0.25">
      <c r="B4942" s="22"/>
      <c r="C4942" s="21"/>
      <c r="W4942" s="22"/>
      <c r="X4942" s="22"/>
    </row>
    <row r="4943" spans="2:24" x14ac:dyDescent="0.25">
      <c r="B4943" s="22"/>
      <c r="C4943" s="21"/>
      <c r="W4943" s="22"/>
      <c r="X4943" s="22"/>
    </row>
    <row r="4944" spans="2:24" x14ac:dyDescent="0.25">
      <c r="B4944" s="22"/>
      <c r="C4944" s="21"/>
      <c r="W4944" s="22"/>
      <c r="X4944" s="22"/>
    </row>
    <row r="4945" spans="2:24" x14ac:dyDescent="0.25">
      <c r="B4945" s="22"/>
      <c r="C4945" s="21"/>
      <c r="W4945" s="22"/>
      <c r="X4945" s="22"/>
    </row>
    <row r="4946" spans="2:24" x14ac:dyDescent="0.25">
      <c r="B4946" s="22"/>
      <c r="C4946" s="21"/>
      <c r="W4946" s="22"/>
      <c r="X4946" s="22"/>
    </row>
    <row r="4947" spans="2:24" x14ac:dyDescent="0.25">
      <c r="B4947" s="22"/>
      <c r="C4947" s="21"/>
      <c r="W4947" s="22"/>
      <c r="X4947" s="22"/>
    </row>
    <row r="4948" spans="2:24" x14ac:dyDescent="0.25">
      <c r="B4948" s="22"/>
      <c r="C4948" s="21"/>
      <c r="W4948" s="22"/>
      <c r="X4948" s="22"/>
    </row>
    <row r="4949" spans="2:24" x14ac:dyDescent="0.25">
      <c r="B4949" s="22"/>
      <c r="C4949" s="21"/>
      <c r="W4949" s="22"/>
      <c r="X4949" s="22"/>
    </row>
    <row r="4950" spans="2:24" x14ac:dyDescent="0.25">
      <c r="B4950" s="22"/>
      <c r="C4950" s="21"/>
      <c r="W4950" s="22"/>
      <c r="X4950" s="22"/>
    </row>
    <row r="4951" spans="2:24" x14ac:dyDescent="0.25">
      <c r="B4951" s="22"/>
      <c r="C4951" s="21"/>
      <c r="W4951" s="22"/>
      <c r="X4951" s="22"/>
    </row>
    <row r="4952" spans="2:24" x14ac:dyDescent="0.25">
      <c r="B4952" s="22"/>
      <c r="C4952" s="21"/>
      <c r="W4952" s="22"/>
      <c r="X4952" s="22"/>
    </row>
    <row r="4953" spans="2:24" x14ac:dyDescent="0.25">
      <c r="B4953" s="22"/>
      <c r="C4953" s="21"/>
      <c r="W4953" s="22"/>
      <c r="X4953" s="22"/>
    </row>
    <row r="4954" spans="2:24" x14ac:dyDescent="0.25">
      <c r="B4954" s="22"/>
      <c r="C4954" s="21"/>
      <c r="W4954" s="22"/>
      <c r="X4954" s="22"/>
    </row>
    <row r="4955" spans="2:24" x14ac:dyDescent="0.25">
      <c r="B4955" s="22"/>
      <c r="C4955" s="21"/>
      <c r="W4955" s="22"/>
      <c r="X4955" s="22"/>
    </row>
    <row r="4956" spans="2:24" x14ac:dyDescent="0.25">
      <c r="B4956" s="22"/>
      <c r="C4956" s="21"/>
      <c r="W4956" s="22"/>
      <c r="X4956" s="22"/>
    </row>
    <row r="4957" spans="2:24" x14ac:dyDescent="0.25">
      <c r="B4957" s="22"/>
      <c r="C4957" s="21"/>
      <c r="W4957" s="22"/>
      <c r="X4957" s="22"/>
    </row>
    <row r="4958" spans="2:24" x14ac:dyDescent="0.25">
      <c r="B4958" s="22"/>
      <c r="C4958" s="21"/>
      <c r="W4958" s="22"/>
      <c r="X4958" s="22"/>
    </row>
    <row r="4959" spans="2:24" x14ac:dyDescent="0.25">
      <c r="B4959" s="22"/>
      <c r="C4959" s="21"/>
      <c r="W4959" s="22"/>
      <c r="X4959" s="22"/>
    </row>
    <row r="4960" spans="2:24" x14ac:dyDescent="0.25">
      <c r="B4960" s="22"/>
      <c r="C4960" s="21"/>
      <c r="W4960" s="22"/>
      <c r="X4960" s="22"/>
    </row>
    <row r="4961" spans="2:24" x14ac:dyDescent="0.25">
      <c r="B4961" s="22"/>
      <c r="C4961" s="21"/>
      <c r="W4961" s="22"/>
      <c r="X4961" s="22"/>
    </row>
    <row r="4962" spans="2:24" x14ac:dyDescent="0.25">
      <c r="B4962" s="22"/>
      <c r="C4962" s="21"/>
      <c r="W4962" s="22"/>
      <c r="X4962" s="22"/>
    </row>
    <row r="4963" spans="2:24" x14ac:dyDescent="0.25">
      <c r="B4963" s="22"/>
      <c r="C4963" s="21"/>
      <c r="W4963" s="22"/>
      <c r="X4963" s="22"/>
    </row>
    <row r="4964" spans="2:24" x14ac:dyDescent="0.25">
      <c r="B4964" s="22"/>
      <c r="C4964" s="21"/>
      <c r="W4964" s="22"/>
      <c r="X4964" s="22"/>
    </row>
    <row r="4965" spans="2:24" x14ac:dyDescent="0.25">
      <c r="B4965" s="22"/>
      <c r="C4965" s="21"/>
      <c r="W4965" s="22"/>
      <c r="X4965" s="22"/>
    </row>
    <row r="4966" spans="2:24" x14ac:dyDescent="0.25">
      <c r="B4966" s="22"/>
      <c r="C4966" s="21"/>
      <c r="W4966" s="22"/>
      <c r="X4966" s="22"/>
    </row>
    <row r="4967" spans="2:24" x14ac:dyDescent="0.25">
      <c r="B4967" s="22"/>
      <c r="C4967" s="21"/>
      <c r="W4967" s="22"/>
      <c r="X4967" s="22"/>
    </row>
    <row r="4968" spans="2:24" x14ac:dyDescent="0.25">
      <c r="B4968" s="22"/>
      <c r="C4968" s="21"/>
      <c r="W4968" s="22"/>
      <c r="X4968" s="22"/>
    </row>
    <row r="4969" spans="2:24" x14ac:dyDescent="0.25">
      <c r="B4969" s="22"/>
      <c r="C4969" s="21"/>
      <c r="W4969" s="22"/>
      <c r="X4969" s="22"/>
    </row>
    <row r="4970" spans="2:24" x14ac:dyDescent="0.25">
      <c r="B4970" s="22"/>
      <c r="C4970" s="21"/>
      <c r="W4970" s="22"/>
      <c r="X4970" s="22"/>
    </row>
    <row r="4971" spans="2:24" x14ac:dyDescent="0.25">
      <c r="B4971" s="22"/>
      <c r="C4971" s="21"/>
      <c r="W4971" s="22"/>
      <c r="X4971" s="22"/>
    </row>
    <row r="4972" spans="2:24" x14ac:dyDescent="0.25">
      <c r="B4972" s="22"/>
      <c r="C4972" s="21"/>
      <c r="W4972" s="22"/>
      <c r="X4972" s="22"/>
    </row>
    <row r="4973" spans="2:24" x14ac:dyDescent="0.25">
      <c r="B4973" s="22"/>
      <c r="C4973" s="21"/>
      <c r="W4973" s="22"/>
      <c r="X4973" s="22"/>
    </row>
    <row r="4974" spans="2:24" x14ac:dyDescent="0.25">
      <c r="B4974" s="22"/>
      <c r="C4974" s="21"/>
      <c r="W4974" s="22"/>
      <c r="X4974" s="22"/>
    </row>
    <row r="4975" spans="2:24" x14ac:dyDescent="0.25">
      <c r="B4975" s="22"/>
      <c r="C4975" s="21"/>
      <c r="W4975" s="22"/>
      <c r="X4975" s="22"/>
    </row>
    <row r="4976" spans="2:24" x14ac:dyDescent="0.25">
      <c r="B4976" s="22"/>
      <c r="C4976" s="21"/>
      <c r="W4976" s="22"/>
      <c r="X4976" s="22"/>
    </row>
    <row r="4977" spans="2:24" x14ac:dyDescent="0.25">
      <c r="B4977" s="22"/>
      <c r="C4977" s="21"/>
      <c r="W4977" s="22"/>
      <c r="X4977" s="22"/>
    </row>
    <row r="4978" spans="2:24" x14ac:dyDescent="0.25">
      <c r="B4978" s="22"/>
      <c r="C4978" s="21"/>
      <c r="W4978" s="22"/>
      <c r="X4978" s="22"/>
    </row>
    <row r="4979" spans="2:24" x14ac:dyDescent="0.25">
      <c r="B4979" s="22"/>
      <c r="C4979" s="21"/>
      <c r="W4979" s="22"/>
      <c r="X4979" s="22"/>
    </row>
    <row r="4980" spans="2:24" x14ac:dyDescent="0.25">
      <c r="B4980" s="22"/>
      <c r="C4980" s="21"/>
      <c r="W4980" s="22"/>
      <c r="X4980" s="22"/>
    </row>
    <row r="4981" spans="2:24" x14ac:dyDescent="0.25">
      <c r="B4981" s="22"/>
      <c r="C4981" s="21"/>
      <c r="W4981" s="22"/>
      <c r="X4981" s="22"/>
    </row>
    <row r="4982" spans="2:24" x14ac:dyDescent="0.25">
      <c r="B4982" s="22"/>
      <c r="C4982" s="21"/>
      <c r="W4982" s="22"/>
      <c r="X4982" s="22"/>
    </row>
    <row r="4983" spans="2:24" x14ac:dyDescent="0.25">
      <c r="B4983" s="22"/>
      <c r="C4983" s="21"/>
      <c r="W4983" s="22"/>
      <c r="X4983" s="22"/>
    </row>
    <row r="4984" spans="2:24" x14ac:dyDescent="0.25">
      <c r="B4984" s="22"/>
      <c r="C4984" s="21"/>
      <c r="W4984" s="22"/>
      <c r="X4984" s="22"/>
    </row>
    <row r="4985" spans="2:24" x14ac:dyDescent="0.25">
      <c r="B4985" s="22"/>
      <c r="C4985" s="21"/>
      <c r="W4985" s="22"/>
      <c r="X4985" s="22"/>
    </row>
    <row r="4986" spans="2:24" x14ac:dyDescent="0.25">
      <c r="B4986" s="22"/>
      <c r="C4986" s="21"/>
      <c r="W4986" s="22"/>
      <c r="X4986" s="22"/>
    </row>
    <row r="4987" spans="2:24" x14ac:dyDescent="0.25">
      <c r="B4987" s="22"/>
      <c r="C4987" s="21"/>
      <c r="W4987" s="22"/>
      <c r="X4987" s="22"/>
    </row>
    <row r="4988" spans="2:24" x14ac:dyDescent="0.25">
      <c r="B4988" s="22"/>
      <c r="C4988" s="21"/>
      <c r="W4988" s="22"/>
      <c r="X4988" s="22"/>
    </row>
    <row r="4989" spans="2:24" x14ac:dyDescent="0.25">
      <c r="B4989" s="22"/>
      <c r="C4989" s="21"/>
      <c r="W4989" s="22"/>
      <c r="X4989" s="22"/>
    </row>
    <row r="4990" spans="2:24" x14ac:dyDescent="0.25">
      <c r="B4990" s="22"/>
      <c r="C4990" s="21"/>
      <c r="W4990" s="22"/>
      <c r="X4990" s="22"/>
    </row>
    <row r="4991" spans="2:24" x14ac:dyDescent="0.25">
      <c r="B4991" s="22"/>
      <c r="C4991" s="21"/>
      <c r="W4991" s="22"/>
      <c r="X4991" s="22"/>
    </row>
    <row r="4992" spans="2:24" x14ac:dyDescent="0.25">
      <c r="B4992" s="22"/>
      <c r="C4992" s="21"/>
      <c r="W4992" s="22"/>
      <c r="X4992" s="22"/>
    </row>
    <row r="4993" spans="2:24" x14ac:dyDescent="0.25">
      <c r="B4993" s="22"/>
      <c r="C4993" s="21"/>
      <c r="W4993" s="22"/>
      <c r="X4993" s="22"/>
    </row>
    <row r="4994" spans="2:24" x14ac:dyDescent="0.25">
      <c r="B4994" s="22"/>
      <c r="C4994" s="21"/>
      <c r="W4994" s="22"/>
      <c r="X4994" s="22"/>
    </row>
    <row r="4995" spans="2:24" x14ac:dyDescent="0.25">
      <c r="B4995" s="22"/>
      <c r="C4995" s="21"/>
      <c r="W4995" s="22"/>
      <c r="X4995" s="22"/>
    </row>
    <row r="4996" spans="2:24" x14ac:dyDescent="0.25">
      <c r="B4996" s="22"/>
      <c r="C4996" s="21"/>
      <c r="W4996" s="22"/>
      <c r="X4996" s="22"/>
    </row>
    <row r="4997" spans="2:24" x14ac:dyDescent="0.25">
      <c r="B4997" s="22"/>
      <c r="C4997" s="21"/>
      <c r="W4997" s="22"/>
      <c r="X4997" s="22"/>
    </row>
    <row r="4998" spans="2:24" x14ac:dyDescent="0.25">
      <c r="B4998" s="22"/>
      <c r="C4998" s="21"/>
      <c r="W4998" s="22"/>
      <c r="X4998" s="22"/>
    </row>
    <row r="4999" spans="2:24" x14ac:dyDescent="0.25">
      <c r="B4999" s="22"/>
      <c r="C4999" s="21"/>
      <c r="W4999" s="22"/>
      <c r="X4999" s="22"/>
    </row>
    <row r="5000" spans="2:24" x14ac:dyDescent="0.25">
      <c r="B5000" s="22"/>
      <c r="C5000" s="21"/>
      <c r="W5000" s="22"/>
      <c r="X5000" s="22"/>
    </row>
    <row r="5001" spans="2:24" x14ac:dyDescent="0.25">
      <c r="B5001" s="22"/>
      <c r="C5001" s="21"/>
      <c r="W5001" s="22"/>
      <c r="X5001" s="22"/>
    </row>
    <row r="5002" spans="2:24" x14ac:dyDescent="0.25">
      <c r="B5002" s="22"/>
      <c r="C5002" s="21"/>
      <c r="W5002" s="22"/>
      <c r="X5002" s="22"/>
    </row>
    <row r="5003" spans="2:24" x14ac:dyDescent="0.25">
      <c r="B5003" s="22"/>
      <c r="C5003" s="21"/>
      <c r="W5003" s="22"/>
      <c r="X5003" s="22"/>
    </row>
    <row r="5004" spans="2:24" x14ac:dyDescent="0.25">
      <c r="B5004" s="22"/>
      <c r="C5004" s="21"/>
      <c r="W5004" s="22"/>
      <c r="X5004" s="22"/>
    </row>
    <row r="5005" spans="2:24" x14ac:dyDescent="0.25">
      <c r="B5005" s="22"/>
      <c r="C5005" s="21"/>
      <c r="W5005" s="22"/>
      <c r="X5005" s="22"/>
    </row>
    <row r="5006" spans="2:24" x14ac:dyDescent="0.25">
      <c r="B5006" s="22"/>
      <c r="C5006" s="21"/>
      <c r="W5006" s="22"/>
      <c r="X5006" s="22"/>
    </row>
    <row r="5007" spans="2:24" x14ac:dyDescent="0.25">
      <c r="B5007" s="22"/>
      <c r="C5007" s="21"/>
      <c r="W5007" s="22"/>
      <c r="X5007" s="22"/>
    </row>
    <row r="5008" spans="2:24" x14ac:dyDescent="0.25">
      <c r="B5008" s="22"/>
      <c r="C5008" s="21"/>
      <c r="W5008" s="22"/>
      <c r="X5008" s="22"/>
    </row>
    <row r="5009" spans="2:24" x14ac:dyDescent="0.25">
      <c r="B5009" s="22"/>
      <c r="C5009" s="21"/>
      <c r="W5009" s="22"/>
      <c r="X5009" s="22"/>
    </row>
    <row r="5010" spans="2:24" x14ac:dyDescent="0.25">
      <c r="B5010" s="22"/>
      <c r="C5010" s="21"/>
      <c r="W5010" s="22"/>
      <c r="X5010" s="22"/>
    </row>
    <row r="5011" spans="2:24" x14ac:dyDescent="0.25">
      <c r="B5011" s="22"/>
      <c r="C5011" s="21"/>
      <c r="W5011" s="22"/>
      <c r="X5011" s="22"/>
    </row>
    <row r="5012" spans="2:24" x14ac:dyDescent="0.25">
      <c r="B5012" s="22"/>
      <c r="C5012" s="21"/>
      <c r="W5012" s="22"/>
      <c r="X5012" s="22"/>
    </row>
    <row r="5013" spans="2:24" x14ac:dyDescent="0.25">
      <c r="B5013" s="22"/>
      <c r="C5013" s="21"/>
      <c r="W5013" s="22"/>
      <c r="X5013" s="22"/>
    </row>
    <row r="5014" spans="2:24" x14ac:dyDescent="0.25">
      <c r="B5014" s="22"/>
      <c r="C5014" s="21"/>
      <c r="W5014" s="22"/>
      <c r="X5014" s="22"/>
    </row>
    <row r="5015" spans="2:24" x14ac:dyDescent="0.25">
      <c r="B5015" s="22"/>
      <c r="C5015" s="21"/>
      <c r="W5015" s="22"/>
      <c r="X5015" s="22"/>
    </row>
    <row r="5016" spans="2:24" x14ac:dyDescent="0.25">
      <c r="B5016" s="22"/>
      <c r="C5016" s="21"/>
      <c r="W5016" s="22"/>
      <c r="X5016" s="22"/>
    </row>
    <row r="5017" spans="2:24" x14ac:dyDescent="0.25">
      <c r="B5017" s="22"/>
      <c r="C5017" s="21"/>
      <c r="W5017" s="22"/>
      <c r="X5017" s="22"/>
    </row>
    <row r="5018" spans="2:24" x14ac:dyDescent="0.25">
      <c r="B5018" s="22"/>
      <c r="C5018" s="21"/>
      <c r="W5018" s="22"/>
      <c r="X5018" s="22"/>
    </row>
    <row r="5019" spans="2:24" x14ac:dyDescent="0.25">
      <c r="B5019" s="22"/>
      <c r="C5019" s="21"/>
    </row>
    <row r="5020" spans="2:24" x14ac:dyDescent="0.25">
      <c r="B5020" s="22"/>
      <c r="C5020" s="21"/>
      <c r="W5020" s="22"/>
      <c r="X5020" s="22"/>
    </row>
    <row r="5021" spans="2:24" x14ac:dyDescent="0.25">
      <c r="B5021" s="22"/>
      <c r="C5021" s="21"/>
      <c r="W5021" s="22"/>
      <c r="X5021" s="22"/>
    </row>
    <row r="5022" spans="2:24" x14ac:dyDescent="0.25">
      <c r="B5022" s="22"/>
      <c r="C5022" s="21"/>
      <c r="W5022" s="22"/>
      <c r="X5022" s="22"/>
    </row>
    <row r="5023" spans="2:24" x14ac:dyDescent="0.25">
      <c r="B5023" s="22"/>
      <c r="C5023" s="21"/>
      <c r="W5023" s="22"/>
      <c r="X5023" s="22"/>
    </row>
    <row r="5024" spans="2:24" x14ac:dyDescent="0.25">
      <c r="B5024" s="22"/>
      <c r="C5024" s="21"/>
      <c r="W5024" s="22"/>
      <c r="X5024" s="22"/>
    </row>
    <row r="5025" spans="2:24" x14ac:dyDescent="0.25">
      <c r="B5025" s="22"/>
      <c r="C5025" s="21"/>
      <c r="W5025" s="22"/>
      <c r="X5025" s="22"/>
    </row>
    <row r="5026" spans="2:24" x14ac:dyDescent="0.25">
      <c r="B5026" s="22"/>
      <c r="C5026" s="21"/>
      <c r="W5026" s="22"/>
      <c r="X5026" s="22"/>
    </row>
    <row r="5027" spans="2:24" x14ac:dyDescent="0.25">
      <c r="B5027" s="22"/>
      <c r="C5027" s="21"/>
      <c r="W5027" s="22"/>
      <c r="X5027" s="22"/>
    </row>
    <row r="5028" spans="2:24" x14ac:dyDescent="0.25">
      <c r="B5028" s="22"/>
      <c r="C5028" s="21"/>
      <c r="W5028" s="22"/>
      <c r="X5028" s="22"/>
    </row>
    <row r="5029" spans="2:24" x14ac:dyDescent="0.25">
      <c r="B5029" s="22"/>
      <c r="C5029" s="21"/>
      <c r="W5029" s="22"/>
      <c r="X5029" s="22"/>
    </row>
    <row r="5030" spans="2:24" x14ac:dyDescent="0.25">
      <c r="B5030" s="22"/>
      <c r="C5030" s="21"/>
      <c r="W5030" s="22"/>
      <c r="X5030" s="22"/>
    </row>
    <row r="5031" spans="2:24" x14ac:dyDescent="0.25">
      <c r="B5031" s="22"/>
      <c r="C5031" s="21"/>
      <c r="W5031" s="22"/>
      <c r="X5031" s="22"/>
    </row>
    <row r="5032" spans="2:24" x14ac:dyDescent="0.25">
      <c r="B5032" s="22"/>
      <c r="C5032" s="21"/>
      <c r="W5032" s="22"/>
      <c r="X5032" s="22"/>
    </row>
    <row r="5033" spans="2:24" x14ac:dyDescent="0.25">
      <c r="B5033" s="22"/>
      <c r="C5033" s="21"/>
    </row>
    <row r="5034" spans="2:24" x14ac:dyDescent="0.25">
      <c r="B5034" s="22"/>
      <c r="C5034" s="21"/>
    </row>
    <row r="5035" spans="2:24" x14ac:dyDescent="0.25">
      <c r="B5035" s="22"/>
      <c r="C5035" s="21"/>
      <c r="W5035" s="22"/>
      <c r="X5035" s="22"/>
    </row>
    <row r="5036" spans="2:24" x14ac:dyDescent="0.25">
      <c r="B5036" s="22"/>
      <c r="C5036" s="21"/>
      <c r="W5036" s="22"/>
      <c r="X5036" s="22"/>
    </row>
    <row r="5037" spans="2:24" x14ac:dyDescent="0.25">
      <c r="B5037" s="22"/>
      <c r="C5037" s="21"/>
      <c r="W5037" s="22"/>
      <c r="X5037" s="22"/>
    </row>
    <row r="5038" spans="2:24" x14ac:dyDescent="0.25">
      <c r="B5038" s="22"/>
      <c r="C5038" s="21"/>
      <c r="W5038" s="22"/>
      <c r="X5038" s="22"/>
    </row>
    <row r="5039" spans="2:24" x14ac:dyDescent="0.25">
      <c r="B5039" s="22"/>
      <c r="C5039" s="21"/>
      <c r="W5039" s="22"/>
      <c r="X5039" s="22"/>
    </row>
    <row r="5040" spans="2:24" x14ac:dyDescent="0.25">
      <c r="B5040" s="22"/>
      <c r="C5040" s="21"/>
      <c r="W5040" s="22"/>
      <c r="X5040" s="22"/>
    </row>
    <row r="5041" spans="2:24" x14ac:dyDescent="0.25">
      <c r="B5041" s="22"/>
      <c r="C5041" s="21"/>
      <c r="W5041" s="22"/>
      <c r="X5041" s="22"/>
    </row>
    <row r="5042" spans="2:24" x14ac:dyDescent="0.25">
      <c r="B5042" s="22"/>
      <c r="C5042" s="21"/>
      <c r="W5042" s="22"/>
      <c r="X5042" s="22"/>
    </row>
    <row r="5043" spans="2:24" x14ac:dyDescent="0.25">
      <c r="B5043" s="22"/>
      <c r="C5043" s="21"/>
      <c r="W5043" s="22"/>
      <c r="X5043" s="22"/>
    </row>
    <row r="5044" spans="2:24" x14ac:dyDescent="0.25">
      <c r="B5044" s="22"/>
      <c r="C5044" s="21"/>
      <c r="W5044" s="22"/>
      <c r="X5044" s="22"/>
    </row>
    <row r="5045" spans="2:24" x14ac:dyDescent="0.25">
      <c r="B5045" s="22"/>
      <c r="C5045" s="21"/>
      <c r="W5045" s="22"/>
      <c r="X5045" s="22"/>
    </row>
    <row r="5046" spans="2:24" x14ac:dyDescent="0.25">
      <c r="B5046" s="22"/>
      <c r="C5046" s="21"/>
      <c r="W5046" s="22"/>
      <c r="X5046" s="22"/>
    </row>
    <row r="5047" spans="2:24" x14ac:dyDescent="0.25">
      <c r="B5047" s="22"/>
      <c r="C5047" s="21"/>
      <c r="W5047" s="22"/>
      <c r="X5047" s="22"/>
    </row>
    <row r="5048" spans="2:24" x14ac:dyDescent="0.25">
      <c r="B5048" s="22"/>
      <c r="C5048" s="21"/>
      <c r="W5048" s="22"/>
      <c r="X5048" s="22"/>
    </row>
    <row r="5049" spans="2:24" x14ac:dyDescent="0.25">
      <c r="B5049" s="22"/>
      <c r="C5049" s="21"/>
      <c r="W5049" s="22"/>
      <c r="X5049" s="22"/>
    </row>
    <row r="5050" spans="2:24" x14ac:dyDescent="0.25">
      <c r="B5050" s="22"/>
      <c r="C5050" s="21"/>
      <c r="W5050" s="22"/>
      <c r="X5050" s="22"/>
    </row>
    <row r="5051" spans="2:24" x14ac:dyDescent="0.25">
      <c r="B5051" s="22"/>
      <c r="C5051" s="21"/>
      <c r="W5051" s="22"/>
      <c r="X5051" s="22"/>
    </row>
    <row r="5052" spans="2:24" x14ac:dyDescent="0.25">
      <c r="B5052" s="22"/>
      <c r="C5052" s="21"/>
      <c r="W5052" s="22"/>
      <c r="X5052" s="22"/>
    </row>
    <row r="5053" spans="2:24" x14ac:dyDescent="0.25">
      <c r="B5053" s="22"/>
      <c r="C5053" s="21"/>
      <c r="W5053" s="22"/>
      <c r="X5053" s="22"/>
    </row>
    <row r="5054" spans="2:24" x14ac:dyDescent="0.25">
      <c r="B5054" s="22"/>
      <c r="C5054" s="21"/>
      <c r="W5054" s="22"/>
      <c r="X5054" s="22"/>
    </row>
    <row r="5055" spans="2:24" x14ac:dyDescent="0.25">
      <c r="B5055" s="22"/>
      <c r="C5055" s="21"/>
      <c r="W5055" s="22"/>
      <c r="X5055" s="22"/>
    </row>
    <row r="5056" spans="2:24" x14ac:dyDescent="0.25">
      <c r="B5056" s="22"/>
      <c r="C5056" s="21"/>
      <c r="W5056" s="22"/>
      <c r="X5056" s="22"/>
    </row>
    <row r="5057" spans="2:24" x14ac:dyDescent="0.25">
      <c r="B5057" s="22"/>
      <c r="C5057" s="21"/>
      <c r="W5057" s="22"/>
      <c r="X5057" s="22"/>
    </row>
    <row r="5058" spans="2:24" x14ac:dyDescent="0.25">
      <c r="B5058" s="22"/>
      <c r="C5058" s="21"/>
    </row>
    <row r="5059" spans="2:24" x14ac:dyDescent="0.25">
      <c r="B5059" s="22"/>
      <c r="C5059" s="21"/>
      <c r="W5059" s="22"/>
      <c r="X5059" s="22"/>
    </row>
    <row r="5060" spans="2:24" x14ac:dyDescent="0.25">
      <c r="B5060" s="22"/>
      <c r="C5060" s="21"/>
      <c r="W5060" s="22"/>
      <c r="X5060" s="22"/>
    </row>
    <row r="5061" spans="2:24" x14ac:dyDescent="0.25">
      <c r="B5061" s="22"/>
      <c r="C5061" s="21"/>
      <c r="W5061" s="22"/>
      <c r="X5061" s="22"/>
    </row>
    <row r="5062" spans="2:24" x14ac:dyDescent="0.25">
      <c r="B5062" s="22"/>
      <c r="C5062" s="21"/>
      <c r="W5062" s="22"/>
      <c r="X5062" s="22"/>
    </row>
    <row r="5063" spans="2:24" x14ac:dyDescent="0.25">
      <c r="B5063" s="22"/>
      <c r="C5063" s="21"/>
      <c r="W5063" s="22"/>
      <c r="X5063" s="22"/>
    </row>
    <row r="5064" spans="2:24" x14ac:dyDescent="0.25">
      <c r="B5064" s="22"/>
      <c r="C5064" s="21"/>
      <c r="W5064" s="22"/>
      <c r="X5064" s="22"/>
    </row>
    <row r="5065" spans="2:24" x14ac:dyDescent="0.25">
      <c r="B5065" s="22"/>
      <c r="C5065" s="21"/>
      <c r="W5065" s="22"/>
      <c r="X5065" s="22"/>
    </row>
    <row r="5066" spans="2:24" x14ac:dyDescent="0.25">
      <c r="B5066" s="22"/>
      <c r="C5066" s="21"/>
      <c r="W5066" s="22"/>
      <c r="X5066" s="22"/>
    </row>
    <row r="5067" spans="2:24" x14ac:dyDescent="0.25">
      <c r="B5067" s="22"/>
      <c r="C5067" s="21"/>
      <c r="W5067" s="22"/>
      <c r="X5067" s="22"/>
    </row>
    <row r="5068" spans="2:24" x14ac:dyDescent="0.25">
      <c r="B5068" s="22"/>
      <c r="C5068" s="21"/>
      <c r="W5068" s="22"/>
      <c r="X5068" s="22"/>
    </row>
    <row r="5069" spans="2:24" x14ac:dyDescent="0.25">
      <c r="B5069" s="22"/>
      <c r="C5069" s="21"/>
      <c r="W5069" s="22"/>
      <c r="X5069" s="22"/>
    </row>
    <row r="5070" spans="2:24" x14ac:dyDescent="0.25">
      <c r="B5070" s="22"/>
      <c r="C5070" s="21"/>
      <c r="W5070" s="22"/>
      <c r="X5070" s="22"/>
    </row>
    <row r="5071" spans="2:24" x14ac:dyDescent="0.25">
      <c r="B5071" s="22"/>
      <c r="C5071" s="21"/>
      <c r="W5071" s="22"/>
      <c r="X5071" s="22"/>
    </row>
    <row r="5072" spans="2:24" x14ac:dyDescent="0.25">
      <c r="B5072" s="22"/>
      <c r="C5072" s="21"/>
      <c r="W5072" s="22"/>
      <c r="X5072" s="22"/>
    </row>
    <row r="5073" spans="2:24" x14ac:dyDescent="0.25">
      <c r="B5073" s="22"/>
      <c r="C5073" s="21"/>
      <c r="W5073" s="22"/>
      <c r="X5073" s="22"/>
    </row>
    <row r="5074" spans="2:24" x14ac:dyDescent="0.25">
      <c r="B5074" s="22"/>
      <c r="C5074" s="21"/>
      <c r="W5074" s="22"/>
      <c r="X5074" s="22"/>
    </row>
    <row r="5075" spans="2:24" x14ac:dyDescent="0.25">
      <c r="B5075" s="22"/>
      <c r="C5075" s="21"/>
      <c r="W5075" s="22"/>
      <c r="X5075" s="22"/>
    </row>
    <row r="5076" spans="2:24" x14ac:dyDescent="0.25">
      <c r="B5076" s="22"/>
      <c r="C5076" s="21"/>
      <c r="W5076" s="22"/>
      <c r="X5076" s="22"/>
    </row>
    <row r="5077" spans="2:24" x14ac:dyDescent="0.25">
      <c r="B5077" s="22"/>
      <c r="C5077" s="21"/>
      <c r="W5077" s="22"/>
      <c r="X5077" s="22"/>
    </row>
    <row r="5078" spans="2:24" x14ac:dyDescent="0.25">
      <c r="B5078" s="22"/>
      <c r="C5078" s="21"/>
      <c r="W5078" s="22"/>
      <c r="X5078" s="22"/>
    </row>
    <row r="5079" spans="2:24" x14ac:dyDescent="0.25">
      <c r="B5079" s="22"/>
      <c r="C5079" s="21"/>
      <c r="W5079" s="22"/>
      <c r="X5079" s="22"/>
    </row>
    <row r="5080" spans="2:24" x14ac:dyDescent="0.25">
      <c r="B5080" s="22"/>
      <c r="C5080" s="21"/>
      <c r="W5080" s="22"/>
      <c r="X5080" s="22"/>
    </row>
    <row r="5081" spans="2:24" x14ac:dyDescent="0.25">
      <c r="B5081" s="22"/>
      <c r="C5081" s="21"/>
      <c r="W5081" s="22"/>
      <c r="X5081" s="22"/>
    </row>
    <row r="5082" spans="2:24" x14ac:dyDescent="0.25">
      <c r="B5082" s="22"/>
      <c r="C5082" s="21"/>
      <c r="W5082" s="22"/>
      <c r="X5082" s="22"/>
    </row>
    <row r="5083" spans="2:24" x14ac:dyDescent="0.25">
      <c r="B5083" s="22"/>
      <c r="C5083" s="21"/>
      <c r="W5083" s="22"/>
      <c r="X5083" s="22"/>
    </row>
    <row r="5084" spans="2:24" x14ac:dyDescent="0.25">
      <c r="B5084" s="22"/>
      <c r="C5084" s="21"/>
      <c r="W5084" s="22"/>
      <c r="X5084" s="22"/>
    </row>
    <row r="5085" spans="2:24" x14ac:dyDescent="0.25">
      <c r="B5085" s="22"/>
      <c r="C5085" s="21"/>
      <c r="W5085" s="22"/>
      <c r="X5085" s="22"/>
    </row>
    <row r="5086" spans="2:24" x14ac:dyDescent="0.25">
      <c r="B5086" s="22"/>
      <c r="C5086" s="21"/>
      <c r="W5086" s="22"/>
      <c r="X5086" s="22"/>
    </row>
    <row r="5087" spans="2:24" x14ac:dyDescent="0.25">
      <c r="B5087" s="22"/>
      <c r="C5087" s="21"/>
      <c r="W5087" s="22"/>
      <c r="X5087" s="22"/>
    </row>
    <row r="5088" spans="2:24" x14ac:dyDescent="0.25">
      <c r="B5088" s="22"/>
      <c r="C5088" s="21"/>
      <c r="W5088" s="22"/>
      <c r="X5088" s="22"/>
    </row>
    <row r="5089" spans="2:24" x14ac:dyDescent="0.25">
      <c r="B5089" s="22"/>
      <c r="C5089" s="21"/>
      <c r="W5089" s="22"/>
      <c r="X5089" s="22"/>
    </row>
    <row r="5090" spans="2:24" x14ac:dyDescent="0.25">
      <c r="B5090" s="22"/>
      <c r="C5090" s="21"/>
      <c r="W5090" s="22"/>
      <c r="X5090" s="22"/>
    </row>
    <row r="5091" spans="2:24" x14ac:dyDescent="0.25">
      <c r="B5091" s="22"/>
      <c r="C5091" s="21"/>
      <c r="W5091" s="22"/>
      <c r="X5091" s="22"/>
    </row>
    <row r="5092" spans="2:24" x14ac:dyDescent="0.25">
      <c r="B5092" s="22"/>
      <c r="C5092" s="21"/>
      <c r="W5092" s="22"/>
      <c r="X5092" s="22"/>
    </row>
    <row r="5093" spans="2:24" x14ac:dyDescent="0.25">
      <c r="B5093" s="22"/>
      <c r="C5093" s="21"/>
      <c r="W5093" s="22"/>
      <c r="X5093" s="22"/>
    </row>
    <row r="5094" spans="2:24" x14ac:dyDescent="0.25">
      <c r="B5094" s="22"/>
      <c r="C5094" s="21"/>
      <c r="W5094" s="22"/>
      <c r="X5094" s="22"/>
    </row>
    <row r="5095" spans="2:24" x14ac:dyDescent="0.25">
      <c r="B5095" s="22"/>
      <c r="C5095" s="21"/>
      <c r="W5095" s="22"/>
      <c r="X5095" s="22"/>
    </row>
    <row r="5096" spans="2:24" x14ac:dyDescent="0.25">
      <c r="B5096" s="22"/>
      <c r="C5096" s="21"/>
      <c r="W5096" s="22"/>
      <c r="X5096" s="22"/>
    </row>
    <row r="5097" spans="2:24" x14ac:dyDescent="0.25">
      <c r="B5097" s="22"/>
      <c r="C5097" s="21"/>
      <c r="W5097" s="22"/>
      <c r="X5097" s="22"/>
    </row>
    <row r="5098" spans="2:24" x14ac:dyDescent="0.25">
      <c r="B5098" s="22"/>
      <c r="C5098" s="21"/>
      <c r="W5098" s="22"/>
      <c r="X5098" s="22"/>
    </row>
    <row r="5099" spans="2:24" x14ac:dyDescent="0.25">
      <c r="B5099" s="22"/>
      <c r="C5099" s="21"/>
      <c r="W5099" s="22"/>
      <c r="X5099" s="22"/>
    </row>
    <row r="5100" spans="2:24" x14ac:dyDescent="0.25">
      <c r="B5100" s="22"/>
      <c r="C5100" s="21"/>
      <c r="W5100" s="22"/>
      <c r="X5100" s="22"/>
    </row>
    <row r="5101" spans="2:24" x14ac:dyDescent="0.25">
      <c r="B5101" s="22"/>
      <c r="C5101" s="21"/>
      <c r="W5101" s="22"/>
      <c r="X5101" s="22"/>
    </row>
    <row r="5102" spans="2:24" x14ac:dyDescent="0.25">
      <c r="B5102" s="22"/>
      <c r="C5102" s="21"/>
      <c r="W5102" s="22"/>
      <c r="X5102" s="22"/>
    </row>
    <row r="5103" spans="2:24" x14ac:dyDescent="0.25">
      <c r="B5103" s="22"/>
      <c r="C5103" s="21"/>
      <c r="W5103" s="22"/>
      <c r="X5103" s="22"/>
    </row>
    <row r="5104" spans="2:24" x14ac:dyDescent="0.25">
      <c r="B5104" s="22"/>
      <c r="C5104" s="21"/>
      <c r="W5104" s="22"/>
    </row>
    <row r="5105" spans="2:24" x14ac:dyDescent="0.25">
      <c r="B5105" s="22"/>
      <c r="C5105" s="21"/>
      <c r="W5105" s="22"/>
      <c r="X5105" s="22"/>
    </row>
    <row r="5106" spans="2:24" x14ac:dyDescent="0.25">
      <c r="B5106" s="22"/>
      <c r="C5106" s="21"/>
      <c r="W5106" s="22"/>
      <c r="X5106" s="22"/>
    </row>
    <row r="5107" spans="2:24" x14ac:dyDescent="0.25">
      <c r="B5107" s="22"/>
      <c r="C5107" s="21"/>
      <c r="W5107" s="22"/>
      <c r="X5107" s="22"/>
    </row>
    <row r="5108" spans="2:24" x14ac:dyDescent="0.25">
      <c r="B5108" s="22"/>
      <c r="C5108" s="21"/>
      <c r="W5108" s="22"/>
      <c r="X5108" s="22"/>
    </row>
    <row r="5109" spans="2:24" x14ac:dyDescent="0.25">
      <c r="B5109" s="22"/>
      <c r="C5109" s="21"/>
      <c r="W5109" s="22"/>
      <c r="X5109" s="22"/>
    </row>
    <row r="5110" spans="2:24" x14ac:dyDescent="0.25">
      <c r="B5110" s="22"/>
      <c r="C5110" s="21"/>
      <c r="W5110" s="22"/>
      <c r="X5110" s="22"/>
    </row>
    <row r="5111" spans="2:24" x14ac:dyDescent="0.25">
      <c r="B5111" s="22"/>
      <c r="C5111" s="21"/>
      <c r="W5111" s="22"/>
      <c r="X5111" s="22"/>
    </row>
    <row r="5112" spans="2:24" x14ac:dyDescent="0.25">
      <c r="B5112" s="22"/>
      <c r="C5112" s="21"/>
      <c r="W5112" s="22"/>
      <c r="X5112" s="22"/>
    </row>
    <row r="5113" spans="2:24" x14ac:dyDescent="0.25">
      <c r="B5113" s="22"/>
      <c r="C5113" s="21"/>
      <c r="W5113" s="22"/>
      <c r="X5113" s="22"/>
    </row>
    <row r="5114" spans="2:24" x14ac:dyDescent="0.25">
      <c r="B5114" s="22"/>
      <c r="C5114" s="21"/>
      <c r="W5114" s="22"/>
      <c r="X5114" s="22"/>
    </row>
    <row r="5115" spans="2:24" x14ac:dyDescent="0.25">
      <c r="B5115" s="22"/>
      <c r="C5115" s="21"/>
      <c r="W5115" s="22"/>
      <c r="X5115" s="22"/>
    </row>
    <row r="5116" spans="2:24" x14ac:dyDescent="0.25">
      <c r="B5116" s="22"/>
      <c r="C5116" s="21"/>
      <c r="W5116" s="22"/>
      <c r="X5116" s="22"/>
    </row>
    <row r="5117" spans="2:24" x14ac:dyDescent="0.25">
      <c r="B5117" s="22"/>
      <c r="C5117" s="21"/>
      <c r="W5117" s="22"/>
      <c r="X5117" s="22"/>
    </row>
    <row r="5118" spans="2:24" x14ac:dyDescent="0.25">
      <c r="B5118" s="22"/>
      <c r="C5118" s="21"/>
      <c r="W5118" s="22"/>
      <c r="X5118" s="22"/>
    </row>
    <row r="5119" spans="2:24" x14ac:dyDescent="0.25">
      <c r="B5119" s="22"/>
      <c r="C5119" s="21"/>
      <c r="W5119" s="22"/>
      <c r="X5119" s="22"/>
    </row>
    <row r="5120" spans="2:24" x14ac:dyDescent="0.25">
      <c r="B5120" s="22"/>
      <c r="C5120" s="21"/>
      <c r="W5120" s="22"/>
      <c r="X5120" s="22"/>
    </row>
    <row r="5121" spans="2:24" x14ac:dyDescent="0.25">
      <c r="B5121" s="22"/>
      <c r="C5121" s="21"/>
      <c r="W5121" s="22"/>
      <c r="X5121" s="22"/>
    </row>
    <row r="5122" spans="2:24" x14ac:dyDescent="0.25">
      <c r="B5122" s="22"/>
      <c r="C5122" s="21"/>
      <c r="W5122" s="22"/>
      <c r="X5122" s="22"/>
    </row>
    <row r="5123" spans="2:24" x14ac:dyDescent="0.25">
      <c r="B5123" s="22"/>
      <c r="C5123" s="21"/>
      <c r="W5123" s="22"/>
      <c r="X5123" s="22"/>
    </row>
    <row r="5124" spans="2:24" x14ac:dyDescent="0.25">
      <c r="B5124" s="22"/>
      <c r="C5124" s="21"/>
      <c r="W5124" s="22"/>
      <c r="X5124" s="22"/>
    </row>
    <row r="5125" spans="2:24" x14ac:dyDescent="0.25">
      <c r="B5125" s="22"/>
      <c r="C5125" s="21"/>
      <c r="W5125" s="22"/>
      <c r="X5125" s="22"/>
    </row>
    <row r="5126" spans="2:24" x14ac:dyDescent="0.25">
      <c r="B5126" s="22"/>
      <c r="C5126" s="21"/>
      <c r="W5126" s="22"/>
      <c r="X5126" s="22"/>
    </row>
    <row r="5127" spans="2:24" x14ac:dyDescent="0.25">
      <c r="B5127" s="22"/>
      <c r="C5127" s="21"/>
      <c r="W5127" s="22"/>
      <c r="X5127" s="22"/>
    </row>
    <row r="5128" spans="2:24" x14ac:dyDescent="0.25">
      <c r="B5128" s="22"/>
      <c r="C5128" s="21"/>
      <c r="W5128" s="22"/>
      <c r="X5128" s="22"/>
    </row>
    <row r="5129" spans="2:24" x14ac:dyDescent="0.25">
      <c r="B5129" s="22"/>
      <c r="C5129" s="21"/>
      <c r="W5129" s="22"/>
      <c r="X5129" s="22"/>
    </row>
    <row r="5130" spans="2:24" x14ac:dyDescent="0.25">
      <c r="B5130" s="22"/>
      <c r="C5130" s="21"/>
      <c r="W5130" s="22"/>
      <c r="X5130" s="22"/>
    </row>
    <row r="5131" spans="2:24" x14ac:dyDescent="0.25">
      <c r="B5131" s="22"/>
      <c r="C5131" s="21"/>
      <c r="W5131" s="22"/>
    </row>
    <row r="5132" spans="2:24" x14ac:dyDescent="0.25">
      <c r="B5132" s="22"/>
      <c r="C5132" s="21"/>
      <c r="W5132" s="22"/>
      <c r="X5132" s="22"/>
    </row>
    <row r="5133" spans="2:24" x14ac:dyDescent="0.25">
      <c r="B5133" s="22"/>
      <c r="C5133" s="21"/>
      <c r="W5133" s="22"/>
      <c r="X5133" s="22"/>
    </row>
    <row r="5134" spans="2:24" x14ac:dyDescent="0.25">
      <c r="B5134" s="22"/>
      <c r="C5134" s="21"/>
      <c r="W5134" s="22"/>
      <c r="X5134" s="22"/>
    </row>
    <row r="5135" spans="2:24" x14ac:dyDescent="0.25">
      <c r="B5135" s="22"/>
      <c r="C5135" s="21"/>
      <c r="W5135" s="22"/>
      <c r="X5135" s="22"/>
    </row>
    <row r="5136" spans="2:24" x14ac:dyDescent="0.25">
      <c r="B5136" s="22"/>
      <c r="C5136" s="21"/>
      <c r="W5136" s="22"/>
      <c r="X5136" s="22"/>
    </row>
    <row r="5137" spans="2:24" x14ac:dyDescent="0.25">
      <c r="B5137" s="22"/>
      <c r="C5137" s="21"/>
      <c r="W5137" s="22"/>
      <c r="X5137" s="22"/>
    </row>
    <row r="5138" spans="2:24" x14ac:dyDescent="0.25">
      <c r="B5138" s="22"/>
      <c r="C5138" s="21"/>
      <c r="W5138" s="22"/>
      <c r="X5138" s="22"/>
    </row>
    <row r="5139" spans="2:24" x14ac:dyDescent="0.25">
      <c r="B5139" s="22"/>
      <c r="C5139" s="21"/>
      <c r="W5139" s="22"/>
      <c r="X5139" s="22"/>
    </row>
    <row r="5140" spans="2:24" x14ac:dyDescent="0.25">
      <c r="B5140" s="22"/>
      <c r="C5140" s="21"/>
      <c r="W5140" s="22"/>
      <c r="X5140" s="22"/>
    </row>
    <row r="5141" spans="2:24" x14ac:dyDescent="0.25">
      <c r="B5141" s="22"/>
      <c r="C5141" s="21"/>
      <c r="W5141" s="22"/>
      <c r="X5141" s="22"/>
    </row>
    <row r="5142" spans="2:24" x14ac:dyDescent="0.25">
      <c r="B5142" s="22"/>
      <c r="C5142" s="21"/>
      <c r="W5142" s="22"/>
      <c r="X5142" s="22"/>
    </row>
    <row r="5143" spans="2:24" x14ac:dyDescent="0.25">
      <c r="B5143" s="22"/>
      <c r="C5143" s="21"/>
      <c r="W5143" s="22"/>
      <c r="X5143" s="22"/>
    </row>
    <row r="5144" spans="2:24" x14ac:dyDescent="0.25">
      <c r="B5144" s="22"/>
      <c r="C5144" s="21"/>
      <c r="W5144" s="22"/>
      <c r="X5144" s="22"/>
    </row>
    <row r="5145" spans="2:24" x14ac:dyDescent="0.25">
      <c r="B5145" s="22"/>
      <c r="C5145" s="21"/>
      <c r="W5145" s="22"/>
      <c r="X5145" s="22"/>
    </row>
    <row r="5146" spans="2:24" x14ac:dyDescent="0.25">
      <c r="B5146" s="22"/>
      <c r="C5146" s="21"/>
      <c r="W5146" s="22"/>
      <c r="X5146" s="22"/>
    </row>
    <row r="5147" spans="2:24" x14ac:dyDescent="0.25">
      <c r="B5147" s="22"/>
      <c r="C5147" s="21"/>
      <c r="W5147" s="22"/>
      <c r="X5147" s="22"/>
    </row>
    <row r="5148" spans="2:24" x14ac:dyDescent="0.25">
      <c r="B5148" s="22"/>
      <c r="C5148" s="21"/>
      <c r="W5148" s="22"/>
    </row>
    <row r="5149" spans="2:24" x14ac:dyDescent="0.25">
      <c r="B5149" s="22"/>
      <c r="C5149" s="21"/>
      <c r="W5149" s="22"/>
      <c r="X5149" s="22"/>
    </row>
    <row r="5150" spans="2:24" x14ac:dyDescent="0.25">
      <c r="B5150" s="22"/>
      <c r="C5150" s="21"/>
      <c r="W5150" s="22"/>
      <c r="X5150" s="22"/>
    </row>
    <row r="5151" spans="2:24" x14ac:dyDescent="0.25">
      <c r="B5151" s="22"/>
      <c r="C5151" s="21"/>
      <c r="W5151" s="22"/>
      <c r="X5151" s="22"/>
    </row>
    <row r="5152" spans="2:24" x14ac:dyDescent="0.25">
      <c r="B5152" s="22"/>
      <c r="C5152" s="21"/>
      <c r="W5152" s="22"/>
      <c r="X5152" s="22"/>
    </row>
    <row r="5153" spans="2:24" x14ac:dyDescent="0.25">
      <c r="B5153" s="22"/>
      <c r="C5153" s="21"/>
      <c r="W5153" s="22"/>
      <c r="X5153" s="22"/>
    </row>
    <row r="5154" spans="2:24" x14ac:dyDescent="0.25">
      <c r="B5154" s="22"/>
      <c r="C5154" s="21"/>
    </row>
    <row r="5155" spans="2:24" x14ac:dyDescent="0.25">
      <c r="B5155" s="22"/>
      <c r="C5155" s="21"/>
    </row>
    <row r="5156" spans="2:24" x14ac:dyDescent="0.25">
      <c r="B5156" s="22"/>
      <c r="C5156" s="21"/>
      <c r="W5156" s="22"/>
      <c r="X5156" s="22"/>
    </row>
    <row r="5157" spans="2:24" x14ac:dyDescent="0.25">
      <c r="B5157" s="22"/>
      <c r="C5157" s="21"/>
      <c r="W5157" s="22"/>
      <c r="X5157" s="22"/>
    </row>
    <row r="5158" spans="2:24" x14ac:dyDescent="0.25">
      <c r="B5158" s="22"/>
      <c r="C5158" s="21"/>
    </row>
    <row r="5159" spans="2:24" x14ac:dyDescent="0.25">
      <c r="B5159" s="22"/>
      <c r="C5159" s="21"/>
    </row>
    <row r="5160" spans="2:24" x14ac:dyDescent="0.25">
      <c r="B5160" s="22"/>
      <c r="C5160" s="21"/>
    </row>
    <row r="5161" spans="2:24" x14ac:dyDescent="0.25">
      <c r="B5161" s="22"/>
      <c r="C5161" s="21"/>
      <c r="W5161" s="22"/>
      <c r="X5161" s="22"/>
    </row>
    <row r="5162" spans="2:24" x14ac:dyDescent="0.25">
      <c r="B5162" s="22"/>
      <c r="C5162" s="21"/>
    </row>
    <row r="5163" spans="2:24" x14ac:dyDescent="0.25">
      <c r="B5163" s="22"/>
      <c r="C5163" s="21"/>
    </row>
    <row r="5164" spans="2:24" x14ac:dyDescent="0.25">
      <c r="B5164" s="22"/>
      <c r="C5164" s="21"/>
    </row>
    <row r="5165" spans="2:24" x14ac:dyDescent="0.25">
      <c r="B5165" s="22"/>
      <c r="C5165" s="21"/>
      <c r="W5165" s="22"/>
      <c r="X5165" s="22"/>
    </row>
    <row r="5166" spans="2:24" x14ac:dyDescent="0.25">
      <c r="B5166" s="22"/>
      <c r="C5166" s="21"/>
    </row>
    <row r="5167" spans="2:24" x14ac:dyDescent="0.25">
      <c r="B5167" s="22"/>
      <c r="C5167" s="21"/>
      <c r="W5167" s="22"/>
      <c r="X5167" s="22"/>
    </row>
    <row r="5168" spans="2:24" x14ac:dyDescent="0.25">
      <c r="B5168" s="22"/>
      <c r="C5168" s="21"/>
    </row>
    <row r="5169" spans="2:24" x14ac:dyDescent="0.25">
      <c r="B5169" s="22"/>
      <c r="C5169" s="21"/>
    </row>
    <row r="5170" spans="2:24" x14ac:dyDescent="0.25">
      <c r="B5170" s="22"/>
      <c r="C5170" s="21"/>
    </row>
    <row r="5171" spans="2:24" x14ac:dyDescent="0.25">
      <c r="B5171" s="22"/>
      <c r="C5171" s="21"/>
      <c r="W5171" s="22"/>
      <c r="X5171" s="22"/>
    </row>
    <row r="5172" spans="2:24" x14ac:dyDescent="0.25">
      <c r="B5172" s="22"/>
      <c r="C5172" s="21"/>
      <c r="W5172" s="22"/>
      <c r="X5172" s="22"/>
    </row>
    <row r="5173" spans="2:24" x14ac:dyDescent="0.25">
      <c r="B5173" s="22"/>
      <c r="C5173" s="21"/>
    </row>
    <row r="5174" spans="2:24" x14ac:dyDescent="0.25">
      <c r="B5174" s="22"/>
      <c r="C5174" s="21"/>
    </row>
    <row r="5175" spans="2:24" x14ac:dyDescent="0.25">
      <c r="B5175" s="22"/>
      <c r="C5175" s="21"/>
    </row>
    <row r="5176" spans="2:24" x14ac:dyDescent="0.25">
      <c r="B5176" s="22"/>
      <c r="C5176" s="21"/>
    </row>
    <row r="5177" spans="2:24" x14ac:dyDescent="0.25">
      <c r="B5177" s="22"/>
      <c r="C5177" s="21"/>
    </row>
    <row r="5178" spans="2:24" x14ac:dyDescent="0.25">
      <c r="B5178" s="22"/>
      <c r="C5178" s="21"/>
    </row>
    <row r="5179" spans="2:24" x14ac:dyDescent="0.25">
      <c r="B5179" s="22"/>
      <c r="C5179" s="21"/>
    </row>
    <row r="5180" spans="2:24" x14ac:dyDescent="0.25">
      <c r="B5180" s="22"/>
      <c r="C5180" s="21"/>
    </row>
    <row r="5181" spans="2:24" x14ac:dyDescent="0.25">
      <c r="B5181" s="22"/>
      <c r="C5181" s="21"/>
    </row>
    <row r="5182" spans="2:24" x14ac:dyDescent="0.25">
      <c r="B5182" s="22"/>
      <c r="C5182" s="21"/>
    </row>
    <row r="5183" spans="2:24" x14ac:dyDescent="0.25">
      <c r="B5183" s="22"/>
      <c r="C5183" s="21"/>
    </row>
    <row r="5184" spans="2:24" x14ac:dyDescent="0.25">
      <c r="B5184" s="22"/>
      <c r="C5184" s="21"/>
      <c r="W5184" s="22"/>
      <c r="X5184" s="22"/>
    </row>
    <row r="5185" spans="2:24" x14ac:dyDescent="0.25">
      <c r="B5185" s="22"/>
      <c r="C5185" s="21"/>
    </row>
    <row r="5186" spans="2:24" x14ac:dyDescent="0.25">
      <c r="B5186" s="22"/>
      <c r="C5186" s="21"/>
      <c r="W5186" s="22"/>
      <c r="X5186" s="22"/>
    </row>
    <row r="5187" spans="2:24" x14ac:dyDescent="0.25">
      <c r="B5187" s="22"/>
      <c r="C5187" s="21"/>
      <c r="W5187" s="22"/>
      <c r="X5187" s="22"/>
    </row>
    <row r="5188" spans="2:24" x14ac:dyDescent="0.25">
      <c r="B5188" s="22"/>
      <c r="C5188" s="21"/>
    </row>
    <row r="5189" spans="2:24" x14ac:dyDescent="0.25">
      <c r="B5189" s="22"/>
      <c r="C5189" s="21"/>
      <c r="W5189" s="22"/>
      <c r="X5189" s="22"/>
    </row>
    <row r="5190" spans="2:24" x14ac:dyDescent="0.25">
      <c r="B5190" s="22"/>
      <c r="C5190" s="21"/>
    </row>
    <row r="5191" spans="2:24" x14ac:dyDescent="0.25">
      <c r="B5191" s="22"/>
      <c r="C5191" s="21"/>
    </row>
    <row r="5192" spans="2:24" x14ac:dyDescent="0.25">
      <c r="B5192" s="22"/>
      <c r="C5192" s="21"/>
    </row>
    <row r="5193" spans="2:24" x14ac:dyDescent="0.25">
      <c r="B5193" s="22"/>
      <c r="C5193" s="21"/>
    </row>
    <row r="5194" spans="2:24" x14ac:dyDescent="0.25">
      <c r="B5194" s="22"/>
      <c r="C5194" s="21"/>
    </row>
    <row r="5195" spans="2:24" x14ac:dyDescent="0.25">
      <c r="B5195" s="22"/>
      <c r="C5195" s="21"/>
    </row>
    <row r="5196" spans="2:24" x14ac:dyDescent="0.25">
      <c r="B5196" s="22"/>
      <c r="C5196" s="21"/>
    </row>
    <row r="5197" spans="2:24" x14ac:dyDescent="0.25">
      <c r="B5197" s="22"/>
      <c r="C5197" s="21"/>
    </row>
    <row r="5198" spans="2:24" x14ac:dyDescent="0.25">
      <c r="B5198" s="22"/>
      <c r="C5198" s="21"/>
    </row>
    <row r="5199" spans="2:24" x14ac:dyDescent="0.25">
      <c r="B5199" s="22"/>
      <c r="C5199" s="21"/>
    </row>
    <row r="5200" spans="2:24" x14ac:dyDescent="0.25">
      <c r="B5200" s="22"/>
      <c r="C5200" s="21"/>
      <c r="W5200" s="22"/>
      <c r="X5200" s="22"/>
    </row>
    <row r="5201" spans="2:24" x14ac:dyDescent="0.25">
      <c r="B5201" s="22"/>
      <c r="C5201" s="21"/>
    </row>
    <row r="5202" spans="2:24" x14ac:dyDescent="0.25">
      <c r="B5202" s="22"/>
      <c r="C5202" s="21"/>
      <c r="W5202" s="22"/>
      <c r="X5202" s="22"/>
    </row>
    <row r="5203" spans="2:24" x14ac:dyDescent="0.25">
      <c r="B5203" s="22"/>
      <c r="C5203" s="21"/>
    </row>
    <row r="5204" spans="2:24" x14ac:dyDescent="0.25">
      <c r="B5204" s="22"/>
      <c r="C5204" s="21"/>
    </row>
    <row r="5205" spans="2:24" x14ac:dyDescent="0.25">
      <c r="B5205" s="22"/>
      <c r="C5205" s="21"/>
      <c r="W5205" s="22"/>
      <c r="X5205" s="22"/>
    </row>
    <row r="5206" spans="2:24" x14ac:dyDescent="0.25">
      <c r="B5206" s="22"/>
      <c r="C5206" s="21"/>
      <c r="W5206" s="22"/>
      <c r="X5206" s="22"/>
    </row>
    <row r="5207" spans="2:24" x14ac:dyDescent="0.25">
      <c r="B5207" s="22"/>
      <c r="C5207" s="21"/>
      <c r="W5207" s="22"/>
      <c r="X5207" s="22"/>
    </row>
    <row r="5208" spans="2:24" x14ac:dyDescent="0.25">
      <c r="B5208" s="22"/>
      <c r="C5208" s="21"/>
      <c r="W5208" s="22"/>
      <c r="X5208" s="22"/>
    </row>
    <row r="5209" spans="2:24" x14ac:dyDescent="0.25">
      <c r="B5209" s="22"/>
      <c r="C5209" s="21"/>
      <c r="W5209" s="22"/>
      <c r="X5209" s="22"/>
    </row>
    <row r="5210" spans="2:24" x14ac:dyDescent="0.25">
      <c r="B5210" s="22"/>
      <c r="C5210" s="21"/>
      <c r="W5210" s="22"/>
    </row>
    <row r="5211" spans="2:24" x14ac:dyDescent="0.25">
      <c r="B5211" s="22"/>
      <c r="C5211" s="21"/>
    </row>
    <row r="5212" spans="2:24" x14ac:dyDescent="0.25">
      <c r="B5212" s="22"/>
      <c r="C5212" s="21"/>
      <c r="W5212" s="22"/>
      <c r="X5212" s="22"/>
    </row>
    <row r="5213" spans="2:24" x14ac:dyDescent="0.25">
      <c r="B5213" s="22"/>
      <c r="C5213" s="21"/>
      <c r="W5213" s="22"/>
    </row>
    <row r="5214" spans="2:24" x14ac:dyDescent="0.25">
      <c r="B5214" s="22"/>
      <c r="C5214" s="21"/>
      <c r="W5214" s="22"/>
      <c r="X5214" s="22"/>
    </row>
    <row r="5215" spans="2:24" x14ac:dyDescent="0.25">
      <c r="B5215" s="22"/>
      <c r="C5215" s="21"/>
    </row>
    <row r="5216" spans="2:24" x14ac:dyDescent="0.25">
      <c r="B5216" s="22"/>
      <c r="C5216" s="21"/>
      <c r="W5216" s="22"/>
      <c r="X5216" s="22"/>
    </row>
    <row r="5217" spans="2:24" x14ac:dyDescent="0.25">
      <c r="B5217" s="22"/>
      <c r="C5217" s="21"/>
    </row>
    <row r="5218" spans="2:24" x14ac:dyDescent="0.25">
      <c r="B5218" s="22"/>
      <c r="C5218" s="21"/>
      <c r="W5218" s="22"/>
    </row>
    <row r="5219" spans="2:24" x14ac:dyDescent="0.25">
      <c r="B5219" s="22"/>
      <c r="C5219" s="21"/>
    </row>
    <row r="5220" spans="2:24" x14ac:dyDescent="0.25">
      <c r="B5220" s="22"/>
      <c r="C5220" s="21"/>
    </row>
    <row r="5221" spans="2:24" x14ac:dyDescent="0.25">
      <c r="B5221" s="22"/>
      <c r="C5221" s="21"/>
    </row>
    <row r="5222" spans="2:24" x14ac:dyDescent="0.25">
      <c r="B5222" s="22"/>
      <c r="C5222" s="21"/>
    </row>
    <row r="5223" spans="2:24" x14ac:dyDescent="0.25">
      <c r="B5223" s="22"/>
      <c r="C5223" s="21"/>
    </row>
    <row r="5224" spans="2:24" x14ac:dyDescent="0.25">
      <c r="B5224" s="22"/>
      <c r="C5224" s="21"/>
      <c r="W5224" s="22"/>
    </row>
    <row r="5225" spans="2:24" x14ac:dyDescent="0.25">
      <c r="B5225" s="22"/>
      <c r="C5225" s="21"/>
    </row>
    <row r="5226" spans="2:24" x14ac:dyDescent="0.25">
      <c r="B5226" s="22"/>
      <c r="C5226" s="21"/>
      <c r="W5226" s="22"/>
    </row>
    <row r="5227" spans="2:24" x14ac:dyDescent="0.25">
      <c r="B5227" s="22"/>
      <c r="C5227" s="21"/>
      <c r="W5227" s="22"/>
      <c r="X5227" s="22"/>
    </row>
    <row r="5228" spans="2:24" x14ac:dyDescent="0.25">
      <c r="B5228" s="22"/>
      <c r="C5228" s="21"/>
    </row>
    <row r="5229" spans="2:24" x14ac:dyDescent="0.25">
      <c r="B5229" s="22"/>
      <c r="C5229" s="21"/>
    </row>
    <row r="5230" spans="2:24" x14ac:dyDescent="0.25">
      <c r="B5230" s="22"/>
      <c r="C5230" s="21"/>
    </row>
    <row r="5231" spans="2:24" x14ac:dyDescent="0.25">
      <c r="B5231" s="22"/>
      <c r="C5231" s="21"/>
    </row>
    <row r="5232" spans="2:24" x14ac:dyDescent="0.25">
      <c r="B5232" s="22"/>
      <c r="C5232" s="21"/>
      <c r="W5232" s="22"/>
      <c r="X5232" s="22"/>
    </row>
    <row r="5233" spans="2:24" x14ac:dyDescent="0.25">
      <c r="B5233" s="22"/>
      <c r="C5233" s="21"/>
    </row>
    <row r="5234" spans="2:24" x14ac:dyDescent="0.25">
      <c r="B5234" s="22"/>
      <c r="C5234" s="21"/>
      <c r="W5234" s="22"/>
      <c r="X5234" s="22"/>
    </row>
    <row r="5235" spans="2:24" x14ac:dyDescent="0.25">
      <c r="B5235" s="22"/>
      <c r="C5235" s="21"/>
    </row>
    <row r="5236" spans="2:24" x14ac:dyDescent="0.25">
      <c r="B5236" s="22"/>
      <c r="C5236" s="21"/>
    </row>
    <row r="5237" spans="2:24" x14ac:dyDescent="0.25">
      <c r="B5237" s="22"/>
      <c r="C5237" s="21"/>
    </row>
    <row r="5238" spans="2:24" x14ac:dyDescent="0.25">
      <c r="B5238" s="22"/>
      <c r="C5238" s="21"/>
    </row>
    <row r="5239" spans="2:24" x14ac:dyDescent="0.25">
      <c r="B5239" s="22"/>
      <c r="C5239" s="21"/>
      <c r="W5239" s="22"/>
      <c r="X5239" s="22"/>
    </row>
    <row r="5240" spans="2:24" x14ac:dyDescent="0.25">
      <c r="B5240" s="22"/>
      <c r="C5240" s="21"/>
      <c r="W5240" s="22"/>
      <c r="X5240" s="22"/>
    </row>
    <row r="5241" spans="2:24" x14ac:dyDescent="0.25">
      <c r="B5241" s="22"/>
      <c r="C5241" s="21"/>
      <c r="W5241" s="22"/>
      <c r="X5241" s="22"/>
    </row>
    <row r="5242" spans="2:24" x14ac:dyDescent="0.25">
      <c r="B5242" s="22"/>
      <c r="C5242" s="21"/>
    </row>
    <row r="5243" spans="2:24" x14ac:dyDescent="0.25">
      <c r="B5243" s="22"/>
      <c r="C5243" s="21"/>
      <c r="W5243" s="22"/>
      <c r="X5243" s="22"/>
    </row>
    <row r="5244" spans="2:24" x14ac:dyDescent="0.25">
      <c r="B5244" s="22"/>
      <c r="C5244" s="21"/>
      <c r="W5244" s="22"/>
      <c r="X5244" s="22"/>
    </row>
    <row r="5245" spans="2:24" x14ac:dyDescent="0.25">
      <c r="B5245" s="22"/>
      <c r="C5245" s="21"/>
    </row>
    <row r="5246" spans="2:24" x14ac:dyDescent="0.25">
      <c r="B5246" s="22"/>
      <c r="C5246" s="21"/>
      <c r="W5246" s="22"/>
    </row>
    <row r="5247" spans="2:24" x14ac:dyDescent="0.25">
      <c r="B5247" s="22"/>
      <c r="C5247" s="21"/>
      <c r="W5247" s="22"/>
    </row>
    <row r="5248" spans="2:24" x14ac:dyDescent="0.25">
      <c r="B5248" s="22"/>
      <c r="C5248" s="21"/>
      <c r="W5248" s="22"/>
    </row>
    <row r="5249" spans="2:24" x14ac:dyDescent="0.25">
      <c r="B5249" s="22"/>
      <c r="C5249" s="21"/>
    </row>
    <row r="5250" spans="2:24" x14ac:dyDescent="0.25">
      <c r="B5250" s="22"/>
      <c r="C5250" s="21"/>
    </row>
    <row r="5251" spans="2:24" x14ac:dyDescent="0.25">
      <c r="B5251" s="22"/>
      <c r="C5251" s="21"/>
      <c r="W5251" s="22"/>
      <c r="X5251" s="22"/>
    </row>
    <row r="5252" spans="2:24" x14ac:dyDescent="0.25">
      <c r="B5252" s="22"/>
      <c r="C5252" s="21"/>
    </row>
    <row r="5253" spans="2:24" x14ac:dyDescent="0.25">
      <c r="B5253" s="22"/>
      <c r="C5253" s="21"/>
    </row>
    <row r="5254" spans="2:24" x14ac:dyDescent="0.25">
      <c r="B5254" s="22"/>
      <c r="C5254" s="21"/>
      <c r="W5254" s="22"/>
      <c r="X5254" s="22"/>
    </row>
    <row r="5255" spans="2:24" x14ac:dyDescent="0.25">
      <c r="B5255" s="22"/>
      <c r="C5255" s="21"/>
      <c r="W5255" s="22"/>
    </row>
    <row r="5256" spans="2:24" x14ac:dyDescent="0.25">
      <c r="B5256" s="22"/>
      <c r="C5256" s="21"/>
      <c r="W5256" s="22"/>
      <c r="X5256" s="22"/>
    </row>
    <row r="5257" spans="2:24" x14ac:dyDescent="0.25">
      <c r="B5257" s="22"/>
      <c r="C5257" s="21"/>
      <c r="W5257" s="22"/>
      <c r="X5257" s="22"/>
    </row>
    <row r="5258" spans="2:24" x14ac:dyDescent="0.25">
      <c r="B5258" s="22"/>
      <c r="C5258" s="21"/>
      <c r="W5258" s="22"/>
      <c r="X5258" s="22"/>
    </row>
    <row r="5259" spans="2:24" x14ac:dyDescent="0.25">
      <c r="B5259" s="22"/>
      <c r="C5259" s="21"/>
    </row>
    <row r="5260" spans="2:24" x14ac:dyDescent="0.25">
      <c r="B5260" s="22"/>
      <c r="C5260" s="21"/>
    </row>
    <row r="5261" spans="2:24" x14ac:dyDescent="0.25">
      <c r="B5261" s="22"/>
      <c r="C5261" s="21"/>
    </row>
    <row r="5262" spans="2:24" x14ac:dyDescent="0.25">
      <c r="B5262" s="22"/>
      <c r="C5262" s="21"/>
      <c r="W5262" s="22"/>
    </row>
    <row r="5263" spans="2:24" x14ac:dyDescent="0.25">
      <c r="B5263" s="22"/>
      <c r="C5263" s="21"/>
    </row>
    <row r="5264" spans="2:24" x14ac:dyDescent="0.25">
      <c r="B5264" s="22"/>
      <c r="C5264" s="21"/>
      <c r="W5264" s="22"/>
      <c r="X5264" s="22"/>
    </row>
    <row r="5265" spans="2:24" x14ac:dyDescent="0.25">
      <c r="B5265" s="22"/>
      <c r="C5265" s="21"/>
    </row>
    <row r="5266" spans="2:24" x14ac:dyDescent="0.25">
      <c r="B5266" s="22"/>
      <c r="C5266" s="21"/>
    </row>
    <row r="5267" spans="2:24" x14ac:dyDescent="0.25">
      <c r="B5267" s="22"/>
      <c r="C5267" s="21"/>
      <c r="W5267" s="22"/>
      <c r="X5267" s="22"/>
    </row>
  </sheetData>
  <autoFilter ref="A1:AD5267" xr:uid="{CB9E65A7-5614-48C0-993E-B886DCF75EF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F713-A3B5-498C-8E3C-A78A3EA77A1F}">
  <sheetPr>
    <tabColor rgb="FFFFFF00"/>
  </sheetPr>
  <dimension ref="A1:J194"/>
  <sheetViews>
    <sheetView zoomScale="80" zoomScaleNormal="80" workbookViewId="0">
      <pane ySplit="3" topLeftCell="A4" activePane="bottomLeft" state="frozen"/>
      <selection pane="bottomLeft" activeCell="E192" sqref="E4:J192"/>
    </sheetView>
  </sheetViews>
  <sheetFormatPr defaultRowHeight="15" x14ac:dyDescent="0.25"/>
  <cols>
    <col min="1" max="1" width="60.7109375" customWidth="1"/>
    <col min="2" max="2" width="10.7109375" customWidth="1"/>
    <col min="3" max="3" width="24.7109375" bestFit="1" customWidth="1"/>
    <col min="4" max="4" width="24.85546875" bestFit="1" customWidth="1"/>
    <col min="5" max="10" width="20.7109375" style="67" customWidth="1"/>
  </cols>
  <sheetData>
    <row r="1" spans="1:10" ht="16.5" customHeight="1" x14ac:dyDescent="0.25">
      <c r="A1" s="138" t="s">
        <v>185</v>
      </c>
      <c r="B1" s="128" t="s">
        <v>186</v>
      </c>
      <c r="C1" s="140" t="s">
        <v>187</v>
      </c>
      <c r="D1" s="128" t="s">
        <v>188</v>
      </c>
      <c r="E1" s="130" t="s">
        <v>189</v>
      </c>
      <c r="F1" s="131"/>
      <c r="G1" s="132"/>
      <c r="H1" s="130" t="s">
        <v>440</v>
      </c>
      <c r="I1" s="131"/>
      <c r="J1" s="132"/>
    </row>
    <row r="2" spans="1:10" x14ac:dyDescent="0.25">
      <c r="A2" s="138"/>
      <c r="B2" s="128"/>
      <c r="C2" s="140"/>
      <c r="D2" s="128"/>
      <c r="E2" s="133" t="s">
        <v>190</v>
      </c>
      <c r="F2" s="134" t="s">
        <v>191</v>
      </c>
      <c r="G2" s="135" t="s">
        <v>192</v>
      </c>
      <c r="H2" s="133" t="s">
        <v>190</v>
      </c>
      <c r="I2" s="134" t="s">
        <v>191</v>
      </c>
      <c r="J2" s="135" t="s">
        <v>192</v>
      </c>
    </row>
    <row r="3" spans="1:10" x14ac:dyDescent="0.25">
      <c r="A3" s="139"/>
      <c r="B3" s="129"/>
      <c r="C3" s="141"/>
      <c r="D3" s="129"/>
      <c r="E3" s="133"/>
      <c r="F3" s="134"/>
      <c r="G3" s="135"/>
      <c r="H3" s="133"/>
      <c r="I3" s="134"/>
      <c r="J3" s="135"/>
    </row>
    <row r="4" spans="1:10" x14ac:dyDescent="0.25">
      <c r="A4" s="38" t="s">
        <v>193</v>
      </c>
      <c r="B4" s="39"/>
      <c r="C4" s="40"/>
      <c r="D4" s="41"/>
      <c r="E4" s="42"/>
      <c r="F4" s="43"/>
      <c r="G4" s="44"/>
      <c r="H4" s="42"/>
      <c r="I4" s="43"/>
      <c r="J4" s="44"/>
    </row>
    <row r="5" spans="1:10" x14ac:dyDescent="0.25">
      <c r="A5" s="45" t="s">
        <v>194</v>
      </c>
      <c r="B5" s="46">
        <v>1</v>
      </c>
      <c r="C5" s="21" t="s">
        <v>195</v>
      </c>
      <c r="D5" s="47" t="str">
        <f>C5&amp;B5</f>
        <v>BAACTC1</v>
      </c>
      <c r="E5" s="48"/>
      <c r="F5" s="49"/>
      <c r="G5" s="50"/>
      <c r="H5" s="48"/>
      <c r="I5" s="49"/>
      <c r="J5" s="50"/>
    </row>
    <row r="6" spans="1:10" x14ac:dyDescent="0.25">
      <c r="A6" s="45" t="s">
        <v>196</v>
      </c>
      <c r="B6" s="46">
        <v>1</v>
      </c>
      <c r="C6" s="21" t="s">
        <v>121</v>
      </c>
      <c r="D6" s="47" t="str">
        <f>C6&amp;B6</f>
        <v>BABUSC1</v>
      </c>
      <c r="E6" s="48"/>
      <c r="F6" s="49"/>
      <c r="G6" s="50"/>
      <c r="H6" s="48"/>
      <c r="I6" s="49"/>
      <c r="J6" s="50"/>
    </row>
    <row r="7" spans="1:10" x14ac:dyDescent="0.25">
      <c r="A7" s="38" t="s">
        <v>197</v>
      </c>
      <c r="B7" s="39"/>
      <c r="C7" s="40"/>
      <c r="D7" s="41"/>
      <c r="E7" s="42"/>
      <c r="F7" s="42"/>
      <c r="G7" s="51"/>
      <c r="H7" s="42"/>
      <c r="I7" s="42"/>
      <c r="J7" s="51"/>
    </row>
    <row r="8" spans="1:10" ht="15" customHeight="1" x14ac:dyDescent="0.25">
      <c r="A8" s="45" t="s">
        <v>194</v>
      </c>
      <c r="B8" s="46">
        <v>1</v>
      </c>
      <c r="C8" s="21" t="s">
        <v>124</v>
      </c>
      <c r="D8" s="47" t="str">
        <f t="shared" ref="D8:D19" si="0">C8&amp;B8</f>
        <v>BAACTD1</v>
      </c>
      <c r="E8" s="48"/>
      <c r="F8" s="49"/>
      <c r="G8" s="50"/>
      <c r="H8" s="48"/>
      <c r="I8" s="49"/>
      <c r="J8" s="50"/>
    </row>
    <row r="9" spans="1:10" ht="15" customHeight="1" x14ac:dyDescent="0.25">
      <c r="A9" s="45"/>
      <c r="B9" s="46">
        <v>2</v>
      </c>
      <c r="C9" s="21" t="s">
        <v>124</v>
      </c>
      <c r="D9" s="47" t="str">
        <f t="shared" si="0"/>
        <v>BAACTD2</v>
      </c>
      <c r="E9" s="48"/>
      <c r="F9" s="49"/>
      <c r="G9" s="50"/>
      <c r="H9" s="48"/>
      <c r="I9" s="49"/>
      <c r="J9" s="50"/>
    </row>
    <row r="10" spans="1:10" ht="15" customHeight="1" x14ac:dyDescent="0.25">
      <c r="A10" s="45" t="s">
        <v>196</v>
      </c>
      <c r="B10" s="46">
        <v>1</v>
      </c>
      <c r="C10" s="21" t="s">
        <v>128</v>
      </c>
      <c r="D10" s="47" t="str">
        <f t="shared" si="0"/>
        <v>BABUSD1</v>
      </c>
      <c r="E10" s="48"/>
      <c r="F10" s="49"/>
      <c r="G10" s="50"/>
      <c r="H10" s="48"/>
      <c r="I10" s="49"/>
      <c r="J10" s="50"/>
    </row>
    <row r="11" spans="1:10" ht="15" customHeight="1" x14ac:dyDescent="0.25">
      <c r="A11" s="45"/>
      <c r="B11" s="46">
        <v>2</v>
      </c>
      <c r="C11" s="21" t="s">
        <v>128</v>
      </c>
      <c r="D11" s="47" t="str">
        <f t="shared" si="0"/>
        <v>BABUSD2</v>
      </c>
      <c r="E11" s="48"/>
      <c r="F11" s="49"/>
      <c r="G11" s="50"/>
      <c r="H11" s="48"/>
      <c r="I11" s="49"/>
      <c r="J11" s="50"/>
    </row>
    <row r="12" spans="1:10" ht="15" customHeight="1" x14ac:dyDescent="0.25">
      <c r="A12" s="45" t="s">
        <v>198</v>
      </c>
      <c r="B12" s="46">
        <v>1</v>
      </c>
      <c r="C12" s="21" t="s">
        <v>129</v>
      </c>
      <c r="D12" s="47" t="str">
        <f t="shared" si="0"/>
        <v>BAESPM1</v>
      </c>
      <c r="E12" s="48"/>
      <c r="F12" s="49"/>
      <c r="G12" s="50"/>
      <c r="H12" s="48"/>
      <c r="I12" s="49"/>
      <c r="J12" s="50"/>
    </row>
    <row r="13" spans="1:10" ht="15" customHeight="1" x14ac:dyDescent="0.25">
      <c r="A13" s="45"/>
      <c r="B13" s="46">
        <v>2</v>
      </c>
      <c r="C13" s="21" t="s">
        <v>129</v>
      </c>
      <c r="D13" s="47" t="str">
        <f t="shared" si="0"/>
        <v>BAESPM2</v>
      </c>
      <c r="E13" s="48"/>
      <c r="F13" s="49"/>
      <c r="G13" s="50"/>
      <c r="H13" s="48"/>
      <c r="I13" s="49"/>
      <c r="J13" s="50"/>
    </row>
    <row r="14" spans="1:10" ht="15" customHeight="1" x14ac:dyDescent="0.25">
      <c r="A14" s="45" t="s">
        <v>199</v>
      </c>
      <c r="B14" s="46">
        <v>1</v>
      </c>
      <c r="C14" s="21" t="s">
        <v>131</v>
      </c>
      <c r="D14" s="47" t="str">
        <f t="shared" si="0"/>
        <v>BAHRMD1</v>
      </c>
      <c r="E14" s="48"/>
      <c r="F14" s="49"/>
      <c r="G14" s="50"/>
      <c r="H14" s="48"/>
      <c r="I14" s="49"/>
      <c r="J14" s="50"/>
    </row>
    <row r="15" spans="1:10" ht="15" customHeight="1" x14ac:dyDescent="0.25">
      <c r="A15" s="45"/>
      <c r="B15" s="46">
        <v>2</v>
      </c>
      <c r="C15" s="21" t="s">
        <v>131</v>
      </c>
      <c r="D15" s="47" t="str">
        <f t="shared" si="0"/>
        <v>BAHRMD2</v>
      </c>
      <c r="E15" s="48"/>
      <c r="F15" s="49"/>
      <c r="G15" s="50"/>
      <c r="H15" s="48"/>
      <c r="I15" s="49"/>
      <c r="J15" s="50"/>
    </row>
    <row r="16" spans="1:10" ht="15" customHeight="1" x14ac:dyDescent="0.25">
      <c r="A16" s="45" t="s">
        <v>200</v>
      </c>
      <c r="B16" s="46">
        <v>1</v>
      </c>
      <c r="C16" s="21" t="s">
        <v>201</v>
      </c>
      <c r="D16" s="47" t="str">
        <f t="shared" si="0"/>
        <v>GSCMD1</v>
      </c>
      <c r="E16" s="48"/>
      <c r="F16" s="49"/>
      <c r="G16" s="50"/>
      <c r="H16" s="48"/>
      <c r="I16" s="49"/>
      <c r="J16" s="50"/>
    </row>
    <row r="17" spans="1:10" ht="15" customHeight="1" x14ac:dyDescent="0.25">
      <c r="A17" s="45"/>
      <c r="B17" s="46">
        <v>2</v>
      </c>
      <c r="C17" s="21" t="s">
        <v>201</v>
      </c>
      <c r="D17" s="47" t="str">
        <f t="shared" si="0"/>
        <v>GSCMD2</v>
      </c>
      <c r="E17" s="48"/>
      <c r="F17" s="49"/>
      <c r="G17" s="50"/>
      <c r="H17" s="48"/>
      <c r="I17" s="49"/>
      <c r="J17" s="50"/>
    </row>
    <row r="18" spans="1:10" ht="15" customHeight="1" x14ac:dyDescent="0.25">
      <c r="A18" s="45" t="s">
        <v>202</v>
      </c>
      <c r="B18" s="46">
        <v>1</v>
      </c>
      <c r="C18" s="21" t="s">
        <v>203</v>
      </c>
      <c r="D18" s="47" t="str">
        <f t="shared" si="0"/>
        <v>DIGMD1</v>
      </c>
      <c r="E18" s="48"/>
      <c r="F18" s="49"/>
      <c r="G18" s="50"/>
      <c r="H18" s="48"/>
      <c r="I18" s="49"/>
      <c r="J18" s="50"/>
    </row>
    <row r="19" spans="1:10" ht="15" customHeight="1" x14ac:dyDescent="0.25">
      <c r="A19" s="45"/>
      <c r="B19" s="46">
        <v>2</v>
      </c>
      <c r="C19" s="21" t="s">
        <v>203</v>
      </c>
      <c r="D19" s="47" t="str">
        <f t="shared" si="0"/>
        <v>DIGMD2</v>
      </c>
      <c r="E19" s="48"/>
      <c r="F19" s="49"/>
      <c r="G19" s="50"/>
      <c r="H19" s="48"/>
      <c r="I19" s="49"/>
      <c r="J19" s="50"/>
    </row>
    <row r="20" spans="1:10" x14ac:dyDescent="0.25">
      <c r="A20" s="38" t="s">
        <v>204</v>
      </c>
      <c r="B20" s="39"/>
      <c r="C20" s="40"/>
      <c r="D20" s="41"/>
      <c r="E20" s="42"/>
      <c r="F20" s="42"/>
      <c r="G20" s="51"/>
      <c r="H20" s="42"/>
      <c r="I20" s="42"/>
      <c r="J20" s="51"/>
    </row>
    <row r="21" spans="1:10" ht="15" customHeight="1" x14ac:dyDescent="0.25">
      <c r="A21" s="45" t="s">
        <v>194</v>
      </c>
      <c r="B21" s="46">
        <v>1</v>
      </c>
      <c r="C21" s="21" t="s">
        <v>126</v>
      </c>
      <c r="D21" s="47" t="str">
        <f t="shared" ref="D21:D24" si="1">C21&amp;B21</f>
        <v>BAATCO1</v>
      </c>
      <c r="E21" s="48"/>
      <c r="F21" s="49"/>
      <c r="G21" s="50"/>
      <c r="H21" s="48"/>
      <c r="I21" s="49"/>
      <c r="J21" s="50"/>
    </row>
    <row r="22" spans="1:10" ht="15" customHeight="1" x14ac:dyDescent="0.25">
      <c r="A22" s="45"/>
      <c r="B22" s="46">
        <v>2</v>
      </c>
      <c r="C22" s="21" t="s">
        <v>126</v>
      </c>
      <c r="D22" s="47" t="str">
        <f t="shared" si="1"/>
        <v>BAATCO2</v>
      </c>
      <c r="E22" s="48"/>
      <c r="F22" s="49"/>
      <c r="G22" s="50"/>
      <c r="H22" s="48"/>
      <c r="I22" s="49"/>
      <c r="J22" s="50"/>
    </row>
    <row r="23" spans="1:10" ht="15" customHeight="1" x14ac:dyDescent="0.25">
      <c r="A23" s="45" t="s">
        <v>196</v>
      </c>
      <c r="B23" s="46">
        <v>1</v>
      </c>
      <c r="C23" s="21" t="s">
        <v>127</v>
      </c>
      <c r="D23" s="47" t="str">
        <f t="shared" si="1"/>
        <v>BABSCO1</v>
      </c>
      <c r="E23" s="48"/>
      <c r="F23" s="49"/>
      <c r="G23" s="50"/>
      <c r="H23" s="48"/>
      <c r="I23" s="49"/>
      <c r="J23" s="50"/>
    </row>
    <row r="24" spans="1:10" ht="15" customHeight="1" x14ac:dyDescent="0.25">
      <c r="A24" s="45"/>
      <c r="B24" s="46">
        <v>2</v>
      </c>
      <c r="C24" s="21" t="s">
        <v>127</v>
      </c>
      <c r="D24" s="47" t="str">
        <f t="shared" si="1"/>
        <v>BABSCO2</v>
      </c>
      <c r="E24" s="48"/>
      <c r="F24" s="49"/>
      <c r="G24" s="50"/>
      <c r="H24" s="48"/>
      <c r="I24" s="49"/>
      <c r="J24" s="50"/>
    </row>
    <row r="25" spans="1:10" x14ac:dyDescent="0.25">
      <c r="A25" s="38" t="s">
        <v>205</v>
      </c>
      <c r="B25" s="39"/>
      <c r="C25" s="40"/>
      <c r="D25" s="41"/>
      <c r="E25" s="42"/>
      <c r="F25" s="42"/>
      <c r="G25" s="51"/>
      <c r="H25" s="42"/>
      <c r="I25" s="42"/>
      <c r="J25" s="51"/>
    </row>
    <row r="26" spans="1:10" ht="15" customHeight="1" x14ac:dyDescent="0.25">
      <c r="A26" s="45" t="s">
        <v>206</v>
      </c>
      <c r="B26" s="46">
        <v>1</v>
      </c>
      <c r="C26" s="21" t="s">
        <v>207</v>
      </c>
      <c r="D26" s="47" t="str">
        <f t="shared" ref="D26:D29" si="2">C26&amp;B26</f>
        <v>NAO1</v>
      </c>
      <c r="E26" s="48"/>
      <c r="F26" s="49"/>
      <c r="G26" s="50"/>
      <c r="H26" s="48"/>
      <c r="I26" s="49"/>
      <c r="J26" s="50"/>
    </row>
    <row r="27" spans="1:10" ht="15" customHeight="1" x14ac:dyDescent="0.25">
      <c r="A27" s="45"/>
      <c r="B27" s="46">
        <v>2</v>
      </c>
      <c r="C27" s="21" t="s">
        <v>207</v>
      </c>
      <c r="D27" s="47" t="str">
        <f t="shared" si="2"/>
        <v>NAO2</v>
      </c>
      <c r="E27" s="48"/>
      <c r="F27" s="49"/>
      <c r="G27" s="50"/>
      <c r="H27" s="48"/>
      <c r="I27" s="49"/>
      <c r="J27" s="50"/>
    </row>
    <row r="28" spans="1:10" ht="15" customHeight="1" x14ac:dyDescent="0.25">
      <c r="A28" s="45" t="s">
        <v>208</v>
      </c>
      <c r="B28" s="46">
        <v>1</v>
      </c>
      <c r="C28" s="21" t="s">
        <v>122</v>
      </c>
      <c r="D28" s="47" t="str">
        <f t="shared" si="2"/>
        <v>ALO1</v>
      </c>
      <c r="E28" s="48"/>
      <c r="F28" s="49"/>
      <c r="G28" s="50"/>
      <c r="H28" s="48"/>
      <c r="I28" s="49"/>
      <c r="J28" s="50"/>
    </row>
    <row r="29" spans="1:10" ht="15" customHeight="1" x14ac:dyDescent="0.25">
      <c r="A29" s="45"/>
      <c r="B29" s="46">
        <v>2</v>
      </c>
      <c r="C29" s="21" t="s">
        <v>122</v>
      </c>
      <c r="D29" s="47" t="str">
        <f t="shared" si="2"/>
        <v>ALO2</v>
      </c>
      <c r="E29" s="48"/>
      <c r="F29" s="49"/>
      <c r="G29" s="50"/>
      <c r="H29" s="48"/>
      <c r="I29" s="49"/>
      <c r="J29" s="50"/>
    </row>
    <row r="30" spans="1:10" x14ac:dyDescent="0.25">
      <c r="A30" s="38" t="s">
        <v>209</v>
      </c>
      <c r="B30" s="39"/>
      <c r="C30" s="40"/>
      <c r="D30" s="41"/>
      <c r="E30" s="42"/>
      <c r="F30" s="42"/>
      <c r="G30" s="51"/>
      <c r="H30" s="42"/>
      <c r="I30" s="42"/>
      <c r="J30" s="51"/>
    </row>
    <row r="31" spans="1:10" ht="15" customHeight="1" x14ac:dyDescent="0.25">
      <c r="A31" s="45" t="s">
        <v>209</v>
      </c>
      <c r="B31" s="46">
        <v>1</v>
      </c>
      <c r="C31" s="21" t="s">
        <v>210</v>
      </c>
      <c r="D31" s="47" t="str">
        <f t="shared" ref="D31:D34" si="3">C31&amp;B31</f>
        <v>HATM1</v>
      </c>
      <c r="E31" s="48"/>
      <c r="F31" s="49"/>
      <c r="G31" s="50"/>
      <c r="H31" s="48"/>
      <c r="I31" s="49"/>
      <c r="J31" s="50"/>
    </row>
    <row r="32" spans="1:10" ht="15" customHeight="1" x14ac:dyDescent="0.25">
      <c r="A32" s="45"/>
      <c r="B32" s="46">
        <v>2</v>
      </c>
      <c r="C32" s="21" t="s">
        <v>210</v>
      </c>
      <c r="D32" s="47" t="str">
        <f t="shared" si="3"/>
        <v>HATM2</v>
      </c>
      <c r="E32" s="48"/>
      <c r="F32" s="49"/>
      <c r="G32" s="50"/>
      <c r="H32" s="48"/>
      <c r="I32" s="49"/>
      <c r="J32" s="50"/>
    </row>
    <row r="33" spans="1:10" ht="15" customHeight="1" x14ac:dyDescent="0.25">
      <c r="A33" s="45" t="s">
        <v>211</v>
      </c>
      <c r="B33" s="46">
        <v>1</v>
      </c>
      <c r="C33" s="21" t="s">
        <v>133</v>
      </c>
      <c r="D33" s="47" t="str">
        <f t="shared" si="3"/>
        <v>HOSMNG1</v>
      </c>
      <c r="E33" s="48"/>
      <c r="F33" s="49"/>
      <c r="G33" s="50"/>
      <c r="H33" s="48"/>
      <c r="I33" s="49"/>
      <c r="J33" s="50"/>
    </row>
    <row r="34" spans="1:10" ht="15" customHeight="1" x14ac:dyDescent="0.25">
      <c r="A34" s="45"/>
      <c r="B34" s="46">
        <v>2</v>
      </c>
      <c r="C34" s="21" t="s">
        <v>133</v>
      </c>
      <c r="D34" s="47" t="str">
        <f t="shared" si="3"/>
        <v>HOSMNG2</v>
      </c>
      <c r="E34" s="48"/>
      <c r="F34" s="49"/>
      <c r="G34" s="50"/>
      <c r="H34" s="48"/>
      <c r="I34" s="49"/>
      <c r="J34" s="50"/>
    </row>
    <row r="35" spans="1:10" x14ac:dyDescent="0.25">
      <c r="A35" s="38" t="s">
        <v>212</v>
      </c>
      <c r="B35" s="39"/>
      <c r="C35" s="40"/>
      <c r="D35" s="41"/>
      <c r="E35" s="42"/>
      <c r="F35" s="42"/>
      <c r="G35" s="51"/>
      <c r="H35" s="42"/>
      <c r="I35" s="42"/>
      <c r="J35" s="51"/>
    </row>
    <row r="36" spans="1:10" ht="15" customHeight="1" x14ac:dyDescent="0.25">
      <c r="A36" s="45" t="s">
        <v>212</v>
      </c>
      <c r="B36" s="46">
        <v>1</v>
      </c>
      <c r="C36" s="21" t="s">
        <v>130</v>
      </c>
      <c r="D36" s="47" t="str">
        <f>C36&amp;B36</f>
        <v>BAHRMC1</v>
      </c>
      <c r="E36" s="48"/>
      <c r="F36" s="49"/>
      <c r="G36" s="50"/>
      <c r="H36" s="48"/>
      <c r="I36" s="49"/>
      <c r="J36" s="50"/>
    </row>
    <row r="37" spans="1:10" x14ac:dyDescent="0.25">
      <c r="A37" s="38" t="s">
        <v>213</v>
      </c>
      <c r="B37" s="39"/>
      <c r="C37" s="40"/>
      <c r="D37" s="41"/>
      <c r="E37" s="42"/>
      <c r="F37" s="42"/>
      <c r="G37" s="51"/>
      <c r="H37" s="42"/>
      <c r="I37" s="42"/>
      <c r="J37" s="51"/>
    </row>
    <row r="38" spans="1:10" ht="15" customHeight="1" x14ac:dyDescent="0.25">
      <c r="A38" s="45" t="s">
        <v>214</v>
      </c>
      <c r="B38" s="46">
        <v>1</v>
      </c>
      <c r="C38" s="21" t="s">
        <v>215</v>
      </c>
      <c r="D38" s="47" t="str">
        <f>C38&amp;B38</f>
        <v>OFAC1</v>
      </c>
      <c r="E38" s="48"/>
      <c r="F38" s="49"/>
      <c r="G38" s="50"/>
      <c r="H38" s="48"/>
      <c r="I38" s="49"/>
      <c r="J38" s="50"/>
    </row>
    <row r="39" spans="1:10" x14ac:dyDescent="0.25">
      <c r="A39" s="38" t="s">
        <v>216</v>
      </c>
      <c r="B39" s="39"/>
      <c r="C39" s="40"/>
      <c r="D39" s="41"/>
      <c r="E39" s="42"/>
      <c r="F39" s="42"/>
      <c r="G39" s="51"/>
      <c r="H39" s="42"/>
      <c r="I39" s="42"/>
      <c r="J39" s="51"/>
    </row>
    <row r="40" spans="1:10" ht="15" customHeight="1" x14ac:dyDescent="0.25">
      <c r="A40" s="45" t="s">
        <v>216</v>
      </c>
      <c r="B40" s="46">
        <v>1</v>
      </c>
      <c r="C40" s="21"/>
      <c r="D40" s="47" t="str">
        <f t="shared" ref="D40:D41" si="4">C40&amp;B40</f>
        <v>1</v>
      </c>
      <c r="E40" s="48"/>
      <c r="F40" s="49"/>
      <c r="G40" s="50"/>
      <c r="H40" s="48"/>
      <c r="I40" s="49"/>
      <c r="J40" s="50"/>
    </row>
    <row r="41" spans="1:10" ht="15" customHeight="1" x14ac:dyDescent="0.25">
      <c r="A41" s="45"/>
      <c r="B41" s="46">
        <v>2</v>
      </c>
      <c r="C41" s="21"/>
      <c r="D41" s="47" t="str">
        <f t="shared" si="4"/>
        <v>2</v>
      </c>
      <c r="E41" s="48"/>
      <c r="F41" s="49"/>
      <c r="G41" s="50"/>
      <c r="H41" s="48"/>
      <c r="I41" s="49"/>
      <c r="J41" s="50"/>
    </row>
    <row r="42" spans="1:10" ht="15" customHeight="1" x14ac:dyDescent="0.25">
      <c r="A42" s="136" t="s">
        <v>217</v>
      </c>
      <c r="B42" s="137"/>
      <c r="C42" s="52"/>
      <c r="D42" s="53"/>
      <c r="E42" s="54"/>
      <c r="F42" s="54"/>
      <c r="G42" s="55"/>
      <c r="H42" s="54"/>
      <c r="I42" s="54"/>
      <c r="J42" s="55"/>
    </row>
    <row r="43" spans="1:10" x14ac:dyDescent="0.25">
      <c r="A43" s="38" t="s">
        <v>218</v>
      </c>
      <c r="B43" s="39"/>
      <c r="C43" s="40"/>
      <c r="D43" s="41"/>
      <c r="E43" s="42"/>
      <c r="F43" s="42"/>
      <c r="G43" s="51"/>
      <c r="H43" s="42"/>
      <c r="I43" s="42"/>
      <c r="J43" s="51"/>
    </row>
    <row r="44" spans="1:10" ht="15" customHeight="1" x14ac:dyDescent="0.25">
      <c r="A44" s="45" t="s">
        <v>218</v>
      </c>
      <c r="B44" s="46">
        <v>1</v>
      </c>
      <c r="C44" s="21" t="s">
        <v>219</v>
      </c>
      <c r="D44" s="47" t="str">
        <f>C44&amp;B44</f>
        <v>EAP1</v>
      </c>
      <c r="E44" s="48"/>
      <c r="F44" s="49"/>
      <c r="G44" s="50"/>
      <c r="H44" s="48"/>
      <c r="I44" s="49"/>
      <c r="J44" s="50"/>
    </row>
    <row r="45" spans="1:10" x14ac:dyDescent="0.25">
      <c r="A45" s="38" t="s">
        <v>220</v>
      </c>
      <c r="B45" s="39"/>
      <c r="C45" s="40"/>
      <c r="D45" s="41"/>
      <c r="E45" s="42"/>
      <c r="F45" s="42"/>
      <c r="G45" s="51"/>
      <c r="H45" s="42"/>
      <c r="I45" s="42"/>
      <c r="J45" s="51"/>
    </row>
    <row r="46" spans="1:10" ht="15" customHeight="1" x14ac:dyDescent="0.25">
      <c r="A46" s="45" t="s">
        <v>183</v>
      </c>
      <c r="B46" s="46">
        <v>1</v>
      </c>
      <c r="C46" s="21" t="s">
        <v>182</v>
      </c>
      <c r="D46" s="47" t="str">
        <f t="shared" ref="D46:D49" si="5">C46&amp;B46</f>
        <v>HSAFA1</v>
      </c>
      <c r="E46" s="48"/>
      <c r="F46" s="49"/>
      <c r="G46" s="50"/>
      <c r="H46" s="48"/>
      <c r="I46" s="49"/>
      <c r="J46" s="50"/>
    </row>
    <row r="47" spans="1:10" ht="15" customHeight="1" x14ac:dyDescent="0.25">
      <c r="A47" s="45" t="s">
        <v>221</v>
      </c>
      <c r="B47" s="46">
        <v>1</v>
      </c>
      <c r="C47" s="21" t="s">
        <v>134</v>
      </c>
      <c r="D47" s="47" t="str">
        <f t="shared" si="5"/>
        <v>HSAD1</v>
      </c>
      <c r="E47" s="48"/>
      <c r="F47" s="49"/>
      <c r="G47" s="50"/>
      <c r="H47" s="48"/>
      <c r="I47" s="49"/>
      <c r="J47" s="50"/>
    </row>
    <row r="48" spans="1:10" ht="15" customHeight="1" x14ac:dyDescent="0.25">
      <c r="A48" s="45" t="s">
        <v>222</v>
      </c>
      <c r="B48" s="46">
        <v>1</v>
      </c>
      <c r="C48" s="21" t="s">
        <v>135</v>
      </c>
      <c r="D48" s="47" t="str">
        <f t="shared" si="5"/>
        <v>HSGD1</v>
      </c>
      <c r="E48" s="48"/>
      <c r="F48" s="49"/>
      <c r="G48" s="50"/>
      <c r="H48" s="48"/>
      <c r="I48" s="49"/>
      <c r="J48" s="50"/>
    </row>
    <row r="49" spans="1:10" ht="15" customHeight="1" x14ac:dyDescent="0.25">
      <c r="A49" s="45" t="s">
        <v>223</v>
      </c>
      <c r="B49" s="46">
        <v>1</v>
      </c>
      <c r="C49" s="21" t="s">
        <v>136</v>
      </c>
      <c r="D49" s="47" t="str">
        <f t="shared" si="5"/>
        <v>HSNP1</v>
      </c>
      <c r="E49" s="48"/>
      <c r="F49" s="49"/>
      <c r="G49" s="50"/>
      <c r="H49" s="48"/>
      <c r="I49" s="49"/>
      <c r="J49" s="50"/>
    </row>
    <row r="50" spans="1:10" ht="15" customHeight="1" x14ac:dyDescent="0.25">
      <c r="A50" s="136" t="s">
        <v>224</v>
      </c>
      <c r="B50" s="137"/>
      <c r="C50" s="52"/>
      <c r="D50" s="53"/>
      <c r="E50" s="54"/>
      <c r="F50" s="54"/>
      <c r="G50" s="55"/>
      <c r="H50" s="54"/>
      <c r="I50" s="54"/>
      <c r="J50" s="55"/>
    </row>
    <row r="51" spans="1:10" x14ac:dyDescent="0.25">
      <c r="A51" s="38" t="s">
        <v>225</v>
      </c>
      <c r="B51" s="39"/>
      <c r="C51" s="40"/>
      <c r="D51" s="41"/>
      <c r="E51" s="42"/>
      <c r="F51" s="42"/>
      <c r="G51" s="51"/>
      <c r="H51" s="42"/>
      <c r="I51" s="42"/>
      <c r="J51" s="51"/>
    </row>
    <row r="52" spans="1:10" ht="15" customHeight="1" x14ac:dyDescent="0.25">
      <c r="A52" s="45" t="s">
        <v>226</v>
      </c>
      <c r="B52" s="46">
        <v>1</v>
      </c>
      <c r="C52" s="21" t="s">
        <v>148</v>
      </c>
      <c r="D52" s="47" t="str">
        <f t="shared" ref="D52:D53" si="6">C52&amp;B52</f>
        <v>ENVTD1</v>
      </c>
      <c r="E52" s="48"/>
      <c r="F52" s="49"/>
      <c r="G52" s="50"/>
      <c r="H52" s="48"/>
      <c r="I52" s="49"/>
      <c r="J52" s="50"/>
    </row>
    <row r="53" spans="1:10" ht="15" customHeight="1" x14ac:dyDescent="0.25">
      <c r="A53" s="45"/>
      <c r="B53" s="46">
        <v>2</v>
      </c>
      <c r="C53" s="21" t="s">
        <v>148</v>
      </c>
      <c r="D53" s="47" t="str">
        <f t="shared" si="6"/>
        <v>ENVTD2</v>
      </c>
      <c r="E53" s="48"/>
      <c r="F53" s="49"/>
      <c r="G53" s="50"/>
      <c r="H53" s="48"/>
      <c r="I53" s="49"/>
      <c r="J53" s="50"/>
    </row>
    <row r="54" spans="1:10" x14ac:dyDescent="0.25">
      <c r="A54" s="38" t="s">
        <v>227</v>
      </c>
      <c r="B54" s="39"/>
      <c r="C54" s="40"/>
      <c r="D54" s="41"/>
      <c r="E54" s="42"/>
      <c r="F54" s="42"/>
      <c r="G54" s="51"/>
      <c r="H54" s="42"/>
      <c r="I54" s="42"/>
      <c r="J54" s="51"/>
    </row>
    <row r="55" spans="1:10" ht="15" customHeight="1" x14ac:dyDescent="0.25">
      <c r="A55" s="45" t="s">
        <v>227</v>
      </c>
      <c r="B55" s="46">
        <v>1</v>
      </c>
      <c r="C55" s="21" t="s">
        <v>147</v>
      </c>
      <c r="D55" s="47" t="str">
        <f t="shared" ref="D55:D56" si="7">C55&amp;B55</f>
        <v>ENVNC1</v>
      </c>
      <c r="E55" s="48"/>
      <c r="F55" s="49"/>
      <c r="G55" s="50"/>
      <c r="H55" s="48"/>
      <c r="I55" s="49"/>
      <c r="J55" s="50"/>
    </row>
    <row r="56" spans="1:10" ht="15" customHeight="1" x14ac:dyDescent="0.25">
      <c r="A56" s="45"/>
      <c r="B56" s="46">
        <v>2</v>
      </c>
      <c r="C56" s="21" t="s">
        <v>147</v>
      </c>
      <c r="D56" s="47" t="str">
        <f t="shared" si="7"/>
        <v>ENVNC2</v>
      </c>
      <c r="E56" s="48"/>
      <c r="F56" s="49"/>
      <c r="G56" s="50"/>
      <c r="H56" s="48"/>
      <c r="I56" s="49"/>
      <c r="J56" s="50"/>
    </row>
    <row r="57" spans="1:10" x14ac:dyDescent="0.25">
      <c r="A57" s="38" t="s">
        <v>228</v>
      </c>
      <c r="B57" s="39"/>
      <c r="C57" s="40"/>
      <c r="D57" s="41"/>
      <c r="E57" s="42"/>
      <c r="F57" s="42"/>
      <c r="G57" s="51"/>
      <c r="H57" s="42"/>
      <c r="I57" s="42"/>
      <c r="J57" s="51"/>
    </row>
    <row r="58" spans="1:10" ht="15" customHeight="1" x14ac:dyDescent="0.25">
      <c r="A58" s="45" t="s">
        <v>228</v>
      </c>
      <c r="B58" s="46">
        <v>1</v>
      </c>
      <c r="C58" s="21" t="s">
        <v>164</v>
      </c>
      <c r="D58" s="47" t="str">
        <f t="shared" ref="D58:D59" si="8">C58&amp;B58</f>
        <v>UTARTS1</v>
      </c>
      <c r="E58" s="48"/>
      <c r="F58" s="49"/>
      <c r="G58" s="50"/>
      <c r="H58" s="48"/>
      <c r="I58" s="49"/>
      <c r="J58" s="50"/>
    </row>
    <row r="59" spans="1:10" ht="15" customHeight="1" x14ac:dyDescent="0.25">
      <c r="A59" s="45"/>
      <c r="B59" s="46">
        <v>2</v>
      </c>
      <c r="C59" s="21" t="s">
        <v>164</v>
      </c>
      <c r="D59" s="47" t="str">
        <f t="shared" si="8"/>
        <v>UTARTS2</v>
      </c>
      <c r="E59" s="48"/>
      <c r="F59" s="49"/>
      <c r="G59" s="50"/>
      <c r="H59" s="48"/>
      <c r="I59" s="49"/>
      <c r="J59" s="50"/>
    </row>
    <row r="60" spans="1:10" x14ac:dyDescent="0.25">
      <c r="A60" s="38" t="s">
        <v>229</v>
      </c>
      <c r="B60" s="39"/>
      <c r="C60" s="40"/>
      <c r="D60" s="41"/>
      <c r="E60" s="42"/>
      <c r="F60" s="42"/>
      <c r="G60" s="51"/>
      <c r="H60" s="42"/>
      <c r="I60" s="42"/>
      <c r="J60" s="51"/>
    </row>
    <row r="61" spans="1:10" ht="15" customHeight="1" x14ac:dyDescent="0.25">
      <c r="A61" s="45" t="s">
        <v>229</v>
      </c>
      <c r="B61" s="46">
        <v>1</v>
      </c>
      <c r="C61" s="21" t="s">
        <v>165</v>
      </c>
      <c r="D61" s="47" t="str">
        <f t="shared" ref="D61:D62" si="9">C61&amp;B61</f>
        <v>UTCOMM1</v>
      </c>
      <c r="E61" s="48"/>
      <c r="F61" s="49"/>
      <c r="G61" s="50"/>
      <c r="H61" s="48"/>
      <c r="I61" s="49"/>
      <c r="J61" s="50"/>
    </row>
    <row r="62" spans="1:10" ht="15" customHeight="1" x14ac:dyDescent="0.25">
      <c r="A62" s="45"/>
      <c r="B62" s="46">
        <v>2</v>
      </c>
      <c r="C62" s="21" t="s">
        <v>165</v>
      </c>
      <c r="D62" s="47" t="str">
        <f t="shared" si="9"/>
        <v>UTCOMM2</v>
      </c>
      <c r="E62" s="48"/>
      <c r="F62" s="49"/>
      <c r="G62" s="50"/>
      <c r="H62" s="48"/>
      <c r="I62" s="49"/>
      <c r="J62" s="50"/>
    </row>
    <row r="63" spans="1:10" x14ac:dyDescent="0.25">
      <c r="A63" s="38" t="s">
        <v>230</v>
      </c>
      <c r="B63" s="39"/>
      <c r="C63" s="40"/>
      <c r="D63" s="41"/>
      <c r="E63" s="42"/>
      <c r="F63" s="42"/>
      <c r="G63" s="51"/>
      <c r="H63" s="42"/>
      <c r="I63" s="42"/>
      <c r="J63" s="51"/>
    </row>
    <row r="64" spans="1:10" ht="15" customHeight="1" x14ac:dyDescent="0.25">
      <c r="A64" s="45" t="s">
        <v>230</v>
      </c>
      <c r="B64" s="46">
        <v>1</v>
      </c>
      <c r="C64" s="21" t="s">
        <v>166</v>
      </c>
      <c r="D64" s="47" t="str">
        <f>C64&amp;B64</f>
        <v>UTENG1</v>
      </c>
      <c r="E64" s="48"/>
      <c r="F64" s="49"/>
      <c r="G64" s="50"/>
      <c r="H64" s="48"/>
      <c r="I64" s="49"/>
      <c r="J64" s="50"/>
    </row>
    <row r="65" spans="1:10" x14ac:dyDescent="0.25">
      <c r="A65" s="38" t="s">
        <v>231</v>
      </c>
      <c r="B65" s="39"/>
      <c r="C65" s="40"/>
      <c r="D65" s="41"/>
      <c r="E65" s="42"/>
      <c r="F65" s="42"/>
      <c r="G65" s="51"/>
      <c r="H65" s="42"/>
      <c r="I65" s="42"/>
      <c r="J65" s="51"/>
    </row>
    <row r="66" spans="1:10" ht="15" customHeight="1" x14ac:dyDescent="0.25">
      <c r="A66" s="45" t="s">
        <v>231</v>
      </c>
      <c r="B66" s="46">
        <v>1</v>
      </c>
      <c r="C66" s="21" t="s">
        <v>167</v>
      </c>
      <c r="D66" s="47" t="str">
        <f t="shared" ref="D66:D67" si="10">C66&amp;B66</f>
        <v>UTSCGS1</v>
      </c>
      <c r="E66" s="48"/>
      <c r="F66" s="49"/>
      <c r="G66" s="50"/>
      <c r="H66" s="48"/>
      <c r="I66" s="49"/>
      <c r="J66" s="50"/>
    </row>
    <row r="67" spans="1:10" ht="15" customHeight="1" x14ac:dyDescent="0.25">
      <c r="A67" s="45"/>
      <c r="B67" s="46">
        <v>2</v>
      </c>
      <c r="C67" s="21" t="s">
        <v>167</v>
      </c>
      <c r="D67" s="47" t="str">
        <f t="shared" si="10"/>
        <v>UTSCGS2</v>
      </c>
      <c r="E67" s="48"/>
      <c r="F67" s="49"/>
      <c r="G67" s="50"/>
      <c r="H67" s="48"/>
      <c r="I67" s="49"/>
      <c r="J67" s="50"/>
    </row>
    <row r="68" spans="1:10" x14ac:dyDescent="0.25">
      <c r="A68" s="38" t="s">
        <v>232</v>
      </c>
      <c r="B68" s="39"/>
      <c r="C68" s="40"/>
      <c r="D68" s="41"/>
      <c r="E68" s="42"/>
      <c r="F68" s="42"/>
      <c r="G68" s="51"/>
      <c r="H68" s="42"/>
      <c r="I68" s="42"/>
      <c r="J68" s="51"/>
    </row>
    <row r="69" spans="1:10" ht="15" customHeight="1" x14ac:dyDescent="0.25">
      <c r="A69" s="45" t="s">
        <v>232</v>
      </c>
      <c r="B69" s="46">
        <v>1</v>
      </c>
      <c r="C69" s="21" t="s">
        <v>168</v>
      </c>
      <c r="D69" s="47" t="str">
        <f t="shared" ref="D69:D70" si="11">C69&amp;B69</f>
        <v>UTSCWK1</v>
      </c>
      <c r="E69" s="48"/>
      <c r="F69" s="49"/>
      <c r="G69" s="50"/>
      <c r="H69" s="48"/>
      <c r="I69" s="49"/>
      <c r="J69" s="50"/>
    </row>
    <row r="70" spans="1:10" ht="15" customHeight="1" x14ac:dyDescent="0.25">
      <c r="A70" s="45"/>
      <c r="B70" s="46">
        <v>2</v>
      </c>
      <c r="C70" s="21" t="s">
        <v>168</v>
      </c>
      <c r="D70" s="47" t="str">
        <f t="shared" si="11"/>
        <v>UTSCWK2</v>
      </c>
      <c r="E70" s="48"/>
      <c r="F70" s="49"/>
      <c r="G70" s="50"/>
      <c r="H70" s="48"/>
      <c r="I70" s="49"/>
      <c r="J70" s="50"/>
    </row>
    <row r="71" spans="1:10" x14ac:dyDescent="0.25">
      <c r="A71" s="38" t="s">
        <v>233</v>
      </c>
      <c r="B71" s="39"/>
      <c r="C71" s="40"/>
      <c r="D71" s="41"/>
      <c r="E71" s="42"/>
      <c r="F71" s="42"/>
      <c r="G71" s="51"/>
      <c r="H71" s="42"/>
      <c r="I71" s="42"/>
      <c r="J71" s="51"/>
    </row>
    <row r="72" spans="1:10" ht="15" customHeight="1" x14ac:dyDescent="0.25">
      <c r="A72" s="45" t="s">
        <v>234</v>
      </c>
      <c r="B72" s="46">
        <v>1</v>
      </c>
      <c r="C72" s="21" t="s">
        <v>145</v>
      </c>
      <c r="D72" s="47" t="str">
        <f t="shared" ref="D72:D75" si="12">C72&amp;B72</f>
        <v>UTELEM1</v>
      </c>
      <c r="E72" s="48"/>
      <c r="F72" s="49"/>
      <c r="G72" s="50"/>
      <c r="H72" s="48"/>
      <c r="I72" s="49"/>
      <c r="J72" s="50"/>
    </row>
    <row r="73" spans="1:10" ht="15" customHeight="1" x14ac:dyDescent="0.25">
      <c r="A73" s="45"/>
      <c r="B73" s="46">
        <v>2</v>
      </c>
      <c r="C73" s="21" t="s">
        <v>145</v>
      </c>
      <c r="D73" s="47" t="str">
        <f t="shared" si="12"/>
        <v>UTELEM2</v>
      </c>
      <c r="E73" s="48"/>
      <c r="F73" s="49"/>
      <c r="G73" s="50"/>
      <c r="H73" s="48"/>
      <c r="I73" s="49"/>
      <c r="J73" s="50"/>
    </row>
    <row r="74" spans="1:10" ht="15" customHeight="1" x14ac:dyDescent="0.25">
      <c r="A74" s="45" t="s">
        <v>235</v>
      </c>
      <c r="B74" s="46">
        <v>1</v>
      </c>
      <c r="C74" s="21" t="s">
        <v>146</v>
      </c>
      <c r="D74" s="47" t="str">
        <f t="shared" si="12"/>
        <v>UTSEC1</v>
      </c>
      <c r="E74" s="48"/>
      <c r="F74" s="49"/>
      <c r="G74" s="50"/>
      <c r="H74" s="48"/>
      <c r="I74" s="49"/>
      <c r="J74" s="50"/>
    </row>
    <row r="75" spans="1:10" ht="15" customHeight="1" x14ac:dyDescent="0.25">
      <c r="A75" s="45"/>
      <c r="B75" s="46">
        <v>2</v>
      </c>
      <c r="C75" s="21" t="s">
        <v>146</v>
      </c>
      <c r="D75" s="47" t="str">
        <f t="shared" si="12"/>
        <v>UTSEC2</v>
      </c>
      <c r="E75" s="48"/>
      <c r="F75" s="49"/>
      <c r="G75" s="50"/>
      <c r="H75" s="48"/>
      <c r="I75" s="49"/>
      <c r="J75" s="50"/>
    </row>
    <row r="76" spans="1:10" x14ac:dyDescent="0.25">
      <c r="A76" s="38" t="s">
        <v>163</v>
      </c>
      <c r="B76" s="39"/>
      <c r="C76" s="40"/>
      <c r="D76" s="41"/>
      <c r="E76" s="42"/>
      <c r="F76" s="42"/>
      <c r="G76" s="51"/>
      <c r="H76" s="42"/>
      <c r="I76" s="42"/>
      <c r="J76" s="51"/>
    </row>
    <row r="77" spans="1:10" ht="15" customHeight="1" x14ac:dyDescent="0.25">
      <c r="A77" s="45" t="s">
        <v>163</v>
      </c>
      <c r="B77" s="46">
        <v>1</v>
      </c>
      <c r="C77" s="21" t="s">
        <v>162</v>
      </c>
      <c r="D77" s="47" t="str">
        <f>C77&amp;B77</f>
        <v>OPEN1</v>
      </c>
      <c r="E77" s="48"/>
      <c r="F77" s="49"/>
      <c r="G77" s="50"/>
      <c r="H77" s="48"/>
      <c r="I77" s="49"/>
      <c r="J77" s="50"/>
    </row>
    <row r="78" spans="1:10" x14ac:dyDescent="0.25">
      <c r="A78" s="38" t="s">
        <v>236</v>
      </c>
      <c r="B78" s="39"/>
      <c r="C78" s="40"/>
      <c r="D78" s="41"/>
      <c r="E78" s="42"/>
      <c r="F78" s="42"/>
      <c r="G78" s="51"/>
      <c r="H78" s="42"/>
      <c r="I78" s="42"/>
      <c r="J78" s="51"/>
    </row>
    <row r="79" spans="1:10" ht="15" customHeight="1" x14ac:dyDescent="0.25">
      <c r="A79" s="45" t="s">
        <v>236</v>
      </c>
      <c r="B79" s="46">
        <v>1</v>
      </c>
      <c r="C79" s="21" t="s">
        <v>161</v>
      </c>
      <c r="D79" s="47" t="str">
        <f t="shared" ref="D79:D80" si="13">C79&amp;B79</f>
        <v>GOVNSC1</v>
      </c>
      <c r="E79" s="48"/>
      <c r="F79" s="49"/>
      <c r="G79" s="50"/>
      <c r="H79" s="48"/>
      <c r="I79" s="49"/>
      <c r="J79" s="50"/>
    </row>
    <row r="80" spans="1:10" ht="15" customHeight="1" x14ac:dyDescent="0.25">
      <c r="A80" s="45"/>
      <c r="B80" s="46">
        <v>2</v>
      </c>
      <c r="C80" s="21" t="s">
        <v>161</v>
      </c>
      <c r="D80" s="47" t="str">
        <f t="shared" si="13"/>
        <v>GOVNSC2</v>
      </c>
      <c r="E80" s="48"/>
      <c r="F80" s="49"/>
      <c r="G80" s="50"/>
      <c r="H80" s="48"/>
      <c r="I80" s="49"/>
      <c r="J80" s="50"/>
    </row>
    <row r="81" spans="1:10" x14ac:dyDescent="0.25">
      <c r="A81" s="38" t="s">
        <v>237</v>
      </c>
      <c r="B81" s="39"/>
      <c r="C81" s="40"/>
      <c r="D81" s="41"/>
      <c r="E81" s="42"/>
      <c r="F81" s="42"/>
      <c r="G81" s="51"/>
      <c r="H81" s="42"/>
      <c r="I81" s="42"/>
      <c r="J81" s="51"/>
    </row>
    <row r="82" spans="1:10" ht="15" customHeight="1" x14ac:dyDescent="0.25">
      <c r="A82" s="45" t="s">
        <v>237</v>
      </c>
      <c r="B82" s="46">
        <v>1</v>
      </c>
      <c r="C82" s="21" t="s">
        <v>157</v>
      </c>
      <c r="D82" s="47" t="str">
        <f>C82&amp;B82</f>
        <v>COMSCC1</v>
      </c>
      <c r="E82" s="48"/>
      <c r="F82" s="49"/>
      <c r="G82" s="50"/>
      <c r="H82" s="48"/>
      <c r="I82" s="49"/>
      <c r="J82" s="50"/>
    </row>
    <row r="83" spans="1:10" x14ac:dyDescent="0.25">
      <c r="A83" s="38" t="s">
        <v>238</v>
      </c>
      <c r="B83" s="39"/>
      <c r="C83" s="40"/>
      <c r="D83" s="41"/>
      <c r="E83" s="42"/>
      <c r="F83" s="42"/>
      <c r="G83" s="51"/>
      <c r="H83" s="42"/>
      <c r="I83" s="42"/>
      <c r="J83" s="51"/>
    </row>
    <row r="84" spans="1:10" ht="15" customHeight="1" x14ac:dyDescent="0.25">
      <c r="A84" s="45" t="s">
        <v>238</v>
      </c>
      <c r="B84" s="46">
        <v>1</v>
      </c>
      <c r="C84" s="21" t="s">
        <v>158</v>
      </c>
      <c r="D84" s="47" t="str">
        <f t="shared" ref="D84:D85" si="14">C84&amp;B84</f>
        <v>COMSCD1</v>
      </c>
      <c r="E84" s="48"/>
      <c r="F84" s="49"/>
      <c r="G84" s="50"/>
      <c r="H84" s="48"/>
      <c r="I84" s="49"/>
      <c r="J84" s="50"/>
    </row>
    <row r="85" spans="1:10" ht="15" customHeight="1" x14ac:dyDescent="0.25">
      <c r="A85" s="45"/>
      <c r="B85" s="46">
        <v>2</v>
      </c>
      <c r="C85" s="21" t="s">
        <v>158</v>
      </c>
      <c r="D85" s="47" t="str">
        <f t="shared" si="14"/>
        <v>COMSCD2</v>
      </c>
      <c r="E85" s="48"/>
      <c r="F85" s="49"/>
      <c r="G85" s="50"/>
      <c r="H85" s="48"/>
      <c r="I85" s="49"/>
      <c r="J85" s="50"/>
    </row>
    <row r="86" spans="1:10" x14ac:dyDescent="0.25">
      <c r="A86" s="38" t="s">
        <v>239</v>
      </c>
      <c r="B86" s="39"/>
      <c r="C86" s="40"/>
      <c r="D86" s="41"/>
      <c r="E86" s="42"/>
      <c r="F86" s="42"/>
      <c r="G86" s="51"/>
      <c r="H86" s="42"/>
      <c r="I86" s="42"/>
      <c r="J86" s="51"/>
    </row>
    <row r="87" spans="1:10" ht="15" customHeight="1" x14ac:dyDescent="0.25">
      <c r="A87" s="45" t="s">
        <v>239</v>
      </c>
      <c r="B87" s="46">
        <v>1</v>
      </c>
      <c r="C87" s="21" t="s">
        <v>159</v>
      </c>
      <c r="D87" s="47" t="str">
        <f>C87&amp;B87</f>
        <v>GNARTC1</v>
      </c>
      <c r="E87" s="48"/>
      <c r="F87" s="49"/>
      <c r="G87" s="50"/>
      <c r="H87" s="48"/>
      <c r="I87" s="49"/>
      <c r="J87" s="50"/>
    </row>
    <row r="88" spans="1:10" x14ac:dyDescent="0.25">
      <c r="A88" s="38" t="s">
        <v>240</v>
      </c>
      <c r="B88" s="39"/>
      <c r="C88" s="40"/>
      <c r="D88" s="41"/>
      <c r="E88" s="42"/>
      <c r="F88" s="42"/>
      <c r="G88" s="51"/>
      <c r="H88" s="42"/>
      <c r="I88" s="42"/>
      <c r="J88" s="51"/>
    </row>
    <row r="89" spans="1:10" ht="15" customHeight="1" x14ac:dyDescent="0.25">
      <c r="A89" s="45" t="s">
        <v>240</v>
      </c>
      <c r="B89" s="46">
        <v>1</v>
      </c>
      <c r="C89" s="21" t="s">
        <v>160</v>
      </c>
      <c r="D89" s="47" t="str">
        <f>C89&amp;B89</f>
        <v>GNSCIC1</v>
      </c>
      <c r="E89" s="48"/>
      <c r="F89" s="49"/>
      <c r="G89" s="50"/>
      <c r="H89" s="48"/>
      <c r="I89" s="49"/>
      <c r="J89" s="50"/>
    </row>
    <row r="90" spans="1:10" x14ac:dyDescent="0.25">
      <c r="A90" s="38" t="s">
        <v>241</v>
      </c>
      <c r="B90" s="39"/>
      <c r="C90" s="40"/>
      <c r="D90" s="41"/>
      <c r="E90" s="42"/>
      <c r="F90" s="42"/>
      <c r="G90" s="51"/>
      <c r="H90" s="42"/>
      <c r="I90" s="42"/>
      <c r="J90" s="51"/>
    </row>
    <row r="91" spans="1:10" ht="15" customHeight="1" x14ac:dyDescent="0.25">
      <c r="A91" s="45" t="s">
        <v>242</v>
      </c>
      <c r="B91" s="46">
        <v>1</v>
      </c>
      <c r="C91" s="21" t="s">
        <v>243</v>
      </c>
      <c r="D91" s="47" t="str">
        <f>C91&amp;B91</f>
        <v>ANCPDC1</v>
      </c>
      <c r="E91" s="48"/>
      <c r="F91" s="49"/>
      <c r="G91" s="50"/>
      <c r="H91" s="48"/>
      <c r="I91" s="49"/>
      <c r="J91" s="50"/>
    </row>
    <row r="92" spans="1:10" x14ac:dyDescent="0.25">
      <c r="A92" s="38" t="s">
        <v>244</v>
      </c>
      <c r="B92" s="39"/>
      <c r="C92" s="40"/>
      <c r="D92" s="41"/>
      <c r="E92" s="42"/>
      <c r="F92" s="42"/>
      <c r="G92" s="51"/>
      <c r="H92" s="42"/>
      <c r="I92" s="42"/>
      <c r="J92" s="51"/>
    </row>
    <row r="93" spans="1:10" ht="15" customHeight="1" x14ac:dyDescent="0.25">
      <c r="A93" s="45" t="s">
        <v>245</v>
      </c>
      <c r="B93" s="46">
        <v>1</v>
      </c>
      <c r="C93" s="21" t="s">
        <v>246</v>
      </c>
      <c r="D93" s="47" t="str">
        <f>C93&amp;B93</f>
        <v>NSPDC1</v>
      </c>
      <c r="E93" s="48"/>
      <c r="F93" s="49"/>
      <c r="G93" s="50"/>
      <c r="H93" s="48"/>
      <c r="I93" s="49"/>
      <c r="J93" s="50"/>
    </row>
    <row r="94" spans="1:10" x14ac:dyDescent="0.25">
      <c r="A94" s="38" t="s">
        <v>247</v>
      </c>
      <c r="B94" s="39"/>
      <c r="C94" s="40"/>
      <c r="D94" s="41"/>
      <c r="E94" s="42"/>
      <c r="F94" s="42"/>
      <c r="G94" s="51"/>
      <c r="H94" s="42"/>
      <c r="I94" s="42"/>
      <c r="J94" s="51"/>
    </row>
    <row r="95" spans="1:10" ht="15" customHeight="1" x14ac:dyDescent="0.25">
      <c r="A95" s="45" t="s">
        <v>247</v>
      </c>
      <c r="B95" s="46">
        <v>1</v>
      </c>
      <c r="C95" s="21" t="s">
        <v>184</v>
      </c>
      <c r="D95" s="47" t="str">
        <f>C95&amp;B95</f>
        <v>AITS1</v>
      </c>
      <c r="E95" s="48"/>
      <c r="F95" s="49"/>
      <c r="G95" s="50"/>
      <c r="H95" s="48"/>
      <c r="I95" s="49"/>
      <c r="J95" s="50"/>
    </row>
    <row r="96" spans="1:10" x14ac:dyDescent="0.25">
      <c r="A96" s="38" t="s">
        <v>248</v>
      </c>
      <c r="B96" s="39"/>
      <c r="C96" s="40"/>
      <c r="D96" s="41"/>
      <c r="E96" s="42"/>
      <c r="F96" s="42"/>
      <c r="G96" s="51"/>
      <c r="H96" s="42"/>
      <c r="I96" s="42"/>
      <c r="J96" s="51"/>
    </row>
    <row r="97" spans="1:10" ht="15" customHeight="1" x14ac:dyDescent="0.25">
      <c r="A97" s="45" t="s">
        <v>249</v>
      </c>
      <c r="B97" s="46">
        <v>1</v>
      </c>
      <c r="C97" s="21"/>
      <c r="D97" s="47" t="str">
        <f>C97&amp;B97</f>
        <v>1</v>
      </c>
      <c r="E97" s="48"/>
      <c r="F97" s="49"/>
      <c r="G97" s="50"/>
      <c r="H97" s="48"/>
      <c r="I97" s="49"/>
      <c r="J97" s="50"/>
    </row>
    <row r="98" spans="1:10" ht="15" customHeight="1" x14ac:dyDescent="0.25">
      <c r="A98" s="136" t="s">
        <v>250</v>
      </c>
      <c r="B98" s="137"/>
      <c r="C98" s="52"/>
      <c r="D98" s="53"/>
      <c r="E98" s="54"/>
      <c r="F98" s="54"/>
      <c r="G98" s="55"/>
      <c r="H98" s="54"/>
      <c r="I98" s="54"/>
      <c r="J98" s="55"/>
    </row>
    <row r="99" spans="1:10" x14ac:dyDescent="0.25">
      <c r="A99" s="38" t="s">
        <v>251</v>
      </c>
      <c r="B99" s="39"/>
      <c r="C99" s="40"/>
      <c r="D99" s="41"/>
      <c r="E99" s="42"/>
      <c r="F99" s="42"/>
      <c r="G99" s="51"/>
      <c r="H99" s="42"/>
      <c r="I99" s="42"/>
      <c r="J99" s="51"/>
    </row>
    <row r="100" spans="1:10" ht="15" customHeight="1" x14ac:dyDescent="0.25">
      <c r="A100" s="45" t="s">
        <v>251</v>
      </c>
      <c r="B100" s="46">
        <v>1</v>
      </c>
      <c r="C100" s="21" t="s">
        <v>137</v>
      </c>
      <c r="D100" s="47" t="str">
        <f>C100&amp;B100</f>
        <v>LINC131</v>
      </c>
      <c r="E100" s="48"/>
      <c r="F100" s="49"/>
      <c r="G100" s="50"/>
      <c r="H100" s="48"/>
      <c r="I100" s="49"/>
      <c r="J100" s="50"/>
    </row>
    <row r="101" spans="1:10" ht="15" customHeight="1" x14ac:dyDescent="0.25">
      <c r="A101" s="142" t="s">
        <v>252</v>
      </c>
      <c r="B101" s="143"/>
      <c r="C101" s="56"/>
      <c r="D101" s="57"/>
      <c r="E101" s="58"/>
      <c r="F101" s="58"/>
      <c r="G101" s="59"/>
      <c r="H101" s="58"/>
      <c r="I101" s="58"/>
      <c r="J101" s="59"/>
    </row>
    <row r="102" spans="1:10" x14ac:dyDescent="0.25">
      <c r="A102" s="38" t="s">
        <v>141</v>
      </c>
      <c r="B102" s="39"/>
      <c r="C102" s="40"/>
      <c r="D102" s="41"/>
      <c r="E102" s="42"/>
      <c r="F102" s="42"/>
      <c r="G102" s="51"/>
      <c r="H102" s="42"/>
      <c r="I102" s="42"/>
      <c r="J102" s="51"/>
    </row>
    <row r="103" spans="1:10" ht="15" customHeight="1" x14ac:dyDescent="0.25">
      <c r="A103" s="45" t="s">
        <v>253</v>
      </c>
      <c r="B103" s="46">
        <v>1</v>
      </c>
      <c r="C103" s="21" t="s">
        <v>138</v>
      </c>
      <c r="D103" s="47" t="str">
        <f>C103&amp;B103</f>
        <v>AELCC1</v>
      </c>
      <c r="E103" s="48"/>
      <c r="F103" s="49"/>
      <c r="G103" s="50"/>
      <c r="H103" s="48"/>
      <c r="I103" s="49"/>
      <c r="J103" s="50"/>
    </row>
    <row r="104" spans="1:10" x14ac:dyDescent="0.25">
      <c r="A104" s="38" t="s">
        <v>254</v>
      </c>
      <c r="B104" s="39"/>
      <c r="C104" s="40"/>
      <c r="D104" s="41"/>
      <c r="E104" s="42"/>
      <c r="F104" s="42"/>
      <c r="G104" s="51"/>
      <c r="H104" s="42"/>
      <c r="I104" s="42"/>
      <c r="J104" s="51"/>
    </row>
    <row r="105" spans="1:10" ht="15" customHeight="1" x14ac:dyDescent="0.25">
      <c r="A105" s="45" t="s">
        <v>254</v>
      </c>
      <c r="B105" s="46">
        <v>1</v>
      </c>
      <c r="C105" s="21" t="s">
        <v>140</v>
      </c>
      <c r="D105" s="47" t="str">
        <f>C105&amp;B105</f>
        <v>ECCERT1</v>
      </c>
      <c r="E105" s="48"/>
      <c r="F105" s="49"/>
      <c r="G105" s="50"/>
      <c r="H105" s="48"/>
      <c r="I105" s="49"/>
      <c r="J105" s="50"/>
    </row>
    <row r="106" spans="1:10" x14ac:dyDescent="0.25">
      <c r="A106" s="38" t="s">
        <v>255</v>
      </c>
      <c r="B106" s="39"/>
      <c r="C106" s="40"/>
      <c r="D106" s="41"/>
      <c r="E106" s="42"/>
      <c r="F106" s="42"/>
      <c r="G106" s="51"/>
      <c r="H106" s="42"/>
      <c r="I106" s="42"/>
      <c r="J106" s="51"/>
    </row>
    <row r="107" spans="1:10" ht="15" customHeight="1" x14ac:dyDescent="0.25">
      <c r="A107" s="45" t="s">
        <v>255</v>
      </c>
      <c r="B107" s="46">
        <v>1</v>
      </c>
      <c r="C107" s="21" t="s">
        <v>142</v>
      </c>
      <c r="D107" s="47" t="str">
        <f t="shared" ref="D107:D108" si="15">C107&amp;B107</f>
        <v>ECDIP1</v>
      </c>
      <c r="E107" s="48"/>
      <c r="F107" s="49"/>
      <c r="G107" s="50"/>
      <c r="H107" s="48"/>
      <c r="I107" s="49"/>
      <c r="J107" s="50"/>
    </row>
    <row r="108" spans="1:10" ht="15" customHeight="1" x14ac:dyDescent="0.25">
      <c r="A108" s="45"/>
      <c r="B108" s="46">
        <v>2</v>
      </c>
      <c r="C108" s="21" t="s">
        <v>142</v>
      </c>
      <c r="D108" s="47" t="str">
        <f t="shared" si="15"/>
        <v>ECDIP2</v>
      </c>
      <c r="E108" s="48"/>
      <c r="F108" s="49"/>
      <c r="G108" s="50"/>
      <c r="H108" s="48"/>
      <c r="I108" s="49"/>
      <c r="J108" s="50"/>
    </row>
    <row r="109" spans="1:10" x14ac:dyDescent="0.25">
      <c r="A109" s="38" t="s">
        <v>256</v>
      </c>
      <c r="B109" s="39"/>
      <c r="C109" s="40"/>
      <c r="D109" s="41"/>
      <c r="E109" s="42"/>
      <c r="F109" s="42"/>
      <c r="G109" s="51"/>
      <c r="H109" s="42"/>
      <c r="I109" s="42"/>
      <c r="J109" s="51"/>
    </row>
    <row r="110" spans="1:10" ht="15" customHeight="1" x14ac:dyDescent="0.25">
      <c r="A110" s="45" t="s">
        <v>256</v>
      </c>
      <c r="B110" s="46">
        <v>1</v>
      </c>
      <c r="C110" s="21" t="s">
        <v>139</v>
      </c>
      <c r="D110" s="47" t="str">
        <f t="shared" ref="D110:D111" si="16">C110&amp;B110</f>
        <v>CYCD1</v>
      </c>
      <c r="E110" s="48"/>
      <c r="F110" s="49"/>
      <c r="G110" s="50"/>
      <c r="H110" s="48"/>
      <c r="I110" s="49"/>
      <c r="J110" s="50"/>
    </row>
    <row r="111" spans="1:10" ht="15" customHeight="1" x14ac:dyDescent="0.25">
      <c r="A111" s="45"/>
      <c r="B111" s="46">
        <v>2</v>
      </c>
      <c r="C111" s="21" t="s">
        <v>139</v>
      </c>
      <c r="D111" s="47" t="str">
        <f t="shared" si="16"/>
        <v>CYCD2</v>
      </c>
      <c r="E111" s="48"/>
      <c r="F111" s="49"/>
      <c r="G111" s="50"/>
      <c r="H111" s="48"/>
      <c r="I111" s="49"/>
      <c r="J111" s="50"/>
    </row>
    <row r="112" spans="1:10" x14ac:dyDescent="0.25">
      <c r="A112" s="38" t="s">
        <v>144</v>
      </c>
      <c r="B112" s="39"/>
      <c r="C112" s="40"/>
      <c r="D112" s="41"/>
      <c r="E112" s="42"/>
      <c r="F112" s="42"/>
      <c r="G112" s="51"/>
      <c r="H112" s="42"/>
      <c r="I112" s="42"/>
      <c r="J112" s="51"/>
    </row>
    <row r="113" spans="1:10" ht="15" customHeight="1" x14ac:dyDescent="0.25">
      <c r="A113" s="45" t="s">
        <v>144</v>
      </c>
      <c r="B113" s="46">
        <v>1</v>
      </c>
      <c r="C113" s="21" t="s">
        <v>143</v>
      </c>
      <c r="D113" s="47" t="str">
        <f>C113&amp;B113</f>
        <v>ECEAC1</v>
      </c>
      <c r="E113" s="48"/>
      <c r="F113" s="49"/>
      <c r="G113" s="50"/>
      <c r="H113" s="48"/>
      <c r="I113" s="49"/>
      <c r="J113" s="50"/>
    </row>
    <row r="114" spans="1:10" x14ac:dyDescent="0.25">
      <c r="A114" s="38" t="s">
        <v>150</v>
      </c>
      <c r="B114" s="39"/>
      <c r="C114" s="40"/>
      <c r="D114" s="41"/>
      <c r="E114" s="42"/>
      <c r="F114" s="42"/>
      <c r="G114" s="51"/>
      <c r="H114" s="42"/>
      <c r="I114" s="42"/>
      <c r="J114" s="51"/>
    </row>
    <row r="115" spans="1:10" ht="15" customHeight="1" x14ac:dyDescent="0.25">
      <c r="A115" s="45" t="s">
        <v>150</v>
      </c>
      <c r="B115" s="46">
        <v>1</v>
      </c>
      <c r="C115" s="21" t="s">
        <v>149</v>
      </c>
      <c r="D115" s="47" t="str">
        <f t="shared" ref="D115:D116" si="17">C115&amp;B115</f>
        <v>SOCWKD1</v>
      </c>
      <c r="E115" s="48"/>
      <c r="F115" s="49"/>
      <c r="G115" s="50"/>
      <c r="H115" s="48"/>
      <c r="I115" s="49"/>
      <c r="J115" s="50"/>
    </row>
    <row r="116" spans="1:10" ht="15" customHeight="1" x14ac:dyDescent="0.25">
      <c r="A116" s="45"/>
      <c r="B116" s="46">
        <v>2</v>
      </c>
      <c r="C116" s="21" t="s">
        <v>149</v>
      </c>
      <c r="D116" s="47" t="str">
        <f t="shared" si="17"/>
        <v>SOCWKD2</v>
      </c>
      <c r="E116" s="48"/>
      <c r="F116" s="49"/>
      <c r="G116" s="50"/>
      <c r="H116" s="48"/>
      <c r="I116" s="49"/>
      <c r="J116" s="50"/>
    </row>
    <row r="117" spans="1:10" ht="15" customHeight="1" x14ac:dyDescent="0.25">
      <c r="A117" s="136" t="s">
        <v>257</v>
      </c>
      <c r="B117" s="137"/>
      <c r="C117" s="52"/>
      <c r="D117" s="53"/>
      <c r="E117" s="54"/>
      <c r="F117" s="54"/>
      <c r="G117" s="55"/>
      <c r="H117" s="54"/>
      <c r="I117" s="54"/>
      <c r="J117" s="55"/>
    </row>
    <row r="118" spans="1:10" x14ac:dyDescent="0.25">
      <c r="A118" s="38" t="s">
        <v>181</v>
      </c>
      <c r="B118" s="39"/>
      <c r="C118" s="40"/>
      <c r="D118" s="41"/>
      <c r="E118" s="42"/>
      <c r="F118" s="42"/>
      <c r="G118" s="51"/>
      <c r="H118" s="42"/>
      <c r="I118" s="42"/>
      <c r="J118" s="51"/>
    </row>
    <row r="119" spans="1:10" ht="15" customHeight="1" x14ac:dyDescent="0.25">
      <c r="A119" s="45" t="s">
        <v>258</v>
      </c>
      <c r="B119" s="46">
        <v>1</v>
      </c>
      <c r="C119" s="21" t="s">
        <v>180</v>
      </c>
      <c r="D119" s="47" t="str">
        <f>C119&amp;B119</f>
        <v>PCPC1</v>
      </c>
      <c r="E119" s="48"/>
      <c r="F119" s="49"/>
      <c r="G119" s="50"/>
      <c r="H119" s="48"/>
      <c r="I119" s="49"/>
      <c r="J119" s="50"/>
    </row>
    <row r="120" spans="1:10" ht="15" customHeight="1" x14ac:dyDescent="0.25">
      <c r="A120" s="45"/>
      <c r="B120" s="46">
        <v>2</v>
      </c>
      <c r="C120" s="21" t="s">
        <v>180</v>
      </c>
      <c r="D120" s="47" t="str">
        <f>C120&amp;B120</f>
        <v>PCPC2</v>
      </c>
      <c r="E120" s="48"/>
      <c r="F120" s="49"/>
      <c r="G120" s="50"/>
      <c r="H120" s="48"/>
      <c r="I120" s="49"/>
      <c r="J120" s="50"/>
    </row>
    <row r="121" spans="1:10" x14ac:dyDescent="0.25">
      <c r="A121" s="38" t="s">
        <v>179</v>
      </c>
      <c r="B121" s="39"/>
      <c r="C121" s="40"/>
      <c r="D121" s="41"/>
      <c r="E121" s="42"/>
      <c r="F121" s="42"/>
      <c r="G121" s="51"/>
      <c r="H121" s="42"/>
      <c r="I121" s="42"/>
      <c r="J121" s="51"/>
    </row>
    <row r="122" spans="1:10" ht="15" customHeight="1" x14ac:dyDescent="0.25">
      <c r="A122" s="45" t="s">
        <v>259</v>
      </c>
      <c r="B122" s="46">
        <v>2</v>
      </c>
      <c r="C122" s="21" t="s">
        <v>178</v>
      </c>
      <c r="D122" s="47" t="str">
        <f>C122&amp;B122</f>
        <v>ACP2</v>
      </c>
      <c r="E122" s="48"/>
      <c r="F122" s="49"/>
      <c r="G122" s="50"/>
      <c r="H122" s="48"/>
      <c r="I122" s="49"/>
      <c r="J122" s="50"/>
    </row>
    <row r="123" spans="1:10" x14ac:dyDescent="0.25">
      <c r="A123" s="38" t="s">
        <v>260</v>
      </c>
      <c r="B123" s="39"/>
      <c r="C123" s="40"/>
      <c r="D123" s="41"/>
      <c r="E123" s="42"/>
      <c r="F123" s="42"/>
      <c r="G123" s="51"/>
      <c r="H123" s="42"/>
      <c r="I123" s="42"/>
      <c r="J123" s="51"/>
    </row>
    <row r="124" spans="1:10" ht="15" customHeight="1" x14ac:dyDescent="0.25">
      <c r="A124" s="45" t="s">
        <v>261</v>
      </c>
      <c r="B124" s="46">
        <v>4</v>
      </c>
      <c r="C124" s="21"/>
      <c r="D124" s="47" t="str">
        <f>C124&amp;B124</f>
        <v>4</v>
      </c>
      <c r="E124" s="48"/>
      <c r="F124" s="49"/>
      <c r="G124" s="50"/>
      <c r="H124" s="48"/>
      <c r="I124" s="49"/>
      <c r="J124" s="50"/>
    </row>
    <row r="125" spans="1:10" x14ac:dyDescent="0.25">
      <c r="A125" s="38" t="s">
        <v>262</v>
      </c>
      <c r="B125" s="39"/>
      <c r="C125" s="40"/>
      <c r="D125" s="41"/>
      <c r="E125" s="42"/>
      <c r="F125" s="42"/>
      <c r="G125" s="51"/>
      <c r="H125" s="42"/>
      <c r="I125" s="42"/>
      <c r="J125" s="51"/>
    </row>
    <row r="126" spans="1:10" ht="15" customHeight="1" x14ac:dyDescent="0.25">
      <c r="A126" s="45" t="s">
        <v>153</v>
      </c>
      <c r="B126" s="46">
        <v>1</v>
      </c>
      <c r="C126" s="21" t="s">
        <v>152</v>
      </c>
      <c r="D126" s="47" t="str">
        <f>C126&amp;B126</f>
        <v>HCAC1</v>
      </c>
      <c r="E126" s="48"/>
      <c r="F126" s="49"/>
      <c r="G126" s="50"/>
      <c r="H126" s="48"/>
      <c r="I126" s="49"/>
      <c r="J126" s="50"/>
    </row>
    <row r="127" spans="1:10" x14ac:dyDescent="0.25">
      <c r="A127" s="38" t="s">
        <v>156</v>
      </c>
      <c r="B127" s="39"/>
      <c r="C127" s="40"/>
      <c r="D127" s="41"/>
      <c r="E127" s="42"/>
      <c r="F127" s="42"/>
      <c r="G127" s="51"/>
      <c r="H127" s="42"/>
      <c r="I127" s="42"/>
      <c r="J127" s="51"/>
    </row>
    <row r="128" spans="1:10" ht="15" customHeight="1" x14ac:dyDescent="0.25">
      <c r="A128" s="45" t="s">
        <v>156</v>
      </c>
      <c r="B128" s="46">
        <v>1</v>
      </c>
      <c r="C128" s="21" t="s">
        <v>155</v>
      </c>
      <c r="D128" s="47" t="str">
        <f t="shared" ref="D128:D129" si="18">C128&amp;B128</f>
        <v>PNR1</v>
      </c>
      <c r="E128" s="48"/>
      <c r="F128" s="49"/>
      <c r="G128" s="50"/>
      <c r="H128" s="48"/>
      <c r="I128" s="49"/>
      <c r="J128" s="50"/>
    </row>
    <row r="129" spans="1:10" ht="15" customHeight="1" x14ac:dyDescent="0.25">
      <c r="A129" s="45"/>
      <c r="B129" s="46">
        <v>2</v>
      </c>
      <c r="C129" s="21" t="s">
        <v>155</v>
      </c>
      <c r="D129" s="47" t="str">
        <f t="shared" si="18"/>
        <v>PNR2</v>
      </c>
      <c r="E129" s="48"/>
      <c r="F129" s="49"/>
      <c r="G129" s="50"/>
      <c r="H129" s="48"/>
      <c r="I129" s="49"/>
      <c r="J129" s="50"/>
    </row>
    <row r="130" spans="1:10" x14ac:dyDescent="0.25">
      <c r="A130" s="38" t="s">
        <v>263</v>
      </c>
      <c r="B130" s="39"/>
      <c r="C130" s="40"/>
      <c r="D130" s="41"/>
      <c r="E130" s="42"/>
      <c r="F130" s="42"/>
      <c r="G130" s="51"/>
      <c r="H130" s="42"/>
      <c r="I130" s="42"/>
      <c r="J130" s="51"/>
    </row>
    <row r="131" spans="1:10" ht="15" customHeight="1" x14ac:dyDescent="0.25">
      <c r="A131" s="45" t="s">
        <v>264</v>
      </c>
      <c r="B131" s="46">
        <v>1</v>
      </c>
      <c r="C131" s="21" t="s">
        <v>151</v>
      </c>
      <c r="D131" s="47" t="str">
        <f t="shared" ref="D131:D133" si="19">C131&amp;B131</f>
        <v>BSCN1</v>
      </c>
      <c r="E131" s="48"/>
      <c r="F131" s="49"/>
      <c r="G131" s="50"/>
      <c r="H131" s="48"/>
      <c r="I131" s="49"/>
      <c r="J131" s="50"/>
    </row>
    <row r="132" spans="1:10" ht="15" customHeight="1" x14ac:dyDescent="0.25">
      <c r="A132" s="45"/>
      <c r="B132" s="46">
        <v>2</v>
      </c>
      <c r="C132" s="21" t="s">
        <v>151</v>
      </c>
      <c r="D132" s="47" t="str">
        <f t="shared" si="19"/>
        <v>BSCN2</v>
      </c>
      <c r="E132" s="48"/>
      <c r="F132" s="49"/>
      <c r="G132" s="50"/>
      <c r="H132" s="48"/>
      <c r="I132" s="49"/>
      <c r="J132" s="50"/>
    </row>
    <row r="133" spans="1:10" ht="15" customHeight="1" x14ac:dyDescent="0.25">
      <c r="A133" s="45"/>
      <c r="B133" s="46">
        <v>3</v>
      </c>
      <c r="C133" s="21" t="s">
        <v>265</v>
      </c>
      <c r="D133" s="47" t="str">
        <f t="shared" si="19"/>
        <v>BSCACN,BSCAFT,BSCAEE3</v>
      </c>
      <c r="E133" s="48"/>
      <c r="F133" s="49"/>
      <c r="G133" s="50"/>
      <c r="H133" s="48"/>
      <c r="I133" s="49"/>
      <c r="J133" s="50"/>
    </row>
    <row r="134" spans="1:10" x14ac:dyDescent="0.25">
      <c r="A134" s="38" t="s">
        <v>266</v>
      </c>
      <c r="B134" s="39"/>
      <c r="C134" s="40"/>
      <c r="D134" s="41"/>
      <c r="E134" s="42"/>
      <c r="F134" s="42"/>
      <c r="G134" s="51"/>
      <c r="H134" s="42"/>
      <c r="I134" s="42"/>
      <c r="J134" s="51"/>
    </row>
    <row r="135" spans="1:10" ht="15" customHeight="1" x14ac:dyDescent="0.25">
      <c r="A135" s="45" t="s">
        <v>266</v>
      </c>
      <c r="B135" s="46">
        <v>1</v>
      </c>
      <c r="C135" s="21" t="s">
        <v>154</v>
      </c>
      <c r="D135" s="47" t="str">
        <f>C135&amp;B135</f>
        <v>IENCN1</v>
      </c>
      <c r="E135" s="48"/>
      <c r="F135" s="49"/>
      <c r="G135" s="50"/>
      <c r="H135" s="48"/>
      <c r="I135" s="49"/>
      <c r="J135" s="50"/>
    </row>
    <row r="136" spans="1:10" ht="15" customHeight="1" x14ac:dyDescent="0.25">
      <c r="A136" s="136" t="s">
        <v>267</v>
      </c>
      <c r="B136" s="137"/>
      <c r="C136" s="52"/>
      <c r="D136" s="53"/>
      <c r="E136" s="54"/>
      <c r="F136" s="54"/>
      <c r="G136" s="55"/>
      <c r="H136" s="54"/>
      <c r="I136" s="54"/>
      <c r="J136" s="55"/>
    </row>
    <row r="137" spans="1:10" ht="15" customHeight="1" x14ac:dyDescent="0.25">
      <c r="A137" s="142" t="s">
        <v>268</v>
      </c>
      <c r="B137" s="143"/>
      <c r="C137" s="56"/>
      <c r="D137" s="57"/>
      <c r="E137" s="58"/>
      <c r="F137" s="58"/>
      <c r="G137" s="59"/>
      <c r="H137" s="58"/>
      <c r="I137" s="58"/>
      <c r="J137" s="59"/>
    </row>
    <row r="138" spans="1:10" x14ac:dyDescent="0.25">
      <c r="A138" s="38" t="s">
        <v>269</v>
      </c>
      <c r="B138" s="39"/>
      <c r="C138" s="40"/>
      <c r="D138" s="41"/>
      <c r="E138" s="42"/>
      <c r="F138" s="42"/>
      <c r="G138" s="51"/>
      <c r="H138" s="42"/>
      <c r="I138" s="42"/>
      <c r="J138" s="51"/>
    </row>
    <row r="139" spans="1:10" ht="15" customHeight="1" x14ac:dyDescent="0.25">
      <c r="A139" s="45" t="s">
        <v>270</v>
      </c>
      <c r="B139" s="46">
        <v>1</v>
      </c>
      <c r="C139" s="21" t="s">
        <v>271</v>
      </c>
      <c r="D139" s="47" t="str">
        <f t="shared" ref="D139:D161" si="20">C139&amp;B139</f>
        <v>ACARP1</v>
      </c>
      <c r="E139" s="48"/>
      <c r="F139" s="49"/>
      <c r="G139" s="50"/>
      <c r="H139" s="48"/>
      <c r="I139" s="49"/>
      <c r="J139" s="50"/>
    </row>
    <row r="140" spans="1:10" ht="15" customHeight="1" x14ac:dyDescent="0.25">
      <c r="A140" s="45"/>
      <c r="B140" s="46">
        <v>2</v>
      </c>
      <c r="C140" s="21" t="s">
        <v>271</v>
      </c>
      <c r="D140" s="47" t="str">
        <f t="shared" si="20"/>
        <v>ACARP2</v>
      </c>
      <c r="E140" s="48"/>
      <c r="F140" s="49"/>
      <c r="G140" s="50"/>
      <c r="H140" s="48"/>
      <c r="I140" s="49"/>
      <c r="J140" s="50"/>
    </row>
    <row r="141" spans="1:10" ht="15" customHeight="1" x14ac:dyDescent="0.25">
      <c r="A141" s="45"/>
      <c r="B141" s="46">
        <v>3</v>
      </c>
      <c r="C141" s="21" t="s">
        <v>271</v>
      </c>
      <c r="D141" s="47" t="str">
        <f t="shared" si="20"/>
        <v>ACARP3</v>
      </c>
      <c r="E141" s="48"/>
      <c r="F141" s="49"/>
      <c r="G141" s="50"/>
      <c r="H141" s="48"/>
      <c r="I141" s="49"/>
      <c r="J141" s="50"/>
    </row>
    <row r="142" spans="1:10" ht="15" customHeight="1" x14ac:dyDescent="0.25">
      <c r="A142" s="45"/>
      <c r="B142" s="46">
        <v>4</v>
      </c>
      <c r="C142" s="21" t="s">
        <v>271</v>
      </c>
      <c r="D142" s="47" t="str">
        <f t="shared" si="20"/>
        <v>ACARP4</v>
      </c>
      <c r="E142" s="48"/>
      <c r="F142" s="49"/>
      <c r="G142" s="50"/>
      <c r="H142" s="48"/>
      <c r="I142" s="49"/>
      <c r="J142" s="50"/>
    </row>
    <row r="143" spans="1:10" ht="15" customHeight="1" x14ac:dyDescent="0.25">
      <c r="A143" s="45" t="s">
        <v>272</v>
      </c>
      <c r="B143" s="46">
        <v>1</v>
      </c>
      <c r="C143" s="21" t="s">
        <v>169</v>
      </c>
      <c r="D143" s="47" t="str">
        <f t="shared" si="20"/>
        <v>AELEC1</v>
      </c>
      <c r="E143" s="48"/>
      <c r="F143" s="49"/>
      <c r="G143" s="50"/>
      <c r="H143" s="48"/>
      <c r="I143" s="49"/>
      <c r="J143" s="50"/>
    </row>
    <row r="144" spans="1:10" ht="15" customHeight="1" x14ac:dyDescent="0.25">
      <c r="A144" s="45"/>
      <c r="B144" s="46">
        <v>2</v>
      </c>
      <c r="C144" s="21" t="s">
        <v>169</v>
      </c>
      <c r="D144" s="47" t="str">
        <f t="shared" si="20"/>
        <v>AELEC2</v>
      </c>
      <c r="E144" s="48"/>
      <c r="F144" s="49"/>
      <c r="G144" s="50"/>
      <c r="H144" s="48"/>
      <c r="I144" s="49"/>
      <c r="J144" s="50"/>
    </row>
    <row r="145" spans="1:10" ht="15" customHeight="1" x14ac:dyDescent="0.25">
      <c r="A145" s="45"/>
      <c r="B145" s="46">
        <v>3</v>
      </c>
      <c r="C145" s="21" t="s">
        <v>169</v>
      </c>
      <c r="D145" s="47" t="str">
        <f t="shared" si="20"/>
        <v>AELEC3</v>
      </c>
      <c r="E145" s="48"/>
      <c r="F145" s="49"/>
      <c r="G145" s="50"/>
      <c r="H145" s="48"/>
      <c r="I145" s="49"/>
      <c r="J145" s="50"/>
    </row>
    <row r="146" spans="1:10" ht="15" customHeight="1" x14ac:dyDescent="0.25">
      <c r="A146" s="45"/>
      <c r="B146" s="46">
        <v>4</v>
      </c>
      <c r="C146" s="21" t="s">
        <v>169</v>
      </c>
      <c r="D146" s="47" t="str">
        <f t="shared" si="20"/>
        <v>AELEC4</v>
      </c>
      <c r="E146" s="48"/>
      <c r="F146" s="49"/>
      <c r="G146" s="50"/>
      <c r="H146" s="48"/>
      <c r="I146" s="49"/>
      <c r="J146" s="50"/>
    </row>
    <row r="147" spans="1:10" ht="15" customHeight="1" x14ac:dyDescent="0.25">
      <c r="A147" s="45" t="s">
        <v>273</v>
      </c>
      <c r="B147" s="46">
        <v>1</v>
      </c>
      <c r="C147" s="21" t="s">
        <v>170</v>
      </c>
      <c r="D147" s="47" t="str">
        <f t="shared" si="20"/>
        <v>AHD1</v>
      </c>
      <c r="E147" s="48"/>
      <c r="F147" s="49"/>
      <c r="G147" s="50"/>
      <c r="H147" s="48"/>
      <c r="I147" s="49"/>
      <c r="J147" s="50"/>
    </row>
    <row r="148" spans="1:10" ht="15" customHeight="1" x14ac:dyDescent="0.25">
      <c r="A148" s="45"/>
      <c r="B148" s="46">
        <v>2</v>
      </c>
      <c r="C148" s="21" t="s">
        <v>170</v>
      </c>
      <c r="D148" s="47" t="str">
        <f t="shared" si="20"/>
        <v>AHD2</v>
      </c>
      <c r="E148" s="48"/>
      <c r="F148" s="49"/>
      <c r="G148" s="50"/>
      <c r="H148" s="48"/>
      <c r="I148" s="49"/>
      <c r="J148" s="50"/>
    </row>
    <row r="149" spans="1:10" ht="15" customHeight="1" x14ac:dyDescent="0.25">
      <c r="A149" s="45"/>
      <c r="B149" s="46">
        <v>3</v>
      </c>
      <c r="C149" s="21" t="s">
        <v>170</v>
      </c>
      <c r="D149" s="47" t="str">
        <f t="shared" si="20"/>
        <v>AHD3</v>
      </c>
      <c r="E149" s="48"/>
      <c r="F149" s="49"/>
      <c r="G149" s="50"/>
      <c r="H149" s="48"/>
      <c r="I149" s="49"/>
      <c r="J149" s="50"/>
    </row>
    <row r="150" spans="1:10" ht="15" customHeight="1" x14ac:dyDescent="0.25">
      <c r="A150" s="45"/>
      <c r="B150" s="46">
        <v>4</v>
      </c>
      <c r="C150" s="21" t="s">
        <v>170</v>
      </c>
      <c r="D150" s="47" t="str">
        <f t="shared" si="20"/>
        <v>AHD4</v>
      </c>
      <c r="E150" s="48"/>
      <c r="F150" s="49"/>
      <c r="G150" s="50"/>
      <c r="H150" s="48"/>
      <c r="I150" s="49"/>
      <c r="J150" s="50"/>
    </row>
    <row r="151" spans="1:10" ht="15" customHeight="1" x14ac:dyDescent="0.25">
      <c r="A151" s="45" t="s">
        <v>274</v>
      </c>
      <c r="B151" s="46">
        <v>1</v>
      </c>
      <c r="C151" s="21" t="s">
        <v>171</v>
      </c>
      <c r="D151" s="47" t="str">
        <f t="shared" si="20"/>
        <v>AMILL1</v>
      </c>
      <c r="E151" s="48"/>
      <c r="F151" s="49"/>
      <c r="G151" s="50"/>
      <c r="H151" s="48"/>
      <c r="I151" s="49"/>
      <c r="J151" s="50"/>
    </row>
    <row r="152" spans="1:10" ht="15" customHeight="1" x14ac:dyDescent="0.25">
      <c r="A152" s="45"/>
      <c r="B152" s="46">
        <v>2</v>
      </c>
      <c r="C152" s="21" t="s">
        <v>171</v>
      </c>
      <c r="D152" s="47" t="str">
        <f t="shared" si="20"/>
        <v>AMILL2</v>
      </c>
      <c r="E152" s="48"/>
      <c r="F152" s="49"/>
      <c r="G152" s="50"/>
      <c r="H152" s="48"/>
      <c r="I152" s="49"/>
      <c r="J152" s="50"/>
    </row>
    <row r="153" spans="1:10" ht="15" customHeight="1" x14ac:dyDescent="0.25">
      <c r="A153" s="45"/>
      <c r="B153" s="46">
        <v>3</v>
      </c>
      <c r="C153" s="21" t="s">
        <v>171</v>
      </c>
      <c r="D153" s="47" t="str">
        <f t="shared" si="20"/>
        <v>AMILL3</v>
      </c>
      <c r="E153" s="48"/>
      <c r="F153" s="49"/>
      <c r="G153" s="50"/>
      <c r="H153" s="48"/>
      <c r="I153" s="49"/>
      <c r="J153" s="50"/>
    </row>
    <row r="154" spans="1:10" ht="15" customHeight="1" x14ac:dyDescent="0.25">
      <c r="A154" s="45"/>
      <c r="B154" s="46">
        <v>4</v>
      </c>
      <c r="C154" s="21" t="s">
        <v>171</v>
      </c>
      <c r="D154" s="47" t="str">
        <f t="shared" si="20"/>
        <v>AMILL4</v>
      </c>
      <c r="E154" s="48"/>
      <c r="F154" s="49"/>
      <c r="G154" s="50"/>
      <c r="H154" s="48"/>
      <c r="I154" s="49"/>
      <c r="J154" s="50"/>
    </row>
    <row r="155" spans="1:10" ht="15" customHeight="1" x14ac:dyDescent="0.25">
      <c r="A155" s="45" t="s">
        <v>275</v>
      </c>
      <c r="B155" s="46">
        <v>1</v>
      </c>
      <c r="C155" s="21" t="s">
        <v>172</v>
      </c>
      <c r="D155" s="47" t="str">
        <f t="shared" si="20"/>
        <v>ASTEAM1</v>
      </c>
      <c r="E155" s="48"/>
      <c r="F155" s="49"/>
      <c r="G155" s="50"/>
      <c r="H155" s="48"/>
      <c r="I155" s="49"/>
      <c r="J155" s="50"/>
    </row>
    <row r="156" spans="1:10" ht="15" customHeight="1" x14ac:dyDescent="0.25">
      <c r="A156" s="45"/>
      <c r="B156" s="46">
        <v>2</v>
      </c>
      <c r="C156" s="21" t="s">
        <v>172</v>
      </c>
      <c r="D156" s="47" t="str">
        <f t="shared" si="20"/>
        <v>ASTEAM2</v>
      </c>
      <c r="E156" s="48"/>
      <c r="F156" s="49"/>
      <c r="G156" s="50"/>
      <c r="H156" s="48"/>
      <c r="I156" s="49"/>
      <c r="J156" s="50"/>
    </row>
    <row r="157" spans="1:10" ht="15" customHeight="1" x14ac:dyDescent="0.25">
      <c r="A157" s="45"/>
      <c r="B157" s="46">
        <v>3</v>
      </c>
      <c r="C157" s="21" t="s">
        <v>172</v>
      </c>
      <c r="D157" s="47" t="str">
        <f t="shared" si="20"/>
        <v>ASTEAM3</v>
      </c>
      <c r="E157" s="48"/>
      <c r="F157" s="49"/>
      <c r="G157" s="50"/>
      <c r="H157" s="48"/>
      <c r="I157" s="49"/>
      <c r="J157" s="50"/>
    </row>
    <row r="158" spans="1:10" ht="15" customHeight="1" x14ac:dyDescent="0.25">
      <c r="A158" s="45"/>
      <c r="B158" s="46">
        <v>4</v>
      </c>
      <c r="C158" s="21" t="s">
        <v>172</v>
      </c>
      <c r="D158" s="47" t="str">
        <f t="shared" si="20"/>
        <v>ASTEAM4</v>
      </c>
      <c r="E158" s="48"/>
      <c r="F158" s="49"/>
      <c r="G158" s="50"/>
      <c r="H158" s="48"/>
      <c r="I158" s="49"/>
      <c r="J158" s="50"/>
    </row>
    <row r="159" spans="1:10" ht="15" customHeight="1" x14ac:dyDescent="0.25">
      <c r="A159" s="45" t="s">
        <v>276</v>
      </c>
      <c r="B159" s="46">
        <v>1</v>
      </c>
      <c r="C159" s="21" t="s">
        <v>173</v>
      </c>
      <c r="D159" s="47" t="str">
        <f t="shared" si="20"/>
        <v>AWELD1</v>
      </c>
      <c r="E159" s="48"/>
      <c r="F159" s="49"/>
      <c r="G159" s="50"/>
      <c r="H159" s="48"/>
      <c r="I159" s="49"/>
      <c r="J159" s="50"/>
    </row>
    <row r="160" spans="1:10" ht="15" customHeight="1" x14ac:dyDescent="0.25">
      <c r="A160" s="45"/>
      <c r="B160" s="46">
        <v>2</v>
      </c>
      <c r="C160" s="21" t="s">
        <v>173</v>
      </c>
      <c r="D160" s="47" t="str">
        <f t="shared" si="20"/>
        <v>AWELD2</v>
      </c>
      <c r="E160" s="48"/>
      <c r="F160" s="49"/>
      <c r="G160" s="50"/>
      <c r="H160" s="48"/>
      <c r="I160" s="49"/>
      <c r="J160" s="50"/>
    </row>
    <row r="161" spans="1:10" ht="15" customHeight="1" x14ac:dyDescent="0.25">
      <c r="A161" s="45"/>
      <c r="B161" s="46">
        <v>3</v>
      </c>
      <c r="C161" s="21" t="s">
        <v>173</v>
      </c>
      <c r="D161" s="47" t="str">
        <f t="shared" si="20"/>
        <v>AWELD3</v>
      </c>
      <c r="E161" s="48"/>
      <c r="F161" s="49"/>
      <c r="G161" s="50"/>
      <c r="H161" s="48"/>
      <c r="I161" s="49"/>
      <c r="J161" s="50"/>
    </row>
    <row r="162" spans="1:10" ht="15" customHeight="1" x14ac:dyDescent="0.25">
      <c r="A162" s="136" t="s">
        <v>277</v>
      </c>
      <c r="B162" s="137"/>
      <c r="C162" s="52"/>
      <c r="D162" s="53"/>
      <c r="E162" s="54"/>
      <c r="F162" s="54"/>
      <c r="G162" s="55"/>
      <c r="H162" s="54"/>
      <c r="I162" s="54"/>
      <c r="J162" s="55"/>
    </row>
    <row r="163" spans="1:10" x14ac:dyDescent="0.25">
      <c r="A163" s="38" t="s">
        <v>278</v>
      </c>
      <c r="B163" s="39"/>
      <c r="C163" s="40"/>
      <c r="D163" s="41"/>
      <c r="E163" s="42"/>
      <c r="F163" s="42"/>
      <c r="G163" s="51"/>
      <c r="H163" s="42"/>
      <c r="I163" s="42"/>
      <c r="J163" s="51"/>
    </row>
    <row r="164" spans="1:10" ht="15" customHeight="1" x14ac:dyDescent="0.25">
      <c r="A164" s="45" t="s">
        <v>279</v>
      </c>
      <c r="B164" s="46">
        <v>1</v>
      </c>
      <c r="C164" s="21" t="s">
        <v>280</v>
      </c>
      <c r="D164" s="47" t="str">
        <f t="shared" ref="D164:D168" si="21">C164&amp;B164</f>
        <v>PACARP1</v>
      </c>
      <c r="E164" s="48"/>
      <c r="F164" s="49"/>
      <c r="G164" s="50"/>
      <c r="H164" s="48"/>
      <c r="I164" s="49"/>
      <c r="J164" s="50"/>
    </row>
    <row r="165" spans="1:10" ht="15" customHeight="1" x14ac:dyDescent="0.25">
      <c r="A165" s="45" t="s">
        <v>281</v>
      </c>
      <c r="B165" s="46">
        <v>1</v>
      </c>
      <c r="C165" s="21" t="s">
        <v>282</v>
      </c>
      <c r="D165" s="47" t="str">
        <f t="shared" si="21"/>
        <v>PAELEC1</v>
      </c>
      <c r="E165" s="48"/>
      <c r="F165" s="49"/>
      <c r="G165" s="50"/>
      <c r="H165" s="48"/>
      <c r="I165" s="49"/>
      <c r="J165" s="50"/>
    </row>
    <row r="166" spans="1:10" ht="15" customHeight="1" x14ac:dyDescent="0.25">
      <c r="A166" s="45" t="s">
        <v>283</v>
      </c>
      <c r="B166" s="46">
        <v>1</v>
      </c>
      <c r="C166" s="21" t="s">
        <v>284</v>
      </c>
      <c r="D166" s="47" t="str">
        <f t="shared" si="21"/>
        <v>PAWELD1</v>
      </c>
      <c r="E166" s="48"/>
      <c r="F166" s="49"/>
      <c r="G166" s="50"/>
      <c r="H166" s="48"/>
      <c r="I166" s="49"/>
      <c r="J166" s="50"/>
    </row>
    <row r="167" spans="1:10" ht="15" customHeight="1" x14ac:dyDescent="0.25">
      <c r="A167" s="45" t="s">
        <v>285</v>
      </c>
      <c r="B167" s="46">
        <v>1</v>
      </c>
      <c r="C167" s="21" t="s">
        <v>286</v>
      </c>
      <c r="D167" s="47" t="str">
        <f t="shared" si="21"/>
        <v>PAHET1</v>
      </c>
      <c r="E167" s="48"/>
      <c r="F167" s="49"/>
      <c r="G167" s="50"/>
      <c r="H167" s="48"/>
      <c r="I167" s="49"/>
      <c r="J167" s="50"/>
    </row>
    <row r="168" spans="1:10" ht="15" customHeight="1" x14ac:dyDescent="0.25">
      <c r="A168" s="45" t="s">
        <v>287</v>
      </c>
      <c r="B168" s="46">
        <v>1</v>
      </c>
      <c r="C168" s="21" t="s">
        <v>288</v>
      </c>
      <c r="D168" s="47" t="str">
        <f t="shared" si="21"/>
        <v>PAPLUM1</v>
      </c>
      <c r="E168" s="48"/>
      <c r="F168" s="49"/>
      <c r="G168" s="50"/>
      <c r="H168" s="48"/>
      <c r="I168" s="49"/>
      <c r="J168" s="50"/>
    </row>
    <row r="169" spans="1:10" ht="15" customHeight="1" x14ac:dyDescent="0.25">
      <c r="A169" s="136" t="s">
        <v>289</v>
      </c>
      <c r="B169" s="137"/>
      <c r="C169" s="52"/>
      <c r="D169" s="53"/>
      <c r="E169" s="54"/>
      <c r="F169" s="54"/>
      <c r="G169" s="55"/>
      <c r="H169" s="54"/>
      <c r="I169" s="54"/>
      <c r="J169" s="55"/>
    </row>
    <row r="170" spans="1:10" x14ac:dyDescent="0.25">
      <c r="A170" s="38" t="s">
        <v>290</v>
      </c>
      <c r="B170" s="39"/>
      <c r="C170" s="40"/>
      <c r="D170" s="41"/>
      <c r="E170" s="42"/>
      <c r="F170" s="42"/>
      <c r="G170" s="51"/>
      <c r="H170" s="42"/>
      <c r="I170" s="42"/>
      <c r="J170" s="51"/>
    </row>
    <row r="171" spans="1:10" x14ac:dyDescent="0.25">
      <c r="A171" s="45" t="s">
        <v>291</v>
      </c>
      <c r="B171" s="46">
        <v>1</v>
      </c>
      <c r="C171" s="21" t="s">
        <v>175</v>
      </c>
      <c r="D171" s="47" t="str">
        <f t="shared" ref="D171:D180" si="22">C171&amp;B171</f>
        <v>POWCM41</v>
      </c>
      <c r="E171" s="48"/>
      <c r="F171" s="49"/>
      <c r="G171" s="50"/>
      <c r="H171" s="48"/>
      <c r="I171" s="49"/>
      <c r="J171" s="50"/>
    </row>
    <row r="172" spans="1:10" x14ac:dyDescent="0.25">
      <c r="A172" s="45" t="s">
        <v>292</v>
      </c>
      <c r="B172" s="46">
        <v>1</v>
      </c>
      <c r="C172" s="21" t="s">
        <v>174</v>
      </c>
      <c r="D172" s="47" t="str">
        <f t="shared" si="22"/>
        <v>POWCM31</v>
      </c>
      <c r="E172" s="48"/>
      <c r="F172" s="49"/>
      <c r="G172" s="50"/>
      <c r="H172" s="48"/>
      <c r="I172" s="49"/>
      <c r="J172" s="50"/>
    </row>
    <row r="173" spans="1:10" x14ac:dyDescent="0.25">
      <c r="A173" s="45" t="s">
        <v>293</v>
      </c>
      <c r="B173" s="46">
        <v>1</v>
      </c>
      <c r="C173" s="21" t="s">
        <v>177</v>
      </c>
      <c r="D173" s="47" t="str">
        <f t="shared" si="22"/>
        <v>POWCP41</v>
      </c>
      <c r="E173" s="48"/>
      <c r="F173" s="49"/>
      <c r="G173" s="50"/>
      <c r="H173" s="48"/>
      <c r="I173" s="49"/>
      <c r="J173" s="50"/>
    </row>
    <row r="174" spans="1:10" x14ac:dyDescent="0.25">
      <c r="A174" s="45" t="s">
        <v>294</v>
      </c>
      <c r="B174" s="46">
        <v>1</v>
      </c>
      <c r="C174" s="21" t="s">
        <v>177</v>
      </c>
      <c r="D174" s="47" t="str">
        <f t="shared" si="22"/>
        <v>POWCP41</v>
      </c>
      <c r="E174" s="48"/>
      <c r="F174" s="49"/>
      <c r="G174" s="50"/>
      <c r="H174" s="48"/>
      <c r="I174" s="49"/>
      <c r="J174" s="50"/>
    </row>
    <row r="175" spans="1:10" x14ac:dyDescent="0.25">
      <c r="A175" s="45" t="s">
        <v>295</v>
      </c>
      <c r="B175" s="46">
        <v>1</v>
      </c>
      <c r="C175" s="21" t="s">
        <v>296</v>
      </c>
      <c r="D175" s="47" t="str">
        <f t="shared" si="22"/>
        <v>POWCO41</v>
      </c>
      <c r="E175" s="48"/>
      <c r="F175" s="49"/>
      <c r="G175" s="50"/>
      <c r="H175" s="48"/>
      <c r="I175" s="49"/>
      <c r="J175" s="50"/>
    </row>
    <row r="176" spans="1:10" x14ac:dyDescent="0.25">
      <c r="A176" s="45" t="s">
        <v>297</v>
      </c>
      <c r="B176" s="46">
        <v>1</v>
      </c>
      <c r="C176" s="21" t="s">
        <v>296</v>
      </c>
      <c r="D176" s="47" t="str">
        <f t="shared" si="22"/>
        <v>POWCO41</v>
      </c>
      <c r="E176" s="48"/>
      <c r="F176" s="49"/>
      <c r="G176" s="50"/>
      <c r="H176" s="48"/>
      <c r="I176" s="49"/>
      <c r="J176" s="50"/>
    </row>
    <row r="177" spans="1:10" x14ac:dyDescent="0.25">
      <c r="A177" s="45" t="s">
        <v>298</v>
      </c>
      <c r="B177" s="46">
        <v>1</v>
      </c>
      <c r="C177" s="21" t="s">
        <v>176</v>
      </c>
      <c r="D177" s="47" t="str">
        <f t="shared" si="22"/>
        <v>POWCO31</v>
      </c>
      <c r="E177" s="48"/>
      <c r="F177" s="49"/>
      <c r="G177" s="50"/>
      <c r="H177" s="48"/>
      <c r="I177" s="49"/>
      <c r="J177" s="50"/>
    </row>
    <row r="178" spans="1:10" x14ac:dyDescent="0.25">
      <c r="A178" s="45" t="s">
        <v>299</v>
      </c>
      <c r="B178" s="46">
        <v>1</v>
      </c>
      <c r="C178" s="21" t="s">
        <v>176</v>
      </c>
      <c r="D178" s="47" t="str">
        <f t="shared" si="22"/>
        <v>POWCO31</v>
      </c>
      <c r="E178" s="48"/>
      <c r="F178" s="49"/>
      <c r="G178" s="50"/>
      <c r="H178" s="48"/>
      <c r="I178" s="49"/>
      <c r="J178" s="50"/>
    </row>
    <row r="179" spans="1:10" x14ac:dyDescent="0.25">
      <c r="A179" s="45" t="s">
        <v>300</v>
      </c>
      <c r="B179" s="46">
        <v>1</v>
      </c>
      <c r="C179" s="21" t="s">
        <v>301</v>
      </c>
      <c r="D179" s="47" t="str">
        <f t="shared" si="22"/>
        <v>PPET1</v>
      </c>
      <c r="E179" s="48"/>
      <c r="F179" s="49"/>
      <c r="G179" s="50"/>
      <c r="H179" s="48"/>
      <c r="I179" s="49"/>
      <c r="J179" s="50"/>
    </row>
    <row r="180" spans="1:10" x14ac:dyDescent="0.25">
      <c r="A180" s="45"/>
      <c r="B180" s="46">
        <v>2</v>
      </c>
      <c r="C180" s="21" t="s">
        <v>301</v>
      </c>
      <c r="D180" s="47" t="str">
        <f t="shared" si="22"/>
        <v>PPET2</v>
      </c>
      <c r="E180" s="48"/>
      <c r="F180" s="49"/>
      <c r="G180" s="50"/>
      <c r="H180" s="48"/>
      <c r="I180" s="49"/>
      <c r="J180" s="50"/>
    </row>
    <row r="181" spans="1:10" x14ac:dyDescent="0.25">
      <c r="A181" s="136" t="s">
        <v>302</v>
      </c>
      <c r="B181" s="137"/>
      <c r="C181" s="52"/>
      <c r="D181" s="53"/>
      <c r="E181" s="54"/>
      <c r="F181" s="54"/>
      <c r="G181" s="55"/>
      <c r="H181" s="54"/>
      <c r="I181" s="54"/>
      <c r="J181" s="55"/>
    </row>
    <row r="182" spans="1:10" x14ac:dyDescent="0.25">
      <c r="A182" s="38" t="s">
        <v>303</v>
      </c>
      <c r="B182" s="39"/>
      <c r="C182" s="40"/>
      <c r="D182" s="41"/>
      <c r="E182" s="42"/>
      <c r="F182" s="42"/>
      <c r="G182" s="51"/>
      <c r="H182" s="42"/>
      <c r="I182" s="42"/>
      <c r="J182" s="51"/>
    </row>
    <row r="183" spans="1:10" ht="15" customHeight="1" x14ac:dyDescent="0.25">
      <c r="A183" s="45" t="s">
        <v>304</v>
      </c>
      <c r="B183" s="46">
        <v>1</v>
      </c>
      <c r="C183" s="21"/>
      <c r="D183" s="47" t="str">
        <f>C183&amp;B183</f>
        <v>1</v>
      </c>
      <c r="E183" s="48"/>
      <c r="F183" s="49"/>
      <c r="G183" s="50"/>
      <c r="H183" s="48"/>
      <c r="I183" s="49"/>
      <c r="J183" s="50"/>
    </row>
    <row r="184" spans="1:10" ht="15" customHeight="1" x14ac:dyDescent="0.25">
      <c r="A184" s="45"/>
      <c r="B184" s="46">
        <v>2</v>
      </c>
      <c r="C184" s="21"/>
      <c r="D184" s="47" t="str">
        <f>C184&amp;B184</f>
        <v>2</v>
      </c>
      <c r="E184" s="48"/>
      <c r="F184" s="49"/>
      <c r="G184" s="50"/>
      <c r="H184" s="48"/>
      <c r="I184" s="49"/>
      <c r="J184" s="50"/>
    </row>
    <row r="185" spans="1:10" x14ac:dyDescent="0.25">
      <c r="A185" s="136" t="s">
        <v>305</v>
      </c>
      <c r="B185" s="137"/>
      <c r="C185" s="52"/>
      <c r="D185" s="53"/>
      <c r="E185" s="54"/>
      <c r="F185" s="54"/>
      <c r="G185" s="55"/>
      <c r="H185" s="54"/>
      <c r="I185" s="54"/>
      <c r="J185" s="55"/>
    </row>
    <row r="186" spans="1:10" x14ac:dyDescent="0.25">
      <c r="A186" s="38" t="s">
        <v>306</v>
      </c>
      <c r="B186" s="39"/>
      <c r="C186" s="40"/>
      <c r="D186" s="41"/>
      <c r="E186" s="42"/>
      <c r="F186" s="42"/>
      <c r="G186" s="51"/>
      <c r="H186" s="42"/>
      <c r="I186" s="42"/>
      <c r="J186" s="51"/>
    </row>
    <row r="187" spans="1:10" x14ac:dyDescent="0.25">
      <c r="A187" s="45" t="s">
        <v>307</v>
      </c>
      <c r="B187" s="46">
        <v>1</v>
      </c>
      <c r="C187" s="21" t="s">
        <v>308</v>
      </c>
      <c r="D187" s="47" t="str">
        <f>C187&amp;B187</f>
        <v>DUALEL1</v>
      </c>
      <c r="E187" s="48"/>
      <c r="F187" s="60"/>
      <c r="G187" s="50"/>
      <c r="H187" s="48"/>
      <c r="I187" s="60"/>
      <c r="J187" s="50"/>
    </row>
    <row r="188" spans="1:10" x14ac:dyDescent="0.25">
      <c r="A188" s="45" t="s">
        <v>309</v>
      </c>
      <c r="B188" s="46">
        <v>1</v>
      </c>
      <c r="C188" s="21" t="s">
        <v>310</v>
      </c>
      <c r="D188" s="47" t="str">
        <f>C188&amp;B188</f>
        <v>DUALHE1</v>
      </c>
      <c r="E188" s="48"/>
      <c r="F188" s="60"/>
      <c r="G188" s="50"/>
      <c r="H188" s="48"/>
      <c r="I188" s="60"/>
      <c r="J188" s="50"/>
    </row>
    <row r="189" spans="1:10" x14ac:dyDescent="0.25">
      <c r="A189" s="45" t="s">
        <v>311</v>
      </c>
      <c r="B189" s="46">
        <v>1</v>
      </c>
      <c r="C189" s="21" t="s">
        <v>312</v>
      </c>
      <c r="D189" s="47" t="str">
        <f>C189&amp;B189</f>
        <v>DUALWE1</v>
      </c>
      <c r="E189" s="48"/>
      <c r="F189" s="60"/>
      <c r="G189" s="50"/>
      <c r="H189" s="48"/>
      <c r="I189" s="60"/>
      <c r="J189" s="50"/>
    </row>
    <row r="190" spans="1:10" x14ac:dyDescent="0.25">
      <c r="A190" s="136" t="s">
        <v>313</v>
      </c>
      <c r="B190" s="137"/>
      <c r="C190" s="52"/>
      <c r="D190" s="53"/>
      <c r="E190" s="54"/>
      <c r="F190" s="54"/>
      <c r="G190" s="55"/>
      <c r="H190" s="54"/>
      <c r="I190" s="54"/>
      <c r="J190" s="55"/>
    </row>
    <row r="191" spans="1:10" ht="15" customHeight="1" x14ac:dyDescent="0.25">
      <c r="A191" s="142" t="s">
        <v>314</v>
      </c>
      <c r="B191" s="143"/>
      <c r="C191" s="56"/>
      <c r="D191" s="57"/>
      <c r="E191" s="58"/>
      <c r="F191" s="58"/>
      <c r="G191" s="59"/>
      <c r="H191" s="58"/>
      <c r="I191" s="58"/>
      <c r="J191" s="59"/>
    </row>
    <row r="192" spans="1:10" x14ac:dyDescent="0.25">
      <c r="A192" s="144" t="s">
        <v>315</v>
      </c>
      <c r="B192" s="145"/>
      <c r="C192" s="61"/>
      <c r="D192" s="62"/>
      <c r="E192" s="63"/>
      <c r="F192" s="63"/>
      <c r="G192" s="64"/>
      <c r="H192" s="63"/>
      <c r="I192" s="63"/>
      <c r="J192" s="64"/>
    </row>
    <row r="193" spans="1:4" x14ac:dyDescent="0.25">
      <c r="A193" s="65"/>
      <c r="B193" s="65"/>
      <c r="C193" s="66"/>
      <c r="D193" s="66"/>
    </row>
    <row r="194" spans="1:4" x14ac:dyDescent="0.25">
      <c r="A194" s="68"/>
      <c r="B194" s="68"/>
      <c r="C194" s="68"/>
      <c r="D194" s="68"/>
    </row>
  </sheetData>
  <mergeCells count="26">
    <mergeCell ref="A191:B191"/>
    <mergeCell ref="A192:B192"/>
    <mergeCell ref="H1:J1"/>
    <mergeCell ref="H2:H3"/>
    <mergeCell ref="I2:I3"/>
    <mergeCell ref="J2:J3"/>
    <mergeCell ref="A137:B137"/>
    <mergeCell ref="A162:B162"/>
    <mergeCell ref="A169:B169"/>
    <mergeCell ref="A181:B181"/>
    <mergeCell ref="A185:B185"/>
    <mergeCell ref="A190:B190"/>
    <mergeCell ref="A42:B42"/>
    <mergeCell ref="A50:B50"/>
    <mergeCell ref="A98:B98"/>
    <mergeCell ref="A101:B101"/>
    <mergeCell ref="A117:B117"/>
    <mergeCell ref="A136:B136"/>
    <mergeCell ref="A1:A3"/>
    <mergeCell ref="B1:B3"/>
    <mergeCell ref="C1:C3"/>
    <mergeCell ref="D1:D3"/>
    <mergeCell ref="E1:G1"/>
    <mergeCell ref="E2:E3"/>
    <mergeCell ref="F2:F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A9B6-139D-4105-8327-81AD575D8FF9}">
  <sheetPr>
    <tabColor rgb="FFFFFF00"/>
  </sheetPr>
  <dimension ref="A1:T194"/>
  <sheetViews>
    <sheetView zoomScale="80" zoomScaleNormal="80" workbookViewId="0">
      <pane ySplit="3" topLeftCell="A171" activePane="bottomLeft" state="frozen"/>
      <selection pane="bottomLeft" activeCell="E4" sqref="E4:T192"/>
    </sheetView>
  </sheetViews>
  <sheetFormatPr defaultRowHeight="15" x14ac:dyDescent="0.25"/>
  <cols>
    <col min="1" max="1" width="60.7109375" customWidth="1"/>
    <col min="2" max="2" width="10.7109375" customWidth="1"/>
    <col min="3" max="3" width="24.7109375" bestFit="1" customWidth="1"/>
    <col min="4" max="4" width="24.85546875" bestFit="1" customWidth="1"/>
    <col min="5" max="20" width="9.140625" style="21"/>
  </cols>
  <sheetData>
    <row r="1" spans="1:20" ht="16.5" customHeight="1" x14ac:dyDescent="0.25">
      <c r="A1" s="138" t="s">
        <v>185</v>
      </c>
      <c r="B1" s="128" t="s">
        <v>186</v>
      </c>
      <c r="C1" s="140" t="s">
        <v>187</v>
      </c>
      <c r="D1" s="128" t="s">
        <v>188</v>
      </c>
      <c r="E1" s="146" t="s">
        <v>189</v>
      </c>
      <c r="F1" s="146"/>
      <c r="G1" s="146"/>
      <c r="H1" s="146"/>
      <c r="I1" s="146"/>
      <c r="J1" s="146"/>
      <c r="K1" s="146"/>
      <c r="L1" s="147"/>
      <c r="M1" s="146" t="s">
        <v>440</v>
      </c>
      <c r="N1" s="146"/>
      <c r="O1" s="146"/>
      <c r="P1" s="146"/>
      <c r="Q1" s="146"/>
      <c r="R1" s="146"/>
      <c r="S1" s="146"/>
      <c r="T1" s="147"/>
    </row>
    <row r="2" spans="1:20" x14ac:dyDescent="0.25">
      <c r="A2" s="138"/>
      <c r="B2" s="128"/>
      <c r="C2" s="140"/>
      <c r="D2" s="128"/>
      <c r="E2" s="148" t="s">
        <v>316</v>
      </c>
      <c r="F2" s="149"/>
      <c r="G2" s="149" t="s">
        <v>64</v>
      </c>
      <c r="H2" s="149"/>
      <c r="I2" s="149" t="s">
        <v>317</v>
      </c>
      <c r="J2" s="149"/>
      <c r="K2" s="149" t="s">
        <v>318</v>
      </c>
      <c r="L2" s="150"/>
      <c r="M2" s="148" t="s">
        <v>316</v>
      </c>
      <c r="N2" s="149"/>
      <c r="O2" s="149" t="s">
        <v>64</v>
      </c>
      <c r="P2" s="149"/>
      <c r="Q2" s="149" t="s">
        <v>317</v>
      </c>
      <c r="R2" s="149"/>
      <c r="S2" s="149" t="s">
        <v>318</v>
      </c>
      <c r="T2" s="150"/>
    </row>
    <row r="3" spans="1:20" ht="30" x14ac:dyDescent="0.25">
      <c r="A3" s="139"/>
      <c r="B3" s="129"/>
      <c r="C3" s="141"/>
      <c r="D3" s="129"/>
      <c r="E3" s="69" t="s">
        <v>319</v>
      </c>
      <c r="F3" s="69" t="s">
        <v>320</v>
      </c>
      <c r="G3" s="70" t="s">
        <v>319</v>
      </c>
      <c r="H3" s="69" t="s">
        <v>320</v>
      </c>
      <c r="I3" s="69" t="s">
        <v>319</v>
      </c>
      <c r="J3" s="69" t="s">
        <v>320</v>
      </c>
      <c r="K3" s="69" t="s">
        <v>319</v>
      </c>
      <c r="L3" s="71" t="s">
        <v>320</v>
      </c>
      <c r="M3" s="69" t="s">
        <v>319</v>
      </c>
      <c r="N3" s="69" t="s">
        <v>320</v>
      </c>
      <c r="O3" s="70" t="s">
        <v>319</v>
      </c>
      <c r="P3" s="69" t="s">
        <v>320</v>
      </c>
      <c r="Q3" s="69" t="s">
        <v>319</v>
      </c>
      <c r="R3" s="69" t="s">
        <v>320</v>
      </c>
      <c r="S3" s="69" t="s">
        <v>319</v>
      </c>
      <c r="T3" s="71" t="s">
        <v>320</v>
      </c>
    </row>
    <row r="4" spans="1:20" x14ac:dyDescent="0.25">
      <c r="A4" s="38" t="s">
        <v>193</v>
      </c>
      <c r="B4" s="39"/>
      <c r="C4" s="40"/>
      <c r="D4" s="41"/>
      <c r="E4" s="72"/>
      <c r="F4" s="72"/>
      <c r="G4" s="72"/>
      <c r="H4" s="72"/>
      <c r="I4" s="72"/>
      <c r="J4" s="72"/>
      <c r="K4" s="72"/>
      <c r="L4" s="73"/>
      <c r="M4" s="72"/>
      <c r="N4" s="72"/>
      <c r="O4" s="72"/>
      <c r="P4" s="72"/>
      <c r="Q4" s="72"/>
      <c r="R4" s="72"/>
      <c r="S4" s="72"/>
      <c r="T4" s="73"/>
    </row>
    <row r="5" spans="1:20" x14ac:dyDescent="0.25">
      <c r="A5" s="45" t="s">
        <v>194</v>
      </c>
      <c r="B5" s="46">
        <v>1</v>
      </c>
      <c r="C5" s="21" t="s">
        <v>195</v>
      </c>
      <c r="D5" s="47" t="s">
        <v>321</v>
      </c>
      <c r="E5" s="60"/>
      <c r="F5" s="60"/>
      <c r="G5" s="60"/>
      <c r="H5" s="60"/>
      <c r="I5" s="60"/>
      <c r="J5" s="60"/>
      <c r="K5" s="60"/>
      <c r="L5" s="74"/>
      <c r="M5" s="60"/>
      <c r="N5" s="60"/>
      <c r="O5" s="60"/>
      <c r="P5" s="60"/>
      <c r="Q5" s="60"/>
      <c r="R5" s="60"/>
      <c r="S5" s="60"/>
      <c r="T5" s="74"/>
    </row>
    <row r="6" spans="1:20" x14ac:dyDescent="0.25">
      <c r="A6" s="45" t="s">
        <v>196</v>
      </c>
      <c r="B6" s="46">
        <v>1</v>
      </c>
      <c r="C6" s="21" t="s">
        <v>121</v>
      </c>
      <c r="D6" s="47" t="s">
        <v>322</v>
      </c>
      <c r="E6" s="60"/>
      <c r="F6" s="60"/>
      <c r="G6" s="60"/>
      <c r="H6" s="60"/>
      <c r="I6" s="60"/>
      <c r="J6" s="60"/>
      <c r="K6" s="60"/>
      <c r="L6" s="74"/>
      <c r="M6" s="60"/>
      <c r="N6" s="60"/>
      <c r="O6" s="60"/>
      <c r="P6" s="60"/>
      <c r="Q6" s="60"/>
      <c r="R6" s="60"/>
      <c r="S6" s="60"/>
      <c r="T6" s="74"/>
    </row>
    <row r="7" spans="1:20" x14ac:dyDescent="0.25">
      <c r="A7" s="38" t="s">
        <v>197</v>
      </c>
      <c r="B7" s="39"/>
      <c r="C7" s="40"/>
      <c r="D7" s="41"/>
      <c r="E7" s="72"/>
      <c r="F7" s="72"/>
      <c r="G7" s="72"/>
      <c r="H7" s="72"/>
      <c r="I7" s="72"/>
      <c r="J7" s="72"/>
      <c r="K7" s="72"/>
      <c r="L7" s="75"/>
      <c r="M7" s="72"/>
      <c r="N7" s="72"/>
      <c r="O7" s="72"/>
      <c r="P7" s="72"/>
      <c r="Q7" s="72"/>
      <c r="R7" s="72"/>
      <c r="S7" s="72"/>
      <c r="T7" s="75"/>
    </row>
    <row r="8" spans="1:20" ht="15" customHeight="1" x14ac:dyDescent="0.25">
      <c r="A8" s="45" t="s">
        <v>194</v>
      </c>
      <c r="B8" s="46">
        <v>1</v>
      </c>
      <c r="C8" s="21" t="s">
        <v>124</v>
      </c>
      <c r="D8" s="47" t="s">
        <v>323</v>
      </c>
      <c r="E8" s="60"/>
      <c r="F8" s="60"/>
      <c r="G8" s="60"/>
      <c r="H8" s="60"/>
      <c r="I8" s="60"/>
      <c r="J8" s="60"/>
      <c r="K8" s="60"/>
      <c r="L8" s="74"/>
      <c r="M8" s="60"/>
      <c r="N8" s="60"/>
      <c r="O8" s="60"/>
      <c r="P8" s="60"/>
      <c r="Q8" s="60"/>
      <c r="R8" s="60"/>
      <c r="S8" s="60"/>
      <c r="T8" s="74"/>
    </row>
    <row r="9" spans="1:20" ht="15" customHeight="1" x14ac:dyDescent="0.25">
      <c r="A9" s="45"/>
      <c r="B9" s="46">
        <v>2</v>
      </c>
      <c r="C9" s="21" t="s">
        <v>124</v>
      </c>
      <c r="D9" s="47" t="s">
        <v>324</v>
      </c>
      <c r="E9" s="60"/>
      <c r="F9" s="60"/>
      <c r="G9" s="60"/>
      <c r="H9" s="60"/>
      <c r="I9" s="60"/>
      <c r="J9" s="60"/>
      <c r="K9" s="60"/>
      <c r="L9" s="74"/>
      <c r="M9" s="60"/>
      <c r="N9" s="60"/>
      <c r="O9" s="60"/>
      <c r="P9" s="60"/>
      <c r="Q9" s="60"/>
      <c r="R9" s="60"/>
      <c r="S9" s="60"/>
      <c r="T9" s="74"/>
    </row>
    <row r="10" spans="1:20" ht="15" customHeight="1" x14ac:dyDescent="0.25">
      <c r="A10" s="45" t="s">
        <v>196</v>
      </c>
      <c r="B10" s="46">
        <v>1</v>
      </c>
      <c r="C10" s="21" t="s">
        <v>128</v>
      </c>
      <c r="D10" s="47" t="s">
        <v>325</v>
      </c>
      <c r="E10" s="60"/>
      <c r="F10" s="60"/>
      <c r="G10" s="60"/>
      <c r="H10" s="60"/>
      <c r="I10" s="60"/>
      <c r="J10" s="60"/>
      <c r="K10" s="60"/>
      <c r="L10" s="74"/>
      <c r="M10" s="60"/>
      <c r="N10" s="60"/>
      <c r="O10" s="60"/>
      <c r="P10" s="60"/>
      <c r="Q10" s="60"/>
      <c r="R10" s="60"/>
      <c r="S10" s="60"/>
      <c r="T10" s="74"/>
    </row>
    <row r="11" spans="1:20" ht="15" customHeight="1" x14ac:dyDescent="0.25">
      <c r="A11" s="45"/>
      <c r="B11" s="46">
        <v>2</v>
      </c>
      <c r="C11" s="21" t="s">
        <v>128</v>
      </c>
      <c r="D11" s="47" t="s">
        <v>326</v>
      </c>
      <c r="E11" s="60"/>
      <c r="F11" s="60"/>
      <c r="G11" s="60"/>
      <c r="H11" s="60"/>
      <c r="I11" s="60"/>
      <c r="J11" s="60"/>
      <c r="K11" s="60"/>
      <c r="L11" s="74"/>
      <c r="M11" s="60"/>
      <c r="N11" s="60"/>
      <c r="O11" s="60"/>
      <c r="P11" s="60"/>
      <c r="Q11" s="60"/>
      <c r="R11" s="60"/>
      <c r="S11" s="60"/>
      <c r="T11" s="74"/>
    </row>
    <row r="12" spans="1:20" ht="15" customHeight="1" x14ac:dyDescent="0.25">
      <c r="A12" s="45" t="s">
        <v>198</v>
      </c>
      <c r="B12" s="46">
        <v>1</v>
      </c>
      <c r="C12" s="21" t="s">
        <v>129</v>
      </c>
      <c r="D12" s="47" t="s">
        <v>327</v>
      </c>
      <c r="E12" s="60"/>
      <c r="F12" s="60"/>
      <c r="G12" s="60"/>
      <c r="H12" s="60"/>
      <c r="I12" s="60"/>
      <c r="J12" s="60"/>
      <c r="K12" s="60"/>
      <c r="L12" s="74"/>
      <c r="M12" s="60"/>
      <c r="N12" s="60"/>
      <c r="O12" s="60"/>
      <c r="P12" s="60"/>
      <c r="Q12" s="60"/>
      <c r="R12" s="60"/>
      <c r="S12" s="60"/>
      <c r="T12" s="74"/>
    </row>
    <row r="13" spans="1:20" ht="15" customHeight="1" x14ac:dyDescent="0.25">
      <c r="A13" s="45"/>
      <c r="B13" s="46">
        <v>2</v>
      </c>
      <c r="C13" s="21" t="s">
        <v>129</v>
      </c>
      <c r="D13" s="47" t="s">
        <v>328</v>
      </c>
      <c r="E13" s="60"/>
      <c r="F13" s="60"/>
      <c r="G13" s="60"/>
      <c r="H13" s="60"/>
      <c r="I13" s="60"/>
      <c r="J13" s="60"/>
      <c r="K13" s="60"/>
      <c r="L13" s="74"/>
      <c r="M13" s="60"/>
      <c r="N13" s="60"/>
      <c r="O13" s="60"/>
      <c r="P13" s="60"/>
      <c r="Q13" s="60"/>
      <c r="R13" s="60"/>
      <c r="S13" s="60"/>
      <c r="T13" s="74"/>
    </row>
    <row r="14" spans="1:20" ht="15" customHeight="1" x14ac:dyDescent="0.25">
      <c r="A14" s="45" t="s">
        <v>199</v>
      </c>
      <c r="B14" s="46">
        <v>1</v>
      </c>
      <c r="C14" s="21" t="s">
        <v>131</v>
      </c>
      <c r="D14" s="47" t="s">
        <v>329</v>
      </c>
      <c r="E14" s="60"/>
      <c r="F14" s="60"/>
      <c r="G14" s="60"/>
      <c r="H14" s="60"/>
      <c r="I14" s="60"/>
      <c r="J14" s="60"/>
      <c r="K14" s="60"/>
      <c r="L14" s="74"/>
      <c r="M14" s="60"/>
      <c r="N14" s="60"/>
      <c r="O14" s="60"/>
      <c r="P14" s="60"/>
      <c r="Q14" s="60"/>
      <c r="R14" s="60"/>
      <c r="S14" s="60"/>
      <c r="T14" s="74"/>
    </row>
    <row r="15" spans="1:20" ht="15" customHeight="1" x14ac:dyDescent="0.25">
      <c r="A15" s="45"/>
      <c r="B15" s="46">
        <v>2</v>
      </c>
      <c r="C15" s="21" t="s">
        <v>131</v>
      </c>
      <c r="D15" s="47" t="s">
        <v>330</v>
      </c>
      <c r="E15" s="60"/>
      <c r="F15" s="60"/>
      <c r="G15" s="60"/>
      <c r="H15" s="60"/>
      <c r="I15" s="60"/>
      <c r="J15" s="60"/>
      <c r="K15" s="60"/>
      <c r="L15" s="74"/>
      <c r="M15" s="60"/>
      <c r="N15" s="60"/>
      <c r="O15" s="60"/>
      <c r="P15" s="60"/>
      <c r="Q15" s="60"/>
      <c r="R15" s="60"/>
      <c r="S15" s="60"/>
      <c r="T15" s="74"/>
    </row>
    <row r="16" spans="1:20" ht="15" customHeight="1" x14ac:dyDescent="0.25">
      <c r="A16" s="45" t="s">
        <v>200</v>
      </c>
      <c r="B16" s="46">
        <v>1</v>
      </c>
      <c r="C16" s="21" t="s">
        <v>201</v>
      </c>
      <c r="D16" s="47" t="s">
        <v>331</v>
      </c>
      <c r="E16" s="60"/>
      <c r="F16" s="60"/>
      <c r="G16" s="60"/>
      <c r="H16" s="60"/>
      <c r="I16" s="60"/>
      <c r="J16" s="60"/>
      <c r="K16" s="60"/>
      <c r="L16" s="74"/>
      <c r="M16" s="60"/>
      <c r="N16" s="60"/>
      <c r="O16" s="60"/>
      <c r="P16" s="60"/>
      <c r="Q16" s="60"/>
      <c r="R16" s="60"/>
      <c r="S16" s="60"/>
      <c r="T16" s="74"/>
    </row>
    <row r="17" spans="1:20" ht="15" customHeight="1" x14ac:dyDescent="0.25">
      <c r="A17" s="45"/>
      <c r="B17" s="46">
        <v>2</v>
      </c>
      <c r="C17" s="21" t="s">
        <v>201</v>
      </c>
      <c r="D17" s="47" t="s">
        <v>332</v>
      </c>
      <c r="E17" s="60"/>
      <c r="F17" s="60"/>
      <c r="G17" s="60"/>
      <c r="H17" s="60"/>
      <c r="I17" s="60"/>
      <c r="J17" s="60"/>
      <c r="K17" s="60"/>
      <c r="L17" s="74"/>
      <c r="M17" s="60"/>
      <c r="N17" s="60"/>
      <c r="O17" s="60"/>
      <c r="P17" s="60"/>
      <c r="Q17" s="60"/>
      <c r="R17" s="60"/>
      <c r="S17" s="60"/>
      <c r="T17" s="74"/>
    </row>
    <row r="18" spans="1:20" ht="15" customHeight="1" x14ac:dyDescent="0.25">
      <c r="A18" s="45" t="s">
        <v>202</v>
      </c>
      <c r="B18" s="46">
        <v>1</v>
      </c>
      <c r="C18" s="21" t="s">
        <v>203</v>
      </c>
      <c r="D18" s="47" t="s">
        <v>333</v>
      </c>
      <c r="E18" s="60"/>
      <c r="F18" s="60"/>
      <c r="G18" s="60"/>
      <c r="H18" s="60"/>
      <c r="I18" s="60"/>
      <c r="J18" s="60"/>
      <c r="K18" s="60"/>
      <c r="L18" s="74"/>
      <c r="M18" s="60"/>
      <c r="N18" s="60"/>
      <c r="O18" s="60"/>
      <c r="P18" s="60"/>
      <c r="Q18" s="60"/>
      <c r="R18" s="60"/>
      <c r="S18" s="60"/>
      <c r="T18" s="74"/>
    </row>
    <row r="19" spans="1:20" ht="15" customHeight="1" x14ac:dyDescent="0.25">
      <c r="A19" s="45"/>
      <c r="B19" s="46">
        <v>2</v>
      </c>
      <c r="C19" s="21" t="s">
        <v>203</v>
      </c>
      <c r="D19" s="47" t="s">
        <v>334</v>
      </c>
      <c r="E19" s="60"/>
      <c r="F19" s="60"/>
      <c r="G19" s="60"/>
      <c r="H19" s="60"/>
      <c r="I19" s="60"/>
      <c r="J19" s="60"/>
      <c r="K19" s="60"/>
      <c r="L19" s="74"/>
      <c r="M19" s="60"/>
      <c r="N19" s="60"/>
      <c r="O19" s="60"/>
      <c r="P19" s="60"/>
      <c r="Q19" s="60"/>
      <c r="R19" s="60"/>
      <c r="S19" s="60"/>
      <c r="T19" s="74"/>
    </row>
    <row r="20" spans="1:20" x14ac:dyDescent="0.25">
      <c r="A20" s="38" t="s">
        <v>204</v>
      </c>
      <c r="B20" s="39"/>
      <c r="C20" s="40"/>
      <c r="D20" s="41"/>
      <c r="E20" s="72"/>
      <c r="F20" s="72"/>
      <c r="G20" s="72"/>
      <c r="H20" s="72"/>
      <c r="I20" s="72"/>
      <c r="J20" s="72"/>
      <c r="K20" s="72"/>
      <c r="L20" s="75"/>
      <c r="M20" s="72"/>
      <c r="N20" s="72"/>
      <c r="O20" s="72"/>
      <c r="P20" s="72"/>
      <c r="Q20" s="72"/>
      <c r="R20" s="72"/>
      <c r="S20" s="72"/>
      <c r="T20" s="75"/>
    </row>
    <row r="21" spans="1:20" ht="15" customHeight="1" x14ac:dyDescent="0.25">
      <c r="A21" s="45" t="s">
        <v>194</v>
      </c>
      <c r="B21" s="46">
        <v>1</v>
      </c>
      <c r="C21" s="21" t="s">
        <v>126</v>
      </c>
      <c r="D21" s="47" t="s">
        <v>335</v>
      </c>
      <c r="E21" s="60"/>
      <c r="F21" s="60"/>
      <c r="G21" s="60"/>
      <c r="H21" s="60"/>
      <c r="I21" s="60"/>
      <c r="J21" s="60"/>
      <c r="K21" s="60"/>
      <c r="L21" s="74"/>
      <c r="M21" s="60"/>
      <c r="N21" s="60"/>
      <c r="O21" s="60"/>
      <c r="P21" s="60"/>
      <c r="Q21" s="60"/>
      <c r="R21" s="60"/>
      <c r="S21" s="60"/>
      <c r="T21" s="74"/>
    </row>
    <row r="22" spans="1:20" ht="15" customHeight="1" x14ac:dyDescent="0.25">
      <c r="A22" s="45"/>
      <c r="B22" s="46">
        <v>2</v>
      </c>
      <c r="C22" s="21" t="s">
        <v>126</v>
      </c>
      <c r="D22" s="47" t="s">
        <v>336</v>
      </c>
      <c r="E22" s="60"/>
      <c r="F22" s="60"/>
      <c r="G22" s="60"/>
      <c r="H22" s="60"/>
      <c r="I22" s="60"/>
      <c r="J22" s="60"/>
      <c r="K22" s="60"/>
      <c r="L22" s="74"/>
      <c r="M22" s="60"/>
      <c r="N22" s="60"/>
      <c r="O22" s="60"/>
      <c r="P22" s="60"/>
      <c r="Q22" s="60"/>
      <c r="R22" s="60"/>
      <c r="S22" s="60"/>
      <c r="T22" s="74"/>
    </row>
    <row r="23" spans="1:20" ht="15" customHeight="1" x14ac:dyDescent="0.25">
      <c r="A23" s="45" t="s">
        <v>196</v>
      </c>
      <c r="B23" s="46">
        <v>1</v>
      </c>
      <c r="C23" s="21" t="s">
        <v>127</v>
      </c>
      <c r="D23" s="47" t="s">
        <v>337</v>
      </c>
      <c r="E23" s="60"/>
      <c r="F23" s="60"/>
      <c r="G23" s="60"/>
      <c r="H23" s="60"/>
      <c r="I23" s="60"/>
      <c r="J23" s="60"/>
      <c r="K23" s="60"/>
      <c r="L23" s="74"/>
      <c r="M23" s="60"/>
      <c r="N23" s="60"/>
      <c r="O23" s="60"/>
      <c r="P23" s="60"/>
      <c r="Q23" s="60"/>
      <c r="R23" s="60"/>
      <c r="S23" s="60"/>
      <c r="T23" s="74"/>
    </row>
    <row r="24" spans="1:20" ht="15" customHeight="1" x14ac:dyDescent="0.25">
      <c r="A24" s="45"/>
      <c r="B24" s="46">
        <v>2</v>
      </c>
      <c r="C24" s="21" t="s">
        <v>127</v>
      </c>
      <c r="D24" s="47" t="s">
        <v>338</v>
      </c>
      <c r="E24" s="60"/>
      <c r="F24" s="60"/>
      <c r="G24" s="60"/>
      <c r="H24" s="60"/>
      <c r="I24" s="60"/>
      <c r="J24" s="60"/>
      <c r="K24" s="60"/>
      <c r="L24" s="74"/>
      <c r="M24" s="60"/>
      <c r="N24" s="60"/>
      <c r="O24" s="60"/>
      <c r="P24" s="60"/>
      <c r="Q24" s="60"/>
      <c r="R24" s="60"/>
      <c r="S24" s="60"/>
      <c r="T24" s="74"/>
    </row>
    <row r="25" spans="1:20" x14ac:dyDescent="0.25">
      <c r="A25" s="38" t="s">
        <v>205</v>
      </c>
      <c r="B25" s="39"/>
      <c r="C25" s="40"/>
      <c r="D25" s="41"/>
      <c r="E25" s="72"/>
      <c r="F25" s="72"/>
      <c r="G25" s="72"/>
      <c r="H25" s="72"/>
      <c r="I25" s="72"/>
      <c r="J25" s="72"/>
      <c r="K25" s="72"/>
      <c r="L25" s="75"/>
      <c r="M25" s="72"/>
      <c r="N25" s="72"/>
      <c r="O25" s="72"/>
      <c r="P25" s="72"/>
      <c r="Q25" s="72"/>
      <c r="R25" s="72"/>
      <c r="S25" s="72"/>
      <c r="T25" s="75"/>
    </row>
    <row r="26" spans="1:20" ht="15" customHeight="1" x14ac:dyDescent="0.25">
      <c r="A26" s="45" t="s">
        <v>206</v>
      </c>
      <c r="B26" s="46">
        <v>1</v>
      </c>
      <c r="C26" s="21" t="s">
        <v>207</v>
      </c>
      <c r="D26" s="47" t="s">
        <v>339</v>
      </c>
      <c r="E26" s="60"/>
      <c r="F26" s="60"/>
      <c r="G26" s="60"/>
      <c r="H26" s="60"/>
      <c r="I26" s="60"/>
      <c r="J26" s="60"/>
      <c r="K26" s="60"/>
      <c r="L26" s="74"/>
      <c r="M26" s="60"/>
      <c r="N26" s="60"/>
      <c r="O26" s="60"/>
      <c r="P26" s="60"/>
      <c r="Q26" s="60"/>
      <c r="R26" s="60"/>
      <c r="S26" s="60"/>
      <c r="T26" s="74"/>
    </row>
    <row r="27" spans="1:20" ht="15" customHeight="1" x14ac:dyDescent="0.25">
      <c r="A27" s="45"/>
      <c r="B27" s="46">
        <v>2</v>
      </c>
      <c r="C27" s="21" t="s">
        <v>207</v>
      </c>
      <c r="D27" s="47" t="s">
        <v>340</v>
      </c>
      <c r="E27" s="60"/>
      <c r="F27" s="60"/>
      <c r="G27" s="60"/>
      <c r="H27" s="60"/>
      <c r="I27" s="60"/>
      <c r="J27" s="60"/>
      <c r="K27" s="60"/>
      <c r="L27" s="74"/>
      <c r="M27" s="60"/>
      <c r="N27" s="60"/>
      <c r="O27" s="60"/>
      <c r="P27" s="60"/>
      <c r="Q27" s="60"/>
      <c r="R27" s="60"/>
      <c r="S27" s="60"/>
      <c r="T27" s="74"/>
    </row>
    <row r="28" spans="1:20" ht="15" customHeight="1" x14ac:dyDescent="0.25">
      <c r="A28" s="45" t="s">
        <v>208</v>
      </c>
      <c r="B28" s="46">
        <v>1</v>
      </c>
      <c r="C28" s="21" t="s">
        <v>122</v>
      </c>
      <c r="D28" s="47" t="s">
        <v>341</v>
      </c>
      <c r="E28" s="60"/>
      <c r="F28" s="60"/>
      <c r="G28" s="60"/>
      <c r="H28" s="60"/>
      <c r="I28" s="60"/>
      <c r="J28" s="60"/>
      <c r="K28" s="60"/>
      <c r="L28" s="74"/>
      <c r="M28" s="60"/>
      <c r="N28" s="60"/>
      <c r="O28" s="60"/>
      <c r="P28" s="60"/>
      <c r="Q28" s="60"/>
      <c r="R28" s="60"/>
      <c r="S28" s="60"/>
      <c r="T28" s="74"/>
    </row>
    <row r="29" spans="1:20" ht="15" customHeight="1" x14ac:dyDescent="0.25">
      <c r="A29" s="45"/>
      <c r="B29" s="46">
        <v>2</v>
      </c>
      <c r="C29" s="21" t="s">
        <v>122</v>
      </c>
      <c r="D29" s="47" t="s">
        <v>342</v>
      </c>
      <c r="E29" s="60"/>
      <c r="F29" s="60"/>
      <c r="G29" s="60"/>
      <c r="H29" s="60"/>
      <c r="I29" s="60"/>
      <c r="J29" s="60"/>
      <c r="K29" s="60"/>
      <c r="L29" s="74"/>
      <c r="M29" s="60"/>
      <c r="N29" s="60"/>
      <c r="O29" s="60"/>
      <c r="P29" s="60"/>
      <c r="Q29" s="60"/>
      <c r="R29" s="60"/>
      <c r="S29" s="60"/>
      <c r="T29" s="74"/>
    </row>
    <row r="30" spans="1:20" x14ac:dyDescent="0.25">
      <c r="A30" s="38" t="s">
        <v>209</v>
      </c>
      <c r="B30" s="39"/>
      <c r="C30" s="40"/>
      <c r="D30" s="41"/>
      <c r="E30" s="72"/>
      <c r="F30" s="72"/>
      <c r="G30" s="72"/>
      <c r="H30" s="72"/>
      <c r="I30" s="72"/>
      <c r="J30" s="72"/>
      <c r="K30" s="72"/>
      <c r="L30" s="75"/>
      <c r="M30" s="72"/>
      <c r="N30" s="72"/>
      <c r="O30" s="72"/>
      <c r="P30" s="72"/>
      <c r="Q30" s="72"/>
      <c r="R30" s="72"/>
      <c r="S30" s="72"/>
      <c r="T30" s="75"/>
    </row>
    <row r="31" spans="1:20" ht="15" customHeight="1" x14ac:dyDescent="0.25">
      <c r="A31" s="45" t="s">
        <v>209</v>
      </c>
      <c r="B31" s="46">
        <v>1</v>
      </c>
      <c r="C31" s="21" t="s">
        <v>210</v>
      </c>
      <c r="D31" s="47" t="s">
        <v>343</v>
      </c>
      <c r="E31" s="60"/>
      <c r="F31" s="60"/>
      <c r="G31" s="60"/>
      <c r="H31" s="60"/>
      <c r="I31" s="60"/>
      <c r="J31" s="60"/>
      <c r="K31" s="60"/>
      <c r="L31" s="74"/>
      <c r="M31" s="60"/>
      <c r="N31" s="60"/>
      <c r="O31" s="60"/>
      <c r="P31" s="60"/>
      <c r="Q31" s="60"/>
      <c r="R31" s="60"/>
      <c r="S31" s="60"/>
      <c r="T31" s="74"/>
    </row>
    <row r="32" spans="1:20" ht="15" customHeight="1" x14ac:dyDescent="0.25">
      <c r="A32" s="45"/>
      <c r="B32" s="46">
        <v>2</v>
      </c>
      <c r="C32" s="21" t="s">
        <v>210</v>
      </c>
      <c r="D32" s="47" t="s">
        <v>344</v>
      </c>
      <c r="E32" s="60"/>
      <c r="F32" s="60"/>
      <c r="G32" s="60"/>
      <c r="H32" s="60"/>
      <c r="I32" s="60"/>
      <c r="J32" s="60"/>
      <c r="K32" s="60"/>
      <c r="L32" s="74"/>
      <c r="M32" s="60"/>
      <c r="N32" s="60"/>
      <c r="O32" s="60"/>
      <c r="P32" s="60"/>
      <c r="Q32" s="60"/>
      <c r="R32" s="60"/>
      <c r="S32" s="60"/>
      <c r="T32" s="74"/>
    </row>
    <row r="33" spans="1:20" ht="15" customHeight="1" x14ac:dyDescent="0.25">
      <c r="A33" s="45" t="s">
        <v>211</v>
      </c>
      <c r="B33" s="46">
        <v>1</v>
      </c>
      <c r="C33" s="21" t="s">
        <v>133</v>
      </c>
      <c r="D33" s="47" t="s">
        <v>345</v>
      </c>
      <c r="E33" s="60"/>
      <c r="F33" s="60"/>
      <c r="G33" s="60"/>
      <c r="H33" s="60"/>
      <c r="I33" s="60"/>
      <c r="J33" s="60"/>
      <c r="K33" s="60"/>
      <c r="L33" s="74"/>
      <c r="M33" s="60"/>
      <c r="N33" s="60"/>
      <c r="O33" s="60"/>
      <c r="P33" s="60"/>
      <c r="Q33" s="60"/>
      <c r="R33" s="60"/>
      <c r="S33" s="60"/>
      <c r="T33" s="74"/>
    </row>
    <row r="34" spans="1:20" ht="15" customHeight="1" x14ac:dyDescent="0.25">
      <c r="A34" s="45"/>
      <c r="B34" s="46">
        <v>2</v>
      </c>
      <c r="C34" s="21" t="s">
        <v>133</v>
      </c>
      <c r="D34" s="47" t="s">
        <v>346</v>
      </c>
      <c r="E34" s="60"/>
      <c r="F34" s="60"/>
      <c r="G34" s="60"/>
      <c r="H34" s="60"/>
      <c r="I34" s="60"/>
      <c r="J34" s="60"/>
      <c r="K34" s="60"/>
      <c r="L34" s="74"/>
      <c r="M34" s="60"/>
      <c r="N34" s="60"/>
      <c r="O34" s="60"/>
      <c r="P34" s="60"/>
      <c r="Q34" s="60"/>
      <c r="R34" s="60"/>
      <c r="S34" s="60"/>
      <c r="T34" s="74"/>
    </row>
    <row r="35" spans="1:20" x14ac:dyDescent="0.25">
      <c r="A35" s="38" t="s">
        <v>212</v>
      </c>
      <c r="B35" s="39"/>
      <c r="C35" s="40"/>
      <c r="D35" s="41"/>
      <c r="E35" s="72"/>
      <c r="F35" s="72"/>
      <c r="G35" s="72"/>
      <c r="H35" s="72"/>
      <c r="I35" s="72"/>
      <c r="J35" s="72"/>
      <c r="K35" s="72"/>
      <c r="L35" s="75"/>
      <c r="M35" s="72"/>
      <c r="N35" s="72"/>
      <c r="O35" s="72"/>
      <c r="P35" s="72"/>
      <c r="Q35" s="72"/>
      <c r="R35" s="72"/>
      <c r="S35" s="72"/>
      <c r="T35" s="75"/>
    </row>
    <row r="36" spans="1:20" ht="15" customHeight="1" x14ac:dyDescent="0.25">
      <c r="A36" s="45" t="s">
        <v>212</v>
      </c>
      <c r="B36" s="46">
        <v>1</v>
      </c>
      <c r="C36" s="21" t="s">
        <v>130</v>
      </c>
      <c r="D36" s="47" t="s">
        <v>347</v>
      </c>
      <c r="E36" s="60"/>
      <c r="F36" s="60"/>
      <c r="G36" s="60"/>
      <c r="H36" s="60"/>
      <c r="I36" s="60"/>
      <c r="J36" s="60"/>
      <c r="K36" s="60"/>
      <c r="L36" s="74"/>
      <c r="M36" s="60"/>
      <c r="N36" s="60"/>
      <c r="O36" s="60"/>
      <c r="P36" s="60"/>
      <c r="Q36" s="60"/>
      <c r="R36" s="60"/>
      <c r="S36" s="60"/>
      <c r="T36" s="74"/>
    </row>
    <row r="37" spans="1:20" x14ac:dyDescent="0.25">
      <c r="A37" s="38" t="s">
        <v>213</v>
      </c>
      <c r="B37" s="39"/>
      <c r="C37" s="40"/>
      <c r="D37" s="41"/>
      <c r="E37" s="72"/>
      <c r="F37" s="72"/>
      <c r="G37" s="72"/>
      <c r="H37" s="72"/>
      <c r="I37" s="72"/>
      <c r="J37" s="72"/>
      <c r="K37" s="72"/>
      <c r="L37" s="75"/>
      <c r="M37" s="72"/>
      <c r="N37" s="72"/>
      <c r="O37" s="72"/>
      <c r="P37" s="72"/>
      <c r="Q37" s="72"/>
      <c r="R37" s="72"/>
      <c r="S37" s="72"/>
      <c r="T37" s="75"/>
    </row>
    <row r="38" spans="1:20" ht="15" customHeight="1" x14ac:dyDescent="0.25">
      <c r="A38" s="45" t="s">
        <v>214</v>
      </c>
      <c r="B38" s="46">
        <v>1</v>
      </c>
      <c r="C38" s="21" t="s">
        <v>215</v>
      </c>
      <c r="D38" s="47" t="s">
        <v>348</v>
      </c>
      <c r="E38" s="60"/>
      <c r="F38" s="60"/>
      <c r="G38" s="60"/>
      <c r="H38" s="60"/>
      <c r="I38" s="60"/>
      <c r="J38" s="60"/>
      <c r="K38" s="60"/>
      <c r="L38" s="74"/>
      <c r="M38" s="60"/>
      <c r="N38" s="60"/>
      <c r="O38" s="60"/>
      <c r="P38" s="60"/>
      <c r="Q38" s="60"/>
      <c r="R38" s="60"/>
      <c r="S38" s="60"/>
      <c r="T38" s="74"/>
    </row>
    <row r="39" spans="1:20" x14ac:dyDescent="0.25">
      <c r="A39" s="38" t="s">
        <v>216</v>
      </c>
      <c r="B39" s="39"/>
      <c r="C39" s="40"/>
      <c r="D39" s="41"/>
      <c r="E39" s="72"/>
      <c r="F39" s="72"/>
      <c r="G39" s="72"/>
      <c r="H39" s="72"/>
      <c r="I39" s="72"/>
      <c r="J39" s="72"/>
      <c r="K39" s="72"/>
      <c r="L39" s="75"/>
      <c r="M39" s="72"/>
      <c r="N39" s="72"/>
      <c r="O39" s="72"/>
      <c r="P39" s="72"/>
      <c r="Q39" s="72"/>
      <c r="R39" s="72"/>
      <c r="S39" s="72"/>
      <c r="T39" s="75"/>
    </row>
    <row r="40" spans="1:20" ht="15" customHeight="1" x14ac:dyDescent="0.25">
      <c r="A40" s="45" t="s">
        <v>216</v>
      </c>
      <c r="B40" s="46">
        <v>1</v>
      </c>
      <c r="C40" s="21"/>
      <c r="D40" s="47" t="s">
        <v>123</v>
      </c>
      <c r="E40" s="60"/>
      <c r="F40" s="60"/>
      <c r="G40" s="60"/>
      <c r="H40" s="60"/>
      <c r="I40" s="60"/>
      <c r="J40" s="60"/>
      <c r="K40" s="60"/>
      <c r="L40" s="74"/>
      <c r="M40" s="60"/>
      <c r="N40" s="60"/>
      <c r="O40" s="60"/>
      <c r="P40" s="60"/>
      <c r="Q40" s="60"/>
      <c r="R40" s="60"/>
      <c r="S40" s="60"/>
      <c r="T40" s="74"/>
    </row>
    <row r="41" spans="1:20" ht="15" customHeight="1" x14ac:dyDescent="0.25">
      <c r="A41" s="45"/>
      <c r="B41" s="46">
        <v>2</v>
      </c>
      <c r="C41" s="21"/>
      <c r="D41" s="47" t="s">
        <v>125</v>
      </c>
      <c r="E41" s="60"/>
      <c r="F41" s="60"/>
      <c r="G41" s="60"/>
      <c r="H41" s="60"/>
      <c r="I41" s="60"/>
      <c r="J41" s="60"/>
      <c r="K41" s="60"/>
      <c r="L41" s="74"/>
      <c r="M41" s="60"/>
      <c r="N41" s="60"/>
      <c r="O41" s="60"/>
      <c r="P41" s="60"/>
      <c r="Q41" s="60"/>
      <c r="R41" s="60"/>
      <c r="S41" s="60"/>
      <c r="T41" s="74"/>
    </row>
    <row r="42" spans="1:20" ht="15" customHeight="1" x14ac:dyDescent="0.25">
      <c r="A42" s="136" t="s">
        <v>217</v>
      </c>
      <c r="B42" s="137"/>
      <c r="C42" s="52"/>
      <c r="D42" s="53"/>
      <c r="E42" s="76"/>
      <c r="F42" s="76"/>
      <c r="G42" s="76"/>
      <c r="H42" s="76"/>
      <c r="I42" s="76"/>
      <c r="J42" s="76"/>
      <c r="K42" s="76"/>
      <c r="L42" s="77"/>
      <c r="M42" s="76"/>
      <c r="N42" s="76"/>
      <c r="O42" s="76"/>
      <c r="P42" s="76"/>
      <c r="Q42" s="76"/>
      <c r="R42" s="76"/>
      <c r="S42" s="76"/>
      <c r="T42" s="77"/>
    </row>
    <row r="43" spans="1:20" x14ac:dyDescent="0.25">
      <c r="A43" s="38" t="s">
        <v>218</v>
      </c>
      <c r="B43" s="39"/>
      <c r="C43" s="40"/>
      <c r="D43" s="41"/>
      <c r="E43" s="72"/>
      <c r="F43" s="72"/>
      <c r="G43" s="72"/>
      <c r="H43" s="72"/>
      <c r="I43" s="72"/>
      <c r="J43" s="72"/>
      <c r="K43" s="72"/>
      <c r="L43" s="75"/>
      <c r="M43" s="72"/>
      <c r="N43" s="72"/>
      <c r="O43" s="72"/>
      <c r="P43" s="72"/>
      <c r="Q43" s="72"/>
      <c r="R43" s="72"/>
      <c r="S43" s="72"/>
      <c r="T43" s="75"/>
    </row>
    <row r="44" spans="1:20" ht="15" customHeight="1" x14ac:dyDescent="0.25">
      <c r="A44" s="45" t="s">
        <v>218</v>
      </c>
      <c r="B44" s="46">
        <v>1</v>
      </c>
      <c r="C44" s="21" t="s">
        <v>219</v>
      </c>
      <c r="D44" s="47" t="s">
        <v>349</v>
      </c>
      <c r="E44" s="60"/>
      <c r="F44" s="60"/>
      <c r="G44" s="60"/>
      <c r="H44" s="60"/>
      <c r="I44" s="60"/>
      <c r="J44" s="60"/>
      <c r="K44" s="60"/>
      <c r="L44" s="74"/>
      <c r="M44" s="60"/>
      <c r="N44" s="60"/>
      <c r="O44" s="60"/>
      <c r="P44" s="60"/>
      <c r="Q44" s="60"/>
      <c r="R44" s="60"/>
      <c r="S44" s="60"/>
      <c r="T44" s="74"/>
    </row>
    <row r="45" spans="1:20" x14ac:dyDescent="0.25">
      <c r="A45" s="38" t="s">
        <v>220</v>
      </c>
      <c r="B45" s="39"/>
      <c r="C45" s="40"/>
      <c r="D45" s="41"/>
      <c r="E45" s="72"/>
      <c r="F45" s="72"/>
      <c r="G45" s="72"/>
      <c r="H45" s="72"/>
      <c r="I45" s="72"/>
      <c r="J45" s="72"/>
      <c r="K45" s="72"/>
      <c r="L45" s="75"/>
      <c r="M45" s="72"/>
      <c r="N45" s="72"/>
      <c r="O45" s="72"/>
      <c r="P45" s="72"/>
      <c r="Q45" s="72"/>
      <c r="R45" s="72"/>
      <c r="S45" s="72"/>
      <c r="T45" s="75"/>
    </row>
    <row r="46" spans="1:20" ht="15" customHeight="1" x14ac:dyDescent="0.25">
      <c r="A46" s="45" t="s">
        <v>183</v>
      </c>
      <c r="B46" s="46">
        <v>1</v>
      </c>
      <c r="C46" s="21" t="s">
        <v>182</v>
      </c>
      <c r="D46" s="47" t="s">
        <v>350</v>
      </c>
      <c r="E46" s="60"/>
      <c r="F46" s="60"/>
      <c r="G46" s="60"/>
      <c r="H46" s="60"/>
      <c r="I46" s="60"/>
      <c r="J46" s="60"/>
      <c r="K46" s="60"/>
      <c r="L46" s="74"/>
      <c r="M46" s="60"/>
      <c r="N46" s="60"/>
      <c r="O46" s="60"/>
      <c r="P46" s="60"/>
      <c r="Q46" s="60"/>
      <c r="R46" s="60"/>
      <c r="S46" s="60"/>
      <c r="T46" s="74"/>
    </row>
    <row r="47" spans="1:20" ht="15" customHeight="1" x14ac:dyDescent="0.25">
      <c r="A47" s="45" t="s">
        <v>221</v>
      </c>
      <c r="B47" s="46">
        <v>1</v>
      </c>
      <c r="C47" s="21" t="s">
        <v>134</v>
      </c>
      <c r="D47" s="47" t="s">
        <v>351</v>
      </c>
      <c r="E47" s="60"/>
      <c r="F47" s="60"/>
      <c r="G47" s="60"/>
      <c r="H47" s="60"/>
      <c r="I47" s="60"/>
      <c r="J47" s="60"/>
      <c r="K47" s="60"/>
      <c r="L47" s="74"/>
      <c r="M47" s="60"/>
      <c r="N47" s="60"/>
      <c r="O47" s="60"/>
      <c r="P47" s="60"/>
      <c r="Q47" s="60"/>
      <c r="R47" s="60"/>
      <c r="S47" s="60"/>
      <c r="T47" s="74"/>
    </row>
    <row r="48" spans="1:20" ht="15" customHeight="1" x14ac:dyDescent="0.25">
      <c r="A48" s="45" t="s">
        <v>222</v>
      </c>
      <c r="B48" s="46">
        <v>1</v>
      </c>
      <c r="C48" s="21" t="s">
        <v>135</v>
      </c>
      <c r="D48" s="47" t="s">
        <v>352</v>
      </c>
      <c r="E48" s="60"/>
      <c r="F48" s="60"/>
      <c r="G48" s="60"/>
      <c r="H48" s="60"/>
      <c r="I48" s="60"/>
      <c r="J48" s="60"/>
      <c r="K48" s="60"/>
      <c r="L48" s="74"/>
      <c r="M48" s="60"/>
      <c r="N48" s="60"/>
      <c r="O48" s="60"/>
      <c r="P48" s="60"/>
      <c r="Q48" s="60"/>
      <c r="R48" s="60"/>
      <c r="S48" s="60"/>
      <c r="T48" s="74"/>
    </row>
    <row r="49" spans="1:20" ht="15" customHeight="1" x14ac:dyDescent="0.25">
      <c r="A49" s="45" t="s">
        <v>223</v>
      </c>
      <c r="B49" s="46">
        <v>1</v>
      </c>
      <c r="C49" s="21" t="s">
        <v>136</v>
      </c>
      <c r="D49" s="47" t="s">
        <v>353</v>
      </c>
      <c r="E49" s="60"/>
      <c r="F49" s="60"/>
      <c r="G49" s="60"/>
      <c r="H49" s="60"/>
      <c r="I49" s="60"/>
      <c r="J49" s="60"/>
      <c r="K49" s="60"/>
      <c r="L49" s="74"/>
      <c r="M49" s="60"/>
      <c r="N49" s="60"/>
      <c r="O49" s="60"/>
      <c r="P49" s="60"/>
      <c r="Q49" s="60"/>
      <c r="R49" s="60"/>
      <c r="S49" s="60"/>
      <c r="T49" s="74"/>
    </row>
    <row r="50" spans="1:20" ht="15" customHeight="1" x14ac:dyDescent="0.25">
      <c r="A50" s="136" t="s">
        <v>224</v>
      </c>
      <c r="B50" s="137"/>
      <c r="C50" s="52"/>
      <c r="D50" s="53"/>
      <c r="E50" s="76"/>
      <c r="F50" s="76"/>
      <c r="G50" s="76"/>
      <c r="H50" s="76"/>
      <c r="I50" s="76"/>
      <c r="J50" s="76"/>
      <c r="K50" s="76"/>
      <c r="L50" s="77"/>
      <c r="M50" s="76"/>
      <c r="N50" s="76"/>
      <c r="O50" s="76"/>
      <c r="P50" s="76"/>
      <c r="Q50" s="76"/>
      <c r="R50" s="76"/>
      <c r="S50" s="76"/>
      <c r="T50" s="77"/>
    </row>
    <row r="51" spans="1:20" x14ac:dyDescent="0.25">
      <c r="A51" s="38" t="s">
        <v>225</v>
      </c>
      <c r="B51" s="39"/>
      <c r="C51" s="40"/>
      <c r="D51" s="41"/>
      <c r="E51" s="72"/>
      <c r="F51" s="72"/>
      <c r="G51" s="72"/>
      <c r="H51" s="72"/>
      <c r="I51" s="72"/>
      <c r="J51" s="72"/>
      <c r="K51" s="72"/>
      <c r="L51" s="75"/>
      <c r="M51" s="72"/>
      <c r="N51" s="72"/>
      <c r="O51" s="72"/>
      <c r="P51" s="72"/>
      <c r="Q51" s="72"/>
      <c r="R51" s="72"/>
      <c r="S51" s="72"/>
      <c r="T51" s="75"/>
    </row>
    <row r="52" spans="1:20" ht="15" customHeight="1" x14ac:dyDescent="0.25">
      <c r="A52" s="45" t="s">
        <v>226</v>
      </c>
      <c r="B52" s="46">
        <v>1</v>
      </c>
      <c r="C52" s="21" t="s">
        <v>148</v>
      </c>
      <c r="D52" s="47" t="s">
        <v>354</v>
      </c>
      <c r="E52" s="60"/>
      <c r="F52" s="60"/>
      <c r="G52" s="60"/>
      <c r="H52" s="60"/>
      <c r="I52" s="60"/>
      <c r="J52" s="60"/>
      <c r="K52" s="60"/>
      <c r="L52" s="74"/>
      <c r="M52" s="60"/>
      <c r="N52" s="60"/>
      <c r="O52" s="60"/>
      <c r="P52" s="60"/>
      <c r="Q52" s="60"/>
      <c r="R52" s="60"/>
      <c r="S52" s="60"/>
      <c r="T52" s="74"/>
    </row>
    <row r="53" spans="1:20" ht="15" customHeight="1" x14ac:dyDescent="0.25">
      <c r="A53" s="45"/>
      <c r="B53" s="46">
        <v>2</v>
      </c>
      <c r="C53" s="21" t="s">
        <v>148</v>
      </c>
      <c r="D53" s="47" t="s">
        <v>355</v>
      </c>
      <c r="E53" s="60"/>
      <c r="F53" s="60"/>
      <c r="G53" s="60"/>
      <c r="H53" s="60"/>
      <c r="I53" s="60"/>
      <c r="J53" s="60"/>
      <c r="K53" s="60"/>
      <c r="L53" s="74"/>
      <c r="M53" s="60"/>
      <c r="N53" s="60"/>
      <c r="O53" s="60"/>
      <c r="P53" s="60"/>
      <c r="Q53" s="60"/>
      <c r="R53" s="60"/>
      <c r="S53" s="60"/>
      <c r="T53" s="74"/>
    </row>
    <row r="54" spans="1:20" x14ac:dyDescent="0.25">
      <c r="A54" s="38" t="s">
        <v>227</v>
      </c>
      <c r="B54" s="39"/>
      <c r="C54" s="40"/>
      <c r="D54" s="41"/>
      <c r="E54" s="72"/>
      <c r="F54" s="72"/>
      <c r="G54" s="72"/>
      <c r="H54" s="72"/>
      <c r="I54" s="72"/>
      <c r="J54" s="72"/>
      <c r="K54" s="72"/>
      <c r="L54" s="75"/>
      <c r="M54" s="72"/>
      <c r="N54" s="72"/>
      <c r="O54" s="72"/>
      <c r="P54" s="72"/>
      <c r="Q54" s="72"/>
      <c r="R54" s="72"/>
      <c r="S54" s="72"/>
      <c r="T54" s="75"/>
    </row>
    <row r="55" spans="1:20" ht="15" customHeight="1" x14ac:dyDescent="0.25">
      <c r="A55" s="45" t="s">
        <v>227</v>
      </c>
      <c r="B55" s="46">
        <v>1</v>
      </c>
      <c r="C55" s="21" t="s">
        <v>147</v>
      </c>
      <c r="D55" s="47" t="s">
        <v>356</v>
      </c>
      <c r="E55" s="60"/>
      <c r="F55" s="60"/>
      <c r="G55" s="60"/>
      <c r="H55" s="60"/>
      <c r="I55" s="60"/>
      <c r="J55" s="60"/>
      <c r="K55" s="60"/>
      <c r="L55" s="74"/>
      <c r="M55" s="60"/>
      <c r="N55" s="60"/>
      <c r="O55" s="60"/>
      <c r="P55" s="60"/>
      <c r="Q55" s="60"/>
      <c r="R55" s="60"/>
      <c r="S55" s="60"/>
      <c r="T55" s="74"/>
    </row>
    <row r="56" spans="1:20" ht="15" customHeight="1" x14ac:dyDescent="0.25">
      <c r="A56" s="45"/>
      <c r="B56" s="46">
        <v>2</v>
      </c>
      <c r="C56" s="21" t="s">
        <v>147</v>
      </c>
      <c r="D56" s="47" t="s">
        <v>357</v>
      </c>
      <c r="E56" s="60"/>
      <c r="F56" s="60"/>
      <c r="G56" s="60"/>
      <c r="H56" s="60"/>
      <c r="I56" s="60"/>
      <c r="J56" s="60"/>
      <c r="K56" s="60"/>
      <c r="L56" s="74"/>
      <c r="M56" s="60"/>
      <c r="N56" s="60"/>
      <c r="O56" s="60"/>
      <c r="P56" s="60"/>
      <c r="Q56" s="60"/>
      <c r="R56" s="60"/>
      <c r="S56" s="60"/>
      <c r="T56" s="74"/>
    </row>
    <row r="57" spans="1:20" x14ac:dyDescent="0.25">
      <c r="A57" s="38" t="s">
        <v>228</v>
      </c>
      <c r="B57" s="39"/>
      <c r="C57" s="40"/>
      <c r="D57" s="41"/>
      <c r="E57" s="72"/>
      <c r="F57" s="72"/>
      <c r="G57" s="72"/>
      <c r="H57" s="72"/>
      <c r="I57" s="72"/>
      <c r="J57" s="72"/>
      <c r="K57" s="72"/>
      <c r="L57" s="75"/>
      <c r="M57" s="72"/>
      <c r="N57" s="72"/>
      <c r="O57" s="72"/>
      <c r="P57" s="72"/>
      <c r="Q57" s="72"/>
      <c r="R57" s="72"/>
      <c r="S57" s="72"/>
      <c r="T57" s="75"/>
    </row>
    <row r="58" spans="1:20" ht="15" customHeight="1" x14ac:dyDescent="0.25">
      <c r="A58" s="45" t="s">
        <v>228</v>
      </c>
      <c r="B58" s="46">
        <v>1</v>
      </c>
      <c r="C58" s="21" t="s">
        <v>164</v>
      </c>
      <c r="D58" s="47" t="s">
        <v>358</v>
      </c>
      <c r="E58" s="60"/>
      <c r="F58" s="60"/>
      <c r="G58" s="60"/>
      <c r="H58" s="60"/>
      <c r="I58" s="60"/>
      <c r="J58" s="60"/>
      <c r="K58" s="60"/>
      <c r="L58" s="74"/>
      <c r="M58" s="60"/>
      <c r="N58" s="60"/>
      <c r="O58" s="60"/>
      <c r="P58" s="60"/>
      <c r="Q58" s="60"/>
      <c r="R58" s="60"/>
      <c r="S58" s="60"/>
      <c r="T58" s="74"/>
    </row>
    <row r="59" spans="1:20" ht="15" customHeight="1" x14ac:dyDescent="0.25">
      <c r="A59" s="45"/>
      <c r="B59" s="46">
        <v>2</v>
      </c>
      <c r="C59" s="21" t="s">
        <v>164</v>
      </c>
      <c r="D59" s="47" t="s">
        <v>359</v>
      </c>
      <c r="E59" s="60"/>
      <c r="F59" s="60"/>
      <c r="G59" s="60"/>
      <c r="H59" s="60"/>
      <c r="I59" s="60"/>
      <c r="J59" s="60"/>
      <c r="K59" s="60"/>
      <c r="L59" s="74"/>
      <c r="M59" s="60"/>
      <c r="N59" s="60"/>
      <c r="O59" s="60"/>
      <c r="P59" s="60"/>
      <c r="Q59" s="60"/>
      <c r="R59" s="60"/>
      <c r="S59" s="60"/>
      <c r="T59" s="74"/>
    </row>
    <row r="60" spans="1:20" x14ac:dyDescent="0.25">
      <c r="A60" s="38" t="s">
        <v>229</v>
      </c>
      <c r="B60" s="39"/>
      <c r="C60" s="40"/>
      <c r="D60" s="41"/>
      <c r="E60" s="72"/>
      <c r="F60" s="72"/>
      <c r="G60" s="72"/>
      <c r="H60" s="72"/>
      <c r="I60" s="72"/>
      <c r="J60" s="72"/>
      <c r="K60" s="72"/>
      <c r="L60" s="75"/>
      <c r="M60" s="72"/>
      <c r="N60" s="72"/>
      <c r="O60" s="72"/>
      <c r="P60" s="72"/>
      <c r="Q60" s="72"/>
      <c r="R60" s="72"/>
      <c r="S60" s="72"/>
      <c r="T60" s="75"/>
    </row>
    <row r="61" spans="1:20" ht="15" customHeight="1" x14ac:dyDescent="0.25">
      <c r="A61" s="45" t="s">
        <v>229</v>
      </c>
      <c r="B61" s="46">
        <v>1</v>
      </c>
      <c r="C61" s="21" t="s">
        <v>165</v>
      </c>
      <c r="D61" s="47" t="s">
        <v>360</v>
      </c>
      <c r="E61" s="60"/>
      <c r="F61" s="60"/>
      <c r="G61" s="60"/>
      <c r="H61" s="60"/>
      <c r="I61" s="60"/>
      <c r="J61" s="60"/>
      <c r="K61" s="60"/>
      <c r="L61" s="74"/>
      <c r="M61" s="60"/>
      <c r="N61" s="60"/>
      <c r="O61" s="60"/>
      <c r="P61" s="60"/>
      <c r="Q61" s="60"/>
      <c r="R61" s="60"/>
      <c r="S61" s="60"/>
      <c r="T61" s="74"/>
    </row>
    <row r="62" spans="1:20" ht="15" customHeight="1" x14ac:dyDescent="0.25">
      <c r="A62" s="45"/>
      <c r="B62" s="46">
        <v>2</v>
      </c>
      <c r="C62" s="21" t="s">
        <v>165</v>
      </c>
      <c r="D62" s="47" t="s">
        <v>361</v>
      </c>
      <c r="E62" s="60"/>
      <c r="F62" s="60"/>
      <c r="G62" s="60"/>
      <c r="H62" s="60"/>
      <c r="I62" s="60"/>
      <c r="J62" s="60"/>
      <c r="K62" s="60"/>
      <c r="L62" s="74"/>
      <c r="M62" s="60"/>
      <c r="N62" s="60"/>
      <c r="O62" s="60"/>
      <c r="P62" s="60"/>
      <c r="Q62" s="60"/>
      <c r="R62" s="60"/>
      <c r="S62" s="60"/>
      <c r="T62" s="74"/>
    </row>
    <row r="63" spans="1:20" x14ac:dyDescent="0.25">
      <c r="A63" s="38" t="s">
        <v>230</v>
      </c>
      <c r="B63" s="39"/>
      <c r="C63" s="40"/>
      <c r="D63" s="41"/>
      <c r="E63" s="72"/>
      <c r="F63" s="72"/>
      <c r="G63" s="72"/>
      <c r="H63" s="72"/>
      <c r="I63" s="72"/>
      <c r="J63" s="72"/>
      <c r="K63" s="72"/>
      <c r="L63" s="75"/>
      <c r="M63" s="72"/>
      <c r="N63" s="72"/>
      <c r="O63" s="72"/>
      <c r="P63" s="72"/>
      <c r="Q63" s="72"/>
      <c r="R63" s="72"/>
      <c r="S63" s="72"/>
      <c r="T63" s="75"/>
    </row>
    <row r="64" spans="1:20" ht="15" customHeight="1" x14ac:dyDescent="0.25">
      <c r="A64" s="45" t="s">
        <v>230</v>
      </c>
      <c r="B64" s="46">
        <v>1</v>
      </c>
      <c r="C64" s="21" t="s">
        <v>166</v>
      </c>
      <c r="D64" s="47" t="s">
        <v>362</v>
      </c>
      <c r="E64" s="60"/>
      <c r="F64" s="60"/>
      <c r="G64" s="60"/>
      <c r="H64" s="60"/>
      <c r="I64" s="60"/>
      <c r="J64" s="60"/>
      <c r="K64" s="60"/>
      <c r="L64" s="74"/>
      <c r="M64" s="60"/>
      <c r="N64" s="60"/>
      <c r="O64" s="60"/>
      <c r="P64" s="60"/>
      <c r="Q64" s="60"/>
      <c r="R64" s="60"/>
      <c r="S64" s="60"/>
      <c r="T64" s="74"/>
    </row>
    <row r="65" spans="1:20" x14ac:dyDescent="0.25">
      <c r="A65" s="38" t="s">
        <v>231</v>
      </c>
      <c r="B65" s="39"/>
      <c r="C65" s="40"/>
      <c r="D65" s="41"/>
      <c r="E65" s="72"/>
      <c r="F65" s="72"/>
      <c r="G65" s="72"/>
      <c r="H65" s="72"/>
      <c r="I65" s="72"/>
      <c r="J65" s="72"/>
      <c r="K65" s="72"/>
      <c r="L65" s="75"/>
      <c r="M65" s="72"/>
      <c r="N65" s="72"/>
      <c r="O65" s="72"/>
      <c r="P65" s="72"/>
      <c r="Q65" s="72"/>
      <c r="R65" s="72"/>
      <c r="S65" s="72"/>
      <c r="T65" s="75"/>
    </row>
    <row r="66" spans="1:20" ht="15" customHeight="1" x14ac:dyDescent="0.25">
      <c r="A66" s="45" t="s">
        <v>231</v>
      </c>
      <c r="B66" s="46">
        <v>1</v>
      </c>
      <c r="C66" s="21" t="s">
        <v>167</v>
      </c>
      <c r="D66" s="47" t="s">
        <v>363</v>
      </c>
      <c r="E66" s="60"/>
      <c r="F66" s="60"/>
      <c r="G66" s="60"/>
      <c r="H66" s="60"/>
      <c r="I66" s="60"/>
      <c r="J66" s="60"/>
      <c r="K66" s="60"/>
      <c r="L66" s="74"/>
      <c r="M66" s="60"/>
      <c r="N66" s="60"/>
      <c r="O66" s="60"/>
      <c r="P66" s="60"/>
      <c r="Q66" s="60"/>
      <c r="R66" s="60"/>
      <c r="S66" s="60"/>
      <c r="T66" s="74"/>
    </row>
    <row r="67" spans="1:20" ht="15" customHeight="1" x14ac:dyDescent="0.25">
      <c r="A67" s="45"/>
      <c r="B67" s="46">
        <v>2</v>
      </c>
      <c r="C67" s="21" t="s">
        <v>167</v>
      </c>
      <c r="D67" s="47" t="s">
        <v>364</v>
      </c>
      <c r="E67" s="60"/>
      <c r="F67" s="60"/>
      <c r="G67" s="60"/>
      <c r="H67" s="60"/>
      <c r="I67" s="60"/>
      <c r="J67" s="60"/>
      <c r="K67" s="60"/>
      <c r="L67" s="74"/>
      <c r="M67" s="60"/>
      <c r="N67" s="60"/>
      <c r="O67" s="60"/>
      <c r="P67" s="60"/>
      <c r="Q67" s="60"/>
      <c r="R67" s="60"/>
      <c r="S67" s="60"/>
      <c r="T67" s="74"/>
    </row>
    <row r="68" spans="1:20" x14ac:dyDescent="0.25">
      <c r="A68" s="38" t="s">
        <v>232</v>
      </c>
      <c r="B68" s="39"/>
      <c r="C68" s="40"/>
      <c r="D68" s="41"/>
      <c r="E68" s="72"/>
      <c r="F68" s="72"/>
      <c r="G68" s="72"/>
      <c r="H68" s="72"/>
      <c r="I68" s="72"/>
      <c r="J68" s="72"/>
      <c r="K68" s="72"/>
      <c r="L68" s="75"/>
      <c r="M68" s="72"/>
      <c r="N68" s="72"/>
      <c r="O68" s="72"/>
      <c r="P68" s="72"/>
      <c r="Q68" s="72"/>
      <c r="R68" s="72"/>
      <c r="S68" s="72"/>
      <c r="T68" s="75"/>
    </row>
    <row r="69" spans="1:20" ht="15" customHeight="1" x14ac:dyDescent="0.25">
      <c r="A69" s="45" t="s">
        <v>232</v>
      </c>
      <c r="B69" s="46">
        <v>1</v>
      </c>
      <c r="C69" s="21" t="s">
        <v>168</v>
      </c>
      <c r="D69" s="47" t="s">
        <v>365</v>
      </c>
      <c r="E69" s="60"/>
      <c r="F69" s="60"/>
      <c r="G69" s="60"/>
      <c r="H69" s="60"/>
      <c r="I69" s="60"/>
      <c r="J69" s="60"/>
      <c r="K69" s="60"/>
      <c r="L69" s="74"/>
      <c r="M69" s="60"/>
      <c r="N69" s="60"/>
      <c r="O69" s="60"/>
      <c r="P69" s="60"/>
      <c r="Q69" s="60"/>
      <c r="R69" s="60"/>
      <c r="S69" s="60"/>
      <c r="T69" s="74"/>
    </row>
    <row r="70" spans="1:20" ht="15" customHeight="1" x14ac:dyDescent="0.25">
      <c r="A70" s="45"/>
      <c r="B70" s="46">
        <v>2</v>
      </c>
      <c r="C70" s="21" t="s">
        <v>168</v>
      </c>
      <c r="D70" s="47" t="s">
        <v>366</v>
      </c>
      <c r="E70" s="60"/>
      <c r="F70" s="60"/>
      <c r="G70" s="60"/>
      <c r="H70" s="60"/>
      <c r="I70" s="60"/>
      <c r="J70" s="60"/>
      <c r="K70" s="60"/>
      <c r="L70" s="74"/>
      <c r="M70" s="60"/>
      <c r="N70" s="60"/>
      <c r="O70" s="60"/>
      <c r="P70" s="60"/>
      <c r="Q70" s="60"/>
      <c r="R70" s="60"/>
      <c r="S70" s="60"/>
      <c r="T70" s="74"/>
    </row>
    <row r="71" spans="1:20" x14ac:dyDescent="0.25">
      <c r="A71" s="38" t="s">
        <v>233</v>
      </c>
      <c r="B71" s="39"/>
      <c r="C71" s="40"/>
      <c r="D71" s="41"/>
      <c r="E71" s="72"/>
      <c r="F71" s="72"/>
      <c r="G71" s="72"/>
      <c r="H71" s="72"/>
      <c r="I71" s="72"/>
      <c r="J71" s="72"/>
      <c r="K71" s="72"/>
      <c r="L71" s="75"/>
      <c r="M71" s="72"/>
      <c r="N71" s="72"/>
      <c r="O71" s="72"/>
      <c r="P71" s="72"/>
      <c r="Q71" s="72"/>
      <c r="R71" s="72"/>
      <c r="S71" s="72"/>
      <c r="T71" s="75"/>
    </row>
    <row r="72" spans="1:20" ht="15" customHeight="1" x14ac:dyDescent="0.25">
      <c r="A72" s="45" t="s">
        <v>234</v>
      </c>
      <c r="B72" s="46">
        <v>1</v>
      </c>
      <c r="C72" s="21" t="s">
        <v>145</v>
      </c>
      <c r="D72" s="47" t="s">
        <v>367</v>
      </c>
      <c r="E72" s="60"/>
      <c r="F72" s="60"/>
      <c r="G72" s="60"/>
      <c r="H72" s="60"/>
      <c r="I72" s="60"/>
      <c r="J72" s="60"/>
      <c r="K72" s="60"/>
      <c r="L72" s="74"/>
      <c r="M72" s="60"/>
      <c r="N72" s="60"/>
      <c r="O72" s="60"/>
      <c r="P72" s="60"/>
      <c r="Q72" s="60"/>
      <c r="R72" s="60"/>
      <c r="S72" s="60"/>
      <c r="T72" s="74"/>
    </row>
    <row r="73" spans="1:20" ht="15" customHeight="1" x14ac:dyDescent="0.25">
      <c r="A73" s="45"/>
      <c r="B73" s="46">
        <v>2</v>
      </c>
      <c r="C73" s="21" t="s">
        <v>145</v>
      </c>
      <c r="D73" s="47" t="s">
        <v>368</v>
      </c>
      <c r="E73" s="60"/>
      <c r="F73" s="60"/>
      <c r="G73" s="60"/>
      <c r="H73" s="60"/>
      <c r="I73" s="60"/>
      <c r="J73" s="60"/>
      <c r="K73" s="60"/>
      <c r="L73" s="74"/>
      <c r="M73" s="60"/>
      <c r="N73" s="60"/>
      <c r="O73" s="60"/>
      <c r="P73" s="60"/>
      <c r="Q73" s="60"/>
      <c r="R73" s="60"/>
      <c r="S73" s="60"/>
      <c r="T73" s="74"/>
    </row>
    <row r="74" spans="1:20" ht="15" customHeight="1" x14ac:dyDescent="0.25">
      <c r="A74" s="45" t="s">
        <v>235</v>
      </c>
      <c r="B74" s="46">
        <v>1</v>
      </c>
      <c r="C74" s="21" t="s">
        <v>146</v>
      </c>
      <c r="D74" s="47" t="s">
        <v>369</v>
      </c>
      <c r="E74" s="60"/>
      <c r="F74" s="60"/>
      <c r="G74" s="60"/>
      <c r="H74" s="60"/>
      <c r="I74" s="60"/>
      <c r="J74" s="60"/>
      <c r="K74" s="60"/>
      <c r="L74" s="74"/>
      <c r="M74" s="60"/>
      <c r="N74" s="60"/>
      <c r="O74" s="60"/>
      <c r="P74" s="60"/>
      <c r="Q74" s="60"/>
      <c r="R74" s="60"/>
      <c r="S74" s="60"/>
      <c r="T74" s="74"/>
    </row>
    <row r="75" spans="1:20" ht="15" customHeight="1" x14ac:dyDescent="0.25">
      <c r="A75" s="45"/>
      <c r="B75" s="46">
        <v>2</v>
      </c>
      <c r="C75" s="21" t="s">
        <v>146</v>
      </c>
      <c r="D75" s="47" t="s">
        <v>370</v>
      </c>
      <c r="E75" s="60"/>
      <c r="F75" s="60"/>
      <c r="G75" s="60"/>
      <c r="H75" s="60"/>
      <c r="I75" s="60"/>
      <c r="J75" s="60"/>
      <c r="K75" s="60"/>
      <c r="L75" s="74"/>
      <c r="M75" s="60"/>
      <c r="N75" s="60"/>
      <c r="O75" s="60"/>
      <c r="P75" s="60"/>
      <c r="Q75" s="60"/>
      <c r="R75" s="60"/>
      <c r="S75" s="60"/>
      <c r="T75" s="74"/>
    </row>
    <row r="76" spans="1:20" x14ac:dyDescent="0.25">
      <c r="A76" s="38" t="s">
        <v>163</v>
      </c>
      <c r="B76" s="39"/>
      <c r="C76" s="40"/>
      <c r="D76" s="41"/>
      <c r="E76" s="72"/>
      <c r="F76" s="72"/>
      <c r="G76" s="72"/>
      <c r="H76" s="72"/>
      <c r="I76" s="72"/>
      <c r="J76" s="72"/>
      <c r="K76" s="72"/>
      <c r="L76" s="75"/>
      <c r="M76" s="72"/>
      <c r="N76" s="72"/>
      <c r="O76" s="72"/>
      <c r="P76" s="72"/>
      <c r="Q76" s="72"/>
      <c r="R76" s="72"/>
      <c r="S76" s="72"/>
      <c r="T76" s="75"/>
    </row>
    <row r="77" spans="1:20" ht="15" customHeight="1" x14ac:dyDescent="0.25">
      <c r="A77" s="45" t="s">
        <v>163</v>
      </c>
      <c r="B77" s="46">
        <v>1</v>
      </c>
      <c r="C77" s="21" t="s">
        <v>162</v>
      </c>
      <c r="D77" s="47" t="s">
        <v>371</v>
      </c>
      <c r="E77" s="60"/>
      <c r="F77" s="60"/>
      <c r="G77" s="60"/>
      <c r="H77" s="60"/>
      <c r="I77" s="60"/>
      <c r="J77" s="60"/>
      <c r="K77" s="60"/>
      <c r="L77" s="74"/>
      <c r="M77" s="60"/>
      <c r="N77" s="60"/>
      <c r="O77" s="60"/>
      <c r="P77" s="60"/>
      <c r="Q77" s="60"/>
      <c r="R77" s="60"/>
      <c r="S77" s="60"/>
      <c r="T77" s="74"/>
    </row>
    <row r="78" spans="1:20" x14ac:dyDescent="0.25">
      <c r="A78" s="38" t="s">
        <v>236</v>
      </c>
      <c r="B78" s="39"/>
      <c r="C78" s="40"/>
      <c r="D78" s="41"/>
      <c r="E78" s="72"/>
      <c r="F78" s="72"/>
      <c r="G78" s="72"/>
      <c r="H78" s="72"/>
      <c r="I78" s="72"/>
      <c r="J78" s="72"/>
      <c r="K78" s="72"/>
      <c r="L78" s="75"/>
      <c r="M78" s="72"/>
      <c r="N78" s="72"/>
      <c r="O78" s="72"/>
      <c r="P78" s="72"/>
      <c r="Q78" s="72"/>
      <c r="R78" s="72"/>
      <c r="S78" s="72"/>
      <c r="T78" s="75"/>
    </row>
    <row r="79" spans="1:20" ht="15" customHeight="1" x14ac:dyDescent="0.25">
      <c r="A79" s="45" t="s">
        <v>236</v>
      </c>
      <c r="B79" s="46">
        <v>1</v>
      </c>
      <c r="C79" s="21" t="s">
        <v>161</v>
      </c>
      <c r="D79" s="47" t="s">
        <v>372</v>
      </c>
      <c r="E79" s="60"/>
      <c r="F79" s="60"/>
      <c r="G79" s="60"/>
      <c r="H79" s="60"/>
      <c r="I79" s="60"/>
      <c r="J79" s="60"/>
      <c r="K79" s="60"/>
      <c r="L79" s="74"/>
      <c r="M79" s="60"/>
      <c r="N79" s="60"/>
      <c r="O79" s="60"/>
      <c r="P79" s="60"/>
      <c r="Q79" s="60"/>
      <c r="R79" s="60"/>
      <c r="S79" s="60"/>
      <c r="T79" s="74"/>
    </row>
    <row r="80" spans="1:20" ht="15" customHeight="1" x14ac:dyDescent="0.25">
      <c r="A80" s="45"/>
      <c r="B80" s="46">
        <v>2</v>
      </c>
      <c r="C80" s="21" t="s">
        <v>161</v>
      </c>
      <c r="D80" s="47" t="s">
        <v>373</v>
      </c>
      <c r="E80" s="60"/>
      <c r="F80" s="60"/>
      <c r="G80" s="60"/>
      <c r="H80" s="60"/>
      <c r="I80" s="60"/>
      <c r="J80" s="60"/>
      <c r="K80" s="60"/>
      <c r="L80" s="74"/>
      <c r="M80" s="60"/>
      <c r="N80" s="60"/>
      <c r="O80" s="60"/>
      <c r="P80" s="60"/>
      <c r="Q80" s="60"/>
      <c r="R80" s="60"/>
      <c r="S80" s="60"/>
      <c r="T80" s="74"/>
    </row>
    <row r="81" spans="1:20" x14ac:dyDescent="0.25">
      <c r="A81" s="38" t="s">
        <v>237</v>
      </c>
      <c r="B81" s="39"/>
      <c r="C81" s="40"/>
      <c r="D81" s="41"/>
      <c r="E81" s="72"/>
      <c r="F81" s="72"/>
      <c r="G81" s="72"/>
      <c r="H81" s="72"/>
      <c r="I81" s="72"/>
      <c r="J81" s="72"/>
      <c r="K81" s="72"/>
      <c r="L81" s="75"/>
      <c r="M81" s="72"/>
      <c r="N81" s="72"/>
      <c r="O81" s="72"/>
      <c r="P81" s="72"/>
      <c r="Q81" s="72"/>
      <c r="R81" s="72"/>
      <c r="S81" s="72"/>
      <c r="T81" s="75"/>
    </row>
    <row r="82" spans="1:20" ht="15" customHeight="1" x14ac:dyDescent="0.25">
      <c r="A82" s="45" t="s">
        <v>237</v>
      </c>
      <c r="B82" s="46">
        <v>1</v>
      </c>
      <c r="C82" s="21" t="s">
        <v>157</v>
      </c>
      <c r="D82" s="47" t="s">
        <v>374</v>
      </c>
      <c r="E82" s="60"/>
      <c r="F82" s="60"/>
      <c r="G82" s="60"/>
      <c r="H82" s="60"/>
      <c r="I82" s="60"/>
      <c r="J82" s="60"/>
      <c r="K82" s="60"/>
      <c r="L82" s="74"/>
      <c r="M82" s="60"/>
      <c r="N82" s="60"/>
      <c r="O82" s="60"/>
      <c r="P82" s="60"/>
      <c r="Q82" s="60"/>
      <c r="R82" s="60"/>
      <c r="S82" s="60"/>
      <c r="T82" s="74"/>
    </row>
    <row r="83" spans="1:20" x14ac:dyDescent="0.25">
      <c r="A83" s="38" t="s">
        <v>238</v>
      </c>
      <c r="B83" s="39"/>
      <c r="C83" s="40"/>
      <c r="D83" s="41"/>
      <c r="E83" s="72"/>
      <c r="F83" s="72"/>
      <c r="G83" s="72"/>
      <c r="H83" s="72"/>
      <c r="I83" s="72"/>
      <c r="J83" s="72"/>
      <c r="K83" s="72"/>
      <c r="L83" s="75"/>
      <c r="M83" s="72"/>
      <c r="N83" s="72"/>
      <c r="O83" s="72"/>
      <c r="P83" s="72"/>
      <c r="Q83" s="72"/>
      <c r="R83" s="72"/>
      <c r="S83" s="72"/>
      <c r="T83" s="75"/>
    </row>
    <row r="84" spans="1:20" ht="15" customHeight="1" x14ac:dyDescent="0.25">
      <c r="A84" s="45" t="s">
        <v>238</v>
      </c>
      <c r="B84" s="46">
        <v>1</v>
      </c>
      <c r="C84" s="21" t="s">
        <v>158</v>
      </c>
      <c r="D84" s="47" t="s">
        <v>375</v>
      </c>
      <c r="E84" s="60"/>
      <c r="F84" s="60"/>
      <c r="G84" s="60"/>
      <c r="H84" s="60"/>
      <c r="I84" s="60"/>
      <c r="J84" s="60"/>
      <c r="K84" s="60"/>
      <c r="L84" s="74"/>
      <c r="M84" s="60"/>
      <c r="N84" s="60"/>
      <c r="O84" s="60"/>
      <c r="P84" s="60"/>
      <c r="Q84" s="60"/>
      <c r="R84" s="60"/>
      <c r="S84" s="60"/>
      <c r="T84" s="74"/>
    </row>
    <row r="85" spans="1:20" ht="15" customHeight="1" x14ac:dyDescent="0.25">
      <c r="A85" s="45"/>
      <c r="B85" s="46">
        <v>2</v>
      </c>
      <c r="C85" s="21" t="s">
        <v>158</v>
      </c>
      <c r="D85" s="47" t="s">
        <v>376</v>
      </c>
      <c r="E85" s="60"/>
      <c r="F85" s="60"/>
      <c r="G85" s="60"/>
      <c r="H85" s="60"/>
      <c r="I85" s="60"/>
      <c r="J85" s="60"/>
      <c r="K85" s="60"/>
      <c r="L85" s="74"/>
      <c r="M85" s="60"/>
      <c r="N85" s="60"/>
      <c r="O85" s="60"/>
      <c r="P85" s="60"/>
      <c r="Q85" s="60"/>
      <c r="R85" s="60"/>
      <c r="S85" s="60"/>
      <c r="T85" s="74"/>
    </row>
    <row r="86" spans="1:20" x14ac:dyDescent="0.25">
      <c r="A86" s="38" t="s">
        <v>239</v>
      </c>
      <c r="B86" s="39"/>
      <c r="C86" s="40"/>
      <c r="D86" s="41"/>
      <c r="E86" s="72"/>
      <c r="F86" s="72"/>
      <c r="G86" s="72"/>
      <c r="H86" s="72"/>
      <c r="I86" s="72"/>
      <c r="J86" s="72"/>
      <c r="K86" s="72"/>
      <c r="L86" s="75"/>
      <c r="M86" s="72"/>
      <c r="N86" s="72"/>
      <c r="O86" s="72"/>
      <c r="P86" s="72"/>
      <c r="Q86" s="72"/>
      <c r="R86" s="72"/>
      <c r="S86" s="72"/>
      <c r="T86" s="75"/>
    </row>
    <row r="87" spans="1:20" ht="15" customHeight="1" x14ac:dyDescent="0.25">
      <c r="A87" s="45" t="s">
        <v>239</v>
      </c>
      <c r="B87" s="46">
        <v>1</v>
      </c>
      <c r="C87" s="21" t="s">
        <v>159</v>
      </c>
      <c r="D87" s="47" t="s">
        <v>377</v>
      </c>
      <c r="E87" s="60"/>
      <c r="F87" s="60"/>
      <c r="G87" s="60"/>
      <c r="H87" s="60"/>
      <c r="I87" s="60"/>
      <c r="J87" s="60"/>
      <c r="K87" s="60"/>
      <c r="L87" s="74"/>
      <c r="M87" s="60"/>
      <c r="N87" s="60"/>
      <c r="O87" s="60"/>
      <c r="P87" s="60"/>
      <c r="Q87" s="60"/>
      <c r="R87" s="60"/>
      <c r="S87" s="60"/>
      <c r="T87" s="74"/>
    </row>
    <row r="88" spans="1:20" x14ac:dyDescent="0.25">
      <c r="A88" s="38" t="s">
        <v>240</v>
      </c>
      <c r="B88" s="39"/>
      <c r="C88" s="40"/>
      <c r="D88" s="41"/>
      <c r="E88" s="72"/>
      <c r="F88" s="72"/>
      <c r="G88" s="72"/>
      <c r="H88" s="72"/>
      <c r="I88" s="72"/>
      <c r="J88" s="72"/>
      <c r="K88" s="72"/>
      <c r="L88" s="75"/>
      <c r="M88" s="72"/>
      <c r="N88" s="72"/>
      <c r="O88" s="72"/>
      <c r="P88" s="72"/>
      <c r="Q88" s="72"/>
      <c r="R88" s="72"/>
      <c r="S88" s="72"/>
      <c r="T88" s="75"/>
    </row>
    <row r="89" spans="1:20" ht="15" customHeight="1" x14ac:dyDescent="0.25">
      <c r="A89" s="45" t="s">
        <v>240</v>
      </c>
      <c r="B89" s="46">
        <v>1</v>
      </c>
      <c r="C89" s="21" t="s">
        <v>160</v>
      </c>
      <c r="D89" s="47" t="s">
        <v>378</v>
      </c>
      <c r="E89" s="60"/>
      <c r="F89" s="60"/>
      <c r="G89" s="60"/>
      <c r="H89" s="60"/>
      <c r="I89" s="60"/>
      <c r="J89" s="60"/>
      <c r="K89" s="60"/>
      <c r="L89" s="74"/>
      <c r="M89" s="60"/>
      <c r="N89" s="60"/>
      <c r="O89" s="60"/>
      <c r="P89" s="60"/>
      <c r="Q89" s="60"/>
      <c r="R89" s="60"/>
      <c r="S89" s="60"/>
      <c r="T89" s="74"/>
    </row>
    <row r="90" spans="1:20" x14ac:dyDescent="0.25">
      <c r="A90" s="38" t="s">
        <v>241</v>
      </c>
      <c r="B90" s="39"/>
      <c r="C90" s="40"/>
      <c r="D90" s="41"/>
      <c r="E90" s="72"/>
      <c r="F90" s="72"/>
      <c r="G90" s="72"/>
      <c r="H90" s="72"/>
      <c r="I90" s="72"/>
      <c r="J90" s="72"/>
      <c r="K90" s="72"/>
      <c r="L90" s="75"/>
      <c r="M90" s="72"/>
      <c r="N90" s="72"/>
      <c r="O90" s="72"/>
      <c r="P90" s="72"/>
      <c r="Q90" s="72"/>
      <c r="R90" s="72"/>
      <c r="S90" s="72"/>
      <c r="T90" s="75"/>
    </row>
    <row r="91" spans="1:20" ht="15" customHeight="1" x14ac:dyDescent="0.25">
      <c r="A91" s="45" t="s">
        <v>242</v>
      </c>
      <c r="B91" s="46">
        <v>1</v>
      </c>
      <c r="C91" s="21" t="s">
        <v>243</v>
      </c>
      <c r="D91" s="47" t="s">
        <v>379</v>
      </c>
      <c r="E91" s="60"/>
      <c r="F91" s="60"/>
      <c r="G91" s="60"/>
      <c r="H91" s="60"/>
      <c r="I91" s="60"/>
      <c r="J91" s="60"/>
      <c r="K91" s="60"/>
      <c r="L91" s="74"/>
      <c r="M91" s="60"/>
      <c r="N91" s="60"/>
      <c r="O91" s="60"/>
      <c r="P91" s="60"/>
      <c r="Q91" s="60"/>
      <c r="R91" s="60"/>
      <c r="S91" s="60"/>
      <c r="T91" s="74"/>
    </row>
    <row r="92" spans="1:20" x14ac:dyDescent="0.25">
      <c r="A92" s="38" t="s">
        <v>244</v>
      </c>
      <c r="B92" s="39"/>
      <c r="C92" s="40"/>
      <c r="D92" s="41"/>
      <c r="E92" s="72"/>
      <c r="F92" s="72"/>
      <c r="G92" s="72"/>
      <c r="H92" s="72"/>
      <c r="I92" s="72"/>
      <c r="J92" s="72"/>
      <c r="K92" s="72"/>
      <c r="L92" s="75"/>
      <c r="M92" s="72"/>
      <c r="N92" s="72"/>
      <c r="O92" s="72"/>
      <c r="P92" s="72"/>
      <c r="Q92" s="72"/>
      <c r="R92" s="72"/>
      <c r="S92" s="72"/>
      <c r="T92" s="75"/>
    </row>
    <row r="93" spans="1:20" ht="15" customHeight="1" x14ac:dyDescent="0.25">
      <c r="A93" s="45" t="s">
        <v>245</v>
      </c>
      <c r="B93" s="46">
        <v>1</v>
      </c>
      <c r="C93" s="21" t="s">
        <v>246</v>
      </c>
      <c r="D93" s="47" t="s">
        <v>380</v>
      </c>
      <c r="E93" s="60"/>
      <c r="F93" s="60"/>
      <c r="G93" s="60"/>
      <c r="H93" s="60"/>
      <c r="I93" s="60"/>
      <c r="J93" s="60"/>
      <c r="K93" s="60"/>
      <c r="L93" s="74"/>
      <c r="M93" s="60"/>
      <c r="N93" s="60"/>
      <c r="O93" s="60"/>
      <c r="P93" s="60"/>
      <c r="Q93" s="60"/>
      <c r="R93" s="60"/>
      <c r="S93" s="60"/>
      <c r="T93" s="74"/>
    </row>
    <row r="94" spans="1:20" x14ac:dyDescent="0.25">
      <c r="A94" s="38" t="s">
        <v>247</v>
      </c>
      <c r="B94" s="39"/>
      <c r="C94" s="40"/>
      <c r="D94" s="41"/>
      <c r="E94" s="72"/>
      <c r="F94" s="72"/>
      <c r="G94" s="72"/>
      <c r="H94" s="72"/>
      <c r="I94" s="72"/>
      <c r="J94" s="72"/>
      <c r="K94" s="72"/>
      <c r="L94" s="75"/>
      <c r="M94" s="72"/>
      <c r="N94" s="72"/>
      <c r="O94" s="72"/>
      <c r="P94" s="72"/>
      <c r="Q94" s="72"/>
      <c r="R94" s="72"/>
      <c r="S94" s="72"/>
      <c r="T94" s="75"/>
    </row>
    <row r="95" spans="1:20" ht="15" customHeight="1" x14ac:dyDescent="0.25">
      <c r="A95" s="45" t="s">
        <v>247</v>
      </c>
      <c r="B95" s="46">
        <v>1</v>
      </c>
      <c r="C95" s="21" t="s">
        <v>184</v>
      </c>
      <c r="D95" s="47" t="s">
        <v>381</v>
      </c>
      <c r="E95" s="60"/>
      <c r="F95" s="60"/>
      <c r="G95" s="60"/>
      <c r="H95" s="60"/>
      <c r="I95" s="60"/>
      <c r="J95" s="60"/>
      <c r="K95" s="60"/>
      <c r="L95" s="74"/>
      <c r="M95" s="60"/>
      <c r="N95" s="60"/>
      <c r="O95" s="60"/>
      <c r="P95" s="60"/>
      <c r="Q95" s="60"/>
      <c r="R95" s="60"/>
      <c r="S95" s="60"/>
      <c r="T95" s="74"/>
    </row>
    <row r="96" spans="1:20" x14ac:dyDescent="0.25">
      <c r="A96" s="38" t="s">
        <v>248</v>
      </c>
      <c r="B96" s="39"/>
      <c r="C96" s="40"/>
      <c r="D96" s="41"/>
      <c r="E96" s="72"/>
      <c r="F96" s="72"/>
      <c r="G96" s="72"/>
      <c r="H96" s="72"/>
      <c r="I96" s="72"/>
      <c r="J96" s="72"/>
      <c r="K96" s="72"/>
      <c r="L96" s="75"/>
      <c r="M96" s="72"/>
      <c r="N96" s="72"/>
      <c r="O96" s="72"/>
      <c r="P96" s="72"/>
      <c r="Q96" s="72"/>
      <c r="R96" s="72"/>
      <c r="S96" s="72"/>
      <c r="T96" s="75"/>
    </row>
    <row r="97" spans="1:20" ht="15" customHeight="1" x14ac:dyDescent="0.25">
      <c r="A97" s="45" t="s">
        <v>249</v>
      </c>
      <c r="B97" s="46">
        <v>1</v>
      </c>
      <c r="C97" s="21"/>
      <c r="D97" s="47" t="s">
        <v>123</v>
      </c>
      <c r="E97" s="60"/>
      <c r="F97" s="60"/>
      <c r="G97" s="60"/>
      <c r="H97" s="60"/>
      <c r="I97" s="60"/>
      <c r="J97" s="60"/>
      <c r="K97" s="60"/>
      <c r="L97" s="74"/>
      <c r="M97" s="60"/>
      <c r="N97" s="60"/>
      <c r="O97" s="60"/>
      <c r="P97" s="60"/>
      <c r="Q97" s="60"/>
      <c r="R97" s="60"/>
      <c r="S97" s="60"/>
      <c r="T97" s="74"/>
    </row>
    <row r="98" spans="1:20" ht="15" customHeight="1" x14ac:dyDescent="0.25">
      <c r="A98" s="136" t="s">
        <v>250</v>
      </c>
      <c r="B98" s="137"/>
      <c r="C98" s="52"/>
      <c r="D98" s="53"/>
      <c r="E98" s="76"/>
      <c r="F98" s="76"/>
      <c r="G98" s="76"/>
      <c r="H98" s="76"/>
      <c r="I98" s="76"/>
      <c r="J98" s="76"/>
      <c r="K98" s="76"/>
      <c r="L98" s="77"/>
      <c r="M98" s="76"/>
      <c r="N98" s="76"/>
      <c r="O98" s="76"/>
      <c r="P98" s="76"/>
      <c r="Q98" s="76"/>
      <c r="R98" s="76"/>
      <c r="S98" s="76"/>
      <c r="T98" s="77"/>
    </row>
    <row r="99" spans="1:20" x14ac:dyDescent="0.25">
      <c r="A99" s="38" t="s">
        <v>251</v>
      </c>
      <c r="B99" s="39"/>
      <c r="C99" s="40"/>
      <c r="D99" s="41"/>
      <c r="E99" s="72"/>
      <c r="F99" s="72"/>
      <c r="G99" s="72"/>
      <c r="H99" s="72"/>
      <c r="I99" s="72"/>
      <c r="J99" s="72"/>
      <c r="K99" s="72"/>
      <c r="L99" s="75"/>
      <c r="M99" s="72"/>
      <c r="N99" s="72"/>
      <c r="O99" s="72"/>
      <c r="P99" s="72"/>
      <c r="Q99" s="72"/>
      <c r="R99" s="72"/>
      <c r="S99" s="72"/>
      <c r="T99" s="75"/>
    </row>
    <row r="100" spans="1:20" ht="15" customHeight="1" x14ac:dyDescent="0.25">
      <c r="A100" s="45" t="s">
        <v>251</v>
      </c>
      <c r="B100" s="46">
        <v>1</v>
      </c>
      <c r="C100" s="21" t="s">
        <v>137</v>
      </c>
      <c r="D100" s="47" t="s">
        <v>382</v>
      </c>
      <c r="E100" s="60"/>
      <c r="F100" s="60"/>
      <c r="G100" s="60"/>
      <c r="H100" s="60"/>
      <c r="I100" s="60"/>
      <c r="J100" s="60"/>
      <c r="K100" s="60"/>
      <c r="L100" s="74"/>
      <c r="M100" s="60"/>
      <c r="N100" s="60"/>
      <c r="O100" s="60"/>
      <c r="P100" s="60"/>
      <c r="Q100" s="60"/>
      <c r="R100" s="60"/>
      <c r="S100" s="60"/>
      <c r="T100" s="74"/>
    </row>
    <row r="101" spans="1:20" ht="15" customHeight="1" x14ac:dyDescent="0.25">
      <c r="A101" s="142" t="s">
        <v>252</v>
      </c>
      <c r="B101" s="143"/>
      <c r="C101" s="56"/>
      <c r="D101" s="57"/>
      <c r="E101" s="78"/>
      <c r="F101" s="78"/>
      <c r="G101" s="78"/>
      <c r="H101" s="78"/>
      <c r="I101" s="78"/>
      <c r="J101" s="78"/>
      <c r="K101" s="78"/>
      <c r="L101" s="79"/>
      <c r="M101" s="78"/>
      <c r="N101" s="78"/>
      <c r="O101" s="78"/>
      <c r="P101" s="78"/>
      <c r="Q101" s="78"/>
      <c r="R101" s="78"/>
      <c r="S101" s="78"/>
      <c r="T101" s="79"/>
    </row>
    <row r="102" spans="1:20" x14ac:dyDescent="0.25">
      <c r="A102" s="38" t="s">
        <v>253</v>
      </c>
      <c r="B102" s="39"/>
      <c r="C102" s="40"/>
      <c r="D102" s="41"/>
      <c r="E102" s="72"/>
      <c r="F102" s="72"/>
      <c r="G102" s="72"/>
      <c r="H102" s="72"/>
      <c r="I102" s="72"/>
      <c r="J102" s="72"/>
      <c r="K102" s="72"/>
      <c r="L102" s="75"/>
      <c r="M102" s="72"/>
      <c r="N102" s="72"/>
      <c r="O102" s="72"/>
      <c r="P102" s="72"/>
      <c r="Q102" s="72"/>
      <c r="R102" s="72"/>
      <c r="S102" s="72"/>
      <c r="T102" s="75"/>
    </row>
    <row r="103" spans="1:20" ht="15" customHeight="1" x14ac:dyDescent="0.25">
      <c r="A103" s="45" t="s">
        <v>253</v>
      </c>
      <c r="B103" s="46">
        <v>1</v>
      </c>
      <c r="C103" s="21" t="s">
        <v>138</v>
      </c>
      <c r="D103" s="47" t="s">
        <v>383</v>
      </c>
      <c r="E103" s="60"/>
      <c r="F103" s="60"/>
      <c r="G103" s="60"/>
      <c r="H103" s="60"/>
      <c r="I103" s="60"/>
      <c r="J103" s="60"/>
      <c r="K103" s="60"/>
      <c r="L103" s="74"/>
      <c r="M103" s="60"/>
      <c r="N103" s="60"/>
      <c r="O103" s="60"/>
      <c r="P103" s="60"/>
      <c r="Q103" s="60"/>
      <c r="R103" s="60"/>
      <c r="S103" s="60"/>
      <c r="T103" s="74"/>
    </row>
    <row r="104" spans="1:20" x14ac:dyDescent="0.25">
      <c r="A104" s="38" t="s">
        <v>254</v>
      </c>
      <c r="B104" s="39"/>
      <c r="C104" s="40"/>
      <c r="D104" s="41"/>
      <c r="E104" s="72"/>
      <c r="F104" s="72"/>
      <c r="G104" s="72"/>
      <c r="H104" s="72"/>
      <c r="I104" s="72"/>
      <c r="J104" s="72"/>
      <c r="K104" s="72"/>
      <c r="L104" s="75"/>
      <c r="M104" s="72"/>
      <c r="N104" s="72"/>
      <c r="O104" s="72"/>
      <c r="P104" s="72"/>
      <c r="Q104" s="72"/>
      <c r="R104" s="72"/>
      <c r="S104" s="72"/>
      <c r="T104" s="75"/>
    </row>
    <row r="105" spans="1:20" ht="15" customHeight="1" x14ac:dyDescent="0.25">
      <c r="A105" s="45" t="s">
        <v>254</v>
      </c>
      <c r="B105" s="46">
        <v>1</v>
      </c>
      <c r="C105" s="21" t="s">
        <v>140</v>
      </c>
      <c r="D105" s="47" t="s">
        <v>384</v>
      </c>
      <c r="E105" s="60"/>
      <c r="F105" s="60"/>
      <c r="G105" s="60"/>
      <c r="H105" s="60"/>
      <c r="I105" s="60"/>
      <c r="J105" s="60"/>
      <c r="K105" s="60"/>
      <c r="L105" s="74"/>
      <c r="M105" s="60"/>
      <c r="N105" s="60"/>
      <c r="O105" s="60"/>
      <c r="P105" s="60"/>
      <c r="Q105" s="60"/>
      <c r="R105" s="60"/>
      <c r="S105" s="60"/>
      <c r="T105" s="74"/>
    </row>
    <row r="106" spans="1:20" x14ac:dyDescent="0.25">
      <c r="A106" s="38" t="s">
        <v>255</v>
      </c>
      <c r="B106" s="39"/>
      <c r="C106" s="40"/>
      <c r="D106" s="41"/>
      <c r="E106" s="72"/>
      <c r="F106" s="72"/>
      <c r="G106" s="72"/>
      <c r="H106" s="72"/>
      <c r="I106" s="72"/>
      <c r="J106" s="72"/>
      <c r="K106" s="72"/>
      <c r="L106" s="75"/>
      <c r="M106" s="72"/>
      <c r="N106" s="72"/>
      <c r="O106" s="72"/>
      <c r="P106" s="72"/>
      <c r="Q106" s="72"/>
      <c r="R106" s="72"/>
      <c r="S106" s="72"/>
      <c r="T106" s="75"/>
    </row>
    <row r="107" spans="1:20" ht="15" customHeight="1" x14ac:dyDescent="0.25">
      <c r="A107" s="45" t="s">
        <v>255</v>
      </c>
      <c r="B107" s="46">
        <v>1</v>
      </c>
      <c r="C107" s="21" t="s">
        <v>142</v>
      </c>
      <c r="D107" s="47" t="s">
        <v>385</v>
      </c>
      <c r="E107" s="60"/>
      <c r="F107" s="60"/>
      <c r="G107" s="60"/>
      <c r="H107" s="60"/>
      <c r="I107" s="60"/>
      <c r="J107" s="60"/>
      <c r="K107" s="60"/>
      <c r="L107" s="74"/>
      <c r="M107" s="60"/>
      <c r="N107" s="60"/>
      <c r="O107" s="60"/>
      <c r="P107" s="60"/>
      <c r="Q107" s="60"/>
      <c r="R107" s="60"/>
      <c r="S107" s="60"/>
      <c r="T107" s="74"/>
    </row>
    <row r="108" spans="1:20" ht="15" customHeight="1" x14ac:dyDescent="0.25">
      <c r="A108" s="45"/>
      <c r="B108" s="46">
        <v>2</v>
      </c>
      <c r="C108" s="21" t="s">
        <v>142</v>
      </c>
      <c r="D108" s="47" t="s">
        <v>386</v>
      </c>
      <c r="E108" s="60"/>
      <c r="F108" s="60"/>
      <c r="G108" s="60"/>
      <c r="H108" s="60"/>
      <c r="I108" s="60"/>
      <c r="J108" s="60"/>
      <c r="K108" s="60"/>
      <c r="L108" s="74"/>
      <c r="M108" s="60"/>
      <c r="N108" s="60"/>
      <c r="O108" s="60"/>
      <c r="P108" s="60"/>
      <c r="Q108" s="60"/>
      <c r="R108" s="60"/>
      <c r="S108" s="60"/>
      <c r="T108" s="74"/>
    </row>
    <row r="109" spans="1:20" x14ac:dyDescent="0.25">
      <c r="A109" s="38" t="s">
        <v>256</v>
      </c>
      <c r="B109" s="39"/>
      <c r="C109" s="40"/>
      <c r="D109" s="41"/>
      <c r="E109" s="72"/>
      <c r="F109" s="72"/>
      <c r="G109" s="72"/>
      <c r="H109" s="72"/>
      <c r="I109" s="72"/>
      <c r="J109" s="72"/>
      <c r="K109" s="72"/>
      <c r="L109" s="75"/>
      <c r="M109" s="72"/>
      <c r="N109" s="72"/>
      <c r="O109" s="72"/>
      <c r="P109" s="72"/>
      <c r="Q109" s="72"/>
      <c r="R109" s="72"/>
      <c r="S109" s="72"/>
      <c r="T109" s="75"/>
    </row>
    <row r="110" spans="1:20" ht="15" customHeight="1" x14ac:dyDescent="0.25">
      <c r="A110" s="45" t="s">
        <v>256</v>
      </c>
      <c r="B110" s="46">
        <v>1</v>
      </c>
      <c r="C110" s="21" t="s">
        <v>139</v>
      </c>
      <c r="D110" s="47" t="s">
        <v>387</v>
      </c>
      <c r="E110" s="60"/>
      <c r="F110" s="60"/>
      <c r="G110" s="60"/>
      <c r="H110" s="60"/>
      <c r="I110" s="60"/>
      <c r="J110" s="60"/>
      <c r="K110" s="60"/>
      <c r="L110" s="74"/>
      <c r="M110" s="60"/>
      <c r="N110" s="60"/>
      <c r="O110" s="60"/>
      <c r="P110" s="60"/>
      <c r="Q110" s="60"/>
      <c r="R110" s="60"/>
      <c r="S110" s="60"/>
      <c r="T110" s="74"/>
    </row>
    <row r="111" spans="1:20" ht="15" customHeight="1" x14ac:dyDescent="0.25">
      <c r="A111" s="45"/>
      <c r="B111" s="46">
        <v>2</v>
      </c>
      <c r="C111" s="21" t="s">
        <v>139</v>
      </c>
      <c r="D111" s="47" t="s">
        <v>388</v>
      </c>
      <c r="E111" s="60"/>
      <c r="F111" s="60"/>
      <c r="G111" s="60"/>
      <c r="H111" s="60"/>
      <c r="I111" s="60"/>
      <c r="J111" s="60"/>
      <c r="K111" s="60"/>
      <c r="L111" s="74"/>
      <c r="M111" s="60"/>
      <c r="N111" s="60"/>
      <c r="O111" s="60"/>
      <c r="P111" s="60"/>
      <c r="Q111" s="60"/>
      <c r="R111" s="60"/>
      <c r="S111" s="60"/>
      <c r="T111" s="74"/>
    </row>
    <row r="112" spans="1:20" x14ac:dyDescent="0.25">
      <c r="A112" s="38" t="s">
        <v>144</v>
      </c>
      <c r="B112" s="39"/>
      <c r="C112" s="40"/>
      <c r="D112" s="41"/>
      <c r="E112" s="72"/>
      <c r="F112" s="72"/>
      <c r="G112" s="72"/>
      <c r="H112" s="72"/>
      <c r="I112" s="72"/>
      <c r="J112" s="72"/>
      <c r="K112" s="72"/>
      <c r="L112" s="75"/>
      <c r="M112" s="72"/>
      <c r="N112" s="72"/>
      <c r="O112" s="72"/>
      <c r="P112" s="72"/>
      <c r="Q112" s="72"/>
      <c r="R112" s="72"/>
      <c r="S112" s="72"/>
      <c r="T112" s="75"/>
    </row>
    <row r="113" spans="1:20" ht="15" customHeight="1" x14ac:dyDescent="0.25">
      <c r="A113" s="45" t="s">
        <v>144</v>
      </c>
      <c r="B113" s="46">
        <v>1</v>
      </c>
      <c r="C113" s="21" t="s">
        <v>143</v>
      </c>
      <c r="D113" s="47" t="s">
        <v>389</v>
      </c>
      <c r="E113" s="60"/>
      <c r="F113" s="60"/>
      <c r="G113" s="60"/>
      <c r="H113" s="60"/>
      <c r="I113" s="60"/>
      <c r="J113" s="60"/>
      <c r="K113" s="60"/>
      <c r="L113" s="74"/>
      <c r="M113" s="60"/>
      <c r="N113" s="60"/>
      <c r="O113" s="60"/>
      <c r="P113" s="60"/>
      <c r="Q113" s="60"/>
      <c r="R113" s="60"/>
      <c r="S113" s="60"/>
      <c r="T113" s="74"/>
    </row>
    <row r="114" spans="1:20" x14ac:dyDescent="0.25">
      <c r="A114" s="38" t="s">
        <v>150</v>
      </c>
      <c r="B114" s="39"/>
      <c r="C114" s="40"/>
      <c r="D114" s="41"/>
      <c r="E114" s="72"/>
      <c r="F114" s="72"/>
      <c r="G114" s="72"/>
      <c r="H114" s="72"/>
      <c r="I114" s="72"/>
      <c r="J114" s="72"/>
      <c r="K114" s="72"/>
      <c r="L114" s="75"/>
      <c r="M114" s="72"/>
      <c r="N114" s="72"/>
      <c r="O114" s="72"/>
      <c r="P114" s="72"/>
      <c r="Q114" s="72"/>
      <c r="R114" s="72"/>
      <c r="S114" s="72"/>
      <c r="T114" s="75"/>
    </row>
    <row r="115" spans="1:20" ht="15" customHeight="1" x14ac:dyDescent="0.25">
      <c r="A115" s="45" t="s">
        <v>150</v>
      </c>
      <c r="B115" s="46">
        <v>1</v>
      </c>
      <c r="C115" s="21" t="s">
        <v>149</v>
      </c>
      <c r="D115" s="47" t="s">
        <v>390</v>
      </c>
      <c r="E115" s="60"/>
      <c r="F115" s="60"/>
      <c r="G115" s="60"/>
      <c r="H115" s="60"/>
      <c r="I115" s="60"/>
      <c r="J115" s="60"/>
      <c r="K115" s="60"/>
      <c r="L115" s="74"/>
      <c r="M115" s="60"/>
      <c r="N115" s="60"/>
      <c r="O115" s="60"/>
      <c r="P115" s="60"/>
      <c r="Q115" s="60"/>
      <c r="R115" s="60"/>
      <c r="S115" s="60"/>
      <c r="T115" s="74"/>
    </row>
    <row r="116" spans="1:20" ht="15" customHeight="1" x14ac:dyDescent="0.25">
      <c r="A116" s="45"/>
      <c r="B116" s="46">
        <v>2</v>
      </c>
      <c r="C116" s="21" t="s">
        <v>149</v>
      </c>
      <c r="D116" s="47" t="s">
        <v>391</v>
      </c>
      <c r="E116" s="60"/>
      <c r="F116" s="60"/>
      <c r="G116" s="60"/>
      <c r="H116" s="60"/>
      <c r="I116" s="60"/>
      <c r="J116" s="60"/>
      <c r="K116" s="60"/>
      <c r="L116" s="74"/>
      <c r="M116" s="60"/>
      <c r="N116" s="60"/>
      <c r="O116" s="60"/>
      <c r="P116" s="60"/>
      <c r="Q116" s="60"/>
      <c r="R116" s="60"/>
      <c r="S116" s="60"/>
      <c r="T116" s="74"/>
    </row>
    <row r="117" spans="1:20" ht="15" customHeight="1" x14ac:dyDescent="0.25">
      <c r="A117" s="136" t="s">
        <v>257</v>
      </c>
      <c r="B117" s="137"/>
      <c r="C117" s="52"/>
      <c r="D117" s="53"/>
      <c r="E117" s="76"/>
      <c r="F117" s="76"/>
      <c r="G117" s="76"/>
      <c r="H117" s="76"/>
      <c r="I117" s="76"/>
      <c r="J117" s="76"/>
      <c r="K117" s="76"/>
      <c r="L117" s="77"/>
      <c r="M117" s="76"/>
      <c r="N117" s="76"/>
      <c r="O117" s="76"/>
      <c r="P117" s="76"/>
      <c r="Q117" s="76"/>
      <c r="R117" s="76"/>
      <c r="S117" s="76"/>
      <c r="T117" s="77"/>
    </row>
    <row r="118" spans="1:20" x14ac:dyDescent="0.25">
      <c r="A118" s="38" t="s">
        <v>181</v>
      </c>
      <c r="B118" s="39"/>
      <c r="C118" s="40"/>
      <c r="D118" s="41"/>
      <c r="E118" s="72"/>
      <c r="F118" s="72"/>
      <c r="G118" s="72"/>
      <c r="H118" s="72"/>
      <c r="I118" s="72"/>
      <c r="J118" s="72"/>
      <c r="K118" s="72"/>
      <c r="L118" s="75"/>
      <c r="M118" s="72"/>
      <c r="N118" s="72"/>
      <c r="O118" s="72"/>
      <c r="P118" s="72"/>
      <c r="Q118" s="72"/>
      <c r="R118" s="72"/>
      <c r="S118" s="72"/>
      <c r="T118" s="75"/>
    </row>
    <row r="119" spans="1:20" ht="15" customHeight="1" x14ac:dyDescent="0.25">
      <c r="A119" s="45" t="s">
        <v>258</v>
      </c>
      <c r="B119" s="46">
        <v>1</v>
      </c>
      <c r="C119" s="21" t="s">
        <v>180</v>
      </c>
      <c r="D119" s="47" t="s">
        <v>392</v>
      </c>
      <c r="E119" s="60"/>
      <c r="F119" s="60"/>
      <c r="G119" s="60"/>
      <c r="H119" s="60"/>
      <c r="I119" s="60"/>
      <c r="J119" s="60"/>
      <c r="K119" s="60"/>
      <c r="L119" s="74"/>
      <c r="M119" s="60"/>
      <c r="N119" s="60"/>
      <c r="O119" s="60"/>
      <c r="P119" s="60"/>
      <c r="Q119" s="60"/>
      <c r="R119" s="60"/>
      <c r="S119" s="60"/>
      <c r="T119" s="74"/>
    </row>
    <row r="120" spans="1:20" ht="15" customHeight="1" x14ac:dyDescent="0.25">
      <c r="A120" s="45"/>
      <c r="B120" s="46">
        <v>2</v>
      </c>
      <c r="C120" s="21" t="s">
        <v>180</v>
      </c>
      <c r="D120" s="47" t="s">
        <v>393</v>
      </c>
      <c r="E120" s="60"/>
      <c r="F120" s="60"/>
      <c r="G120" s="60"/>
      <c r="H120" s="60"/>
      <c r="I120" s="60"/>
      <c r="J120" s="60"/>
      <c r="K120" s="60"/>
      <c r="L120" s="74"/>
      <c r="M120" s="60"/>
      <c r="N120" s="60"/>
      <c r="O120" s="60"/>
      <c r="P120" s="60"/>
      <c r="Q120" s="60"/>
      <c r="R120" s="60"/>
      <c r="S120" s="60"/>
      <c r="T120" s="74"/>
    </row>
    <row r="121" spans="1:20" x14ac:dyDescent="0.25">
      <c r="A121" s="38" t="s">
        <v>179</v>
      </c>
      <c r="B121" s="39"/>
      <c r="C121" s="40"/>
      <c r="D121" s="41"/>
      <c r="E121" s="72"/>
      <c r="F121" s="72"/>
      <c r="G121" s="72"/>
      <c r="H121" s="72"/>
      <c r="I121" s="72"/>
      <c r="J121" s="72"/>
      <c r="K121" s="72"/>
      <c r="L121" s="75"/>
      <c r="M121" s="72"/>
      <c r="N121" s="72"/>
      <c r="O121" s="72"/>
      <c r="P121" s="72"/>
      <c r="Q121" s="72"/>
      <c r="R121" s="72"/>
      <c r="S121" s="72"/>
      <c r="T121" s="75"/>
    </row>
    <row r="122" spans="1:20" ht="15" customHeight="1" x14ac:dyDescent="0.25">
      <c r="A122" s="45" t="s">
        <v>259</v>
      </c>
      <c r="B122" s="46">
        <v>2</v>
      </c>
      <c r="C122" s="21" t="s">
        <v>178</v>
      </c>
      <c r="D122" s="47" t="s">
        <v>394</v>
      </c>
      <c r="E122" s="60"/>
      <c r="F122" s="60"/>
      <c r="G122" s="60"/>
      <c r="H122" s="60"/>
      <c r="I122" s="60"/>
      <c r="J122" s="60"/>
      <c r="K122" s="60"/>
      <c r="L122" s="74"/>
      <c r="M122" s="60"/>
      <c r="N122" s="60"/>
      <c r="O122" s="60"/>
      <c r="P122" s="60"/>
      <c r="Q122" s="60"/>
      <c r="R122" s="60"/>
      <c r="S122" s="60"/>
      <c r="T122" s="74"/>
    </row>
    <row r="123" spans="1:20" x14ac:dyDescent="0.25">
      <c r="A123" s="38" t="s">
        <v>260</v>
      </c>
      <c r="B123" s="39"/>
      <c r="C123" s="40"/>
      <c r="D123" s="41"/>
      <c r="E123" s="72"/>
      <c r="F123" s="72"/>
      <c r="G123" s="72"/>
      <c r="H123" s="72"/>
      <c r="I123" s="72"/>
      <c r="J123" s="72"/>
      <c r="K123" s="72"/>
      <c r="L123" s="75"/>
      <c r="M123" s="72"/>
      <c r="N123" s="72"/>
      <c r="O123" s="72"/>
      <c r="P123" s="72"/>
      <c r="Q123" s="72"/>
      <c r="R123" s="72"/>
      <c r="S123" s="72"/>
      <c r="T123" s="75"/>
    </row>
    <row r="124" spans="1:20" ht="15" customHeight="1" x14ac:dyDescent="0.25">
      <c r="A124" s="45" t="s">
        <v>261</v>
      </c>
      <c r="B124" s="46">
        <v>4</v>
      </c>
      <c r="C124" s="21"/>
      <c r="D124" s="47" t="s">
        <v>132</v>
      </c>
      <c r="E124" s="60"/>
      <c r="F124" s="60"/>
      <c r="G124" s="60"/>
      <c r="H124" s="60"/>
      <c r="I124" s="60"/>
      <c r="J124" s="60"/>
      <c r="K124" s="60"/>
      <c r="L124" s="74"/>
      <c r="M124" s="60"/>
      <c r="N124" s="60"/>
      <c r="O124" s="60"/>
      <c r="P124" s="60"/>
      <c r="Q124" s="60"/>
      <c r="R124" s="60"/>
      <c r="S124" s="60"/>
      <c r="T124" s="74"/>
    </row>
    <row r="125" spans="1:20" x14ac:dyDescent="0.25">
      <c r="A125" s="38" t="s">
        <v>262</v>
      </c>
      <c r="B125" s="39"/>
      <c r="C125" s="40"/>
      <c r="D125" s="41"/>
      <c r="E125" s="72"/>
      <c r="F125" s="72"/>
      <c r="G125" s="72"/>
      <c r="H125" s="72"/>
      <c r="I125" s="72"/>
      <c r="J125" s="72"/>
      <c r="K125" s="72"/>
      <c r="L125" s="75"/>
      <c r="M125" s="72"/>
      <c r="N125" s="72"/>
      <c r="O125" s="72"/>
      <c r="P125" s="72"/>
      <c r="Q125" s="72"/>
      <c r="R125" s="72"/>
      <c r="S125" s="72"/>
      <c r="T125" s="75"/>
    </row>
    <row r="126" spans="1:20" ht="15" customHeight="1" x14ac:dyDescent="0.25">
      <c r="A126" s="45" t="s">
        <v>153</v>
      </c>
      <c r="B126" s="46">
        <v>1</v>
      </c>
      <c r="C126" s="21" t="s">
        <v>152</v>
      </c>
      <c r="D126" s="47" t="s">
        <v>395</v>
      </c>
      <c r="E126" s="60"/>
      <c r="F126" s="60"/>
      <c r="G126" s="60"/>
      <c r="H126" s="60"/>
      <c r="I126" s="60"/>
      <c r="J126" s="60"/>
      <c r="K126" s="60"/>
      <c r="L126" s="74"/>
      <c r="M126" s="60"/>
      <c r="N126" s="60"/>
      <c r="O126" s="60"/>
      <c r="P126" s="60"/>
      <c r="Q126" s="60"/>
      <c r="R126" s="60"/>
      <c r="S126" s="60"/>
      <c r="T126" s="74"/>
    </row>
    <row r="127" spans="1:20" x14ac:dyDescent="0.25">
      <c r="A127" s="38" t="s">
        <v>156</v>
      </c>
      <c r="B127" s="39"/>
      <c r="C127" s="40"/>
      <c r="D127" s="41"/>
      <c r="E127" s="72"/>
      <c r="F127" s="72"/>
      <c r="G127" s="72"/>
      <c r="H127" s="72"/>
      <c r="I127" s="72"/>
      <c r="J127" s="72"/>
      <c r="K127" s="72"/>
      <c r="L127" s="75"/>
      <c r="M127" s="72"/>
      <c r="N127" s="72"/>
      <c r="O127" s="72"/>
      <c r="P127" s="72"/>
      <c r="Q127" s="72"/>
      <c r="R127" s="72"/>
      <c r="S127" s="72"/>
      <c r="T127" s="75"/>
    </row>
    <row r="128" spans="1:20" ht="15" customHeight="1" x14ac:dyDescent="0.25">
      <c r="A128" s="45" t="s">
        <v>156</v>
      </c>
      <c r="B128" s="46">
        <v>1</v>
      </c>
      <c r="C128" s="21" t="s">
        <v>155</v>
      </c>
      <c r="D128" s="47" t="s">
        <v>396</v>
      </c>
      <c r="E128" s="60"/>
      <c r="F128" s="60"/>
      <c r="G128" s="60"/>
      <c r="H128" s="60"/>
      <c r="I128" s="60"/>
      <c r="J128" s="60"/>
      <c r="K128" s="60"/>
      <c r="L128" s="74"/>
      <c r="M128" s="60"/>
      <c r="N128" s="60"/>
      <c r="O128" s="60"/>
      <c r="P128" s="60"/>
      <c r="Q128" s="60"/>
      <c r="R128" s="60"/>
      <c r="S128" s="60"/>
      <c r="T128" s="74"/>
    </row>
    <row r="129" spans="1:20" ht="15" customHeight="1" x14ac:dyDescent="0.25">
      <c r="A129" s="45"/>
      <c r="B129" s="46">
        <v>2</v>
      </c>
      <c r="C129" s="21" t="s">
        <v>155</v>
      </c>
      <c r="D129" s="47" t="s">
        <v>397</v>
      </c>
      <c r="E129" s="60"/>
      <c r="F129" s="60"/>
      <c r="G129" s="60"/>
      <c r="H129" s="60"/>
      <c r="I129" s="60"/>
      <c r="J129" s="60"/>
      <c r="K129" s="60"/>
      <c r="L129" s="74"/>
      <c r="M129" s="60"/>
      <c r="N129" s="60"/>
      <c r="O129" s="60"/>
      <c r="P129" s="60"/>
      <c r="Q129" s="60"/>
      <c r="R129" s="60"/>
      <c r="S129" s="60"/>
      <c r="T129" s="74"/>
    </row>
    <row r="130" spans="1:20" x14ac:dyDescent="0.25">
      <c r="A130" s="38" t="s">
        <v>263</v>
      </c>
      <c r="B130" s="39"/>
      <c r="C130" s="40"/>
      <c r="D130" s="41"/>
      <c r="E130" s="72"/>
      <c r="F130" s="72"/>
      <c r="G130" s="72"/>
      <c r="H130" s="72"/>
      <c r="I130" s="72"/>
      <c r="J130" s="72"/>
      <c r="K130" s="72"/>
      <c r="L130" s="75"/>
      <c r="M130" s="72"/>
      <c r="N130" s="72"/>
      <c r="O130" s="72"/>
      <c r="P130" s="72"/>
      <c r="Q130" s="72"/>
      <c r="R130" s="72"/>
      <c r="S130" s="72"/>
      <c r="T130" s="75"/>
    </row>
    <row r="131" spans="1:20" ht="15" customHeight="1" x14ac:dyDescent="0.25">
      <c r="A131" s="45" t="s">
        <v>264</v>
      </c>
      <c r="B131" s="46">
        <v>1</v>
      </c>
      <c r="C131" s="21" t="s">
        <v>151</v>
      </c>
      <c r="D131" s="47" t="s">
        <v>398</v>
      </c>
      <c r="E131" s="60"/>
      <c r="F131" s="60"/>
      <c r="G131" s="60"/>
      <c r="H131" s="60"/>
      <c r="I131" s="60"/>
      <c r="J131" s="60"/>
      <c r="K131" s="60"/>
      <c r="L131" s="74"/>
      <c r="M131" s="60"/>
      <c r="N131" s="60"/>
      <c r="O131" s="60"/>
      <c r="P131" s="60"/>
      <c r="Q131" s="60"/>
      <c r="R131" s="60"/>
      <c r="S131" s="60"/>
      <c r="T131" s="74"/>
    </row>
    <row r="132" spans="1:20" ht="15" customHeight="1" x14ac:dyDescent="0.25">
      <c r="A132" s="45"/>
      <c r="B132" s="46">
        <v>2</v>
      </c>
      <c r="C132" s="21" t="s">
        <v>151</v>
      </c>
      <c r="D132" s="47" t="s">
        <v>399</v>
      </c>
      <c r="E132" s="60"/>
      <c r="F132" s="60"/>
      <c r="G132" s="60"/>
      <c r="H132" s="60"/>
      <c r="I132" s="60"/>
      <c r="J132" s="60"/>
      <c r="K132" s="60"/>
      <c r="L132" s="74"/>
      <c r="M132" s="60"/>
      <c r="N132" s="60"/>
      <c r="O132" s="60"/>
      <c r="P132" s="60"/>
      <c r="Q132" s="60"/>
      <c r="R132" s="60"/>
      <c r="S132" s="60"/>
      <c r="T132" s="74"/>
    </row>
    <row r="133" spans="1:20" ht="15" customHeight="1" x14ac:dyDescent="0.25">
      <c r="A133" s="45"/>
      <c r="B133" s="46">
        <v>3</v>
      </c>
      <c r="C133" s="21" t="s">
        <v>265</v>
      </c>
      <c r="D133" s="47" t="s">
        <v>400</v>
      </c>
      <c r="E133" s="60"/>
      <c r="F133" s="60"/>
      <c r="G133" s="60"/>
      <c r="H133" s="60"/>
      <c r="I133" s="60"/>
      <c r="J133" s="60"/>
      <c r="K133" s="60"/>
      <c r="L133" s="74"/>
      <c r="M133" s="60"/>
      <c r="N133" s="60"/>
      <c r="O133" s="60"/>
      <c r="P133" s="60"/>
      <c r="Q133" s="60"/>
      <c r="R133" s="60"/>
      <c r="S133" s="60"/>
      <c r="T133" s="74"/>
    </row>
    <row r="134" spans="1:20" x14ac:dyDescent="0.25">
      <c r="A134" s="38" t="s">
        <v>266</v>
      </c>
      <c r="B134" s="39"/>
      <c r="C134" s="40"/>
      <c r="D134" s="41"/>
      <c r="E134" s="72"/>
      <c r="F134" s="72"/>
      <c r="G134" s="72"/>
      <c r="H134" s="72"/>
      <c r="I134" s="72"/>
      <c r="J134" s="72"/>
      <c r="K134" s="72"/>
      <c r="L134" s="75"/>
      <c r="M134" s="72"/>
      <c r="N134" s="72"/>
      <c r="O134" s="72"/>
      <c r="P134" s="72"/>
      <c r="Q134" s="72"/>
      <c r="R134" s="72"/>
      <c r="S134" s="72"/>
      <c r="T134" s="75"/>
    </row>
    <row r="135" spans="1:20" ht="15" customHeight="1" x14ac:dyDescent="0.25">
      <c r="A135" s="45" t="s">
        <v>266</v>
      </c>
      <c r="B135" s="46">
        <v>1</v>
      </c>
      <c r="C135" s="21" t="s">
        <v>154</v>
      </c>
      <c r="D135" s="47" t="s">
        <v>401</v>
      </c>
      <c r="E135" s="60"/>
      <c r="F135" s="60"/>
      <c r="G135" s="60"/>
      <c r="H135" s="60"/>
      <c r="I135" s="60"/>
      <c r="J135" s="60"/>
      <c r="K135" s="60"/>
      <c r="L135" s="74"/>
      <c r="M135" s="60"/>
      <c r="N135" s="60"/>
      <c r="O135" s="60"/>
      <c r="P135" s="60"/>
      <c r="Q135" s="60"/>
      <c r="R135" s="60"/>
      <c r="S135" s="60"/>
      <c r="T135" s="74"/>
    </row>
    <row r="136" spans="1:20" ht="15" customHeight="1" x14ac:dyDescent="0.25">
      <c r="A136" s="136" t="s">
        <v>267</v>
      </c>
      <c r="B136" s="137"/>
      <c r="C136" s="52"/>
      <c r="D136" s="53"/>
      <c r="E136" s="76"/>
      <c r="F136" s="76"/>
      <c r="G136" s="76"/>
      <c r="H136" s="76"/>
      <c r="I136" s="76"/>
      <c r="J136" s="76"/>
      <c r="K136" s="76"/>
      <c r="L136" s="77"/>
      <c r="M136" s="76"/>
      <c r="N136" s="76"/>
      <c r="O136" s="76"/>
      <c r="P136" s="76"/>
      <c r="Q136" s="76"/>
      <c r="R136" s="76"/>
      <c r="S136" s="76"/>
      <c r="T136" s="77"/>
    </row>
    <row r="137" spans="1:20" ht="15" customHeight="1" x14ac:dyDescent="0.25">
      <c r="A137" s="142" t="s">
        <v>268</v>
      </c>
      <c r="B137" s="143"/>
      <c r="C137" s="56"/>
      <c r="D137" s="57"/>
      <c r="E137" s="78"/>
      <c r="F137" s="78"/>
      <c r="G137" s="78"/>
      <c r="H137" s="78"/>
      <c r="I137" s="78"/>
      <c r="J137" s="78"/>
      <c r="K137" s="78"/>
      <c r="L137" s="79"/>
      <c r="M137" s="78"/>
      <c r="N137" s="78"/>
      <c r="O137" s="78"/>
      <c r="P137" s="78"/>
      <c r="Q137" s="78"/>
      <c r="R137" s="78"/>
      <c r="S137" s="78"/>
      <c r="T137" s="79"/>
    </row>
    <row r="138" spans="1:20" x14ac:dyDescent="0.25">
      <c r="A138" s="38" t="s">
        <v>269</v>
      </c>
      <c r="B138" s="39"/>
      <c r="C138" s="40"/>
      <c r="D138" s="41"/>
      <c r="E138" s="72"/>
      <c r="F138" s="72"/>
      <c r="G138" s="72"/>
      <c r="H138" s="72"/>
      <c r="I138" s="72"/>
      <c r="J138" s="72"/>
      <c r="K138" s="72"/>
      <c r="L138" s="75"/>
      <c r="M138" s="72"/>
      <c r="N138" s="72"/>
      <c r="O138" s="72"/>
      <c r="P138" s="72"/>
      <c r="Q138" s="72"/>
      <c r="R138" s="72"/>
      <c r="S138" s="72"/>
      <c r="T138" s="75"/>
    </row>
    <row r="139" spans="1:20" ht="15" customHeight="1" x14ac:dyDescent="0.25">
      <c r="A139" s="45" t="s">
        <v>270</v>
      </c>
      <c r="B139" s="46">
        <v>1</v>
      </c>
      <c r="C139" s="21" t="s">
        <v>271</v>
      </c>
      <c r="D139" s="47" t="s">
        <v>402</v>
      </c>
      <c r="E139" s="60"/>
      <c r="F139" s="60"/>
      <c r="G139" s="60"/>
      <c r="H139" s="60"/>
      <c r="I139" s="60"/>
      <c r="J139" s="60"/>
      <c r="K139" s="60"/>
      <c r="L139" s="74"/>
      <c r="M139" s="60"/>
      <c r="N139" s="60"/>
      <c r="O139" s="60"/>
      <c r="P139" s="60"/>
      <c r="Q139" s="60"/>
      <c r="R139" s="60"/>
      <c r="S139" s="60"/>
      <c r="T139" s="74"/>
    </row>
    <row r="140" spans="1:20" ht="15" customHeight="1" x14ac:dyDescent="0.25">
      <c r="A140" s="45"/>
      <c r="B140" s="46">
        <v>2</v>
      </c>
      <c r="C140" s="21" t="s">
        <v>271</v>
      </c>
      <c r="D140" s="47" t="s">
        <v>403</v>
      </c>
      <c r="E140" s="60"/>
      <c r="F140" s="60"/>
      <c r="G140" s="60"/>
      <c r="H140" s="60"/>
      <c r="I140" s="60"/>
      <c r="J140" s="60"/>
      <c r="K140" s="60"/>
      <c r="L140" s="74"/>
      <c r="M140" s="60"/>
      <c r="N140" s="60"/>
      <c r="O140" s="60"/>
      <c r="P140" s="60"/>
      <c r="Q140" s="60"/>
      <c r="R140" s="60"/>
      <c r="S140" s="60"/>
      <c r="T140" s="74"/>
    </row>
    <row r="141" spans="1:20" ht="15" customHeight="1" x14ac:dyDescent="0.25">
      <c r="A141" s="45"/>
      <c r="B141" s="46">
        <v>3</v>
      </c>
      <c r="C141" s="21" t="s">
        <v>271</v>
      </c>
      <c r="D141" s="47" t="s">
        <v>404</v>
      </c>
      <c r="E141" s="60"/>
      <c r="F141" s="60"/>
      <c r="G141" s="60"/>
      <c r="H141" s="60"/>
      <c r="I141" s="60"/>
      <c r="J141" s="60"/>
      <c r="K141" s="60"/>
      <c r="L141" s="74"/>
      <c r="M141" s="60"/>
      <c r="N141" s="60"/>
      <c r="O141" s="60"/>
      <c r="P141" s="60"/>
      <c r="Q141" s="60"/>
      <c r="R141" s="60"/>
      <c r="S141" s="60"/>
      <c r="T141" s="74"/>
    </row>
    <row r="142" spans="1:20" ht="15" customHeight="1" x14ac:dyDescent="0.25">
      <c r="A142" s="45"/>
      <c r="B142" s="46">
        <v>4</v>
      </c>
      <c r="C142" s="21" t="s">
        <v>271</v>
      </c>
      <c r="D142" s="47" t="s">
        <v>405</v>
      </c>
      <c r="E142" s="60"/>
      <c r="F142" s="60"/>
      <c r="G142" s="60"/>
      <c r="H142" s="60"/>
      <c r="I142" s="60"/>
      <c r="J142" s="60"/>
      <c r="K142" s="60"/>
      <c r="L142" s="74"/>
      <c r="M142" s="60"/>
      <c r="N142" s="60"/>
      <c r="O142" s="60"/>
      <c r="P142" s="60"/>
      <c r="Q142" s="60"/>
      <c r="R142" s="60"/>
      <c r="S142" s="60"/>
      <c r="T142" s="74"/>
    </row>
    <row r="143" spans="1:20" ht="15" customHeight="1" x14ac:dyDescent="0.25">
      <c r="A143" s="45" t="s">
        <v>272</v>
      </c>
      <c r="B143" s="46">
        <v>1</v>
      </c>
      <c r="C143" s="21" t="s">
        <v>169</v>
      </c>
      <c r="D143" s="47" t="s">
        <v>406</v>
      </c>
      <c r="E143" s="60"/>
      <c r="F143" s="60"/>
      <c r="G143" s="60"/>
      <c r="H143" s="60"/>
      <c r="I143" s="60"/>
      <c r="J143" s="60"/>
      <c r="K143" s="60"/>
      <c r="L143" s="74"/>
      <c r="M143" s="60"/>
      <c r="N143" s="60"/>
      <c r="O143" s="60"/>
      <c r="P143" s="60"/>
      <c r="Q143" s="60"/>
      <c r="R143" s="60"/>
      <c r="S143" s="60"/>
      <c r="T143" s="74"/>
    </row>
    <row r="144" spans="1:20" ht="15" customHeight="1" x14ac:dyDescent="0.25">
      <c r="A144" s="45"/>
      <c r="B144" s="46">
        <v>2</v>
      </c>
      <c r="C144" s="21" t="s">
        <v>169</v>
      </c>
      <c r="D144" s="47" t="s">
        <v>407</v>
      </c>
      <c r="E144" s="60"/>
      <c r="F144" s="60"/>
      <c r="G144" s="60"/>
      <c r="H144" s="60"/>
      <c r="I144" s="60"/>
      <c r="J144" s="60"/>
      <c r="K144" s="60"/>
      <c r="L144" s="74"/>
      <c r="M144" s="60"/>
      <c r="N144" s="60"/>
      <c r="O144" s="60"/>
      <c r="P144" s="60"/>
      <c r="Q144" s="60"/>
      <c r="R144" s="60"/>
      <c r="S144" s="60"/>
      <c r="T144" s="74"/>
    </row>
    <row r="145" spans="1:20" ht="15" customHeight="1" x14ac:dyDescent="0.25">
      <c r="A145" s="45"/>
      <c r="B145" s="46">
        <v>3</v>
      </c>
      <c r="C145" s="21" t="s">
        <v>169</v>
      </c>
      <c r="D145" s="47" t="s">
        <v>408</v>
      </c>
      <c r="E145" s="60"/>
      <c r="F145" s="60"/>
      <c r="G145" s="60"/>
      <c r="H145" s="60"/>
      <c r="I145" s="60"/>
      <c r="J145" s="60"/>
      <c r="K145" s="60"/>
      <c r="L145" s="74"/>
      <c r="M145" s="60"/>
      <c r="N145" s="60"/>
      <c r="O145" s="60"/>
      <c r="P145" s="60"/>
      <c r="Q145" s="60"/>
      <c r="R145" s="60"/>
      <c r="S145" s="60"/>
      <c r="T145" s="74"/>
    </row>
    <row r="146" spans="1:20" ht="15" customHeight="1" x14ac:dyDescent="0.25">
      <c r="A146" s="45"/>
      <c r="B146" s="46">
        <v>4</v>
      </c>
      <c r="C146" s="21" t="s">
        <v>169</v>
      </c>
      <c r="D146" s="47" t="s">
        <v>409</v>
      </c>
      <c r="E146" s="60"/>
      <c r="F146" s="60"/>
      <c r="G146" s="60"/>
      <c r="H146" s="60"/>
      <c r="I146" s="60"/>
      <c r="J146" s="60"/>
      <c r="K146" s="60"/>
      <c r="L146" s="74"/>
      <c r="M146" s="60"/>
      <c r="N146" s="60"/>
      <c r="O146" s="60"/>
      <c r="P146" s="60"/>
      <c r="Q146" s="60"/>
      <c r="R146" s="60"/>
      <c r="S146" s="60"/>
      <c r="T146" s="74"/>
    </row>
    <row r="147" spans="1:20" ht="15" customHeight="1" x14ac:dyDescent="0.25">
      <c r="A147" s="45" t="s">
        <v>273</v>
      </c>
      <c r="B147" s="46">
        <v>1</v>
      </c>
      <c r="C147" s="21" t="s">
        <v>170</v>
      </c>
      <c r="D147" s="47" t="s">
        <v>410</v>
      </c>
      <c r="E147" s="60"/>
      <c r="F147" s="60"/>
      <c r="G147" s="60"/>
      <c r="H147" s="60"/>
      <c r="I147" s="60"/>
      <c r="J147" s="60"/>
      <c r="K147" s="60"/>
      <c r="L147" s="74"/>
      <c r="M147" s="60"/>
      <c r="N147" s="60"/>
      <c r="O147" s="60"/>
      <c r="P147" s="60"/>
      <c r="Q147" s="60"/>
      <c r="R147" s="60"/>
      <c r="S147" s="60"/>
      <c r="T147" s="74"/>
    </row>
    <row r="148" spans="1:20" ht="15" customHeight="1" x14ac:dyDescent="0.25">
      <c r="A148" s="45"/>
      <c r="B148" s="46">
        <v>2</v>
      </c>
      <c r="C148" s="21" t="s">
        <v>170</v>
      </c>
      <c r="D148" s="47" t="s">
        <v>411</v>
      </c>
      <c r="E148" s="60"/>
      <c r="F148" s="60"/>
      <c r="G148" s="60"/>
      <c r="H148" s="60"/>
      <c r="I148" s="60"/>
      <c r="J148" s="60"/>
      <c r="K148" s="60"/>
      <c r="L148" s="74"/>
      <c r="M148" s="60"/>
      <c r="N148" s="60"/>
      <c r="O148" s="60"/>
      <c r="P148" s="60"/>
      <c r="Q148" s="60"/>
      <c r="R148" s="60"/>
      <c r="S148" s="60"/>
      <c r="T148" s="74"/>
    </row>
    <row r="149" spans="1:20" ht="15" customHeight="1" x14ac:dyDescent="0.25">
      <c r="A149" s="45"/>
      <c r="B149" s="46">
        <v>3</v>
      </c>
      <c r="C149" s="21" t="s">
        <v>170</v>
      </c>
      <c r="D149" s="47" t="s">
        <v>412</v>
      </c>
      <c r="E149" s="60"/>
      <c r="F149" s="60"/>
      <c r="G149" s="60"/>
      <c r="H149" s="60"/>
      <c r="I149" s="60"/>
      <c r="J149" s="60"/>
      <c r="K149" s="60"/>
      <c r="L149" s="74"/>
      <c r="M149" s="60"/>
      <c r="N149" s="60"/>
      <c r="O149" s="60"/>
      <c r="P149" s="60"/>
      <c r="Q149" s="60"/>
      <c r="R149" s="60"/>
      <c r="S149" s="60"/>
      <c r="T149" s="74"/>
    </row>
    <row r="150" spans="1:20" ht="15" customHeight="1" x14ac:dyDescent="0.25">
      <c r="A150" s="45"/>
      <c r="B150" s="46">
        <v>4</v>
      </c>
      <c r="C150" s="21" t="s">
        <v>170</v>
      </c>
      <c r="D150" s="47" t="s">
        <v>413</v>
      </c>
      <c r="E150" s="60"/>
      <c r="F150" s="60"/>
      <c r="G150" s="60"/>
      <c r="H150" s="60"/>
      <c r="I150" s="60"/>
      <c r="J150" s="60"/>
      <c r="K150" s="60"/>
      <c r="L150" s="74"/>
      <c r="M150" s="60"/>
      <c r="N150" s="60"/>
      <c r="O150" s="60"/>
      <c r="P150" s="60"/>
      <c r="Q150" s="60"/>
      <c r="R150" s="60"/>
      <c r="S150" s="60"/>
      <c r="T150" s="74"/>
    </row>
    <row r="151" spans="1:20" ht="15" customHeight="1" x14ac:dyDescent="0.25">
      <c r="A151" s="45" t="s">
        <v>274</v>
      </c>
      <c r="B151" s="46">
        <v>1</v>
      </c>
      <c r="C151" s="21" t="s">
        <v>171</v>
      </c>
      <c r="D151" s="47" t="s">
        <v>414</v>
      </c>
      <c r="E151" s="60"/>
      <c r="F151" s="60"/>
      <c r="G151" s="60"/>
      <c r="H151" s="60"/>
      <c r="I151" s="60"/>
      <c r="J151" s="60"/>
      <c r="K151" s="60"/>
      <c r="L151" s="74"/>
      <c r="M151" s="60"/>
      <c r="N151" s="60"/>
      <c r="O151" s="60"/>
      <c r="P151" s="60"/>
      <c r="Q151" s="60"/>
      <c r="R151" s="60"/>
      <c r="S151" s="60"/>
      <c r="T151" s="74"/>
    </row>
    <row r="152" spans="1:20" ht="15" customHeight="1" x14ac:dyDescent="0.25">
      <c r="A152" s="45"/>
      <c r="B152" s="46">
        <v>2</v>
      </c>
      <c r="C152" s="21" t="s">
        <v>171</v>
      </c>
      <c r="D152" s="47" t="s">
        <v>415</v>
      </c>
      <c r="E152" s="60"/>
      <c r="F152" s="60"/>
      <c r="G152" s="60"/>
      <c r="H152" s="60"/>
      <c r="I152" s="60"/>
      <c r="J152" s="60"/>
      <c r="K152" s="60"/>
      <c r="L152" s="74"/>
      <c r="M152" s="60"/>
      <c r="N152" s="60"/>
      <c r="O152" s="60"/>
      <c r="P152" s="60"/>
      <c r="Q152" s="60"/>
      <c r="R152" s="60"/>
      <c r="S152" s="60"/>
      <c r="T152" s="74"/>
    </row>
    <row r="153" spans="1:20" ht="15" customHeight="1" x14ac:dyDescent="0.25">
      <c r="A153" s="45"/>
      <c r="B153" s="46">
        <v>3</v>
      </c>
      <c r="C153" s="21" t="s">
        <v>171</v>
      </c>
      <c r="D153" s="47" t="s">
        <v>416</v>
      </c>
      <c r="E153" s="60"/>
      <c r="F153" s="60"/>
      <c r="G153" s="60"/>
      <c r="H153" s="60"/>
      <c r="I153" s="60"/>
      <c r="J153" s="60"/>
      <c r="K153" s="60"/>
      <c r="L153" s="74"/>
      <c r="M153" s="60"/>
      <c r="N153" s="60"/>
      <c r="O153" s="60"/>
      <c r="P153" s="60"/>
      <c r="Q153" s="60"/>
      <c r="R153" s="60"/>
      <c r="S153" s="60"/>
      <c r="T153" s="74"/>
    </row>
    <row r="154" spans="1:20" ht="15" customHeight="1" x14ac:dyDescent="0.25">
      <c r="A154" s="45"/>
      <c r="B154" s="46">
        <v>4</v>
      </c>
      <c r="C154" s="21" t="s">
        <v>171</v>
      </c>
      <c r="D154" s="47" t="s">
        <v>417</v>
      </c>
      <c r="E154" s="60"/>
      <c r="F154" s="60"/>
      <c r="G154" s="60"/>
      <c r="H154" s="60"/>
      <c r="I154" s="60"/>
      <c r="J154" s="60"/>
      <c r="K154" s="60"/>
      <c r="L154" s="74"/>
      <c r="M154" s="60"/>
      <c r="N154" s="60"/>
      <c r="O154" s="60"/>
      <c r="P154" s="60"/>
      <c r="Q154" s="60"/>
      <c r="R154" s="60"/>
      <c r="S154" s="60"/>
      <c r="T154" s="74"/>
    </row>
    <row r="155" spans="1:20" ht="15" customHeight="1" x14ac:dyDescent="0.25">
      <c r="A155" s="45" t="s">
        <v>275</v>
      </c>
      <c r="B155" s="46">
        <v>1</v>
      </c>
      <c r="C155" s="21" t="s">
        <v>172</v>
      </c>
      <c r="D155" s="47" t="s">
        <v>418</v>
      </c>
      <c r="E155" s="60"/>
      <c r="F155" s="60"/>
      <c r="G155" s="60"/>
      <c r="H155" s="60"/>
      <c r="I155" s="60"/>
      <c r="J155" s="60"/>
      <c r="K155" s="60"/>
      <c r="L155" s="74"/>
      <c r="M155" s="60"/>
      <c r="N155" s="60"/>
      <c r="O155" s="60"/>
      <c r="P155" s="60"/>
      <c r="Q155" s="60"/>
      <c r="R155" s="60"/>
      <c r="S155" s="60"/>
      <c r="T155" s="74"/>
    </row>
    <row r="156" spans="1:20" ht="15" customHeight="1" x14ac:dyDescent="0.25">
      <c r="A156" s="45"/>
      <c r="B156" s="46">
        <v>2</v>
      </c>
      <c r="C156" s="21" t="s">
        <v>172</v>
      </c>
      <c r="D156" s="47" t="s">
        <v>419</v>
      </c>
      <c r="E156" s="60"/>
      <c r="F156" s="60"/>
      <c r="G156" s="60"/>
      <c r="H156" s="60"/>
      <c r="I156" s="60"/>
      <c r="J156" s="60"/>
      <c r="K156" s="60"/>
      <c r="L156" s="74"/>
      <c r="M156" s="60"/>
      <c r="N156" s="60"/>
      <c r="O156" s="60"/>
      <c r="P156" s="60"/>
      <c r="Q156" s="60"/>
      <c r="R156" s="60"/>
      <c r="S156" s="60"/>
      <c r="T156" s="74"/>
    </row>
    <row r="157" spans="1:20" ht="15" customHeight="1" x14ac:dyDescent="0.25">
      <c r="A157" s="45"/>
      <c r="B157" s="46">
        <v>3</v>
      </c>
      <c r="C157" s="21" t="s">
        <v>172</v>
      </c>
      <c r="D157" s="47" t="s">
        <v>420</v>
      </c>
      <c r="E157" s="60"/>
      <c r="F157" s="60"/>
      <c r="G157" s="60"/>
      <c r="H157" s="60"/>
      <c r="I157" s="60"/>
      <c r="J157" s="60"/>
      <c r="K157" s="60"/>
      <c r="L157" s="74"/>
      <c r="M157" s="60"/>
      <c r="N157" s="60"/>
      <c r="O157" s="60"/>
      <c r="P157" s="60"/>
      <c r="Q157" s="60"/>
      <c r="R157" s="60"/>
      <c r="S157" s="60"/>
      <c r="T157" s="74"/>
    </row>
    <row r="158" spans="1:20" ht="15" customHeight="1" x14ac:dyDescent="0.25">
      <c r="A158" s="45"/>
      <c r="B158" s="46">
        <v>4</v>
      </c>
      <c r="C158" s="21" t="s">
        <v>172</v>
      </c>
      <c r="D158" s="47" t="s">
        <v>421</v>
      </c>
      <c r="E158" s="60"/>
      <c r="F158" s="60"/>
      <c r="G158" s="60"/>
      <c r="H158" s="60"/>
      <c r="I158" s="60"/>
      <c r="J158" s="60"/>
      <c r="K158" s="60"/>
      <c r="L158" s="74"/>
      <c r="M158" s="60"/>
      <c r="N158" s="60"/>
      <c r="O158" s="60"/>
      <c r="P158" s="60"/>
      <c r="Q158" s="60"/>
      <c r="R158" s="60"/>
      <c r="S158" s="60"/>
      <c r="T158" s="74"/>
    </row>
    <row r="159" spans="1:20" ht="15" customHeight="1" x14ac:dyDescent="0.25">
      <c r="A159" s="45" t="s">
        <v>276</v>
      </c>
      <c r="B159" s="46">
        <v>1</v>
      </c>
      <c r="C159" s="21" t="s">
        <v>173</v>
      </c>
      <c r="D159" s="47" t="s">
        <v>422</v>
      </c>
      <c r="E159" s="60"/>
      <c r="F159" s="60"/>
      <c r="G159" s="60"/>
      <c r="H159" s="60"/>
      <c r="I159" s="60"/>
      <c r="J159" s="60"/>
      <c r="K159" s="60"/>
      <c r="L159" s="74"/>
      <c r="M159" s="60"/>
      <c r="N159" s="60"/>
      <c r="O159" s="60"/>
      <c r="P159" s="60"/>
      <c r="Q159" s="60"/>
      <c r="R159" s="60"/>
      <c r="S159" s="60"/>
      <c r="T159" s="74"/>
    </row>
    <row r="160" spans="1:20" ht="15" customHeight="1" x14ac:dyDescent="0.25">
      <c r="A160" s="45"/>
      <c r="B160" s="46">
        <v>2</v>
      </c>
      <c r="C160" s="21" t="s">
        <v>173</v>
      </c>
      <c r="D160" s="47" t="s">
        <v>423</v>
      </c>
      <c r="E160" s="60"/>
      <c r="F160" s="60"/>
      <c r="G160" s="60"/>
      <c r="H160" s="60"/>
      <c r="I160" s="60"/>
      <c r="J160" s="60"/>
      <c r="K160" s="60"/>
      <c r="L160" s="74"/>
      <c r="M160" s="60"/>
      <c r="N160" s="60"/>
      <c r="O160" s="60"/>
      <c r="P160" s="60"/>
      <c r="Q160" s="60"/>
      <c r="R160" s="60"/>
      <c r="S160" s="60"/>
      <c r="T160" s="74"/>
    </row>
    <row r="161" spans="1:20" ht="15" customHeight="1" x14ac:dyDescent="0.25">
      <c r="A161" s="45"/>
      <c r="B161" s="46">
        <v>3</v>
      </c>
      <c r="C161" s="21" t="s">
        <v>173</v>
      </c>
      <c r="D161" s="47" t="s">
        <v>424</v>
      </c>
      <c r="E161" s="60"/>
      <c r="F161" s="60"/>
      <c r="G161" s="60"/>
      <c r="H161" s="60"/>
      <c r="I161" s="60"/>
      <c r="J161" s="60"/>
      <c r="K161" s="60"/>
      <c r="L161" s="74"/>
      <c r="M161" s="60"/>
      <c r="N161" s="60"/>
      <c r="O161" s="60"/>
      <c r="P161" s="60"/>
      <c r="Q161" s="60"/>
      <c r="R161" s="60"/>
      <c r="S161" s="60"/>
      <c r="T161" s="74"/>
    </row>
    <row r="162" spans="1:20" ht="15" customHeight="1" x14ac:dyDescent="0.25">
      <c r="A162" s="136" t="s">
        <v>277</v>
      </c>
      <c r="B162" s="137"/>
      <c r="C162" s="52"/>
      <c r="D162" s="53"/>
      <c r="E162" s="76"/>
      <c r="F162" s="76"/>
      <c r="G162" s="76"/>
      <c r="H162" s="76"/>
      <c r="I162" s="76"/>
      <c r="J162" s="76"/>
      <c r="K162" s="76"/>
      <c r="L162" s="77"/>
      <c r="M162" s="76"/>
      <c r="N162" s="76"/>
      <c r="O162" s="76"/>
      <c r="P162" s="76"/>
      <c r="Q162" s="76"/>
      <c r="R162" s="76"/>
      <c r="S162" s="76"/>
      <c r="T162" s="77"/>
    </row>
    <row r="163" spans="1:20" x14ac:dyDescent="0.25">
      <c r="A163" s="38" t="s">
        <v>278</v>
      </c>
      <c r="B163" s="39"/>
      <c r="C163" s="40"/>
      <c r="D163" s="41"/>
      <c r="E163" s="72"/>
      <c r="F163" s="72"/>
      <c r="G163" s="72"/>
      <c r="H163" s="72"/>
      <c r="I163" s="72"/>
      <c r="J163" s="72"/>
      <c r="K163" s="72"/>
      <c r="L163" s="75"/>
      <c r="M163" s="72"/>
      <c r="N163" s="72"/>
      <c r="O163" s="72"/>
      <c r="P163" s="72"/>
      <c r="Q163" s="72"/>
      <c r="R163" s="72"/>
      <c r="S163" s="72"/>
      <c r="T163" s="75"/>
    </row>
    <row r="164" spans="1:20" ht="15" customHeight="1" x14ac:dyDescent="0.25">
      <c r="A164" s="45" t="s">
        <v>279</v>
      </c>
      <c r="B164" s="46">
        <v>1</v>
      </c>
      <c r="C164" s="21" t="s">
        <v>280</v>
      </c>
      <c r="D164" s="47" t="s">
        <v>425</v>
      </c>
      <c r="E164" s="60"/>
      <c r="F164" s="60"/>
      <c r="G164" s="60"/>
      <c r="H164" s="60"/>
      <c r="I164" s="60"/>
      <c r="J164" s="60"/>
      <c r="K164" s="60"/>
      <c r="L164" s="74"/>
      <c r="M164" s="60"/>
      <c r="N164" s="60"/>
      <c r="O164" s="60"/>
      <c r="P164" s="60"/>
      <c r="Q164" s="60"/>
      <c r="R164" s="60"/>
      <c r="S164" s="60"/>
      <c r="T164" s="74"/>
    </row>
    <row r="165" spans="1:20" ht="15" customHeight="1" x14ac:dyDescent="0.25">
      <c r="A165" s="45" t="s">
        <v>281</v>
      </c>
      <c r="B165" s="46">
        <v>1</v>
      </c>
      <c r="C165" s="21" t="s">
        <v>282</v>
      </c>
      <c r="D165" s="47" t="s">
        <v>426</v>
      </c>
      <c r="E165" s="60"/>
      <c r="F165" s="60"/>
      <c r="G165" s="60"/>
      <c r="H165" s="60"/>
      <c r="I165" s="60"/>
      <c r="J165" s="60"/>
      <c r="K165" s="60"/>
      <c r="L165" s="74"/>
      <c r="M165" s="60"/>
      <c r="N165" s="60"/>
      <c r="O165" s="60"/>
      <c r="P165" s="60"/>
      <c r="Q165" s="60"/>
      <c r="R165" s="60"/>
      <c r="S165" s="60"/>
      <c r="T165" s="74"/>
    </row>
    <row r="166" spans="1:20" ht="15" customHeight="1" x14ac:dyDescent="0.25">
      <c r="A166" s="45" t="s">
        <v>283</v>
      </c>
      <c r="B166" s="46">
        <v>1</v>
      </c>
      <c r="C166" s="21" t="s">
        <v>284</v>
      </c>
      <c r="D166" s="47" t="s">
        <v>427</v>
      </c>
      <c r="E166" s="60"/>
      <c r="F166" s="60"/>
      <c r="G166" s="60"/>
      <c r="H166" s="60"/>
      <c r="I166" s="60"/>
      <c r="J166" s="60"/>
      <c r="K166" s="60"/>
      <c r="L166" s="74"/>
      <c r="M166" s="60"/>
      <c r="N166" s="60"/>
      <c r="O166" s="60"/>
      <c r="P166" s="60"/>
      <c r="Q166" s="60"/>
      <c r="R166" s="60"/>
      <c r="S166" s="60"/>
      <c r="T166" s="74"/>
    </row>
    <row r="167" spans="1:20" ht="15" customHeight="1" x14ac:dyDescent="0.25">
      <c r="A167" s="45" t="s">
        <v>285</v>
      </c>
      <c r="B167" s="46">
        <v>1</v>
      </c>
      <c r="C167" s="21" t="s">
        <v>286</v>
      </c>
      <c r="D167" s="47" t="s">
        <v>428</v>
      </c>
      <c r="E167" s="60"/>
      <c r="F167" s="60"/>
      <c r="G167" s="60"/>
      <c r="H167" s="60"/>
      <c r="I167" s="60"/>
      <c r="J167" s="60"/>
      <c r="K167" s="60"/>
      <c r="L167" s="74"/>
      <c r="M167" s="60"/>
      <c r="N167" s="60"/>
      <c r="O167" s="60"/>
      <c r="P167" s="60"/>
      <c r="Q167" s="60"/>
      <c r="R167" s="60"/>
      <c r="S167" s="60"/>
      <c r="T167" s="74"/>
    </row>
    <row r="168" spans="1:20" ht="15" customHeight="1" x14ac:dyDescent="0.25">
      <c r="A168" s="45" t="s">
        <v>287</v>
      </c>
      <c r="B168" s="46">
        <v>1</v>
      </c>
      <c r="C168" s="21" t="s">
        <v>288</v>
      </c>
      <c r="D168" s="47" t="s">
        <v>429</v>
      </c>
      <c r="E168" s="60"/>
      <c r="F168" s="60"/>
      <c r="G168" s="60"/>
      <c r="H168" s="60"/>
      <c r="I168" s="60"/>
      <c r="J168" s="60"/>
      <c r="K168" s="60"/>
      <c r="L168" s="74"/>
      <c r="M168" s="60"/>
      <c r="N168" s="60"/>
      <c r="O168" s="60"/>
      <c r="P168" s="60"/>
      <c r="Q168" s="60"/>
      <c r="R168" s="60"/>
      <c r="S168" s="60"/>
      <c r="T168" s="74"/>
    </row>
    <row r="169" spans="1:20" ht="15" customHeight="1" x14ac:dyDescent="0.25">
      <c r="A169" s="136" t="s">
        <v>289</v>
      </c>
      <c r="B169" s="137"/>
      <c r="C169" s="52"/>
      <c r="D169" s="53"/>
      <c r="E169" s="76"/>
      <c r="F169" s="76"/>
      <c r="G169" s="76"/>
      <c r="H169" s="76"/>
      <c r="I169" s="76"/>
      <c r="J169" s="76"/>
      <c r="K169" s="76"/>
      <c r="L169" s="77"/>
      <c r="M169" s="76"/>
      <c r="N169" s="76"/>
      <c r="O169" s="76"/>
      <c r="P169" s="76"/>
      <c r="Q169" s="76"/>
      <c r="R169" s="76"/>
      <c r="S169" s="76"/>
      <c r="T169" s="77"/>
    </row>
    <row r="170" spans="1:20" x14ac:dyDescent="0.25">
      <c r="A170" s="38" t="s">
        <v>290</v>
      </c>
      <c r="B170" s="39"/>
      <c r="C170" s="40"/>
      <c r="D170" s="41"/>
      <c r="E170" s="72"/>
      <c r="F170" s="72"/>
      <c r="G170" s="72"/>
      <c r="H170" s="72"/>
      <c r="I170" s="72"/>
      <c r="J170" s="72"/>
      <c r="K170" s="72"/>
      <c r="L170" s="75"/>
      <c r="M170" s="72"/>
      <c r="N170" s="72"/>
      <c r="O170" s="72"/>
      <c r="P170" s="72"/>
      <c r="Q170" s="72"/>
      <c r="R170" s="72"/>
      <c r="S170" s="72"/>
      <c r="T170" s="75"/>
    </row>
    <row r="171" spans="1:20" x14ac:dyDescent="0.25">
      <c r="A171" s="45" t="s">
        <v>291</v>
      </c>
      <c r="B171" s="46">
        <v>1</v>
      </c>
      <c r="C171" s="21" t="s">
        <v>175</v>
      </c>
      <c r="D171" s="47" t="s">
        <v>430</v>
      </c>
      <c r="E171" s="60"/>
      <c r="F171" s="60"/>
      <c r="G171" s="60"/>
      <c r="H171" s="60"/>
      <c r="I171" s="60"/>
      <c r="J171" s="60"/>
      <c r="K171" s="60"/>
      <c r="L171" s="74"/>
      <c r="M171" s="60"/>
      <c r="N171" s="60"/>
      <c r="O171" s="60"/>
      <c r="P171" s="60"/>
      <c r="Q171" s="60"/>
      <c r="R171" s="60"/>
      <c r="S171" s="60"/>
      <c r="T171" s="74"/>
    </row>
    <row r="172" spans="1:20" x14ac:dyDescent="0.25">
      <c r="A172" s="45" t="s">
        <v>292</v>
      </c>
      <c r="B172" s="46">
        <v>1</v>
      </c>
      <c r="C172" s="21" t="s">
        <v>174</v>
      </c>
      <c r="D172" s="47" t="s">
        <v>431</v>
      </c>
      <c r="E172" s="60"/>
      <c r="F172" s="60"/>
      <c r="G172" s="60"/>
      <c r="H172" s="60"/>
      <c r="I172" s="60"/>
      <c r="J172" s="60"/>
      <c r="K172" s="60"/>
      <c r="L172" s="74"/>
      <c r="M172" s="60"/>
      <c r="N172" s="60"/>
      <c r="O172" s="60"/>
      <c r="P172" s="60"/>
      <c r="Q172" s="60"/>
      <c r="R172" s="60"/>
      <c r="S172" s="60"/>
      <c r="T172" s="74"/>
    </row>
    <row r="173" spans="1:20" x14ac:dyDescent="0.25">
      <c r="A173" s="45" t="s">
        <v>293</v>
      </c>
      <c r="B173" s="46">
        <v>1</v>
      </c>
      <c r="C173" s="21" t="s">
        <v>177</v>
      </c>
      <c r="D173" s="47" t="s">
        <v>432</v>
      </c>
      <c r="E173" s="60"/>
      <c r="F173" s="60"/>
      <c r="G173" s="60"/>
      <c r="H173" s="60"/>
      <c r="I173" s="60"/>
      <c r="J173" s="60"/>
      <c r="K173" s="60"/>
      <c r="L173" s="74"/>
      <c r="M173" s="60"/>
      <c r="N173" s="60"/>
      <c r="O173" s="60"/>
      <c r="P173" s="60"/>
      <c r="Q173" s="60"/>
      <c r="R173" s="60"/>
      <c r="S173" s="60"/>
      <c r="T173" s="74"/>
    </row>
    <row r="174" spans="1:20" x14ac:dyDescent="0.25">
      <c r="A174" s="45" t="s">
        <v>294</v>
      </c>
      <c r="B174" s="46">
        <v>1</v>
      </c>
      <c r="C174" s="21" t="s">
        <v>177</v>
      </c>
      <c r="D174" s="47" t="s">
        <v>432</v>
      </c>
      <c r="E174" s="60"/>
      <c r="F174" s="60"/>
      <c r="G174" s="60"/>
      <c r="H174" s="60"/>
      <c r="I174" s="60"/>
      <c r="J174" s="60"/>
      <c r="K174" s="60"/>
      <c r="L174" s="74"/>
      <c r="M174" s="60"/>
      <c r="N174" s="60"/>
      <c r="O174" s="60"/>
      <c r="P174" s="60"/>
      <c r="Q174" s="60"/>
      <c r="R174" s="60"/>
      <c r="S174" s="60"/>
      <c r="T174" s="74"/>
    </row>
    <row r="175" spans="1:20" x14ac:dyDescent="0.25">
      <c r="A175" s="45" t="s">
        <v>295</v>
      </c>
      <c r="B175" s="46">
        <v>1</v>
      </c>
      <c r="C175" s="21" t="s">
        <v>296</v>
      </c>
      <c r="D175" s="47" t="s">
        <v>433</v>
      </c>
      <c r="E175" s="60"/>
      <c r="F175" s="60"/>
      <c r="G175" s="60"/>
      <c r="H175" s="60"/>
      <c r="I175" s="60"/>
      <c r="J175" s="60"/>
      <c r="K175" s="60"/>
      <c r="L175" s="74"/>
      <c r="M175" s="60"/>
      <c r="N175" s="60"/>
      <c r="O175" s="60"/>
      <c r="P175" s="60"/>
      <c r="Q175" s="60"/>
      <c r="R175" s="60"/>
      <c r="S175" s="60"/>
      <c r="T175" s="74"/>
    </row>
    <row r="176" spans="1:20" x14ac:dyDescent="0.25">
      <c r="A176" s="45" t="s">
        <v>297</v>
      </c>
      <c r="B176" s="46">
        <v>1</v>
      </c>
      <c r="C176" s="21" t="s">
        <v>296</v>
      </c>
      <c r="D176" s="47" t="s">
        <v>433</v>
      </c>
      <c r="E176" s="60"/>
      <c r="F176" s="60"/>
      <c r="G176" s="60"/>
      <c r="H176" s="60"/>
      <c r="I176" s="60"/>
      <c r="J176" s="60"/>
      <c r="K176" s="60"/>
      <c r="L176" s="74"/>
      <c r="M176" s="60"/>
      <c r="N176" s="60"/>
      <c r="O176" s="60"/>
      <c r="P176" s="60"/>
      <c r="Q176" s="60"/>
      <c r="R176" s="60"/>
      <c r="S176" s="60"/>
      <c r="T176" s="74"/>
    </row>
    <row r="177" spans="1:20" x14ac:dyDescent="0.25">
      <c r="A177" s="45" t="s">
        <v>298</v>
      </c>
      <c r="B177" s="46">
        <v>1</v>
      </c>
      <c r="C177" s="21" t="s">
        <v>176</v>
      </c>
      <c r="D177" s="47" t="s">
        <v>434</v>
      </c>
      <c r="E177" s="60"/>
      <c r="F177" s="60"/>
      <c r="G177" s="60"/>
      <c r="H177" s="60"/>
      <c r="I177" s="60"/>
      <c r="J177" s="60"/>
      <c r="K177" s="60"/>
      <c r="L177" s="74"/>
      <c r="M177" s="60"/>
      <c r="N177" s="60"/>
      <c r="O177" s="60"/>
      <c r="P177" s="60"/>
      <c r="Q177" s="60"/>
      <c r="R177" s="60"/>
      <c r="S177" s="60"/>
      <c r="T177" s="74"/>
    </row>
    <row r="178" spans="1:20" x14ac:dyDescent="0.25">
      <c r="A178" s="45" t="s">
        <v>299</v>
      </c>
      <c r="B178" s="46">
        <v>1</v>
      </c>
      <c r="C178" s="21" t="s">
        <v>176</v>
      </c>
      <c r="D178" s="47" t="s">
        <v>434</v>
      </c>
      <c r="E178" s="60"/>
      <c r="F178" s="60"/>
      <c r="G178" s="60"/>
      <c r="H178" s="60"/>
      <c r="I178" s="60"/>
      <c r="J178" s="60"/>
      <c r="K178" s="60"/>
      <c r="L178" s="74"/>
      <c r="M178" s="60"/>
      <c r="N178" s="60"/>
      <c r="O178" s="60"/>
      <c r="P178" s="60"/>
      <c r="Q178" s="60"/>
      <c r="R178" s="60"/>
      <c r="S178" s="60"/>
      <c r="T178" s="74"/>
    </row>
    <row r="179" spans="1:20" x14ac:dyDescent="0.25">
      <c r="A179" s="45" t="s">
        <v>300</v>
      </c>
      <c r="B179" s="46">
        <v>1</v>
      </c>
      <c r="C179" s="21" t="s">
        <v>301</v>
      </c>
      <c r="D179" s="47" t="s">
        <v>435</v>
      </c>
      <c r="E179" s="60"/>
      <c r="F179" s="60"/>
      <c r="G179" s="60"/>
      <c r="H179" s="60"/>
      <c r="I179" s="60"/>
      <c r="J179" s="60"/>
      <c r="K179" s="60"/>
      <c r="L179" s="74"/>
      <c r="M179" s="60"/>
      <c r="N179" s="60"/>
      <c r="O179" s="60"/>
      <c r="P179" s="60"/>
      <c r="Q179" s="60"/>
      <c r="R179" s="60"/>
      <c r="S179" s="60"/>
      <c r="T179" s="74"/>
    </row>
    <row r="180" spans="1:20" x14ac:dyDescent="0.25">
      <c r="A180" s="45"/>
      <c r="B180" s="46">
        <v>2</v>
      </c>
      <c r="C180" s="21" t="s">
        <v>301</v>
      </c>
      <c r="D180" s="47" t="s">
        <v>436</v>
      </c>
      <c r="E180" s="60"/>
      <c r="F180" s="60"/>
      <c r="G180" s="60"/>
      <c r="H180" s="60"/>
      <c r="I180" s="60"/>
      <c r="J180" s="60"/>
      <c r="K180" s="60"/>
      <c r="L180" s="74"/>
      <c r="M180" s="60"/>
      <c r="N180" s="60"/>
      <c r="O180" s="60"/>
      <c r="P180" s="60"/>
      <c r="Q180" s="60"/>
      <c r="R180" s="60"/>
      <c r="S180" s="60"/>
      <c r="T180" s="74"/>
    </row>
    <row r="181" spans="1:20" x14ac:dyDescent="0.25">
      <c r="A181" s="136" t="s">
        <v>302</v>
      </c>
      <c r="B181" s="137"/>
      <c r="C181" s="52"/>
      <c r="D181" s="53"/>
      <c r="E181" s="76"/>
      <c r="F181" s="76"/>
      <c r="G181" s="76"/>
      <c r="H181" s="76"/>
      <c r="I181" s="76"/>
      <c r="J181" s="76"/>
      <c r="K181" s="76"/>
      <c r="L181" s="77"/>
      <c r="M181" s="76"/>
      <c r="N181" s="76"/>
      <c r="O181" s="76"/>
      <c r="P181" s="76"/>
      <c r="Q181" s="76"/>
      <c r="R181" s="76"/>
      <c r="S181" s="76"/>
      <c r="T181" s="77"/>
    </row>
    <row r="182" spans="1:20" x14ac:dyDescent="0.25">
      <c r="A182" s="38" t="s">
        <v>303</v>
      </c>
      <c r="B182" s="39"/>
      <c r="C182" s="40"/>
      <c r="D182" s="41"/>
      <c r="E182" s="72"/>
      <c r="F182" s="72"/>
      <c r="G182" s="72"/>
      <c r="H182" s="72"/>
      <c r="I182" s="72"/>
      <c r="J182" s="72"/>
      <c r="K182" s="72"/>
      <c r="L182" s="75"/>
      <c r="M182" s="72"/>
      <c r="N182" s="72"/>
      <c r="O182" s="72"/>
      <c r="P182" s="72"/>
      <c r="Q182" s="72"/>
      <c r="R182" s="72"/>
      <c r="S182" s="72"/>
      <c r="T182" s="75"/>
    </row>
    <row r="183" spans="1:20" ht="15" customHeight="1" x14ac:dyDescent="0.25">
      <c r="A183" s="45" t="s">
        <v>304</v>
      </c>
      <c r="B183" s="46">
        <v>1</v>
      </c>
      <c r="C183" s="21"/>
      <c r="D183" s="47" t="s">
        <v>123</v>
      </c>
      <c r="E183" s="60"/>
      <c r="F183" s="60"/>
      <c r="G183" s="60"/>
      <c r="H183" s="60"/>
      <c r="I183" s="60"/>
      <c r="J183" s="60"/>
      <c r="K183" s="60"/>
      <c r="L183" s="74"/>
      <c r="M183" s="60"/>
      <c r="N183" s="60"/>
      <c r="O183" s="60"/>
      <c r="P183" s="60"/>
      <c r="Q183" s="60"/>
      <c r="R183" s="60"/>
      <c r="S183" s="60"/>
      <c r="T183" s="74"/>
    </row>
    <row r="184" spans="1:20" ht="15" customHeight="1" x14ac:dyDescent="0.25">
      <c r="A184" s="45"/>
      <c r="B184" s="46">
        <v>2</v>
      </c>
      <c r="C184" s="21"/>
      <c r="D184" s="47" t="s">
        <v>125</v>
      </c>
      <c r="E184" s="60"/>
      <c r="F184" s="60"/>
      <c r="G184" s="60"/>
      <c r="H184" s="60"/>
      <c r="I184" s="60"/>
      <c r="J184" s="60"/>
      <c r="K184" s="60"/>
      <c r="L184" s="74"/>
      <c r="M184" s="60"/>
      <c r="N184" s="60"/>
      <c r="O184" s="60"/>
      <c r="P184" s="60"/>
      <c r="Q184" s="60"/>
      <c r="R184" s="60"/>
      <c r="S184" s="60"/>
      <c r="T184" s="74"/>
    </row>
    <row r="185" spans="1:20" x14ac:dyDescent="0.25">
      <c r="A185" s="136" t="s">
        <v>305</v>
      </c>
      <c r="B185" s="137"/>
      <c r="C185" s="52"/>
      <c r="D185" s="53"/>
      <c r="E185" s="76"/>
      <c r="F185" s="76"/>
      <c r="G185" s="76"/>
      <c r="H185" s="76"/>
      <c r="I185" s="76"/>
      <c r="J185" s="76"/>
      <c r="K185" s="76"/>
      <c r="L185" s="77"/>
      <c r="M185" s="76"/>
      <c r="N185" s="76"/>
      <c r="O185" s="76"/>
      <c r="P185" s="76"/>
      <c r="Q185" s="76"/>
      <c r="R185" s="76"/>
      <c r="S185" s="76"/>
      <c r="T185" s="77"/>
    </row>
    <row r="186" spans="1:20" x14ac:dyDescent="0.25">
      <c r="A186" s="38" t="s">
        <v>306</v>
      </c>
      <c r="B186" s="39"/>
      <c r="C186" s="40"/>
      <c r="D186" s="41"/>
      <c r="E186" s="72"/>
      <c r="F186" s="72"/>
      <c r="G186" s="72"/>
      <c r="H186" s="72"/>
      <c r="I186" s="72"/>
      <c r="J186" s="72"/>
      <c r="K186" s="72"/>
      <c r="L186" s="75"/>
      <c r="M186" s="72"/>
      <c r="N186" s="72"/>
      <c r="O186" s="72"/>
      <c r="P186" s="72"/>
      <c r="Q186" s="72"/>
      <c r="R186" s="72"/>
      <c r="S186" s="72"/>
      <c r="T186" s="75"/>
    </row>
    <row r="187" spans="1:20" x14ac:dyDescent="0.25">
      <c r="A187" s="45" t="s">
        <v>307</v>
      </c>
      <c r="B187" s="46">
        <v>1</v>
      </c>
      <c r="C187" s="21" t="s">
        <v>308</v>
      </c>
      <c r="D187" s="47" t="s">
        <v>437</v>
      </c>
      <c r="E187" s="60"/>
      <c r="F187" s="60"/>
      <c r="G187" s="60"/>
      <c r="H187" s="60"/>
      <c r="I187" s="60"/>
      <c r="J187" s="60"/>
      <c r="K187" s="60"/>
      <c r="L187" s="74"/>
      <c r="M187" s="60"/>
      <c r="N187" s="60"/>
      <c r="O187" s="60"/>
      <c r="P187" s="60"/>
      <c r="Q187" s="60"/>
      <c r="R187" s="60"/>
      <c r="S187" s="60"/>
      <c r="T187" s="74"/>
    </row>
    <row r="188" spans="1:20" x14ac:dyDescent="0.25">
      <c r="A188" s="45" t="s">
        <v>309</v>
      </c>
      <c r="B188" s="46">
        <v>1</v>
      </c>
      <c r="C188" s="21" t="s">
        <v>310</v>
      </c>
      <c r="D188" s="47" t="s">
        <v>438</v>
      </c>
      <c r="E188" s="60"/>
      <c r="F188" s="60"/>
      <c r="G188" s="60"/>
      <c r="H188" s="60"/>
      <c r="I188" s="60"/>
      <c r="J188" s="60"/>
      <c r="K188" s="60"/>
      <c r="L188" s="74"/>
      <c r="M188" s="60"/>
      <c r="N188" s="60"/>
      <c r="O188" s="60"/>
      <c r="P188" s="60"/>
      <c r="Q188" s="60"/>
      <c r="R188" s="60"/>
      <c r="S188" s="60"/>
      <c r="T188" s="74"/>
    </row>
    <row r="189" spans="1:20" x14ac:dyDescent="0.25">
      <c r="A189" s="45" t="s">
        <v>311</v>
      </c>
      <c r="B189" s="46">
        <v>1</v>
      </c>
      <c r="C189" s="21" t="s">
        <v>312</v>
      </c>
      <c r="D189" s="47" t="s">
        <v>439</v>
      </c>
      <c r="E189" s="60"/>
      <c r="F189" s="60"/>
      <c r="G189" s="60"/>
      <c r="H189" s="60"/>
      <c r="I189" s="60"/>
      <c r="J189" s="60"/>
      <c r="K189" s="60"/>
      <c r="L189" s="74"/>
      <c r="M189" s="60"/>
      <c r="N189" s="60"/>
      <c r="O189" s="60"/>
      <c r="P189" s="60"/>
      <c r="Q189" s="60"/>
      <c r="R189" s="60"/>
      <c r="S189" s="60"/>
      <c r="T189" s="74"/>
    </row>
    <row r="190" spans="1:20" x14ac:dyDescent="0.25">
      <c r="A190" s="136" t="s">
        <v>313</v>
      </c>
      <c r="B190" s="137"/>
      <c r="C190" s="52"/>
      <c r="D190" s="53"/>
      <c r="E190" s="76"/>
      <c r="F190" s="76"/>
      <c r="G190" s="76"/>
      <c r="H190" s="76"/>
      <c r="I190" s="76"/>
      <c r="J190" s="76"/>
      <c r="K190" s="76"/>
      <c r="L190" s="77"/>
      <c r="M190" s="76"/>
      <c r="N190" s="76"/>
      <c r="O190" s="76"/>
      <c r="P190" s="76"/>
      <c r="Q190" s="76"/>
      <c r="R190" s="76"/>
      <c r="S190" s="76"/>
      <c r="T190" s="77"/>
    </row>
    <row r="191" spans="1:20" ht="15" customHeight="1" x14ac:dyDescent="0.25">
      <c r="A191" s="142" t="s">
        <v>314</v>
      </c>
      <c r="B191" s="143"/>
      <c r="C191" s="56"/>
      <c r="D191" s="57"/>
      <c r="E191" s="78"/>
      <c r="F191" s="78"/>
      <c r="G191" s="78"/>
      <c r="H191" s="78"/>
      <c r="I191" s="78"/>
      <c r="J191" s="78"/>
      <c r="K191" s="78"/>
      <c r="L191" s="79"/>
      <c r="M191" s="78"/>
      <c r="N191" s="78"/>
      <c r="O191" s="78"/>
      <c r="P191" s="78"/>
      <c r="Q191" s="78"/>
      <c r="R191" s="78"/>
      <c r="S191" s="78"/>
      <c r="T191" s="79"/>
    </row>
    <row r="192" spans="1:20" x14ac:dyDescent="0.25">
      <c r="A192" s="151" t="s">
        <v>315</v>
      </c>
      <c r="B192" s="152"/>
      <c r="C192" s="80"/>
      <c r="D192" s="81"/>
      <c r="E192" s="82"/>
      <c r="F192" s="82"/>
      <c r="G192" s="82"/>
      <c r="H192" s="82"/>
      <c r="I192" s="82"/>
      <c r="J192" s="82"/>
      <c r="K192" s="82"/>
      <c r="L192" s="83"/>
      <c r="M192" s="82"/>
      <c r="N192" s="82"/>
      <c r="O192" s="82"/>
      <c r="P192" s="82"/>
      <c r="Q192" s="82"/>
      <c r="R192" s="82"/>
      <c r="S192" s="82"/>
      <c r="T192" s="83"/>
    </row>
    <row r="193" spans="1:4" x14ac:dyDescent="0.25">
      <c r="A193" s="66"/>
      <c r="B193" s="66"/>
      <c r="C193" s="66"/>
      <c r="D193" s="66"/>
    </row>
    <row r="194" spans="1:4" x14ac:dyDescent="0.25">
      <c r="A194" s="68"/>
      <c r="B194" s="68"/>
      <c r="C194" s="68"/>
      <c r="D194" s="68"/>
    </row>
  </sheetData>
  <mergeCells count="28">
    <mergeCell ref="M1:T1"/>
    <mergeCell ref="M2:N2"/>
    <mergeCell ref="O2:P2"/>
    <mergeCell ref="Q2:R2"/>
    <mergeCell ref="S2:T2"/>
    <mergeCell ref="A191:B191"/>
    <mergeCell ref="A192:B192"/>
    <mergeCell ref="A137:B137"/>
    <mergeCell ref="A162:B162"/>
    <mergeCell ref="A169:B169"/>
    <mergeCell ref="A181:B181"/>
    <mergeCell ref="A185:B185"/>
    <mergeCell ref="A190:B190"/>
    <mergeCell ref="A136:B136"/>
    <mergeCell ref="A1:A3"/>
    <mergeCell ref="B1:B3"/>
    <mergeCell ref="C1:C3"/>
    <mergeCell ref="D1:D3"/>
    <mergeCell ref="A42:B42"/>
    <mergeCell ref="A50:B50"/>
    <mergeCell ref="A98:B98"/>
    <mergeCell ref="A101:B101"/>
    <mergeCell ref="A117:B117"/>
    <mergeCell ref="E1:L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9CEE-564B-402E-A75B-44C91E14E12B}">
  <sheetPr>
    <tabColor rgb="FFFFFF00"/>
  </sheetPr>
  <dimension ref="A1:T194"/>
  <sheetViews>
    <sheetView zoomScale="80" zoomScaleNormal="80" workbookViewId="0">
      <pane ySplit="3" topLeftCell="A171" activePane="bottomLeft" state="frozen"/>
      <selection pane="bottomLeft" activeCell="E4" sqref="E4:T192"/>
    </sheetView>
  </sheetViews>
  <sheetFormatPr defaultRowHeight="15" x14ac:dyDescent="0.25"/>
  <cols>
    <col min="1" max="1" width="60.7109375" customWidth="1"/>
    <col min="2" max="2" width="10.7109375" customWidth="1"/>
    <col min="3" max="3" width="24.7109375" bestFit="1" customWidth="1"/>
    <col min="4" max="4" width="24.85546875" bestFit="1" customWidth="1"/>
    <col min="5" max="20" width="9.140625" style="21"/>
  </cols>
  <sheetData>
    <row r="1" spans="1:20" ht="16.5" customHeight="1" x14ac:dyDescent="0.25">
      <c r="A1" s="138" t="s">
        <v>185</v>
      </c>
      <c r="B1" s="128" t="s">
        <v>186</v>
      </c>
      <c r="C1" s="140" t="s">
        <v>187</v>
      </c>
      <c r="D1" s="128" t="s">
        <v>188</v>
      </c>
      <c r="E1" s="146" t="s">
        <v>189</v>
      </c>
      <c r="F1" s="146"/>
      <c r="G1" s="146"/>
      <c r="H1" s="146"/>
      <c r="I1" s="146"/>
      <c r="J1" s="146"/>
      <c r="K1" s="146"/>
      <c r="L1" s="147"/>
      <c r="M1" s="146" t="s">
        <v>440</v>
      </c>
      <c r="N1" s="146"/>
      <c r="O1" s="146"/>
      <c r="P1" s="146"/>
      <c r="Q1" s="146"/>
      <c r="R1" s="146"/>
      <c r="S1" s="146"/>
      <c r="T1" s="147"/>
    </row>
    <row r="2" spans="1:20" x14ac:dyDescent="0.25">
      <c r="A2" s="138"/>
      <c r="B2" s="128"/>
      <c r="C2" s="140"/>
      <c r="D2" s="128"/>
      <c r="E2" s="148" t="s">
        <v>316</v>
      </c>
      <c r="F2" s="149"/>
      <c r="G2" s="149" t="s">
        <v>64</v>
      </c>
      <c r="H2" s="149"/>
      <c r="I2" s="149" t="s">
        <v>317</v>
      </c>
      <c r="J2" s="149"/>
      <c r="K2" s="149" t="s">
        <v>318</v>
      </c>
      <c r="L2" s="150"/>
      <c r="M2" s="148" t="s">
        <v>316</v>
      </c>
      <c r="N2" s="149"/>
      <c r="O2" s="149" t="s">
        <v>64</v>
      </c>
      <c r="P2" s="149"/>
      <c r="Q2" s="149" t="s">
        <v>317</v>
      </c>
      <c r="R2" s="149"/>
      <c r="S2" s="149" t="s">
        <v>318</v>
      </c>
      <c r="T2" s="150"/>
    </row>
    <row r="3" spans="1:20" ht="30" x14ac:dyDescent="0.25">
      <c r="A3" s="139"/>
      <c r="B3" s="129"/>
      <c r="C3" s="141"/>
      <c r="D3" s="129"/>
      <c r="E3" s="69" t="s">
        <v>319</v>
      </c>
      <c r="F3" s="69" t="s">
        <v>320</v>
      </c>
      <c r="G3" s="70" t="s">
        <v>319</v>
      </c>
      <c r="H3" s="69" t="s">
        <v>320</v>
      </c>
      <c r="I3" s="69" t="s">
        <v>319</v>
      </c>
      <c r="J3" s="69" t="s">
        <v>320</v>
      </c>
      <c r="K3" s="69" t="s">
        <v>319</v>
      </c>
      <c r="L3" s="71" t="s">
        <v>320</v>
      </c>
      <c r="M3" s="69" t="s">
        <v>319</v>
      </c>
      <c r="N3" s="69" t="s">
        <v>320</v>
      </c>
      <c r="O3" s="70" t="s">
        <v>319</v>
      </c>
      <c r="P3" s="69" t="s">
        <v>320</v>
      </c>
      <c r="Q3" s="69" t="s">
        <v>319</v>
      </c>
      <c r="R3" s="69" t="s">
        <v>320</v>
      </c>
      <c r="S3" s="69" t="s">
        <v>319</v>
      </c>
      <c r="T3" s="71" t="s">
        <v>320</v>
      </c>
    </row>
    <row r="4" spans="1:20" x14ac:dyDescent="0.25">
      <c r="A4" s="38" t="s">
        <v>193</v>
      </c>
      <c r="B4" s="39"/>
      <c r="C4" s="40"/>
      <c r="D4" s="41"/>
      <c r="E4" s="72"/>
      <c r="F4" s="72"/>
      <c r="G4" s="72"/>
      <c r="H4" s="72"/>
      <c r="I4" s="72"/>
      <c r="J4" s="72"/>
      <c r="K4" s="72"/>
      <c r="L4" s="73"/>
      <c r="M4" s="72"/>
      <c r="N4" s="72"/>
      <c r="O4" s="72"/>
      <c r="P4" s="72"/>
      <c r="Q4" s="72"/>
      <c r="R4" s="72"/>
      <c r="S4" s="72"/>
      <c r="T4" s="73"/>
    </row>
    <row r="5" spans="1:20" x14ac:dyDescent="0.25">
      <c r="A5" s="45" t="s">
        <v>194</v>
      </c>
      <c r="B5" s="46">
        <v>1</v>
      </c>
      <c r="C5" s="21" t="s">
        <v>195</v>
      </c>
      <c r="D5" s="47" t="s">
        <v>321</v>
      </c>
      <c r="E5" s="60"/>
      <c r="F5" s="60"/>
      <c r="G5" s="60"/>
      <c r="H5" s="60"/>
      <c r="I5" s="60"/>
      <c r="J5" s="60"/>
      <c r="K5" s="60"/>
      <c r="L5" s="74"/>
      <c r="M5" s="60"/>
      <c r="N5" s="60"/>
      <c r="O5" s="60"/>
      <c r="P5" s="60"/>
      <c r="Q5" s="60"/>
      <c r="R5" s="60"/>
      <c r="S5" s="60"/>
      <c r="T5" s="74"/>
    </row>
    <row r="6" spans="1:20" x14ac:dyDescent="0.25">
      <c r="A6" s="45" t="s">
        <v>196</v>
      </c>
      <c r="B6" s="46">
        <v>1</v>
      </c>
      <c r="C6" s="21" t="s">
        <v>121</v>
      </c>
      <c r="D6" s="47" t="s">
        <v>322</v>
      </c>
      <c r="E6" s="60"/>
      <c r="F6" s="60"/>
      <c r="G6" s="60"/>
      <c r="H6" s="60"/>
      <c r="I6" s="60"/>
      <c r="J6" s="60"/>
      <c r="K6" s="60"/>
      <c r="L6" s="74"/>
      <c r="M6" s="60"/>
      <c r="N6" s="60"/>
      <c r="O6" s="60"/>
      <c r="P6" s="60"/>
      <c r="Q6" s="60"/>
      <c r="R6" s="60"/>
      <c r="S6" s="60"/>
      <c r="T6" s="74"/>
    </row>
    <row r="7" spans="1:20" x14ac:dyDescent="0.25">
      <c r="A7" s="38" t="s">
        <v>197</v>
      </c>
      <c r="B7" s="39"/>
      <c r="C7" s="40"/>
      <c r="D7" s="41"/>
      <c r="E7" s="72"/>
      <c r="F7" s="72"/>
      <c r="G7" s="72"/>
      <c r="H7" s="72"/>
      <c r="I7" s="72"/>
      <c r="J7" s="72"/>
      <c r="K7" s="72"/>
      <c r="L7" s="75"/>
      <c r="M7" s="72"/>
      <c r="N7" s="72"/>
      <c r="O7" s="72"/>
      <c r="P7" s="72"/>
      <c r="Q7" s="72"/>
      <c r="R7" s="72"/>
      <c r="S7" s="72"/>
      <c r="T7" s="75"/>
    </row>
    <row r="8" spans="1:20" ht="15" customHeight="1" x14ac:dyDescent="0.25">
      <c r="A8" s="45" t="s">
        <v>194</v>
      </c>
      <c r="B8" s="46">
        <v>1</v>
      </c>
      <c r="C8" s="21" t="s">
        <v>124</v>
      </c>
      <c r="D8" s="47" t="s">
        <v>323</v>
      </c>
      <c r="E8" s="60"/>
      <c r="F8" s="60"/>
      <c r="G8" s="60"/>
      <c r="H8" s="60"/>
      <c r="I8" s="60"/>
      <c r="J8" s="60"/>
      <c r="K8" s="60"/>
      <c r="L8" s="74"/>
      <c r="M8" s="60"/>
      <c r="N8" s="60"/>
      <c r="O8" s="60"/>
      <c r="P8" s="60"/>
      <c r="Q8" s="60"/>
      <c r="R8" s="60"/>
      <c r="S8" s="60"/>
      <c r="T8" s="74"/>
    </row>
    <row r="9" spans="1:20" ht="15" customHeight="1" x14ac:dyDescent="0.25">
      <c r="A9" s="45"/>
      <c r="B9" s="46">
        <v>2</v>
      </c>
      <c r="C9" s="21" t="s">
        <v>124</v>
      </c>
      <c r="D9" s="47" t="s">
        <v>324</v>
      </c>
      <c r="E9" s="60"/>
      <c r="F9" s="60"/>
      <c r="G9" s="60"/>
      <c r="H9" s="60"/>
      <c r="I9" s="60"/>
      <c r="J9" s="60"/>
      <c r="K9" s="60"/>
      <c r="L9" s="74"/>
      <c r="M9" s="60"/>
      <c r="N9" s="60"/>
      <c r="O9" s="60"/>
      <c r="P9" s="60"/>
      <c r="Q9" s="60"/>
      <c r="R9" s="60"/>
      <c r="S9" s="60"/>
      <c r="T9" s="74"/>
    </row>
    <row r="10" spans="1:20" ht="15" customHeight="1" x14ac:dyDescent="0.25">
      <c r="A10" s="45" t="s">
        <v>196</v>
      </c>
      <c r="B10" s="46">
        <v>1</v>
      </c>
      <c r="C10" s="21" t="s">
        <v>128</v>
      </c>
      <c r="D10" s="47" t="s">
        <v>325</v>
      </c>
      <c r="E10" s="60"/>
      <c r="F10" s="60"/>
      <c r="G10" s="60"/>
      <c r="H10" s="60"/>
      <c r="I10" s="60"/>
      <c r="J10" s="60"/>
      <c r="K10" s="60"/>
      <c r="L10" s="74"/>
      <c r="M10" s="60"/>
      <c r="N10" s="60"/>
      <c r="O10" s="60"/>
      <c r="P10" s="60"/>
      <c r="Q10" s="60"/>
      <c r="R10" s="60"/>
      <c r="S10" s="60"/>
      <c r="T10" s="74"/>
    </row>
    <row r="11" spans="1:20" ht="15" customHeight="1" x14ac:dyDescent="0.25">
      <c r="A11" s="45"/>
      <c r="B11" s="46">
        <v>2</v>
      </c>
      <c r="C11" s="21" t="s">
        <v>128</v>
      </c>
      <c r="D11" s="47" t="s">
        <v>326</v>
      </c>
      <c r="E11" s="60"/>
      <c r="F11" s="60"/>
      <c r="G11" s="60"/>
      <c r="H11" s="60"/>
      <c r="I11" s="60"/>
      <c r="J11" s="60"/>
      <c r="K11" s="60"/>
      <c r="L11" s="74"/>
      <c r="M11" s="60"/>
      <c r="N11" s="60"/>
      <c r="O11" s="60"/>
      <c r="P11" s="60"/>
      <c r="Q11" s="60"/>
      <c r="R11" s="60"/>
      <c r="S11" s="60"/>
      <c r="T11" s="74"/>
    </row>
    <row r="12" spans="1:20" ht="15" customHeight="1" x14ac:dyDescent="0.25">
      <c r="A12" s="45" t="s">
        <v>198</v>
      </c>
      <c r="B12" s="46">
        <v>1</v>
      </c>
      <c r="C12" s="21" t="s">
        <v>129</v>
      </c>
      <c r="D12" s="47" t="s">
        <v>327</v>
      </c>
      <c r="E12" s="60"/>
      <c r="F12" s="60"/>
      <c r="G12" s="60"/>
      <c r="H12" s="60"/>
      <c r="I12" s="60"/>
      <c r="J12" s="60"/>
      <c r="K12" s="60"/>
      <c r="L12" s="74"/>
      <c r="M12" s="60"/>
      <c r="N12" s="60"/>
      <c r="O12" s="60"/>
      <c r="P12" s="60"/>
      <c r="Q12" s="60"/>
      <c r="R12" s="60"/>
      <c r="S12" s="60"/>
      <c r="T12" s="74"/>
    </row>
    <row r="13" spans="1:20" ht="15" customHeight="1" x14ac:dyDescent="0.25">
      <c r="A13" s="45"/>
      <c r="B13" s="46">
        <v>2</v>
      </c>
      <c r="C13" s="21" t="s">
        <v>129</v>
      </c>
      <c r="D13" s="47" t="s">
        <v>328</v>
      </c>
      <c r="E13" s="60"/>
      <c r="F13" s="60"/>
      <c r="G13" s="60"/>
      <c r="H13" s="60"/>
      <c r="I13" s="60"/>
      <c r="J13" s="60"/>
      <c r="K13" s="60"/>
      <c r="L13" s="74"/>
      <c r="M13" s="60"/>
      <c r="N13" s="60"/>
      <c r="O13" s="60"/>
      <c r="P13" s="60"/>
      <c r="Q13" s="60"/>
      <c r="R13" s="60"/>
      <c r="S13" s="60"/>
      <c r="T13" s="74"/>
    </row>
    <row r="14" spans="1:20" ht="15" customHeight="1" x14ac:dyDescent="0.25">
      <c r="A14" s="45" t="s">
        <v>199</v>
      </c>
      <c r="B14" s="46">
        <v>1</v>
      </c>
      <c r="C14" s="21" t="s">
        <v>131</v>
      </c>
      <c r="D14" s="47" t="s">
        <v>329</v>
      </c>
      <c r="E14" s="60"/>
      <c r="F14" s="60"/>
      <c r="G14" s="60"/>
      <c r="H14" s="60"/>
      <c r="I14" s="60"/>
      <c r="J14" s="60"/>
      <c r="K14" s="60"/>
      <c r="L14" s="74"/>
      <c r="M14" s="60"/>
      <c r="N14" s="60"/>
      <c r="O14" s="60"/>
      <c r="P14" s="60"/>
      <c r="Q14" s="60"/>
      <c r="R14" s="60"/>
      <c r="S14" s="60"/>
      <c r="T14" s="74"/>
    </row>
    <row r="15" spans="1:20" ht="15" customHeight="1" x14ac:dyDescent="0.25">
      <c r="A15" s="45"/>
      <c r="B15" s="46">
        <v>2</v>
      </c>
      <c r="C15" s="21" t="s">
        <v>131</v>
      </c>
      <c r="D15" s="47" t="s">
        <v>330</v>
      </c>
      <c r="E15" s="60"/>
      <c r="F15" s="60"/>
      <c r="G15" s="60"/>
      <c r="H15" s="60"/>
      <c r="I15" s="60"/>
      <c r="J15" s="60"/>
      <c r="K15" s="60"/>
      <c r="L15" s="74"/>
      <c r="M15" s="60"/>
      <c r="N15" s="60"/>
      <c r="O15" s="60"/>
      <c r="P15" s="60"/>
      <c r="Q15" s="60"/>
      <c r="R15" s="60"/>
      <c r="S15" s="60"/>
      <c r="T15" s="74"/>
    </row>
    <row r="16" spans="1:20" ht="15" customHeight="1" x14ac:dyDescent="0.25">
      <c r="A16" s="45" t="s">
        <v>200</v>
      </c>
      <c r="B16" s="46">
        <v>1</v>
      </c>
      <c r="C16" s="21" t="s">
        <v>201</v>
      </c>
      <c r="D16" s="47" t="s">
        <v>331</v>
      </c>
      <c r="E16" s="60"/>
      <c r="F16" s="60"/>
      <c r="G16" s="60"/>
      <c r="H16" s="60"/>
      <c r="I16" s="60"/>
      <c r="J16" s="60"/>
      <c r="K16" s="60"/>
      <c r="L16" s="74"/>
      <c r="M16" s="60"/>
      <c r="N16" s="60"/>
      <c r="O16" s="60"/>
      <c r="P16" s="60"/>
      <c r="Q16" s="60"/>
      <c r="R16" s="60"/>
      <c r="S16" s="60"/>
      <c r="T16" s="74"/>
    </row>
    <row r="17" spans="1:20" ht="15" customHeight="1" x14ac:dyDescent="0.25">
      <c r="A17" s="45"/>
      <c r="B17" s="46">
        <v>2</v>
      </c>
      <c r="C17" s="21" t="s">
        <v>201</v>
      </c>
      <c r="D17" s="47" t="s">
        <v>332</v>
      </c>
      <c r="E17" s="60"/>
      <c r="F17" s="60"/>
      <c r="G17" s="60"/>
      <c r="H17" s="60"/>
      <c r="I17" s="60"/>
      <c r="J17" s="60"/>
      <c r="K17" s="60"/>
      <c r="L17" s="74"/>
      <c r="M17" s="60"/>
      <c r="N17" s="60"/>
      <c r="O17" s="60"/>
      <c r="P17" s="60"/>
      <c r="Q17" s="60"/>
      <c r="R17" s="60"/>
      <c r="S17" s="60"/>
      <c r="T17" s="74"/>
    </row>
    <row r="18" spans="1:20" ht="15" customHeight="1" x14ac:dyDescent="0.25">
      <c r="A18" s="45" t="s">
        <v>202</v>
      </c>
      <c r="B18" s="46">
        <v>1</v>
      </c>
      <c r="C18" s="21" t="s">
        <v>203</v>
      </c>
      <c r="D18" s="47" t="s">
        <v>333</v>
      </c>
      <c r="E18" s="60"/>
      <c r="F18" s="60"/>
      <c r="G18" s="60"/>
      <c r="H18" s="60"/>
      <c r="I18" s="60"/>
      <c r="J18" s="60"/>
      <c r="K18" s="60"/>
      <c r="L18" s="74"/>
      <c r="M18" s="60"/>
      <c r="N18" s="60"/>
      <c r="O18" s="60"/>
      <c r="P18" s="60"/>
      <c r="Q18" s="60"/>
      <c r="R18" s="60"/>
      <c r="S18" s="60"/>
      <c r="T18" s="74"/>
    </row>
    <row r="19" spans="1:20" ht="15" customHeight="1" x14ac:dyDescent="0.25">
      <c r="A19" s="45"/>
      <c r="B19" s="46">
        <v>2</v>
      </c>
      <c r="C19" s="21" t="s">
        <v>203</v>
      </c>
      <c r="D19" s="47" t="s">
        <v>334</v>
      </c>
      <c r="E19" s="60"/>
      <c r="F19" s="60"/>
      <c r="G19" s="60"/>
      <c r="H19" s="60"/>
      <c r="I19" s="60"/>
      <c r="J19" s="60"/>
      <c r="K19" s="60"/>
      <c r="L19" s="74"/>
      <c r="M19" s="60"/>
      <c r="N19" s="60"/>
      <c r="O19" s="60"/>
      <c r="P19" s="60"/>
      <c r="Q19" s="60"/>
      <c r="R19" s="60"/>
      <c r="S19" s="60"/>
      <c r="T19" s="74"/>
    </row>
    <row r="20" spans="1:20" x14ac:dyDescent="0.25">
      <c r="A20" s="38" t="s">
        <v>204</v>
      </c>
      <c r="B20" s="39"/>
      <c r="C20" s="40"/>
      <c r="D20" s="41"/>
      <c r="E20" s="72"/>
      <c r="F20" s="72"/>
      <c r="G20" s="72"/>
      <c r="H20" s="72"/>
      <c r="I20" s="72"/>
      <c r="J20" s="72"/>
      <c r="K20" s="72"/>
      <c r="L20" s="75"/>
      <c r="M20" s="72"/>
      <c r="N20" s="72"/>
      <c r="O20" s="72"/>
      <c r="P20" s="72"/>
      <c r="Q20" s="72"/>
      <c r="R20" s="72"/>
      <c r="S20" s="72"/>
      <c r="T20" s="75"/>
    </row>
    <row r="21" spans="1:20" ht="15" customHeight="1" x14ac:dyDescent="0.25">
      <c r="A21" s="45" t="s">
        <v>194</v>
      </c>
      <c r="B21" s="46">
        <v>1</v>
      </c>
      <c r="C21" s="21" t="s">
        <v>126</v>
      </c>
      <c r="D21" s="47" t="s">
        <v>335</v>
      </c>
      <c r="E21" s="60"/>
      <c r="F21" s="60"/>
      <c r="G21" s="60"/>
      <c r="H21" s="60"/>
      <c r="I21" s="60"/>
      <c r="J21" s="60"/>
      <c r="K21" s="60"/>
      <c r="L21" s="74"/>
      <c r="M21" s="60"/>
      <c r="N21" s="60"/>
      <c r="O21" s="60"/>
      <c r="P21" s="60"/>
      <c r="Q21" s="60"/>
      <c r="R21" s="60"/>
      <c r="S21" s="60"/>
      <c r="T21" s="74"/>
    </row>
    <row r="22" spans="1:20" ht="15" customHeight="1" x14ac:dyDescent="0.25">
      <c r="A22" s="45"/>
      <c r="B22" s="46">
        <v>2</v>
      </c>
      <c r="C22" s="21" t="s">
        <v>126</v>
      </c>
      <c r="D22" s="47" t="s">
        <v>336</v>
      </c>
      <c r="E22" s="60"/>
      <c r="F22" s="60"/>
      <c r="G22" s="60"/>
      <c r="H22" s="60"/>
      <c r="I22" s="60"/>
      <c r="J22" s="60"/>
      <c r="K22" s="60"/>
      <c r="L22" s="74"/>
      <c r="M22" s="60"/>
      <c r="N22" s="60"/>
      <c r="O22" s="60"/>
      <c r="P22" s="60"/>
      <c r="Q22" s="60"/>
      <c r="R22" s="60"/>
      <c r="S22" s="60"/>
      <c r="T22" s="74"/>
    </row>
    <row r="23" spans="1:20" ht="15" customHeight="1" x14ac:dyDescent="0.25">
      <c r="A23" s="45" t="s">
        <v>196</v>
      </c>
      <c r="B23" s="46">
        <v>1</v>
      </c>
      <c r="C23" s="21" t="s">
        <v>127</v>
      </c>
      <c r="D23" s="47" t="s">
        <v>337</v>
      </c>
      <c r="E23" s="60"/>
      <c r="F23" s="60"/>
      <c r="G23" s="60"/>
      <c r="H23" s="60"/>
      <c r="I23" s="60"/>
      <c r="J23" s="60"/>
      <c r="K23" s="60"/>
      <c r="L23" s="74"/>
      <c r="M23" s="60"/>
      <c r="N23" s="60"/>
      <c r="O23" s="60"/>
      <c r="P23" s="60"/>
      <c r="Q23" s="60"/>
      <c r="R23" s="60"/>
      <c r="S23" s="60"/>
      <c r="T23" s="74"/>
    </row>
    <row r="24" spans="1:20" ht="15" customHeight="1" x14ac:dyDescent="0.25">
      <c r="A24" s="45"/>
      <c r="B24" s="46">
        <v>2</v>
      </c>
      <c r="C24" s="21" t="s">
        <v>127</v>
      </c>
      <c r="D24" s="47" t="s">
        <v>338</v>
      </c>
      <c r="E24" s="60"/>
      <c r="F24" s="60"/>
      <c r="G24" s="60"/>
      <c r="H24" s="60"/>
      <c r="I24" s="60"/>
      <c r="J24" s="60"/>
      <c r="K24" s="60"/>
      <c r="L24" s="74"/>
      <c r="M24" s="60"/>
      <c r="N24" s="60"/>
      <c r="O24" s="60"/>
      <c r="P24" s="60"/>
      <c r="Q24" s="60"/>
      <c r="R24" s="60"/>
      <c r="S24" s="60"/>
      <c r="T24" s="74"/>
    </row>
    <row r="25" spans="1:20" x14ac:dyDescent="0.25">
      <c r="A25" s="38" t="s">
        <v>205</v>
      </c>
      <c r="B25" s="39"/>
      <c r="C25" s="40"/>
      <c r="D25" s="41"/>
      <c r="E25" s="72"/>
      <c r="F25" s="72"/>
      <c r="G25" s="72"/>
      <c r="H25" s="72"/>
      <c r="I25" s="72"/>
      <c r="J25" s="72"/>
      <c r="K25" s="72"/>
      <c r="L25" s="75"/>
      <c r="M25" s="72"/>
      <c r="N25" s="72"/>
      <c r="O25" s="72"/>
      <c r="P25" s="72"/>
      <c r="Q25" s="72"/>
      <c r="R25" s="72"/>
      <c r="S25" s="72"/>
      <c r="T25" s="75"/>
    </row>
    <row r="26" spans="1:20" ht="15" customHeight="1" x14ac:dyDescent="0.25">
      <c r="A26" s="45" t="s">
        <v>206</v>
      </c>
      <c r="B26" s="46">
        <v>1</v>
      </c>
      <c r="C26" s="21" t="s">
        <v>207</v>
      </c>
      <c r="D26" s="47" t="s">
        <v>339</v>
      </c>
      <c r="E26" s="60"/>
      <c r="F26" s="60"/>
      <c r="G26" s="60"/>
      <c r="H26" s="60"/>
      <c r="I26" s="60"/>
      <c r="J26" s="60"/>
      <c r="K26" s="60"/>
      <c r="L26" s="74"/>
      <c r="M26" s="60"/>
      <c r="N26" s="60"/>
      <c r="O26" s="60"/>
      <c r="P26" s="60"/>
      <c r="Q26" s="60"/>
      <c r="R26" s="60"/>
      <c r="S26" s="60"/>
      <c r="T26" s="74"/>
    </row>
    <row r="27" spans="1:20" ht="15" customHeight="1" x14ac:dyDescent="0.25">
      <c r="A27" s="45"/>
      <c r="B27" s="46">
        <v>2</v>
      </c>
      <c r="C27" s="21" t="s">
        <v>207</v>
      </c>
      <c r="D27" s="47" t="s">
        <v>340</v>
      </c>
      <c r="E27" s="60"/>
      <c r="F27" s="60"/>
      <c r="G27" s="60"/>
      <c r="H27" s="60"/>
      <c r="I27" s="60"/>
      <c r="J27" s="60"/>
      <c r="K27" s="60"/>
      <c r="L27" s="74"/>
      <c r="M27" s="60"/>
      <c r="N27" s="60"/>
      <c r="O27" s="60"/>
      <c r="P27" s="60"/>
      <c r="Q27" s="60"/>
      <c r="R27" s="60"/>
      <c r="S27" s="60"/>
      <c r="T27" s="74"/>
    </row>
    <row r="28" spans="1:20" ht="15" customHeight="1" x14ac:dyDescent="0.25">
      <c r="A28" s="45" t="s">
        <v>208</v>
      </c>
      <c r="B28" s="46">
        <v>1</v>
      </c>
      <c r="C28" s="21" t="s">
        <v>122</v>
      </c>
      <c r="D28" s="47" t="s">
        <v>341</v>
      </c>
      <c r="E28" s="60"/>
      <c r="F28" s="60"/>
      <c r="G28" s="60"/>
      <c r="H28" s="60"/>
      <c r="I28" s="60"/>
      <c r="J28" s="60"/>
      <c r="K28" s="60"/>
      <c r="L28" s="74"/>
      <c r="M28" s="60"/>
      <c r="N28" s="60"/>
      <c r="O28" s="60"/>
      <c r="P28" s="60"/>
      <c r="Q28" s="60"/>
      <c r="R28" s="60"/>
      <c r="S28" s="60"/>
      <c r="T28" s="74"/>
    </row>
    <row r="29" spans="1:20" ht="15" customHeight="1" x14ac:dyDescent="0.25">
      <c r="A29" s="45"/>
      <c r="B29" s="46">
        <v>2</v>
      </c>
      <c r="C29" s="21" t="s">
        <v>122</v>
      </c>
      <c r="D29" s="47" t="s">
        <v>342</v>
      </c>
      <c r="E29" s="60"/>
      <c r="F29" s="60"/>
      <c r="G29" s="60"/>
      <c r="H29" s="60"/>
      <c r="I29" s="60"/>
      <c r="J29" s="60"/>
      <c r="K29" s="60"/>
      <c r="L29" s="74"/>
      <c r="M29" s="60"/>
      <c r="N29" s="60"/>
      <c r="O29" s="60"/>
      <c r="P29" s="60"/>
      <c r="Q29" s="60"/>
      <c r="R29" s="60"/>
      <c r="S29" s="60"/>
      <c r="T29" s="74"/>
    </row>
    <row r="30" spans="1:20" x14ac:dyDescent="0.25">
      <c r="A30" s="38" t="s">
        <v>209</v>
      </c>
      <c r="B30" s="39"/>
      <c r="C30" s="40"/>
      <c r="D30" s="41"/>
      <c r="E30" s="72"/>
      <c r="F30" s="72"/>
      <c r="G30" s="72"/>
      <c r="H30" s="72"/>
      <c r="I30" s="72"/>
      <c r="J30" s="72"/>
      <c r="K30" s="72"/>
      <c r="L30" s="75"/>
      <c r="M30" s="72"/>
      <c r="N30" s="72"/>
      <c r="O30" s="72"/>
      <c r="P30" s="72"/>
      <c r="Q30" s="72"/>
      <c r="R30" s="72"/>
      <c r="S30" s="72"/>
      <c r="T30" s="75"/>
    </row>
    <row r="31" spans="1:20" ht="15" customHeight="1" x14ac:dyDescent="0.25">
      <c r="A31" s="45" t="s">
        <v>209</v>
      </c>
      <c r="B31" s="46">
        <v>1</v>
      </c>
      <c r="C31" s="21" t="s">
        <v>210</v>
      </c>
      <c r="D31" s="47" t="s">
        <v>343</v>
      </c>
      <c r="E31" s="60"/>
      <c r="F31" s="60"/>
      <c r="G31" s="60"/>
      <c r="H31" s="60"/>
      <c r="I31" s="60"/>
      <c r="J31" s="60"/>
      <c r="K31" s="60"/>
      <c r="L31" s="74"/>
      <c r="M31" s="60"/>
      <c r="N31" s="60"/>
      <c r="O31" s="60"/>
      <c r="P31" s="60"/>
      <c r="Q31" s="60"/>
      <c r="R31" s="60"/>
      <c r="S31" s="60"/>
      <c r="T31" s="74"/>
    </row>
    <row r="32" spans="1:20" ht="15" customHeight="1" x14ac:dyDescent="0.25">
      <c r="A32" s="45"/>
      <c r="B32" s="46">
        <v>2</v>
      </c>
      <c r="C32" s="21" t="s">
        <v>210</v>
      </c>
      <c r="D32" s="47" t="s">
        <v>344</v>
      </c>
      <c r="E32" s="60"/>
      <c r="F32" s="60"/>
      <c r="G32" s="60"/>
      <c r="H32" s="60"/>
      <c r="I32" s="60"/>
      <c r="J32" s="60"/>
      <c r="K32" s="60"/>
      <c r="L32" s="74"/>
      <c r="M32" s="60"/>
      <c r="N32" s="60"/>
      <c r="O32" s="60"/>
      <c r="P32" s="60"/>
      <c r="Q32" s="60"/>
      <c r="R32" s="60"/>
      <c r="S32" s="60"/>
      <c r="T32" s="74"/>
    </row>
    <row r="33" spans="1:20" ht="15" customHeight="1" x14ac:dyDescent="0.25">
      <c r="A33" s="45" t="s">
        <v>211</v>
      </c>
      <c r="B33" s="46">
        <v>1</v>
      </c>
      <c r="C33" s="21" t="s">
        <v>133</v>
      </c>
      <c r="D33" s="47" t="s">
        <v>345</v>
      </c>
      <c r="E33" s="60"/>
      <c r="F33" s="60"/>
      <c r="G33" s="60"/>
      <c r="H33" s="60"/>
      <c r="I33" s="60"/>
      <c r="J33" s="60"/>
      <c r="K33" s="60"/>
      <c r="L33" s="74"/>
      <c r="M33" s="60"/>
      <c r="N33" s="60"/>
      <c r="O33" s="60"/>
      <c r="P33" s="60"/>
      <c r="Q33" s="60"/>
      <c r="R33" s="60"/>
      <c r="S33" s="60"/>
      <c r="T33" s="74"/>
    </row>
    <row r="34" spans="1:20" ht="15" customHeight="1" x14ac:dyDescent="0.25">
      <c r="A34" s="45"/>
      <c r="B34" s="46">
        <v>2</v>
      </c>
      <c r="C34" s="21" t="s">
        <v>133</v>
      </c>
      <c r="D34" s="47" t="s">
        <v>346</v>
      </c>
      <c r="E34" s="60"/>
      <c r="F34" s="60"/>
      <c r="G34" s="60"/>
      <c r="H34" s="60"/>
      <c r="I34" s="60"/>
      <c r="J34" s="60"/>
      <c r="K34" s="60"/>
      <c r="L34" s="74"/>
      <c r="M34" s="60"/>
      <c r="N34" s="60"/>
      <c r="O34" s="60"/>
      <c r="P34" s="60"/>
      <c r="Q34" s="60"/>
      <c r="R34" s="60"/>
      <c r="S34" s="60"/>
      <c r="T34" s="74"/>
    </row>
    <row r="35" spans="1:20" x14ac:dyDescent="0.25">
      <c r="A35" s="38" t="s">
        <v>212</v>
      </c>
      <c r="B35" s="39"/>
      <c r="C35" s="40"/>
      <c r="D35" s="41"/>
      <c r="E35" s="72"/>
      <c r="F35" s="72"/>
      <c r="G35" s="72"/>
      <c r="H35" s="72"/>
      <c r="I35" s="72"/>
      <c r="J35" s="72"/>
      <c r="K35" s="72"/>
      <c r="L35" s="75"/>
      <c r="M35" s="72"/>
      <c r="N35" s="72"/>
      <c r="O35" s="72"/>
      <c r="P35" s="72"/>
      <c r="Q35" s="72"/>
      <c r="R35" s="72"/>
      <c r="S35" s="72"/>
      <c r="T35" s="75"/>
    </row>
    <row r="36" spans="1:20" ht="15" customHeight="1" x14ac:dyDescent="0.25">
      <c r="A36" s="45" t="s">
        <v>212</v>
      </c>
      <c r="B36" s="46">
        <v>1</v>
      </c>
      <c r="C36" s="21" t="s">
        <v>130</v>
      </c>
      <c r="D36" s="47" t="s">
        <v>347</v>
      </c>
      <c r="E36" s="60"/>
      <c r="F36" s="60"/>
      <c r="G36" s="60"/>
      <c r="H36" s="60"/>
      <c r="I36" s="60"/>
      <c r="J36" s="60"/>
      <c r="K36" s="60"/>
      <c r="L36" s="74"/>
      <c r="M36" s="60"/>
      <c r="N36" s="60"/>
      <c r="O36" s="60"/>
      <c r="P36" s="60"/>
      <c r="Q36" s="60"/>
      <c r="R36" s="60"/>
      <c r="S36" s="60"/>
      <c r="T36" s="74"/>
    </row>
    <row r="37" spans="1:20" x14ac:dyDescent="0.25">
      <c r="A37" s="38" t="s">
        <v>213</v>
      </c>
      <c r="B37" s="39"/>
      <c r="C37" s="40"/>
      <c r="D37" s="41"/>
      <c r="E37" s="72"/>
      <c r="F37" s="72"/>
      <c r="G37" s="72"/>
      <c r="H37" s="72"/>
      <c r="I37" s="72"/>
      <c r="J37" s="72"/>
      <c r="K37" s="72"/>
      <c r="L37" s="75"/>
      <c r="M37" s="72"/>
      <c r="N37" s="72"/>
      <c r="O37" s="72"/>
      <c r="P37" s="72"/>
      <c r="Q37" s="72"/>
      <c r="R37" s="72"/>
      <c r="S37" s="72"/>
      <c r="T37" s="75"/>
    </row>
    <row r="38" spans="1:20" ht="15" customHeight="1" x14ac:dyDescent="0.25">
      <c r="A38" s="45" t="s">
        <v>214</v>
      </c>
      <c r="B38" s="46">
        <v>1</v>
      </c>
      <c r="C38" s="21" t="s">
        <v>215</v>
      </c>
      <c r="D38" s="47" t="s">
        <v>348</v>
      </c>
      <c r="E38" s="60"/>
      <c r="F38" s="60"/>
      <c r="G38" s="60"/>
      <c r="H38" s="60"/>
      <c r="I38" s="60"/>
      <c r="J38" s="60"/>
      <c r="K38" s="60"/>
      <c r="L38" s="74"/>
      <c r="M38" s="60"/>
      <c r="N38" s="60"/>
      <c r="O38" s="60"/>
      <c r="P38" s="60"/>
      <c r="Q38" s="60"/>
      <c r="R38" s="60"/>
      <c r="S38" s="60"/>
      <c r="T38" s="74"/>
    </row>
    <row r="39" spans="1:20" x14ac:dyDescent="0.25">
      <c r="A39" s="38" t="s">
        <v>216</v>
      </c>
      <c r="B39" s="39"/>
      <c r="C39" s="40"/>
      <c r="D39" s="41"/>
      <c r="E39" s="72"/>
      <c r="F39" s="72"/>
      <c r="G39" s="72"/>
      <c r="H39" s="72"/>
      <c r="I39" s="72"/>
      <c r="J39" s="72"/>
      <c r="K39" s="72"/>
      <c r="L39" s="75"/>
      <c r="M39" s="72"/>
      <c r="N39" s="72"/>
      <c r="O39" s="72"/>
      <c r="P39" s="72"/>
      <c r="Q39" s="72"/>
      <c r="R39" s="72"/>
      <c r="S39" s="72"/>
      <c r="T39" s="75"/>
    </row>
    <row r="40" spans="1:20" ht="15" customHeight="1" x14ac:dyDescent="0.25">
      <c r="A40" s="45" t="s">
        <v>216</v>
      </c>
      <c r="B40" s="46">
        <v>1</v>
      </c>
      <c r="C40" s="21"/>
      <c r="D40" s="47" t="s">
        <v>123</v>
      </c>
      <c r="E40" s="60"/>
      <c r="F40" s="60"/>
      <c r="G40" s="60"/>
      <c r="H40" s="60"/>
      <c r="I40" s="60"/>
      <c r="J40" s="60"/>
      <c r="K40" s="60"/>
      <c r="L40" s="74"/>
      <c r="M40" s="60"/>
      <c r="N40" s="60"/>
      <c r="O40" s="60"/>
      <c r="P40" s="60"/>
      <c r="Q40" s="60"/>
      <c r="R40" s="60"/>
      <c r="S40" s="60"/>
      <c r="T40" s="74"/>
    </row>
    <row r="41" spans="1:20" ht="15" customHeight="1" x14ac:dyDescent="0.25">
      <c r="A41" s="45"/>
      <c r="B41" s="46">
        <v>2</v>
      </c>
      <c r="C41" s="21"/>
      <c r="D41" s="47" t="s">
        <v>125</v>
      </c>
      <c r="E41" s="60"/>
      <c r="F41" s="60"/>
      <c r="G41" s="60"/>
      <c r="H41" s="60"/>
      <c r="I41" s="60"/>
      <c r="J41" s="60"/>
      <c r="K41" s="60"/>
      <c r="L41" s="74"/>
      <c r="M41" s="60"/>
      <c r="N41" s="60"/>
      <c r="O41" s="60"/>
      <c r="P41" s="60"/>
      <c r="Q41" s="60"/>
      <c r="R41" s="60"/>
      <c r="S41" s="60"/>
      <c r="T41" s="74"/>
    </row>
    <row r="42" spans="1:20" ht="15" customHeight="1" x14ac:dyDescent="0.25">
      <c r="A42" s="136" t="s">
        <v>217</v>
      </c>
      <c r="B42" s="137"/>
      <c r="C42" s="52"/>
      <c r="D42" s="53"/>
      <c r="E42" s="76"/>
      <c r="F42" s="76"/>
      <c r="G42" s="76"/>
      <c r="H42" s="76"/>
      <c r="I42" s="76"/>
      <c r="J42" s="76"/>
      <c r="K42" s="76"/>
      <c r="L42" s="77"/>
      <c r="M42" s="76"/>
      <c r="N42" s="76"/>
      <c r="O42" s="76"/>
      <c r="P42" s="76"/>
      <c r="Q42" s="76"/>
      <c r="R42" s="76"/>
      <c r="S42" s="76"/>
      <c r="T42" s="77"/>
    </row>
    <row r="43" spans="1:20" x14ac:dyDescent="0.25">
      <c r="A43" s="38" t="s">
        <v>218</v>
      </c>
      <c r="B43" s="39"/>
      <c r="C43" s="40"/>
      <c r="D43" s="41"/>
      <c r="E43" s="72"/>
      <c r="F43" s="72"/>
      <c r="G43" s="72"/>
      <c r="H43" s="72"/>
      <c r="I43" s="72"/>
      <c r="J43" s="72"/>
      <c r="K43" s="72"/>
      <c r="L43" s="75"/>
      <c r="M43" s="72"/>
      <c r="N43" s="72"/>
      <c r="O43" s="72"/>
      <c r="P43" s="72"/>
      <c r="Q43" s="72"/>
      <c r="R43" s="72"/>
      <c r="S43" s="72"/>
      <c r="T43" s="75"/>
    </row>
    <row r="44" spans="1:20" ht="15" customHeight="1" x14ac:dyDescent="0.25">
      <c r="A44" s="45" t="s">
        <v>218</v>
      </c>
      <c r="B44" s="46">
        <v>1</v>
      </c>
      <c r="C44" s="21" t="s">
        <v>219</v>
      </c>
      <c r="D44" s="47" t="s">
        <v>349</v>
      </c>
      <c r="E44" s="60"/>
      <c r="F44" s="60"/>
      <c r="G44" s="60"/>
      <c r="H44" s="60"/>
      <c r="I44" s="60"/>
      <c r="J44" s="60"/>
      <c r="K44" s="60"/>
      <c r="L44" s="74"/>
      <c r="M44" s="60"/>
      <c r="N44" s="60"/>
      <c r="O44" s="60"/>
      <c r="P44" s="60"/>
      <c r="Q44" s="60"/>
      <c r="R44" s="60"/>
      <c r="S44" s="60"/>
      <c r="T44" s="74"/>
    </row>
    <row r="45" spans="1:20" x14ac:dyDescent="0.25">
      <c r="A45" s="38" t="s">
        <v>220</v>
      </c>
      <c r="B45" s="39"/>
      <c r="C45" s="40"/>
      <c r="D45" s="41"/>
      <c r="E45" s="72"/>
      <c r="F45" s="72"/>
      <c r="G45" s="72"/>
      <c r="H45" s="72"/>
      <c r="I45" s="72"/>
      <c r="J45" s="72"/>
      <c r="K45" s="72"/>
      <c r="L45" s="75"/>
      <c r="M45" s="72"/>
      <c r="N45" s="72"/>
      <c r="O45" s="72"/>
      <c r="P45" s="72"/>
      <c r="Q45" s="72"/>
      <c r="R45" s="72"/>
      <c r="S45" s="72"/>
      <c r="T45" s="75"/>
    </row>
    <row r="46" spans="1:20" ht="15" customHeight="1" x14ac:dyDescent="0.25">
      <c r="A46" s="45" t="s">
        <v>183</v>
      </c>
      <c r="B46" s="46">
        <v>1</v>
      </c>
      <c r="C46" s="21" t="s">
        <v>182</v>
      </c>
      <c r="D46" s="47" t="s">
        <v>350</v>
      </c>
      <c r="E46" s="60"/>
      <c r="F46" s="60"/>
      <c r="G46" s="60"/>
      <c r="H46" s="60"/>
      <c r="I46" s="60"/>
      <c r="J46" s="60"/>
      <c r="K46" s="60"/>
      <c r="L46" s="74"/>
      <c r="M46" s="60"/>
      <c r="N46" s="60"/>
      <c r="O46" s="60"/>
      <c r="P46" s="60"/>
      <c r="Q46" s="60"/>
      <c r="R46" s="60"/>
      <c r="S46" s="60"/>
      <c r="T46" s="74"/>
    </row>
    <row r="47" spans="1:20" ht="15" customHeight="1" x14ac:dyDescent="0.25">
      <c r="A47" s="45" t="s">
        <v>221</v>
      </c>
      <c r="B47" s="46">
        <v>1</v>
      </c>
      <c r="C47" s="21" t="s">
        <v>134</v>
      </c>
      <c r="D47" s="47" t="s">
        <v>351</v>
      </c>
      <c r="E47" s="60"/>
      <c r="F47" s="60"/>
      <c r="G47" s="60"/>
      <c r="H47" s="60"/>
      <c r="I47" s="60"/>
      <c r="J47" s="60"/>
      <c r="K47" s="60"/>
      <c r="L47" s="74"/>
      <c r="M47" s="60"/>
      <c r="N47" s="60"/>
      <c r="O47" s="60"/>
      <c r="P47" s="60"/>
      <c r="Q47" s="60"/>
      <c r="R47" s="60"/>
      <c r="S47" s="60"/>
      <c r="T47" s="74"/>
    </row>
    <row r="48" spans="1:20" ht="15" customHeight="1" x14ac:dyDescent="0.25">
      <c r="A48" s="45" t="s">
        <v>222</v>
      </c>
      <c r="B48" s="46">
        <v>1</v>
      </c>
      <c r="C48" s="21" t="s">
        <v>135</v>
      </c>
      <c r="D48" s="47" t="s">
        <v>352</v>
      </c>
      <c r="E48" s="60"/>
      <c r="F48" s="60"/>
      <c r="G48" s="60"/>
      <c r="H48" s="60"/>
      <c r="I48" s="60"/>
      <c r="J48" s="60"/>
      <c r="K48" s="60"/>
      <c r="L48" s="74"/>
      <c r="M48" s="60"/>
      <c r="N48" s="60"/>
      <c r="O48" s="60"/>
      <c r="P48" s="60"/>
      <c r="Q48" s="60"/>
      <c r="R48" s="60"/>
      <c r="S48" s="60"/>
      <c r="T48" s="74"/>
    </row>
    <row r="49" spans="1:20" ht="15" customHeight="1" x14ac:dyDescent="0.25">
      <c r="A49" s="45" t="s">
        <v>223</v>
      </c>
      <c r="B49" s="46">
        <v>1</v>
      </c>
      <c r="C49" s="21" t="s">
        <v>136</v>
      </c>
      <c r="D49" s="47" t="s">
        <v>353</v>
      </c>
      <c r="E49" s="60"/>
      <c r="F49" s="60"/>
      <c r="G49" s="60"/>
      <c r="H49" s="60"/>
      <c r="I49" s="60"/>
      <c r="J49" s="60"/>
      <c r="K49" s="60"/>
      <c r="L49" s="74"/>
      <c r="M49" s="60"/>
      <c r="N49" s="60"/>
      <c r="O49" s="60"/>
      <c r="P49" s="60"/>
      <c r="Q49" s="60"/>
      <c r="R49" s="60"/>
      <c r="S49" s="60"/>
      <c r="T49" s="74"/>
    </row>
    <row r="50" spans="1:20" ht="15" customHeight="1" x14ac:dyDescent="0.25">
      <c r="A50" s="136" t="s">
        <v>224</v>
      </c>
      <c r="B50" s="137"/>
      <c r="C50" s="52"/>
      <c r="D50" s="53"/>
      <c r="E50" s="76"/>
      <c r="F50" s="76"/>
      <c r="G50" s="76"/>
      <c r="H50" s="76"/>
      <c r="I50" s="76"/>
      <c r="J50" s="76"/>
      <c r="K50" s="76"/>
      <c r="L50" s="77"/>
      <c r="M50" s="76"/>
      <c r="N50" s="76"/>
      <c r="O50" s="76"/>
      <c r="P50" s="76"/>
      <c r="Q50" s="76"/>
      <c r="R50" s="76"/>
      <c r="S50" s="76"/>
      <c r="T50" s="77"/>
    </row>
    <row r="51" spans="1:20" x14ac:dyDescent="0.25">
      <c r="A51" s="38" t="s">
        <v>225</v>
      </c>
      <c r="B51" s="39"/>
      <c r="C51" s="40"/>
      <c r="D51" s="41"/>
      <c r="E51" s="72"/>
      <c r="F51" s="72"/>
      <c r="G51" s="72"/>
      <c r="H51" s="72"/>
      <c r="I51" s="72"/>
      <c r="J51" s="72"/>
      <c r="K51" s="72"/>
      <c r="L51" s="75"/>
      <c r="M51" s="72"/>
      <c r="N51" s="72"/>
      <c r="O51" s="72"/>
      <c r="P51" s="72"/>
      <c r="Q51" s="72"/>
      <c r="R51" s="72"/>
      <c r="S51" s="72"/>
      <c r="T51" s="75"/>
    </row>
    <row r="52" spans="1:20" ht="15" customHeight="1" x14ac:dyDescent="0.25">
      <c r="A52" s="45" t="s">
        <v>226</v>
      </c>
      <c r="B52" s="46">
        <v>1</v>
      </c>
      <c r="C52" s="21" t="s">
        <v>148</v>
      </c>
      <c r="D52" s="47" t="s">
        <v>354</v>
      </c>
      <c r="E52" s="60"/>
      <c r="F52" s="60"/>
      <c r="G52" s="60"/>
      <c r="H52" s="60"/>
      <c r="I52" s="60"/>
      <c r="J52" s="60"/>
      <c r="K52" s="60"/>
      <c r="L52" s="74"/>
      <c r="M52" s="60"/>
      <c r="N52" s="60"/>
      <c r="O52" s="60"/>
      <c r="P52" s="60"/>
      <c r="Q52" s="60"/>
      <c r="R52" s="60"/>
      <c r="S52" s="60"/>
      <c r="T52" s="74"/>
    </row>
    <row r="53" spans="1:20" ht="15" customHeight="1" x14ac:dyDescent="0.25">
      <c r="A53" s="45"/>
      <c r="B53" s="46">
        <v>2</v>
      </c>
      <c r="C53" s="21" t="s">
        <v>148</v>
      </c>
      <c r="D53" s="47" t="s">
        <v>355</v>
      </c>
      <c r="E53" s="60"/>
      <c r="F53" s="60"/>
      <c r="G53" s="60"/>
      <c r="H53" s="60"/>
      <c r="I53" s="60"/>
      <c r="J53" s="60"/>
      <c r="K53" s="60"/>
      <c r="L53" s="74"/>
      <c r="M53" s="60"/>
      <c r="N53" s="60"/>
      <c r="O53" s="60"/>
      <c r="P53" s="60"/>
      <c r="Q53" s="60"/>
      <c r="R53" s="60"/>
      <c r="S53" s="60"/>
      <c r="T53" s="74"/>
    </row>
    <row r="54" spans="1:20" x14ac:dyDescent="0.25">
      <c r="A54" s="38" t="s">
        <v>227</v>
      </c>
      <c r="B54" s="39"/>
      <c r="C54" s="40"/>
      <c r="D54" s="41"/>
      <c r="E54" s="72"/>
      <c r="F54" s="72"/>
      <c r="G54" s="72"/>
      <c r="H54" s="72"/>
      <c r="I54" s="72"/>
      <c r="J54" s="72"/>
      <c r="K54" s="72"/>
      <c r="L54" s="75"/>
      <c r="M54" s="72"/>
      <c r="N54" s="72"/>
      <c r="O54" s="72"/>
      <c r="P54" s="72"/>
      <c r="Q54" s="72"/>
      <c r="R54" s="72"/>
      <c r="S54" s="72"/>
      <c r="T54" s="75"/>
    </row>
    <row r="55" spans="1:20" ht="15" customHeight="1" x14ac:dyDescent="0.25">
      <c r="A55" s="45" t="s">
        <v>227</v>
      </c>
      <c r="B55" s="46">
        <v>1</v>
      </c>
      <c r="C55" s="21" t="s">
        <v>147</v>
      </c>
      <c r="D55" s="47" t="s">
        <v>356</v>
      </c>
      <c r="E55" s="60"/>
      <c r="F55" s="60"/>
      <c r="G55" s="60"/>
      <c r="H55" s="60"/>
      <c r="I55" s="60"/>
      <c r="J55" s="60"/>
      <c r="K55" s="60"/>
      <c r="L55" s="74"/>
      <c r="M55" s="60"/>
      <c r="N55" s="60"/>
      <c r="O55" s="60"/>
      <c r="P55" s="60"/>
      <c r="Q55" s="60"/>
      <c r="R55" s="60"/>
      <c r="S55" s="60"/>
      <c r="T55" s="74"/>
    </row>
    <row r="56" spans="1:20" ht="15" customHeight="1" x14ac:dyDescent="0.25">
      <c r="A56" s="45"/>
      <c r="B56" s="46">
        <v>2</v>
      </c>
      <c r="C56" s="21" t="s">
        <v>147</v>
      </c>
      <c r="D56" s="47" t="s">
        <v>357</v>
      </c>
      <c r="E56" s="60"/>
      <c r="F56" s="60"/>
      <c r="G56" s="60"/>
      <c r="H56" s="60"/>
      <c r="I56" s="60"/>
      <c r="J56" s="60"/>
      <c r="K56" s="60"/>
      <c r="L56" s="74"/>
      <c r="M56" s="60"/>
      <c r="N56" s="60"/>
      <c r="O56" s="60"/>
      <c r="P56" s="60"/>
      <c r="Q56" s="60"/>
      <c r="R56" s="60"/>
      <c r="S56" s="60"/>
      <c r="T56" s="74"/>
    </row>
    <row r="57" spans="1:20" x14ac:dyDescent="0.25">
      <c r="A57" s="38" t="s">
        <v>228</v>
      </c>
      <c r="B57" s="39"/>
      <c r="C57" s="40"/>
      <c r="D57" s="41"/>
      <c r="E57" s="72"/>
      <c r="F57" s="72"/>
      <c r="G57" s="72"/>
      <c r="H57" s="72"/>
      <c r="I57" s="72"/>
      <c r="J57" s="72"/>
      <c r="K57" s="72"/>
      <c r="L57" s="75"/>
      <c r="M57" s="72"/>
      <c r="N57" s="72"/>
      <c r="O57" s="72"/>
      <c r="P57" s="72"/>
      <c r="Q57" s="72"/>
      <c r="R57" s="72"/>
      <c r="S57" s="72"/>
      <c r="T57" s="75"/>
    </row>
    <row r="58" spans="1:20" ht="15" customHeight="1" x14ac:dyDescent="0.25">
      <c r="A58" s="45" t="s">
        <v>228</v>
      </c>
      <c r="B58" s="46">
        <v>1</v>
      </c>
      <c r="C58" s="21" t="s">
        <v>164</v>
      </c>
      <c r="D58" s="47" t="s">
        <v>358</v>
      </c>
      <c r="E58" s="60"/>
      <c r="F58" s="60"/>
      <c r="G58" s="60"/>
      <c r="H58" s="60"/>
      <c r="I58" s="60"/>
      <c r="J58" s="60"/>
      <c r="K58" s="60"/>
      <c r="L58" s="74"/>
      <c r="M58" s="60"/>
      <c r="N58" s="60"/>
      <c r="O58" s="60"/>
      <c r="P58" s="60"/>
      <c r="Q58" s="60"/>
      <c r="R58" s="60"/>
      <c r="S58" s="60"/>
      <c r="T58" s="74"/>
    </row>
    <row r="59" spans="1:20" ht="15" customHeight="1" x14ac:dyDescent="0.25">
      <c r="A59" s="45"/>
      <c r="B59" s="46">
        <v>2</v>
      </c>
      <c r="C59" s="21" t="s">
        <v>164</v>
      </c>
      <c r="D59" s="47" t="s">
        <v>359</v>
      </c>
      <c r="E59" s="60"/>
      <c r="F59" s="60"/>
      <c r="G59" s="60"/>
      <c r="H59" s="60"/>
      <c r="I59" s="60"/>
      <c r="J59" s="60"/>
      <c r="K59" s="60"/>
      <c r="L59" s="74"/>
      <c r="M59" s="60"/>
      <c r="N59" s="60"/>
      <c r="O59" s="60"/>
      <c r="P59" s="60"/>
      <c r="Q59" s="60"/>
      <c r="R59" s="60"/>
      <c r="S59" s="60"/>
      <c r="T59" s="74"/>
    </row>
    <row r="60" spans="1:20" x14ac:dyDescent="0.25">
      <c r="A60" s="38" t="s">
        <v>229</v>
      </c>
      <c r="B60" s="39"/>
      <c r="C60" s="40"/>
      <c r="D60" s="41"/>
      <c r="E60" s="72"/>
      <c r="F60" s="72"/>
      <c r="G60" s="72"/>
      <c r="H60" s="72"/>
      <c r="I60" s="72"/>
      <c r="J60" s="72"/>
      <c r="K60" s="72"/>
      <c r="L60" s="75"/>
      <c r="M60" s="72"/>
      <c r="N60" s="72"/>
      <c r="O60" s="72"/>
      <c r="P60" s="72"/>
      <c r="Q60" s="72"/>
      <c r="R60" s="72"/>
      <c r="S60" s="72"/>
      <c r="T60" s="75"/>
    </row>
    <row r="61" spans="1:20" ht="15" customHeight="1" x14ac:dyDescent="0.25">
      <c r="A61" s="45" t="s">
        <v>229</v>
      </c>
      <c r="B61" s="46">
        <v>1</v>
      </c>
      <c r="C61" s="21" t="s">
        <v>165</v>
      </c>
      <c r="D61" s="47" t="s">
        <v>360</v>
      </c>
      <c r="E61" s="60"/>
      <c r="F61" s="60"/>
      <c r="G61" s="60"/>
      <c r="H61" s="60"/>
      <c r="I61" s="60"/>
      <c r="J61" s="60"/>
      <c r="K61" s="60"/>
      <c r="L61" s="74"/>
      <c r="M61" s="60"/>
      <c r="N61" s="60"/>
      <c r="O61" s="60"/>
      <c r="P61" s="60"/>
      <c r="Q61" s="60"/>
      <c r="R61" s="60"/>
      <c r="S61" s="60"/>
      <c r="T61" s="74"/>
    </row>
    <row r="62" spans="1:20" ht="15" customHeight="1" x14ac:dyDescent="0.25">
      <c r="A62" s="45"/>
      <c r="B62" s="46">
        <v>2</v>
      </c>
      <c r="C62" s="21" t="s">
        <v>165</v>
      </c>
      <c r="D62" s="47" t="s">
        <v>361</v>
      </c>
      <c r="E62" s="60"/>
      <c r="F62" s="60"/>
      <c r="G62" s="60"/>
      <c r="H62" s="60"/>
      <c r="I62" s="60"/>
      <c r="J62" s="60"/>
      <c r="K62" s="60"/>
      <c r="L62" s="74"/>
      <c r="M62" s="60"/>
      <c r="N62" s="60"/>
      <c r="O62" s="60"/>
      <c r="P62" s="60"/>
      <c r="Q62" s="60"/>
      <c r="R62" s="60"/>
      <c r="S62" s="60"/>
      <c r="T62" s="74"/>
    </row>
    <row r="63" spans="1:20" x14ac:dyDescent="0.25">
      <c r="A63" s="38" t="s">
        <v>230</v>
      </c>
      <c r="B63" s="39"/>
      <c r="C63" s="40"/>
      <c r="D63" s="41"/>
      <c r="E63" s="72"/>
      <c r="F63" s="72"/>
      <c r="G63" s="72"/>
      <c r="H63" s="72"/>
      <c r="I63" s="72"/>
      <c r="J63" s="72"/>
      <c r="K63" s="72"/>
      <c r="L63" s="75"/>
      <c r="M63" s="72"/>
      <c r="N63" s="72"/>
      <c r="O63" s="72"/>
      <c r="P63" s="72"/>
      <c r="Q63" s="72"/>
      <c r="R63" s="72"/>
      <c r="S63" s="72"/>
      <c r="T63" s="75"/>
    </row>
    <row r="64" spans="1:20" ht="15" customHeight="1" x14ac:dyDescent="0.25">
      <c r="A64" s="45" t="s">
        <v>230</v>
      </c>
      <c r="B64" s="46">
        <v>1</v>
      </c>
      <c r="C64" s="21" t="s">
        <v>166</v>
      </c>
      <c r="D64" s="47" t="s">
        <v>362</v>
      </c>
      <c r="E64" s="60"/>
      <c r="F64" s="60"/>
      <c r="G64" s="60"/>
      <c r="H64" s="60"/>
      <c r="I64" s="60"/>
      <c r="J64" s="60"/>
      <c r="K64" s="60"/>
      <c r="L64" s="74"/>
      <c r="M64" s="60"/>
      <c r="N64" s="60"/>
      <c r="O64" s="60"/>
      <c r="P64" s="60"/>
      <c r="Q64" s="60"/>
      <c r="R64" s="60"/>
      <c r="S64" s="60"/>
      <c r="T64" s="74"/>
    </row>
    <row r="65" spans="1:20" x14ac:dyDescent="0.25">
      <c r="A65" s="38" t="s">
        <v>231</v>
      </c>
      <c r="B65" s="39"/>
      <c r="C65" s="40"/>
      <c r="D65" s="41"/>
      <c r="E65" s="72"/>
      <c r="F65" s="72"/>
      <c r="G65" s="72"/>
      <c r="H65" s="72"/>
      <c r="I65" s="72"/>
      <c r="J65" s="72"/>
      <c r="K65" s="72"/>
      <c r="L65" s="75"/>
      <c r="M65" s="72"/>
      <c r="N65" s="72"/>
      <c r="O65" s="72"/>
      <c r="P65" s="72"/>
      <c r="Q65" s="72"/>
      <c r="R65" s="72"/>
      <c r="S65" s="72"/>
      <c r="T65" s="75"/>
    </row>
    <row r="66" spans="1:20" ht="15" customHeight="1" x14ac:dyDescent="0.25">
      <c r="A66" s="45" t="s">
        <v>231</v>
      </c>
      <c r="B66" s="46">
        <v>1</v>
      </c>
      <c r="C66" s="21" t="s">
        <v>167</v>
      </c>
      <c r="D66" s="47" t="s">
        <v>363</v>
      </c>
      <c r="E66" s="60"/>
      <c r="F66" s="60"/>
      <c r="G66" s="60"/>
      <c r="H66" s="60"/>
      <c r="I66" s="60"/>
      <c r="J66" s="60"/>
      <c r="K66" s="60"/>
      <c r="L66" s="74"/>
      <c r="M66" s="60"/>
      <c r="N66" s="60"/>
      <c r="O66" s="60"/>
      <c r="P66" s="60"/>
      <c r="Q66" s="60"/>
      <c r="R66" s="60"/>
      <c r="S66" s="60"/>
      <c r="T66" s="74"/>
    </row>
    <row r="67" spans="1:20" ht="15" customHeight="1" x14ac:dyDescent="0.25">
      <c r="A67" s="45"/>
      <c r="B67" s="46">
        <v>2</v>
      </c>
      <c r="C67" s="21" t="s">
        <v>167</v>
      </c>
      <c r="D67" s="47" t="s">
        <v>364</v>
      </c>
      <c r="E67" s="60"/>
      <c r="F67" s="60"/>
      <c r="G67" s="60"/>
      <c r="H67" s="60"/>
      <c r="I67" s="60"/>
      <c r="J67" s="60"/>
      <c r="K67" s="60"/>
      <c r="L67" s="74"/>
      <c r="M67" s="60"/>
      <c r="N67" s="60"/>
      <c r="O67" s="60"/>
      <c r="P67" s="60"/>
      <c r="Q67" s="60"/>
      <c r="R67" s="60"/>
      <c r="S67" s="60"/>
      <c r="T67" s="74"/>
    </row>
    <row r="68" spans="1:20" x14ac:dyDescent="0.25">
      <c r="A68" s="38" t="s">
        <v>232</v>
      </c>
      <c r="B68" s="39"/>
      <c r="C68" s="40"/>
      <c r="D68" s="41"/>
      <c r="E68" s="72"/>
      <c r="F68" s="72"/>
      <c r="G68" s="72"/>
      <c r="H68" s="72"/>
      <c r="I68" s="72"/>
      <c r="J68" s="72"/>
      <c r="K68" s="72"/>
      <c r="L68" s="75"/>
      <c r="M68" s="72"/>
      <c r="N68" s="72"/>
      <c r="O68" s="72"/>
      <c r="P68" s="72"/>
      <c r="Q68" s="72"/>
      <c r="R68" s="72"/>
      <c r="S68" s="72"/>
      <c r="T68" s="75"/>
    </row>
    <row r="69" spans="1:20" ht="15" customHeight="1" x14ac:dyDescent="0.25">
      <c r="A69" s="45" t="s">
        <v>232</v>
      </c>
      <c r="B69" s="46">
        <v>1</v>
      </c>
      <c r="C69" s="21" t="s">
        <v>168</v>
      </c>
      <c r="D69" s="47" t="s">
        <v>365</v>
      </c>
      <c r="E69" s="60"/>
      <c r="F69" s="60"/>
      <c r="G69" s="60"/>
      <c r="H69" s="60"/>
      <c r="I69" s="60"/>
      <c r="J69" s="60"/>
      <c r="K69" s="60"/>
      <c r="L69" s="74"/>
      <c r="M69" s="60"/>
      <c r="N69" s="60"/>
      <c r="O69" s="60"/>
      <c r="P69" s="60"/>
      <c r="Q69" s="60"/>
      <c r="R69" s="60"/>
      <c r="S69" s="60"/>
      <c r="T69" s="74"/>
    </row>
    <row r="70" spans="1:20" ht="15" customHeight="1" x14ac:dyDescent="0.25">
      <c r="A70" s="45"/>
      <c r="B70" s="46">
        <v>2</v>
      </c>
      <c r="C70" s="21" t="s">
        <v>168</v>
      </c>
      <c r="D70" s="47" t="s">
        <v>366</v>
      </c>
      <c r="E70" s="60"/>
      <c r="F70" s="60"/>
      <c r="G70" s="60"/>
      <c r="H70" s="60"/>
      <c r="I70" s="60"/>
      <c r="J70" s="60"/>
      <c r="K70" s="60"/>
      <c r="L70" s="74"/>
      <c r="M70" s="60"/>
      <c r="N70" s="60"/>
      <c r="O70" s="60"/>
      <c r="P70" s="60"/>
      <c r="Q70" s="60"/>
      <c r="R70" s="60"/>
      <c r="S70" s="60"/>
      <c r="T70" s="74"/>
    </row>
    <row r="71" spans="1:20" x14ac:dyDescent="0.25">
      <c r="A71" s="38" t="s">
        <v>233</v>
      </c>
      <c r="B71" s="39"/>
      <c r="C71" s="40"/>
      <c r="D71" s="41"/>
      <c r="E71" s="72"/>
      <c r="F71" s="72"/>
      <c r="G71" s="72"/>
      <c r="H71" s="72"/>
      <c r="I71" s="72"/>
      <c r="J71" s="72"/>
      <c r="K71" s="72"/>
      <c r="L71" s="75"/>
      <c r="M71" s="72"/>
      <c r="N71" s="72"/>
      <c r="O71" s="72"/>
      <c r="P71" s="72"/>
      <c r="Q71" s="72"/>
      <c r="R71" s="72"/>
      <c r="S71" s="72"/>
      <c r="T71" s="75"/>
    </row>
    <row r="72" spans="1:20" ht="15" customHeight="1" x14ac:dyDescent="0.25">
      <c r="A72" s="45" t="s">
        <v>234</v>
      </c>
      <c r="B72" s="46">
        <v>1</v>
      </c>
      <c r="C72" s="21" t="s">
        <v>145</v>
      </c>
      <c r="D72" s="47" t="s">
        <v>367</v>
      </c>
      <c r="E72" s="60"/>
      <c r="F72" s="60"/>
      <c r="G72" s="60"/>
      <c r="H72" s="60"/>
      <c r="I72" s="60"/>
      <c r="J72" s="60"/>
      <c r="K72" s="60"/>
      <c r="L72" s="74"/>
      <c r="M72" s="60"/>
      <c r="N72" s="60"/>
      <c r="O72" s="60"/>
      <c r="P72" s="60"/>
      <c r="Q72" s="60"/>
      <c r="R72" s="60"/>
      <c r="S72" s="60"/>
      <c r="T72" s="74"/>
    </row>
    <row r="73" spans="1:20" ht="15" customHeight="1" x14ac:dyDescent="0.25">
      <c r="A73" s="45"/>
      <c r="B73" s="46">
        <v>2</v>
      </c>
      <c r="C73" s="21" t="s">
        <v>145</v>
      </c>
      <c r="D73" s="47" t="s">
        <v>368</v>
      </c>
      <c r="E73" s="60"/>
      <c r="F73" s="60"/>
      <c r="G73" s="60"/>
      <c r="H73" s="60"/>
      <c r="I73" s="60"/>
      <c r="J73" s="60"/>
      <c r="K73" s="60"/>
      <c r="L73" s="74"/>
      <c r="M73" s="60"/>
      <c r="N73" s="60"/>
      <c r="O73" s="60"/>
      <c r="P73" s="60"/>
      <c r="Q73" s="60"/>
      <c r="R73" s="60"/>
      <c r="S73" s="60"/>
      <c r="T73" s="74"/>
    </row>
    <row r="74" spans="1:20" ht="15" customHeight="1" x14ac:dyDescent="0.25">
      <c r="A74" s="45" t="s">
        <v>235</v>
      </c>
      <c r="B74" s="46">
        <v>1</v>
      </c>
      <c r="C74" s="21" t="s">
        <v>146</v>
      </c>
      <c r="D74" s="47" t="s">
        <v>369</v>
      </c>
      <c r="E74" s="60"/>
      <c r="F74" s="60"/>
      <c r="G74" s="60"/>
      <c r="H74" s="60"/>
      <c r="I74" s="60"/>
      <c r="J74" s="60"/>
      <c r="K74" s="60"/>
      <c r="L74" s="74"/>
      <c r="M74" s="60"/>
      <c r="N74" s="60"/>
      <c r="O74" s="60"/>
      <c r="P74" s="60"/>
      <c r="Q74" s="60"/>
      <c r="R74" s="60"/>
      <c r="S74" s="60"/>
      <c r="T74" s="74"/>
    </row>
    <row r="75" spans="1:20" ht="15" customHeight="1" x14ac:dyDescent="0.25">
      <c r="A75" s="45"/>
      <c r="B75" s="46">
        <v>2</v>
      </c>
      <c r="C75" s="21" t="s">
        <v>146</v>
      </c>
      <c r="D75" s="47" t="s">
        <v>370</v>
      </c>
      <c r="E75" s="60"/>
      <c r="F75" s="60"/>
      <c r="G75" s="60"/>
      <c r="H75" s="60"/>
      <c r="I75" s="60"/>
      <c r="J75" s="60"/>
      <c r="K75" s="60"/>
      <c r="L75" s="74"/>
      <c r="M75" s="60"/>
      <c r="N75" s="60"/>
      <c r="O75" s="60"/>
      <c r="P75" s="60"/>
      <c r="Q75" s="60"/>
      <c r="R75" s="60"/>
      <c r="S75" s="60"/>
      <c r="T75" s="74"/>
    </row>
    <row r="76" spans="1:20" x14ac:dyDescent="0.25">
      <c r="A76" s="38" t="s">
        <v>163</v>
      </c>
      <c r="B76" s="39"/>
      <c r="C76" s="40"/>
      <c r="D76" s="41"/>
      <c r="E76" s="72"/>
      <c r="F76" s="72"/>
      <c r="G76" s="72"/>
      <c r="H76" s="72"/>
      <c r="I76" s="72"/>
      <c r="J76" s="72"/>
      <c r="K76" s="72"/>
      <c r="L76" s="75"/>
      <c r="M76" s="72"/>
      <c r="N76" s="72"/>
      <c r="O76" s="72"/>
      <c r="P76" s="72"/>
      <c r="Q76" s="72"/>
      <c r="R76" s="72"/>
      <c r="S76" s="72"/>
      <c r="T76" s="75"/>
    </row>
    <row r="77" spans="1:20" ht="15" customHeight="1" x14ac:dyDescent="0.25">
      <c r="A77" s="45" t="s">
        <v>163</v>
      </c>
      <c r="B77" s="46">
        <v>1</v>
      </c>
      <c r="C77" s="21" t="s">
        <v>162</v>
      </c>
      <c r="D77" s="47" t="s">
        <v>371</v>
      </c>
      <c r="E77" s="60"/>
      <c r="F77" s="60"/>
      <c r="G77" s="60"/>
      <c r="H77" s="60"/>
      <c r="I77" s="60"/>
      <c r="J77" s="60"/>
      <c r="K77" s="60"/>
      <c r="L77" s="74"/>
      <c r="M77" s="60"/>
      <c r="N77" s="60"/>
      <c r="O77" s="60"/>
      <c r="P77" s="60"/>
      <c r="Q77" s="60"/>
      <c r="R77" s="60"/>
      <c r="S77" s="60"/>
      <c r="T77" s="74"/>
    </row>
    <row r="78" spans="1:20" x14ac:dyDescent="0.25">
      <c r="A78" s="38" t="s">
        <v>236</v>
      </c>
      <c r="B78" s="39"/>
      <c r="C78" s="40"/>
      <c r="D78" s="41"/>
      <c r="E78" s="72"/>
      <c r="F78" s="72"/>
      <c r="G78" s="72"/>
      <c r="H78" s="72"/>
      <c r="I78" s="72"/>
      <c r="J78" s="72"/>
      <c r="K78" s="72"/>
      <c r="L78" s="75"/>
      <c r="M78" s="72"/>
      <c r="N78" s="72"/>
      <c r="O78" s="72"/>
      <c r="P78" s="72"/>
      <c r="Q78" s="72"/>
      <c r="R78" s="72"/>
      <c r="S78" s="72"/>
      <c r="T78" s="75"/>
    </row>
    <row r="79" spans="1:20" ht="15" customHeight="1" x14ac:dyDescent="0.25">
      <c r="A79" s="45" t="s">
        <v>236</v>
      </c>
      <c r="B79" s="46">
        <v>1</v>
      </c>
      <c r="C79" s="21" t="s">
        <v>161</v>
      </c>
      <c r="D79" s="47" t="s">
        <v>372</v>
      </c>
      <c r="E79" s="60"/>
      <c r="F79" s="60"/>
      <c r="G79" s="60"/>
      <c r="H79" s="60"/>
      <c r="I79" s="60"/>
      <c r="J79" s="60"/>
      <c r="K79" s="60"/>
      <c r="L79" s="74"/>
      <c r="M79" s="60"/>
      <c r="N79" s="60"/>
      <c r="O79" s="60"/>
      <c r="P79" s="60"/>
      <c r="Q79" s="60"/>
      <c r="R79" s="60"/>
      <c r="S79" s="60"/>
      <c r="T79" s="74"/>
    </row>
    <row r="80" spans="1:20" ht="15" customHeight="1" x14ac:dyDescent="0.25">
      <c r="A80" s="45"/>
      <c r="B80" s="46">
        <v>2</v>
      </c>
      <c r="C80" s="21" t="s">
        <v>161</v>
      </c>
      <c r="D80" s="47" t="s">
        <v>373</v>
      </c>
      <c r="E80" s="60"/>
      <c r="F80" s="60"/>
      <c r="G80" s="60"/>
      <c r="H80" s="60"/>
      <c r="I80" s="60"/>
      <c r="J80" s="60"/>
      <c r="K80" s="60"/>
      <c r="L80" s="74"/>
      <c r="M80" s="60"/>
      <c r="N80" s="60"/>
      <c r="O80" s="60"/>
      <c r="P80" s="60"/>
      <c r="Q80" s="60"/>
      <c r="R80" s="60"/>
      <c r="S80" s="60"/>
      <c r="T80" s="74"/>
    </row>
    <row r="81" spans="1:20" x14ac:dyDescent="0.25">
      <c r="A81" s="38" t="s">
        <v>237</v>
      </c>
      <c r="B81" s="39"/>
      <c r="C81" s="40"/>
      <c r="D81" s="41"/>
      <c r="E81" s="72"/>
      <c r="F81" s="72"/>
      <c r="G81" s="72"/>
      <c r="H81" s="72"/>
      <c r="I81" s="72"/>
      <c r="J81" s="72"/>
      <c r="K81" s="72"/>
      <c r="L81" s="75"/>
      <c r="M81" s="72"/>
      <c r="N81" s="72"/>
      <c r="O81" s="72"/>
      <c r="P81" s="72"/>
      <c r="Q81" s="72"/>
      <c r="R81" s="72"/>
      <c r="S81" s="72"/>
      <c r="T81" s="75"/>
    </row>
    <row r="82" spans="1:20" ht="15" customHeight="1" x14ac:dyDescent="0.25">
      <c r="A82" s="45" t="s">
        <v>237</v>
      </c>
      <c r="B82" s="46">
        <v>1</v>
      </c>
      <c r="C82" s="21" t="s">
        <v>157</v>
      </c>
      <c r="D82" s="47" t="s">
        <v>374</v>
      </c>
      <c r="E82" s="60"/>
      <c r="F82" s="60"/>
      <c r="G82" s="60"/>
      <c r="H82" s="60"/>
      <c r="I82" s="60"/>
      <c r="J82" s="60"/>
      <c r="K82" s="60"/>
      <c r="L82" s="74"/>
      <c r="M82" s="60"/>
      <c r="N82" s="60"/>
      <c r="O82" s="60"/>
      <c r="P82" s="60"/>
      <c r="Q82" s="60"/>
      <c r="R82" s="60"/>
      <c r="S82" s="60"/>
      <c r="T82" s="74"/>
    </row>
    <row r="83" spans="1:20" x14ac:dyDescent="0.25">
      <c r="A83" s="38" t="s">
        <v>238</v>
      </c>
      <c r="B83" s="39"/>
      <c r="C83" s="40"/>
      <c r="D83" s="41"/>
      <c r="E83" s="72"/>
      <c r="F83" s="72"/>
      <c r="G83" s="72"/>
      <c r="H83" s="72"/>
      <c r="I83" s="72"/>
      <c r="J83" s="72"/>
      <c r="K83" s="72"/>
      <c r="L83" s="75"/>
      <c r="M83" s="72"/>
      <c r="N83" s="72"/>
      <c r="O83" s="72"/>
      <c r="P83" s="72"/>
      <c r="Q83" s="72"/>
      <c r="R83" s="72"/>
      <c r="S83" s="72"/>
      <c r="T83" s="75"/>
    </row>
    <row r="84" spans="1:20" ht="15" customHeight="1" x14ac:dyDescent="0.25">
      <c r="A84" s="45" t="s">
        <v>238</v>
      </c>
      <c r="B84" s="46">
        <v>1</v>
      </c>
      <c r="C84" s="21" t="s">
        <v>158</v>
      </c>
      <c r="D84" s="47" t="s">
        <v>375</v>
      </c>
      <c r="E84" s="60"/>
      <c r="F84" s="60"/>
      <c r="G84" s="60"/>
      <c r="H84" s="60"/>
      <c r="I84" s="60"/>
      <c r="J84" s="60"/>
      <c r="K84" s="60"/>
      <c r="L84" s="74"/>
      <c r="M84" s="60"/>
      <c r="N84" s="60"/>
      <c r="O84" s="60"/>
      <c r="P84" s="60"/>
      <c r="Q84" s="60"/>
      <c r="R84" s="60"/>
      <c r="S84" s="60"/>
      <c r="T84" s="74"/>
    </row>
    <row r="85" spans="1:20" ht="15" customHeight="1" x14ac:dyDescent="0.25">
      <c r="A85" s="45"/>
      <c r="B85" s="46">
        <v>2</v>
      </c>
      <c r="C85" s="21" t="s">
        <v>158</v>
      </c>
      <c r="D85" s="47" t="s">
        <v>376</v>
      </c>
      <c r="E85" s="60"/>
      <c r="F85" s="60"/>
      <c r="G85" s="60"/>
      <c r="H85" s="60"/>
      <c r="I85" s="60"/>
      <c r="J85" s="60"/>
      <c r="K85" s="60"/>
      <c r="L85" s="74"/>
      <c r="M85" s="60"/>
      <c r="N85" s="60"/>
      <c r="O85" s="60"/>
      <c r="P85" s="60"/>
      <c r="Q85" s="60"/>
      <c r="R85" s="60"/>
      <c r="S85" s="60"/>
      <c r="T85" s="74"/>
    </row>
    <row r="86" spans="1:20" x14ac:dyDescent="0.25">
      <c r="A86" s="38" t="s">
        <v>239</v>
      </c>
      <c r="B86" s="39"/>
      <c r="C86" s="40"/>
      <c r="D86" s="41"/>
      <c r="E86" s="72"/>
      <c r="F86" s="72"/>
      <c r="G86" s="72"/>
      <c r="H86" s="72"/>
      <c r="I86" s="72"/>
      <c r="J86" s="72"/>
      <c r="K86" s="72"/>
      <c r="L86" s="75"/>
      <c r="M86" s="72"/>
      <c r="N86" s="72"/>
      <c r="O86" s="72"/>
      <c r="P86" s="72"/>
      <c r="Q86" s="72"/>
      <c r="R86" s="72"/>
      <c r="S86" s="72"/>
      <c r="T86" s="75"/>
    </row>
    <row r="87" spans="1:20" ht="15" customHeight="1" x14ac:dyDescent="0.25">
      <c r="A87" s="45" t="s">
        <v>239</v>
      </c>
      <c r="B87" s="46">
        <v>1</v>
      </c>
      <c r="C87" s="21" t="s">
        <v>159</v>
      </c>
      <c r="D87" s="47" t="s">
        <v>377</v>
      </c>
      <c r="E87" s="60"/>
      <c r="F87" s="60"/>
      <c r="G87" s="60"/>
      <c r="H87" s="60"/>
      <c r="I87" s="60"/>
      <c r="J87" s="60"/>
      <c r="K87" s="60"/>
      <c r="L87" s="74"/>
      <c r="M87" s="60"/>
      <c r="N87" s="60"/>
      <c r="O87" s="60"/>
      <c r="P87" s="60"/>
      <c r="Q87" s="60"/>
      <c r="R87" s="60"/>
      <c r="S87" s="60"/>
      <c r="T87" s="74"/>
    </row>
    <row r="88" spans="1:20" x14ac:dyDescent="0.25">
      <c r="A88" s="38" t="s">
        <v>240</v>
      </c>
      <c r="B88" s="39"/>
      <c r="C88" s="40"/>
      <c r="D88" s="41"/>
      <c r="E88" s="72"/>
      <c r="F88" s="72"/>
      <c r="G88" s="72"/>
      <c r="H88" s="72"/>
      <c r="I88" s="72"/>
      <c r="J88" s="72"/>
      <c r="K88" s="72"/>
      <c r="L88" s="75"/>
      <c r="M88" s="72"/>
      <c r="N88" s="72"/>
      <c r="O88" s="72"/>
      <c r="P88" s="72"/>
      <c r="Q88" s="72"/>
      <c r="R88" s="72"/>
      <c r="S88" s="72"/>
      <c r="T88" s="75"/>
    </row>
    <row r="89" spans="1:20" ht="15" customHeight="1" x14ac:dyDescent="0.25">
      <c r="A89" s="45" t="s">
        <v>240</v>
      </c>
      <c r="B89" s="46">
        <v>1</v>
      </c>
      <c r="C89" s="21" t="s">
        <v>160</v>
      </c>
      <c r="D89" s="47" t="s">
        <v>378</v>
      </c>
      <c r="E89" s="60"/>
      <c r="F89" s="60"/>
      <c r="G89" s="60"/>
      <c r="H89" s="60"/>
      <c r="I89" s="60"/>
      <c r="J89" s="60"/>
      <c r="K89" s="60"/>
      <c r="L89" s="74"/>
      <c r="M89" s="60"/>
      <c r="N89" s="60"/>
      <c r="O89" s="60"/>
      <c r="P89" s="60"/>
      <c r="Q89" s="60"/>
      <c r="R89" s="60"/>
      <c r="S89" s="60"/>
      <c r="T89" s="74"/>
    </row>
    <row r="90" spans="1:20" x14ac:dyDescent="0.25">
      <c r="A90" s="38" t="s">
        <v>241</v>
      </c>
      <c r="B90" s="39"/>
      <c r="C90" s="40"/>
      <c r="D90" s="41"/>
      <c r="E90" s="72"/>
      <c r="F90" s="72"/>
      <c r="G90" s="72"/>
      <c r="H90" s="72"/>
      <c r="I90" s="72"/>
      <c r="J90" s="72"/>
      <c r="K90" s="72"/>
      <c r="L90" s="75"/>
      <c r="M90" s="72"/>
      <c r="N90" s="72"/>
      <c r="O90" s="72"/>
      <c r="P90" s="72"/>
      <c r="Q90" s="72"/>
      <c r="R90" s="72"/>
      <c r="S90" s="72"/>
      <c r="T90" s="75"/>
    </row>
    <row r="91" spans="1:20" ht="15" customHeight="1" x14ac:dyDescent="0.25">
      <c r="A91" s="45" t="s">
        <v>242</v>
      </c>
      <c r="B91" s="46">
        <v>1</v>
      </c>
      <c r="C91" s="21" t="s">
        <v>243</v>
      </c>
      <c r="D91" s="47" t="s">
        <v>379</v>
      </c>
      <c r="E91" s="60"/>
      <c r="F91" s="60"/>
      <c r="G91" s="60"/>
      <c r="H91" s="60"/>
      <c r="I91" s="60"/>
      <c r="J91" s="60"/>
      <c r="K91" s="60"/>
      <c r="L91" s="74"/>
      <c r="M91" s="60"/>
      <c r="N91" s="60"/>
      <c r="O91" s="60"/>
      <c r="P91" s="60"/>
      <c r="Q91" s="60"/>
      <c r="R91" s="60"/>
      <c r="S91" s="60"/>
      <c r="T91" s="74"/>
    </row>
    <row r="92" spans="1:20" x14ac:dyDescent="0.25">
      <c r="A92" s="38" t="s">
        <v>244</v>
      </c>
      <c r="B92" s="39"/>
      <c r="C92" s="40"/>
      <c r="D92" s="41"/>
      <c r="E92" s="72"/>
      <c r="F92" s="72"/>
      <c r="G92" s="72"/>
      <c r="H92" s="72"/>
      <c r="I92" s="72"/>
      <c r="J92" s="72"/>
      <c r="K92" s="72"/>
      <c r="L92" s="75"/>
      <c r="M92" s="72"/>
      <c r="N92" s="72"/>
      <c r="O92" s="72"/>
      <c r="P92" s="72"/>
      <c r="Q92" s="72"/>
      <c r="R92" s="72"/>
      <c r="S92" s="72"/>
      <c r="T92" s="75"/>
    </row>
    <row r="93" spans="1:20" ht="15" customHeight="1" x14ac:dyDescent="0.25">
      <c r="A93" s="45" t="s">
        <v>245</v>
      </c>
      <c r="B93" s="46">
        <v>1</v>
      </c>
      <c r="C93" s="21" t="s">
        <v>246</v>
      </c>
      <c r="D93" s="47" t="s">
        <v>380</v>
      </c>
      <c r="E93" s="60"/>
      <c r="F93" s="60"/>
      <c r="G93" s="60"/>
      <c r="H93" s="60"/>
      <c r="I93" s="60"/>
      <c r="J93" s="60"/>
      <c r="K93" s="60"/>
      <c r="L93" s="74"/>
      <c r="M93" s="60"/>
      <c r="N93" s="60"/>
      <c r="O93" s="60"/>
      <c r="P93" s="60"/>
      <c r="Q93" s="60"/>
      <c r="R93" s="60"/>
      <c r="S93" s="60"/>
      <c r="T93" s="74"/>
    </row>
    <row r="94" spans="1:20" x14ac:dyDescent="0.25">
      <c r="A94" s="38" t="s">
        <v>247</v>
      </c>
      <c r="B94" s="39"/>
      <c r="C94" s="40"/>
      <c r="D94" s="41"/>
      <c r="E94" s="72"/>
      <c r="F94" s="72"/>
      <c r="G94" s="72"/>
      <c r="H94" s="72"/>
      <c r="I94" s="72"/>
      <c r="J94" s="72"/>
      <c r="K94" s="72"/>
      <c r="L94" s="75"/>
      <c r="M94" s="72"/>
      <c r="N94" s="72"/>
      <c r="O94" s="72"/>
      <c r="P94" s="72"/>
      <c r="Q94" s="72"/>
      <c r="R94" s="72"/>
      <c r="S94" s="72"/>
      <c r="T94" s="75"/>
    </row>
    <row r="95" spans="1:20" ht="15" customHeight="1" x14ac:dyDescent="0.25">
      <c r="A95" s="45" t="s">
        <v>247</v>
      </c>
      <c r="B95" s="46">
        <v>1</v>
      </c>
      <c r="C95" s="21" t="s">
        <v>184</v>
      </c>
      <c r="D95" s="47" t="s">
        <v>381</v>
      </c>
      <c r="E95" s="60"/>
      <c r="F95" s="60"/>
      <c r="G95" s="60"/>
      <c r="H95" s="60"/>
      <c r="I95" s="60"/>
      <c r="J95" s="60"/>
      <c r="K95" s="60"/>
      <c r="L95" s="74"/>
      <c r="M95" s="60"/>
      <c r="N95" s="60"/>
      <c r="O95" s="60"/>
      <c r="P95" s="60"/>
      <c r="Q95" s="60"/>
      <c r="R95" s="60"/>
      <c r="S95" s="60"/>
      <c r="T95" s="74"/>
    </row>
    <row r="96" spans="1:20" x14ac:dyDescent="0.25">
      <c r="A96" s="38" t="s">
        <v>248</v>
      </c>
      <c r="B96" s="39"/>
      <c r="C96" s="40"/>
      <c r="D96" s="41"/>
      <c r="E96" s="72"/>
      <c r="F96" s="72"/>
      <c r="G96" s="72"/>
      <c r="H96" s="72"/>
      <c r="I96" s="72"/>
      <c r="J96" s="72"/>
      <c r="K96" s="72"/>
      <c r="L96" s="75"/>
      <c r="M96" s="72"/>
      <c r="N96" s="72"/>
      <c r="O96" s="72"/>
      <c r="P96" s="72"/>
      <c r="Q96" s="72"/>
      <c r="R96" s="72"/>
      <c r="S96" s="72"/>
      <c r="T96" s="75"/>
    </row>
    <row r="97" spans="1:20" ht="15" customHeight="1" x14ac:dyDescent="0.25">
      <c r="A97" s="45" t="s">
        <v>249</v>
      </c>
      <c r="B97" s="46">
        <v>1</v>
      </c>
      <c r="C97" s="21"/>
      <c r="D97" s="47" t="s">
        <v>123</v>
      </c>
      <c r="E97" s="60"/>
      <c r="F97" s="60"/>
      <c r="G97" s="60"/>
      <c r="H97" s="60"/>
      <c r="I97" s="60"/>
      <c r="J97" s="60"/>
      <c r="K97" s="60"/>
      <c r="L97" s="74"/>
      <c r="M97" s="60"/>
      <c r="N97" s="60"/>
      <c r="O97" s="60"/>
      <c r="P97" s="60"/>
      <c r="Q97" s="60"/>
      <c r="R97" s="60"/>
      <c r="S97" s="60"/>
      <c r="T97" s="74"/>
    </row>
    <row r="98" spans="1:20" ht="15" customHeight="1" x14ac:dyDescent="0.25">
      <c r="A98" s="136" t="s">
        <v>250</v>
      </c>
      <c r="B98" s="137"/>
      <c r="C98" s="52"/>
      <c r="D98" s="53"/>
      <c r="E98" s="76"/>
      <c r="F98" s="76"/>
      <c r="G98" s="76"/>
      <c r="H98" s="76"/>
      <c r="I98" s="76"/>
      <c r="J98" s="76"/>
      <c r="K98" s="76"/>
      <c r="L98" s="77"/>
      <c r="M98" s="76"/>
      <c r="N98" s="76"/>
      <c r="O98" s="76"/>
      <c r="P98" s="76"/>
      <c r="Q98" s="76"/>
      <c r="R98" s="76"/>
      <c r="S98" s="76"/>
      <c r="T98" s="77"/>
    </row>
    <row r="99" spans="1:20" x14ac:dyDescent="0.25">
      <c r="A99" s="38" t="s">
        <v>251</v>
      </c>
      <c r="B99" s="39"/>
      <c r="C99" s="40"/>
      <c r="D99" s="41"/>
      <c r="E99" s="72"/>
      <c r="F99" s="72"/>
      <c r="G99" s="72"/>
      <c r="H99" s="72"/>
      <c r="I99" s="72"/>
      <c r="J99" s="72"/>
      <c r="K99" s="72"/>
      <c r="L99" s="75"/>
      <c r="M99" s="72"/>
      <c r="N99" s="72"/>
      <c r="O99" s="72"/>
      <c r="P99" s="72"/>
      <c r="Q99" s="72"/>
      <c r="R99" s="72"/>
      <c r="S99" s="72"/>
      <c r="T99" s="75"/>
    </row>
    <row r="100" spans="1:20" ht="15" customHeight="1" x14ac:dyDescent="0.25">
      <c r="A100" s="45" t="s">
        <v>251</v>
      </c>
      <c r="B100" s="46">
        <v>1</v>
      </c>
      <c r="C100" s="21" t="s">
        <v>137</v>
      </c>
      <c r="D100" s="47" t="s">
        <v>382</v>
      </c>
      <c r="E100" s="60"/>
      <c r="F100" s="60"/>
      <c r="G100" s="60"/>
      <c r="H100" s="60"/>
      <c r="I100" s="60"/>
      <c r="J100" s="60"/>
      <c r="K100" s="60"/>
      <c r="L100" s="74"/>
      <c r="M100" s="60"/>
      <c r="N100" s="60"/>
      <c r="O100" s="60"/>
      <c r="P100" s="60"/>
      <c r="Q100" s="60"/>
      <c r="R100" s="60"/>
      <c r="S100" s="60"/>
      <c r="T100" s="74"/>
    </row>
    <row r="101" spans="1:20" ht="15" customHeight="1" x14ac:dyDescent="0.25">
      <c r="A101" s="142" t="s">
        <v>252</v>
      </c>
      <c r="B101" s="143"/>
      <c r="C101" s="56"/>
      <c r="D101" s="57"/>
      <c r="E101" s="78"/>
      <c r="F101" s="78"/>
      <c r="G101" s="78"/>
      <c r="H101" s="78"/>
      <c r="I101" s="78"/>
      <c r="J101" s="78"/>
      <c r="K101" s="78"/>
      <c r="L101" s="79"/>
      <c r="M101" s="78"/>
      <c r="N101" s="78"/>
      <c r="O101" s="78"/>
      <c r="P101" s="78"/>
      <c r="Q101" s="78"/>
      <c r="R101" s="78"/>
      <c r="S101" s="78"/>
      <c r="T101" s="79"/>
    </row>
    <row r="102" spans="1:20" x14ac:dyDescent="0.25">
      <c r="A102" s="38" t="s">
        <v>253</v>
      </c>
      <c r="B102" s="39"/>
      <c r="C102" s="40"/>
      <c r="D102" s="41"/>
      <c r="E102" s="72"/>
      <c r="F102" s="72"/>
      <c r="G102" s="72"/>
      <c r="H102" s="72"/>
      <c r="I102" s="72"/>
      <c r="J102" s="72"/>
      <c r="K102" s="72"/>
      <c r="L102" s="75"/>
      <c r="M102" s="72"/>
      <c r="N102" s="72"/>
      <c r="O102" s="72"/>
      <c r="P102" s="72"/>
      <c r="Q102" s="72"/>
      <c r="R102" s="72"/>
      <c r="S102" s="72"/>
      <c r="T102" s="75"/>
    </row>
    <row r="103" spans="1:20" ht="15" customHeight="1" x14ac:dyDescent="0.25">
      <c r="A103" s="45" t="s">
        <v>253</v>
      </c>
      <c r="B103" s="46">
        <v>1</v>
      </c>
      <c r="C103" s="21" t="s">
        <v>138</v>
      </c>
      <c r="D103" s="47" t="s">
        <v>383</v>
      </c>
      <c r="E103" s="60"/>
      <c r="F103" s="60"/>
      <c r="G103" s="60"/>
      <c r="H103" s="60"/>
      <c r="I103" s="60"/>
      <c r="J103" s="60"/>
      <c r="K103" s="60"/>
      <c r="L103" s="74"/>
      <c r="M103" s="60"/>
      <c r="N103" s="60"/>
      <c r="O103" s="60"/>
      <c r="P103" s="60"/>
      <c r="Q103" s="60"/>
      <c r="R103" s="60"/>
      <c r="S103" s="60"/>
      <c r="T103" s="74"/>
    </row>
    <row r="104" spans="1:20" x14ac:dyDescent="0.25">
      <c r="A104" s="38" t="s">
        <v>254</v>
      </c>
      <c r="B104" s="39"/>
      <c r="C104" s="40"/>
      <c r="D104" s="41"/>
      <c r="E104" s="72"/>
      <c r="F104" s="72"/>
      <c r="G104" s="72"/>
      <c r="H104" s="72"/>
      <c r="I104" s="72"/>
      <c r="J104" s="72"/>
      <c r="K104" s="72"/>
      <c r="L104" s="75"/>
      <c r="M104" s="72"/>
      <c r="N104" s="72"/>
      <c r="O104" s="72"/>
      <c r="P104" s="72"/>
      <c r="Q104" s="72"/>
      <c r="R104" s="72"/>
      <c r="S104" s="72"/>
      <c r="T104" s="75"/>
    </row>
    <row r="105" spans="1:20" ht="15" customHeight="1" x14ac:dyDescent="0.25">
      <c r="A105" s="45" t="s">
        <v>254</v>
      </c>
      <c r="B105" s="46">
        <v>1</v>
      </c>
      <c r="C105" s="21" t="s">
        <v>140</v>
      </c>
      <c r="D105" s="47" t="s">
        <v>384</v>
      </c>
      <c r="E105" s="60"/>
      <c r="F105" s="60"/>
      <c r="G105" s="60"/>
      <c r="H105" s="60"/>
      <c r="I105" s="60"/>
      <c r="J105" s="60"/>
      <c r="K105" s="60"/>
      <c r="L105" s="74"/>
      <c r="M105" s="60"/>
      <c r="N105" s="60"/>
      <c r="O105" s="60"/>
      <c r="P105" s="60"/>
      <c r="Q105" s="60"/>
      <c r="R105" s="60"/>
      <c r="S105" s="60"/>
      <c r="T105" s="74"/>
    </row>
    <row r="106" spans="1:20" x14ac:dyDescent="0.25">
      <c r="A106" s="38" t="s">
        <v>255</v>
      </c>
      <c r="B106" s="39"/>
      <c r="C106" s="40"/>
      <c r="D106" s="41"/>
      <c r="E106" s="72"/>
      <c r="F106" s="72"/>
      <c r="G106" s="72"/>
      <c r="H106" s="72"/>
      <c r="I106" s="72"/>
      <c r="J106" s="72"/>
      <c r="K106" s="72"/>
      <c r="L106" s="75"/>
      <c r="M106" s="72"/>
      <c r="N106" s="72"/>
      <c r="O106" s="72"/>
      <c r="P106" s="72"/>
      <c r="Q106" s="72"/>
      <c r="R106" s="72"/>
      <c r="S106" s="72"/>
      <c r="T106" s="75"/>
    </row>
    <row r="107" spans="1:20" ht="15" customHeight="1" x14ac:dyDescent="0.25">
      <c r="A107" s="45" t="s">
        <v>255</v>
      </c>
      <c r="B107" s="46">
        <v>1</v>
      </c>
      <c r="C107" s="21" t="s">
        <v>142</v>
      </c>
      <c r="D107" s="47" t="s">
        <v>385</v>
      </c>
      <c r="E107" s="60"/>
      <c r="F107" s="60"/>
      <c r="G107" s="60"/>
      <c r="H107" s="60"/>
      <c r="I107" s="60"/>
      <c r="J107" s="60"/>
      <c r="K107" s="60"/>
      <c r="L107" s="74"/>
      <c r="M107" s="60"/>
      <c r="N107" s="60"/>
      <c r="O107" s="60"/>
      <c r="P107" s="60"/>
      <c r="Q107" s="60"/>
      <c r="R107" s="60"/>
      <c r="S107" s="60"/>
      <c r="T107" s="74"/>
    </row>
    <row r="108" spans="1:20" ht="15" customHeight="1" x14ac:dyDescent="0.25">
      <c r="A108" s="45"/>
      <c r="B108" s="46">
        <v>2</v>
      </c>
      <c r="C108" s="21" t="s">
        <v>142</v>
      </c>
      <c r="D108" s="47" t="s">
        <v>386</v>
      </c>
      <c r="E108" s="60"/>
      <c r="F108" s="60"/>
      <c r="G108" s="60"/>
      <c r="H108" s="60"/>
      <c r="I108" s="60"/>
      <c r="J108" s="60"/>
      <c r="K108" s="60"/>
      <c r="L108" s="74"/>
      <c r="M108" s="60"/>
      <c r="N108" s="60"/>
      <c r="O108" s="60"/>
      <c r="P108" s="60"/>
      <c r="Q108" s="60"/>
      <c r="R108" s="60"/>
      <c r="S108" s="60"/>
      <c r="T108" s="74"/>
    </row>
    <row r="109" spans="1:20" x14ac:dyDescent="0.25">
      <c r="A109" s="38" t="s">
        <v>256</v>
      </c>
      <c r="B109" s="39"/>
      <c r="C109" s="40"/>
      <c r="D109" s="41"/>
      <c r="E109" s="72"/>
      <c r="F109" s="72"/>
      <c r="G109" s="72"/>
      <c r="H109" s="72"/>
      <c r="I109" s="72"/>
      <c r="J109" s="72"/>
      <c r="K109" s="72"/>
      <c r="L109" s="75"/>
      <c r="M109" s="72"/>
      <c r="N109" s="72"/>
      <c r="O109" s="72"/>
      <c r="P109" s="72"/>
      <c r="Q109" s="72"/>
      <c r="R109" s="72"/>
      <c r="S109" s="72"/>
      <c r="T109" s="75"/>
    </row>
    <row r="110" spans="1:20" ht="15" customHeight="1" x14ac:dyDescent="0.25">
      <c r="A110" s="45" t="s">
        <v>256</v>
      </c>
      <c r="B110" s="46">
        <v>1</v>
      </c>
      <c r="C110" s="21" t="s">
        <v>139</v>
      </c>
      <c r="D110" s="47" t="s">
        <v>387</v>
      </c>
      <c r="E110" s="60"/>
      <c r="F110" s="60"/>
      <c r="G110" s="60"/>
      <c r="H110" s="60"/>
      <c r="I110" s="60"/>
      <c r="J110" s="60"/>
      <c r="K110" s="60"/>
      <c r="L110" s="74"/>
      <c r="M110" s="60"/>
      <c r="N110" s="60"/>
      <c r="O110" s="60"/>
      <c r="P110" s="60"/>
      <c r="Q110" s="60"/>
      <c r="R110" s="60"/>
      <c r="S110" s="60"/>
      <c r="T110" s="74"/>
    </row>
    <row r="111" spans="1:20" ht="15" customHeight="1" x14ac:dyDescent="0.25">
      <c r="A111" s="45"/>
      <c r="B111" s="46">
        <v>2</v>
      </c>
      <c r="C111" s="21" t="s">
        <v>139</v>
      </c>
      <c r="D111" s="47" t="s">
        <v>388</v>
      </c>
      <c r="E111" s="60"/>
      <c r="F111" s="60"/>
      <c r="G111" s="60"/>
      <c r="H111" s="60"/>
      <c r="I111" s="60"/>
      <c r="J111" s="60"/>
      <c r="K111" s="60"/>
      <c r="L111" s="74"/>
      <c r="M111" s="60"/>
      <c r="N111" s="60"/>
      <c r="O111" s="60"/>
      <c r="P111" s="60"/>
      <c r="Q111" s="60"/>
      <c r="R111" s="60"/>
      <c r="S111" s="60"/>
      <c r="T111" s="74"/>
    </row>
    <row r="112" spans="1:20" x14ac:dyDescent="0.25">
      <c r="A112" s="38" t="s">
        <v>144</v>
      </c>
      <c r="B112" s="39"/>
      <c r="C112" s="40"/>
      <c r="D112" s="41"/>
      <c r="E112" s="72"/>
      <c r="F112" s="72"/>
      <c r="G112" s="72"/>
      <c r="H112" s="72"/>
      <c r="I112" s="72"/>
      <c r="J112" s="72"/>
      <c r="K112" s="72"/>
      <c r="L112" s="75"/>
      <c r="M112" s="72"/>
      <c r="N112" s="72"/>
      <c r="O112" s="72"/>
      <c r="P112" s="72"/>
      <c r="Q112" s="72"/>
      <c r="R112" s="72"/>
      <c r="S112" s="72"/>
      <c r="T112" s="75"/>
    </row>
    <row r="113" spans="1:20" ht="15" customHeight="1" x14ac:dyDescent="0.25">
      <c r="A113" s="45" t="s">
        <v>144</v>
      </c>
      <c r="B113" s="46">
        <v>1</v>
      </c>
      <c r="C113" s="21" t="s">
        <v>143</v>
      </c>
      <c r="D113" s="47" t="s">
        <v>389</v>
      </c>
      <c r="E113" s="60"/>
      <c r="F113" s="60"/>
      <c r="G113" s="60"/>
      <c r="H113" s="60"/>
      <c r="I113" s="60"/>
      <c r="J113" s="60"/>
      <c r="K113" s="60"/>
      <c r="L113" s="74"/>
      <c r="M113" s="60"/>
      <c r="N113" s="60"/>
      <c r="O113" s="60"/>
      <c r="P113" s="60"/>
      <c r="Q113" s="60"/>
      <c r="R113" s="60"/>
      <c r="S113" s="60"/>
      <c r="T113" s="74"/>
    </row>
    <row r="114" spans="1:20" x14ac:dyDescent="0.25">
      <c r="A114" s="38" t="s">
        <v>150</v>
      </c>
      <c r="B114" s="39"/>
      <c r="C114" s="40"/>
      <c r="D114" s="41"/>
      <c r="E114" s="72"/>
      <c r="F114" s="72"/>
      <c r="G114" s="72"/>
      <c r="H114" s="72"/>
      <c r="I114" s="72"/>
      <c r="J114" s="72"/>
      <c r="K114" s="72"/>
      <c r="L114" s="75"/>
      <c r="M114" s="72"/>
      <c r="N114" s="72"/>
      <c r="O114" s="72"/>
      <c r="P114" s="72"/>
      <c r="Q114" s="72"/>
      <c r="R114" s="72"/>
      <c r="S114" s="72"/>
      <c r="T114" s="75"/>
    </row>
    <row r="115" spans="1:20" ht="15" customHeight="1" x14ac:dyDescent="0.25">
      <c r="A115" s="45" t="s">
        <v>150</v>
      </c>
      <c r="B115" s="46">
        <v>1</v>
      </c>
      <c r="C115" s="21" t="s">
        <v>149</v>
      </c>
      <c r="D115" s="47" t="s">
        <v>390</v>
      </c>
      <c r="E115" s="60"/>
      <c r="F115" s="60"/>
      <c r="G115" s="60"/>
      <c r="H115" s="60"/>
      <c r="I115" s="60"/>
      <c r="J115" s="60"/>
      <c r="K115" s="60"/>
      <c r="L115" s="74"/>
      <c r="M115" s="60"/>
      <c r="N115" s="60"/>
      <c r="O115" s="60"/>
      <c r="P115" s="60"/>
      <c r="Q115" s="60"/>
      <c r="R115" s="60"/>
      <c r="S115" s="60"/>
      <c r="T115" s="74"/>
    </row>
    <row r="116" spans="1:20" ht="15" customHeight="1" x14ac:dyDescent="0.25">
      <c r="A116" s="45"/>
      <c r="B116" s="46">
        <v>2</v>
      </c>
      <c r="C116" s="21" t="s">
        <v>149</v>
      </c>
      <c r="D116" s="47" t="s">
        <v>391</v>
      </c>
      <c r="E116" s="60"/>
      <c r="F116" s="60"/>
      <c r="G116" s="60"/>
      <c r="H116" s="60"/>
      <c r="I116" s="60"/>
      <c r="J116" s="60"/>
      <c r="K116" s="60"/>
      <c r="L116" s="74"/>
      <c r="M116" s="60"/>
      <c r="N116" s="60"/>
      <c r="O116" s="60"/>
      <c r="P116" s="60"/>
      <c r="Q116" s="60"/>
      <c r="R116" s="60"/>
      <c r="S116" s="60"/>
      <c r="T116" s="74"/>
    </row>
    <row r="117" spans="1:20" ht="15" customHeight="1" x14ac:dyDescent="0.25">
      <c r="A117" s="136" t="s">
        <v>257</v>
      </c>
      <c r="B117" s="137"/>
      <c r="C117" s="52"/>
      <c r="D117" s="53"/>
      <c r="E117" s="76"/>
      <c r="F117" s="76"/>
      <c r="G117" s="76"/>
      <c r="H117" s="76"/>
      <c r="I117" s="76"/>
      <c r="J117" s="76"/>
      <c r="K117" s="76"/>
      <c r="L117" s="77"/>
      <c r="M117" s="76"/>
      <c r="N117" s="76"/>
      <c r="O117" s="76"/>
      <c r="P117" s="76"/>
      <c r="Q117" s="76"/>
      <c r="R117" s="76"/>
      <c r="S117" s="76"/>
      <c r="T117" s="77"/>
    </row>
    <row r="118" spans="1:20" x14ac:dyDescent="0.25">
      <c r="A118" s="38" t="s">
        <v>181</v>
      </c>
      <c r="B118" s="39"/>
      <c r="C118" s="40"/>
      <c r="D118" s="41"/>
      <c r="E118" s="72"/>
      <c r="F118" s="72"/>
      <c r="G118" s="72"/>
      <c r="H118" s="72"/>
      <c r="I118" s="72"/>
      <c r="J118" s="72"/>
      <c r="K118" s="72"/>
      <c r="L118" s="75"/>
      <c r="M118" s="72"/>
      <c r="N118" s="72"/>
      <c r="O118" s="72"/>
      <c r="P118" s="72"/>
      <c r="Q118" s="72"/>
      <c r="R118" s="72"/>
      <c r="S118" s="72"/>
      <c r="T118" s="75"/>
    </row>
    <row r="119" spans="1:20" ht="15" customHeight="1" x14ac:dyDescent="0.25">
      <c r="A119" s="45" t="s">
        <v>258</v>
      </c>
      <c r="B119" s="46">
        <v>1</v>
      </c>
      <c r="C119" s="21" t="s">
        <v>180</v>
      </c>
      <c r="D119" s="47" t="s">
        <v>392</v>
      </c>
      <c r="E119" s="60"/>
      <c r="F119" s="60"/>
      <c r="G119" s="60"/>
      <c r="H119" s="60"/>
      <c r="I119" s="60"/>
      <c r="J119" s="60"/>
      <c r="K119" s="60"/>
      <c r="L119" s="74"/>
      <c r="M119" s="60"/>
      <c r="N119" s="60"/>
      <c r="O119" s="60"/>
      <c r="P119" s="60"/>
      <c r="Q119" s="60"/>
      <c r="R119" s="60"/>
      <c r="S119" s="60"/>
      <c r="T119" s="74"/>
    </row>
    <row r="120" spans="1:20" ht="15" customHeight="1" x14ac:dyDescent="0.25">
      <c r="A120" s="45"/>
      <c r="B120" s="46">
        <v>2</v>
      </c>
      <c r="C120" s="21" t="s">
        <v>180</v>
      </c>
      <c r="D120" s="47" t="s">
        <v>393</v>
      </c>
      <c r="E120" s="60"/>
      <c r="F120" s="60"/>
      <c r="G120" s="60"/>
      <c r="H120" s="60"/>
      <c r="I120" s="60"/>
      <c r="J120" s="60"/>
      <c r="K120" s="60"/>
      <c r="L120" s="74"/>
      <c r="M120" s="60"/>
      <c r="N120" s="60"/>
      <c r="O120" s="60"/>
      <c r="P120" s="60"/>
      <c r="Q120" s="60"/>
      <c r="R120" s="60"/>
      <c r="S120" s="60"/>
      <c r="T120" s="74"/>
    </row>
    <row r="121" spans="1:20" x14ac:dyDescent="0.25">
      <c r="A121" s="38" t="s">
        <v>179</v>
      </c>
      <c r="B121" s="39"/>
      <c r="C121" s="40"/>
      <c r="D121" s="41"/>
      <c r="E121" s="72"/>
      <c r="F121" s="72"/>
      <c r="G121" s="72"/>
      <c r="H121" s="72"/>
      <c r="I121" s="72"/>
      <c r="J121" s="72"/>
      <c r="K121" s="72"/>
      <c r="L121" s="75"/>
      <c r="M121" s="72"/>
      <c r="N121" s="72"/>
      <c r="O121" s="72"/>
      <c r="P121" s="72"/>
      <c r="Q121" s="72"/>
      <c r="R121" s="72"/>
      <c r="S121" s="72"/>
      <c r="T121" s="75"/>
    </row>
    <row r="122" spans="1:20" ht="15" customHeight="1" x14ac:dyDescent="0.25">
      <c r="A122" s="45" t="s">
        <v>259</v>
      </c>
      <c r="B122" s="46">
        <v>2</v>
      </c>
      <c r="C122" s="21" t="s">
        <v>178</v>
      </c>
      <c r="D122" s="47" t="s">
        <v>394</v>
      </c>
      <c r="E122" s="60"/>
      <c r="F122" s="60"/>
      <c r="G122" s="60"/>
      <c r="H122" s="60"/>
      <c r="I122" s="60"/>
      <c r="J122" s="60"/>
      <c r="K122" s="60"/>
      <c r="L122" s="74"/>
      <c r="M122" s="60"/>
      <c r="N122" s="60"/>
      <c r="O122" s="60"/>
      <c r="P122" s="60"/>
      <c r="Q122" s="60"/>
      <c r="R122" s="60"/>
      <c r="S122" s="60"/>
      <c r="T122" s="74"/>
    </row>
    <row r="123" spans="1:20" x14ac:dyDescent="0.25">
      <c r="A123" s="38" t="s">
        <v>260</v>
      </c>
      <c r="B123" s="39"/>
      <c r="C123" s="40"/>
      <c r="D123" s="41"/>
      <c r="E123" s="72"/>
      <c r="F123" s="72"/>
      <c r="G123" s="72"/>
      <c r="H123" s="72"/>
      <c r="I123" s="72"/>
      <c r="J123" s="72"/>
      <c r="K123" s="72"/>
      <c r="L123" s="75"/>
      <c r="M123" s="72"/>
      <c r="N123" s="72"/>
      <c r="O123" s="72"/>
      <c r="P123" s="72"/>
      <c r="Q123" s="72"/>
      <c r="R123" s="72"/>
      <c r="S123" s="72"/>
      <c r="T123" s="75"/>
    </row>
    <row r="124" spans="1:20" ht="15" customHeight="1" x14ac:dyDescent="0.25">
      <c r="A124" s="45" t="s">
        <v>261</v>
      </c>
      <c r="B124" s="46">
        <v>4</v>
      </c>
      <c r="C124" s="21"/>
      <c r="D124" s="47" t="s">
        <v>132</v>
      </c>
      <c r="E124" s="60"/>
      <c r="F124" s="60"/>
      <c r="G124" s="60"/>
      <c r="H124" s="60"/>
      <c r="I124" s="60"/>
      <c r="J124" s="60"/>
      <c r="K124" s="60"/>
      <c r="L124" s="74"/>
      <c r="M124" s="60"/>
      <c r="N124" s="60"/>
      <c r="O124" s="60"/>
      <c r="P124" s="60"/>
      <c r="Q124" s="60"/>
      <c r="R124" s="60"/>
      <c r="S124" s="60"/>
      <c r="T124" s="74"/>
    </row>
    <row r="125" spans="1:20" x14ac:dyDescent="0.25">
      <c r="A125" s="38" t="s">
        <v>262</v>
      </c>
      <c r="B125" s="39"/>
      <c r="C125" s="40"/>
      <c r="D125" s="41"/>
      <c r="E125" s="72"/>
      <c r="F125" s="72"/>
      <c r="G125" s="72"/>
      <c r="H125" s="72"/>
      <c r="I125" s="72"/>
      <c r="J125" s="72"/>
      <c r="K125" s="72"/>
      <c r="L125" s="75"/>
      <c r="M125" s="72"/>
      <c r="N125" s="72"/>
      <c r="O125" s="72"/>
      <c r="P125" s="72"/>
      <c r="Q125" s="72"/>
      <c r="R125" s="72"/>
      <c r="S125" s="72"/>
      <c r="T125" s="75"/>
    </row>
    <row r="126" spans="1:20" ht="15" customHeight="1" x14ac:dyDescent="0.25">
      <c r="A126" s="45" t="s">
        <v>153</v>
      </c>
      <c r="B126" s="46">
        <v>1</v>
      </c>
      <c r="C126" s="21" t="s">
        <v>152</v>
      </c>
      <c r="D126" s="47" t="s">
        <v>395</v>
      </c>
      <c r="E126" s="60"/>
      <c r="F126" s="60"/>
      <c r="G126" s="60"/>
      <c r="H126" s="60"/>
      <c r="I126" s="60"/>
      <c r="J126" s="60"/>
      <c r="K126" s="60"/>
      <c r="L126" s="74"/>
      <c r="M126" s="60"/>
      <c r="N126" s="60"/>
      <c r="O126" s="60"/>
      <c r="P126" s="60"/>
      <c r="Q126" s="60"/>
      <c r="R126" s="60"/>
      <c r="S126" s="60"/>
      <c r="T126" s="74"/>
    </row>
    <row r="127" spans="1:20" x14ac:dyDescent="0.25">
      <c r="A127" s="38" t="s">
        <v>156</v>
      </c>
      <c r="B127" s="39"/>
      <c r="C127" s="40"/>
      <c r="D127" s="41"/>
      <c r="E127" s="72"/>
      <c r="F127" s="72"/>
      <c r="G127" s="72"/>
      <c r="H127" s="72"/>
      <c r="I127" s="72"/>
      <c r="J127" s="72"/>
      <c r="K127" s="72"/>
      <c r="L127" s="75"/>
      <c r="M127" s="72"/>
      <c r="N127" s="72"/>
      <c r="O127" s="72"/>
      <c r="P127" s="72"/>
      <c r="Q127" s="72"/>
      <c r="R127" s="72"/>
      <c r="S127" s="72"/>
      <c r="T127" s="75"/>
    </row>
    <row r="128" spans="1:20" ht="15" customHeight="1" x14ac:dyDescent="0.25">
      <c r="A128" s="45" t="s">
        <v>156</v>
      </c>
      <c r="B128" s="46">
        <v>1</v>
      </c>
      <c r="C128" s="21" t="s">
        <v>155</v>
      </c>
      <c r="D128" s="47" t="s">
        <v>396</v>
      </c>
      <c r="E128" s="60"/>
      <c r="F128" s="60"/>
      <c r="G128" s="60"/>
      <c r="H128" s="60"/>
      <c r="I128" s="60"/>
      <c r="J128" s="60"/>
      <c r="K128" s="60"/>
      <c r="L128" s="74"/>
      <c r="M128" s="60"/>
      <c r="N128" s="60"/>
      <c r="O128" s="60"/>
      <c r="P128" s="60"/>
      <c r="Q128" s="60"/>
      <c r="R128" s="60"/>
      <c r="S128" s="60"/>
      <c r="T128" s="74"/>
    </row>
    <row r="129" spans="1:20" ht="15" customHeight="1" x14ac:dyDescent="0.25">
      <c r="A129" s="45"/>
      <c r="B129" s="46">
        <v>2</v>
      </c>
      <c r="C129" s="21" t="s">
        <v>155</v>
      </c>
      <c r="D129" s="47" t="s">
        <v>397</v>
      </c>
      <c r="E129" s="60"/>
      <c r="F129" s="60"/>
      <c r="G129" s="60"/>
      <c r="H129" s="60"/>
      <c r="I129" s="60"/>
      <c r="J129" s="60"/>
      <c r="K129" s="60"/>
      <c r="L129" s="74"/>
      <c r="M129" s="60"/>
      <c r="N129" s="60"/>
      <c r="O129" s="60"/>
      <c r="P129" s="60"/>
      <c r="Q129" s="60"/>
      <c r="R129" s="60"/>
      <c r="S129" s="60"/>
      <c r="T129" s="74"/>
    </row>
    <row r="130" spans="1:20" x14ac:dyDescent="0.25">
      <c r="A130" s="38" t="s">
        <v>263</v>
      </c>
      <c r="B130" s="39"/>
      <c r="C130" s="40"/>
      <c r="D130" s="41"/>
      <c r="E130" s="72"/>
      <c r="F130" s="72"/>
      <c r="G130" s="72"/>
      <c r="H130" s="72"/>
      <c r="I130" s="72"/>
      <c r="J130" s="72"/>
      <c r="K130" s="72"/>
      <c r="L130" s="75"/>
      <c r="M130" s="72"/>
      <c r="N130" s="72"/>
      <c r="O130" s="72"/>
      <c r="P130" s="72"/>
      <c r="Q130" s="72"/>
      <c r="R130" s="72"/>
      <c r="S130" s="72"/>
      <c r="T130" s="75"/>
    </row>
    <row r="131" spans="1:20" ht="15" customHeight="1" x14ac:dyDescent="0.25">
      <c r="A131" s="45" t="s">
        <v>264</v>
      </c>
      <c r="B131" s="46">
        <v>1</v>
      </c>
      <c r="C131" s="21" t="s">
        <v>151</v>
      </c>
      <c r="D131" s="47" t="s">
        <v>398</v>
      </c>
      <c r="E131" s="60"/>
      <c r="F131" s="60"/>
      <c r="G131" s="60"/>
      <c r="H131" s="60"/>
      <c r="I131" s="60"/>
      <c r="J131" s="60"/>
      <c r="K131" s="60"/>
      <c r="L131" s="74"/>
      <c r="M131" s="60"/>
      <c r="N131" s="60"/>
      <c r="O131" s="60"/>
      <c r="P131" s="60"/>
      <c r="Q131" s="60"/>
      <c r="R131" s="60"/>
      <c r="S131" s="60"/>
      <c r="T131" s="74"/>
    </row>
    <row r="132" spans="1:20" ht="15" customHeight="1" x14ac:dyDescent="0.25">
      <c r="A132" s="45"/>
      <c r="B132" s="46">
        <v>2</v>
      </c>
      <c r="C132" s="21" t="s">
        <v>151</v>
      </c>
      <c r="D132" s="47" t="s">
        <v>399</v>
      </c>
      <c r="E132" s="60"/>
      <c r="F132" s="60"/>
      <c r="G132" s="60"/>
      <c r="H132" s="60"/>
      <c r="I132" s="60"/>
      <c r="J132" s="60"/>
      <c r="K132" s="60"/>
      <c r="L132" s="74"/>
      <c r="M132" s="60"/>
      <c r="N132" s="60"/>
      <c r="O132" s="60"/>
      <c r="P132" s="60"/>
      <c r="Q132" s="60"/>
      <c r="R132" s="60"/>
      <c r="S132" s="60"/>
      <c r="T132" s="74"/>
    </row>
    <row r="133" spans="1:20" ht="15" customHeight="1" x14ac:dyDescent="0.25">
      <c r="A133" s="45"/>
      <c r="B133" s="46">
        <v>3</v>
      </c>
      <c r="C133" s="21" t="s">
        <v>265</v>
      </c>
      <c r="D133" s="47" t="s">
        <v>400</v>
      </c>
      <c r="E133" s="60"/>
      <c r="F133" s="60"/>
      <c r="G133" s="60"/>
      <c r="H133" s="60"/>
      <c r="I133" s="60"/>
      <c r="J133" s="60"/>
      <c r="K133" s="60"/>
      <c r="L133" s="74"/>
      <c r="M133" s="60"/>
      <c r="N133" s="60"/>
      <c r="O133" s="60"/>
      <c r="P133" s="60"/>
      <c r="Q133" s="60"/>
      <c r="R133" s="60"/>
      <c r="S133" s="60"/>
      <c r="T133" s="74"/>
    </row>
    <row r="134" spans="1:20" x14ac:dyDescent="0.25">
      <c r="A134" s="38" t="s">
        <v>266</v>
      </c>
      <c r="B134" s="39"/>
      <c r="C134" s="40"/>
      <c r="D134" s="41"/>
      <c r="E134" s="72"/>
      <c r="F134" s="72"/>
      <c r="G134" s="72"/>
      <c r="H134" s="72"/>
      <c r="I134" s="72"/>
      <c r="J134" s="72"/>
      <c r="K134" s="72"/>
      <c r="L134" s="75"/>
      <c r="M134" s="72"/>
      <c r="N134" s="72"/>
      <c r="O134" s="72"/>
      <c r="P134" s="72"/>
      <c r="Q134" s="72"/>
      <c r="R134" s="72"/>
      <c r="S134" s="72"/>
      <c r="T134" s="75"/>
    </row>
    <row r="135" spans="1:20" ht="15" customHeight="1" x14ac:dyDescent="0.25">
      <c r="A135" s="45" t="s">
        <v>266</v>
      </c>
      <c r="B135" s="46">
        <v>1</v>
      </c>
      <c r="C135" s="21" t="s">
        <v>154</v>
      </c>
      <c r="D135" s="47" t="s">
        <v>401</v>
      </c>
      <c r="E135" s="60"/>
      <c r="F135" s="60"/>
      <c r="G135" s="60"/>
      <c r="H135" s="60"/>
      <c r="I135" s="60"/>
      <c r="J135" s="60"/>
      <c r="K135" s="60"/>
      <c r="L135" s="74"/>
      <c r="M135" s="60"/>
      <c r="N135" s="60"/>
      <c r="O135" s="60"/>
      <c r="P135" s="60"/>
      <c r="Q135" s="60"/>
      <c r="R135" s="60"/>
      <c r="S135" s="60"/>
      <c r="T135" s="74"/>
    </row>
    <row r="136" spans="1:20" ht="15" customHeight="1" x14ac:dyDescent="0.25">
      <c r="A136" s="136" t="s">
        <v>267</v>
      </c>
      <c r="B136" s="137"/>
      <c r="C136" s="52"/>
      <c r="D136" s="53"/>
      <c r="E136" s="76"/>
      <c r="F136" s="76"/>
      <c r="G136" s="76"/>
      <c r="H136" s="76"/>
      <c r="I136" s="76"/>
      <c r="J136" s="76"/>
      <c r="K136" s="76"/>
      <c r="L136" s="77"/>
      <c r="M136" s="76"/>
      <c r="N136" s="76"/>
      <c r="O136" s="76"/>
      <c r="P136" s="76"/>
      <c r="Q136" s="76"/>
      <c r="R136" s="76"/>
      <c r="S136" s="76"/>
      <c r="T136" s="77"/>
    </row>
    <row r="137" spans="1:20" ht="15" customHeight="1" x14ac:dyDescent="0.25">
      <c r="A137" s="142" t="s">
        <v>268</v>
      </c>
      <c r="B137" s="143"/>
      <c r="C137" s="56"/>
      <c r="D137" s="57"/>
      <c r="E137" s="78"/>
      <c r="F137" s="78"/>
      <c r="G137" s="78"/>
      <c r="H137" s="78"/>
      <c r="I137" s="78"/>
      <c r="J137" s="78"/>
      <c r="K137" s="78"/>
      <c r="L137" s="79"/>
      <c r="M137" s="78"/>
      <c r="N137" s="78"/>
      <c r="O137" s="78"/>
      <c r="P137" s="78"/>
      <c r="Q137" s="78"/>
      <c r="R137" s="78"/>
      <c r="S137" s="78"/>
      <c r="T137" s="79"/>
    </row>
    <row r="138" spans="1:20" x14ac:dyDescent="0.25">
      <c r="A138" s="38" t="s">
        <v>269</v>
      </c>
      <c r="B138" s="39"/>
      <c r="C138" s="40"/>
      <c r="D138" s="41"/>
      <c r="E138" s="72"/>
      <c r="F138" s="72"/>
      <c r="G138" s="72"/>
      <c r="H138" s="72"/>
      <c r="I138" s="72"/>
      <c r="J138" s="72"/>
      <c r="K138" s="72"/>
      <c r="L138" s="75"/>
      <c r="M138" s="72"/>
      <c r="N138" s="72"/>
      <c r="O138" s="72"/>
      <c r="P138" s="72"/>
      <c r="Q138" s="72"/>
      <c r="R138" s="72"/>
      <c r="S138" s="72"/>
      <c r="T138" s="75"/>
    </row>
    <row r="139" spans="1:20" ht="15" customHeight="1" x14ac:dyDescent="0.25">
      <c r="A139" s="45" t="s">
        <v>270</v>
      </c>
      <c r="B139" s="46">
        <v>1</v>
      </c>
      <c r="C139" s="21" t="s">
        <v>271</v>
      </c>
      <c r="D139" s="47" t="s">
        <v>402</v>
      </c>
      <c r="E139" s="60"/>
      <c r="F139" s="60"/>
      <c r="G139" s="60"/>
      <c r="H139" s="60"/>
      <c r="I139" s="60"/>
      <c r="J139" s="60"/>
      <c r="K139" s="60"/>
      <c r="L139" s="74"/>
      <c r="M139" s="60"/>
      <c r="N139" s="60"/>
      <c r="O139" s="60"/>
      <c r="P139" s="60"/>
      <c r="Q139" s="60"/>
      <c r="R139" s="60"/>
      <c r="S139" s="60"/>
      <c r="T139" s="74"/>
    </row>
    <row r="140" spans="1:20" ht="15" customHeight="1" x14ac:dyDescent="0.25">
      <c r="A140" s="45"/>
      <c r="B140" s="46">
        <v>2</v>
      </c>
      <c r="C140" s="21" t="s">
        <v>271</v>
      </c>
      <c r="D140" s="47" t="s">
        <v>403</v>
      </c>
      <c r="E140" s="60"/>
      <c r="F140" s="60"/>
      <c r="G140" s="60"/>
      <c r="H140" s="60"/>
      <c r="I140" s="60"/>
      <c r="J140" s="60"/>
      <c r="K140" s="60"/>
      <c r="L140" s="74"/>
      <c r="M140" s="60"/>
      <c r="N140" s="60"/>
      <c r="O140" s="60"/>
      <c r="P140" s="60"/>
      <c r="Q140" s="60"/>
      <c r="R140" s="60"/>
      <c r="S140" s="60"/>
      <c r="T140" s="74"/>
    </row>
    <row r="141" spans="1:20" ht="15" customHeight="1" x14ac:dyDescent="0.25">
      <c r="A141" s="45"/>
      <c r="B141" s="46">
        <v>3</v>
      </c>
      <c r="C141" s="21" t="s">
        <v>271</v>
      </c>
      <c r="D141" s="47" t="s">
        <v>404</v>
      </c>
      <c r="E141" s="60"/>
      <c r="F141" s="60"/>
      <c r="G141" s="60"/>
      <c r="H141" s="60"/>
      <c r="I141" s="60"/>
      <c r="J141" s="60"/>
      <c r="K141" s="60"/>
      <c r="L141" s="74"/>
      <c r="M141" s="60"/>
      <c r="N141" s="60"/>
      <c r="O141" s="60"/>
      <c r="P141" s="60"/>
      <c r="Q141" s="60"/>
      <c r="R141" s="60"/>
      <c r="S141" s="60"/>
      <c r="T141" s="74"/>
    </row>
    <row r="142" spans="1:20" ht="15" customHeight="1" x14ac:dyDescent="0.25">
      <c r="A142" s="45"/>
      <c r="B142" s="46">
        <v>4</v>
      </c>
      <c r="C142" s="21" t="s">
        <v>271</v>
      </c>
      <c r="D142" s="47" t="s">
        <v>405</v>
      </c>
      <c r="E142" s="60"/>
      <c r="F142" s="60"/>
      <c r="G142" s="60"/>
      <c r="H142" s="60"/>
      <c r="I142" s="60"/>
      <c r="J142" s="60"/>
      <c r="K142" s="60"/>
      <c r="L142" s="74"/>
      <c r="M142" s="60"/>
      <c r="N142" s="60"/>
      <c r="O142" s="60"/>
      <c r="P142" s="60"/>
      <c r="Q142" s="60"/>
      <c r="R142" s="60"/>
      <c r="S142" s="60"/>
      <c r="T142" s="74"/>
    </row>
    <row r="143" spans="1:20" ht="15" customHeight="1" x14ac:dyDescent="0.25">
      <c r="A143" s="45" t="s">
        <v>272</v>
      </c>
      <c r="B143" s="46">
        <v>1</v>
      </c>
      <c r="C143" s="21" t="s">
        <v>169</v>
      </c>
      <c r="D143" s="47" t="s">
        <v>406</v>
      </c>
      <c r="E143" s="60"/>
      <c r="F143" s="60"/>
      <c r="G143" s="60"/>
      <c r="H143" s="60"/>
      <c r="I143" s="60"/>
      <c r="J143" s="60"/>
      <c r="K143" s="60"/>
      <c r="L143" s="74"/>
      <c r="M143" s="60"/>
      <c r="N143" s="60"/>
      <c r="O143" s="60"/>
      <c r="P143" s="60"/>
      <c r="Q143" s="60"/>
      <c r="R143" s="60"/>
      <c r="S143" s="60"/>
      <c r="T143" s="74"/>
    </row>
    <row r="144" spans="1:20" ht="15" customHeight="1" x14ac:dyDescent="0.25">
      <c r="A144" s="45"/>
      <c r="B144" s="46">
        <v>2</v>
      </c>
      <c r="C144" s="21" t="s">
        <v>169</v>
      </c>
      <c r="D144" s="47" t="s">
        <v>407</v>
      </c>
      <c r="E144" s="60"/>
      <c r="F144" s="60"/>
      <c r="G144" s="60"/>
      <c r="H144" s="60"/>
      <c r="I144" s="60"/>
      <c r="J144" s="60"/>
      <c r="K144" s="60"/>
      <c r="L144" s="74"/>
      <c r="M144" s="60"/>
      <c r="N144" s="60"/>
      <c r="O144" s="60"/>
      <c r="P144" s="60"/>
      <c r="Q144" s="60"/>
      <c r="R144" s="60"/>
      <c r="S144" s="60"/>
      <c r="T144" s="74"/>
    </row>
    <row r="145" spans="1:20" ht="15" customHeight="1" x14ac:dyDescent="0.25">
      <c r="A145" s="45"/>
      <c r="B145" s="46">
        <v>3</v>
      </c>
      <c r="C145" s="21" t="s">
        <v>169</v>
      </c>
      <c r="D145" s="47" t="s">
        <v>408</v>
      </c>
      <c r="E145" s="60"/>
      <c r="F145" s="60"/>
      <c r="G145" s="60"/>
      <c r="H145" s="60"/>
      <c r="I145" s="60"/>
      <c r="J145" s="60"/>
      <c r="K145" s="60"/>
      <c r="L145" s="74"/>
      <c r="M145" s="60"/>
      <c r="N145" s="60"/>
      <c r="O145" s="60"/>
      <c r="P145" s="60"/>
      <c r="Q145" s="60"/>
      <c r="R145" s="60"/>
      <c r="S145" s="60"/>
      <c r="T145" s="74"/>
    </row>
    <row r="146" spans="1:20" ht="15" customHeight="1" x14ac:dyDescent="0.25">
      <c r="A146" s="45"/>
      <c r="B146" s="46">
        <v>4</v>
      </c>
      <c r="C146" s="21" t="s">
        <v>169</v>
      </c>
      <c r="D146" s="47" t="s">
        <v>409</v>
      </c>
      <c r="E146" s="60"/>
      <c r="F146" s="60"/>
      <c r="G146" s="60"/>
      <c r="H146" s="60"/>
      <c r="I146" s="60"/>
      <c r="J146" s="60"/>
      <c r="K146" s="60"/>
      <c r="L146" s="74"/>
      <c r="M146" s="60"/>
      <c r="N146" s="60"/>
      <c r="O146" s="60"/>
      <c r="P146" s="60"/>
      <c r="Q146" s="60"/>
      <c r="R146" s="60"/>
      <c r="S146" s="60"/>
      <c r="T146" s="74"/>
    </row>
    <row r="147" spans="1:20" ht="15" customHeight="1" x14ac:dyDescent="0.25">
      <c r="A147" s="45" t="s">
        <v>273</v>
      </c>
      <c r="B147" s="46">
        <v>1</v>
      </c>
      <c r="C147" s="21" t="s">
        <v>170</v>
      </c>
      <c r="D147" s="47" t="s">
        <v>410</v>
      </c>
      <c r="E147" s="60"/>
      <c r="F147" s="60"/>
      <c r="G147" s="60"/>
      <c r="H147" s="60"/>
      <c r="I147" s="60"/>
      <c r="J147" s="60"/>
      <c r="K147" s="60"/>
      <c r="L147" s="74"/>
      <c r="M147" s="60"/>
      <c r="N147" s="60"/>
      <c r="O147" s="60"/>
      <c r="P147" s="60"/>
      <c r="Q147" s="60"/>
      <c r="R147" s="60"/>
      <c r="S147" s="60"/>
      <c r="T147" s="74"/>
    </row>
    <row r="148" spans="1:20" ht="15" customHeight="1" x14ac:dyDescent="0.25">
      <c r="A148" s="45"/>
      <c r="B148" s="46">
        <v>2</v>
      </c>
      <c r="C148" s="21" t="s">
        <v>170</v>
      </c>
      <c r="D148" s="47" t="s">
        <v>411</v>
      </c>
      <c r="E148" s="60"/>
      <c r="F148" s="60"/>
      <c r="G148" s="60"/>
      <c r="H148" s="60"/>
      <c r="I148" s="60"/>
      <c r="J148" s="60"/>
      <c r="K148" s="60"/>
      <c r="L148" s="74"/>
      <c r="M148" s="60"/>
      <c r="N148" s="60"/>
      <c r="O148" s="60"/>
      <c r="P148" s="60"/>
      <c r="Q148" s="60"/>
      <c r="R148" s="60"/>
      <c r="S148" s="60"/>
      <c r="T148" s="74"/>
    </row>
    <row r="149" spans="1:20" ht="15" customHeight="1" x14ac:dyDescent="0.25">
      <c r="A149" s="45"/>
      <c r="B149" s="46">
        <v>3</v>
      </c>
      <c r="C149" s="21" t="s">
        <v>170</v>
      </c>
      <c r="D149" s="47" t="s">
        <v>412</v>
      </c>
      <c r="E149" s="60"/>
      <c r="F149" s="60"/>
      <c r="G149" s="60"/>
      <c r="H149" s="60"/>
      <c r="I149" s="60"/>
      <c r="J149" s="60"/>
      <c r="K149" s="60"/>
      <c r="L149" s="74"/>
      <c r="M149" s="60"/>
      <c r="N149" s="60"/>
      <c r="O149" s="60"/>
      <c r="P149" s="60"/>
      <c r="Q149" s="60"/>
      <c r="R149" s="60"/>
      <c r="S149" s="60"/>
      <c r="T149" s="74"/>
    </row>
    <row r="150" spans="1:20" ht="15" customHeight="1" x14ac:dyDescent="0.25">
      <c r="A150" s="45"/>
      <c r="B150" s="46">
        <v>4</v>
      </c>
      <c r="C150" s="21" t="s">
        <v>170</v>
      </c>
      <c r="D150" s="47" t="s">
        <v>413</v>
      </c>
      <c r="E150" s="60"/>
      <c r="F150" s="60"/>
      <c r="G150" s="60"/>
      <c r="H150" s="60"/>
      <c r="I150" s="60"/>
      <c r="J150" s="60"/>
      <c r="K150" s="60"/>
      <c r="L150" s="74"/>
      <c r="M150" s="60"/>
      <c r="N150" s="60"/>
      <c r="O150" s="60"/>
      <c r="P150" s="60"/>
      <c r="Q150" s="60"/>
      <c r="R150" s="60"/>
      <c r="S150" s="60"/>
      <c r="T150" s="74"/>
    </row>
    <row r="151" spans="1:20" ht="15" customHeight="1" x14ac:dyDescent="0.25">
      <c r="A151" s="45" t="s">
        <v>274</v>
      </c>
      <c r="B151" s="46">
        <v>1</v>
      </c>
      <c r="C151" s="21" t="s">
        <v>171</v>
      </c>
      <c r="D151" s="47" t="s">
        <v>414</v>
      </c>
      <c r="E151" s="60"/>
      <c r="F151" s="60"/>
      <c r="G151" s="60"/>
      <c r="H151" s="60"/>
      <c r="I151" s="60"/>
      <c r="J151" s="60"/>
      <c r="K151" s="60"/>
      <c r="L151" s="74"/>
      <c r="M151" s="60"/>
      <c r="N151" s="60"/>
      <c r="O151" s="60"/>
      <c r="P151" s="60"/>
      <c r="Q151" s="60"/>
      <c r="R151" s="60"/>
      <c r="S151" s="60"/>
      <c r="T151" s="74"/>
    </row>
    <row r="152" spans="1:20" ht="15" customHeight="1" x14ac:dyDescent="0.25">
      <c r="A152" s="45"/>
      <c r="B152" s="46">
        <v>2</v>
      </c>
      <c r="C152" s="21" t="s">
        <v>171</v>
      </c>
      <c r="D152" s="47" t="s">
        <v>415</v>
      </c>
      <c r="E152" s="60"/>
      <c r="F152" s="60"/>
      <c r="G152" s="60"/>
      <c r="H152" s="60"/>
      <c r="I152" s="60"/>
      <c r="J152" s="60"/>
      <c r="K152" s="60"/>
      <c r="L152" s="74"/>
      <c r="M152" s="60"/>
      <c r="N152" s="60"/>
      <c r="O152" s="60"/>
      <c r="P152" s="60"/>
      <c r="Q152" s="60"/>
      <c r="R152" s="60"/>
      <c r="S152" s="60"/>
      <c r="T152" s="74"/>
    </row>
    <row r="153" spans="1:20" ht="15" customHeight="1" x14ac:dyDescent="0.25">
      <c r="A153" s="45"/>
      <c r="B153" s="46">
        <v>3</v>
      </c>
      <c r="C153" s="21" t="s">
        <v>171</v>
      </c>
      <c r="D153" s="47" t="s">
        <v>416</v>
      </c>
      <c r="E153" s="60"/>
      <c r="F153" s="60"/>
      <c r="G153" s="60"/>
      <c r="H153" s="60"/>
      <c r="I153" s="60"/>
      <c r="J153" s="60"/>
      <c r="K153" s="60"/>
      <c r="L153" s="74"/>
      <c r="M153" s="60"/>
      <c r="N153" s="60"/>
      <c r="O153" s="60"/>
      <c r="P153" s="60"/>
      <c r="Q153" s="60"/>
      <c r="R153" s="60"/>
      <c r="S153" s="60"/>
      <c r="T153" s="74"/>
    </row>
    <row r="154" spans="1:20" ht="15" customHeight="1" x14ac:dyDescent="0.25">
      <c r="A154" s="45"/>
      <c r="B154" s="46">
        <v>4</v>
      </c>
      <c r="C154" s="21" t="s">
        <v>171</v>
      </c>
      <c r="D154" s="47" t="s">
        <v>417</v>
      </c>
      <c r="E154" s="60"/>
      <c r="F154" s="60"/>
      <c r="G154" s="60"/>
      <c r="H154" s="60"/>
      <c r="I154" s="60"/>
      <c r="J154" s="60"/>
      <c r="K154" s="60"/>
      <c r="L154" s="74"/>
      <c r="M154" s="60"/>
      <c r="N154" s="60"/>
      <c r="O154" s="60"/>
      <c r="P154" s="60"/>
      <c r="Q154" s="60"/>
      <c r="R154" s="60"/>
      <c r="S154" s="60"/>
      <c r="T154" s="74"/>
    </row>
    <row r="155" spans="1:20" ht="15" customHeight="1" x14ac:dyDescent="0.25">
      <c r="A155" s="45" t="s">
        <v>275</v>
      </c>
      <c r="B155" s="46">
        <v>1</v>
      </c>
      <c r="C155" s="21" t="s">
        <v>172</v>
      </c>
      <c r="D155" s="47" t="s">
        <v>418</v>
      </c>
      <c r="E155" s="60"/>
      <c r="F155" s="60"/>
      <c r="G155" s="60"/>
      <c r="H155" s="60"/>
      <c r="I155" s="60"/>
      <c r="J155" s="60"/>
      <c r="K155" s="60"/>
      <c r="L155" s="74"/>
      <c r="M155" s="60"/>
      <c r="N155" s="60"/>
      <c r="O155" s="60"/>
      <c r="P155" s="60"/>
      <c r="Q155" s="60"/>
      <c r="R155" s="60"/>
      <c r="S155" s="60"/>
      <c r="T155" s="74"/>
    </row>
    <row r="156" spans="1:20" ht="15" customHeight="1" x14ac:dyDescent="0.25">
      <c r="A156" s="45"/>
      <c r="B156" s="46">
        <v>2</v>
      </c>
      <c r="C156" s="21" t="s">
        <v>172</v>
      </c>
      <c r="D156" s="47" t="s">
        <v>419</v>
      </c>
      <c r="E156" s="60"/>
      <c r="F156" s="60"/>
      <c r="G156" s="60"/>
      <c r="H156" s="60"/>
      <c r="I156" s="60"/>
      <c r="J156" s="60"/>
      <c r="K156" s="60"/>
      <c r="L156" s="74"/>
      <c r="M156" s="60"/>
      <c r="N156" s="60"/>
      <c r="O156" s="60"/>
      <c r="P156" s="60"/>
      <c r="Q156" s="60"/>
      <c r="R156" s="60"/>
      <c r="S156" s="60"/>
      <c r="T156" s="74"/>
    </row>
    <row r="157" spans="1:20" ht="15" customHeight="1" x14ac:dyDescent="0.25">
      <c r="A157" s="45"/>
      <c r="B157" s="46">
        <v>3</v>
      </c>
      <c r="C157" s="21" t="s">
        <v>172</v>
      </c>
      <c r="D157" s="47" t="s">
        <v>420</v>
      </c>
      <c r="E157" s="60"/>
      <c r="F157" s="60"/>
      <c r="G157" s="60"/>
      <c r="H157" s="60"/>
      <c r="I157" s="60"/>
      <c r="J157" s="60"/>
      <c r="K157" s="60"/>
      <c r="L157" s="74"/>
      <c r="M157" s="60"/>
      <c r="N157" s="60"/>
      <c r="O157" s="60"/>
      <c r="P157" s="60"/>
      <c r="Q157" s="60"/>
      <c r="R157" s="60"/>
      <c r="S157" s="60"/>
      <c r="T157" s="74"/>
    </row>
    <row r="158" spans="1:20" ht="15" customHeight="1" x14ac:dyDescent="0.25">
      <c r="A158" s="45"/>
      <c r="B158" s="46">
        <v>4</v>
      </c>
      <c r="C158" s="21" t="s">
        <v>172</v>
      </c>
      <c r="D158" s="47" t="s">
        <v>421</v>
      </c>
      <c r="E158" s="60"/>
      <c r="F158" s="60"/>
      <c r="G158" s="60"/>
      <c r="H158" s="60"/>
      <c r="I158" s="60"/>
      <c r="J158" s="60"/>
      <c r="K158" s="60"/>
      <c r="L158" s="74"/>
      <c r="M158" s="60"/>
      <c r="N158" s="60"/>
      <c r="O158" s="60"/>
      <c r="P158" s="60"/>
      <c r="Q158" s="60"/>
      <c r="R158" s="60"/>
      <c r="S158" s="60"/>
      <c r="T158" s="74"/>
    </row>
    <row r="159" spans="1:20" ht="15" customHeight="1" x14ac:dyDescent="0.25">
      <c r="A159" s="45" t="s">
        <v>276</v>
      </c>
      <c r="B159" s="46">
        <v>1</v>
      </c>
      <c r="C159" s="21" t="s">
        <v>173</v>
      </c>
      <c r="D159" s="47" t="s">
        <v>422</v>
      </c>
      <c r="E159" s="60"/>
      <c r="F159" s="60"/>
      <c r="G159" s="60"/>
      <c r="H159" s="60"/>
      <c r="I159" s="60"/>
      <c r="J159" s="60"/>
      <c r="K159" s="60"/>
      <c r="L159" s="74"/>
      <c r="M159" s="60"/>
      <c r="N159" s="60"/>
      <c r="O159" s="60"/>
      <c r="P159" s="60"/>
      <c r="Q159" s="60"/>
      <c r="R159" s="60"/>
      <c r="S159" s="60"/>
      <c r="T159" s="74"/>
    </row>
    <row r="160" spans="1:20" ht="15" customHeight="1" x14ac:dyDescent="0.25">
      <c r="A160" s="45"/>
      <c r="B160" s="46">
        <v>2</v>
      </c>
      <c r="C160" s="21" t="s">
        <v>173</v>
      </c>
      <c r="D160" s="47" t="s">
        <v>423</v>
      </c>
      <c r="E160" s="60"/>
      <c r="F160" s="60"/>
      <c r="G160" s="60"/>
      <c r="H160" s="60"/>
      <c r="I160" s="60"/>
      <c r="J160" s="60"/>
      <c r="K160" s="60"/>
      <c r="L160" s="74"/>
      <c r="M160" s="60"/>
      <c r="N160" s="60"/>
      <c r="O160" s="60"/>
      <c r="P160" s="60"/>
      <c r="Q160" s="60"/>
      <c r="R160" s="60"/>
      <c r="S160" s="60"/>
      <c r="T160" s="74"/>
    </row>
    <row r="161" spans="1:20" ht="15" customHeight="1" x14ac:dyDescent="0.25">
      <c r="A161" s="45"/>
      <c r="B161" s="46">
        <v>3</v>
      </c>
      <c r="C161" s="21" t="s">
        <v>173</v>
      </c>
      <c r="D161" s="47" t="s">
        <v>424</v>
      </c>
      <c r="E161" s="60"/>
      <c r="F161" s="60"/>
      <c r="G161" s="60"/>
      <c r="H161" s="60"/>
      <c r="I161" s="60"/>
      <c r="J161" s="60"/>
      <c r="K161" s="60"/>
      <c r="L161" s="74"/>
      <c r="M161" s="60"/>
      <c r="N161" s="60"/>
      <c r="O161" s="60"/>
      <c r="P161" s="60"/>
      <c r="Q161" s="60"/>
      <c r="R161" s="60"/>
      <c r="S161" s="60"/>
      <c r="T161" s="74"/>
    </row>
    <row r="162" spans="1:20" ht="15" customHeight="1" x14ac:dyDescent="0.25">
      <c r="A162" s="136" t="s">
        <v>277</v>
      </c>
      <c r="B162" s="137"/>
      <c r="C162" s="52"/>
      <c r="D162" s="53"/>
      <c r="E162" s="76"/>
      <c r="F162" s="76"/>
      <c r="G162" s="76"/>
      <c r="H162" s="76"/>
      <c r="I162" s="76"/>
      <c r="J162" s="76"/>
      <c r="K162" s="76"/>
      <c r="L162" s="77"/>
      <c r="M162" s="76"/>
      <c r="N162" s="76"/>
      <c r="O162" s="76"/>
      <c r="P162" s="76"/>
      <c r="Q162" s="76"/>
      <c r="R162" s="76"/>
      <c r="S162" s="76"/>
      <c r="T162" s="77"/>
    </row>
    <row r="163" spans="1:20" x14ac:dyDescent="0.25">
      <c r="A163" s="38" t="s">
        <v>278</v>
      </c>
      <c r="B163" s="39"/>
      <c r="C163" s="40"/>
      <c r="D163" s="41"/>
      <c r="E163" s="72"/>
      <c r="F163" s="72"/>
      <c r="G163" s="72"/>
      <c r="H163" s="72"/>
      <c r="I163" s="72"/>
      <c r="J163" s="72"/>
      <c r="K163" s="72"/>
      <c r="L163" s="75"/>
      <c r="M163" s="72"/>
      <c r="N163" s="72"/>
      <c r="O163" s="72"/>
      <c r="P163" s="72"/>
      <c r="Q163" s="72"/>
      <c r="R163" s="72"/>
      <c r="S163" s="72"/>
      <c r="T163" s="75"/>
    </row>
    <row r="164" spans="1:20" ht="15" customHeight="1" x14ac:dyDescent="0.25">
      <c r="A164" s="45" t="s">
        <v>279</v>
      </c>
      <c r="B164" s="46">
        <v>1</v>
      </c>
      <c r="C164" s="21" t="s">
        <v>280</v>
      </c>
      <c r="D164" s="47" t="s">
        <v>425</v>
      </c>
      <c r="E164" s="60"/>
      <c r="F164" s="60"/>
      <c r="G164" s="60"/>
      <c r="H164" s="60"/>
      <c r="I164" s="60"/>
      <c r="J164" s="60"/>
      <c r="K164" s="60"/>
      <c r="L164" s="74"/>
      <c r="M164" s="60"/>
      <c r="N164" s="60"/>
      <c r="O164" s="60"/>
      <c r="P164" s="60"/>
      <c r="Q164" s="60"/>
      <c r="R164" s="60"/>
      <c r="S164" s="60"/>
      <c r="T164" s="74"/>
    </row>
    <row r="165" spans="1:20" ht="15" customHeight="1" x14ac:dyDescent="0.25">
      <c r="A165" s="45" t="s">
        <v>281</v>
      </c>
      <c r="B165" s="46">
        <v>1</v>
      </c>
      <c r="C165" s="21" t="s">
        <v>282</v>
      </c>
      <c r="D165" s="47" t="s">
        <v>426</v>
      </c>
      <c r="E165" s="60"/>
      <c r="F165" s="60"/>
      <c r="G165" s="60"/>
      <c r="H165" s="60"/>
      <c r="I165" s="60"/>
      <c r="J165" s="60"/>
      <c r="K165" s="60"/>
      <c r="L165" s="74"/>
      <c r="M165" s="60"/>
      <c r="N165" s="60"/>
      <c r="O165" s="60"/>
      <c r="P165" s="60"/>
      <c r="Q165" s="60"/>
      <c r="R165" s="60"/>
      <c r="S165" s="60"/>
      <c r="T165" s="74"/>
    </row>
    <row r="166" spans="1:20" ht="15" customHeight="1" x14ac:dyDescent="0.25">
      <c r="A166" s="45" t="s">
        <v>283</v>
      </c>
      <c r="B166" s="46">
        <v>1</v>
      </c>
      <c r="C166" s="21" t="s">
        <v>284</v>
      </c>
      <c r="D166" s="47" t="s">
        <v>427</v>
      </c>
      <c r="E166" s="60"/>
      <c r="F166" s="60"/>
      <c r="G166" s="60"/>
      <c r="H166" s="60"/>
      <c r="I166" s="60"/>
      <c r="J166" s="60"/>
      <c r="K166" s="60"/>
      <c r="L166" s="74"/>
      <c r="M166" s="60"/>
      <c r="N166" s="60"/>
      <c r="O166" s="60"/>
      <c r="P166" s="60"/>
      <c r="Q166" s="60"/>
      <c r="R166" s="60"/>
      <c r="S166" s="60"/>
      <c r="T166" s="74"/>
    </row>
    <row r="167" spans="1:20" ht="15" customHeight="1" x14ac:dyDescent="0.25">
      <c r="A167" s="45" t="s">
        <v>285</v>
      </c>
      <c r="B167" s="46">
        <v>1</v>
      </c>
      <c r="C167" s="21" t="s">
        <v>286</v>
      </c>
      <c r="D167" s="47" t="s">
        <v>428</v>
      </c>
      <c r="E167" s="60"/>
      <c r="F167" s="60"/>
      <c r="G167" s="60"/>
      <c r="H167" s="60"/>
      <c r="I167" s="60"/>
      <c r="J167" s="60"/>
      <c r="K167" s="60"/>
      <c r="L167" s="74"/>
      <c r="M167" s="60"/>
      <c r="N167" s="60"/>
      <c r="O167" s="60"/>
      <c r="P167" s="60"/>
      <c r="Q167" s="60"/>
      <c r="R167" s="60"/>
      <c r="S167" s="60"/>
      <c r="T167" s="74"/>
    </row>
    <row r="168" spans="1:20" ht="15" customHeight="1" x14ac:dyDescent="0.25">
      <c r="A168" s="45" t="s">
        <v>287</v>
      </c>
      <c r="B168" s="46">
        <v>1</v>
      </c>
      <c r="C168" s="21" t="s">
        <v>288</v>
      </c>
      <c r="D168" s="47" t="s">
        <v>429</v>
      </c>
      <c r="E168" s="60"/>
      <c r="F168" s="60"/>
      <c r="G168" s="60"/>
      <c r="H168" s="60"/>
      <c r="I168" s="60"/>
      <c r="J168" s="60"/>
      <c r="K168" s="60"/>
      <c r="L168" s="74"/>
      <c r="M168" s="60"/>
      <c r="N168" s="60"/>
      <c r="O168" s="60"/>
      <c r="P168" s="60"/>
      <c r="Q168" s="60"/>
      <c r="R168" s="60"/>
      <c r="S168" s="60"/>
      <c r="T168" s="74"/>
    </row>
    <row r="169" spans="1:20" ht="15" customHeight="1" x14ac:dyDescent="0.25">
      <c r="A169" s="136" t="s">
        <v>289</v>
      </c>
      <c r="B169" s="137"/>
      <c r="C169" s="52"/>
      <c r="D169" s="53"/>
      <c r="E169" s="76"/>
      <c r="F169" s="76"/>
      <c r="G169" s="76"/>
      <c r="H169" s="76"/>
      <c r="I169" s="76"/>
      <c r="J169" s="76"/>
      <c r="K169" s="76"/>
      <c r="L169" s="77"/>
      <c r="M169" s="76"/>
      <c r="N169" s="76"/>
      <c r="O169" s="76"/>
      <c r="P169" s="76"/>
      <c r="Q169" s="76"/>
      <c r="R169" s="76"/>
      <c r="S169" s="76"/>
      <c r="T169" s="77"/>
    </row>
    <row r="170" spans="1:20" x14ac:dyDescent="0.25">
      <c r="A170" s="38" t="s">
        <v>290</v>
      </c>
      <c r="B170" s="39"/>
      <c r="C170" s="40"/>
      <c r="D170" s="41"/>
      <c r="E170" s="72"/>
      <c r="F170" s="72"/>
      <c r="G170" s="72"/>
      <c r="H170" s="72"/>
      <c r="I170" s="72"/>
      <c r="J170" s="72"/>
      <c r="K170" s="72"/>
      <c r="L170" s="75"/>
      <c r="M170" s="72"/>
      <c r="N170" s="72"/>
      <c r="O170" s="72"/>
      <c r="P170" s="72"/>
      <c r="Q170" s="72"/>
      <c r="R170" s="72"/>
      <c r="S170" s="72"/>
      <c r="T170" s="75"/>
    </row>
    <row r="171" spans="1:20" x14ac:dyDescent="0.25">
      <c r="A171" s="45" t="s">
        <v>291</v>
      </c>
      <c r="B171" s="46">
        <v>1</v>
      </c>
      <c r="C171" s="21" t="s">
        <v>175</v>
      </c>
      <c r="D171" s="47" t="s">
        <v>430</v>
      </c>
      <c r="E171" s="60"/>
      <c r="F171" s="60"/>
      <c r="G171" s="60"/>
      <c r="H171" s="60"/>
      <c r="I171" s="60"/>
      <c r="J171" s="60"/>
      <c r="K171" s="60"/>
      <c r="L171" s="74"/>
      <c r="M171" s="60"/>
      <c r="N171" s="60"/>
      <c r="O171" s="60"/>
      <c r="P171" s="60"/>
      <c r="Q171" s="60"/>
      <c r="R171" s="60"/>
      <c r="S171" s="60"/>
      <c r="T171" s="74"/>
    </row>
    <row r="172" spans="1:20" x14ac:dyDescent="0.25">
      <c r="A172" s="45" t="s">
        <v>292</v>
      </c>
      <c r="B172" s="46">
        <v>1</v>
      </c>
      <c r="C172" s="21" t="s">
        <v>174</v>
      </c>
      <c r="D172" s="47" t="s">
        <v>431</v>
      </c>
      <c r="E172" s="60"/>
      <c r="F172" s="60"/>
      <c r="G172" s="60"/>
      <c r="H172" s="60"/>
      <c r="I172" s="60"/>
      <c r="J172" s="60"/>
      <c r="K172" s="60"/>
      <c r="L172" s="74"/>
      <c r="M172" s="60"/>
      <c r="N172" s="60"/>
      <c r="O172" s="60"/>
      <c r="P172" s="60"/>
      <c r="Q172" s="60"/>
      <c r="R172" s="60"/>
      <c r="S172" s="60"/>
      <c r="T172" s="74"/>
    </row>
    <row r="173" spans="1:20" x14ac:dyDescent="0.25">
      <c r="A173" s="45" t="s">
        <v>293</v>
      </c>
      <c r="B173" s="46">
        <v>1</v>
      </c>
      <c r="C173" s="21" t="s">
        <v>177</v>
      </c>
      <c r="D173" s="47" t="s">
        <v>432</v>
      </c>
      <c r="E173" s="60"/>
      <c r="F173" s="60"/>
      <c r="G173" s="60"/>
      <c r="H173" s="60"/>
      <c r="I173" s="60"/>
      <c r="J173" s="60"/>
      <c r="K173" s="60"/>
      <c r="L173" s="74"/>
      <c r="M173" s="60"/>
      <c r="N173" s="60"/>
      <c r="O173" s="60"/>
      <c r="P173" s="60"/>
      <c r="Q173" s="60"/>
      <c r="R173" s="60"/>
      <c r="S173" s="60"/>
      <c r="T173" s="74"/>
    </row>
    <row r="174" spans="1:20" x14ac:dyDescent="0.25">
      <c r="A174" s="45" t="s">
        <v>294</v>
      </c>
      <c r="B174" s="46">
        <v>1</v>
      </c>
      <c r="C174" s="21" t="s">
        <v>177</v>
      </c>
      <c r="D174" s="47" t="s">
        <v>432</v>
      </c>
      <c r="E174" s="60"/>
      <c r="F174" s="60"/>
      <c r="G174" s="60"/>
      <c r="H174" s="60"/>
      <c r="I174" s="60"/>
      <c r="J174" s="60"/>
      <c r="K174" s="60"/>
      <c r="L174" s="74"/>
      <c r="M174" s="60"/>
      <c r="N174" s="60"/>
      <c r="O174" s="60"/>
      <c r="P174" s="60"/>
      <c r="Q174" s="60"/>
      <c r="R174" s="60"/>
      <c r="S174" s="60"/>
      <c r="T174" s="74"/>
    </row>
    <row r="175" spans="1:20" x14ac:dyDescent="0.25">
      <c r="A175" s="45" t="s">
        <v>295</v>
      </c>
      <c r="B175" s="46">
        <v>1</v>
      </c>
      <c r="C175" s="21" t="s">
        <v>296</v>
      </c>
      <c r="D175" s="47" t="s">
        <v>433</v>
      </c>
      <c r="E175" s="60"/>
      <c r="F175" s="60"/>
      <c r="G175" s="60"/>
      <c r="H175" s="60"/>
      <c r="I175" s="60"/>
      <c r="J175" s="60"/>
      <c r="K175" s="60"/>
      <c r="L175" s="74"/>
      <c r="M175" s="60"/>
      <c r="N175" s="60"/>
      <c r="O175" s="60"/>
      <c r="P175" s="60"/>
      <c r="Q175" s="60"/>
      <c r="R175" s="60"/>
      <c r="S175" s="60"/>
      <c r="T175" s="74"/>
    </row>
    <row r="176" spans="1:20" x14ac:dyDescent="0.25">
      <c r="A176" s="45" t="s">
        <v>297</v>
      </c>
      <c r="B176" s="46">
        <v>1</v>
      </c>
      <c r="C176" s="21" t="s">
        <v>296</v>
      </c>
      <c r="D176" s="47" t="s">
        <v>433</v>
      </c>
      <c r="E176" s="60"/>
      <c r="F176" s="60"/>
      <c r="G176" s="60"/>
      <c r="H176" s="60"/>
      <c r="I176" s="60"/>
      <c r="J176" s="60"/>
      <c r="K176" s="60"/>
      <c r="L176" s="74"/>
      <c r="M176" s="60"/>
      <c r="N176" s="60"/>
      <c r="O176" s="60"/>
      <c r="P176" s="60"/>
      <c r="Q176" s="60"/>
      <c r="R176" s="60"/>
      <c r="S176" s="60"/>
      <c r="T176" s="74"/>
    </row>
    <row r="177" spans="1:20" x14ac:dyDescent="0.25">
      <c r="A177" s="45" t="s">
        <v>298</v>
      </c>
      <c r="B177" s="46">
        <v>1</v>
      </c>
      <c r="C177" s="21" t="s">
        <v>176</v>
      </c>
      <c r="D177" s="47" t="s">
        <v>434</v>
      </c>
      <c r="E177" s="60"/>
      <c r="F177" s="60"/>
      <c r="G177" s="60"/>
      <c r="H177" s="60"/>
      <c r="I177" s="60"/>
      <c r="J177" s="60"/>
      <c r="K177" s="60"/>
      <c r="L177" s="74"/>
      <c r="M177" s="60"/>
      <c r="N177" s="60"/>
      <c r="O177" s="60"/>
      <c r="P177" s="60"/>
      <c r="Q177" s="60"/>
      <c r="R177" s="60"/>
      <c r="S177" s="60"/>
      <c r="T177" s="74"/>
    </row>
    <row r="178" spans="1:20" x14ac:dyDescent="0.25">
      <c r="A178" s="45" t="s">
        <v>299</v>
      </c>
      <c r="B178" s="46">
        <v>1</v>
      </c>
      <c r="C178" s="21" t="s">
        <v>176</v>
      </c>
      <c r="D178" s="47" t="s">
        <v>434</v>
      </c>
      <c r="E178" s="60"/>
      <c r="F178" s="60"/>
      <c r="G178" s="60"/>
      <c r="H178" s="60"/>
      <c r="I178" s="60"/>
      <c r="J178" s="60"/>
      <c r="K178" s="60"/>
      <c r="L178" s="74"/>
      <c r="M178" s="60"/>
      <c r="N178" s="60"/>
      <c r="O178" s="60"/>
      <c r="P178" s="60"/>
      <c r="Q178" s="60"/>
      <c r="R178" s="60"/>
      <c r="S178" s="60"/>
      <c r="T178" s="74"/>
    </row>
    <row r="179" spans="1:20" x14ac:dyDescent="0.25">
      <c r="A179" s="45" t="s">
        <v>300</v>
      </c>
      <c r="B179" s="46">
        <v>1</v>
      </c>
      <c r="C179" s="21" t="s">
        <v>301</v>
      </c>
      <c r="D179" s="47" t="s">
        <v>435</v>
      </c>
      <c r="E179" s="60"/>
      <c r="F179" s="60"/>
      <c r="G179" s="60"/>
      <c r="H179" s="60"/>
      <c r="I179" s="60"/>
      <c r="J179" s="60"/>
      <c r="K179" s="60"/>
      <c r="L179" s="74"/>
      <c r="M179" s="60"/>
      <c r="N179" s="60"/>
      <c r="O179" s="60"/>
      <c r="P179" s="60"/>
      <c r="Q179" s="60"/>
      <c r="R179" s="60"/>
      <c r="S179" s="60"/>
      <c r="T179" s="74"/>
    </row>
    <row r="180" spans="1:20" x14ac:dyDescent="0.25">
      <c r="A180" s="45"/>
      <c r="B180" s="46">
        <v>2</v>
      </c>
      <c r="C180" s="21" t="s">
        <v>301</v>
      </c>
      <c r="D180" s="47" t="s">
        <v>436</v>
      </c>
      <c r="E180" s="60"/>
      <c r="F180" s="60"/>
      <c r="G180" s="60"/>
      <c r="H180" s="60"/>
      <c r="I180" s="60"/>
      <c r="J180" s="60"/>
      <c r="K180" s="60"/>
      <c r="L180" s="74"/>
      <c r="M180" s="60"/>
      <c r="N180" s="60"/>
      <c r="O180" s="60"/>
      <c r="P180" s="60"/>
      <c r="Q180" s="60"/>
      <c r="R180" s="60"/>
      <c r="S180" s="60"/>
      <c r="T180" s="74"/>
    </row>
    <row r="181" spans="1:20" x14ac:dyDescent="0.25">
      <c r="A181" s="136" t="s">
        <v>302</v>
      </c>
      <c r="B181" s="137"/>
      <c r="C181" s="52"/>
      <c r="D181" s="53"/>
      <c r="E181" s="76"/>
      <c r="F181" s="76"/>
      <c r="G181" s="76"/>
      <c r="H181" s="76"/>
      <c r="I181" s="76"/>
      <c r="J181" s="76"/>
      <c r="K181" s="76"/>
      <c r="L181" s="77"/>
      <c r="M181" s="76"/>
      <c r="N181" s="76"/>
      <c r="O181" s="76"/>
      <c r="P181" s="76"/>
      <c r="Q181" s="76"/>
      <c r="R181" s="76"/>
      <c r="S181" s="76"/>
      <c r="T181" s="77"/>
    </row>
    <row r="182" spans="1:20" x14ac:dyDescent="0.25">
      <c r="A182" s="38" t="s">
        <v>303</v>
      </c>
      <c r="B182" s="39"/>
      <c r="C182" s="40"/>
      <c r="D182" s="41"/>
      <c r="E182" s="72"/>
      <c r="F182" s="72"/>
      <c r="G182" s="72"/>
      <c r="H182" s="72"/>
      <c r="I182" s="72"/>
      <c r="J182" s="72"/>
      <c r="K182" s="72"/>
      <c r="L182" s="75"/>
      <c r="M182" s="72"/>
      <c r="N182" s="72"/>
      <c r="O182" s="72"/>
      <c r="P182" s="72"/>
      <c r="Q182" s="72"/>
      <c r="R182" s="72"/>
      <c r="S182" s="72"/>
      <c r="T182" s="75"/>
    </row>
    <row r="183" spans="1:20" ht="15" customHeight="1" x14ac:dyDescent="0.25">
      <c r="A183" s="45" t="s">
        <v>304</v>
      </c>
      <c r="B183" s="46">
        <v>1</v>
      </c>
      <c r="C183" s="21"/>
      <c r="D183" s="47" t="s">
        <v>123</v>
      </c>
      <c r="E183" s="60"/>
      <c r="F183" s="60"/>
      <c r="G183" s="60"/>
      <c r="H183" s="60"/>
      <c r="I183" s="60"/>
      <c r="J183" s="60"/>
      <c r="K183" s="60"/>
      <c r="L183" s="74"/>
      <c r="M183" s="60"/>
      <c r="N183" s="60"/>
      <c r="O183" s="60"/>
      <c r="P183" s="60"/>
      <c r="Q183" s="60"/>
      <c r="R183" s="60"/>
      <c r="S183" s="60"/>
      <c r="T183" s="74"/>
    </row>
    <row r="184" spans="1:20" ht="15" customHeight="1" x14ac:dyDescent="0.25">
      <c r="A184" s="45"/>
      <c r="B184" s="46">
        <v>2</v>
      </c>
      <c r="C184" s="21"/>
      <c r="D184" s="47" t="s">
        <v>125</v>
      </c>
      <c r="E184" s="60"/>
      <c r="F184" s="60"/>
      <c r="G184" s="60"/>
      <c r="H184" s="60"/>
      <c r="I184" s="60"/>
      <c r="J184" s="60"/>
      <c r="K184" s="60"/>
      <c r="L184" s="74"/>
      <c r="M184" s="60"/>
      <c r="N184" s="60"/>
      <c r="O184" s="60"/>
      <c r="P184" s="60"/>
      <c r="Q184" s="60"/>
      <c r="R184" s="60"/>
      <c r="S184" s="60"/>
      <c r="T184" s="74"/>
    </row>
    <row r="185" spans="1:20" x14ac:dyDescent="0.25">
      <c r="A185" s="136" t="s">
        <v>305</v>
      </c>
      <c r="B185" s="137"/>
      <c r="C185" s="52"/>
      <c r="D185" s="53"/>
      <c r="E185" s="76"/>
      <c r="F185" s="76"/>
      <c r="G185" s="76"/>
      <c r="H185" s="76"/>
      <c r="I185" s="76"/>
      <c r="J185" s="76"/>
      <c r="K185" s="76"/>
      <c r="L185" s="77"/>
      <c r="M185" s="76"/>
      <c r="N185" s="76"/>
      <c r="O185" s="76"/>
      <c r="P185" s="76"/>
      <c r="Q185" s="76"/>
      <c r="R185" s="76"/>
      <c r="S185" s="76"/>
      <c r="T185" s="77"/>
    </row>
    <row r="186" spans="1:20" x14ac:dyDescent="0.25">
      <c r="A186" s="38" t="s">
        <v>306</v>
      </c>
      <c r="B186" s="39"/>
      <c r="C186" s="40"/>
      <c r="D186" s="41"/>
      <c r="E186" s="72"/>
      <c r="F186" s="72"/>
      <c r="G186" s="72"/>
      <c r="H186" s="72"/>
      <c r="I186" s="72"/>
      <c r="J186" s="72"/>
      <c r="K186" s="72"/>
      <c r="L186" s="75"/>
      <c r="M186" s="72"/>
      <c r="N186" s="72"/>
      <c r="O186" s="72"/>
      <c r="P186" s="72"/>
      <c r="Q186" s="72"/>
      <c r="R186" s="72"/>
      <c r="S186" s="72"/>
      <c r="T186" s="75"/>
    </row>
    <row r="187" spans="1:20" x14ac:dyDescent="0.25">
      <c r="A187" s="45" t="s">
        <v>307</v>
      </c>
      <c r="B187" s="46">
        <v>1</v>
      </c>
      <c r="C187" s="21" t="s">
        <v>308</v>
      </c>
      <c r="D187" s="47" t="s">
        <v>437</v>
      </c>
      <c r="E187" s="60"/>
      <c r="F187" s="60"/>
      <c r="G187" s="60"/>
      <c r="H187" s="60"/>
      <c r="I187" s="60"/>
      <c r="J187" s="60"/>
      <c r="K187" s="60"/>
      <c r="L187" s="74"/>
      <c r="M187" s="60"/>
      <c r="N187" s="60"/>
      <c r="O187" s="60"/>
      <c r="P187" s="60"/>
      <c r="Q187" s="60"/>
      <c r="R187" s="60"/>
      <c r="S187" s="60"/>
      <c r="T187" s="74"/>
    </row>
    <row r="188" spans="1:20" x14ac:dyDescent="0.25">
      <c r="A188" s="45" t="s">
        <v>309</v>
      </c>
      <c r="B188" s="46">
        <v>1</v>
      </c>
      <c r="C188" s="21" t="s">
        <v>310</v>
      </c>
      <c r="D188" s="47" t="s">
        <v>438</v>
      </c>
      <c r="E188" s="60"/>
      <c r="F188" s="60"/>
      <c r="G188" s="60"/>
      <c r="H188" s="60"/>
      <c r="I188" s="60"/>
      <c r="J188" s="60"/>
      <c r="K188" s="60"/>
      <c r="L188" s="74"/>
      <c r="M188" s="60"/>
      <c r="N188" s="60"/>
      <c r="O188" s="60"/>
      <c r="P188" s="60"/>
      <c r="Q188" s="60"/>
      <c r="R188" s="60"/>
      <c r="S188" s="60"/>
      <c r="T188" s="74"/>
    </row>
    <row r="189" spans="1:20" x14ac:dyDescent="0.25">
      <c r="A189" s="45" t="s">
        <v>311</v>
      </c>
      <c r="B189" s="46">
        <v>1</v>
      </c>
      <c r="C189" s="21" t="s">
        <v>312</v>
      </c>
      <c r="D189" s="47" t="s">
        <v>439</v>
      </c>
      <c r="E189" s="60"/>
      <c r="F189" s="60"/>
      <c r="G189" s="60"/>
      <c r="H189" s="60"/>
      <c r="I189" s="60"/>
      <c r="J189" s="60"/>
      <c r="K189" s="60"/>
      <c r="L189" s="74"/>
      <c r="M189" s="60"/>
      <c r="N189" s="60"/>
      <c r="O189" s="60"/>
      <c r="P189" s="60"/>
      <c r="Q189" s="60"/>
      <c r="R189" s="60"/>
      <c r="S189" s="60"/>
      <c r="T189" s="74"/>
    </row>
    <row r="190" spans="1:20" x14ac:dyDescent="0.25">
      <c r="A190" s="136" t="s">
        <v>313</v>
      </c>
      <c r="B190" s="137"/>
      <c r="C190" s="52"/>
      <c r="D190" s="53"/>
      <c r="E190" s="76"/>
      <c r="F190" s="76"/>
      <c r="G190" s="76"/>
      <c r="H190" s="76"/>
      <c r="I190" s="76"/>
      <c r="J190" s="76"/>
      <c r="K190" s="76"/>
      <c r="L190" s="77"/>
      <c r="M190" s="76"/>
      <c r="N190" s="76"/>
      <c r="O190" s="76"/>
      <c r="P190" s="76"/>
      <c r="Q190" s="76"/>
      <c r="R190" s="76"/>
      <c r="S190" s="76"/>
      <c r="T190" s="77"/>
    </row>
    <row r="191" spans="1:20" ht="15" customHeight="1" x14ac:dyDescent="0.25">
      <c r="A191" s="142" t="s">
        <v>314</v>
      </c>
      <c r="B191" s="143"/>
      <c r="C191" s="56"/>
      <c r="D191" s="57"/>
      <c r="E191" s="78"/>
      <c r="F191" s="78"/>
      <c r="G191" s="78"/>
      <c r="H191" s="78"/>
      <c r="I191" s="78"/>
      <c r="J191" s="78"/>
      <c r="K191" s="78"/>
      <c r="L191" s="79"/>
      <c r="M191" s="78"/>
      <c r="N191" s="78"/>
      <c r="O191" s="78"/>
      <c r="P191" s="78"/>
      <c r="Q191" s="78"/>
      <c r="R191" s="78"/>
      <c r="S191" s="78"/>
      <c r="T191" s="79"/>
    </row>
    <row r="192" spans="1:20" x14ac:dyDescent="0.25">
      <c r="A192" s="151" t="s">
        <v>315</v>
      </c>
      <c r="B192" s="152"/>
      <c r="C192" s="80"/>
      <c r="D192" s="81"/>
      <c r="E192" s="82"/>
      <c r="F192" s="82"/>
      <c r="G192" s="82"/>
      <c r="H192" s="82"/>
      <c r="I192" s="82"/>
      <c r="J192" s="82"/>
      <c r="K192" s="82"/>
      <c r="L192" s="83"/>
      <c r="M192" s="82"/>
      <c r="N192" s="82"/>
      <c r="O192" s="82"/>
      <c r="P192" s="82"/>
      <c r="Q192" s="82"/>
      <c r="R192" s="82"/>
      <c r="S192" s="82"/>
      <c r="T192" s="83"/>
    </row>
    <row r="193" spans="1:4" x14ac:dyDescent="0.25">
      <c r="A193" s="66"/>
      <c r="B193" s="66"/>
      <c r="C193" s="66"/>
      <c r="D193" s="66"/>
    </row>
    <row r="194" spans="1:4" x14ac:dyDescent="0.25">
      <c r="A194" s="68"/>
      <c r="B194" s="68"/>
      <c r="C194" s="68"/>
      <c r="D194" s="68"/>
    </row>
  </sheetData>
  <mergeCells count="28">
    <mergeCell ref="A191:B191"/>
    <mergeCell ref="A192:B192"/>
    <mergeCell ref="M1:T1"/>
    <mergeCell ref="M2:N2"/>
    <mergeCell ref="O2:P2"/>
    <mergeCell ref="Q2:R2"/>
    <mergeCell ref="S2:T2"/>
    <mergeCell ref="A137:B137"/>
    <mergeCell ref="A162:B162"/>
    <mergeCell ref="A169:B169"/>
    <mergeCell ref="A181:B181"/>
    <mergeCell ref="A185:B185"/>
    <mergeCell ref="A190:B190"/>
    <mergeCell ref="A42:B42"/>
    <mergeCell ref="A50:B50"/>
    <mergeCell ref="A98:B98"/>
    <mergeCell ref="A101:B101"/>
    <mergeCell ref="A117:B117"/>
    <mergeCell ref="A136:B136"/>
    <mergeCell ref="A1:A3"/>
    <mergeCell ref="B1:B3"/>
    <mergeCell ref="C1:C3"/>
    <mergeCell ref="D1:D3"/>
    <mergeCell ref="E1:L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3DE1-31B3-4FED-9653-52C05037964E}">
  <sheetPr>
    <tabColor rgb="FFFFFF00"/>
  </sheetPr>
  <dimension ref="A1:T194"/>
  <sheetViews>
    <sheetView zoomScale="80" zoomScaleNormal="80" workbookViewId="0">
      <pane ySplit="3" topLeftCell="A4" activePane="bottomLeft" state="frozen"/>
      <selection pane="bottomLeft" activeCell="V7" sqref="V7"/>
    </sheetView>
  </sheetViews>
  <sheetFormatPr defaultRowHeight="15" x14ac:dyDescent="0.25"/>
  <cols>
    <col min="1" max="1" width="60.7109375" customWidth="1"/>
    <col min="2" max="2" width="10.7109375" customWidth="1"/>
    <col min="3" max="3" width="24.7109375" bestFit="1" customWidth="1"/>
    <col min="4" max="4" width="24.85546875" bestFit="1" customWidth="1"/>
    <col min="5" max="20" width="9.140625" style="21"/>
  </cols>
  <sheetData>
    <row r="1" spans="1:20" ht="16.5" customHeight="1" x14ac:dyDescent="0.25">
      <c r="A1" s="138" t="s">
        <v>185</v>
      </c>
      <c r="B1" s="128" t="s">
        <v>186</v>
      </c>
      <c r="C1" s="140" t="s">
        <v>187</v>
      </c>
      <c r="D1" s="128" t="s">
        <v>188</v>
      </c>
      <c r="E1" s="146" t="s">
        <v>189</v>
      </c>
      <c r="F1" s="146"/>
      <c r="G1" s="146"/>
      <c r="H1" s="146"/>
      <c r="I1" s="146"/>
      <c r="J1" s="146"/>
      <c r="K1" s="146"/>
      <c r="L1" s="147"/>
      <c r="M1" s="146" t="s">
        <v>189</v>
      </c>
      <c r="N1" s="146"/>
      <c r="O1" s="146"/>
      <c r="P1" s="146"/>
      <c r="Q1" s="146"/>
      <c r="R1" s="146"/>
      <c r="S1" s="146"/>
      <c r="T1" s="147"/>
    </row>
    <row r="2" spans="1:20" x14ac:dyDescent="0.25">
      <c r="A2" s="138"/>
      <c r="B2" s="128"/>
      <c r="C2" s="140"/>
      <c r="D2" s="128"/>
      <c r="E2" s="148" t="s">
        <v>316</v>
      </c>
      <c r="F2" s="149"/>
      <c r="G2" s="149" t="s">
        <v>64</v>
      </c>
      <c r="H2" s="149"/>
      <c r="I2" s="149" t="s">
        <v>317</v>
      </c>
      <c r="J2" s="149"/>
      <c r="K2" s="149" t="s">
        <v>318</v>
      </c>
      <c r="L2" s="150"/>
      <c r="M2" s="148" t="s">
        <v>316</v>
      </c>
      <c r="N2" s="149"/>
      <c r="O2" s="149" t="s">
        <v>64</v>
      </c>
      <c r="P2" s="149"/>
      <c r="Q2" s="149" t="s">
        <v>317</v>
      </c>
      <c r="R2" s="149"/>
      <c r="S2" s="149" t="s">
        <v>318</v>
      </c>
      <c r="T2" s="150"/>
    </row>
    <row r="3" spans="1:20" ht="30" x14ac:dyDescent="0.25">
      <c r="A3" s="139"/>
      <c r="B3" s="129"/>
      <c r="C3" s="141"/>
      <c r="D3" s="129"/>
      <c r="E3" s="69" t="s">
        <v>319</v>
      </c>
      <c r="F3" s="69" t="s">
        <v>320</v>
      </c>
      <c r="G3" s="70" t="s">
        <v>319</v>
      </c>
      <c r="H3" s="69" t="s">
        <v>320</v>
      </c>
      <c r="I3" s="69" t="s">
        <v>319</v>
      </c>
      <c r="J3" s="69" t="s">
        <v>320</v>
      </c>
      <c r="K3" s="69" t="s">
        <v>319</v>
      </c>
      <c r="L3" s="71" t="s">
        <v>320</v>
      </c>
      <c r="M3" s="69" t="s">
        <v>319</v>
      </c>
      <c r="N3" s="69" t="s">
        <v>320</v>
      </c>
      <c r="O3" s="70" t="s">
        <v>319</v>
      </c>
      <c r="P3" s="69" t="s">
        <v>320</v>
      </c>
      <c r="Q3" s="69" t="s">
        <v>319</v>
      </c>
      <c r="R3" s="69" t="s">
        <v>320</v>
      </c>
      <c r="S3" s="69" t="s">
        <v>319</v>
      </c>
      <c r="T3" s="71" t="s">
        <v>320</v>
      </c>
    </row>
    <row r="4" spans="1:20" x14ac:dyDescent="0.25">
      <c r="A4" s="38" t="s">
        <v>440</v>
      </c>
      <c r="B4" s="39"/>
      <c r="C4" s="40"/>
      <c r="D4" s="41"/>
      <c r="E4" s="72"/>
      <c r="F4" s="72"/>
      <c r="G4" s="72"/>
      <c r="H4" s="72"/>
      <c r="I4" s="72"/>
      <c r="J4" s="72"/>
      <c r="K4" s="72"/>
      <c r="L4" s="73"/>
      <c r="M4" s="72"/>
      <c r="N4" s="72"/>
      <c r="O4" s="72"/>
      <c r="P4" s="72"/>
      <c r="Q4" s="72"/>
      <c r="R4" s="72"/>
      <c r="S4" s="72"/>
      <c r="T4" s="73"/>
    </row>
    <row r="5" spans="1:20" x14ac:dyDescent="0.25">
      <c r="A5" s="45" t="s">
        <v>194</v>
      </c>
      <c r="B5" s="46">
        <v>1</v>
      </c>
      <c r="C5" s="21" t="s">
        <v>195</v>
      </c>
      <c r="D5" s="47" t="s">
        <v>321</v>
      </c>
      <c r="E5" s="60"/>
      <c r="F5" s="60"/>
      <c r="G5" s="60"/>
      <c r="H5" s="60"/>
      <c r="I5" s="60"/>
      <c r="J5" s="60"/>
      <c r="K5" s="60"/>
      <c r="L5" s="74"/>
      <c r="M5" s="60"/>
      <c r="N5" s="60"/>
      <c r="O5" s="60"/>
      <c r="P5" s="60"/>
      <c r="Q5" s="60"/>
      <c r="R5" s="60"/>
      <c r="S5" s="60"/>
      <c r="T5" s="74"/>
    </row>
    <row r="6" spans="1:20" x14ac:dyDescent="0.25">
      <c r="A6" s="45" t="s">
        <v>196</v>
      </c>
      <c r="B6" s="46">
        <v>1</v>
      </c>
      <c r="C6" s="21" t="s">
        <v>121</v>
      </c>
      <c r="D6" s="47" t="s">
        <v>322</v>
      </c>
      <c r="E6" s="60"/>
      <c r="F6" s="60"/>
      <c r="G6" s="60"/>
      <c r="H6" s="60"/>
      <c r="I6" s="60"/>
      <c r="J6" s="60"/>
      <c r="K6" s="60"/>
      <c r="L6" s="74"/>
      <c r="M6" s="60"/>
      <c r="N6" s="60"/>
      <c r="O6" s="60"/>
      <c r="P6" s="60"/>
      <c r="Q6" s="60"/>
      <c r="R6" s="60"/>
      <c r="S6" s="60"/>
      <c r="T6" s="74"/>
    </row>
    <row r="7" spans="1:20" x14ac:dyDescent="0.25">
      <c r="A7" s="38" t="s">
        <v>197</v>
      </c>
      <c r="B7" s="39"/>
      <c r="C7" s="40"/>
      <c r="D7" s="41"/>
      <c r="E7" s="72"/>
      <c r="F7" s="72"/>
      <c r="G7" s="72"/>
      <c r="H7" s="72"/>
      <c r="I7" s="72"/>
      <c r="J7" s="72"/>
      <c r="K7" s="72"/>
      <c r="L7" s="75"/>
      <c r="M7" s="72"/>
      <c r="N7" s="72"/>
      <c r="O7" s="72"/>
      <c r="P7" s="72"/>
      <c r="Q7" s="72"/>
      <c r="R7" s="72"/>
      <c r="S7" s="72"/>
      <c r="T7" s="75"/>
    </row>
    <row r="8" spans="1:20" ht="15" customHeight="1" x14ac:dyDescent="0.25">
      <c r="A8" s="45" t="s">
        <v>194</v>
      </c>
      <c r="B8" s="46">
        <v>1</v>
      </c>
      <c r="C8" s="21" t="s">
        <v>124</v>
      </c>
      <c r="D8" s="47" t="s">
        <v>323</v>
      </c>
      <c r="E8" s="60"/>
      <c r="F8" s="60"/>
      <c r="G8" s="60"/>
      <c r="H8" s="60"/>
      <c r="I8" s="60"/>
      <c r="J8" s="60"/>
      <c r="K8" s="60"/>
      <c r="L8" s="74"/>
      <c r="M8" s="60"/>
      <c r="N8" s="60"/>
      <c r="O8" s="60"/>
      <c r="P8" s="60"/>
      <c r="Q8" s="60"/>
      <c r="R8" s="60"/>
      <c r="S8" s="60"/>
      <c r="T8" s="74"/>
    </row>
    <row r="9" spans="1:20" ht="15" customHeight="1" x14ac:dyDescent="0.25">
      <c r="A9" s="45"/>
      <c r="B9" s="46">
        <v>2</v>
      </c>
      <c r="C9" s="21" t="s">
        <v>124</v>
      </c>
      <c r="D9" s="47" t="s">
        <v>324</v>
      </c>
      <c r="E9" s="60"/>
      <c r="F9" s="60"/>
      <c r="G9" s="60"/>
      <c r="H9" s="60"/>
      <c r="I9" s="60"/>
      <c r="J9" s="60"/>
      <c r="K9" s="60"/>
      <c r="L9" s="74"/>
      <c r="M9" s="60"/>
      <c r="N9" s="60"/>
      <c r="O9" s="60"/>
      <c r="P9" s="60"/>
      <c r="Q9" s="60"/>
      <c r="R9" s="60"/>
      <c r="S9" s="60"/>
      <c r="T9" s="74"/>
    </row>
    <row r="10" spans="1:20" ht="15" customHeight="1" x14ac:dyDescent="0.25">
      <c r="A10" s="45" t="s">
        <v>196</v>
      </c>
      <c r="B10" s="46">
        <v>1</v>
      </c>
      <c r="C10" s="21" t="s">
        <v>128</v>
      </c>
      <c r="D10" s="47" t="s">
        <v>325</v>
      </c>
      <c r="E10" s="60"/>
      <c r="F10" s="60"/>
      <c r="G10" s="60"/>
      <c r="H10" s="60"/>
      <c r="I10" s="60"/>
      <c r="J10" s="60"/>
      <c r="K10" s="60"/>
      <c r="L10" s="74"/>
      <c r="M10" s="60"/>
      <c r="N10" s="60"/>
      <c r="O10" s="60"/>
      <c r="P10" s="60"/>
      <c r="Q10" s="60"/>
      <c r="R10" s="60"/>
      <c r="S10" s="60"/>
      <c r="T10" s="74"/>
    </row>
    <row r="11" spans="1:20" ht="15" customHeight="1" x14ac:dyDescent="0.25">
      <c r="A11" s="45"/>
      <c r="B11" s="46">
        <v>2</v>
      </c>
      <c r="C11" s="21" t="s">
        <v>128</v>
      </c>
      <c r="D11" s="47" t="s">
        <v>326</v>
      </c>
      <c r="E11" s="60"/>
      <c r="F11" s="60"/>
      <c r="G11" s="60"/>
      <c r="H11" s="60"/>
      <c r="I11" s="60"/>
      <c r="J11" s="60"/>
      <c r="K11" s="60"/>
      <c r="L11" s="74"/>
      <c r="M11" s="60"/>
      <c r="N11" s="60"/>
      <c r="O11" s="60"/>
      <c r="P11" s="60"/>
      <c r="Q11" s="60"/>
      <c r="R11" s="60"/>
      <c r="S11" s="60"/>
      <c r="T11" s="74"/>
    </row>
    <row r="12" spans="1:20" ht="15" customHeight="1" x14ac:dyDescent="0.25">
      <c r="A12" s="45" t="s">
        <v>198</v>
      </c>
      <c r="B12" s="46">
        <v>1</v>
      </c>
      <c r="C12" s="21" t="s">
        <v>129</v>
      </c>
      <c r="D12" s="47" t="s">
        <v>327</v>
      </c>
      <c r="E12" s="60"/>
      <c r="F12" s="60"/>
      <c r="G12" s="60"/>
      <c r="H12" s="60"/>
      <c r="I12" s="60"/>
      <c r="J12" s="60"/>
      <c r="K12" s="60"/>
      <c r="L12" s="74"/>
      <c r="M12" s="60"/>
      <c r="N12" s="60"/>
      <c r="O12" s="60"/>
      <c r="P12" s="60"/>
      <c r="Q12" s="60"/>
      <c r="R12" s="60"/>
      <c r="S12" s="60"/>
      <c r="T12" s="74"/>
    </row>
    <row r="13" spans="1:20" ht="15" customHeight="1" x14ac:dyDescent="0.25">
      <c r="A13" s="45"/>
      <c r="B13" s="46">
        <v>2</v>
      </c>
      <c r="C13" s="21" t="s">
        <v>129</v>
      </c>
      <c r="D13" s="47" t="s">
        <v>328</v>
      </c>
      <c r="E13" s="60"/>
      <c r="F13" s="60"/>
      <c r="G13" s="60"/>
      <c r="H13" s="60"/>
      <c r="I13" s="60"/>
      <c r="J13" s="60"/>
      <c r="K13" s="60"/>
      <c r="L13" s="74"/>
      <c r="M13" s="60"/>
      <c r="N13" s="60"/>
      <c r="O13" s="60"/>
      <c r="P13" s="60"/>
      <c r="Q13" s="60"/>
      <c r="R13" s="60"/>
      <c r="S13" s="60"/>
      <c r="T13" s="74"/>
    </row>
    <row r="14" spans="1:20" ht="15" customHeight="1" x14ac:dyDescent="0.25">
      <c r="A14" s="45" t="s">
        <v>199</v>
      </c>
      <c r="B14" s="46">
        <v>1</v>
      </c>
      <c r="C14" s="21" t="s">
        <v>131</v>
      </c>
      <c r="D14" s="47" t="s">
        <v>329</v>
      </c>
      <c r="E14" s="60"/>
      <c r="F14" s="60"/>
      <c r="G14" s="60"/>
      <c r="H14" s="60"/>
      <c r="I14" s="60"/>
      <c r="J14" s="60"/>
      <c r="K14" s="60"/>
      <c r="L14" s="74"/>
      <c r="M14" s="60"/>
      <c r="N14" s="60"/>
      <c r="O14" s="60"/>
      <c r="P14" s="60"/>
      <c r="Q14" s="60"/>
      <c r="R14" s="60"/>
      <c r="S14" s="60"/>
      <c r="T14" s="74"/>
    </row>
    <row r="15" spans="1:20" ht="15" customHeight="1" x14ac:dyDescent="0.25">
      <c r="A15" s="45"/>
      <c r="B15" s="46">
        <v>2</v>
      </c>
      <c r="C15" s="21" t="s">
        <v>131</v>
      </c>
      <c r="D15" s="47" t="s">
        <v>330</v>
      </c>
      <c r="E15" s="60"/>
      <c r="F15" s="60"/>
      <c r="G15" s="60"/>
      <c r="H15" s="60"/>
      <c r="I15" s="60"/>
      <c r="J15" s="60"/>
      <c r="K15" s="60"/>
      <c r="L15" s="74"/>
      <c r="M15" s="60"/>
      <c r="N15" s="60"/>
      <c r="O15" s="60"/>
      <c r="P15" s="60"/>
      <c r="Q15" s="60"/>
      <c r="R15" s="60"/>
      <c r="S15" s="60"/>
      <c r="T15" s="74"/>
    </row>
    <row r="16" spans="1:20" ht="15" customHeight="1" x14ac:dyDescent="0.25">
      <c r="A16" s="45" t="s">
        <v>200</v>
      </c>
      <c r="B16" s="46">
        <v>1</v>
      </c>
      <c r="C16" s="21" t="s">
        <v>201</v>
      </c>
      <c r="D16" s="47" t="s">
        <v>331</v>
      </c>
      <c r="E16" s="60"/>
      <c r="F16" s="60"/>
      <c r="G16" s="60"/>
      <c r="H16" s="60"/>
      <c r="I16" s="60"/>
      <c r="J16" s="60"/>
      <c r="K16" s="60"/>
      <c r="L16" s="74"/>
      <c r="M16" s="60"/>
      <c r="N16" s="60"/>
      <c r="O16" s="60"/>
      <c r="P16" s="60"/>
      <c r="Q16" s="60"/>
      <c r="R16" s="60"/>
      <c r="S16" s="60"/>
      <c r="T16" s="74"/>
    </row>
    <row r="17" spans="1:20" ht="15" customHeight="1" x14ac:dyDescent="0.25">
      <c r="A17" s="45"/>
      <c r="B17" s="46">
        <v>2</v>
      </c>
      <c r="C17" s="21" t="s">
        <v>201</v>
      </c>
      <c r="D17" s="47" t="s">
        <v>332</v>
      </c>
      <c r="E17" s="60"/>
      <c r="F17" s="60"/>
      <c r="G17" s="60"/>
      <c r="H17" s="60"/>
      <c r="I17" s="60"/>
      <c r="J17" s="60"/>
      <c r="K17" s="60"/>
      <c r="L17" s="74"/>
      <c r="M17" s="60"/>
      <c r="N17" s="60"/>
      <c r="O17" s="60"/>
      <c r="P17" s="60"/>
      <c r="Q17" s="60"/>
      <c r="R17" s="60"/>
      <c r="S17" s="60"/>
      <c r="T17" s="74"/>
    </row>
    <row r="18" spans="1:20" ht="15" customHeight="1" x14ac:dyDescent="0.25">
      <c r="A18" s="45" t="s">
        <v>202</v>
      </c>
      <c r="B18" s="46">
        <v>1</v>
      </c>
      <c r="C18" s="21" t="s">
        <v>203</v>
      </c>
      <c r="D18" s="47" t="s">
        <v>333</v>
      </c>
      <c r="E18" s="60"/>
      <c r="F18" s="60"/>
      <c r="G18" s="60"/>
      <c r="H18" s="60"/>
      <c r="I18" s="60"/>
      <c r="J18" s="60"/>
      <c r="K18" s="60"/>
      <c r="L18" s="74"/>
      <c r="M18" s="60"/>
      <c r="N18" s="60"/>
      <c r="O18" s="60"/>
      <c r="P18" s="60"/>
      <c r="Q18" s="60"/>
      <c r="R18" s="60"/>
      <c r="S18" s="60"/>
      <c r="T18" s="74"/>
    </row>
    <row r="19" spans="1:20" ht="15" customHeight="1" x14ac:dyDescent="0.25">
      <c r="A19" s="45"/>
      <c r="B19" s="46">
        <v>2</v>
      </c>
      <c r="C19" s="21" t="s">
        <v>203</v>
      </c>
      <c r="D19" s="47" t="s">
        <v>334</v>
      </c>
      <c r="E19" s="60"/>
      <c r="F19" s="60"/>
      <c r="G19" s="60"/>
      <c r="H19" s="60"/>
      <c r="I19" s="60"/>
      <c r="J19" s="60"/>
      <c r="K19" s="60"/>
      <c r="L19" s="74"/>
      <c r="M19" s="60"/>
      <c r="N19" s="60"/>
      <c r="O19" s="60"/>
      <c r="P19" s="60"/>
      <c r="Q19" s="60"/>
      <c r="R19" s="60"/>
      <c r="S19" s="60"/>
      <c r="T19" s="74"/>
    </row>
    <row r="20" spans="1:20" x14ac:dyDescent="0.25">
      <c r="A20" s="38" t="s">
        <v>204</v>
      </c>
      <c r="B20" s="39"/>
      <c r="C20" s="40"/>
      <c r="D20" s="41"/>
      <c r="E20" s="72"/>
      <c r="F20" s="72"/>
      <c r="G20" s="72"/>
      <c r="H20" s="72"/>
      <c r="I20" s="72"/>
      <c r="J20" s="72"/>
      <c r="K20" s="72"/>
      <c r="L20" s="75"/>
      <c r="M20" s="72"/>
      <c r="N20" s="72"/>
      <c r="O20" s="72"/>
      <c r="P20" s="72"/>
      <c r="Q20" s="72"/>
      <c r="R20" s="72"/>
      <c r="S20" s="72"/>
      <c r="T20" s="75"/>
    </row>
    <row r="21" spans="1:20" ht="15" customHeight="1" x14ac:dyDescent="0.25">
      <c r="A21" s="45" t="s">
        <v>194</v>
      </c>
      <c r="B21" s="46">
        <v>1</v>
      </c>
      <c r="C21" s="21" t="s">
        <v>126</v>
      </c>
      <c r="D21" s="47" t="s">
        <v>335</v>
      </c>
      <c r="E21" s="60"/>
      <c r="F21" s="60"/>
      <c r="G21" s="60"/>
      <c r="H21" s="60"/>
      <c r="I21" s="60"/>
      <c r="J21" s="60"/>
      <c r="K21" s="60"/>
      <c r="L21" s="74"/>
      <c r="M21" s="60"/>
      <c r="N21" s="60"/>
      <c r="O21" s="60"/>
      <c r="P21" s="60"/>
      <c r="Q21" s="60"/>
      <c r="R21" s="60"/>
      <c r="S21" s="60"/>
      <c r="T21" s="74"/>
    </row>
    <row r="22" spans="1:20" ht="15" customHeight="1" x14ac:dyDescent="0.25">
      <c r="A22" s="45"/>
      <c r="B22" s="46">
        <v>2</v>
      </c>
      <c r="C22" s="21" t="s">
        <v>126</v>
      </c>
      <c r="D22" s="47" t="s">
        <v>336</v>
      </c>
      <c r="E22" s="60"/>
      <c r="F22" s="60"/>
      <c r="G22" s="60"/>
      <c r="H22" s="60"/>
      <c r="I22" s="60"/>
      <c r="J22" s="60"/>
      <c r="K22" s="60"/>
      <c r="L22" s="74"/>
      <c r="M22" s="60"/>
      <c r="N22" s="60"/>
      <c r="O22" s="60"/>
      <c r="P22" s="60"/>
      <c r="Q22" s="60"/>
      <c r="R22" s="60"/>
      <c r="S22" s="60"/>
      <c r="T22" s="74"/>
    </row>
    <row r="23" spans="1:20" ht="15" customHeight="1" x14ac:dyDescent="0.25">
      <c r="A23" s="45" t="s">
        <v>196</v>
      </c>
      <c r="B23" s="46">
        <v>1</v>
      </c>
      <c r="C23" s="21" t="s">
        <v>127</v>
      </c>
      <c r="D23" s="47" t="s">
        <v>337</v>
      </c>
      <c r="E23" s="60"/>
      <c r="F23" s="60"/>
      <c r="G23" s="60"/>
      <c r="H23" s="60"/>
      <c r="I23" s="60"/>
      <c r="J23" s="60"/>
      <c r="K23" s="60"/>
      <c r="L23" s="74"/>
      <c r="M23" s="60"/>
      <c r="N23" s="60"/>
      <c r="O23" s="60"/>
      <c r="P23" s="60"/>
      <c r="Q23" s="60"/>
      <c r="R23" s="60"/>
      <c r="S23" s="60"/>
      <c r="T23" s="74"/>
    </row>
    <row r="24" spans="1:20" ht="15" customHeight="1" x14ac:dyDescent="0.25">
      <c r="A24" s="45"/>
      <c r="B24" s="46">
        <v>2</v>
      </c>
      <c r="C24" s="21" t="s">
        <v>127</v>
      </c>
      <c r="D24" s="47" t="s">
        <v>338</v>
      </c>
      <c r="E24" s="60"/>
      <c r="F24" s="60"/>
      <c r="G24" s="60"/>
      <c r="H24" s="60"/>
      <c r="I24" s="60"/>
      <c r="J24" s="60"/>
      <c r="K24" s="60"/>
      <c r="L24" s="74"/>
      <c r="M24" s="60"/>
      <c r="N24" s="60"/>
      <c r="O24" s="60"/>
      <c r="P24" s="60"/>
      <c r="Q24" s="60"/>
      <c r="R24" s="60"/>
      <c r="S24" s="60"/>
      <c r="T24" s="74"/>
    </row>
    <row r="25" spans="1:20" x14ac:dyDescent="0.25">
      <c r="A25" s="38" t="s">
        <v>205</v>
      </c>
      <c r="B25" s="39"/>
      <c r="C25" s="40"/>
      <c r="D25" s="41"/>
      <c r="E25" s="72"/>
      <c r="F25" s="72"/>
      <c r="G25" s="72"/>
      <c r="H25" s="72"/>
      <c r="I25" s="72"/>
      <c r="J25" s="72"/>
      <c r="K25" s="72"/>
      <c r="L25" s="75"/>
      <c r="M25" s="72"/>
      <c r="N25" s="72"/>
      <c r="O25" s="72"/>
      <c r="P25" s="72"/>
      <c r="Q25" s="72"/>
      <c r="R25" s="72"/>
      <c r="S25" s="72"/>
      <c r="T25" s="75"/>
    </row>
    <row r="26" spans="1:20" ht="15" customHeight="1" x14ac:dyDescent="0.25">
      <c r="A26" s="45" t="s">
        <v>206</v>
      </c>
      <c r="B26" s="46">
        <v>1</v>
      </c>
      <c r="C26" s="21" t="s">
        <v>207</v>
      </c>
      <c r="D26" s="47" t="s">
        <v>339</v>
      </c>
      <c r="E26" s="60"/>
      <c r="F26" s="60"/>
      <c r="G26" s="60"/>
      <c r="H26" s="60"/>
      <c r="I26" s="60"/>
      <c r="J26" s="60"/>
      <c r="K26" s="60"/>
      <c r="L26" s="74"/>
      <c r="M26" s="60"/>
      <c r="N26" s="60"/>
      <c r="O26" s="60"/>
      <c r="P26" s="60"/>
      <c r="Q26" s="60"/>
      <c r="R26" s="60"/>
      <c r="S26" s="60"/>
      <c r="T26" s="74"/>
    </row>
    <row r="27" spans="1:20" ht="15" customHeight="1" x14ac:dyDescent="0.25">
      <c r="A27" s="45"/>
      <c r="B27" s="46">
        <v>2</v>
      </c>
      <c r="C27" s="21" t="s">
        <v>207</v>
      </c>
      <c r="D27" s="47" t="s">
        <v>340</v>
      </c>
      <c r="E27" s="60"/>
      <c r="F27" s="60"/>
      <c r="G27" s="60"/>
      <c r="H27" s="60"/>
      <c r="I27" s="60"/>
      <c r="J27" s="60"/>
      <c r="K27" s="60"/>
      <c r="L27" s="74"/>
      <c r="M27" s="60"/>
      <c r="N27" s="60"/>
      <c r="O27" s="60"/>
      <c r="P27" s="60"/>
      <c r="Q27" s="60"/>
      <c r="R27" s="60"/>
      <c r="S27" s="60"/>
      <c r="T27" s="74"/>
    </row>
    <row r="28" spans="1:20" ht="15" customHeight="1" x14ac:dyDescent="0.25">
      <c r="A28" s="45" t="s">
        <v>208</v>
      </c>
      <c r="B28" s="46">
        <v>1</v>
      </c>
      <c r="C28" s="21" t="s">
        <v>122</v>
      </c>
      <c r="D28" s="47" t="s">
        <v>341</v>
      </c>
      <c r="E28" s="60"/>
      <c r="F28" s="60"/>
      <c r="G28" s="60"/>
      <c r="H28" s="60"/>
      <c r="I28" s="60"/>
      <c r="J28" s="60"/>
      <c r="K28" s="60"/>
      <c r="L28" s="74"/>
      <c r="M28" s="60"/>
      <c r="N28" s="60"/>
      <c r="O28" s="60"/>
      <c r="P28" s="60"/>
      <c r="Q28" s="60"/>
      <c r="R28" s="60"/>
      <c r="S28" s="60"/>
      <c r="T28" s="74"/>
    </row>
    <row r="29" spans="1:20" ht="15" customHeight="1" x14ac:dyDescent="0.25">
      <c r="A29" s="45"/>
      <c r="B29" s="46">
        <v>2</v>
      </c>
      <c r="C29" s="21" t="s">
        <v>122</v>
      </c>
      <c r="D29" s="47" t="s">
        <v>342</v>
      </c>
      <c r="E29" s="60"/>
      <c r="F29" s="60"/>
      <c r="G29" s="60"/>
      <c r="H29" s="60"/>
      <c r="I29" s="60"/>
      <c r="J29" s="60"/>
      <c r="K29" s="60"/>
      <c r="L29" s="74"/>
      <c r="M29" s="60"/>
      <c r="N29" s="60"/>
      <c r="O29" s="60"/>
      <c r="P29" s="60"/>
      <c r="Q29" s="60"/>
      <c r="R29" s="60"/>
      <c r="S29" s="60"/>
      <c r="T29" s="74"/>
    </row>
    <row r="30" spans="1:20" x14ac:dyDescent="0.25">
      <c r="A30" s="38" t="s">
        <v>209</v>
      </c>
      <c r="B30" s="39"/>
      <c r="C30" s="40"/>
      <c r="D30" s="41"/>
      <c r="E30" s="72"/>
      <c r="F30" s="72"/>
      <c r="G30" s="72"/>
      <c r="H30" s="72"/>
      <c r="I30" s="72"/>
      <c r="J30" s="72"/>
      <c r="K30" s="72"/>
      <c r="L30" s="75"/>
      <c r="M30" s="72"/>
      <c r="N30" s="72"/>
      <c r="O30" s="72"/>
      <c r="P30" s="72"/>
      <c r="Q30" s="72"/>
      <c r="R30" s="72"/>
      <c r="S30" s="72"/>
      <c r="T30" s="75"/>
    </row>
    <row r="31" spans="1:20" ht="15" customHeight="1" x14ac:dyDescent="0.25">
      <c r="A31" s="45" t="s">
        <v>209</v>
      </c>
      <c r="B31" s="46">
        <v>1</v>
      </c>
      <c r="C31" s="21" t="s">
        <v>210</v>
      </c>
      <c r="D31" s="47" t="s">
        <v>343</v>
      </c>
      <c r="E31" s="60"/>
      <c r="F31" s="60"/>
      <c r="G31" s="60"/>
      <c r="H31" s="60"/>
      <c r="I31" s="60"/>
      <c r="J31" s="60"/>
      <c r="K31" s="60"/>
      <c r="L31" s="74"/>
      <c r="M31" s="60"/>
      <c r="N31" s="60"/>
      <c r="O31" s="60"/>
      <c r="P31" s="60"/>
      <c r="Q31" s="60"/>
      <c r="R31" s="60"/>
      <c r="S31" s="60"/>
      <c r="T31" s="74"/>
    </row>
    <row r="32" spans="1:20" ht="15" customHeight="1" x14ac:dyDescent="0.25">
      <c r="A32" s="45"/>
      <c r="B32" s="46">
        <v>2</v>
      </c>
      <c r="C32" s="21" t="s">
        <v>210</v>
      </c>
      <c r="D32" s="47" t="s">
        <v>344</v>
      </c>
      <c r="E32" s="60"/>
      <c r="F32" s="60"/>
      <c r="G32" s="60"/>
      <c r="H32" s="60"/>
      <c r="I32" s="60"/>
      <c r="J32" s="60"/>
      <c r="K32" s="60"/>
      <c r="L32" s="74"/>
      <c r="M32" s="60"/>
      <c r="N32" s="60"/>
      <c r="O32" s="60"/>
      <c r="P32" s="60"/>
      <c r="Q32" s="60"/>
      <c r="R32" s="60"/>
      <c r="S32" s="60"/>
      <c r="T32" s="74"/>
    </row>
    <row r="33" spans="1:20" ht="15" customHeight="1" x14ac:dyDescent="0.25">
      <c r="A33" s="45" t="s">
        <v>211</v>
      </c>
      <c r="B33" s="46">
        <v>1</v>
      </c>
      <c r="C33" s="21" t="s">
        <v>133</v>
      </c>
      <c r="D33" s="47" t="s">
        <v>345</v>
      </c>
      <c r="E33" s="60"/>
      <c r="F33" s="60"/>
      <c r="G33" s="60"/>
      <c r="H33" s="60"/>
      <c r="I33" s="60"/>
      <c r="J33" s="60"/>
      <c r="K33" s="60"/>
      <c r="L33" s="74"/>
      <c r="M33" s="60"/>
      <c r="N33" s="60"/>
      <c r="O33" s="60"/>
      <c r="P33" s="60"/>
      <c r="Q33" s="60"/>
      <c r="R33" s="60"/>
      <c r="S33" s="60"/>
      <c r="T33" s="74"/>
    </row>
    <row r="34" spans="1:20" ht="15" customHeight="1" x14ac:dyDescent="0.25">
      <c r="A34" s="45"/>
      <c r="B34" s="46">
        <v>2</v>
      </c>
      <c r="C34" s="21" t="s">
        <v>133</v>
      </c>
      <c r="D34" s="47" t="s">
        <v>346</v>
      </c>
      <c r="E34" s="60"/>
      <c r="F34" s="60"/>
      <c r="G34" s="60"/>
      <c r="H34" s="60"/>
      <c r="I34" s="60"/>
      <c r="J34" s="60"/>
      <c r="K34" s="60"/>
      <c r="L34" s="74"/>
      <c r="M34" s="60"/>
      <c r="N34" s="60"/>
      <c r="O34" s="60"/>
      <c r="P34" s="60"/>
      <c r="Q34" s="60"/>
      <c r="R34" s="60"/>
      <c r="S34" s="60"/>
      <c r="T34" s="74"/>
    </row>
    <row r="35" spans="1:20" x14ac:dyDescent="0.25">
      <c r="A35" s="38" t="s">
        <v>212</v>
      </c>
      <c r="B35" s="39"/>
      <c r="C35" s="40"/>
      <c r="D35" s="41"/>
      <c r="E35" s="72"/>
      <c r="F35" s="72"/>
      <c r="G35" s="72"/>
      <c r="H35" s="72"/>
      <c r="I35" s="72"/>
      <c r="J35" s="72"/>
      <c r="K35" s="72"/>
      <c r="L35" s="75"/>
      <c r="M35" s="72"/>
      <c r="N35" s="72"/>
      <c r="O35" s="72"/>
      <c r="P35" s="72"/>
      <c r="Q35" s="72"/>
      <c r="R35" s="72"/>
      <c r="S35" s="72"/>
      <c r="T35" s="75"/>
    </row>
    <row r="36" spans="1:20" ht="15" customHeight="1" x14ac:dyDescent="0.25">
      <c r="A36" s="45" t="s">
        <v>212</v>
      </c>
      <c r="B36" s="46">
        <v>1</v>
      </c>
      <c r="C36" s="21" t="s">
        <v>130</v>
      </c>
      <c r="D36" s="47" t="s">
        <v>347</v>
      </c>
      <c r="E36" s="60"/>
      <c r="F36" s="60"/>
      <c r="G36" s="60"/>
      <c r="H36" s="60"/>
      <c r="I36" s="60"/>
      <c r="J36" s="60"/>
      <c r="K36" s="60"/>
      <c r="L36" s="74"/>
      <c r="M36" s="60"/>
      <c r="N36" s="60"/>
      <c r="O36" s="60"/>
      <c r="P36" s="60"/>
      <c r="Q36" s="60"/>
      <c r="R36" s="60"/>
      <c r="S36" s="60"/>
      <c r="T36" s="74"/>
    </row>
    <row r="37" spans="1:20" x14ac:dyDescent="0.25">
      <c r="A37" s="38" t="s">
        <v>213</v>
      </c>
      <c r="B37" s="39"/>
      <c r="C37" s="40"/>
      <c r="D37" s="41"/>
      <c r="E37" s="72"/>
      <c r="F37" s="72"/>
      <c r="G37" s="72"/>
      <c r="H37" s="72"/>
      <c r="I37" s="72"/>
      <c r="J37" s="72"/>
      <c r="K37" s="72"/>
      <c r="L37" s="75"/>
      <c r="M37" s="72"/>
      <c r="N37" s="72"/>
      <c r="O37" s="72"/>
      <c r="P37" s="72"/>
      <c r="Q37" s="72"/>
      <c r="R37" s="72"/>
      <c r="S37" s="72"/>
      <c r="T37" s="75"/>
    </row>
    <row r="38" spans="1:20" ht="15" customHeight="1" x14ac:dyDescent="0.25">
      <c r="A38" s="45" t="s">
        <v>214</v>
      </c>
      <c r="B38" s="46">
        <v>1</v>
      </c>
      <c r="C38" s="21" t="s">
        <v>215</v>
      </c>
      <c r="D38" s="47" t="s">
        <v>348</v>
      </c>
      <c r="E38" s="60"/>
      <c r="F38" s="60"/>
      <c r="G38" s="60"/>
      <c r="H38" s="60"/>
      <c r="I38" s="60"/>
      <c r="J38" s="60"/>
      <c r="K38" s="60"/>
      <c r="L38" s="74"/>
      <c r="M38" s="60"/>
      <c r="N38" s="60"/>
      <c r="O38" s="60"/>
      <c r="P38" s="60"/>
      <c r="Q38" s="60"/>
      <c r="R38" s="60"/>
      <c r="S38" s="60"/>
      <c r="T38" s="74"/>
    </row>
    <row r="39" spans="1:20" x14ac:dyDescent="0.25">
      <c r="A39" s="38" t="s">
        <v>216</v>
      </c>
      <c r="B39" s="39"/>
      <c r="C39" s="40"/>
      <c r="D39" s="41"/>
      <c r="E39" s="72"/>
      <c r="F39" s="72"/>
      <c r="G39" s="72"/>
      <c r="H39" s="72"/>
      <c r="I39" s="72"/>
      <c r="J39" s="72"/>
      <c r="K39" s="72"/>
      <c r="L39" s="75"/>
      <c r="M39" s="72"/>
      <c r="N39" s="72"/>
      <c r="O39" s="72"/>
      <c r="P39" s="72"/>
      <c r="Q39" s="72"/>
      <c r="R39" s="72"/>
      <c r="S39" s="72"/>
      <c r="T39" s="75"/>
    </row>
    <row r="40" spans="1:20" ht="15" customHeight="1" x14ac:dyDescent="0.25">
      <c r="A40" s="45" t="s">
        <v>216</v>
      </c>
      <c r="B40" s="46">
        <v>1</v>
      </c>
      <c r="C40" s="21"/>
      <c r="D40" s="47" t="s">
        <v>123</v>
      </c>
      <c r="E40" s="60"/>
      <c r="F40" s="60"/>
      <c r="G40" s="60"/>
      <c r="H40" s="60"/>
      <c r="I40" s="60"/>
      <c r="J40" s="60"/>
      <c r="K40" s="60"/>
      <c r="L40" s="74"/>
      <c r="M40" s="60"/>
      <c r="N40" s="60"/>
      <c r="O40" s="60"/>
      <c r="P40" s="60"/>
      <c r="Q40" s="60"/>
      <c r="R40" s="60"/>
      <c r="S40" s="60"/>
      <c r="T40" s="74"/>
    </row>
    <row r="41" spans="1:20" ht="15" customHeight="1" x14ac:dyDescent="0.25">
      <c r="A41" s="45"/>
      <c r="B41" s="46">
        <v>2</v>
      </c>
      <c r="C41" s="21"/>
      <c r="D41" s="47" t="s">
        <v>125</v>
      </c>
      <c r="E41" s="60"/>
      <c r="F41" s="60"/>
      <c r="G41" s="60"/>
      <c r="H41" s="60"/>
      <c r="I41" s="60"/>
      <c r="J41" s="60"/>
      <c r="K41" s="60"/>
      <c r="L41" s="74"/>
      <c r="M41" s="60"/>
      <c r="N41" s="60"/>
      <c r="O41" s="60"/>
      <c r="P41" s="60"/>
      <c r="Q41" s="60"/>
      <c r="R41" s="60"/>
      <c r="S41" s="60"/>
      <c r="T41" s="74"/>
    </row>
    <row r="42" spans="1:20" ht="15" customHeight="1" x14ac:dyDescent="0.25">
      <c r="A42" s="136" t="s">
        <v>217</v>
      </c>
      <c r="B42" s="137"/>
      <c r="C42" s="52"/>
      <c r="D42" s="53"/>
      <c r="E42" s="76"/>
      <c r="F42" s="76"/>
      <c r="G42" s="76"/>
      <c r="H42" s="76"/>
      <c r="I42" s="76"/>
      <c r="J42" s="76"/>
      <c r="K42" s="76"/>
      <c r="L42" s="77"/>
      <c r="M42" s="76"/>
      <c r="N42" s="76"/>
      <c r="O42" s="76"/>
      <c r="P42" s="76"/>
      <c r="Q42" s="76"/>
      <c r="R42" s="76"/>
      <c r="S42" s="76"/>
      <c r="T42" s="77"/>
    </row>
    <row r="43" spans="1:20" x14ac:dyDescent="0.25">
      <c r="A43" s="38" t="s">
        <v>218</v>
      </c>
      <c r="B43" s="39"/>
      <c r="C43" s="40"/>
      <c r="D43" s="41"/>
      <c r="E43" s="72"/>
      <c r="F43" s="72"/>
      <c r="G43" s="72"/>
      <c r="H43" s="72"/>
      <c r="I43" s="72"/>
      <c r="J43" s="72"/>
      <c r="K43" s="72"/>
      <c r="L43" s="75"/>
      <c r="M43" s="72"/>
      <c r="N43" s="72"/>
      <c r="O43" s="72"/>
      <c r="P43" s="72"/>
      <c r="Q43" s="72"/>
      <c r="R43" s="72"/>
      <c r="S43" s="72"/>
      <c r="T43" s="75"/>
    </row>
    <row r="44" spans="1:20" ht="15" customHeight="1" x14ac:dyDescent="0.25">
      <c r="A44" s="45" t="s">
        <v>218</v>
      </c>
      <c r="B44" s="46">
        <v>1</v>
      </c>
      <c r="C44" s="21" t="s">
        <v>219</v>
      </c>
      <c r="D44" s="47" t="s">
        <v>349</v>
      </c>
      <c r="E44" s="60"/>
      <c r="F44" s="60"/>
      <c r="G44" s="60"/>
      <c r="H44" s="60"/>
      <c r="I44" s="60"/>
      <c r="J44" s="60"/>
      <c r="K44" s="60"/>
      <c r="L44" s="74"/>
      <c r="M44" s="60"/>
      <c r="N44" s="60"/>
      <c r="O44" s="60"/>
      <c r="P44" s="60"/>
      <c r="Q44" s="60"/>
      <c r="R44" s="60"/>
      <c r="S44" s="60"/>
      <c r="T44" s="74"/>
    </row>
    <row r="45" spans="1:20" x14ac:dyDescent="0.25">
      <c r="A45" s="38" t="s">
        <v>220</v>
      </c>
      <c r="B45" s="39"/>
      <c r="C45" s="40"/>
      <c r="D45" s="41"/>
      <c r="E45" s="72"/>
      <c r="F45" s="72"/>
      <c r="G45" s="72"/>
      <c r="H45" s="72"/>
      <c r="I45" s="72"/>
      <c r="J45" s="72"/>
      <c r="K45" s="72"/>
      <c r="L45" s="75"/>
      <c r="M45" s="72"/>
      <c r="N45" s="72"/>
      <c r="O45" s="72"/>
      <c r="P45" s="72"/>
      <c r="Q45" s="72"/>
      <c r="R45" s="72"/>
      <c r="S45" s="72"/>
      <c r="T45" s="75"/>
    </row>
    <row r="46" spans="1:20" ht="15" customHeight="1" x14ac:dyDescent="0.25">
      <c r="A46" s="45" t="s">
        <v>183</v>
      </c>
      <c r="B46" s="46">
        <v>1</v>
      </c>
      <c r="C46" s="21" t="s">
        <v>182</v>
      </c>
      <c r="D46" s="47" t="s">
        <v>350</v>
      </c>
      <c r="E46" s="60"/>
      <c r="F46" s="60"/>
      <c r="G46" s="60"/>
      <c r="H46" s="60"/>
      <c r="I46" s="60"/>
      <c r="J46" s="60"/>
      <c r="K46" s="60"/>
      <c r="L46" s="74"/>
      <c r="M46" s="60"/>
      <c r="N46" s="60"/>
      <c r="O46" s="60"/>
      <c r="P46" s="60"/>
      <c r="Q46" s="60"/>
      <c r="R46" s="60"/>
      <c r="S46" s="60"/>
      <c r="T46" s="74"/>
    </row>
    <row r="47" spans="1:20" ht="15" customHeight="1" x14ac:dyDescent="0.25">
      <c r="A47" s="45" t="s">
        <v>221</v>
      </c>
      <c r="B47" s="46">
        <v>1</v>
      </c>
      <c r="C47" s="21" t="s">
        <v>134</v>
      </c>
      <c r="D47" s="47" t="s">
        <v>351</v>
      </c>
      <c r="E47" s="60"/>
      <c r="F47" s="60"/>
      <c r="G47" s="60"/>
      <c r="H47" s="60"/>
      <c r="I47" s="60"/>
      <c r="J47" s="60"/>
      <c r="K47" s="60"/>
      <c r="L47" s="74"/>
      <c r="M47" s="60"/>
      <c r="N47" s="60"/>
      <c r="O47" s="60"/>
      <c r="P47" s="60"/>
      <c r="Q47" s="60"/>
      <c r="R47" s="60"/>
      <c r="S47" s="60"/>
      <c r="T47" s="74"/>
    </row>
    <row r="48" spans="1:20" ht="15" customHeight="1" x14ac:dyDescent="0.25">
      <c r="A48" s="45" t="s">
        <v>222</v>
      </c>
      <c r="B48" s="46">
        <v>1</v>
      </c>
      <c r="C48" s="21" t="s">
        <v>135</v>
      </c>
      <c r="D48" s="47" t="s">
        <v>352</v>
      </c>
      <c r="E48" s="60"/>
      <c r="F48" s="60"/>
      <c r="G48" s="60"/>
      <c r="H48" s="60"/>
      <c r="I48" s="60"/>
      <c r="J48" s="60"/>
      <c r="K48" s="60"/>
      <c r="L48" s="74"/>
      <c r="M48" s="60"/>
      <c r="N48" s="60"/>
      <c r="O48" s="60"/>
      <c r="P48" s="60"/>
      <c r="Q48" s="60"/>
      <c r="R48" s="60"/>
      <c r="S48" s="60"/>
      <c r="T48" s="74"/>
    </row>
    <row r="49" spans="1:20" ht="15" customHeight="1" x14ac:dyDescent="0.25">
      <c r="A49" s="45" t="s">
        <v>223</v>
      </c>
      <c r="B49" s="46">
        <v>1</v>
      </c>
      <c r="C49" s="21" t="s">
        <v>136</v>
      </c>
      <c r="D49" s="47" t="s">
        <v>353</v>
      </c>
      <c r="E49" s="60"/>
      <c r="F49" s="60"/>
      <c r="G49" s="60"/>
      <c r="H49" s="60"/>
      <c r="I49" s="60"/>
      <c r="J49" s="60"/>
      <c r="K49" s="60"/>
      <c r="L49" s="74"/>
      <c r="M49" s="60"/>
      <c r="N49" s="60"/>
      <c r="O49" s="60"/>
      <c r="P49" s="60"/>
      <c r="Q49" s="60"/>
      <c r="R49" s="60"/>
      <c r="S49" s="60"/>
      <c r="T49" s="74"/>
    </row>
    <row r="50" spans="1:20" ht="15" customHeight="1" x14ac:dyDescent="0.25">
      <c r="A50" s="136" t="s">
        <v>224</v>
      </c>
      <c r="B50" s="137"/>
      <c r="C50" s="52"/>
      <c r="D50" s="53"/>
      <c r="E50" s="76"/>
      <c r="F50" s="76"/>
      <c r="G50" s="76"/>
      <c r="H50" s="76"/>
      <c r="I50" s="76"/>
      <c r="J50" s="76"/>
      <c r="K50" s="76"/>
      <c r="L50" s="77"/>
      <c r="M50" s="76"/>
      <c r="N50" s="76"/>
      <c r="O50" s="76"/>
      <c r="P50" s="76"/>
      <c r="Q50" s="76"/>
      <c r="R50" s="76"/>
      <c r="S50" s="76"/>
      <c r="T50" s="77"/>
    </row>
    <row r="51" spans="1:20" x14ac:dyDescent="0.25">
      <c r="A51" s="38" t="s">
        <v>225</v>
      </c>
      <c r="B51" s="39"/>
      <c r="C51" s="40"/>
      <c r="D51" s="41"/>
      <c r="E51" s="72"/>
      <c r="F51" s="72"/>
      <c r="G51" s="72"/>
      <c r="H51" s="72"/>
      <c r="I51" s="72"/>
      <c r="J51" s="72"/>
      <c r="K51" s="72"/>
      <c r="L51" s="75"/>
      <c r="M51" s="72"/>
      <c r="N51" s="72"/>
      <c r="O51" s="72"/>
      <c r="P51" s="72"/>
      <c r="Q51" s="72"/>
      <c r="R51" s="72"/>
      <c r="S51" s="72"/>
      <c r="T51" s="75"/>
    </row>
    <row r="52" spans="1:20" ht="15" customHeight="1" x14ac:dyDescent="0.25">
      <c r="A52" s="45" t="s">
        <v>226</v>
      </c>
      <c r="B52" s="46">
        <v>1</v>
      </c>
      <c r="C52" s="21" t="s">
        <v>148</v>
      </c>
      <c r="D52" s="47" t="s">
        <v>354</v>
      </c>
      <c r="E52" s="60"/>
      <c r="F52" s="60"/>
      <c r="G52" s="60"/>
      <c r="H52" s="60"/>
      <c r="I52" s="60"/>
      <c r="J52" s="60"/>
      <c r="K52" s="60"/>
      <c r="L52" s="74"/>
      <c r="M52" s="60"/>
      <c r="N52" s="60"/>
      <c r="O52" s="60"/>
      <c r="P52" s="60"/>
      <c r="Q52" s="60"/>
      <c r="R52" s="60"/>
      <c r="S52" s="60"/>
      <c r="T52" s="74"/>
    </row>
    <row r="53" spans="1:20" ht="15" customHeight="1" x14ac:dyDescent="0.25">
      <c r="A53" s="45"/>
      <c r="B53" s="46">
        <v>2</v>
      </c>
      <c r="C53" s="21" t="s">
        <v>148</v>
      </c>
      <c r="D53" s="47" t="s">
        <v>355</v>
      </c>
      <c r="E53" s="60"/>
      <c r="F53" s="60"/>
      <c r="G53" s="60"/>
      <c r="H53" s="60"/>
      <c r="I53" s="60"/>
      <c r="J53" s="60"/>
      <c r="K53" s="60"/>
      <c r="L53" s="74"/>
      <c r="M53" s="60"/>
      <c r="N53" s="60"/>
      <c r="O53" s="60"/>
      <c r="P53" s="60"/>
      <c r="Q53" s="60"/>
      <c r="R53" s="60"/>
      <c r="S53" s="60"/>
      <c r="T53" s="74"/>
    </row>
    <row r="54" spans="1:20" x14ac:dyDescent="0.25">
      <c r="A54" s="38" t="s">
        <v>227</v>
      </c>
      <c r="B54" s="39"/>
      <c r="C54" s="40"/>
      <c r="D54" s="41"/>
      <c r="E54" s="72"/>
      <c r="F54" s="72"/>
      <c r="G54" s="72"/>
      <c r="H54" s="72"/>
      <c r="I54" s="72"/>
      <c r="J54" s="72"/>
      <c r="K54" s="72"/>
      <c r="L54" s="75"/>
      <c r="M54" s="72"/>
      <c r="N54" s="72"/>
      <c r="O54" s="72"/>
      <c r="P54" s="72"/>
      <c r="Q54" s="72"/>
      <c r="R54" s="72"/>
      <c r="S54" s="72"/>
      <c r="T54" s="75"/>
    </row>
    <row r="55" spans="1:20" ht="15" customHeight="1" x14ac:dyDescent="0.25">
      <c r="A55" s="45" t="s">
        <v>227</v>
      </c>
      <c r="B55" s="46">
        <v>1</v>
      </c>
      <c r="C55" s="21" t="s">
        <v>147</v>
      </c>
      <c r="D55" s="47" t="s">
        <v>356</v>
      </c>
      <c r="E55" s="60"/>
      <c r="F55" s="60"/>
      <c r="G55" s="60"/>
      <c r="H55" s="60"/>
      <c r="I55" s="60"/>
      <c r="J55" s="60"/>
      <c r="K55" s="60"/>
      <c r="L55" s="74"/>
      <c r="M55" s="60"/>
      <c r="N55" s="60"/>
      <c r="O55" s="60"/>
      <c r="P55" s="60"/>
      <c r="Q55" s="60"/>
      <c r="R55" s="60"/>
      <c r="S55" s="60"/>
      <c r="T55" s="74"/>
    </row>
    <row r="56" spans="1:20" ht="15" customHeight="1" x14ac:dyDescent="0.25">
      <c r="A56" s="45"/>
      <c r="B56" s="46">
        <v>2</v>
      </c>
      <c r="C56" s="21" t="s">
        <v>147</v>
      </c>
      <c r="D56" s="47" t="s">
        <v>357</v>
      </c>
      <c r="E56" s="60"/>
      <c r="F56" s="60"/>
      <c r="G56" s="60"/>
      <c r="H56" s="60"/>
      <c r="I56" s="60"/>
      <c r="J56" s="60"/>
      <c r="K56" s="60"/>
      <c r="L56" s="74"/>
      <c r="M56" s="60"/>
      <c r="N56" s="60"/>
      <c r="O56" s="60"/>
      <c r="P56" s="60"/>
      <c r="Q56" s="60"/>
      <c r="R56" s="60"/>
      <c r="S56" s="60"/>
      <c r="T56" s="74"/>
    </row>
    <row r="57" spans="1:20" x14ac:dyDescent="0.25">
      <c r="A57" s="38" t="s">
        <v>228</v>
      </c>
      <c r="B57" s="39"/>
      <c r="C57" s="40"/>
      <c r="D57" s="41"/>
      <c r="E57" s="72"/>
      <c r="F57" s="72"/>
      <c r="G57" s="72"/>
      <c r="H57" s="72"/>
      <c r="I57" s="72"/>
      <c r="J57" s="72"/>
      <c r="K57" s="72"/>
      <c r="L57" s="75"/>
      <c r="M57" s="72"/>
      <c r="N57" s="72"/>
      <c r="O57" s="72"/>
      <c r="P57" s="72"/>
      <c r="Q57" s="72"/>
      <c r="R57" s="72"/>
      <c r="S57" s="72"/>
      <c r="T57" s="75"/>
    </row>
    <row r="58" spans="1:20" ht="15" customHeight="1" x14ac:dyDescent="0.25">
      <c r="A58" s="45" t="s">
        <v>228</v>
      </c>
      <c r="B58" s="46">
        <v>1</v>
      </c>
      <c r="C58" s="21" t="s">
        <v>164</v>
      </c>
      <c r="D58" s="47" t="s">
        <v>358</v>
      </c>
      <c r="E58" s="60"/>
      <c r="F58" s="60"/>
      <c r="G58" s="60"/>
      <c r="H58" s="60"/>
      <c r="I58" s="60"/>
      <c r="J58" s="60"/>
      <c r="K58" s="60"/>
      <c r="L58" s="74"/>
      <c r="M58" s="60"/>
      <c r="N58" s="60"/>
      <c r="O58" s="60"/>
      <c r="P58" s="60"/>
      <c r="Q58" s="60"/>
      <c r="R58" s="60"/>
      <c r="S58" s="60"/>
      <c r="T58" s="74"/>
    </row>
    <row r="59" spans="1:20" ht="15" customHeight="1" x14ac:dyDescent="0.25">
      <c r="A59" s="45"/>
      <c r="B59" s="46">
        <v>2</v>
      </c>
      <c r="C59" s="21" t="s">
        <v>164</v>
      </c>
      <c r="D59" s="47" t="s">
        <v>359</v>
      </c>
      <c r="E59" s="60"/>
      <c r="F59" s="60"/>
      <c r="G59" s="60"/>
      <c r="H59" s="60"/>
      <c r="I59" s="60"/>
      <c r="J59" s="60"/>
      <c r="K59" s="60"/>
      <c r="L59" s="74"/>
      <c r="M59" s="60"/>
      <c r="N59" s="60"/>
      <c r="O59" s="60"/>
      <c r="P59" s="60"/>
      <c r="Q59" s="60"/>
      <c r="R59" s="60"/>
      <c r="S59" s="60"/>
      <c r="T59" s="74"/>
    </row>
    <row r="60" spans="1:20" x14ac:dyDescent="0.25">
      <c r="A60" s="38" t="s">
        <v>229</v>
      </c>
      <c r="B60" s="39"/>
      <c r="C60" s="40"/>
      <c r="D60" s="41"/>
      <c r="E60" s="72"/>
      <c r="F60" s="72"/>
      <c r="G60" s="72"/>
      <c r="H60" s="72"/>
      <c r="I60" s="72"/>
      <c r="J60" s="72"/>
      <c r="K60" s="72"/>
      <c r="L60" s="75"/>
      <c r="M60" s="72"/>
      <c r="N60" s="72"/>
      <c r="O60" s="72"/>
      <c r="P60" s="72"/>
      <c r="Q60" s="72"/>
      <c r="R60" s="72"/>
      <c r="S60" s="72"/>
      <c r="T60" s="75"/>
    </row>
    <row r="61" spans="1:20" ht="15" customHeight="1" x14ac:dyDescent="0.25">
      <c r="A61" s="45" t="s">
        <v>229</v>
      </c>
      <c r="B61" s="46">
        <v>1</v>
      </c>
      <c r="C61" s="21" t="s">
        <v>165</v>
      </c>
      <c r="D61" s="47" t="s">
        <v>360</v>
      </c>
      <c r="E61" s="60"/>
      <c r="F61" s="60"/>
      <c r="G61" s="60"/>
      <c r="H61" s="60"/>
      <c r="I61" s="60"/>
      <c r="J61" s="60"/>
      <c r="K61" s="60"/>
      <c r="L61" s="74"/>
      <c r="M61" s="60"/>
      <c r="N61" s="60"/>
      <c r="O61" s="60"/>
      <c r="P61" s="60"/>
      <c r="Q61" s="60"/>
      <c r="R61" s="60"/>
      <c r="S61" s="60"/>
      <c r="T61" s="74"/>
    </row>
    <row r="62" spans="1:20" ht="15" customHeight="1" x14ac:dyDescent="0.25">
      <c r="A62" s="45"/>
      <c r="B62" s="46">
        <v>2</v>
      </c>
      <c r="C62" s="21" t="s">
        <v>165</v>
      </c>
      <c r="D62" s="47" t="s">
        <v>361</v>
      </c>
      <c r="E62" s="60"/>
      <c r="F62" s="60"/>
      <c r="G62" s="60"/>
      <c r="H62" s="60"/>
      <c r="I62" s="60"/>
      <c r="J62" s="60"/>
      <c r="K62" s="60"/>
      <c r="L62" s="74"/>
      <c r="M62" s="60"/>
      <c r="N62" s="60"/>
      <c r="O62" s="60"/>
      <c r="P62" s="60"/>
      <c r="Q62" s="60"/>
      <c r="R62" s="60"/>
      <c r="S62" s="60"/>
      <c r="T62" s="74"/>
    </row>
    <row r="63" spans="1:20" x14ac:dyDescent="0.25">
      <c r="A63" s="38" t="s">
        <v>230</v>
      </c>
      <c r="B63" s="39"/>
      <c r="C63" s="40"/>
      <c r="D63" s="41"/>
      <c r="E63" s="72"/>
      <c r="F63" s="72"/>
      <c r="G63" s="72"/>
      <c r="H63" s="72"/>
      <c r="I63" s="72"/>
      <c r="J63" s="72"/>
      <c r="K63" s="72"/>
      <c r="L63" s="75"/>
      <c r="M63" s="72"/>
      <c r="N63" s="72"/>
      <c r="O63" s="72"/>
      <c r="P63" s="72"/>
      <c r="Q63" s="72"/>
      <c r="R63" s="72"/>
      <c r="S63" s="72"/>
      <c r="T63" s="75"/>
    </row>
    <row r="64" spans="1:20" ht="15" customHeight="1" x14ac:dyDescent="0.25">
      <c r="A64" s="45" t="s">
        <v>230</v>
      </c>
      <c r="B64" s="46">
        <v>1</v>
      </c>
      <c r="C64" s="21" t="s">
        <v>166</v>
      </c>
      <c r="D64" s="47" t="s">
        <v>362</v>
      </c>
      <c r="E64" s="60"/>
      <c r="F64" s="60"/>
      <c r="G64" s="60"/>
      <c r="H64" s="60"/>
      <c r="I64" s="60"/>
      <c r="J64" s="60"/>
      <c r="K64" s="60"/>
      <c r="L64" s="74"/>
      <c r="M64" s="60"/>
      <c r="N64" s="60"/>
      <c r="O64" s="60"/>
      <c r="P64" s="60"/>
      <c r="Q64" s="60"/>
      <c r="R64" s="60"/>
      <c r="S64" s="60"/>
      <c r="T64" s="74"/>
    </row>
    <row r="65" spans="1:20" x14ac:dyDescent="0.25">
      <c r="A65" s="38" t="s">
        <v>231</v>
      </c>
      <c r="B65" s="39"/>
      <c r="C65" s="40"/>
      <c r="D65" s="41"/>
      <c r="E65" s="72"/>
      <c r="F65" s="72"/>
      <c r="G65" s="72"/>
      <c r="H65" s="72"/>
      <c r="I65" s="72"/>
      <c r="J65" s="72"/>
      <c r="K65" s="72"/>
      <c r="L65" s="75"/>
      <c r="M65" s="72"/>
      <c r="N65" s="72"/>
      <c r="O65" s="72"/>
      <c r="P65" s="72"/>
      <c r="Q65" s="72"/>
      <c r="R65" s="72"/>
      <c r="S65" s="72"/>
      <c r="T65" s="75"/>
    </row>
    <row r="66" spans="1:20" ht="15" customHeight="1" x14ac:dyDescent="0.25">
      <c r="A66" s="45" t="s">
        <v>231</v>
      </c>
      <c r="B66" s="46">
        <v>1</v>
      </c>
      <c r="C66" s="21" t="s">
        <v>167</v>
      </c>
      <c r="D66" s="47" t="s">
        <v>363</v>
      </c>
      <c r="E66" s="60"/>
      <c r="F66" s="60"/>
      <c r="G66" s="60"/>
      <c r="H66" s="60"/>
      <c r="I66" s="60"/>
      <c r="J66" s="60"/>
      <c r="K66" s="60"/>
      <c r="L66" s="74"/>
      <c r="M66" s="60"/>
      <c r="N66" s="60"/>
      <c r="O66" s="60"/>
      <c r="P66" s="60"/>
      <c r="Q66" s="60"/>
      <c r="R66" s="60"/>
      <c r="S66" s="60"/>
      <c r="T66" s="74"/>
    </row>
    <row r="67" spans="1:20" ht="15" customHeight="1" x14ac:dyDescent="0.25">
      <c r="A67" s="45"/>
      <c r="B67" s="46">
        <v>2</v>
      </c>
      <c r="C67" s="21" t="s">
        <v>167</v>
      </c>
      <c r="D67" s="47" t="s">
        <v>364</v>
      </c>
      <c r="E67" s="60"/>
      <c r="F67" s="60"/>
      <c r="G67" s="60"/>
      <c r="H67" s="60"/>
      <c r="I67" s="60"/>
      <c r="J67" s="60"/>
      <c r="K67" s="60"/>
      <c r="L67" s="74"/>
      <c r="M67" s="60"/>
      <c r="N67" s="60"/>
      <c r="O67" s="60"/>
      <c r="P67" s="60"/>
      <c r="Q67" s="60"/>
      <c r="R67" s="60"/>
      <c r="S67" s="60"/>
      <c r="T67" s="74"/>
    </row>
    <row r="68" spans="1:20" x14ac:dyDescent="0.25">
      <c r="A68" s="38" t="s">
        <v>232</v>
      </c>
      <c r="B68" s="39"/>
      <c r="C68" s="40"/>
      <c r="D68" s="41"/>
      <c r="E68" s="72"/>
      <c r="F68" s="72"/>
      <c r="G68" s="72"/>
      <c r="H68" s="72"/>
      <c r="I68" s="72"/>
      <c r="J68" s="72"/>
      <c r="K68" s="72"/>
      <c r="L68" s="75"/>
      <c r="M68" s="72"/>
      <c r="N68" s="72"/>
      <c r="O68" s="72"/>
      <c r="P68" s="72"/>
      <c r="Q68" s="72"/>
      <c r="R68" s="72"/>
      <c r="S68" s="72"/>
      <c r="T68" s="75"/>
    </row>
    <row r="69" spans="1:20" ht="15" customHeight="1" x14ac:dyDescent="0.25">
      <c r="A69" s="45" t="s">
        <v>232</v>
      </c>
      <c r="B69" s="46">
        <v>1</v>
      </c>
      <c r="C69" s="21" t="s">
        <v>168</v>
      </c>
      <c r="D69" s="47" t="s">
        <v>365</v>
      </c>
      <c r="E69" s="60"/>
      <c r="F69" s="60"/>
      <c r="G69" s="60"/>
      <c r="H69" s="60"/>
      <c r="I69" s="60"/>
      <c r="J69" s="60"/>
      <c r="K69" s="60"/>
      <c r="L69" s="74"/>
      <c r="M69" s="60"/>
      <c r="N69" s="60"/>
      <c r="O69" s="60"/>
      <c r="P69" s="60"/>
      <c r="Q69" s="60"/>
      <c r="R69" s="60"/>
      <c r="S69" s="60"/>
      <c r="T69" s="74"/>
    </row>
    <row r="70" spans="1:20" ht="15" customHeight="1" x14ac:dyDescent="0.25">
      <c r="A70" s="45"/>
      <c r="B70" s="46">
        <v>2</v>
      </c>
      <c r="C70" s="21" t="s">
        <v>168</v>
      </c>
      <c r="D70" s="47" t="s">
        <v>366</v>
      </c>
      <c r="E70" s="60"/>
      <c r="F70" s="60"/>
      <c r="G70" s="60"/>
      <c r="H70" s="60"/>
      <c r="I70" s="60"/>
      <c r="J70" s="60"/>
      <c r="K70" s="60"/>
      <c r="L70" s="74"/>
      <c r="M70" s="60"/>
      <c r="N70" s="60"/>
      <c r="O70" s="60"/>
      <c r="P70" s="60"/>
      <c r="Q70" s="60"/>
      <c r="R70" s="60"/>
      <c r="S70" s="60"/>
      <c r="T70" s="74"/>
    </row>
    <row r="71" spans="1:20" x14ac:dyDescent="0.25">
      <c r="A71" s="38" t="s">
        <v>233</v>
      </c>
      <c r="B71" s="39"/>
      <c r="C71" s="40"/>
      <c r="D71" s="41"/>
      <c r="E71" s="72"/>
      <c r="F71" s="72"/>
      <c r="G71" s="72"/>
      <c r="H71" s="72"/>
      <c r="I71" s="72"/>
      <c r="J71" s="72"/>
      <c r="K71" s="72"/>
      <c r="L71" s="75"/>
      <c r="M71" s="72"/>
      <c r="N71" s="72"/>
      <c r="O71" s="72"/>
      <c r="P71" s="72"/>
      <c r="Q71" s="72"/>
      <c r="R71" s="72"/>
      <c r="S71" s="72"/>
      <c r="T71" s="75"/>
    </row>
    <row r="72" spans="1:20" ht="15" customHeight="1" x14ac:dyDescent="0.25">
      <c r="A72" s="45" t="s">
        <v>234</v>
      </c>
      <c r="B72" s="46">
        <v>1</v>
      </c>
      <c r="C72" s="21" t="s">
        <v>145</v>
      </c>
      <c r="D72" s="47" t="s">
        <v>367</v>
      </c>
      <c r="E72" s="60"/>
      <c r="F72" s="60"/>
      <c r="G72" s="60"/>
      <c r="H72" s="60"/>
      <c r="I72" s="60"/>
      <c r="J72" s="60"/>
      <c r="K72" s="60"/>
      <c r="L72" s="74"/>
      <c r="M72" s="60"/>
      <c r="N72" s="60"/>
      <c r="O72" s="60"/>
      <c r="P72" s="60"/>
      <c r="Q72" s="60"/>
      <c r="R72" s="60"/>
      <c r="S72" s="60"/>
      <c r="T72" s="74"/>
    </row>
    <row r="73" spans="1:20" ht="15" customHeight="1" x14ac:dyDescent="0.25">
      <c r="A73" s="45"/>
      <c r="B73" s="46">
        <v>2</v>
      </c>
      <c r="C73" s="21" t="s">
        <v>145</v>
      </c>
      <c r="D73" s="47" t="s">
        <v>368</v>
      </c>
      <c r="E73" s="60"/>
      <c r="F73" s="60"/>
      <c r="G73" s="60"/>
      <c r="H73" s="60"/>
      <c r="I73" s="60"/>
      <c r="J73" s="60"/>
      <c r="K73" s="60"/>
      <c r="L73" s="74"/>
      <c r="M73" s="60"/>
      <c r="N73" s="60"/>
      <c r="O73" s="60"/>
      <c r="P73" s="60"/>
      <c r="Q73" s="60"/>
      <c r="R73" s="60"/>
      <c r="S73" s="60"/>
      <c r="T73" s="74"/>
    </row>
    <row r="74" spans="1:20" ht="15" customHeight="1" x14ac:dyDescent="0.25">
      <c r="A74" s="45" t="s">
        <v>235</v>
      </c>
      <c r="B74" s="46">
        <v>1</v>
      </c>
      <c r="C74" s="21" t="s">
        <v>146</v>
      </c>
      <c r="D74" s="47" t="s">
        <v>369</v>
      </c>
      <c r="E74" s="60"/>
      <c r="F74" s="60"/>
      <c r="G74" s="60"/>
      <c r="H74" s="60"/>
      <c r="I74" s="60"/>
      <c r="J74" s="60"/>
      <c r="K74" s="60"/>
      <c r="L74" s="74"/>
      <c r="M74" s="60"/>
      <c r="N74" s="60"/>
      <c r="O74" s="60"/>
      <c r="P74" s="60"/>
      <c r="Q74" s="60"/>
      <c r="R74" s="60"/>
      <c r="S74" s="60"/>
      <c r="T74" s="74"/>
    </row>
    <row r="75" spans="1:20" ht="15" customHeight="1" x14ac:dyDescent="0.25">
      <c r="A75" s="45"/>
      <c r="B75" s="46">
        <v>2</v>
      </c>
      <c r="C75" s="21" t="s">
        <v>146</v>
      </c>
      <c r="D75" s="47" t="s">
        <v>370</v>
      </c>
      <c r="E75" s="60"/>
      <c r="F75" s="60"/>
      <c r="G75" s="60"/>
      <c r="H75" s="60"/>
      <c r="I75" s="60"/>
      <c r="J75" s="60"/>
      <c r="K75" s="60"/>
      <c r="L75" s="74"/>
      <c r="M75" s="60"/>
      <c r="N75" s="60"/>
      <c r="O75" s="60"/>
      <c r="P75" s="60"/>
      <c r="Q75" s="60"/>
      <c r="R75" s="60"/>
      <c r="S75" s="60"/>
      <c r="T75" s="74"/>
    </row>
    <row r="76" spans="1:20" x14ac:dyDescent="0.25">
      <c r="A76" s="38" t="s">
        <v>163</v>
      </c>
      <c r="B76" s="39"/>
      <c r="C76" s="40"/>
      <c r="D76" s="41"/>
      <c r="E76" s="72"/>
      <c r="F76" s="72"/>
      <c r="G76" s="72"/>
      <c r="H76" s="72"/>
      <c r="I76" s="72"/>
      <c r="J76" s="72"/>
      <c r="K76" s="72"/>
      <c r="L76" s="75"/>
      <c r="M76" s="72"/>
      <c r="N76" s="72"/>
      <c r="O76" s="72"/>
      <c r="P76" s="72"/>
      <c r="Q76" s="72"/>
      <c r="R76" s="72"/>
      <c r="S76" s="72"/>
      <c r="T76" s="75"/>
    </row>
    <row r="77" spans="1:20" ht="15" customHeight="1" x14ac:dyDescent="0.25">
      <c r="A77" s="45" t="s">
        <v>163</v>
      </c>
      <c r="B77" s="46">
        <v>1</v>
      </c>
      <c r="C77" s="21" t="s">
        <v>162</v>
      </c>
      <c r="D77" s="47" t="s">
        <v>371</v>
      </c>
      <c r="E77" s="60"/>
      <c r="F77" s="60"/>
      <c r="G77" s="60"/>
      <c r="H77" s="60"/>
      <c r="I77" s="60"/>
      <c r="J77" s="60"/>
      <c r="K77" s="60"/>
      <c r="L77" s="74"/>
      <c r="M77" s="60"/>
      <c r="N77" s="60"/>
      <c r="O77" s="60"/>
      <c r="P77" s="60"/>
      <c r="Q77" s="60"/>
      <c r="R77" s="60"/>
      <c r="S77" s="60"/>
      <c r="T77" s="74"/>
    </row>
    <row r="78" spans="1:20" x14ac:dyDescent="0.25">
      <c r="A78" s="38" t="s">
        <v>236</v>
      </c>
      <c r="B78" s="39"/>
      <c r="C78" s="40"/>
      <c r="D78" s="41"/>
      <c r="E78" s="72"/>
      <c r="F78" s="72"/>
      <c r="G78" s="72"/>
      <c r="H78" s="72"/>
      <c r="I78" s="72"/>
      <c r="J78" s="72"/>
      <c r="K78" s="72"/>
      <c r="L78" s="75"/>
      <c r="M78" s="72"/>
      <c r="N78" s="72"/>
      <c r="O78" s="72"/>
      <c r="P78" s="72"/>
      <c r="Q78" s="72"/>
      <c r="R78" s="72"/>
      <c r="S78" s="72"/>
      <c r="T78" s="75"/>
    </row>
    <row r="79" spans="1:20" ht="15" customHeight="1" x14ac:dyDescent="0.25">
      <c r="A79" s="45" t="s">
        <v>236</v>
      </c>
      <c r="B79" s="46">
        <v>1</v>
      </c>
      <c r="C79" s="21" t="s">
        <v>161</v>
      </c>
      <c r="D79" s="47" t="s">
        <v>372</v>
      </c>
      <c r="E79" s="60"/>
      <c r="F79" s="60"/>
      <c r="G79" s="60"/>
      <c r="H79" s="60"/>
      <c r="I79" s="60"/>
      <c r="J79" s="60"/>
      <c r="K79" s="60"/>
      <c r="L79" s="74"/>
      <c r="M79" s="60"/>
      <c r="N79" s="60"/>
      <c r="O79" s="60"/>
      <c r="P79" s="60"/>
      <c r="Q79" s="60"/>
      <c r="R79" s="60"/>
      <c r="S79" s="60"/>
      <c r="T79" s="74"/>
    </row>
    <row r="80" spans="1:20" ht="15" customHeight="1" x14ac:dyDescent="0.25">
      <c r="A80" s="45"/>
      <c r="B80" s="46">
        <v>2</v>
      </c>
      <c r="C80" s="21" t="s">
        <v>161</v>
      </c>
      <c r="D80" s="47" t="s">
        <v>373</v>
      </c>
      <c r="E80" s="60"/>
      <c r="F80" s="60"/>
      <c r="G80" s="60"/>
      <c r="H80" s="60"/>
      <c r="I80" s="60"/>
      <c r="J80" s="60"/>
      <c r="K80" s="60"/>
      <c r="L80" s="74"/>
      <c r="M80" s="60"/>
      <c r="N80" s="60"/>
      <c r="O80" s="60"/>
      <c r="P80" s="60"/>
      <c r="Q80" s="60"/>
      <c r="R80" s="60"/>
      <c r="S80" s="60"/>
      <c r="T80" s="74"/>
    </row>
    <row r="81" spans="1:20" x14ac:dyDescent="0.25">
      <c r="A81" s="38" t="s">
        <v>237</v>
      </c>
      <c r="B81" s="39"/>
      <c r="C81" s="40"/>
      <c r="D81" s="41"/>
      <c r="E81" s="72"/>
      <c r="F81" s="72"/>
      <c r="G81" s="72"/>
      <c r="H81" s="72"/>
      <c r="I81" s="72"/>
      <c r="J81" s="72"/>
      <c r="K81" s="72"/>
      <c r="L81" s="75"/>
      <c r="M81" s="72"/>
      <c r="N81" s="72"/>
      <c r="O81" s="72"/>
      <c r="P81" s="72"/>
      <c r="Q81" s="72"/>
      <c r="R81" s="72"/>
      <c r="S81" s="72"/>
      <c r="T81" s="75"/>
    </row>
    <row r="82" spans="1:20" ht="15" customHeight="1" x14ac:dyDescent="0.25">
      <c r="A82" s="45" t="s">
        <v>237</v>
      </c>
      <c r="B82" s="46">
        <v>1</v>
      </c>
      <c r="C82" s="21" t="s">
        <v>157</v>
      </c>
      <c r="D82" s="47" t="s">
        <v>374</v>
      </c>
      <c r="E82" s="60"/>
      <c r="F82" s="60"/>
      <c r="G82" s="60"/>
      <c r="H82" s="60"/>
      <c r="I82" s="60"/>
      <c r="J82" s="60"/>
      <c r="K82" s="60"/>
      <c r="L82" s="74"/>
      <c r="M82" s="60"/>
      <c r="N82" s="60"/>
      <c r="O82" s="60"/>
      <c r="P82" s="60"/>
      <c r="Q82" s="60"/>
      <c r="R82" s="60"/>
      <c r="S82" s="60"/>
      <c r="T82" s="74"/>
    </row>
    <row r="83" spans="1:20" x14ac:dyDescent="0.25">
      <c r="A83" s="38" t="s">
        <v>238</v>
      </c>
      <c r="B83" s="39"/>
      <c r="C83" s="40"/>
      <c r="D83" s="41"/>
      <c r="E83" s="72"/>
      <c r="F83" s="72"/>
      <c r="G83" s="72"/>
      <c r="H83" s="72"/>
      <c r="I83" s="72"/>
      <c r="J83" s="72"/>
      <c r="K83" s="72"/>
      <c r="L83" s="75"/>
      <c r="M83" s="72"/>
      <c r="N83" s="72"/>
      <c r="O83" s="72"/>
      <c r="P83" s="72"/>
      <c r="Q83" s="72"/>
      <c r="R83" s="72"/>
      <c r="S83" s="72"/>
      <c r="T83" s="75"/>
    </row>
    <row r="84" spans="1:20" ht="15" customHeight="1" x14ac:dyDescent="0.25">
      <c r="A84" s="45" t="s">
        <v>238</v>
      </c>
      <c r="B84" s="46">
        <v>1</v>
      </c>
      <c r="C84" s="21" t="s">
        <v>158</v>
      </c>
      <c r="D84" s="47" t="s">
        <v>375</v>
      </c>
      <c r="E84" s="60"/>
      <c r="F84" s="60"/>
      <c r="G84" s="60"/>
      <c r="H84" s="60"/>
      <c r="I84" s="60"/>
      <c r="J84" s="60"/>
      <c r="K84" s="60"/>
      <c r="L84" s="74"/>
      <c r="M84" s="60"/>
      <c r="N84" s="60"/>
      <c r="O84" s="60"/>
      <c r="P84" s="60"/>
      <c r="Q84" s="60"/>
      <c r="R84" s="60"/>
      <c r="S84" s="60"/>
      <c r="T84" s="74"/>
    </row>
    <row r="85" spans="1:20" ht="15" customHeight="1" x14ac:dyDescent="0.25">
      <c r="A85" s="45"/>
      <c r="B85" s="46">
        <v>2</v>
      </c>
      <c r="C85" s="21" t="s">
        <v>158</v>
      </c>
      <c r="D85" s="47" t="s">
        <v>376</v>
      </c>
      <c r="E85" s="60"/>
      <c r="F85" s="60"/>
      <c r="G85" s="60"/>
      <c r="H85" s="60"/>
      <c r="I85" s="60"/>
      <c r="J85" s="60"/>
      <c r="K85" s="60"/>
      <c r="L85" s="74"/>
      <c r="M85" s="60"/>
      <c r="N85" s="60"/>
      <c r="O85" s="60"/>
      <c r="P85" s="60"/>
      <c r="Q85" s="60"/>
      <c r="R85" s="60"/>
      <c r="S85" s="60"/>
      <c r="T85" s="74"/>
    </row>
    <row r="86" spans="1:20" x14ac:dyDescent="0.25">
      <c r="A86" s="38" t="s">
        <v>239</v>
      </c>
      <c r="B86" s="39"/>
      <c r="C86" s="40"/>
      <c r="D86" s="41"/>
      <c r="E86" s="72"/>
      <c r="F86" s="72"/>
      <c r="G86" s="72"/>
      <c r="H86" s="72"/>
      <c r="I86" s="72"/>
      <c r="J86" s="72"/>
      <c r="K86" s="72"/>
      <c r="L86" s="75"/>
      <c r="M86" s="72"/>
      <c r="N86" s="72"/>
      <c r="O86" s="72"/>
      <c r="P86" s="72"/>
      <c r="Q86" s="72"/>
      <c r="R86" s="72"/>
      <c r="S86" s="72"/>
      <c r="T86" s="75"/>
    </row>
    <row r="87" spans="1:20" ht="15" customHeight="1" x14ac:dyDescent="0.25">
      <c r="A87" s="45" t="s">
        <v>239</v>
      </c>
      <c r="B87" s="46">
        <v>1</v>
      </c>
      <c r="C87" s="21" t="s">
        <v>159</v>
      </c>
      <c r="D87" s="47" t="s">
        <v>377</v>
      </c>
      <c r="E87" s="60"/>
      <c r="F87" s="60"/>
      <c r="G87" s="60"/>
      <c r="H87" s="60"/>
      <c r="I87" s="60"/>
      <c r="J87" s="60"/>
      <c r="K87" s="60"/>
      <c r="L87" s="74"/>
      <c r="M87" s="60"/>
      <c r="N87" s="60"/>
      <c r="O87" s="60"/>
      <c r="P87" s="60"/>
      <c r="Q87" s="60"/>
      <c r="R87" s="60"/>
      <c r="S87" s="60"/>
      <c r="T87" s="74"/>
    </row>
    <row r="88" spans="1:20" x14ac:dyDescent="0.25">
      <c r="A88" s="38" t="s">
        <v>240</v>
      </c>
      <c r="B88" s="39"/>
      <c r="C88" s="40"/>
      <c r="D88" s="41"/>
      <c r="E88" s="72"/>
      <c r="F88" s="72"/>
      <c r="G88" s="72"/>
      <c r="H88" s="72"/>
      <c r="I88" s="72"/>
      <c r="J88" s="72"/>
      <c r="K88" s="72"/>
      <c r="L88" s="75"/>
      <c r="M88" s="72"/>
      <c r="N88" s="72"/>
      <c r="O88" s="72"/>
      <c r="P88" s="72"/>
      <c r="Q88" s="72"/>
      <c r="R88" s="72"/>
      <c r="S88" s="72"/>
      <c r="T88" s="75"/>
    </row>
    <row r="89" spans="1:20" ht="15" customHeight="1" x14ac:dyDescent="0.25">
      <c r="A89" s="45" t="s">
        <v>240</v>
      </c>
      <c r="B89" s="46">
        <v>1</v>
      </c>
      <c r="C89" s="21" t="s">
        <v>160</v>
      </c>
      <c r="D89" s="47" t="s">
        <v>378</v>
      </c>
      <c r="E89" s="60"/>
      <c r="F89" s="60"/>
      <c r="G89" s="60"/>
      <c r="H89" s="60"/>
      <c r="I89" s="60"/>
      <c r="J89" s="60"/>
      <c r="K89" s="60"/>
      <c r="L89" s="74"/>
      <c r="M89" s="60"/>
      <c r="N89" s="60"/>
      <c r="O89" s="60"/>
      <c r="P89" s="60"/>
      <c r="Q89" s="60"/>
      <c r="R89" s="60"/>
      <c r="S89" s="60"/>
      <c r="T89" s="74"/>
    </row>
    <row r="90" spans="1:20" x14ac:dyDescent="0.25">
      <c r="A90" s="38" t="s">
        <v>241</v>
      </c>
      <c r="B90" s="39"/>
      <c r="C90" s="40"/>
      <c r="D90" s="41"/>
      <c r="E90" s="72"/>
      <c r="F90" s="72"/>
      <c r="G90" s="72"/>
      <c r="H90" s="72"/>
      <c r="I90" s="72"/>
      <c r="J90" s="72"/>
      <c r="K90" s="72"/>
      <c r="L90" s="75"/>
      <c r="M90" s="72"/>
      <c r="N90" s="72"/>
      <c r="O90" s="72"/>
      <c r="P90" s="72"/>
      <c r="Q90" s="72"/>
      <c r="R90" s="72"/>
      <c r="S90" s="72"/>
      <c r="T90" s="75"/>
    </row>
    <row r="91" spans="1:20" ht="15" customHeight="1" x14ac:dyDescent="0.25">
      <c r="A91" s="45" t="s">
        <v>242</v>
      </c>
      <c r="B91" s="46">
        <v>1</v>
      </c>
      <c r="C91" s="21" t="s">
        <v>243</v>
      </c>
      <c r="D91" s="47" t="s">
        <v>379</v>
      </c>
      <c r="E91" s="60"/>
      <c r="F91" s="60"/>
      <c r="G91" s="60"/>
      <c r="H91" s="60"/>
      <c r="I91" s="60"/>
      <c r="J91" s="60"/>
      <c r="K91" s="60"/>
      <c r="L91" s="74"/>
      <c r="M91" s="60"/>
      <c r="N91" s="60"/>
      <c r="O91" s="60"/>
      <c r="P91" s="60"/>
      <c r="Q91" s="60"/>
      <c r="R91" s="60"/>
      <c r="S91" s="60"/>
      <c r="T91" s="74"/>
    </row>
    <row r="92" spans="1:20" x14ac:dyDescent="0.25">
      <c r="A92" s="38" t="s">
        <v>244</v>
      </c>
      <c r="B92" s="39"/>
      <c r="C92" s="40"/>
      <c r="D92" s="41"/>
      <c r="E92" s="72"/>
      <c r="F92" s="72"/>
      <c r="G92" s="72"/>
      <c r="H92" s="72"/>
      <c r="I92" s="72"/>
      <c r="J92" s="72"/>
      <c r="K92" s="72"/>
      <c r="L92" s="75"/>
      <c r="M92" s="72"/>
      <c r="N92" s="72"/>
      <c r="O92" s="72"/>
      <c r="P92" s="72"/>
      <c r="Q92" s="72"/>
      <c r="R92" s="72"/>
      <c r="S92" s="72"/>
      <c r="T92" s="75"/>
    </row>
    <row r="93" spans="1:20" ht="15" customHeight="1" x14ac:dyDescent="0.25">
      <c r="A93" s="45" t="s">
        <v>245</v>
      </c>
      <c r="B93" s="46">
        <v>1</v>
      </c>
      <c r="C93" s="21" t="s">
        <v>246</v>
      </c>
      <c r="D93" s="47" t="s">
        <v>380</v>
      </c>
      <c r="E93" s="60"/>
      <c r="F93" s="60"/>
      <c r="G93" s="60"/>
      <c r="H93" s="60"/>
      <c r="I93" s="60"/>
      <c r="J93" s="60"/>
      <c r="K93" s="60"/>
      <c r="L93" s="74"/>
      <c r="M93" s="60"/>
      <c r="N93" s="60"/>
      <c r="O93" s="60"/>
      <c r="P93" s="60"/>
      <c r="Q93" s="60"/>
      <c r="R93" s="60"/>
      <c r="S93" s="60"/>
      <c r="T93" s="74"/>
    </row>
    <row r="94" spans="1:20" x14ac:dyDescent="0.25">
      <c r="A94" s="38" t="s">
        <v>247</v>
      </c>
      <c r="B94" s="39"/>
      <c r="C94" s="40"/>
      <c r="D94" s="41"/>
      <c r="E94" s="72"/>
      <c r="F94" s="72"/>
      <c r="G94" s="72"/>
      <c r="H94" s="72"/>
      <c r="I94" s="72"/>
      <c r="J94" s="72"/>
      <c r="K94" s="72"/>
      <c r="L94" s="75"/>
      <c r="M94" s="72"/>
      <c r="N94" s="72"/>
      <c r="O94" s="72"/>
      <c r="P94" s="72"/>
      <c r="Q94" s="72"/>
      <c r="R94" s="72"/>
      <c r="S94" s="72"/>
      <c r="T94" s="75"/>
    </row>
    <row r="95" spans="1:20" ht="15" customHeight="1" x14ac:dyDescent="0.25">
      <c r="A95" s="45" t="s">
        <v>247</v>
      </c>
      <c r="B95" s="46">
        <v>1</v>
      </c>
      <c r="C95" s="21" t="s">
        <v>184</v>
      </c>
      <c r="D95" s="47" t="s">
        <v>381</v>
      </c>
      <c r="E95" s="60"/>
      <c r="F95" s="60"/>
      <c r="G95" s="60"/>
      <c r="H95" s="60"/>
      <c r="I95" s="60"/>
      <c r="J95" s="60"/>
      <c r="K95" s="60"/>
      <c r="L95" s="74"/>
      <c r="M95" s="60"/>
      <c r="N95" s="60"/>
      <c r="O95" s="60"/>
      <c r="P95" s="60"/>
      <c r="Q95" s="60"/>
      <c r="R95" s="60"/>
      <c r="S95" s="60"/>
      <c r="T95" s="74"/>
    </row>
    <row r="96" spans="1:20" x14ac:dyDescent="0.25">
      <c r="A96" s="38" t="s">
        <v>248</v>
      </c>
      <c r="B96" s="39"/>
      <c r="C96" s="40"/>
      <c r="D96" s="41"/>
      <c r="E96" s="72"/>
      <c r="F96" s="72"/>
      <c r="G96" s="72"/>
      <c r="H96" s="72"/>
      <c r="I96" s="72"/>
      <c r="J96" s="72"/>
      <c r="K96" s="72"/>
      <c r="L96" s="75"/>
      <c r="M96" s="72"/>
      <c r="N96" s="72"/>
      <c r="O96" s="72"/>
      <c r="P96" s="72"/>
      <c r="Q96" s="72"/>
      <c r="R96" s="72"/>
      <c r="S96" s="72"/>
      <c r="T96" s="75"/>
    </row>
    <row r="97" spans="1:20" ht="15" customHeight="1" x14ac:dyDescent="0.25">
      <c r="A97" s="45" t="s">
        <v>249</v>
      </c>
      <c r="B97" s="46">
        <v>1</v>
      </c>
      <c r="C97" s="21"/>
      <c r="D97" s="47" t="s">
        <v>123</v>
      </c>
      <c r="E97" s="60"/>
      <c r="F97" s="60"/>
      <c r="G97" s="60"/>
      <c r="H97" s="60"/>
      <c r="I97" s="60"/>
      <c r="J97" s="60"/>
      <c r="K97" s="60"/>
      <c r="L97" s="74"/>
      <c r="M97" s="60"/>
      <c r="N97" s="60"/>
      <c r="O97" s="60"/>
      <c r="P97" s="60"/>
      <c r="Q97" s="60"/>
      <c r="R97" s="60"/>
      <c r="S97" s="60"/>
      <c r="T97" s="74"/>
    </row>
    <row r="98" spans="1:20" ht="15" customHeight="1" x14ac:dyDescent="0.25">
      <c r="A98" s="136" t="s">
        <v>250</v>
      </c>
      <c r="B98" s="137"/>
      <c r="C98" s="52"/>
      <c r="D98" s="53"/>
      <c r="E98" s="76"/>
      <c r="F98" s="76"/>
      <c r="G98" s="76"/>
      <c r="H98" s="76"/>
      <c r="I98" s="76"/>
      <c r="J98" s="76"/>
      <c r="K98" s="76"/>
      <c r="L98" s="77"/>
      <c r="M98" s="76"/>
      <c r="N98" s="76"/>
      <c r="O98" s="76"/>
      <c r="P98" s="76"/>
      <c r="Q98" s="76"/>
      <c r="R98" s="76"/>
      <c r="S98" s="76"/>
      <c r="T98" s="77"/>
    </row>
    <row r="99" spans="1:20" x14ac:dyDescent="0.25">
      <c r="A99" s="38" t="s">
        <v>251</v>
      </c>
      <c r="B99" s="39"/>
      <c r="C99" s="40"/>
      <c r="D99" s="41"/>
      <c r="E99" s="72"/>
      <c r="F99" s="72"/>
      <c r="G99" s="72"/>
      <c r="H99" s="72"/>
      <c r="I99" s="72"/>
      <c r="J99" s="72"/>
      <c r="K99" s="72"/>
      <c r="L99" s="75"/>
      <c r="M99" s="72"/>
      <c r="N99" s="72"/>
      <c r="O99" s="72"/>
      <c r="P99" s="72"/>
      <c r="Q99" s="72"/>
      <c r="R99" s="72"/>
      <c r="S99" s="72"/>
      <c r="T99" s="75"/>
    </row>
    <row r="100" spans="1:20" ht="15" customHeight="1" x14ac:dyDescent="0.25">
      <c r="A100" s="45" t="s">
        <v>251</v>
      </c>
      <c r="B100" s="46">
        <v>1</v>
      </c>
      <c r="C100" s="21" t="s">
        <v>137</v>
      </c>
      <c r="D100" s="47" t="s">
        <v>382</v>
      </c>
      <c r="E100" s="60"/>
      <c r="F100" s="60"/>
      <c r="G100" s="60"/>
      <c r="H100" s="60"/>
      <c r="I100" s="60"/>
      <c r="J100" s="60"/>
      <c r="K100" s="60"/>
      <c r="L100" s="74"/>
      <c r="M100" s="60"/>
      <c r="N100" s="60"/>
      <c r="O100" s="60"/>
      <c r="P100" s="60"/>
      <c r="Q100" s="60"/>
      <c r="R100" s="60"/>
      <c r="S100" s="60"/>
      <c r="T100" s="74"/>
    </row>
    <row r="101" spans="1:20" ht="15" customHeight="1" x14ac:dyDescent="0.25">
      <c r="A101" s="142" t="s">
        <v>252</v>
      </c>
      <c r="B101" s="143"/>
      <c r="C101" s="56"/>
      <c r="D101" s="57"/>
      <c r="E101" s="78"/>
      <c r="F101" s="78"/>
      <c r="G101" s="78"/>
      <c r="H101" s="78"/>
      <c r="I101" s="78"/>
      <c r="J101" s="78"/>
      <c r="K101" s="78"/>
      <c r="L101" s="79"/>
      <c r="M101" s="78"/>
      <c r="N101" s="78"/>
      <c r="O101" s="78"/>
      <c r="P101" s="78"/>
      <c r="Q101" s="78"/>
      <c r="R101" s="78"/>
      <c r="S101" s="78"/>
      <c r="T101" s="79"/>
    </row>
    <row r="102" spans="1:20" x14ac:dyDescent="0.25">
      <c r="A102" s="38" t="s">
        <v>253</v>
      </c>
      <c r="B102" s="39"/>
      <c r="C102" s="40"/>
      <c r="D102" s="41"/>
      <c r="E102" s="72"/>
      <c r="F102" s="72"/>
      <c r="G102" s="72"/>
      <c r="H102" s="72"/>
      <c r="I102" s="72"/>
      <c r="J102" s="72"/>
      <c r="K102" s="72"/>
      <c r="L102" s="75"/>
      <c r="M102" s="72"/>
      <c r="N102" s="72"/>
      <c r="O102" s="72"/>
      <c r="P102" s="72"/>
      <c r="Q102" s="72"/>
      <c r="R102" s="72"/>
      <c r="S102" s="72"/>
      <c r="T102" s="75"/>
    </row>
    <row r="103" spans="1:20" ht="15" customHeight="1" x14ac:dyDescent="0.25">
      <c r="A103" s="45" t="s">
        <v>253</v>
      </c>
      <c r="B103" s="46">
        <v>1</v>
      </c>
      <c r="C103" s="21" t="s">
        <v>138</v>
      </c>
      <c r="D103" s="47" t="s">
        <v>383</v>
      </c>
      <c r="E103" s="60"/>
      <c r="F103" s="60"/>
      <c r="G103" s="60"/>
      <c r="H103" s="60"/>
      <c r="I103" s="60"/>
      <c r="J103" s="60"/>
      <c r="K103" s="60"/>
      <c r="L103" s="74"/>
      <c r="M103" s="60"/>
      <c r="N103" s="60"/>
      <c r="O103" s="60"/>
      <c r="P103" s="60"/>
      <c r="Q103" s="60"/>
      <c r="R103" s="60"/>
      <c r="S103" s="60"/>
      <c r="T103" s="74"/>
    </row>
    <row r="104" spans="1:20" x14ac:dyDescent="0.25">
      <c r="A104" s="38" t="s">
        <v>254</v>
      </c>
      <c r="B104" s="39"/>
      <c r="C104" s="40"/>
      <c r="D104" s="41"/>
      <c r="E104" s="72"/>
      <c r="F104" s="72"/>
      <c r="G104" s="72"/>
      <c r="H104" s="72"/>
      <c r="I104" s="72"/>
      <c r="J104" s="72"/>
      <c r="K104" s="72"/>
      <c r="L104" s="75"/>
      <c r="M104" s="72"/>
      <c r="N104" s="72"/>
      <c r="O104" s="72"/>
      <c r="P104" s="72"/>
      <c r="Q104" s="72"/>
      <c r="R104" s="72"/>
      <c r="S104" s="72"/>
      <c r="T104" s="75"/>
    </row>
    <row r="105" spans="1:20" ht="15" customHeight="1" x14ac:dyDescent="0.25">
      <c r="A105" s="45" t="s">
        <v>254</v>
      </c>
      <c r="B105" s="46">
        <v>1</v>
      </c>
      <c r="C105" s="21" t="s">
        <v>140</v>
      </c>
      <c r="D105" s="47" t="s">
        <v>384</v>
      </c>
      <c r="E105" s="60"/>
      <c r="F105" s="60"/>
      <c r="G105" s="60"/>
      <c r="H105" s="60"/>
      <c r="I105" s="60"/>
      <c r="J105" s="60"/>
      <c r="K105" s="60"/>
      <c r="L105" s="74"/>
      <c r="M105" s="60"/>
      <c r="N105" s="60"/>
      <c r="O105" s="60"/>
      <c r="P105" s="60"/>
      <c r="Q105" s="60"/>
      <c r="R105" s="60"/>
      <c r="S105" s="60"/>
      <c r="T105" s="74"/>
    </row>
    <row r="106" spans="1:20" x14ac:dyDescent="0.25">
      <c r="A106" s="38" t="s">
        <v>255</v>
      </c>
      <c r="B106" s="39"/>
      <c r="C106" s="40"/>
      <c r="D106" s="41"/>
      <c r="E106" s="72"/>
      <c r="F106" s="72"/>
      <c r="G106" s="72"/>
      <c r="H106" s="72"/>
      <c r="I106" s="72"/>
      <c r="J106" s="72"/>
      <c r="K106" s="72"/>
      <c r="L106" s="75"/>
      <c r="M106" s="72"/>
      <c r="N106" s="72"/>
      <c r="O106" s="72"/>
      <c r="P106" s="72"/>
      <c r="Q106" s="72"/>
      <c r="R106" s="72"/>
      <c r="S106" s="72"/>
      <c r="T106" s="75"/>
    </row>
    <row r="107" spans="1:20" ht="15" customHeight="1" x14ac:dyDescent="0.25">
      <c r="A107" s="45" t="s">
        <v>255</v>
      </c>
      <c r="B107" s="46">
        <v>1</v>
      </c>
      <c r="C107" s="21" t="s">
        <v>142</v>
      </c>
      <c r="D107" s="47" t="s">
        <v>385</v>
      </c>
      <c r="E107" s="60"/>
      <c r="F107" s="60"/>
      <c r="G107" s="60"/>
      <c r="H107" s="60"/>
      <c r="I107" s="60"/>
      <c r="J107" s="60"/>
      <c r="K107" s="60"/>
      <c r="L107" s="74"/>
      <c r="M107" s="60"/>
      <c r="N107" s="60"/>
      <c r="O107" s="60"/>
      <c r="P107" s="60"/>
      <c r="Q107" s="60"/>
      <c r="R107" s="60"/>
      <c r="S107" s="60"/>
      <c r="T107" s="74"/>
    </row>
    <row r="108" spans="1:20" ht="15" customHeight="1" x14ac:dyDescent="0.25">
      <c r="A108" s="45"/>
      <c r="B108" s="46">
        <v>2</v>
      </c>
      <c r="C108" s="21" t="s">
        <v>142</v>
      </c>
      <c r="D108" s="47" t="s">
        <v>386</v>
      </c>
      <c r="E108" s="60"/>
      <c r="F108" s="60"/>
      <c r="G108" s="60"/>
      <c r="H108" s="60"/>
      <c r="I108" s="60"/>
      <c r="J108" s="60"/>
      <c r="K108" s="60"/>
      <c r="L108" s="74"/>
      <c r="M108" s="60"/>
      <c r="N108" s="60"/>
      <c r="O108" s="60"/>
      <c r="P108" s="60"/>
      <c r="Q108" s="60"/>
      <c r="R108" s="60"/>
      <c r="S108" s="60"/>
      <c r="T108" s="74"/>
    </row>
    <row r="109" spans="1:20" x14ac:dyDescent="0.25">
      <c r="A109" s="38" t="s">
        <v>256</v>
      </c>
      <c r="B109" s="39"/>
      <c r="C109" s="40"/>
      <c r="D109" s="41"/>
      <c r="E109" s="72"/>
      <c r="F109" s="72"/>
      <c r="G109" s="72"/>
      <c r="H109" s="72"/>
      <c r="I109" s="72"/>
      <c r="J109" s="72"/>
      <c r="K109" s="72"/>
      <c r="L109" s="75"/>
      <c r="M109" s="72"/>
      <c r="N109" s="72"/>
      <c r="O109" s="72"/>
      <c r="P109" s="72"/>
      <c r="Q109" s="72"/>
      <c r="R109" s="72"/>
      <c r="S109" s="72"/>
      <c r="T109" s="75"/>
    </row>
    <row r="110" spans="1:20" ht="15" customHeight="1" x14ac:dyDescent="0.25">
      <c r="A110" s="45" t="s">
        <v>256</v>
      </c>
      <c r="B110" s="46">
        <v>1</v>
      </c>
      <c r="C110" s="21" t="s">
        <v>139</v>
      </c>
      <c r="D110" s="47" t="s">
        <v>387</v>
      </c>
      <c r="E110" s="60"/>
      <c r="F110" s="60"/>
      <c r="G110" s="60"/>
      <c r="H110" s="60"/>
      <c r="I110" s="60"/>
      <c r="J110" s="60"/>
      <c r="K110" s="60"/>
      <c r="L110" s="74"/>
      <c r="M110" s="60"/>
      <c r="N110" s="60"/>
      <c r="O110" s="60"/>
      <c r="P110" s="60"/>
      <c r="Q110" s="60"/>
      <c r="R110" s="60"/>
      <c r="S110" s="60"/>
      <c r="T110" s="74"/>
    </row>
    <row r="111" spans="1:20" ht="15" customHeight="1" x14ac:dyDescent="0.25">
      <c r="A111" s="45"/>
      <c r="B111" s="46">
        <v>2</v>
      </c>
      <c r="C111" s="21" t="s">
        <v>139</v>
      </c>
      <c r="D111" s="47" t="s">
        <v>388</v>
      </c>
      <c r="E111" s="60"/>
      <c r="F111" s="60"/>
      <c r="G111" s="60"/>
      <c r="H111" s="60"/>
      <c r="I111" s="60"/>
      <c r="J111" s="60"/>
      <c r="K111" s="60"/>
      <c r="L111" s="74"/>
      <c r="M111" s="60"/>
      <c r="N111" s="60"/>
      <c r="O111" s="60"/>
      <c r="P111" s="60"/>
      <c r="Q111" s="60"/>
      <c r="R111" s="60"/>
      <c r="S111" s="60"/>
      <c r="T111" s="74"/>
    </row>
    <row r="112" spans="1:20" x14ac:dyDescent="0.25">
      <c r="A112" s="38" t="s">
        <v>144</v>
      </c>
      <c r="B112" s="39"/>
      <c r="C112" s="40"/>
      <c r="D112" s="41"/>
      <c r="E112" s="72"/>
      <c r="F112" s="72"/>
      <c r="G112" s="72"/>
      <c r="H112" s="72"/>
      <c r="I112" s="72"/>
      <c r="J112" s="72"/>
      <c r="K112" s="72"/>
      <c r="L112" s="75"/>
      <c r="M112" s="72"/>
      <c r="N112" s="72"/>
      <c r="O112" s="72"/>
      <c r="P112" s="72"/>
      <c r="Q112" s="72"/>
      <c r="R112" s="72"/>
      <c r="S112" s="72"/>
      <c r="T112" s="75"/>
    </row>
    <row r="113" spans="1:20" ht="15" customHeight="1" x14ac:dyDescent="0.25">
      <c r="A113" s="45" t="s">
        <v>144</v>
      </c>
      <c r="B113" s="46">
        <v>1</v>
      </c>
      <c r="C113" s="21" t="s">
        <v>143</v>
      </c>
      <c r="D113" s="47" t="s">
        <v>389</v>
      </c>
      <c r="E113" s="60"/>
      <c r="F113" s="60"/>
      <c r="G113" s="60"/>
      <c r="H113" s="60"/>
      <c r="I113" s="60"/>
      <c r="J113" s="60"/>
      <c r="K113" s="60"/>
      <c r="L113" s="74"/>
      <c r="M113" s="60"/>
      <c r="N113" s="60"/>
      <c r="O113" s="60"/>
      <c r="P113" s="60"/>
      <c r="Q113" s="60"/>
      <c r="R113" s="60"/>
      <c r="S113" s="60"/>
      <c r="T113" s="74"/>
    </row>
    <row r="114" spans="1:20" x14ac:dyDescent="0.25">
      <c r="A114" s="38" t="s">
        <v>150</v>
      </c>
      <c r="B114" s="39"/>
      <c r="C114" s="40"/>
      <c r="D114" s="41"/>
      <c r="E114" s="72"/>
      <c r="F114" s="72"/>
      <c r="G114" s="72"/>
      <c r="H114" s="72"/>
      <c r="I114" s="72"/>
      <c r="J114" s="72"/>
      <c r="K114" s="72"/>
      <c r="L114" s="75"/>
      <c r="M114" s="72"/>
      <c r="N114" s="72"/>
      <c r="O114" s="72"/>
      <c r="P114" s="72"/>
      <c r="Q114" s="72"/>
      <c r="R114" s="72"/>
      <c r="S114" s="72"/>
      <c r="T114" s="75"/>
    </row>
    <row r="115" spans="1:20" ht="15" customHeight="1" x14ac:dyDescent="0.25">
      <c r="A115" s="45" t="s">
        <v>150</v>
      </c>
      <c r="B115" s="46">
        <v>1</v>
      </c>
      <c r="C115" s="21" t="s">
        <v>149</v>
      </c>
      <c r="D115" s="47" t="s">
        <v>390</v>
      </c>
      <c r="E115" s="60"/>
      <c r="F115" s="60"/>
      <c r="G115" s="60"/>
      <c r="H115" s="60"/>
      <c r="I115" s="60"/>
      <c r="J115" s="60"/>
      <c r="K115" s="60"/>
      <c r="L115" s="74"/>
      <c r="M115" s="60"/>
      <c r="N115" s="60"/>
      <c r="O115" s="60"/>
      <c r="P115" s="60"/>
      <c r="Q115" s="60"/>
      <c r="R115" s="60"/>
      <c r="S115" s="60"/>
      <c r="T115" s="74"/>
    </row>
    <row r="116" spans="1:20" ht="15" customHeight="1" x14ac:dyDescent="0.25">
      <c r="A116" s="45"/>
      <c r="B116" s="46">
        <v>2</v>
      </c>
      <c r="C116" s="21" t="s">
        <v>149</v>
      </c>
      <c r="D116" s="47" t="s">
        <v>391</v>
      </c>
      <c r="E116" s="60"/>
      <c r="F116" s="60"/>
      <c r="G116" s="60"/>
      <c r="H116" s="60"/>
      <c r="I116" s="60"/>
      <c r="J116" s="60"/>
      <c r="K116" s="60"/>
      <c r="L116" s="74"/>
      <c r="M116" s="60"/>
      <c r="N116" s="60"/>
      <c r="O116" s="60"/>
      <c r="P116" s="60"/>
      <c r="Q116" s="60"/>
      <c r="R116" s="60"/>
      <c r="S116" s="60"/>
      <c r="T116" s="74"/>
    </row>
    <row r="117" spans="1:20" ht="15" customHeight="1" x14ac:dyDescent="0.25">
      <c r="A117" s="136" t="s">
        <v>257</v>
      </c>
      <c r="B117" s="137"/>
      <c r="C117" s="52"/>
      <c r="D117" s="53"/>
      <c r="E117" s="76"/>
      <c r="F117" s="76"/>
      <c r="G117" s="76"/>
      <c r="H117" s="76"/>
      <c r="I117" s="76"/>
      <c r="J117" s="76"/>
      <c r="K117" s="76"/>
      <c r="L117" s="77"/>
      <c r="M117" s="76"/>
      <c r="N117" s="76"/>
      <c r="O117" s="76"/>
      <c r="P117" s="76"/>
      <c r="Q117" s="76"/>
      <c r="R117" s="76"/>
      <c r="S117" s="76"/>
      <c r="T117" s="77"/>
    </row>
    <row r="118" spans="1:20" x14ac:dyDescent="0.25">
      <c r="A118" s="38" t="s">
        <v>181</v>
      </c>
      <c r="B118" s="39"/>
      <c r="C118" s="40"/>
      <c r="D118" s="41"/>
      <c r="E118" s="72"/>
      <c r="F118" s="72"/>
      <c r="G118" s="72"/>
      <c r="H118" s="72"/>
      <c r="I118" s="72"/>
      <c r="J118" s="72"/>
      <c r="K118" s="72"/>
      <c r="L118" s="75"/>
      <c r="M118" s="72"/>
      <c r="N118" s="72"/>
      <c r="O118" s="72"/>
      <c r="P118" s="72"/>
      <c r="Q118" s="72"/>
      <c r="R118" s="72"/>
      <c r="S118" s="72"/>
      <c r="T118" s="75"/>
    </row>
    <row r="119" spans="1:20" ht="15" customHeight="1" x14ac:dyDescent="0.25">
      <c r="A119" s="45" t="s">
        <v>258</v>
      </c>
      <c r="B119" s="46">
        <v>1</v>
      </c>
      <c r="C119" s="21" t="s">
        <v>180</v>
      </c>
      <c r="D119" s="47" t="s">
        <v>392</v>
      </c>
      <c r="E119" s="60"/>
      <c r="F119" s="60"/>
      <c r="G119" s="60"/>
      <c r="H119" s="60"/>
      <c r="I119" s="60"/>
      <c r="J119" s="60"/>
      <c r="K119" s="60"/>
      <c r="L119" s="74"/>
      <c r="M119" s="60"/>
      <c r="N119" s="60"/>
      <c r="O119" s="60"/>
      <c r="P119" s="60"/>
      <c r="Q119" s="60"/>
      <c r="R119" s="60"/>
      <c r="S119" s="60"/>
      <c r="T119" s="74"/>
    </row>
    <row r="120" spans="1:20" ht="15" customHeight="1" x14ac:dyDescent="0.25">
      <c r="A120" s="45"/>
      <c r="B120" s="46">
        <v>2</v>
      </c>
      <c r="C120" s="21" t="s">
        <v>180</v>
      </c>
      <c r="D120" s="47" t="s">
        <v>393</v>
      </c>
      <c r="E120" s="60"/>
      <c r="F120" s="60"/>
      <c r="G120" s="60"/>
      <c r="H120" s="60"/>
      <c r="I120" s="60"/>
      <c r="J120" s="60"/>
      <c r="K120" s="60"/>
      <c r="L120" s="74"/>
      <c r="M120" s="60"/>
      <c r="N120" s="60"/>
      <c r="O120" s="60"/>
      <c r="P120" s="60"/>
      <c r="Q120" s="60"/>
      <c r="R120" s="60"/>
      <c r="S120" s="60"/>
      <c r="T120" s="74"/>
    </row>
    <row r="121" spans="1:20" x14ac:dyDescent="0.25">
      <c r="A121" s="38" t="s">
        <v>179</v>
      </c>
      <c r="B121" s="39"/>
      <c r="C121" s="40"/>
      <c r="D121" s="41"/>
      <c r="E121" s="72"/>
      <c r="F121" s="72"/>
      <c r="G121" s="72"/>
      <c r="H121" s="72"/>
      <c r="I121" s="72"/>
      <c r="J121" s="72"/>
      <c r="K121" s="72"/>
      <c r="L121" s="75"/>
      <c r="M121" s="72"/>
      <c r="N121" s="72"/>
      <c r="O121" s="72"/>
      <c r="P121" s="72"/>
      <c r="Q121" s="72"/>
      <c r="R121" s="72"/>
      <c r="S121" s="72"/>
      <c r="T121" s="75"/>
    </row>
    <row r="122" spans="1:20" ht="15" customHeight="1" x14ac:dyDescent="0.25">
      <c r="A122" s="45" t="s">
        <v>259</v>
      </c>
      <c r="B122" s="46">
        <v>2</v>
      </c>
      <c r="C122" s="21" t="s">
        <v>178</v>
      </c>
      <c r="D122" s="47" t="s">
        <v>394</v>
      </c>
      <c r="E122" s="60"/>
      <c r="F122" s="60"/>
      <c r="G122" s="60"/>
      <c r="H122" s="60"/>
      <c r="I122" s="60"/>
      <c r="J122" s="60"/>
      <c r="K122" s="60"/>
      <c r="L122" s="74"/>
      <c r="M122" s="60"/>
      <c r="N122" s="60"/>
      <c r="O122" s="60"/>
      <c r="P122" s="60"/>
      <c r="Q122" s="60"/>
      <c r="R122" s="60"/>
      <c r="S122" s="60"/>
      <c r="T122" s="74"/>
    </row>
    <row r="123" spans="1:20" x14ac:dyDescent="0.25">
      <c r="A123" s="38" t="s">
        <v>260</v>
      </c>
      <c r="B123" s="39"/>
      <c r="C123" s="40"/>
      <c r="D123" s="41"/>
      <c r="E123" s="72"/>
      <c r="F123" s="72"/>
      <c r="G123" s="72"/>
      <c r="H123" s="72"/>
      <c r="I123" s="72"/>
      <c r="J123" s="72"/>
      <c r="K123" s="72"/>
      <c r="L123" s="75"/>
      <c r="M123" s="72"/>
      <c r="N123" s="72"/>
      <c r="O123" s="72"/>
      <c r="P123" s="72"/>
      <c r="Q123" s="72"/>
      <c r="R123" s="72"/>
      <c r="S123" s="72"/>
      <c r="T123" s="75"/>
    </row>
    <row r="124" spans="1:20" ht="15" customHeight="1" x14ac:dyDescent="0.25">
      <c r="A124" s="45" t="s">
        <v>261</v>
      </c>
      <c r="B124" s="46">
        <v>4</v>
      </c>
      <c r="C124" s="21"/>
      <c r="D124" s="47" t="s">
        <v>132</v>
      </c>
      <c r="E124" s="60"/>
      <c r="F124" s="60"/>
      <c r="G124" s="60"/>
      <c r="H124" s="60"/>
      <c r="I124" s="60"/>
      <c r="J124" s="60"/>
      <c r="K124" s="60"/>
      <c r="L124" s="74"/>
      <c r="M124" s="60"/>
      <c r="N124" s="60"/>
      <c r="O124" s="60"/>
      <c r="P124" s="60"/>
      <c r="Q124" s="60"/>
      <c r="R124" s="60"/>
      <c r="S124" s="60"/>
      <c r="T124" s="74"/>
    </row>
    <row r="125" spans="1:20" x14ac:dyDescent="0.25">
      <c r="A125" s="38" t="s">
        <v>262</v>
      </c>
      <c r="B125" s="39"/>
      <c r="C125" s="40"/>
      <c r="D125" s="41"/>
      <c r="E125" s="72"/>
      <c r="F125" s="72"/>
      <c r="G125" s="72"/>
      <c r="H125" s="72"/>
      <c r="I125" s="72"/>
      <c r="J125" s="72"/>
      <c r="K125" s="72"/>
      <c r="L125" s="75"/>
      <c r="M125" s="72"/>
      <c r="N125" s="72"/>
      <c r="O125" s="72"/>
      <c r="P125" s="72"/>
      <c r="Q125" s="72"/>
      <c r="R125" s="72"/>
      <c r="S125" s="72"/>
      <c r="T125" s="75"/>
    </row>
    <row r="126" spans="1:20" ht="15" customHeight="1" x14ac:dyDescent="0.25">
      <c r="A126" s="45" t="s">
        <v>153</v>
      </c>
      <c r="B126" s="46">
        <v>1</v>
      </c>
      <c r="C126" s="21" t="s">
        <v>152</v>
      </c>
      <c r="D126" s="47" t="s">
        <v>395</v>
      </c>
      <c r="E126" s="60"/>
      <c r="F126" s="60"/>
      <c r="G126" s="60"/>
      <c r="H126" s="60"/>
      <c r="I126" s="60"/>
      <c r="J126" s="60"/>
      <c r="K126" s="60"/>
      <c r="L126" s="74"/>
      <c r="M126" s="60"/>
      <c r="N126" s="60"/>
      <c r="O126" s="60"/>
      <c r="P126" s="60"/>
      <c r="Q126" s="60"/>
      <c r="R126" s="60"/>
      <c r="S126" s="60"/>
      <c r="T126" s="74"/>
    </row>
    <row r="127" spans="1:20" x14ac:dyDescent="0.25">
      <c r="A127" s="38" t="s">
        <v>156</v>
      </c>
      <c r="B127" s="39"/>
      <c r="C127" s="40"/>
      <c r="D127" s="41"/>
      <c r="E127" s="72"/>
      <c r="F127" s="72"/>
      <c r="G127" s="72"/>
      <c r="H127" s="72"/>
      <c r="I127" s="72"/>
      <c r="J127" s="72"/>
      <c r="K127" s="72"/>
      <c r="L127" s="75"/>
      <c r="M127" s="72"/>
      <c r="N127" s="72"/>
      <c r="O127" s="72"/>
      <c r="P127" s="72"/>
      <c r="Q127" s="72"/>
      <c r="R127" s="72"/>
      <c r="S127" s="72"/>
      <c r="T127" s="75"/>
    </row>
    <row r="128" spans="1:20" ht="15" customHeight="1" x14ac:dyDescent="0.25">
      <c r="A128" s="45" t="s">
        <v>156</v>
      </c>
      <c r="B128" s="46">
        <v>1</v>
      </c>
      <c r="C128" s="21" t="s">
        <v>155</v>
      </c>
      <c r="D128" s="47" t="s">
        <v>396</v>
      </c>
      <c r="E128" s="60"/>
      <c r="F128" s="60"/>
      <c r="G128" s="60"/>
      <c r="H128" s="60"/>
      <c r="I128" s="60"/>
      <c r="J128" s="60"/>
      <c r="K128" s="60"/>
      <c r="L128" s="74"/>
      <c r="M128" s="60"/>
      <c r="N128" s="60"/>
      <c r="O128" s="60"/>
      <c r="P128" s="60"/>
      <c r="Q128" s="60"/>
      <c r="R128" s="60"/>
      <c r="S128" s="60"/>
      <c r="T128" s="74"/>
    </row>
    <row r="129" spans="1:20" ht="15" customHeight="1" x14ac:dyDescent="0.25">
      <c r="A129" s="45"/>
      <c r="B129" s="46">
        <v>2</v>
      </c>
      <c r="C129" s="21" t="s">
        <v>155</v>
      </c>
      <c r="D129" s="47" t="s">
        <v>397</v>
      </c>
      <c r="E129" s="60"/>
      <c r="F129" s="60"/>
      <c r="G129" s="60"/>
      <c r="H129" s="60"/>
      <c r="I129" s="60"/>
      <c r="J129" s="60"/>
      <c r="K129" s="60"/>
      <c r="L129" s="74"/>
      <c r="M129" s="60"/>
      <c r="N129" s="60"/>
      <c r="O129" s="60"/>
      <c r="P129" s="60"/>
      <c r="Q129" s="60"/>
      <c r="R129" s="60"/>
      <c r="S129" s="60"/>
      <c r="T129" s="74"/>
    </row>
    <row r="130" spans="1:20" x14ac:dyDescent="0.25">
      <c r="A130" s="38" t="s">
        <v>263</v>
      </c>
      <c r="B130" s="39"/>
      <c r="C130" s="40"/>
      <c r="D130" s="41"/>
      <c r="E130" s="72"/>
      <c r="F130" s="72"/>
      <c r="G130" s="72"/>
      <c r="H130" s="72"/>
      <c r="I130" s="72"/>
      <c r="J130" s="72"/>
      <c r="K130" s="72"/>
      <c r="L130" s="75"/>
      <c r="M130" s="72"/>
      <c r="N130" s="72"/>
      <c r="O130" s="72"/>
      <c r="P130" s="72"/>
      <c r="Q130" s="72"/>
      <c r="R130" s="72"/>
      <c r="S130" s="72"/>
      <c r="T130" s="75"/>
    </row>
    <row r="131" spans="1:20" ht="15" customHeight="1" x14ac:dyDescent="0.25">
      <c r="A131" s="45" t="s">
        <v>264</v>
      </c>
      <c r="B131" s="46">
        <v>1</v>
      </c>
      <c r="C131" s="21" t="s">
        <v>151</v>
      </c>
      <c r="D131" s="47" t="s">
        <v>398</v>
      </c>
      <c r="E131" s="60"/>
      <c r="F131" s="60"/>
      <c r="G131" s="60"/>
      <c r="H131" s="60"/>
      <c r="I131" s="60"/>
      <c r="J131" s="60"/>
      <c r="K131" s="60"/>
      <c r="L131" s="74"/>
      <c r="M131" s="60"/>
      <c r="N131" s="60"/>
      <c r="O131" s="60"/>
      <c r="P131" s="60"/>
      <c r="Q131" s="60"/>
      <c r="R131" s="60"/>
      <c r="S131" s="60"/>
      <c r="T131" s="74"/>
    </row>
    <row r="132" spans="1:20" ht="15" customHeight="1" x14ac:dyDescent="0.25">
      <c r="A132" s="45"/>
      <c r="B132" s="46">
        <v>2</v>
      </c>
      <c r="C132" s="21" t="s">
        <v>151</v>
      </c>
      <c r="D132" s="47" t="s">
        <v>399</v>
      </c>
      <c r="E132" s="60"/>
      <c r="F132" s="60"/>
      <c r="G132" s="60"/>
      <c r="H132" s="60"/>
      <c r="I132" s="60"/>
      <c r="J132" s="60"/>
      <c r="K132" s="60"/>
      <c r="L132" s="74"/>
      <c r="M132" s="60"/>
      <c r="N132" s="60"/>
      <c r="O132" s="60"/>
      <c r="P132" s="60"/>
      <c r="Q132" s="60"/>
      <c r="R132" s="60"/>
      <c r="S132" s="60"/>
      <c r="T132" s="74"/>
    </row>
    <row r="133" spans="1:20" ht="15" customHeight="1" x14ac:dyDescent="0.25">
      <c r="A133" s="45"/>
      <c r="B133" s="46">
        <v>3</v>
      </c>
      <c r="C133" s="21" t="s">
        <v>265</v>
      </c>
      <c r="D133" s="47" t="s">
        <v>400</v>
      </c>
      <c r="E133" s="60"/>
      <c r="F133" s="60"/>
      <c r="G133" s="60"/>
      <c r="H133" s="60"/>
      <c r="I133" s="60"/>
      <c r="J133" s="60"/>
      <c r="K133" s="60"/>
      <c r="L133" s="74"/>
      <c r="M133" s="60"/>
      <c r="N133" s="60"/>
      <c r="O133" s="60"/>
      <c r="P133" s="60"/>
      <c r="Q133" s="60"/>
      <c r="R133" s="60"/>
      <c r="S133" s="60"/>
      <c r="T133" s="74"/>
    </row>
    <row r="134" spans="1:20" x14ac:dyDescent="0.25">
      <c r="A134" s="38" t="s">
        <v>266</v>
      </c>
      <c r="B134" s="39"/>
      <c r="C134" s="40"/>
      <c r="D134" s="41"/>
      <c r="E134" s="72"/>
      <c r="F134" s="72"/>
      <c r="G134" s="72"/>
      <c r="H134" s="72"/>
      <c r="I134" s="72"/>
      <c r="J134" s="72"/>
      <c r="K134" s="72"/>
      <c r="L134" s="75"/>
      <c r="M134" s="72"/>
      <c r="N134" s="72"/>
      <c r="O134" s="72"/>
      <c r="P134" s="72"/>
      <c r="Q134" s="72"/>
      <c r="R134" s="72"/>
      <c r="S134" s="72"/>
      <c r="T134" s="75"/>
    </row>
    <row r="135" spans="1:20" ht="15" customHeight="1" x14ac:dyDescent="0.25">
      <c r="A135" s="45" t="s">
        <v>266</v>
      </c>
      <c r="B135" s="46">
        <v>1</v>
      </c>
      <c r="C135" s="21" t="s">
        <v>154</v>
      </c>
      <c r="D135" s="47" t="s">
        <v>401</v>
      </c>
      <c r="E135" s="60"/>
      <c r="F135" s="60"/>
      <c r="G135" s="60"/>
      <c r="H135" s="60"/>
      <c r="I135" s="60"/>
      <c r="J135" s="60"/>
      <c r="K135" s="60"/>
      <c r="L135" s="74"/>
      <c r="M135" s="60"/>
      <c r="N135" s="60"/>
      <c r="O135" s="60"/>
      <c r="P135" s="60"/>
      <c r="Q135" s="60"/>
      <c r="R135" s="60"/>
      <c r="S135" s="60"/>
      <c r="T135" s="74"/>
    </row>
    <row r="136" spans="1:20" ht="15" customHeight="1" x14ac:dyDescent="0.25">
      <c r="A136" s="136" t="s">
        <v>267</v>
      </c>
      <c r="B136" s="137"/>
      <c r="C136" s="52"/>
      <c r="D136" s="53"/>
      <c r="E136" s="76"/>
      <c r="F136" s="76"/>
      <c r="G136" s="76"/>
      <c r="H136" s="76"/>
      <c r="I136" s="76"/>
      <c r="J136" s="76"/>
      <c r="K136" s="76"/>
      <c r="L136" s="77"/>
      <c r="M136" s="76"/>
      <c r="N136" s="76"/>
      <c r="O136" s="76"/>
      <c r="P136" s="76"/>
      <c r="Q136" s="76"/>
      <c r="R136" s="76"/>
      <c r="S136" s="76"/>
      <c r="T136" s="77"/>
    </row>
    <row r="137" spans="1:20" ht="15" customHeight="1" x14ac:dyDescent="0.25">
      <c r="A137" s="142" t="s">
        <v>268</v>
      </c>
      <c r="B137" s="143"/>
      <c r="C137" s="56"/>
      <c r="D137" s="57"/>
      <c r="E137" s="78"/>
      <c r="F137" s="78"/>
      <c r="G137" s="78"/>
      <c r="H137" s="78"/>
      <c r="I137" s="78"/>
      <c r="J137" s="78"/>
      <c r="K137" s="78"/>
      <c r="L137" s="79"/>
      <c r="M137" s="78"/>
      <c r="N137" s="78"/>
      <c r="O137" s="78"/>
      <c r="P137" s="78"/>
      <c r="Q137" s="78"/>
      <c r="R137" s="78"/>
      <c r="S137" s="78"/>
      <c r="T137" s="79"/>
    </row>
    <row r="138" spans="1:20" x14ac:dyDescent="0.25">
      <c r="A138" s="38" t="s">
        <v>269</v>
      </c>
      <c r="B138" s="39"/>
      <c r="C138" s="40"/>
      <c r="D138" s="41"/>
      <c r="E138" s="72"/>
      <c r="F138" s="72"/>
      <c r="G138" s="72"/>
      <c r="H138" s="72"/>
      <c r="I138" s="72"/>
      <c r="J138" s="72"/>
      <c r="K138" s="72"/>
      <c r="L138" s="75"/>
      <c r="M138" s="72"/>
      <c r="N138" s="72"/>
      <c r="O138" s="72"/>
      <c r="P138" s="72"/>
      <c r="Q138" s="72"/>
      <c r="R138" s="72"/>
      <c r="S138" s="72"/>
      <c r="T138" s="75"/>
    </row>
    <row r="139" spans="1:20" ht="15" customHeight="1" x14ac:dyDescent="0.25">
      <c r="A139" s="45" t="s">
        <v>270</v>
      </c>
      <c r="B139" s="46">
        <v>1</v>
      </c>
      <c r="C139" s="21" t="s">
        <v>271</v>
      </c>
      <c r="D139" s="47" t="s">
        <v>402</v>
      </c>
      <c r="E139" s="60"/>
      <c r="F139" s="60"/>
      <c r="G139" s="60"/>
      <c r="H139" s="60"/>
      <c r="I139" s="60"/>
      <c r="J139" s="60"/>
      <c r="K139" s="60"/>
      <c r="L139" s="74"/>
      <c r="M139" s="60"/>
      <c r="N139" s="60"/>
      <c r="O139" s="60"/>
      <c r="P139" s="60"/>
      <c r="Q139" s="60"/>
      <c r="R139" s="60"/>
      <c r="S139" s="60"/>
      <c r="T139" s="74"/>
    </row>
    <row r="140" spans="1:20" ht="15" customHeight="1" x14ac:dyDescent="0.25">
      <c r="A140" s="45"/>
      <c r="B140" s="46">
        <v>2</v>
      </c>
      <c r="C140" s="21" t="s">
        <v>271</v>
      </c>
      <c r="D140" s="47" t="s">
        <v>403</v>
      </c>
      <c r="E140" s="60"/>
      <c r="F140" s="60"/>
      <c r="G140" s="60"/>
      <c r="H140" s="60"/>
      <c r="I140" s="60"/>
      <c r="J140" s="60"/>
      <c r="K140" s="60"/>
      <c r="L140" s="74"/>
      <c r="M140" s="60"/>
      <c r="N140" s="60"/>
      <c r="O140" s="60"/>
      <c r="P140" s="60"/>
      <c r="Q140" s="60"/>
      <c r="R140" s="60"/>
      <c r="S140" s="60"/>
      <c r="T140" s="74"/>
    </row>
    <row r="141" spans="1:20" ht="15" customHeight="1" x14ac:dyDescent="0.25">
      <c r="A141" s="45"/>
      <c r="B141" s="46">
        <v>3</v>
      </c>
      <c r="C141" s="21" t="s">
        <v>271</v>
      </c>
      <c r="D141" s="47" t="s">
        <v>404</v>
      </c>
      <c r="E141" s="60"/>
      <c r="F141" s="60"/>
      <c r="G141" s="60"/>
      <c r="H141" s="60"/>
      <c r="I141" s="60"/>
      <c r="J141" s="60"/>
      <c r="K141" s="60"/>
      <c r="L141" s="74"/>
      <c r="M141" s="60"/>
      <c r="N141" s="60"/>
      <c r="O141" s="60"/>
      <c r="P141" s="60"/>
      <c r="Q141" s="60"/>
      <c r="R141" s="60"/>
      <c r="S141" s="60"/>
      <c r="T141" s="74"/>
    </row>
    <row r="142" spans="1:20" ht="15" customHeight="1" x14ac:dyDescent="0.25">
      <c r="A142" s="45"/>
      <c r="B142" s="46">
        <v>4</v>
      </c>
      <c r="C142" s="21" t="s">
        <v>271</v>
      </c>
      <c r="D142" s="47" t="s">
        <v>405</v>
      </c>
      <c r="E142" s="60"/>
      <c r="F142" s="60"/>
      <c r="G142" s="60"/>
      <c r="H142" s="60"/>
      <c r="I142" s="60"/>
      <c r="J142" s="60"/>
      <c r="K142" s="60"/>
      <c r="L142" s="74"/>
      <c r="M142" s="60"/>
      <c r="N142" s="60"/>
      <c r="O142" s="60"/>
      <c r="P142" s="60"/>
      <c r="Q142" s="60"/>
      <c r="R142" s="60"/>
      <c r="S142" s="60"/>
      <c r="T142" s="74"/>
    </row>
    <row r="143" spans="1:20" ht="15" customHeight="1" x14ac:dyDescent="0.25">
      <c r="A143" s="45" t="s">
        <v>272</v>
      </c>
      <c r="B143" s="46">
        <v>1</v>
      </c>
      <c r="C143" s="21" t="s">
        <v>169</v>
      </c>
      <c r="D143" s="47" t="s">
        <v>406</v>
      </c>
      <c r="E143" s="60"/>
      <c r="F143" s="60"/>
      <c r="G143" s="60"/>
      <c r="H143" s="60"/>
      <c r="I143" s="60"/>
      <c r="J143" s="60"/>
      <c r="K143" s="60"/>
      <c r="L143" s="74"/>
      <c r="M143" s="60"/>
      <c r="N143" s="60"/>
      <c r="O143" s="60"/>
      <c r="P143" s="60"/>
      <c r="Q143" s="60"/>
      <c r="R143" s="60"/>
      <c r="S143" s="60"/>
      <c r="T143" s="74"/>
    </row>
    <row r="144" spans="1:20" ht="15" customHeight="1" x14ac:dyDescent="0.25">
      <c r="A144" s="45"/>
      <c r="B144" s="46">
        <v>2</v>
      </c>
      <c r="C144" s="21" t="s">
        <v>169</v>
      </c>
      <c r="D144" s="47" t="s">
        <v>407</v>
      </c>
      <c r="E144" s="60"/>
      <c r="F144" s="60"/>
      <c r="G144" s="60"/>
      <c r="H144" s="60"/>
      <c r="I144" s="60"/>
      <c r="J144" s="60"/>
      <c r="K144" s="60"/>
      <c r="L144" s="74"/>
      <c r="M144" s="60"/>
      <c r="N144" s="60"/>
      <c r="O144" s="60"/>
      <c r="P144" s="60"/>
      <c r="Q144" s="60"/>
      <c r="R144" s="60"/>
      <c r="S144" s="60"/>
      <c r="T144" s="74"/>
    </row>
    <row r="145" spans="1:20" ht="15" customHeight="1" x14ac:dyDescent="0.25">
      <c r="A145" s="45"/>
      <c r="B145" s="46">
        <v>3</v>
      </c>
      <c r="C145" s="21" t="s">
        <v>169</v>
      </c>
      <c r="D145" s="47" t="s">
        <v>408</v>
      </c>
      <c r="E145" s="60"/>
      <c r="F145" s="60"/>
      <c r="G145" s="60"/>
      <c r="H145" s="60"/>
      <c r="I145" s="60"/>
      <c r="J145" s="60"/>
      <c r="K145" s="60"/>
      <c r="L145" s="74"/>
      <c r="M145" s="60"/>
      <c r="N145" s="60"/>
      <c r="O145" s="60"/>
      <c r="P145" s="60"/>
      <c r="Q145" s="60"/>
      <c r="R145" s="60"/>
      <c r="S145" s="60"/>
      <c r="T145" s="74"/>
    </row>
    <row r="146" spans="1:20" ht="15" customHeight="1" x14ac:dyDescent="0.25">
      <c r="A146" s="45"/>
      <c r="B146" s="46">
        <v>4</v>
      </c>
      <c r="C146" s="21" t="s">
        <v>169</v>
      </c>
      <c r="D146" s="47" t="s">
        <v>409</v>
      </c>
      <c r="E146" s="60"/>
      <c r="F146" s="60"/>
      <c r="G146" s="60"/>
      <c r="H146" s="60"/>
      <c r="I146" s="60"/>
      <c r="J146" s="60"/>
      <c r="K146" s="60"/>
      <c r="L146" s="74"/>
      <c r="M146" s="60"/>
      <c r="N146" s="60"/>
      <c r="O146" s="60"/>
      <c r="P146" s="60"/>
      <c r="Q146" s="60"/>
      <c r="R146" s="60"/>
      <c r="S146" s="60"/>
      <c r="T146" s="74"/>
    </row>
    <row r="147" spans="1:20" ht="15" customHeight="1" x14ac:dyDescent="0.25">
      <c r="A147" s="45" t="s">
        <v>273</v>
      </c>
      <c r="B147" s="46">
        <v>1</v>
      </c>
      <c r="C147" s="21" t="s">
        <v>170</v>
      </c>
      <c r="D147" s="47" t="s">
        <v>410</v>
      </c>
      <c r="E147" s="60"/>
      <c r="F147" s="60"/>
      <c r="G147" s="60"/>
      <c r="H147" s="60"/>
      <c r="I147" s="60"/>
      <c r="J147" s="60"/>
      <c r="K147" s="60"/>
      <c r="L147" s="74"/>
      <c r="M147" s="60"/>
      <c r="N147" s="60"/>
      <c r="O147" s="60"/>
      <c r="P147" s="60"/>
      <c r="Q147" s="60"/>
      <c r="R147" s="60"/>
      <c r="S147" s="60"/>
      <c r="T147" s="74"/>
    </row>
    <row r="148" spans="1:20" ht="15" customHeight="1" x14ac:dyDescent="0.25">
      <c r="A148" s="45"/>
      <c r="B148" s="46">
        <v>2</v>
      </c>
      <c r="C148" s="21" t="s">
        <v>170</v>
      </c>
      <c r="D148" s="47" t="s">
        <v>411</v>
      </c>
      <c r="E148" s="60"/>
      <c r="F148" s="60"/>
      <c r="G148" s="60"/>
      <c r="H148" s="60"/>
      <c r="I148" s="60"/>
      <c r="J148" s="60"/>
      <c r="K148" s="60"/>
      <c r="L148" s="74"/>
      <c r="M148" s="60"/>
      <c r="N148" s="60"/>
      <c r="O148" s="60"/>
      <c r="P148" s="60"/>
      <c r="Q148" s="60"/>
      <c r="R148" s="60"/>
      <c r="S148" s="60"/>
      <c r="T148" s="74"/>
    </row>
    <row r="149" spans="1:20" ht="15" customHeight="1" x14ac:dyDescent="0.25">
      <c r="A149" s="45"/>
      <c r="B149" s="46">
        <v>3</v>
      </c>
      <c r="C149" s="21" t="s">
        <v>170</v>
      </c>
      <c r="D149" s="47" t="s">
        <v>412</v>
      </c>
      <c r="E149" s="60"/>
      <c r="F149" s="60"/>
      <c r="G149" s="60"/>
      <c r="H149" s="60"/>
      <c r="I149" s="60"/>
      <c r="J149" s="60"/>
      <c r="K149" s="60"/>
      <c r="L149" s="74"/>
      <c r="M149" s="60"/>
      <c r="N149" s="60"/>
      <c r="O149" s="60"/>
      <c r="P149" s="60"/>
      <c r="Q149" s="60"/>
      <c r="R149" s="60"/>
      <c r="S149" s="60"/>
      <c r="T149" s="74"/>
    </row>
    <row r="150" spans="1:20" ht="15" customHeight="1" x14ac:dyDescent="0.25">
      <c r="A150" s="45"/>
      <c r="B150" s="46">
        <v>4</v>
      </c>
      <c r="C150" s="21" t="s">
        <v>170</v>
      </c>
      <c r="D150" s="47" t="s">
        <v>413</v>
      </c>
      <c r="E150" s="60"/>
      <c r="F150" s="60"/>
      <c r="G150" s="60"/>
      <c r="H150" s="60"/>
      <c r="I150" s="60"/>
      <c r="J150" s="60"/>
      <c r="K150" s="60"/>
      <c r="L150" s="74"/>
      <c r="M150" s="60"/>
      <c r="N150" s="60"/>
      <c r="O150" s="60"/>
      <c r="P150" s="60"/>
      <c r="Q150" s="60"/>
      <c r="R150" s="60"/>
      <c r="S150" s="60"/>
      <c r="T150" s="74"/>
    </row>
    <row r="151" spans="1:20" ht="15" customHeight="1" x14ac:dyDescent="0.25">
      <c r="A151" s="45" t="s">
        <v>274</v>
      </c>
      <c r="B151" s="46">
        <v>1</v>
      </c>
      <c r="C151" s="21" t="s">
        <v>171</v>
      </c>
      <c r="D151" s="47" t="s">
        <v>414</v>
      </c>
      <c r="E151" s="60"/>
      <c r="F151" s="60"/>
      <c r="G151" s="60"/>
      <c r="H151" s="60"/>
      <c r="I151" s="60"/>
      <c r="J151" s="60"/>
      <c r="K151" s="60"/>
      <c r="L151" s="74"/>
      <c r="M151" s="60"/>
      <c r="N151" s="60"/>
      <c r="O151" s="60"/>
      <c r="P151" s="60"/>
      <c r="Q151" s="60"/>
      <c r="R151" s="60"/>
      <c r="S151" s="60"/>
      <c r="T151" s="74"/>
    </row>
    <row r="152" spans="1:20" ht="15" customHeight="1" x14ac:dyDescent="0.25">
      <c r="A152" s="45"/>
      <c r="B152" s="46">
        <v>2</v>
      </c>
      <c r="C152" s="21" t="s">
        <v>171</v>
      </c>
      <c r="D152" s="47" t="s">
        <v>415</v>
      </c>
      <c r="E152" s="60"/>
      <c r="F152" s="60"/>
      <c r="G152" s="60"/>
      <c r="H152" s="60"/>
      <c r="I152" s="60"/>
      <c r="J152" s="60"/>
      <c r="K152" s="60"/>
      <c r="L152" s="74"/>
      <c r="M152" s="60"/>
      <c r="N152" s="60"/>
      <c r="O152" s="60"/>
      <c r="P152" s="60"/>
      <c r="Q152" s="60"/>
      <c r="R152" s="60"/>
      <c r="S152" s="60"/>
      <c r="T152" s="74"/>
    </row>
    <row r="153" spans="1:20" ht="15" customHeight="1" x14ac:dyDescent="0.25">
      <c r="A153" s="45"/>
      <c r="B153" s="46">
        <v>3</v>
      </c>
      <c r="C153" s="21" t="s">
        <v>171</v>
      </c>
      <c r="D153" s="47" t="s">
        <v>416</v>
      </c>
      <c r="E153" s="60"/>
      <c r="F153" s="60"/>
      <c r="G153" s="60"/>
      <c r="H153" s="60"/>
      <c r="I153" s="60"/>
      <c r="J153" s="60"/>
      <c r="K153" s="60"/>
      <c r="L153" s="74"/>
      <c r="M153" s="60"/>
      <c r="N153" s="60"/>
      <c r="O153" s="60"/>
      <c r="P153" s="60"/>
      <c r="Q153" s="60"/>
      <c r="R153" s="60"/>
      <c r="S153" s="60"/>
      <c r="T153" s="74"/>
    </row>
    <row r="154" spans="1:20" ht="15" customHeight="1" x14ac:dyDescent="0.25">
      <c r="A154" s="45"/>
      <c r="B154" s="46">
        <v>4</v>
      </c>
      <c r="C154" s="21" t="s">
        <v>171</v>
      </c>
      <c r="D154" s="47" t="s">
        <v>417</v>
      </c>
      <c r="E154" s="60"/>
      <c r="F154" s="60"/>
      <c r="G154" s="60"/>
      <c r="H154" s="60"/>
      <c r="I154" s="60"/>
      <c r="J154" s="60"/>
      <c r="K154" s="60"/>
      <c r="L154" s="74"/>
      <c r="M154" s="60"/>
      <c r="N154" s="60"/>
      <c r="O154" s="60"/>
      <c r="P154" s="60"/>
      <c r="Q154" s="60"/>
      <c r="R154" s="60"/>
      <c r="S154" s="60"/>
      <c r="T154" s="74"/>
    </row>
    <row r="155" spans="1:20" ht="15" customHeight="1" x14ac:dyDescent="0.25">
      <c r="A155" s="45" t="s">
        <v>275</v>
      </c>
      <c r="B155" s="46">
        <v>1</v>
      </c>
      <c r="C155" s="21" t="s">
        <v>172</v>
      </c>
      <c r="D155" s="47" t="s">
        <v>418</v>
      </c>
      <c r="E155" s="60"/>
      <c r="F155" s="60"/>
      <c r="G155" s="60"/>
      <c r="H155" s="60"/>
      <c r="I155" s="60"/>
      <c r="J155" s="60"/>
      <c r="K155" s="60"/>
      <c r="L155" s="74"/>
      <c r="M155" s="60"/>
      <c r="N155" s="60"/>
      <c r="O155" s="60"/>
      <c r="P155" s="60"/>
      <c r="Q155" s="60"/>
      <c r="R155" s="60"/>
      <c r="S155" s="60"/>
      <c r="T155" s="74"/>
    </row>
    <row r="156" spans="1:20" ht="15" customHeight="1" x14ac:dyDescent="0.25">
      <c r="A156" s="45"/>
      <c r="B156" s="46">
        <v>2</v>
      </c>
      <c r="C156" s="21" t="s">
        <v>172</v>
      </c>
      <c r="D156" s="47" t="s">
        <v>419</v>
      </c>
      <c r="E156" s="60"/>
      <c r="F156" s="60"/>
      <c r="G156" s="60"/>
      <c r="H156" s="60"/>
      <c r="I156" s="60"/>
      <c r="J156" s="60"/>
      <c r="K156" s="60"/>
      <c r="L156" s="74"/>
      <c r="M156" s="60"/>
      <c r="N156" s="60"/>
      <c r="O156" s="60"/>
      <c r="P156" s="60"/>
      <c r="Q156" s="60"/>
      <c r="R156" s="60"/>
      <c r="S156" s="60"/>
      <c r="T156" s="74"/>
    </row>
    <row r="157" spans="1:20" ht="15" customHeight="1" x14ac:dyDescent="0.25">
      <c r="A157" s="45"/>
      <c r="B157" s="46">
        <v>3</v>
      </c>
      <c r="C157" s="21" t="s">
        <v>172</v>
      </c>
      <c r="D157" s="47" t="s">
        <v>420</v>
      </c>
      <c r="E157" s="60"/>
      <c r="F157" s="60"/>
      <c r="G157" s="60"/>
      <c r="H157" s="60"/>
      <c r="I157" s="60"/>
      <c r="J157" s="60"/>
      <c r="K157" s="60"/>
      <c r="L157" s="74"/>
      <c r="M157" s="60"/>
      <c r="N157" s="60"/>
      <c r="O157" s="60"/>
      <c r="P157" s="60"/>
      <c r="Q157" s="60"/>
      <c r="R157" s="60"/>
      <c r="S157" s="60"/>
      <c r="T157" s="74"/>
    </row>
    <row r="158" spans="1:20" ht="15" customHeight="1" x14ac:dyDescent="0.25">
      <c r="A158" s="45"/>
      <c r="B158" s="46">
        <v>4</v>
      </c>
      <c r="C158" s="21" t="s">
        <v>172</v>
      </c>
      <c r="D158" s="47" t="s">
        <v>421</v>
      </c>
      <c r="E158" s="60"/>
      <c r="F158" s="60"/>
      <c r="G158" s="60"/>
      <c r="H158" s="60"/>
      <c r="I158" s="60"/>
      <c r="J158" s="60"/>
      <c r="K158" s="60"/>
      <c r="L158" s="74"/>
      <c r="M158" s="60"/>
      <c r="N158" s="60"/>
      <c r="O158" s="60"/>
      <c r="P158" s="60"/>
      <c r="Q158" s="60"/>
      <c r="R158" s="60"/>
      <c r="S158" s="60"/>
      <c r="T158" s="74"/>
    </row>
    <row r="159" spans="1:20" ht="15" customHeight="1" x14ac:dyDescent="0.25">
      <c r="A159" s="45" t="s">
        <v>276</v>
      </c>
      <c r="B159" s="46">
        <v>1</v>
      </c>
      <c r="C159" s="21" t="s">
        <v>173</v>
      </c>
      <c r="D159" s="47" t="s">
        <v>422</v>
      </c>
      <c r="E159" s="60"/>
      <c r="F159" s="60"/>
      <c r="G159" s="60"/>
      <c r="H159" s="60"/>
      <c r="I159" s="60"/>
      <c r="J159" s="60"/>
      <c r="K159" s="60"/>
      <c r="L159" s="74"/>
      <c r="M159" s="60"/>
      <c r="N159" s="60"/>
      <c r="O159" s="60"/>
      <c r="P159" s="60"/>
      <c r="Q159" s="60"/>
      <c r="R159" s="60"/>
      <c r="S159" s="60"/>
      <c r="T159" s="74"/>
    </row>
    <row r="160" spans="1:20" ht="15" customHeight="1" x14ac:dyDescent="0.25">
      <c r="A160" s="45"/>
      <c r="B160" s="46">
        <v>2</v>
      </c>
      <c r="C160" s="21" t="s">
        <v>173</v>
      </c>
      <c r="D160" s="47" t="s">
        <v>423</v>
      </c>
      <c r="E160" s="60"/>
      <c r="F160" s="60"/>
      <c r="G160" s="60"/>
      <c r="H160" s="60"/>
      <c r="I160" s="60"/>
      <c r="J160" s="60"/>
      <c r="K160" s="60"/>
      <c r="L160" s="74"/>
      <c r="M160" s="60"/>
      <c r="N160" s="60"/>
      <c r="O160" s="60"/>
      <c r="P160" s="60"/>
      <c r="Q160" s="60"/>
      <c r="R160" s="60"/>
      <c r="S160" s="60"/>
      <c r="T160" s="74"/>
    </row>
    <row r="161" spans="1:20" ht="15" customHeight="1" x14ac:dyDescent="0.25">
      <c r="A161" s="45"/>
      <c r="B161" s="46">
        <v>3</v>
      </c>
      <c r="C161" s="21" t="s">
        <v>173</v>
      </c>
      <c r="D161" s="47" t="s">
        <v>424</v>
      </c>
      <c r="E161" s="60"/>
      <c r="F161" s="60"/>
      <c r="G161" s="60"/>
      <c r="H161" s="60"/>
      <c r="I161" s="60"/>
      <c r="J161" s="60"/>
      <c r="K161" s="60"/>
      <c r="L161" s="74"/>
      <c r="M161" s="60"/>
      <c r="N161" s="60"/>
      <c r="O161" s="60"/>
      <c r="P161" s="60"/>
      <c r="Q161" s="60"/>
      <c r="R161" s="60"/>
      <c r="S161" s="60"/>
      <c r="T161" s="74"/>
    </row>
    <row r="162" spans="1:20" ht="15" customHeight="1" x14ac:dyDescent="0.25">
      <c r="A162" s="136" t="s">
        <v>277</v>
      </c>
      <c r="B162" s="137"/>
      <c r="C162" s="52"/>
      <c r="D162" s="53"/>
      <c r="E162" s="76"/>
      <c r="F162" s="76"/>
      <c r="G162" s="76"/>
      <c r="H162" s="76"/>
      <c r="I162" s="76"/>
      <c r="J162" s="76"/>
      <c r="K162" s="76"/>
      <c r="L162" s="77"/>
      <c r="M162" s="76"/>
      <c r="N162" s="76"/>
      <c r="O162" s="76"/>
      <c r="P162" s="76"/>
      <c r="Q162" s="76"/>
      <c r="R162" s="76"/>
      <c r="S162" s="76"/>
      <c r="T162" s="77"/>
    </row>
    <row r="163" spans="1:20" x14ac:dyDescent="0.25">
      <c r="A163" s="38" t="s">
        <v>278</v>
      </c>
      <c r="B163" s="39"/>
      <c r="C163" s="40"/>
      <c r="D163" s="41"/>
      <c r="E163" s="72"/>
      <c r="F163" s="72"/>
      <c r="G163" s="72"/>
      <c r="H163" s="72"/>
      <c r="I163" s="72"/>
      <c r="J163" s="72"/>
      <c r="K163" s="72"/>
      <c r="L163" s="75"/>
      <c r="M163" s="72"/>
      <c r="N163" s="72"/>
      <c r="O163" s="72"/>
      <c r="P163" s="72"/>
      <c r="Q163" s="72"/>
      <c r="R163" s="72"/>
      <c r="S163" s="72"/>
      <c r="T163" s="75"/>
    </row>
    <row r="164" spans="1:20" ht="15" customHeight="1" x14ac:dyDescent="0.25">
      <c r="A164" s="45" t="s">
        <v>279</v>
      </c>
      <c r="B164" s="46">
        <v>1</v>
      </c>
      <c r="C164" s="21" t="s">
        <v>280</v>
      </c>
      <c r="D164" s="47" t="s">
        <v>425</v>
      </c>
      <c r="E164" s="60"/>
      <c r="F164" s="60"/>
      <c r="G164" s="60"/>
      <c r="H164" s="60"/>
      <c r="I164" s="60"/>
      <c r="J164" s="60"/>
      <c r="K164" s="60"/>
      <c r="L164" s="74"/>
      <c r="M164" s="60"/>
      <c r="N164" s="60"/>
      <c r="O164" s="60"/>
      <c r="P164" s="60"/>
      <c r="Q164" s="60"/>
      <c r="R164" s="60"/>
      <c r="S164" s="60"/>
      <c r="T164" s="74"/>
    </row>
    <row r="165" spans="1:20" ht="15" customHeight="1" x14ac:dyDescent="0.25">
      <c r="A165" s="45" t="s">
        <v>281</v>
      </c>
      <c r="B165" s="46">
        <v>1</v>
      </c>
      <c r="C165" s="21" t="s">
        <v>282</v>
      </c>
      <c r="D165" s="47" t="s">
        <v>426</v>
      </c>
      <c r="E165" s="60"/>
      <c r="F165" s="60"/>
      <c r="G165" s="60"/>
      <c r="H165" s="60"/>
      <c r="I165" s="60"/>
      <c r="J165" s="60"/>
      <c r="K165" s="60"/>
      <c r="L165" s="74"/>
      <c r="M165" s="60"/>
      <c r="N165" s="60"/>
      <c r="O165" s="60"/>
      <c r="P165" s="60"/>
      <c r="Q165" s="60"/>
      <c r="R165" s="60"/>
      <c r="S165" s="60"/>
      <c r="T165" s="74"/>
    </row>
    <row r="166" spans="1:20" ht="15" customHeight="1" x14ac:dyDescent="0.25">
      <c r="A166" s="45" t="s">
        <v>283</v>
      </c>
      <c r="B166" s="46">
        <v>1</v>
      </c>
      <c r="C166" s="21" t="s">
        <v>284</v>
      </c>
      <c r="D166" s="47" t="s">
        <v>427</v>
      </c>
      <c r="E166" s="60"/>
      <c r="F166" s="60"/>
      <c r="G166" s="60"/>
      <c r="H166" s="60"/>
      <c r="I166" s="60"/>
      <c r="J166" s="60"/>
      <c r="K166" s="60"/>
      <c r="L166" s="74"/>
      <c r="M166" s="60"/>
      <c r="N166" s="60"/>
      <c r="O166" s="60"/>
      <c r="P166" s="60"/>
      <c r="Q166" s="60"/>
      <c r="R166" s="60"/>
      <c r="S166" s="60"/>
      <c r="T166" s="74"/>
    </row>
    <row r="167" spans="1:20" ht="15" customHeight="1" x14ac:dyDescent="0.25">
      <c r="A167" s="45" t="s">
        <v>285</v>
      </c>
      <c r="B167" s="46">
        <v>1</v>
      </c>
      <c r="C167" s="21" t="s">
        <v>286</v>
      </c>
      <c r="D167" s="47" t="s">
        <v>428</v>
      </c>
      <c r="E167" s="60"/>
      <c r="F167" s="60"/>
      <c r="G167" s="60"/>
      <c r="H167" s="60"/>
      <c r="I167" s="60"/>
      <c r="J167" s="60"/>
      <c r="K167" s="60"/>
      <c r="L167" s="74"/>
      <c r="M167" s="60"/>
      <c r="N167" s="60"/>
      <c r="O167" s="60"/>
      <c r="P167" s="60"/>
      <c r="Q167" s="60"/>
      <c r="R167" s="60"/>
      <c r="S167" s="60"/>
      <c r="T167" s="74"/>
    </row>
    <row r="168" spans="1:20" ht="15" customHeight="1" x14ac:dyDescent="0.25">
      <c r="A168" s="45" t="s">
        <v>287</v>
      </c>
      <c r="B168" s="46">
        <v>1</v>
      </c>
      <c r="C168" s="21" t="s">
        <v>288</v>
      </c>
      <c r="D168" s="47" t="s">
        <v>429</v>
      </c>
      <c r="E168" s="60"/>
      <c r="F168" s="60"/>
      <c r="G168" s="60"/>
      <c r="H168" s="60"/>
      <c r="I168" s="60"/>
      <c r="J168" s="60"/>
      <c r="K168" s="60"/>
      <c r="L168" s="74"/>
      <c r="M168" s="60"/>
      <c r="N168" s="60"/>
      <c r="O168" s="60"/>
      <c r="P168" s="60"/>
      <c r="Q168" s="60"/>
      <c r="R168" s="60"/>
      <c r="S168" s="60"/>
      <c r="T168" s="74"/>
    </row>
    <row r="169" spans="1:20" ht="15" customHeight="1" x14ac:dyDescent="0.25">
      <c r="A169" s="136" t="s">
        <v>289</v>
      </c>
      <c r="B169" s="137"/>
      <c r="C169" s="52"/>
      <c r="D169" s="53"/>
      <c r="E169" s="76"/>
      <c r="F169" s="76"/>
      <c r="G169" s="76"/>
      <c r="H169" s="76"/>
      <c r="I169" s="76"/>
      <c r="J169" s="76"/>
      <c r="K169" s="76"/>
      <c r="L169" s="77"/>
      <c r="M169" s="76"/>
      <c r="N169" s="76"/>
      <c r="O169" s="76"/>
      <c r="P169" s="76"/>
      <c r="Q169" s="76"/>
      <c r="R169" s="76"/>
      <c r="S169" s="76"/>
      <c r="T169" s="77"/>
    </row>
    <row r="170" spans="1:20" x14ac:dyDescent="0.25">
      <c r="A170" s="38" t="s">
        <v>290</v>
      </c>
      <c r="B170" s="39"/>
      <c r="C170" s="40"/>
      <c r="D170" s="41"/>
      <c r="E170" s="72"/>
      <c r="F170" s="72"/>
      <c r="G170" s="72"/>
      <c r="H170" s="72"/>
      <c r="I170" s="72"/>
      <c r="J170" s="72"/>
      <c r="K170" s="72"/>
      <c r="L170" s="75"/>
      <c r="M170" s="72"/>
      <c r="N170" s="72"/>
      <c r="O170" s="72"/>
      <c r="P170" s="72"/>
      <c r="Q170" s="72"/>
      <c r="R170" s="72"/>
      <c r="S170" s="72"/>
      <c r="T170" s="75"/>
    </row>
    <row r="171" spans="1:20" x14ac:dyDescent="0.25">
      <c r="A171" s="45" t="s">
        <v>291</v>
      </c>
      <c r="B171" s="46">
        <v>1</v>
      </c>
      <c r="C171" s="21" t="s">
        <v>175</v>
      </c>
      <c r="D171" s="47" t="s">
        <v>430</v>
      </c>
      <c r="E171" s="60"/>
      <c r="F171" s="60"/>
      <c r="G171" s="60"/>
      <c r="H171" s="60"/>
      <c r="I171" s="60"/>
      <c r="J171" s="60"/>
      <c r="K171" s="60"/>
      <c r="L171" s="74"/>
      <c r="M171" s="60"/>
      <c r="N171" s="60"/>
      <c r="O171" s="60"/>
      <c r="P171" s="60"/>
      <c r="Q171" s="60"/>
      <c r="R171" s="60"/>
      <c r="S171" s="60"/>
      <c r="T171" s="74"/>
    </row>
    <row r="172" spans="1:20" x14ac:dyDescent="0.25">
      <c r="A172" s="45" t="s">
        <v>292</v>
      </c>
      <c r="B172" s="46">
        <v>1</v>
      </c>
      <c r="C172" s="21" t="s">
        <v>174</v>
      </c>
      <c r="D172" s="47" t="s">
        <v>431</v>
      </c>
      <c r="E172" s="60"/>
      <c r="F172" s="60"/>
      <c r="G172" s="60"/>
      <c r="H172" s="60"/>
      <c r="I172" s="60"/>
      <c r="J172" s="60"/>
      <c r="K172" s="60"/>
      <c r="L172" s="74"/>
      <c r="M172" s="60"/>
      <c r="N172" s="60"/>
      <c r="O172" s="60"/>
      <c r="P172" s="60"/>
      <c r="Q172" s="60"/>
      <c r="R172" s="60"/>
      <c r="S172" s="60"/>
      <c r="T172" s="74"/>
    </row>
    <row r="173" spans="1:20" x14ac:dyDescent="0.25">
      <c r="A173" s="45" t="s">
        <v>293</v>
      </c>
      <c r="B173" s="46">
        <v>1</v>
      </c>
      <c r="C173" s="21" t="s">
        <v>177</v>
      </c>
      <c r="D173" s="47" t="s">
        <v>432</v>
      </c>
      <c r="E173" s="60"/>
      <c r="F173" s="60"/>
      <c r="G173" s="60"/>
      <c r="H173" s="60"/>
      <c r="I173" s="60"/>
      <c r="J173" s="60"/>
      <c r="K173" s="60"/>
      <c r="L173" s="74"/>
      <c r="M173" s="60"/>
      <c r="N173" s="60"/>
      <c r="O173" s="60"/>
      <c r="P173" s="60"/>
      <c r="Q173" s="60"/>
      <c r="R173" s="60"/>
      <c r="S173" s="60"/>
      <c r="T173" s="74"/>
    </row>
    <row r="174" spans="1:20" x14ac:dyDescent="0.25">
      <c r="A174" s="45" t="s">
        <v>294</v>
      </c>
      <c r="B174" s="46">
        <v>1</v>
      </c>
      <c r="C174" s="21" t="s">
        <v>177</v>
      </c>
      <c r="D174" s="47" t="s">
        <v>432</v>
      </c>
      <c r="E174" s="60"/>
      <c r="F174" s="60"/>
      <c r="G174" s="60"/>
      <c r="H174" s="60"/>
      <c r="I174" s="60"/>
      <c r="J174" s="60"/>
      <c r="K174" s="60"/>
      <c r="L174" s="74"/>
      <c r="M174" s="60"/>
      <c r="N174" s="60"/>
      <c r="O174" s="60"/>
      <c r="P174" s="60"/>
      <c r="Q174" s="60"/>
      <c r="R174" s="60"/>
      <c r="S174" s="60"/>
      <c r="T174" s="74"/>
    </row>
    <row r="175" spans="1:20" x14ac:dyDescent="0.25">
      <c r="A175" s="45" t="s">
        <v>295</v>
      </c>
      <c r="B175" s="46">
        <v>1</v>
      </c>
      <c r="C175" s="21" t="s">
        <v>296</v>
      </c>
      <c r="D175" s="47" t="s">
        <v>433</v>
      </c>
      <c r="E175" s="60"/>
      <c r="F175" s="60"/>
      <c r="G175" s="60"/>
      <c r="H175" s="60"/>
      <c r="I175" s="60"/>
      <c r="J175" s="60"/>
      <c r="K175" s="60"/>
      <c r="L175" s="74"/>
      <c r="M175" s="60"/>
      <c r="N175" s="60"/>
      <c r="O175" s="60"/>
      <c r="P175" s="60"/>
      <c r="Q175" s="60"/>
      <c r="R175" s="60"/>
      <c r="S175" s="60"/>
      <c r="T175" s="74"/>
    </row>
    <row r="176" spans="1:20" x14ac:dyDescent="0.25">
      <c r="A176" s="45" t="s">
        <v>297</v>
      </c>
      <c r="B176" s="46">
        <v>1</v>
      </c>
      <c r="C176" s="21" t="s">
        <v>296</v>
      </c>
      <c r="D176" s="47" t="s">
        <v>433</v>
      </c>
      <c r="E176" s="60"/>
      <c r="F176" s="60"/>
      <c r="G176" s="60"/>
      <c r="H176" s="60"/>
      <c r="I176" s="60"/>
      <c r="J176" s="60"/>
      <c r="K176" s="60"/>
      <c r="L176" s="74"/>
      <c r="M176" s="60"/>
      <c r="N176" s="60"/>
      <c r="O176" s="60"/>
      <c r="P176" s="60"/>
      <c r="Q176" s="60"/>
      <c r="R176" s="60"/>
      <c r="S176" s="60"/>
      <c r="T176" s="74"/>
    </row>
    <row r="177" spans="1:20" x14ac:dyDescent="0.25">
      <c r="A177" s="45" t="s">
        <v>298</v>
      </c>
      <c r="B177" s="46">
        <v>1</v>
      </c>
      <c r="C177" s="21" t="s">
        <v>176</v>
      </c>
      <c r="D177" s="47" t="s">
        <v>434</v>
      </c>
      <c r="E177" s="60"/>
      <c r="F177" s="60"/>
      <c r="G177" s="60"/>
      <c r="H177" s="60"/>
      <c r="I177" s="60"/>
      <c r="J177" s="60"/>
      <c r="K177" s="60"/>
      <c r="L177" s="74"/>
      <c r="M177" s="60"/>
      <c r="N177" s="60"/>
      <c r="O177" s="60"/>
      <c r="P177" s="60"/>
      <c r="Q177" s="60"/>
      <c r="R177" s="60"/>
      <c r="S177" s="60"/>
      <c r="T177" s="74"/>
    </row>
    <row r="178" spans="1:20" x14ac:dyDescent="0.25">
      <c r="A178" s="45" t="s">
        <v>299</v>
      </c>
      <c r="B178" s="46">
        <v>1</v>
      </c>
      <c r="C178" s="21" t="s">
        <v>176</v>
      </c>
      <c r="D178" s="47" t="s">
        <v>434</v>
      </c>
      <c r="E178" s="60"/>
      <c r="F178" s="60"/>
      <c r="G178" s="60"/>
      <c r="H178" s="60"/>
      <c r="I178" s="60"/>
      <c r="J178" s="60"/>
      <c r="K178" s="60"/>
      <c r="L178" s="74"/>
      <c r="M178" s="60"/>
      <c r="N178" s="60"/>
      <c r="O178" s="60"/>
      <c r="P178" s="60"/>
      <c r="Q178" s="60"/>
      <c r="R178" s="60"/>
      <c r="S178" s="60"/>
      <c r="T178" s="74"/>
    </row>
    <row r="179" spans="1:20" x14ac:dyDescent="0.25">
      <c r="A179" s="45" t="s">
        <v>300</v>
      </c>
      <c r="B179" s="46">
        <v>1</v>
      </c>
      <c r="C179" s="21" t="s">
        <v>301</v>
      </c>
      <c r="D179" s="47" t="s">
        <v>435</v>
      </c>
      <c r="E179" s="60"/>
      <c r="F179" s="60"/>
      <c r="G179" s="60"/>
      <c r="H179" s="60"/>
      <c r="I179" s="60"/>
      <c r="J179" s="60"/>
      <c r="K179" s="60"/>
      <c r="L179" s="74"/>
      <c r="M179" s="60"/>
      <c r="N179" s="60"/>
      <c r="O179" s="60"/>
      <c r="P179" s="60"/>
      <c r="Q179" s="60"/>
      <c r="R179" s="60"/>
      <c r="S179" s="60"/>
      <c r="T179" s="74"/>
    </row>
    <row r="180" spans="1:20" x14ac:dyDescent="0.25">
      <c r="A180" s="45"/>
      <c r="B180" s="46">
        <v>2</v>
      </c>
      <c r="C180" s="21" t="s">
        <v>301</v>
      </c>
      <c r="D180" s="47" t="s">
        <v>436</v>
      </c>
      <c r="E180" s="60"/>
      <c r="F180" s="60"/>
      <c r="G180" s="60"/>
      <c r="H180" s="60"/>
      <c r="I180" s="60"/>
      <c r="J180" s="60"/>
      <c r="K180" s="60"/>
      <c r="L180" s="74"/>
      <c r="M180" s="60"/>
      <c r="N180" s="60"/>
      <c r="O180" s="60"/>
      <c r="P180" s="60"/>
      <c r="Q180" s="60"/>
      <c r="R180" s="60"/>
      <c r="S180" s="60"/>
      <c r="T180" s="74"/>
    </row>
    <row r="181" spans="1:20" x14ac:dyDescent="0.25">
      <c r="A181" s="136" t="s">
        <v>302</v>
      </c>
      <c r="B181" s="137"/>
      <c r="C181" s="52"/>
      <c r="D181" s="53"/>
      <c r="E181" s="76"/>
      <c r="F181" s="76"/>
      <c r="G181" s="76"/>
      <c r="H181" s="76"/>
      <c r="I181" s="76"/>
      <c r="J181" s="76"/>
      <c r="K181" s="76"/>
      <c r="L181" s="77"/>
      <c r="M181" s="76"/>
      <c r="N181" s="76"/>
      <c r="O181" s="76"/>
      <c r="P181" s="76"/>
      <c r="Q181" s="76"/>
      <c r="R181" s="76"/>
      <c r="S181" s="76"/>
      <c r="T181" s="77"/>
    </row>
    <row r="182" spans="1:20" x14ac:dyDescent="0.25">
      <c r="A182" s="38" t="s">
        <v>303</v>
      </c>
      <c r="B182" s="39"/>
      <c r="C182" s="40"/>
      <c r="D182" s="41"/>
      <c r="E182" s="72"/>
      <c r="F182" s="72"/>
      <c r="G182" s="72"/>
      <c r="H182" s="72"/>
      <c r="I182" s="72"/>
      <c r="J182" s="72"/>
      <c r="K182" s="72"/>
      <c r="L182" s="75"/>
      <c r="M182" s="72"/>
      <c r="N182" s="72"/>
      <c r="O182" s="72"/>
      <c r="P182" s="72"/>
      <c r="Q182" s="72"/>
      <c r="R182" s="72"/>
      <c r="S182" s="72"/>
      <c r="T182" s="75"/>
    </row>
    <row r="183" spans="1:20" ht="15" customHeight="1" x14ac:dyDescent="0.25">
      <c r="A183" s="45" t="s">
        <v>304</v>
      </c>
      <c r="B183" s="46">
        <v>1</v>
      </c>
      <c r="C183" s="21"/>
      <c r="D183" s="47" t="s">
        <v>123</v>
      </c>
      <c r="E183" s="60"/>
      <c r="F183" s="60"/>
      <c r="G183" s="60"/>
      <c r="H183" s="60"/>
      <c r="I183" s="60"/>
      <c r="J183" s="60"/>
      <c r="K183" s="60"/>
      <c r="L183" s="74"/>
      <c r="M183" s="60"/>
      <c r="N183" s="60"/>
      <c r="O183" s="60"/>
      <c r="P183" s="60"/>
      <c r="Q183" s="60"/>
      <c r="R183" s="60"/>
      <c r="S183" s="60"/>
      <c r="T183" s="74"/>
    </row>
    <row r="184" spans="1:20" ht="15" customHeight="1" x14ac:dyDescent="0.25">
      <c r="A184" s="45"/>
      <c r="B184" s="46">
        <v>2</v>
      </c>
      <c r="C184" s="21"/>
      <c r="D184" s="47" t="s">
        <v>125</v>
      </c>
      <c r="E184" s="60"/>
      <c r="F184" s="60"/>
      <c r="G184" s="60"/>
      <c r="H184" s="60"/>
      <c r="I184" s="60"/>
      <c r="J184" s="60"/>
      <c r="K184" s="60"/>
      <c r="L184" s="74"/>
      <c r="M184" s="60"/>
      <c r="N184" s="60"/>
      <c r="O184" s="60"/>
      <c r="P184" s="60"/>
      <c r="Q184" s="60"/>
      <c r="R184" s="60"/>
      <c r="S184" s="60"/>
      <c r="T184" s="74"/>
    </row>
    <row r="185" spans="1:20" x14ac:dyDescent="0.25">
      <c r="A185" s="136" t="s">
        <v>305</v>
      </c>
      <c r="B185" s="137"/>
      <c r="C185" s="52"/>
      <c r="D185" s="53"/>
      <c r="E185" s="76"/>
      <c r="F185" s="76"/>
      <c r="G185" s="76"/>
      <c r="H185" s="76"/>
      <c r="I185" s="76"/>
      <c r="J185" s="76"/>
      <c r="K185" s="76"/>
      <c r="L185" s="77"/>
      <c r="M185" s="76"/>
      <c r="N185" s="76"/>
      <c r="O185" s="76"/>
      <c r="P185" s="76"/>
      <c r="Q185" s="76"/>
      <c r="R185" s="76"/>
      <c r="S185" s="76"/>
      <c r="T185" s="77"/>
    </row>
    <row r="186" spans="1:20" x14ac:dyDescent="0.25">
      <c r="A186" s="38" t="s">
        <v>306</v>
      </c>
      <c r="B186" s="39"/>
      <c r="C186" s="40"/>
      <c r="D186" s="41"/>
      <c r="E186" s="72"/>
      <c r="F186" s="72"/>
      <c r="G186" s="72"/>
      <c r="H186" s="72"/>
      <c r="I186" s="72"/>
      <c r="J186" s="72"/>
      <c r="K186" s="72"/>
      <c r="L186" s="75"/>
      <c r="M186" s="72"/>
      <c r="N186" s="72"/>
      <c r="O186" s="72"/>
      <c r="P186" s="72"/>
      <c r="Q186" s="72"/>
      <c r="R186" s="72"/>
      <c r="S186" s="72"/>
      <c r="T186" s="75"/>
    </row>
    <row r="187" spans="1:20" x14ac:dyDescent="0.25">
      <c r="A187" s="45" t="s">
        <v>307</v>
      </c>
      <c r="B187" s="46">
        <v>1</v>
      </c>
      <c r="C187" s="21" t="s">
        <v>308</v>
      </c>
      <c r="D187" s="47" t="s">
        <v>437</v>
      </c>
      <c r="E187" s="60"/>
      <c r="F187" s="60"/>
      <c r="G187" s="60"/>
      <c r="H187" s="60"/>
      <c r="I187" s="60"/>
      <c r="J187" s="60"/>
      <c r="K187" s="60"/>
      <c r="L187" s="74"/>
      <c r="M187" s="60"/>
      <c r="N187" s="60"/>
      <c r="O187" s="60"/>
      <c r="P187" s="60"/>
      <c r="Q187" s="60"/>
      <c r="R187" s="60"/>
      <c r="S187" s="60"/>
      <c r="T187" s="74"/>
    </row>
    <row r="188" spans="1:20" x14ac:dyDescent="0.25">
      <c r="A188" s="45" t="s">
        <v>309</v>
      </c>
      <c r="B188" s="46">
        <v>1</v>
      </c>
      <c r="C188" s="21" t="s">
        <v>310</v>
      </c>
      <c r="D188" s="47" t="s">
        <v>438</v>
      </c>
      <c r="E188" s="60"/>
      <c r="F188" s="60"/>
      <c r="G188" s="60"/>
      <c r="H188" s="60"/>
      <c r="I188" s="60"/>
      <c r="J188" s="60"/>
      <c r="K188" s="60"/>
      <c r="L188" s="74"/>
      <c r="M188" s="60"/>
      <c r="N188" s="60"/>
      <c r="O188" s="60"/>
      <c r="P188" s="60"/>
      <c r="Q188" s="60"/>
      <c r="R188" s="60"/>
      <c r="S188" s="60"/>
      <c r="T188" s="74"/>
    </row>
    <row r="189" spans="1:20" x14ac:dyDescent="0.25">
      <c r="A189" s="45" t="s">
        <v>311</v>
      </c>
      <c r="B189" s="46">
        <v>1</v>
      </c>
      <c r="C189" s="21" t="s">
        <v>312</v>
      </c>
      <c r="D189" s="47" t="s">
        <v>439</v>
      </c>
      <c r="E189" s="60"/>
      <c r="F189" s="60"/>
      <c r="G189" s="60"/>
      <c r="H189" s="60"/>
      <c r="I189" s="60"/>
      <c r="J189" s="60"/>
      <c r="K189" s="60"/>
      <c r="L189" s="74"/>
      <c r="M189" s="60"/>
      <c r="N189" s="60"/>
      <c r="O189" s="60"/>
      <c r="P189" s="60"/>
      <c r="Q189" s="60"/>
      <c r="R189" s="60"/>
      <c r="S189" s="60"/>
      <c r="T189" s="74"/>
    </row>
    <row r="190" spans="1:20" x14ac:dyDescent="0.25">
      <c r="A190" s="136" t="s">
        <v>313</v>
      </c>
      <c r="B190" s="137"/>
      <c r="C190" s="52"/>
      <c r="D190" s="53"/>
      <c r="E190" s="76"/>
      <c r="F190" s="76"/>
      <c r="G190" s="76"/>
      <c r="H190" s="76"/>
      <c r="I190" s="76"/>
      <c r="J190" s="76"/>
      <c r="K190" s="76"/>
      <c r="L190" s="77"/>
      <c r="M190" s="76"/>
      <c r="N190" s="76"/>
      <c r="O190" s="76"/>
      <c r="P190" s="76"/>
      <c r="Q190" s="76"/>
      <c r="R190" s="76"/>
      <c r="S190" s="76"/>
      <c r="T190" s="77"/>
    </row>
    <row r="191" spans="1:20" ht="15" customHeight="1" x14ac:dyDescent="0.25">
      <c r="A191" s="142" t="s">
        <v>314</v>
      </c>
      <c r="B191" s="143"/>
      <c r="C191" s="56"/>
      <c r="D191" s="57"/>
      <c r="E191" s="78"/>
      <c r="F191" s="78"/>
      <c r="G191" s="78"/>
      <c r="H191" s="78"/>
      <c r="I191" s="78"/>
      <c r="J191" s="78"/>
      <c r="K191" s="78"/>
      <c r="L191" s="79"/>
      <c r="M191" s="78"/>
      <c r="N191" s="78"/>
      <c r="O191" s="78"/>
      <c r="P191" s="78"/>
      <c r="Q191" s="78"/>
      <c r="R191" s="78"/>
      <c r="S191" s="78"/>
      <c r="T191" s="79"/>
    </row>
    <row r="192" spans="1:20" x14ac:dyDescent="0.25">
      <c r="A192" s="151" t="s">
        <v>315</v>
      </c>
      <c r="B192" s="152"/>
      <c r="C192" s="80"/>
      <c r="D192" s="81"/>
      <c r="E192" s="82"/>
      <c r="F192" s="82"/>
      <c r="G192" s="82"/>
      <c r="H192" s="82"/>
      <c r="I192" s="82"/>
      <c r="J192" s="82"/>
      <c r="K192" s="82"/>
      <c r="L192" s="83"/>
      <c r="M192" s="82"/>
      <c r="N192" s="82"/>
      <c r="O192" s="82"/>
      <c r="P192" s="82"/>
      <c r="Q192" s="82"/>
      <c r="R192" s="82"/>
      <c r="S192" s="82"/>
      <c r="T192" s="83"/>
    </row>
    <row r="193" spans="1:4" x14ac:dyDescent="0.25">
      <c r="A193" s="66"/>
      <c r="B193" s="66"/>
      <c r="C193" s="66"/>
      <c r="D193" s="66"/>
    </row>
    <row r="194" spans="1:4" x14ac:dyDescent="0.25">
      <c r="A194" s="68"/>
      <c r="B194" s="68"/>
      <c r="C194" s="68"/>
      <c r="D194" s="68"/>
    </row>
  </sheetData>
  <mergeCells count="28">
    <mergeCell ref="A191:B191"/>
    <mergeCell ref="A192:B192"/>
    <mergeCell ref="M1:T1"/>
    <mergeCell ref="M2:N2"/>
    <mergeCell ref="O2:P2"/>
    <mergeCell ref="Q2:R2"/>
    <mergeCell ref="S2:T2"/>
    <mergeCell ref="A137:B137"/>
    <mergeCell ref="A162:B162"/>
    <mergeCell ref="A169:B169"/>
    <mergeCell ref="A181:B181"/>
    <mergeCell ref="A185:B185"/>
    <mergeCell ref="A190:B190"/>
    <mergeCell ref="A42:B42"/>
    <mergeCell ref="A50:B50"/>
    <mergeCell ref="A98:B98"/>
    <mergeCell ref="A101:B101"/>
    <mergeCell ref="A117:B117"/>
    <mergeCell ref="A136:B136"/>
    <mergeCell ref="A1:A3"/>
    <mergeCell ref="B1:B3"/>
    <mergeCell ref="C1:C3"/>
    <mergeCell ref="D1:D3"/>
    <mergeCell ref="E1:L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B554-130F-4A8A-8BBF-AA42B2E10449}">
  <dimension ref="A1"/>
  <sheetViews>
    <sheetView workbookViewId="0">
      <selection activeCell="J10" sqref="J10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0AA6-BBE5-477E-AA0E-16A980FC968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A0E1-C918-4711-AF72-89FB2CCE294F}">
  <dimension ref="A1"/>
  <sheetViews>
    <sheetView workbookViewId="0">
      <selection activeCell="K16" sqref="K16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92AC-4E6C-43F3-B395-A7D3260FCF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C3A3196D4D4943A1067C8E97FB29BB" ma:contentTypeVersion="14" ma:contentTypeDescription="Create a new document." ma:contentTypeScope="" ma:versionID="a0fe49ea0b62ca5732faa32370081606">
  <xsd:schema xmlns:xsd="http://www.w3.org/2001/XMLSchema" xmlns:xs="http://www.w3.org/2001/XMLSchema" xmlns:p="http://schemas.microsoft.com/office/2006/metadata/properties" xmlns:ns2="5e80f031-8b65-42a5-8493-43319737a55e" xmlns:ns3="d6c1a2fc-ca36-4c01-bf5c-04b7c5ffd235" targetNamespace="http://schemas.microsoft.com/office/2006/metadata/properties" ma:root="true" ma:fieldsID="d1a259840c0080add97bd3383515b885" ns2:_="" ns3:_="">
    <xsd:import namespace="5e80f031-8b65-42a5-8493-43319737a55e"/>
    <xsd:import namespace="d6c1a2fc-ca36-4c01-bf5c-04b7c5ffd2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0f031-8b65-42a5-8493-43319737a5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5b72d8-66f1-40b9-919d-96e5342230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1a2fc-ca36-4c01-bf5c-04b7c5ffd2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5f6f17-b4b1-48cc-985c-cfede399b3ef}" ma:internalName="TaxCatchAll" ma:showField="CatchAllData" ma:web="d6c1a2fc-ca36-4c01-bf5c-04b7c5ffd2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80f031-8b65-42a5-8493-43319737a55e">
      <Terms xmlns="http://schemas.microsoft.com/office/infopath/2007/PartnerControls"/>
    </lcf76f155ced4ddcb4097134ff3c332f>
    <TaxCatchAll xmlns="d6c1a2fc-ca36-4c01-bf5c-04b7c5ffd23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1EE84E-5B5C-4DFC-9DC2-3C813B85B1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80f031-8b65-42a5-8493-43319737a55e"/>
    <ds:schemaRef ds:uri="d6c1a2fc-ca36-4c01-bf5c-04b7c5ffd2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8B7B7D-8497-46A7-9FC7-64C1733D2734}">
  <ds:schemaRefs>
    <ds:schemaRef ds:uri="http://purl.org/dc/dcmitype/"/>
    <ds:schemaRef ds:uri="http://purl.org/dc/terms/"/>
    <ds:schemaRef ds:uri="http://schemas.microsoft.com/office/infopath/2007/PartnerControls"/>
    <ds:schemaRef ds:uri="d6c1a2fc-ca36-4c01-bf5c-04b7c5ffd235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5e80f031-8b65-42a5-8493-43319737a55e"/>
  </ds:schemaRefs>
</ds:datastoreItem>
</file>

<file path=customXml/itemProps3.xml><?xml version="1.0" encoding="utf-8"?>
<ds:datastoreItem xmlns:ds="http://schemas.openxmlformats.org/officeDocument/2006/customXml" ds:itemID="{DC4F48C0-AFA3-409C-A5E6-90FCEC6B73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Briefing Note Feed</vt:lpstr>
      <vt:lpstr>FLE Campus</vt:lpstr>
      <vt:lpstr>Budgeted Projections FLE</vt:lpstr>
      <vt:lpstr>Budgeted Projections Total HC</vt:lpstr>
      <vt:lpstr>Budgeted Projections Dom HC</vt:lpstr>
      <vt:lpstr>Budgeted Projections Intl HC</vt:lpstr>
      <vt:lpstr>YearA-AppDetails Current Year</vt:lpstr>
      <vt:lpstr>YearA-AppDetails Current Year-1</vt:lpstr>
      <vt:lpstr>YearB-AppDetails Current Year</vt:lpstr>
      <vt:lpstr>YearB-AppDetails Current Year-1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Guo</dc:creator>
  <cp:lastModifiedBy>Bill Guo</cp:lastModifiedBy>
  <dcterms:created xsi:type="dcterms:W3CDTF">2026-02-02T21:30:09Z</dcterms:created>
  <dcterms:modified xsi:type="dcterms:W3CDTF">2026-02-07T07:15:21Z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0x010100D5C3A3196D4D4943A1067C8E97FB29BB</vt:lpwstr>
  </property>
  <property fmtid="{D5CDD505-2E9C-101B-9397-08002B2CF9AE}" pid="3" name="MediaServiceImageTags">
    <vt:lpwstr/>
  </property>
</Properties>
</file>